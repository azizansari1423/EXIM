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filterPrivacy="1" codeName="ThisWorkbook"/>
  <xr:revisionPtr revIDLastSave="0" documentId="13_ncr:1_{DFF24319-EEF0-634D-BCE6-1F4523907095}" xr6:coauthVersionLast="47" xr6:coauthVersionMax="47" xr10:uidLastSave="{00000000-0000-0000-0000-000000000000}"/>
  <bookViews>
    <workbookView xWindow="0" yWindow="500" windowWidth="28800" windowHeight="16260" xr2:uid="{00000000-000D-0000-FFFF-FFFF00000000}"/>
  </bookViews>
  <sheets>
    <sheet name="Inventory List" sheetId="1" r:id="rId1"/>
  </sheets>
  <externalReferences>
    <externalReference r:id="rId2"/>
  </externalReferences>
  <definedNames>
    <definedName name="_xlnm._FilterDatabase" localSheetId="0" hidden="1">'Inventory List'!$K$2</definedName>
    <definedName name="ColumnTitle1">[1]!Expense[[#Headers],[Date]]</definedName>
    <definedName name="Mileage_Total">[1]!Expense[[#Totals],[Mileage]]</definedName>
    <definedName name="_xlnm.Print_Titles" localSheetId="0">'Inventory List'!$1:$3</definedName>
    <definedName name="Reimbursement_Total">[1]!Expense[[#Totals],[Reimbursement]]</definedName>
    <definedName name="valHighlight">IFERROR(IF('Inventory List'!$L$2="Yes", TRUE, FALSE),FALSE)</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28" i="1" l="1"/>
  <c r="B27" i="1"/>
  <c r="B26" i="1"/>
  <c r="B25" i="1"/>
  <c r="B24" i="1"/>
  <c r="B23" i="1"/>
  <c r="B22" i="1"/>
  <c r="B21" i="1"/>
  <c r="B20" i="1"/>
  <c r="B19" i="1"/>
  <c r="B18" i="1"/>
  <c r="B17" i="1"/>
  <c r="B16" i="1"/>
  <c r="B15" i="1"/>
  <c r="B14" i="1"/>
  <c r="B13" i="1"/>
  <c r="B12" i="1"/>
  <c r="B11" i="1"/>
  <c r="B10" i="1"/>
  <c r="B9" i="1"/>
  <c r="B8" i="1"/>
  <c r="B7" i="1"/>
  <c r="B6" i="1"/>
  <c r="B5" i="1"/>
  <c r="B4"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<sst xmlns="http://schemas.openxmlformats.org/spreadsheetml/2006/main" count="92" uniqueCount="89">
  <si>
    <t>Highlight items to reorder?</t>
  </si>
  <si>
    <t>Yes</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</si>
  <si>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</si>
  <si>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</si>
  <si>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</si>
  <si>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</si>
  <si>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</si>
  <si>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</si>
  <si>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</si>
  <si>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</si>
  <si>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</si>
  <si>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</si>
  <si>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</si>
  <si>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</si>
  <si>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</si>
  <si>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</si>
  <si>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</si>
  <si>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</si>
  <si>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</si>
  <si>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</si>
  <si>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</si>
  <si>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</si>
  <si>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</si>
  <si>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</si>
  <si>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</si>
  <si>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</si>
  <si>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</si>
  <si>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</si>
  <si>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</si>
  <si>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</si>
  <si>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</si>
  <si>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</si>
  <si>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</si>
  <si>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</si>
  <si>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</si>
  <si>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</si>
  <si>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</si>
  <si>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</si>
  <si>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</si>
  <si>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</si>
  <si>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</si>
  <si>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</si>
  <si>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</si>
  <si>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</si>
  <si>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</si>
  <si>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</si>
  <si>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</si>
  <si>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</si>
  <si>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</si>
  <si>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</si>
  <si>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</si>
  <si>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</si>
  <si>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</si>
  <si>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</si>
  <si>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</si>
  <si>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</si>
  <si>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</si>
  <si>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</si>
  <si>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</si>
  <si>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</si>
  <si>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</si>
  <si>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</si>
  <si>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</si>
  <si>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</si>
  <si>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</si>
  <si>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</si>
  <si>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</si>
  <si>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</si>
  <si>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</si>
  <si>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</si>
  <si>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</si>
  <si>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</si>
  <si>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</si>
  <si>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</si>
  <si>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</si>
  <si>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</si>
  <si>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</si>
  <si>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</si>
  <si>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</si>
  <si>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</si>
  <si>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</si>
  <si>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</si>
  <si>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</si>
  <si>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</si>
  <si>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</si>
  <si>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</si>
  <si>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</si>
  <si>
    <t>For Reorder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</si>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</sst>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 [$₹-4009]\ * #,##0.00_ ;_ [$₹-4009]\ * \-#,##0.00_ ;_ [$₹-4009]\ * &quot;-&quot;??_ ;_ @_ "/>
  </numFmts>
  <fonts count="5" x14ac:knownFonts="1">
    <font>
      <sz val="11"/>
      <color theme="1"/>
      <name val="Franklin Gothic Book"/>
      <family val="2"/>
      <scheme val="minor"/>
    </font>
    <font>
      <sz val="10"/>
      <color theme="1"/>
      <name val="Franklin Gothic Book"/>
      <family val="2"/>
      <scheme val="minor"/>
    </font>
    <font>
      <sz val="10"/>
      <color theme="5"/>
      <name val="Franklin Gothic Book"/>
      <family val="2"/>
      <scheme val="minor"/>
    </font>
    <font>
      <sz val="11"/>
      <name val="Arial"/>
      <family val="2"/>
    </font>
    <font>
      <u/>
      <sz val="11"/>
      <color theme="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alignment wrapText="1"/>
    </xf>
    <xf numFmtId="0" fontId="4" fillId="0" borderId="0" applyNumberFormat="0" applyFill="0" applyBorder="0" applyAlignment="0" applyProtection="0">
      <alignment wrapText="1"/>
    </xf>
  </cellStyleXfs>
  <cellXfs count="16">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0" fontId="1" fillId="0" borderId="0" xfId="0" applyFont="1" applyAlignment="1">
      <alignment horizontal="right" vertical="center" indent="1"/>
    </xf>
    <xf numFmtId="0" fontId="0" fillId="0" borderId="0" xfId="0" applyFont="1" applyFill="1" applyAlignment="1">
      <alignment horizontal="center" vertical="center" wrapText="1"/>
    </xf>
    <xf numFmtId="164" fontId="0" fillId="0" borderId="0" xfId="0" applyNumberFormat="1"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indent="1"/>
    </xf>
    <xf numFmtId="165" fontId="1" fillId="0" borderId="0" xfId="0" applyNumberFormat="1" applyFont="1" applyAlignment="1">
      <alignment horizontal="right" vertical="center" indent="1"/>
    </xf>
  </cellXfs>
  <cellStyles count="3">
    <cellStyle name="Hyperlink 2" xfId="2" xr:uid="{00000000-0005-0000-0000-000000000000}"/>
    <cellStyle name="Normal" xfId="0" builtinId="0"/>
    <cellStyle name="Normal 2" xfId="1" xr:uid="{00000000-0005-0000-0000-000002000000}"/>
  </cellStyles>
  <dxfs count="18">
    <dxf>
      <font>
        <strike val="0"/>
        <outline val="0"/>
        <shadow val="0"/>
        <u val="none"/>
        <vertAlign val="baseline"/>
        <sz val="10"/>
        <color theme="1"/>
        <name val="Franklin Gothic Book"/>
        <scheme val="minor"/>
      </font>
      <numFmt numFmtId="165" formatCode="_ [$₹-4009]\ * #,##0.00_ ;_ [$₹-4009]\ * \-#,##0.00_ ;_ [$₹-4009]\ * &quot;-&quot;??_ ;_ @_ "/>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numFmt numFmtId="165" formatCode="_ [$₹-4009]\ * #,##0.00_ ;_ [$₹-4009]\ * \-#,##0.00_ ;_ [$₹-4009]\ * &quot;-&quot;??_ ;_ @_ "/>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center" vertical="center" textRotation="0" wrapText="0" indent="0" justifyLastLine="0" shrinkToFit="0" readingOrder="0"/>
    </dxf>
    <dxf>
      <font>
        <strike val="0"/>
        <outline val="0"/>
        <shadow val="0"/>
        <u val="none"/>
        <vertAlign val="baseline"/>
        <sz val="10"/>
        <color theme="1"/>
        <name val="Franklin Gothic Book"/>
        <scheme val="minor"/>
      </font>
      <alignment horizontal="general"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justifyLastLine="0" shrinkToFit="0" readingOrder="0"/>
    </dxf>
    <dxf>
      <fill>
        <patternFill>
          <bgColor theme="5" tint="0.79998168889431442"/>
        </patternFill>
      </fill>
    </dxf>
    <dxf>
      <font>
        <strike/>
        <color theme="1" tint="0.34998626667073579"/>
      </font>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17"/>
      <tableStyleElement type="headerRow"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152400</xdr:rowOff>
    </xdr:from>
    <xdr:to>
      <xdr:col>11</xdr:col>
      <xdr:colOff>805180</xdr:colOff>
      <xdr:row>1</xdr:row>
      <xdr:rowOff>2133</xdr:rowOff>
    </xdr:to>
    <xdr:pic>
      <xdr:nvPicPr>
        <xdr:cNvPr id="2" name="Picture 1" descr="Abstract banner" title="Banner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52400" y="152400"/>
          <a:ext cx="11003280" cy="1320393"/>
        </a:xfrm>
        <a:prstGeom prst="rect">
          <a:avLst/>
        </a:prstGeom>
      </xdr:spPr>
    </xdr:pic>
    <xdr:clientData/>
  </xdr:twoCellAnchor>
  <xdr:twoCellAnchor>
    <xdr:from>
      <xdr:col>0</xdr:col>
      <xdr:colOff>152399</xdr:colOff>
      <xdr:row>0</xdr:row>
      <xdr:rowOff>514350</xdr:rowOff>
    </xdr:from>
    <xdr:to>
      <xdr:col>3</xdr:col>
      <xdr:colOff>981074</xdr:colOff>
      <xdr:row>1</xdr:row>
      <xdr:rowOff>0</xdr:rowOff>
    </xdr:to>
    <xdr:sp macro="" textlink="">
      <xdr:nvSpPr>
        <xdr:cNvPr id="8" name="TextBox 1" descr="Inventory List" title="Title 1">
          <a:extLst>
            <a:ext uri="{FF2B5EF4-FFF2-40B4-BE49-F238E27FC236}">
              <a16:creationId xmlns:a16="http://schemas.microsoft.com/office/drawing/2014/main" id="{00000000-0008-0000-0000-000008000000}"/>
            </a:ext>
          </a:extLst>
        </xdr:cNvPr>
        <xdr:cNvSpPr txBox="1"/>
      </xdr:nvSpPr>
      <xdr:spPr>
        <a:xfrm>
          <a:off x="152399" y="514350"/>
          <a:ext cx="2657475" cy="962025"/>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800">
              <a:solidFill>
                <a:schemeClr val="accent3">
                  <a:lumMod val="20000"/>
                  <a:lumOff val="80000"/>
                </a:schemeClr>
              </a:solidFill>
              <a:latin typeface="+mj-lt"/>
            </a:rPr>
            <a:t>Inventory List</a:t>
          </a:r>
        </a:p>
        <a:p>
          <a:pPr marL="0" algn="l"/>
          <a:r>
            <a:rPr lang="en-US" sz="1800">
              <a:solidFill>
                <a:schemeClr val="tx2">
                  <a:lumMod val="40000"/>
                  <a:lumOff val="60000"/>
                </a:schemeClr>
              </a:solidFill>
              <a:latin typeface="+mj-lt"/>
            </a:rPr>
            <a:t>Company Name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niel/New%20folder/141-Ready-Made-Excel-Templates/Business/Blue%20mileage%20and%20expense%20repo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Mileage Log and Expense Report"/>
      <sheetName val="Blue mileage and expense report"/>
    </sheetNames>
    <sheetDataSet>
      <sheetData sheetId="0"/>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3:L28" totalsRowShown="0" headerRowDxfId="12" dataDxfId="11">
  <autoFilter ref="B3:L28" xr:uid="{00000000-0009-0000-0100-000001000000}"/>
  <tableColumns count="11">
    <tableColumn id="1" xr3:uid="{00000000-0010-0000-0000-000001000000}" name="For Reorder" dataDxfId="10"/>
    <tableColumn id="2" xr3:uid="{00000000-0010-0000-0000-000002000000}" name="Inventory ID" dataDxfId="9"/>
    <tableColumn id="3" xr3:uid="{00000000-0010-0000-0000-000003000000}" name="Name" dataDxfId="8"/>
    <tableColumn id="4" xr3:uid="{00000000-0010-0000-0000-000004000000}" name="Description" dataDxfId="2"/>
    <tableColumn id="5" xr3:uid="{00000000-0010-0000-0000-000005000000}" name="Unit Price" dataDxfId="0"/>
    <tableColumn id="6" xr3:uid="{00000000-0010-0000-0000-000006000000}" name="Quantity in Stock" dataDxfId="1"/>
    <tableColumn id="7" xr3:uid="{00000000-0010-0000-0000-000007000000}" name="Inventory Value" dataDxfId="3">
      <calculatedColumnFormula>Inventory_List_Table[[#This Row],[Unit Price]]*Inventory_List_Table[[#This Row],[Quantity in Stock]]</calculatedColumnFormula>
    </tableColumn>
    <tableColumn id="8" xr3:uid="{00000000-0010-0000-0000-000008000000}" name="Reorder Level" dataDxfId="4"/>
    <tableColumn id="9" xr3:uid="{00000000-0010-0000-0000-000009000000}" name="Reorder Time in Days" dataDxfId="7"/>
    <tableColumn id="10" xr3:uid="{00000000-0010-0000-0000-00000A000000}" name="Quantity in Reorder" dataDxfId="6"/>
    <tableColumn id="11" xr3:uid="{00000000-0010-0000-0000-00000B000000}" name="Discontinued?" dataDxfId="5"/>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M28"/>
  <sheetViews>
    <sheetView showGridLines="0" tabSelected="1" topLeftCell="A15" zoomScaleNormal="100" workbookViewId="0">
      <selection activeCell="I9" sqref="I9"/>
    </sheetView>
  </sheetViews>
  <sheetFormatPr baseColWidth="10" defaultColWidth="8.83203125" defaultRowHeight="24" customHeight="1" x14ac:dyDescent="0.15"/>
  <cols>
    <col min="1" max="1" width="1.83203125" style="4" customWidth="1"/>
    <col min="2" max="2" width="6.83203125" style="3" customWidth="1"/>
    <col min="3" max="3" width="12.83203125" style="6" customWidth="1"/>
    <col min="4" max="5" width="16.83203125" style="6" customWidth="1"/>
    <col min="6" max="7" width="10.83203125" style="8" customWidth="1"/>
    <col min="8" max="8" width="13.5" style="8" bestFit="1" customWidth="1"/>
    <col min="9" max="11" width="10.83203125" style="8" customWidth="1"/>
    <col min="12" max="12" width="12.83203125" style="6" customWidth="1"/>
    <col min="13" max="13" width="1.83203125" style="4" customWidth="1"/>
    <col min="14" max="16384" width="8.83203125" style="4"/>
  </cols>
  <sheetData>
    <row r="1" spans="2:13" s="1" customFormat="1" ht="116.25" customHeight="1" x14ac:dyDescent="0.15">
      <c r="B1" s="2"/>
      <c r="C1" s="5"/>
      <c r="D1" s="5"/>
      <c r="E1" s="5"/>
      <c r="G1" s="7"/>
      <c r="I1" s="7"/>
      <c r="J1" s="7"/>
      <c r="M1" s="1" t="s">
        <v>88</v>
      </c>
    </row>
    <row r="2" spans="2:13" ht="23.25" customHeight="1" x14ac:dyDescent="0.15">
      <c r="C2" s="11"/>
      <c r="D2" s="11"/>
      <c r="E2" s="11"/>
      <c r="F2" s="4"/>
      <c r="G2" s="12"/>
      <c r="H2" s="4"/>
      <c r="I2" s="12"/>
      <c r="J2" s="12"/>
      <c r="K2" s="13" t="s">
        <v>0</v>
      </c>
      <c r="L2" s="14" t="s">
        <v>1</v>
      </c>
    </row>
    <row r="3" spans="2:13" s="3" customFormat="1" ht="50" customHeight="1" x14ac:dyDescent="0.15">
      <c r="B3" s="9" t="s">
        <v>87</v>
      </c>
      <c r="C3" s="9" t="s">
        <v>2</v>
      </c>
      <c r="D3" s="9" t="s">
        <v>3</v>
      </c>
      <c r="E3" s="9" t="s">
        <v>4</v>
      </c>
      <c r="F3" s="10" t="s">
        <v>5</v>
      </c>
      <c r="G3" s="9" t="s">
        <v>6</v>
      </c>
      <c r="H3" s="10" t="s">
        <v>7</v>
      </c>
      <c r="I3" s="9" t="s">
        <v>8</v>
      </c>
      <c r="J3" s="9" t="s">
        <v>9</v>
      </c>
      <c r="K3" s="9" t="s">
        <v>10</v>
      </c>
      <c r="L3" s="9" t="s">
        <v>11</v>
      </c>
    </row>
    <row r="4" spans="2:13" ht="24" customHeight="1" x14ac:dyDescent="0.15">
      <c r="B4" s="3">
        <f>IFERROR((Inventory_List_Table[[#This Row],[Quantity in Stock]]&lt;=Inventory_List_Table[[#This Row],[Reorder Level]])*(Inventory_List_Table[[#This Row],[Discontinued?]]="")*valHighlight,0)</f>
        <v>1</v>
      </c>
      <c r="C4" s="6" t="s">
        <v>12</v>
      </c>
      <c r="D4" s="6" t="s">
        <v>13</v>
      </c>
      <c r="E4" s="6" t="s">
        <v>14</v>
      </c>
      <c r="F4" s="15">
        <v>51</v>
      </c>
      <c r="G4" s="8">
        <v>25</v>
      </c>
      <c r="H4" s="15">
        <f>Inventory_List_Table[[#This Row],[Unit Price]]*Inventory_List_Table[[#This Row],[Quantity in Stock]]</f>
        <v>1275</v>
      </c>
      <c r="I4" s="8">
        <v>29</v>
      </c>
      <c r="J4" s="8">
        <v>13</v>
      </c>
      <c r="K4" s="8">
        <v>50</v>
      </c>
    </row>
    <row r="5" spans="2:13" ht="24" customHeight="1" x14ac:dyDescent="0.15">
      <c r="B5" s="3">
        <f>IFERROR((Inventory_List_Table[[#This Row],[Quantity in Stock]]&lt;=Inventory_List_Table[[#This Row],[Reorder Level]])*(Inventory_List_Table[[#This Row],[Discontinued?]]="")*valHighlight,0)</f>
        <v>1</v>
      </c>
      <c r="C5" s="6" t="s">
        <v>15</v>
      </c>
      <c r="D5" s="6" t="s">
        <v>16</v>
      </c>
      <c r="E5" s="6" t="s">
        <v>17</v>
      </c>
      <c r="F5" s="15">
        <v>93</v>
      </c>
      <c r="G5" s="8">
        <v>132</v>
      </c>
      <c r="H5" s="15">
        <f>Inventory_List_Table[[#This Row],[Unit Price]]*Inventory_List_Table[[#This Row],[Quantity in Stock]]</f>
        <v>12276</v>
      </c>
      <c r="I5" s="8">
        <v>231</v>
      </c>
      <c r="J5" s="8">
        <v>4</v>
      </c>
      <c r="K5" s="8">
        <v>50</v>
      </c>
    </row>
    <row r="6" spans="2:13" ht="24" customHeight="1" x14ac:dyDescent="0.15">
      <c r="B6" s="3">
        <f>IFERROR((Inventory_List_Table[[#This Row],[Quantity in Stock]]&lt;=Inventory_List_Table[[#This Row],[Reorder Level]])*(Inventory_List_Table[[#This Row],[Discontinued?]]="")*valHighlight,0)</f>
        <v>0</v>
      </c>
      <c r="C6" s="6" t="s">
        <v>18</v>
      </c>
      <c r="D6" s="6" t="s">
        <v>19</v>
      </c>
      <c r="E6" s="6" t="s">
        <v>20</v>
      </c>
      <c r="F6" s="15">
        <v>57</v>
      </c>
      <c r="G6" s="8">
        <v>151</v>
      </c>
      <c r="H6" s="15">
        <f>Inventory_List_Table[[#This Row],[Unit Price]]*Inventory_List_Table[[#This Row],[Quantity in Stock]]</f>
        <v>8607</v>
      </c>
      <c r="I6" s="8">
        <v>114</v>
      </c>
      <c r="J6" s="8">
        <v>11</v>
      </c>
      <c r="K6" s="8">
        <v>150</v>
      </c>
    </row>
    <row r="7" spans="2:13" ht="24" customHeight="1" x14ac:dyDescent="0.15">
      <c r="B7" s="3">
        <f>IFERROR((Inventory_List_Table[[#This Row],[Quantity in Stock]]&lt;=Inventory_List_Table[[#This Row],[Reorder Level]])*(Inventory_List_Table[[#This Row],[Discontinued?]]="")*valHighlight,0)</f>
        <v>0</v>
      </c>
      <c r="C7" s="6" t="s">
        <v>21</v>
      </c>
      <c r="D7" s="6" t="s">
        <v>22</v>
      </c>
      <c r="E7" s="6" t="s">
        <v>23</v>
      </c>
      <c r="F7" s="15">
        <v>19</v>
      </c>
      <c r="G7" s="8">
        <v>186</v>
      </c>
      <c r="H7" s="15">
        <f>Inventory_List_Table[[#This Row],[Unit Price]]*Inventory_List_Table[[#This Row],[Quantity in Stock]]</f>
        <v>3534</v>
      </c>
      <c r="I7" s="8">
        <v>158</v>
      </c>
      <c r="J7" s="8">
        <v>6</v>
      </c>
      <c r="K7" s="8">
        <v>50</v>
      </c>
    </row>
    <row r="8" spans="2:13" ht="24" customHeight="1" x14ac:dyDescent="0.15">
      <c r="B8" s="3">
        <f>IFERROR((Inventory_List_Table[[#This Row],[Quantity in Stock]]&lt;=Inventory_List_Table[[#This Row],[Reorder Level]])*(Inventory_List_Table[[#This Row],[Discontinued?]]="")*valHighlight,0)</f>
        <v>0</v>
      </c>
      <c r="C8" s="6" t="s">
        <v>24</v>
      </c>
      <c r="D8" s="6" t="s">
        <v>25</v>
      </c>
      <c r="E8" s="6" t="s">
        <v>26</v>
      </c>
      <c r="F8" s="15">
        <v>75</v>
      </c>
      <c r="G8" s="8">
        <v>62</v>
      </c>
      <c r="H8" s="15">
        <f>Inventory_List_Table[[#This Row],[Unit Price]]*Inventory_List_Table[[#This Row],[Quantity in Stock]]</f>
        <v>4650</v>
      </c>
      <c r="I8" s="8">
        <v>39</v>
      </c>
      <c r="J8" s="8">
        <v>12</v>
      </c>
      <c r="K8" s="8">
        <v>50</v>
      </c>
    </row>
    <row r="9" spans="2:13" ht="24" customHeight="1" x14ac:dyDescent="0.15">
      <c r="B9" s="3">
        <f>IFERROR((Inventory_List_Table[[#This Row],[Quantity in Stock]]&lt;=Inventory_List_Table[[#This Row],[Reorder Level]])*(Inventory_List_Table[[#This Row],[Discontinued?]]="")*valHighlight,0)</f>
        <v>1</v>
      </c>
      <c r="C9" s="6" t="s">
        <v>27</v>
      </c>
      <c r="D9" s="6" t="s">
        <v>28</v>
      </c>
      <c r="E9" s="6" t="s">
        <v>29</v>
      </c>
      <c r="F9" s="15">
        <v>11</v>
      </c>
      <c r="G9" s="8">
        <v>5</v>
      </c>
      <c r="H9" s="15">
        <f>Inventory_List_Table[[#This Row],[Unit Price]]*Inventory_List_Table[[#This Row],[Quantity in Stock]]</f>
        <v>55</v>
      </c>
      <c r="I9" s="8">
        <v>9</v>
      </c>
      <c r="J9" s="8">
        <v>13</v>
      </c>
      <c r="K9" s="8">
        <v>150</v>
      </c>
    </row>
    <row r="10" spans="2:13" ht="24" customHeight="1" x14ac:dyDescent="0.15">
      <c r="B10" s="3">
        <f>IFERROR((Inventory_List_Table[[#This Row],[Quantity in Stock]]&lt;=Inventory_List_Table[[#This Row],[Reorder Level]])*(Inventory_List_Table[[#This Row],[Discontinued?]]="")*valHighlight,0)</f>
        <v>0</v>
      </c>
      <c r="C10" s="6" t="s">
        <v>30</v>
      </c>
      <c r="D10" s="6" t="s">
        <v>31</v>
      </c>
      <c r="E10" s="6" t="s">
        <v>32</v>
      </c>
      <c r="F10" s="15">
        <v>56</v>
      </c>
      <c r="G10" s="8">
        <v>58</v>
      </c>
      <c r="H10" s="15">
        <f>Inventory_List_Table[[#This Row],[Unit Price]]*Inventory_List_Table[[#This Row],[Quantity in Stock]]</f>
        <v>3248</v>
      </c>
      <c r="I10" s="8">
        <v>109</v>
      </c>
      <c r="J10" s="8">
        <v>7</v>
      </c>
      <c r="K10" s="8">
        <v>100</v>
      </c>
      <c r="L10" s="6" t="s">
        <v>1</v>
      </c>
    </row>
    <row r="11" spans="2:13" ht="24" customHeight="1" x14ac:dyDescent="0.15">
      <c r="B11" s="3">
        <f>IFERROR((Inventory_List_Table[[#This Row],[Quantity in Stock]]&lt;=Inventory_List_Table[[#This Row],[Reorder Level]])*(Inventory_List_Table[[#This Row],[Discontinued?]]="")*valHighlight,0)</f>
        <v>1</v>
      </c>
      <c r="C11" s="6" t="s">
        <v>33</v>
      </c>
      <c r="D11" s="6" t="s">
        <v>34</v>
      </c>
      <c r="E11" s="6" t="s">
        <v>35</v>
      </c>
      <c r="F11" s="15">
        <v>38</v>
      </c>
      <c r="G11" s="8">
        <v>101</v>
      </c>
      <c r="H11" s="15">
        <f>Inventory_List_Table[[#This Row],[Unit Price]]*Inventory_List_Table[[#This Row],[Quantity in Stock]]</f>
        <v>3838</v>
      </c>
      <c r="I11" s="8">
        <v>162</v>
      </c>
      <c r="J11" s="8">
        <v>3</v>
      </c>
      <c r="K11" s="8">
        <v>100</v>
      </c>
    </row>
    <row r="12" spans="2:13" ht="24" customHeight="1" x14ac:dyDescent="0.15">
      <c r="B12" s="3">
        <f>IFERROR((Inventory_List_Table[[#This Row],[Quantity in Stock]]&lt;=Inventory_List_Table[[#This Row],[Reorder Level]])*(Inventory_List_Table[[#This Row],[Discontinued?]]="")*valHighlight,0)</f>
        <v>0</v>
      </c>
      <c r="C12" s="6" t="s">
        <v>36</v>
      </c>
      <c r="D12" s="6" t="s">
        <v>37</v>
      </c>
      <c r="E12" s="6" t="s">
        <v>38</v>
      </c>
      <c r="F12" s="15">
        <v>59</v>
      </c>
      <c r="G12" s="8">
        <v>122</v>
      </c>
      <c r="H12" s="15">
        <f>Inventory_List_Table[[#This Row],[Unit Price]]*Inventory_List_Table[[#This Row],[Quantity in Stock]]</f>
        <v>7198</v>
      </c>
      <c r="I12" s="8">
        <v>82</v>
      </c>
      <c r="J12" s="8">
        <v>3</v>
      </c>
      <c r="K12" s="8">
        <v>150</v>
      </c>
    </row>
    <row r="13" spans="2:13" ht="24" customHeight="1" x14ac:dyDescent="0.15">
      <c r="B13" s="3">
        <f>IFERROR((Inventory_List_Table[[#This Row],[Quantity in Stock]]&lt;=Inventory_List_Table[[#This Row],[Reorder Level]])*(Inventory_List_Table[[#This Row],[Discontinued?]]="")*valHighlight,0)</f>
        <v>1</v>
      </c>
      <c r="C13" s="6" t="s">
        <v>39</v>
      </c>
      <c r="D13" s="6" t="s">
        <v>40</v>
      </c>
      <c r="E13" s="6" t="s">
        <v>41</v>
      </c>
      <c r="F13" s="15">
        <v>50</v>
      </c>
      <c r="G13" s="8">
        <v>175</v>
      </c>
      <c r="H13" s="15">
        <f>Inventory_List_Table[[#This Row],[Unit Price]]*Inventory_List_Table[[#This Row],[Quantity in Stock]]</f>
        <v>8750</v>
      </c>
      <c r="I13" s="8">
        <v>283</v>
      </c>
      <c r="J13" s="8">
        <v>8</v>
      </c>
      <c r="K13" s="8">
        <v>150</v>
      </c>
    </row>
    <row r="14" spans="2:13" ht="24" customHeight="1" x14ac:dyDescent="0.15">
      <c r="B14" s="3">
        <f>IFERROR((Inventory_List_Table[[#This Row],[Quantity in Stock]]&lt;=Inventory_List_Table[[#This Row],[Reorder Level]])*(Inventory_List_Table[[#This Row],[Discontinued?]]="")*valHighlight,0)</f>
        <v>1</v>
      </c>
      <c r="C14" s="6" t="s">
        <v>42</v>
      </c>
      <c r="D14" s="6" t="s">
        <v>43</v>
      </c>
      <c r="E14" s="6" t="s">
        <v>44</v>
      </c>
      <c r="F14" s="15">
        <v>59</v>
      </c>
      <c r="G14" s="8">
        <v>176</v>
      </c>
      <c r="H14" s="15">
        <f>Inventory_List_Table[[#This Row],[Unit Price]]*Inventory_List_Table[[#This Row],[Quantity in Stock]]</f>
        <v>10384</v>
      </c>
      <c r="I14" s="8">
        <v>229</v>
      </c>
      <c r="J14" s="8">
        <v>1</v>
      </c>
      <c r="K14" s="8">
        <v>100</v>
      </c>
    </row>
    <row r="15" spans="2:13" ht="24" customHeight="1" x14ac:dyDescent="0.15">
      <c r="B15" s="3">
        <f>IFERROR((Inventory_List_Table[[#This Row],[Quantity in Stock]]&lt;=Inventory_List_Table[[#This Row],[Reorder Level]])*(Inventory_List_Table[[#This Row],[Discontinued?]]="")*valHighlight,0)</f>
        <v>1</v>
      </c>
      <c r="C15" s="6" t="s">
        <v>45</v>
      </c>
      <c r="D15" s="6" t="s">
        <v>46</v>
      </c>
      <c r="E15" s="6" t="s">
        <v>47</v>
      </c>
      <c r="F15" s="15">
        <v>18</v>
      </c>
      <c r="G15" s="8">
        <v>22</v>
      </c>
      <c r="H15" s="15">
        <f>Inventory_List_Table[[#This Row],[Unit Price]]*Inventory_List_Table[[#This Row],[Quantity in Stock]]</f>
        <v>396</v>
      </c>
      <c r="I15" s="8">
        <v>36</v>
      </c>
      <c r="J15" s="8">
        <v>12</v>
      </c>
      <c r="K15" s="8">
        <v>50</v>
      </c>
    </row>
    <row r="16" spans="2:13" ht="24" customHeight="1" x14ac:dyDescent="0.15">
      <c r="B16" s="3">
        <f>IFERROR((Inventory_List_Table[[#This Row],[Quantity in Stock]]&lt;=Inventory_List_Table[[#This Row],[Reorder Level]])*(Inventory_List_Table[[#This Row],[Discontinued?]]="")*valHighlight,0)</f>
        <v>1</v>
      </c>
      <c r="C16" s="6" t="s">
        <v>48</v>
      </c>
      <c r="D16" s="6" t="s">
        <v>49</v>
      </c>
      <c r="E16" s="6" t="s">
        <v>50</v>
      </c>
      <c r="F16" s="15">
        <v>26</v>
      </c>
      <c r="G16" s="8">
        <v>72</v>
      </c>
      <c r="H16" s="15">
        <f>Inventory_List_Table[[#This Row],[Unit Price]]*Inventory_List_Table[[#This Row],[Quantity in Stock]]</f>
        <v>1872</v>
      </c>
      <c r="I16" s="8">
        <v>102</v>
      </c>
      <c r="J16" s="8">
        <v>9</v>
      </c>
      <c r="K16" s="8">
        <v>100</v>
      </c>
    </row>
    <row r="17" spans="2:12" ht="24" customHeight="1" x14ac:dyDescent="0.15">
      <c r="B17" s="3">
        <f>IFERROR((Inventory_List_Table[[#This Row],[Quantity in Stock]]&lt;=Inventory_List_Table[[#This Row],[Reorder Level]])*(Inventory_List_Table[[#This Row],[Discontinued?]]="")*valHighlight,0)</f>
        <v>1</v>
      </c>
      <c r="C17" s="6" t="s">
        <v>51</v>
      </c>
      <c r="D17" s="6" t="s">
        <v>52</v>
      </c>
      <c r="E17" s="6" t="s">
        <v>53</v>
      </c>
      <c r="F17" s="15">
        <v>42</v>
      </c>
      <c r="G17" s="8">
        <v>62</v>
      </c>
      <c r="H17" s="15">
        <f>Inventory_List_Table[[#This Row],[Unit Price]]*Inventory_List_Table[[#This Row],[Quantity in Stock]]</f>
        <v>2604</v>
      </c>
      <c r="I17" s="8">
        <v>83</v>
      </c>
      <c r="J17" s="8">
        <v>2</v>
      </c>
      <c r="K17" s="8">
        <v>100</v>
      </c>
    </row>
    <row r="18" spans="2:12" ht="24" customHeight="1" x14ac:dyDescent="0.15">
      <c r="B18" s="3">
        <f>IFERROR((Inventory_List_Table[[#This Row],[Quantity in Stock]]&lt;=Inventory_List_Table[[#This Row],[Reorder Level]])*(Inventory_List_Table[[#This Row],[Discontinued?]]="")*valHighlight,0)</f>
        <v>0</v>
      </c>
      <c r="C18" s="6" t="s">
        <v>54</v>
      </c>
      <c r="D18" s="6" t="s">
        <v>55</v>
      </c>
      <c r="E18" s="6" t="s">
        <v>56</v>
      </c>
      <c r="F18" s="15">
        <v>32</v>
      </c>
      <c r="G18" s="8">
        <v>46</v>
      </c>
      <c r="H18" s="15">
        <f>Inventory_List_Table[[#This Row],[Unit Price]]*Inventory_List_Table[[#This Row],[Quantity in Stock]]</f>
        <v>1472</v>
      </c>
      <c r="I18" s="8">
        <v>23</v>
      </c>
      <c r="J18" s="8">
        <v>15</v>
      </c>
      <c r="K18" s="8">
        <v>50</v>
      </c>
    </row>
    <row r="19" spans="2:12" ht="24" customHeight="1" x14ac:dyDescent="0.15">
      <c r="B19" s="3">
        <f>IFERROR((Inventory_List_Table[[#This Row],[Quantity in Stock]]&lt;=Inventory_List_Table[[#This Row],[Reorder Level]])*(Inventory_List_Table[[#This Row],[Discontinued?]]="")*valHighlight,0)</f>
        <v>1</v>
      </c>
      <c r="C19" s="6" t="s">
        <v>57</v>
      </c>
      <c r="D19" s="6" t="s">
        <v>58</v>
      </c>
      <c r="E19" s="6" t="s">
        <v>59</v>
      </c>
      <c r="F19" s="15">
        <v>90</v>
      </c>
      <c r="G19" s="8">
        <v>96</v>
      </c>
      <c r="H19" s="15">
        <f>Inventory_List_Table[[#This Row],[Unit Price]]*Inventory_List_Table[[#This Row],[Quantity in Stock]]</f>
        <v>8640</v>
      </c>
      <c r="I19" s="8">
        <v>180</v>
      </c>
      <c r="J19" s="8">
        <v>3</v>
      </c>
      <c r="K19" s="8">
        <v>50</v>
      </c>
    </row>
    <row r="20" spans="2:12" ht="24" customHeight="1" x14ac:dyDescent="0.15">
      <c r="B20" s="3">
        <f>IFERROR((Inventory_List_Table[[#This Row],[Quantity in Stock]]&lt;=Inventory_List_Table[[#This Row],[Reorder Level]])*(Inventory_List_Table[[#This Row],[Discontinued?]]="")*valHighlight,0)</f>
        <v>0</v>
      </c>
      <c r="C20" s="6" t="s">
        <v>60</v>
      </c>
      <c r="D20" s="6" t="s">
        <v>61</v>
      </c>
      <c r="E20" s="6" t="s">
        <v>62</v>
      </c>
      <c r="F20" s="15">
        <v>97</v>
      </c>
      <c r="G20" s="8">
        <v>57</v>
      </c>
      <c r="H20" s="15">
        <f>Inventory_List_Table[[#This Row],[Unit Price]]*Inventory_List_Table[[#This Row],[Quantity in Stock]]</f>
        <v>5529</v>
      </c>
      <c r="I20" s="8">
        <v>98</v>
      </c>
      <c r="J20" s="8">
        <v>12</v>
      </c>
      <c r="K20" s="8">
        <v>50</v>
      </c>
      <c r="L20" s="6" t="s">
        <v>1</v>
      </c>
    </row>
    <row r="21" spans="2:12" ht="24" customHeight="1" x14ac:dyDescent="0.15">
      <c r="B21" s="3">
        <f>IFERROR((Inventory_List_Table[[#This Row],[Quantity in Stock]]&lt;=Inventory_List_Table[[#This Row],[Reorder Level]])*(Inventory_List_Table[[#This Row],[Discontinued?]]="")*valHighlight,0)</f>
        <v>1</v>
      </c>
      <c r="C21" s="6" t="s">
        <v>63</v>
      </c>
      <c r="D21" s="6" t="s">
        <v>64</v>
      </c>
      <c r="E21" s="6" t="s">
        <v>65</v>
      </c>
      <c r="F21" s="15">
        <v>12</v>
      </c>
      <c r="G21" s="8">
        <v>6</v>
      </c>
      <c r="H21" s="15">
        <f>Inventory_List_Table[[#This Row],[Unit Price]]*Inventory_List_Table[[#This Row],[Quantity in Stock]]</f>
        <v>72</v>
      </c>
      <c r="I21" s="8">
        <v>7</v>
      </c>
      <c r="J21" s="8">
        <v>13</v>
      </c>
      <c r="K21" s="8">
        <v>50</v>
      </c>
    </row>
    <row r="22" spans="2:12" ht="24" customHeight="1" x14ac:dyDescent="0.15">
      <c r="B22" s="3">
        <f>IFERROR((Inventory_List_Table[[#This Row],[Quantity in Stock]]&lt;=Inventory_List_Table[[#This Row],[Reorder Level]])*(Inventory_List_Table[[#This Row],[Discontinued?]]="")*valHighlight,0)</f>
        <v>1</v>
      </c>
      <c r="C22" s="6" t="s">
        <v>66</v>
      </c>
      <c r="D22" s="6" t="s">
        <v>67</v>
      </c>
      <c r="E22" s="6" t="s">
        <v>68</v>
      </c>
      <c r="F22" s="15">
        <v>82</v>
      </c>
      <c r="G22" s="8">
        <v>143</v>
      </c>
      <c r="H22" s="15">
        <f>Inventory_List_Table[[#This Row],[Unit Price]]*Inventory_List_Table[[#This Row],[Quantity in Stock]]</f>
        <v>11726</v>
      </c>
      <c r="I22" s="8">
        <v>164</v>
      </c>
      <c r="J22" s="8">
        <v>12</v>
      </c>
      <c r="K22" s="8">
        <v>150</v>
      </c>
    </row>
    <row r="23" spans="2:12" ht="24" customHeight="1" x14ac:dyDescent="0.15">
      <c r="B23" s="3">
        <f>IFERROR((Inventory_List_Table[[#This Row],[Quantity in Stock]]&lt;=Inventory_List_Table[[#This Row],[Reorder Level]])*(Inventory_List_Table[[#This Row],[Discontinued?]]="")*valHighlight,0)</f>
        <v>0</v>
      </c>
      <c r="C23" s="6" t="s">
        <v>69</v>
      </c>
      <c r="D23" s="6" t="s">
        <v>70</v>
      </c>
      <c r="E23" s="6" t="s">
        <v>71</v>
      </c>
      <c r="F23" s="15">
        <v>16</v>
      </c>
      <c r="G23" s="8">
        <v>124</v>
      </c>
      <c r="H23" s="15">
        <f>Inventory_List_Table[[#This Row],[Unit Price]]*Inventory_List_Table[[#This Row],[Quantity in Stock]]</f>
        <v>1984</v>
      </c>
      <c r="I23" s="8">
        <v>113</v>
      </c>
      <c r="J23" s="8">
        <v>14</v>
      </c>
      <c r="K23" s="8">
        <v>50</v>
      </c>
    </row>
    <row r="24" spans="2:12" ht="24" customHeight="1" x14ac:dyDescent="0.15">
      <c r="B24" s="3">
        <f>IFERROR((Inventory_List_Table[[#This Row],[Quantity in Stock]]&lt;=Inventory_List_Table[[#This Row],[Reorder Level]])*(Inventory_List_Table[[#This Row],[Discontinued?]]="")*valHighlight,0)</f>
        <v>0</v>
      </c>
      <c r="C24" s="6" t="s">
        <v>72</v>
      </c>
      <c r="D24" s="6" t="s">
        <v>73</v>
      </c>
      <c r="E24" s="6" t="s">
        <v>74</v>
      </c>
      <c r="F24" s="15">
        <v>19</v>
      </c>
      <c r="G24" s="8">
        <v>112</v>
      </c>
      <c r="H24" s="15">
        <f>Inventory_List_Table[[#This Row],[Unit Price]]*Inventory_List_Table[[#This Row],[Quantity in Stock]]</f>
        <v>2128</v>
      </c>
      <c r="I24" s="8">
        <v>75</v>
      </c>
      <c r="J24" s="8">
        <v>11</v>
      </c>
      <c r="K24" s="8">
        <v>50</v>
      </c>
    </row>
    <row r="25" spans="2:12" ht="24" customHeight="1" x14ac:dyDescent="0.15">
      <c r="B25" s="3">
        <f>IFERROR((Inventory_List_Table[[#This Row],[Quantity in Stock]]&lt;=Inventory_List_Table[[#This Row],[Reorder Level]])*(Inventory_List_Table[[#This Row],[Discontinued?]]="")*valHighlight,0)</f>
        <v>0</v>
      </c>
      <c r="C25" s="6" t="s">
        <v>75</v>
      </c>
      <c r="D25" s="6" t="s">
        <v>76</v>
      </c>
      <c r="E25" s="6" t="s">
        <v>77</v>
      </c>
      <c r="F25" s="15">
        <v>24</v>
      </c>
      <c r="G25" s="8">
        <v>182</v>
      </c>
      <c r="H25" s="15">
        <f>Inventory_List_Table[[#This Row],[Unit Price]]*Inventory_List_Table[[#This Row],[Quantity in Stock]]</f>
        <v>4368</v>
      </c>
      <c r="I25" s="8">
        <v>132</v>
      </c>
      <c r="J25" s="8">
        <v>15</v>
      </c>
      <c r="K25" s="8">
        <v>150</v>
      </c>
    </row>
    <row r="26" spans="2:12" ht="24" customHeight="1" x14ac:dyDescent="0.15">
      <c r="B26" s="3">
        <f>IFERROR((Inventory_List_Table[[#This Row],[Quantity in Stock]]&lt;=Inventory_List_Table[[#This Row],[Reorder Level]])*(Inventory_List_Table[[#This Row],[Discontinued?]]="")*valHighlight,0)</f>
        <v>0</v>
      </c>
      <c r="C26" s="6" t="s">
        <v>78</v>
      </c>
      <c r="D26" s="6" t="s">
        <v>79</v>
      </c>
      <c r="E26" s="6" t="s">
        <v>80</v>
      </c>
      <c r="F26" s="15">
        <v>29</v>
      </c>
      <c r="G26" s="8">
        <v>106</v>
      </c>
      <c r="H26" s="15">
        <f>Inventory_List_Table[[#This Row],[Unit Price]]*Inventory_List_Table[[#This Row],[Quantity in Stock]]</f>
        <v>3074</v>
      </c>
      <c r="I26" s="8">
        <v>142</v>
      </c>
      <c r="J26" s="8">
        <v>1</v>
      </c>
      <c r="K26" s="8">
        <v>150</v>
      </c>
      <c r="L26" s="6" t="s">
        <v>1</v>
      </c>
    </row>
    <row r="27" spans="2:12" ht="24" customHeight="1" x14ac:dyDescent="0.15">
      <c r="B27" s="3">
        <f>IFERROR((Inventory_List_Table[[#This Row],[Quantity in Stock]]&lt;=Inventory_List_Table[[#This Row],[Reorder Level]])*(Inventory_List_Table[[#This Row],[Discontinued?]]="")*valHighlight,0)</f>
        <v>0</v>
      </c>
      <c r="C27" s="6" t="s">
        <v>81</v>
      </c>
      <c r="D27" s="6" t="s">
        <v>82</v>
      </c>
      <c r="E27" s="6" t="s">
        <v>83</v>
      </c>
      <c r="F27" s="15">
        <v>75</v>
      </c>
      <c r="G27" s="8">
        <v>173</v>
      </c>
      <c r="H27" s="15">
        <f>Inventory_List_Table[[#This Row],[Unit Price]]*Inventory_List_Table[[#This Row],[Quantity in Stock]]</f>
        <v>12975</v>
      </c>
      <c r="I27" s="8">
        <v>127</v>
      </c>
      <c r="J27" s="8">
        <v>9</v>
      </c>
      <c r="K27" s="8">
        <v>100</v>
      </c>
    </row>
    <row r="28" spans="2:12" ht="24" customHeight="1" x14ac:dyDescent="0.15">
      <c r="B28" s="3">
        <f>IFERROR((Inventory_List_Table[[#This Row],[Quantity in Stock]]&lt;=Inventory_List_Table[[#This Row],[Reorder Level]])*(Inventory_List_Table[[#This Row],[Discontinued?]]="")*valHighlight,0)</f>
        <v>0</v>
      </c>
      <c r="C28" s="6" t="s">
        <v>84</v>
      </c>
      <c r="D28" s="6" t="s">
        <v>85</v>
      </c>
      <c r="E28" s="6" t="s">
        <v>86</v>
      </c>
      <c r="F28" s="15">
        <v>14</v>
      </c>
      <c r="G28" s="8">
        <v>28</v>
      </c>
      <c r="H28" s="15">
        <f>Inventory_List_Table[[#This Row],[Unit Price]]*Inventory_List_Table[[#This Row],[Quantity in Stock]]</f>
        <v>392</v>
      </c>
      <c r="I28" s="8">
        <v>21</v>
      </c>
      <c r="J28" s="8">
        <v>8</v>
      </c>
      <c r="K28" s="8">
        <v>50</v>
      </c>
    </row>
  </sheetData>
  <conditionalFormatting sqref="B4:L28">
    <cfRule type="expression" dxfId="14" priority="1">
      <formula>$L4="Yes"</formula>
    </cfRule>
    <cfRule type="expression" dxfId="13" priority="2">
      <formula>$B4=1</formula>
    </cfRule>
  </conditionalFormatting>
  <dataValidations xWindow="67" yWindow="628" count="15">
    <dataValidation allowBlank="1" showInputMessage="1" showErrorMessage="1" promptTitle="Inventory List" prompt="_x000a_This worksheet tracks inventory for items listed in the inventory list table and contains the ability to highlight and flag those items that are ready to be reordered. Discontinued items have strikethrough formatting and a Yes in the Discontinued column." sqref="A2" xr:uid="{00000000-0002-0000-0100-000000000000}"/>
    <dataValidation allowBlank="1" showInputMessage="1" showErrorMessage="1" prompt="This is an automated column. _x000a__x000a_A flag icon in this column indicates items in the inventory list that are ready to be reordered. Flag icons only appear when a Yes is selected in L2 and the item meets the reorder criteria." sqref="B3" xr:uid="{00000000-0002-0000-0100-000001000000}"/>
    <dataValidation allowBlank="1" showInputMessage="1" showErrorMessage="1" prompt="Enter the item inventory ID in this column" sqref="C3" xr:uid="{00000000-0002-0000-0100-000002000000}"/>
    <dataValidation allowBlank="1" showInputMessage="1" showErrorMessage="1" prompt="Enter the name of the item in this column" sqref="D3" xr:uid="{00000000-0002-0000-0100-000003000000}"/>
    <dataValidation allowBlank="1" showInputMessage="1" showErrorMessage="1" prompt="Enter yes if the item has been discontinued. When a yes is entered, the corresponding row is highlighted a light grey and the font style changed to strikethrough" sqref="L3" xr:uid="{00000000-0002-0000-0100-000004000000}"/>
    <dataValidation allowBlank="1" showInputMessage="1" showErrorMessage="1" prompt="Enter the quantity in reorder for each item in this column" sqref="K3" xr:uid="{00000000-0002-0000-0100-000005000000}"/>
    <dataValidation allowBlank="1" showInputMessage="1" showErrorMessage="1" prompt="Enter the number of days it takes to reorder each item in this column" sqref="J3" xr:uid="{00000000-0002-0000-0100-000006000000}"/>
    <dataValidation allowBlank="1" showInputMessage="1" showErrorMessage="1" prompt="Enter the reorder level for each item in this column" sqref="I3" xr:uid="{00000000-0002-0000-0100-000007000000}"/>
    <dataValidation allowBlank="1" showInputMessage="1" showErrorMessage="1" prompt="This is an automated column._x000a__x000a_The inventory value for each item is automatically calculated in this column." sqref="H3" xr:uid="{00000000-0002-0000-0100-000008000000}"/>
    <dataValidation allowBlank="1" showInputMessage="1" showErrorMessage="1" prompt="Enter the quantity in stock for each item in this column" sqref="G3" xr:uid="{00000000-0002-0000-0100-000009000000}"/>
    <dataValidation allowBlank="1" showInputMessage="1" showErrorMessage="1" prompt="Enter the unit price of each item in this column" sqref="F3" xr:uid="{00000000-0002-0000-0100-00000A000000}"/>
    <dataValidation allowBlank="1" showInputMessage="1" showErrorMessage="1" prompt="Enter a description of the item in this column" sqref="E3" xr:uid="{00000000-0002-0000-0100-00000B000000}"/>
    <dataValidation type="list" allowBlank="1" showInputMessage="1" showErrorMessage="1" sqref="L4:L28" xr:uid="{00000000-0002-0000-01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2" xr:uid="{00000000-0002-0000-0100-00000D000000}">
      <formula1>"Yes, No"</formula1>
    </dataValidation>
    <dataValidation allowBlank="1" showInputMessage="1" showErrorMessage="1" promptTitle="Inventory List" prompt="This worksheet tracks inventory for items listed in the inventory list table and contains the ability to highlight and flag those items that are ready to be reordered. Discontinued items have strikethrough formatting and a Yes in the Discontinued column." sqref="A1" xr:uid="{00000000-0002-0000-0100-00000E000000}"/>
  </dataValidations>
  <pageMargins left="0.25" right="0.25" top="0.75" bottom="0.75" header="0.3" footer="0.3"/>
  <pageSetup scale="67"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5"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B4:B28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EA25CC0A0AC24199CDC46C25B8B0BC" ma:contentTypeVersion="10" ma:contentTypeDescription="Create a new document." ma:contentTypeScope="" ma:versionID="e3b47856d4cf355c0dacb39e1084d14f">
  <xsd:schema xmlns:xsd="http://www.w3.org/2001/XMLSchema" xmlns:xs="http://www.w3.org/2001/XMLSchema" xmlns:p="http://schemas.microsoft.com/office/2006/metadata/properties" xmlns:ns1="http://schemas.microsoft.com/sharepoint/v3" xmlns:ns2="6dc4bcd6-49db-4c07-9060-8acfc67cef9f" xmlns:ns3="fb0879af-3eba-417a-a55a-ffe6dcd6ca77" targetNamespace="http://schemas.microsoft.com/office/2006/metadata/properties" ma:root="true" ma:fieldsID="a845a615265fdb1f7b12cc65ac20ecbd" ns1:_="" ns2:_="" ns3:_="">
    <xsd:import namespace="http://schemas.microsoft.com/sharepoint/v3"/>
    <xsd:import namespace="6dc4bcd6-49db-4c07-9060-8acfc67cef9f"/>
    <xsd:import namespace="fb0879af-3eba-417a-a55a-ffe6dcd6ca77"/>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3:LastSharedByUser" minOccurs="0"/>
                <xsd:element ref="ns3:LastSharedByTime" minOccurs="0"/>
                <xsd:element ref="ns1:_ip_UnifiedCompliancePolicyProperties" minOccurs="0"/>
                <xsd:element ref="ns1:_ip_UnifiedCompliancePolicyUIActio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4bcd6-49db-4c07-9060-8acfc67cef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7" nillable="true" ma:displayName="MediaServiceAuto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879af-3eba-417a-a55a-ffe6dcd6ca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LastSharedByUser" ma:index="13" nillable="true" ma:displayName="Last Shared By User" ma:hidden="true" ma:internalName="LastSharedByUser" ma:readOnly="true">
      <xsd:simpleType>
        <xsd:restriction base="dms:Note"/>
      </xsd:simpleType>
    </xsd:element>
    <xsd:element name="LastSharedByTime" ma:index="14"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2.xml><?xml version="1.0" encoding="utf-8"?>
<ds:datastoreItem xmlns:ds="http://schemas.openxmlformats.org/officeDocument/2006/customXml" ds:itemID="{81F3298A-223B-42B2-9FEF-AB506EA6B5F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1227E31-123E-44EE-A422-2705DF3A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c4bcd6-49db-4c07-9060-8acfc67cef9f"/>
    <ds:schemaRef ds:uri="fb0879af-3eba-417a-a55a-ffe6dcd6c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 List</vt:lpstr>
      <vt:lpstr>'Inventory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2022-12-05T08:26:40Z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0x010100DEEA25CC0A0AC24199CDC46C25B8B0BC</vt:lpwstr>
  </property>
</Properties>
</file>