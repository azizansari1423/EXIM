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exkey\Desktop\"/>
    </mc:Choice>
  </mc:AlternateContent>
  <xr:revisionPtr revIDLastSave="0" documentId="13_ncr:1_{AC142409-532F-4100-AEE5-4F2714D8C81B}" xr6:coauthVersionLast="45" xr6:coauthVersionMax="45" xr10:uidLastSave="{00000000-0000-0000-0000-000000000000}"/>
  <bookViews>
    <workbookView xWindow="-120" yWindow="-120" windowWidth="20730" windowHeight="11160" tabRatio="931" activeTab="6" xr2:uid="{00000000-000D-0000-FFFF-FFFF00000000}"/>
  </bookViews>
  <sheets>
    <sheet name="PRE-OPERATING, EQUIPMENT" sheetId="38" r:id="rId1"/>
    <sheet name="OPERATING EXPENSE" sheetId="23" r:id="rId2"/>
    <sheet name="LOAN REPAYMENT" sheetId="31" r:id="rId3"/>
    <sheet name="PROPOSED PRICING" sheetId="37" r:id="rId4"/>
    <sheet name="Cost Forecast" sheetId="36" r:id="rId5"/>
    <sheet name="Sales Forecast" sheetId="24" r:id="rId6"/>
    <sheet name="Profit and Loss Statement" sheetId="22" r:id="rId7"/>
    <sheet name="Cash Flow" sheetId="21" r:id="rId8"/>
    <sheet name="Viability Analysis" sheetId="33" r:id="rId9"/>
    <sheet name="PROFILE INFORMATION" sheetId="39" r:id="rId10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2" i="38" l="1"/>
  <c r="N4" i="22" l="1"/>
  <c r="N6" i="23" l="1"/>
  <c r="N7" i="23"/>
  <c r="G23" i="37"/>
  <c r="E22" i="37"/>
  <c r="E21" i="37"/>
  <c r="F31" i="38"/>
  <c r="F28" i="38"/>
  <c r="F29" i="38"/>
  <c r="F27" i="38"/>
  <c r="F26" i="38"/>
  <c r="F25" i="38"/>
  <c r="F24" i="38"/>
  <c r="F23" i="38"/>
  <c r="F22" i="38"/>
  <c r="F32" i="38"/>
  <c r="F21" i="38"/>
  <c r="G3" i="37" l="1"/>
  <c r="E3" i="37"/>
  <c r="C4" i="24" l="1"/>
  <c r="D4" i="24"/>
  <c r="M6" i="38"/>
  <c r="F15" i="38"/>
  <c r="N91" i="24" l="1"/>
  <c r="M91" i="24"/>
  <c r="L91" i="24"/>
  <c r="K91" i="24"/>
  <c r="J91" i="24"/>
  <c r="I91" i="24"/>
  <c r="H91" i="24"/>
  <c r="G91" i="24"/>
  <c r="F91" i="24"/>
  <c r="E91" i="24"/>
  <c r="D91" i="24"/>
  <c r="C91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N79" i="24"/>
  <c r="M79" i="24"/>
  <c r="L79" i="24"/>
  <c r="K79" i="24"/>
  <c r="J79" i="24"/>
  <c r="I79" i="24"/>
  <c r="H79" i="24"/>
  <c r="G79" i="24"/>
  <c r="F79" i="24"/>
  <c r="E79" i="24"/>
  <c r="D79" i="24"/>
  <c r="C79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N70" i="24"/>
  <c r="M70" i="24"/>
  <c r="L70" i="24"/>
  <c r="K70" i="24"/>
  <c r="J70" i="24"/>
  <c r="I70" i="24"/>
  <c r="H70" i="24"/>
  <c r="G70" i="24"/>
  <c r="F70" i="24"/>
  <c r="E70" i="24"/>
  <c r="D70" i="24"/>
  <c r="C70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N7" i="24"/>
  <c r="M7" i="24"/>
  <c r="L7" i="24"/>
  <c r="K7" i="24"/>
  <c r="J7" i="24"/>
  <c r="I7" i="24"/>
  <c r="H7" i="24"/>
  <c r="G7" i="24"/>
  <c r="F7" i="24"/>
  <c r="E7" i="24"/>
  <c r="D7" i="24"/>
  <c r="C7" i="24"/>
  <c r="E4" i="24"/>
  <c r="F4" i="24"/>
  <c r="G4" i="24"/>
  <c r="H4" i="24"/>
  <c r="I4" i="24"/>
  <c r="J4" i="24"/>
  <c r="K4" i="24"/>
  <c r="L4" i="24"/>
  <c r="M4" i="24"/>
  <c r="N4" i="24"/>
  <c r="M4" i="38"/>
  <c r="O4" i="38" s="1"/>
  <c r="M5" i="38"/>
  <c r="O5" i="38" s="1"/>
  <c r="O6" i="38"/>
  <c r="M8" i="38"/>
  <c r="O8" i="38" s="1"/>
  <c r="M9" i="38"/>
  <c r="O9" i="38" s="1"/>
  <c r="M10" i="38"/>
  <c r="O10" i="38" s="1"/>
  <c r="M11" i="38"/>
  <c r="O11" i="38" s="1"/>
  <c r="M12" i="38"/>
  <c r="O12" i="38" s="1"/>
  <c r="M13" i="38"/>
  <c r="O13" i="38" s="1"/>
  <c r="M3" i="38"/>
  <c r="M23" i="38" l="1"/>
  <c r="K33" i="38" s="1"/>
  <c r="O3" i="38"/>
  <c r="O23" i="38" s="1"/>
  <c r="C5" i="24"/>
  <c r="C6" i="24" s="1"/>
  <c r="H28" i="39" l="1"/>
  <c r="B12" i="22"/>
  <c r="C15" i="21" s="1"/>
  <c r="N16" i="22"/>
  <c r="N8" i="22"/>
  <c r="C12" i="22" l="1"/>
  <c r="D15" i="21" l="1"/>
  <c r="D12" i="22"/>
  <c r="N5" i="23"/>
  <c r="N8" i="23"/>
  <c r="N9" i="23"/>
  <c r="N10" i="23"/>
  <c r="N11" i="23"/>
  <c r="N12" i="23"/>
  <c r="N13" i="23"/>
  <c r="N14" i="23"/>
  <c r="N15" i="23"/>
  <c r="E28" i="23"/>
  <c r="E29" i="23"/>
  <c r="E30" i="23"/>
  <c r="E31" i="23"/>
  <c r="E32" i="23"/>
  <c r="E33" i="23"/>
  <c r="E27" i="23"/>
  <c r="D34" i="23"/>
  <c r="B4" i="23" s="1"/>
  <c r="C4" i="23" s="1"/>
  <c r="D4" i="23" s="1"/>
  <c r="E4" i="23" s="1"/>
  <c r="E34" i="23" l="1"/>
  <c r="B16" i="23"/>
  <c r="E12" i="22"/>
  <c r="E15" i="21"/>
  <c r="G4" i="37"/>
  <c r="C8" i="24" s="1"/>
  <c r="D8" i="24" s="1"/>
  <c r="G5" i="37"/>
  <c r="G6" i="37"/>
  <c r="C14" i="24" s="1"/>
  <c r="D14" i="24" s="1"/>
  <c r="G7" i="37"/>
  <c r="C17" i="24" s="1"/>
  <c r="C18" i="24" s="1"/>
  <c r="G8" i="37"/>
  <c r="C20" i="24" s="1"/>
  <c r="D20" i="24" s="1"/>
  <c r="G9" i="37"/>
  <c r="C23" i="24" s="1"/>
  <c r="C24" i="24" s="1"/>
  <c r="G10" i="37"/>
  <c r="C26" i="24" s="1"/>
  <c r="D26" i="24" s="1"/>
  <c r="G11" i="37"/>
  <c r="C29" i="24" s="1"/>
  <c r="C30" i="24" s="1"/>
  <c r="G12" i="37"/>
  <c r="C32" i="24" s="1"/>
  <c r="D32" i="24" s="1"/>
  <c r="G13" i="37"/>
  <c r="C35" i="24" s="1"/>
  <c r="C36" i="24" s="1"/>
  <c r="G14" i="37"/>
  <c r="C38" i="24" s="1"/>
  <c r="D38" i="24" s="1"/>
  <c r="G15" i="37"/>
  <c r="C41" i="24" s="1"/>
  <c r="C42" i="24" s="1"/>
  <c r="G16" i="37"/>
  <c r="C44" i="24" s="1"/>
  <c r="D44" i="24" s="1"/>
  <c r="G17" i="37"/>
  <c r="G18" i="37"/>
  <c r="C50" i="24" s="1"/>
  <c r="D50" i="24" s="1"/>
  <c r="G19" i="37"/>
  <c r="C53" i="24" s="1"/>
  <c r="C54" i="24" s="1"/>
  <c r="G20" i="37"/>
  <c r="C56" i="24" s="1"/>
  <c r="D56" i="24" s="1"/>
  <c r="G21" i="37"/>
  <c r="C59" i="24" s="1"/>
  <c r="C60" i="24" s="1"/>
  <c r="G22" i="37"/>
  <c r="C62" i="24" s="1"/>
  <c r="D62" i="24" s="1"/>
  <c r="C65" i="24"/>
  <c r="C66" i="24" s="1"/>
  <c r="G24" i="37"/>
  <c r="C68" i="24" s="1"/>
  <c r="D68" i="24" s="1"/>
  <c r="G25" i="37"/>
  <c r="G26" i="37"/>
  <c r="C74" i="24" s="1"/>
  <c r="D74" i="24" s="1"/>
  <c r="G27" i="37"/>
  <c r="C77" i="24" s="1"/>
  <c r="C78" i="24" s="1"/>
  <c r="G28" i="37"/>
  <c r="C80" i="24" s="1"/>
  <c r="D80" i="24" s="1"/>
  <c r="G29" i="37"/>
  <c r="C83" i="24" s="1"/>
  <c r="C84" i="24" s="1"/>
  <c r="G30" i="37"/>
  <c r="C86" i="24" s="1"/>
  <c r="D86" i="24" s="1"/>
  <c r="G31" i="37"/>
  <c r="C89" i="24" s="1"/>
  <c r="C90" i="24" s="1"/>
  <c r="G32" i="37"/>
  <c r="C92" i="24" s="1"/>
  <c r="D92" i="24" s="1"/>
  <c r="C71" i="24"/>
  <c r="C72" i="24" s="1"/>
  <c r="C11" i="24"/>
  <c r="C12" i="24" s="1"/>
  <c r="E4" i="37"/>
  <c r="C8" i="36" s="1"/>
  <c r="D8" i="36" s="1"/>
  <c r="E8" i="36" s="1"/>
  <c r="F8" i="36" s="1"/>
  <c r="E5" i="37"/>
  <c r="C11" i="36" s="1"/>
  <c r="D11" i="36" s="1"/>
  <c r="E11" i="36" s="1"/>
  <c r="F11" i="36" s="1"/>
  <c r="E6" i="37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M14" i="36" s="1"/>
  <c r="N14" i="36" s="1"/>
  <c r="E7" i="37"/>
  <c r="C17" i="36" s="1"/>
  <c r="D17" i="36" s="1"/>
  <c r="E17" i="36" s="1"/>
  <c r="F17" i="36" s="1"/>
  <c r="G17" i="36" s="1"/>
  <c r="H17" i="36" s="1"/>
  <c r="I17" i="36" s="1"/>
  <c r="J17" i="36" s="1"/>
  <c r="K17" i="36" s="1"/>
  <c r="L17" i="36" s="1"/>
  <c r="M17" i="36" s="1"/>
  <c r="N17" i="36" s="1"/>
  <c r="E8" i="37"/>
  <c r="C20" i="36" s="1"/>
  <c r="D20" i="36" s="1"/>
  <c r="E20" i="36" s="1"/>
  <c r="F20" i="36" s="1"/>
  <c r="G20" i="36" s="1"/>
  <c r="H20" i="36" s="1"/>
  <c r="I20" i="36" s="1"/>
  <c r="J20" i="36" s="1"/>
  <c r="K20" i="36" s="1"/>
  <c r="L20" i="36" s="1"/>
  <c r="M20" i="36" s="1"/>
  <c r="N20" i="36" s="1"/>
  <c r="E9" i="37"/>
  <c r="C23" i="36" s="1"/>
  <c r="D23" i="36" s="1"/>
  <c r="E23" i="36" s="1"/>
  <c r="F23" i="36" s="1"/>
  <c r="G23" i="36" s="1"/>
  <c r="H23" i="36" s="1"/>
  <c r="I23" i="36" s="1"/>
  <c r="J23" i="36" s="1"/>
  <c r="K23" i="36" s="1"/>
  <c r="L23" i="36" s="1"/>
  <c r="M23" i="36" s="1"/>
  <c r="N23" i="36" s="1"/>
  <c r="E10" i="37"/>
  <c r="C26" i="36" s="1"/>
  <c r="D26" i="36" s="1"/>
  <c r="E26" i="36" s="1"/>
  <c r="F26" i="36" s="1"/>
  <c r="G26" i="36" s="1"/>
  <c r="H26" i="36" s="1"/>
  <c r="I26" i="36" s="1"/>
  <c r="J26" i="36" s="1"/>
  <c r="K26" i="36" s="1"/>
  <c r="L26" i="36" s="1"/>
  <c r="M26" i="36" s="1"/>
  <c r="N26" i="36" s="1"/>
  <c r="E11" i="37"/>
  <c r="C29" i="36" s="1"/>
  <c r="D29" i="36" s="1"/>
  <c r="E29" i="36" s="1"/>
  <c r="F29" i="36" s="1"/>
  <c r="G29" i="36" s="1"/>
  <c r="H29" i="36" s="1"/>
  <c r="I29" i="36" s="1"/>
  <c r="J29" i="36" s="1"/>
  <c r="K29" i="36" s="1"/>
  <c r="L29" i="36" s="1"/>
  <c r="M29" i="36" s="1"/>
  <c r="N29" i="36" s="1"/>
  <c r="E12" i="37"/>
  <c r="C32" i="36" s="1"/>
  <c r="D32" i="36" s="1"/>
  <c r="E32" i="36" s="1"/>
  <c r="F32" i="36" s="1"/>
  <c r="G32" i="36" s="1"/>
  <c r="H32" i="36" s="1"/>
  <c r="I32" i="36" s="1"/>
  <c r="J32" i="36" s="1"/>
  <c r="K32" i="36" s="1"/>
  <c r="L32" i="36" s="1"/>
  <c r="M32" i="36" s="1"/>
  <c r="N32" i="36" s="1"/>
  <c r="E13" i="37"/>
  <c r="C35" i="36" s="1"/>
  <c r="D35" i="36" s="1"/>
  <c r="E35" i="36" s="1"/>
  <c r="F35" i="36" s="1"/>
  <c r="G35" i="36" s="1"/>
  <c r="H35" i="36" s="1"/>
  <c r="I35" i="36" s="1"/>
  <c r="J35" i="36" s="1"/>
  <c r="K35" i="36" s="1"/>
  <c r="L35" i="36" s="1"/>
  <c r="M35" i="36" s="1"/>
  <c r="N35" i="36" s="1"/>
  <c r="E14" i="37"/>
  <c r="C38" i="36" s="1"/>
  <c r="D38" i="36" s="1"/>
  <c r="E38" i="36" s="1"/>
  <c r="F38" i="36" s="1"/>
  <c r="G38" i="36" s="1"/>
  <c r="H38" i="36" s="1"/>
  <c r="I38" i="36" s="1"/>
  <c r="J38" i="36" s="1"/>
  <c r="K38" i="36" s="1"/>
  <c r="L38" i="36" s="1"/>
  <c r="M38" i="36" s="1"/>
  <c r="N38" i="36" s="1"/>
  <c r="E15" i="37"/>
  <c r="C41" i="36" s="1"/>
  <c r="D41" i="36" s="1"/>
  <c r="E41" i="36" s="1"/>
  <c r="F41" i="36" s="1"/>
  <c r="G41" i="36" s="1"/>
  <c r="H41" i="36" s="1"/>
  <c r="I41" i="36" s="1"/>
  <c r="J41" i="36" s="1"/>
  <c r="K41" i="36" s="1"/>
  <c r="L41" i="36" s="1"/>
  <c r="M41" i="36" s="1"/>
  <c r="N41" i="36" s="1"/>
  <c r="E16" i="37"/>
  <c r="C44" i="36" s="1"/>
  <c r="D44" i="36" s="1"/>
  <c r="E44" i="36" s="1"/>
  <c r="F44" i="36" s="1"/>
  <c r="G44" i="36" s="1"/>
  <c r="H44" i="36" s="1"/>
  <c r="I44" i="36" s="1"/>
  <c r="J44" i="36" s="1"/>
  <c r="K44" i="36" s="1"/>
  <c r="L44" i="36" s="1"/>
  <c r="M44" i="36" s="1"/>
  <c r="N44" i="36" s="1"/>
  <c r="E17" i="37"/>
  <c r="C47" i="36" s="1"/>
  <c r="D47" i="36" s="1"/>
  <c r="E47" i="36" s="1"/>
  <c r="F47" i="36" s="1"/>
  <c r="G47" i="36" s="1"/>
  <c r="H47" i="36" s="1"/>
  <c r="I47" i="36" s="1"/>
  <c r="J47" i="36" s="1"/>
  <c r="K47" i="36" s="1"/>
  <c r="L47" i="36" s="1"/>
  <c r="M47" i="36" s="1"/>
  <c r="N47" i="36" s="1"/>
  <c r="E18" i="37"/>
  <c r="C50" i="36" s="1"/>
  <c r="D50" i="36" s="1"/>
  <c r="E50" i="36" s="1"/>
  <c r="F50" i="36" s="1"/>
  <c r="G50" i="36" s="1"/>
  <c r="H50" i="36" s="1"/>
  <c r="I50" i="36" s="1"/>
  <c r="J50" i="36" s="1"/>
  <c r="K50" i="36" s="1"/>
  <c r="L50" i="36" s="1"/>
  <c r="M50" i="36" s="1"/>
  <c r="N50" i="36" s="1"/>
  <c r="E19" i="37"/>
  <c r="C53" i="36" s="1"/>
  <c r="D53" i="36" s="1"/>
  <c r="E53" i="36" s="1"/>
  <c r="F53" i="36" s="1"/>
  <c r="G53" i="36" s="1"/>
  <c r="H53" i="36" s="1"/>
  <c r="I53" i="36" s="1"/>
  <c r="J53" i="36" s="1"/>
  <c r="K53" i="36" s="1"/>
  <c r="L53" i="36" s="1"/>
  <c r="M53" i="36" s="1"/>
  <c r="N53" i="36" s="1"/>
  <c r="E20" i="37"/>
  <c r="C56" i="36" s="1"/>
  <c r="D56" i="36" s="1"/>
  <c r="E56" i="36" s="1"/>
  <c r="F56" i="36" s="1"/>
  <c r="G56" i="36" s="1"/>
  <c r="H56" i="36" s="1"/>
  <c r="I56" i="36" s="1"/>
  <c r="J56" i="36" s="1"/>
  <c r="K56" i="36" s="1"/>
  <c r="L56" i="36" s="1"/>
  <c r="M56" i="36" s="1"/>
  <c r="N56" i="36" s="1"/>
  <c r="C59" i="36"/>
  <c r="D59" i="36" s="1"/>
  <c r="E59" i="36" s="1"/>
  <c r="F59" i="36" s="1"/>
  <c r="G59" i="36" s="1"/>
  <c r="H59" i="36" s="1"/>
  <c r="I59" i="36" s="1"/>
  <c r="J59" i="36" s="1"/>
  <c r="K59" i="36" s="1"/>
  <c r="L59" i="36" s="1"/>
  <c r="M59" i="36" s="1"/>
  <c r="N59" i="36" s="1"/>
  <c r="C62" i="36"/>
  <c r="D62" i="36" s="1"/>
  <c r="E62" i="36" s="1"/>
  <c r="F62" i="36" s="1"/>
  <c r="G62" i="36" s="1"/>
  <c r="H62" i="36" s="1"/>
  <c r="I62" i="36" s="1"/>
  <c r="J62" i="36" s="1"/>
  <c r="K62" i="36" s="1"/>
  <c r="L62" i="36" s="1"/>
  <c r="M62" i="36" s="1"/>
  <c r="N62" i="36" s="1"/>
  <c r="E23" i="37"/>
  <c r="C65" i="36" s="1"/>
  <c r="D65" i="36" s="1"/>
  <c r="E65" i="36" s="1"/>
  <c r="F65" i="36" s="1"/>
  <c r="G65" i="36" s="1"/>
  <c r="H65" i="36" s="1"/>
  <c r="I65" i="36" s="1"/>
  <c r="J65" i="36" s="1"/>
  <c r="K65" i="36" s="1"/>
  <c r="L65" i="36" s="1"/>
  <c r="M65" i="36" s="1"/>
  <c r="N65" i="36" s="1"/>
  <c r="E24" i="37"/>
  <c r="C68" i="36" s="1"/>
  <c r="E25" i="37"/>
  <c r="C71" i="36" s="1"/>
  <c r="D71" i="36" s="1"/>
  <c r="E71" i="36" s="1"/>
  <c r="F71" i="36" s="1"/>
  <c r="G71" i="36" s="1"/>
  <c r="H71" i="36" s="1"/>
  <c r="I71" i="36" s="1"/>
  <c r="J71" i="36" s="1"/>
  <c r="K71" i="36" s="1"/>
  <c r="L71" i="36" s="1"/>
  <c r="M71" i="36" s="1"/>
  <c r="N71" i="36" s="1"/>
  <c r="E26" i="37"/>
  <c r="C74" i="36" s="1"/>
  <c r="D74" i="36" s="1"/>
  <c r="E74" i="36" s="1"/>
  <c r="F74" i="36" s="1"/>
  <c r="G74" i="36" s="1"/>
  <c r="H74" i="36" s="1"/>
  <c r="I74" i="36" s="1"/>
  <c r="J74" i="36" s="1"/>
  <c r="K74" i="36" s="1"/>
  <c r="L74" i="36" s="1"/>
  <c r="M74" i="36" s="1"/>
  <c r="N74" i="36" s="1"/>
  <c r="E27" i="37"/>
  <c r="C77" i="36" s="1"/>
  <c r="D77" i="36" s="1"/>
  <c r="E77" i="36" s="1"/>
  <c r="F77" i="36" s="1"/>
  <c r="G77" i="36" s="1"/>
  <c r="H77" i="36" s="1"/>
  <c r="I77" i="36" s="1"/>
  <c r="J77" i="36" s="1"/>
  <c r="K77" i="36" s="1"/>
  <c r="L77" i="36" s="1"/>
  <c r="M77" i="36" s="1"/>
  <c r="N77" i="36" s="1"/>
  <c r="E28" i="37"/>
  <c r="C80" i="36" s="1"/>
  <c r="D80" i="36" s="1"/>
  <c r="E80" i="36" s="1"/>
  <c r="F80" i="36" s="1"/>
  <c r="G80" i="36" s="1"/>
  <c r="H80" i="36" s="1"/>
  <c r="I80" i="36" s="1"/>
  <c r="J80" i="36" s="1"/>
  <c r="K80" i="36" s="1"/>
  <c r="L80" i="36" s="1"/>
  <c r="M80" i="36" s="1"/>
  <c r="N80" i="36" s="1"/>
  <c r="E29" i="37"/>
  <c r="C83" i="36" s="1"/>
  <c r="D83" i="36" s="1"/>
  <c r="E83" i="36" s="1"/>
  <c r="F83" i="36" s="1"/>
  <c r="G83" i="36" s="1"/>
  <c r="H83" i="36" s="1"/>
  <c r="I83" i="36" s="1"/>
  <c r="J83" i="36" s="1"/>
  <c r="K83" i="36" s="1"/>
  <c r="L83" i="36" s="1"/>
  <c r="M83" i="36" s="1"/>
  <c r="N83" i="36" s="1"/>
  <c r="E30" i="37"/>
  <c r="C86" i="36" s="1"/>
  <c r="D86" i="36" s="1"/>
  <c r="E86" i="36" s="1"/>
  <c r="F86" i="36" s="1"/>
  <c r="G86" i="36" s="1"/>
  <c r="H86" i="36" s="1"/>
  <c r="I86" i="36" s="1"/>
  <c r="J86" i="36" s="1"/>
  <c r="K86" i="36" s="1"/>
  <c r="L86" i="36" s="1"/>
  <c r="M86" i="36" s="1"/>
  <c r="N86" i="36" s="1"/>
  <c r="E31" i="37"/>
  <c r="C89" i="36" s="1"/>
  <c r="D89" i="36" s="1"/>
  <c r="E89" i="36" s="1"/>
  <c r="F89" i="36" s="1"/>
  <c r="G89" i="36" s="1"/>
  <c r="H89" i="36" s="1"/>
  <c r="I89" i="36" s="1"/>
  <c r="J89" i="36" s="1"/>
  <c r="K89" i="36" s="1"/>
  <c r="L89" i="36" s="1"/>
  <c r="M89" i="36" s="1"/>
  <c r="N89" i="36" s="1"/>
  <c r="E32" i="37"/>
  <c r="C92" i="36" s="1"/>
  <c r="D92" i="36" s="1"/>
  <c r="E92" i="36" s="1"/>
  <c r="F92" i="36" s="1"/>
  <c r="G92" i="36" s="1"/>
  <c r="H92" i="36" s="1"/>
  <c r="I92" i="36" s="1"/>
  <c r="J92" i="36" s="1"/>
  <c r="K92" i="36" s="1"/>
  <c r="L92" i="36" s="1"/>
  <c r="M92" i="36" s="1"/>
  <c r="N92" i="36" s="1"/>
  <c r="G11" i="36" l="1"/>
  <c r="G12" i="36" s="1"/>
  <c r="G8" i="36"/>
  <c r="G9" i="36" s="1"/>
  <c r="C47" i="24"/>
  <c r="C48" i="24" s="1"/>
  <c r="D35" i="24"/>
  <c r="E35" i="24" s="1"/>
  <c r="E36" i="24" s="1"/>
  <c r="C16" i="23"/>
  <c r="C9" i="22" s="1"/>
  <c r="D12" i="21" s="1"/>
  <c r="B9" i="22"/>
  <c r="B5" i="31"/>
  <c r="F12" i="22"/>
  <c r="F15" i="21"/>
  <c r="D9" i="24"/>
  <c r="E8" i="24"/>
  <c r="D15" i="24"/>
  <c r="E14" i="24"/>
  <c r="D21" i="24"/>
  <c r="E20" i="24"/>
  <c r="D27" i="24"/>
  <c r="E26" i="24"/>
  <c r="D33" i="24"/>
  <c r="E32" i="24"/>
  <c r="D39" i="24"/>
  <c r="E38" i="24"/>
  <c r="D45" i="24"/>
  <c r="E44" i="24"/>
  <c r="D51" i="24"/>
  <c r="E50" i="24"/>
  <c r="D57" i="24"/>
  <c r="E56" i="24"/>
  <c r="D63" i="24"/>
  <c r="E62" i="24"/>
  <c r="D69" i="24"/>
  <c r="E68" i="24"/>
  <c r="D75" i="24"/>
  <c r="E74" i="24"/>
  <c r="D81" i="24"/>
  <c r="E80" i="24"/>
  <c r="D87" i="24"/>
  <c r="E86" i="24"/>
  <c r="D93" i="24"/>
  <c r="E92" i="24"/>
  <c r="D5" i="24"/>
  <c r="C9" i="24"/>
  <c r="D11" i="24"/>
  <c r="C15" i="24"/>
  <c r="D17" i="24"/>
  <c r="C21" i="24"/>
  <c r="D23" i="24"/>
  <c r="C27" i="24"/>
  <c r="D29" i="24"/>
  <c r="C33" i="24"/>
  <c r="C39" i="24"/>
  <c r="D41" i="24"/>
  <c r="C45" i="24"/>
  <c r="C51" i="24"/>
  <c r="D53" i="24"/>
  <c r="C57" i="24"/>
  <c r="D59" i="24"/>
  <c r="C63" i="24"/>
  <c r="D65" i="24"/>
  <c r="C69" i="24"/>
  <c r="D71" i="24"/>
  <c r="C75" i="24"/>
  <c r="D77" i="24"/>
  <c r="C81" i="24"/>
  <c r="D83" i="24"/>
  <c r="C87" i="24"/>
  <c r="D89" i="24"/>
  <c r="C93" i="24"/>
  <c r="D68" i="36"/>
  <c r="E68" i="36" s="1"/>
  <c r="F68" i="36" s="1"/>
  <c r="G68" i="36" s="1"/>
  <c r="H68" i="36" s="1"/>
  <c r="I68" i="36" s="1"/>
  <c r="J68" i="36" s="1"/>
  <c r="K68" i="36" s="1"/>
  <c r="L68" i="36" s="1"/>
  <c r="M68" i="36" s="1"/>
  <c r="N68" i="36" s="1"/>
  <c r="C69" i="36"/>
  <c r="C17" i="21"/>
  <c r="D17" i="21"/>
  <c r="E17" i="21"/>
  <c r="F17" i="21"/>
  <c r="G17" i="21"/>
  <c r="H17" i="21"/>
  <c r="I17" i="21"/>
  <c r="J17" i="21"/>
  <c r="K17" i="21"/>
  <c r="L17" i="21"/>
  <c r="M17" i="21"/>
  <c r="N17" i="21"/>
  <c r="H11" i="36" l="1"/>
  <c r="I11" i="36" s="1"/>
  <c r="J11" i="36" s="1"/>
  <c r="K11" i="36" s="1"/>
  <c r="L11" i="36" s="1"/>
  <c r="M11" i="36" s="1"/>
  <c r="N11" i="36" s="1"/>
  <c r="D47" i="24"/>
  <c r="E47" i="24" s="1"/>
  <c r="H8" i="36"/>
  <c r="I8" i="36" s="1"/>
  <c r="J8" i="36" s="1"/>
  <c r="K8" i="36" s="1"/>
  <c r="L8" i="36" s="1"/>
  <c r="M8" i="36" s="1"/>
  <c r="N8" i="36" s="1"/>
  <c r="D36" i="24"/>
  <c r="F35" i="24"/>
  <c r="G35" i="24" s="1"/>
  <c r="C12" i="21"/>
  <c r="D16" i="23"/>
  <c r="D9" i="22" s="1"/>
  <c r="E12" i="21" s="1"/>
  <c r="C95" i="24"/>
  <c r="B3" i="22" s="1"/>
  <c r="G12" i="22"/>
  <c r="G15" i="21"/>
  <c r="F92" i="24"/>
  <c r="E93" i="24"/>
  <c r="F86" i="24"/>
  <c r="E87" i="24"/>
  <c r="F80" i="24"/>
  <c r="E81" i="24"/>
  <c r="F74" i="24"/>
  <c r="E75" i="24"/>
  <c r="F68" i="24"/>
  <c r="E69" i="24"/>
  <c r="F62" i="24"/>
  <c r="E63" i="24"/>
  <c r="F56" i="24"/>
  <c r="E57" i="24"/>
  <c r="F50" i="24"/>
  <c r="E51" i="24"/>
  <c r="F44" i="24"/>
  <c r="E45" i="24"/>
  <c r="F38" i="24"/>
  <c r="E39" i="24"/>
  <c r="F32" i="24"/>
  <c r="E33" i="24"/>
  <c r="F26" i="24"/>
  <c r="E27" i="24"/>
  <c r="F20" i="24"/>
  <c r="E21" i="24"/>
  <c r="F14" i="24"/>
  <c r="E15" i="24"/>
  <c r="F8" i="24"/>
  <c r="E9" i="24"/>
  <c r="E89" i="24"/>
  <c r="D90" i="24"/>
  <c r="E83" i="24"/>
  <c r="D84" i="24"/>
  <c r="E77" i="24"/>
  <c r="D78" i="24"/>
  <c r="E71" i="24"/>
  <c r="D72" i="24"/>
  <c r="E65" i="24"/>
  <c r="D66" i="24"/>
  <c r="E59" i="24"/>
  <c r="D60" i="24"/>
  <c r="E53" i="24"/>
  <c r="D54" i="24"/>
  <c r="E41" i="24"/>
  <c r="D42" i="24"/>
  <c r="E29" i="24"/>
  <c r="D30" i="24"/>
  <c r="E23" i="24"/>
  <c r="D24" i="24"/>
  <c r="E17" i="24"/>
  <c r="D18" i="24"/>
  <c r="E11" i="24"/>
  <c r="D12" i="24"/>
  <c r="E5" i="24"/>
  <c r="D6" i="24"/>
  <c r="C5" i="36"/>
  <c r="B11" i="22"/>
  <c r="F4" i="38"/>
  <c r="F5" i="38"/>
  <c r="F6" i="38"/>
  <c r="F7" i="38"/>
  <c r="F8" i="38"/>
  <c r="F9" i="38"/>
  <c r="F11" i="38"/>
  <c r="F12" i="38"/>
  <c r="F13" i="38"/>
  <c r="F14" i="38"/>
  <c r="F16" i="38"/>
  <c r="F17" i="38"/>
  <c r="F18" i="38"/>
  <c r="F19" i="38"/>
  <c r="F20" i="38"/>
  <c r="F3" i="38"/>
  <c r="D48" i="24" l="1"/>
  <c r="D5" i="36"/>
  <c r="E5" i="36" s="1"/>
  <c r="F5" i="36" s="1"/>
  <c r="C6" i="36"/>
  <c r="F33" i="38"/>
  <c r="F36" i="24"/>
  <c r="D95" i="24"/>
  <c r="C3" i="22" s="1"/>
  <c r="D5" i="21" s="1"/>
  <c r="E16" i="23"/>
  <c r="E9" i="22" s="1"/>
  <c r="F12" i="21" s="1"/>
  <c r="F4" i="23"/>
  <c r="G4" i="23" s="1"/>
  <c r="H4" i="23" s="1"/>
  <c r="C5" i="21"/>
  <c r="B5" i="22"/>
  <c r="C11" i="22"/>
  <c r="D11" i="22" s="1"/>
  <c r="E11" i="22" s="1"/>
  <c r="F11" i="22" s="1"/>
  <c r="G11" i="22" s="1"/>
  <c r="H11" i="22" s="1"/>
  <c r="I11" i="22" s="1"/>
  <c r="J11" i="22" s="1"/>
  <c r="H12" i="22"/>
  <c r="H15" i="21"/>
  <c r="B13" i="22"/>
  <c r="E6" i="24"/>
  <c r="F5" i="24"/>
  <c r="E12" i="24"/>
  <c r="F11" i="24"/>
  <c r="E18" i="24"/>
  <c r="F17" i="24"/>
  <c r="E24" i="24"/>
  <c r="F23" i="24"/>
  <c r="E30" i="24"/>
  <c r="F29" i="24"/>
  <c r="E42" i="24"/>
  <c r="F41" i="24"/>
  <c r="E48" i="24"/>
  <c r="F47" i="24"/>
  <c r="E54" i="24"/>
  <c r="F53" i="24"/>
  <c r="E60" i="24"/>
  <c r="F59" i="24"/>
  <c r="E66" i="24"/>
  <c r="F65" i="24"/>
  <c r="E72" i="24"/>
  <c r="F71" i="24"/>
  <c r="E78" i="24"/>
  <c r="F77" i="24"/>
  <c r="E84" i="24"/>
  <c r="F83" i="24"/>
  <c r="E90" i="24"/>
  <c r="F89" i="24"/>
  <c r="F9" i="24"/>
  <c r="G8" i="24"/>
  <c r="F15" i="24"/>
  <c r="G14" i="24"/>
  <c r="F21" i="24"/>
  <c r="G20" i="24"/>
  <c r="F27" i="24"/>
  <c r="G26" i="24"/>
  <c r="F33" i="24"/>
  <c r="G32" i="24"/>
  <c r="G36" i="24"/>
  <c r="H35" i="24"/>
  <c r="F39" i="24"/>
  <c r="G38" i="24"/>
  <c r="F45" i="24"/>
  <c r="G44" i="24"/>
  <c r="F51" i="24"/>
  <c r="G50" i="24"/>
  <c r="F57" i="24"/>
  <c r="G56" i="24"/>
  <c r="F63" i="24"/>
  <c r="G62" i="24"/>
  <c r="F69" i="24"/>
  <c r="G68" i="24"/>
  <c r="F75" i="24"/>
  <c r="G74" i="24"/>
  <c r="F81" i="24"/>
  <c r="G80" i="24"/>
  <c r="F87" i="24"/>
  <c r="G86" i="24"/>
  <c r="F93" i="24"/>
  <c r="G92" i="24"/>
  <c r="H21" i="39"/>
  <c r="B4" i="31" l="1"/>
  <c r="B11" i="21" s="1"/>
  <c r="G5" i="36"/>
  <c r="G6" i="36" s="1"/>
  <c r="F16" i="23"/>
  <c r="F9" i="22" s="1"/>
  <c r="E95" i="24"/>
  <c r="D3" i="22" s="1"/>
  <c r="E5" i="21" s="1"/>
  <c r="I12" i="22"/>
  <c r="I15" i="21"/>
  <c r="K11" i="22"/>
  <c r="C13" i="22"/>
  <c r="C5" i="22"/>
  <c r="H92" i="24"/>
  <c r="G93" i="24"/>
  <c r="H86" i="24"/>
  <c r="G87" i="24"/>
  <c r="H80" i="24"/>
  <c r="G81" i="24"/>
  <c r="H74" i="24"/>
  <c r="G75" i="24"/>
  <c r="H68" i="24"/>
  <c r="G69" i="24"/>
  <c r="H62" i="24"/>
  <c r="G63" i="24"/>
  <c r="H56" i="24"/>
  <c r="G57" i="24"/>
  <c r="H50" i="24"/>
  <c r="G51" i="24"/>
  <c r="H44" i="24"/>
  <c r="G45" i="24"/>
  <c r="H38" i="24"/>
  <c r="G39" i="24"/>
  <c r="I35" i="24"/>
  <c r="H36" i="24"/>
  <c r="H32" i="24"/>
  <c r="G33" i="24"/>
  <c r="H26" i="24"/>
  <c r="G27" i="24"/>
  <c r="H20" i="24"/>
  <c r="G21" i="24"/>
  <c r="H14" i="24"/>
  <c r="G15" i="24"/>
  <c r="H8" i="24"/>
  <c r="G9" i="24"/>
  <c r="G89" i="24"/>
  <c r="F90" i="24"/>
  <c r="G83" i="24"/>
  <c r="F84" i="24"/>
  <c r="G77" i="24"/>
  <c r="F78" i="24"/>
  <c r="G71" i="24"/>
  <c r="F72" i="24"/>
  <c r="G65" i="24"/>
  <c r="F66" i="24"/>
  <c r="G59" i="24"/>
  <c r="F60" i="24"/>
  <c r="G53" i="24"/>
  <c r="F54" i="24"/>
  <c r="G47" i="24"/>
  <c r="F48" i="24"/>
  <c r="G41" i="24"/>
  <c r="F42" i="24"/>
  <c r="G29" i="24"/>
  <c r="F30" i="24"/>
  <c r="G23" i="24"/>
  <c r="F24" i="24"/>
  <c r="G17" i="24"/>
  <c r="F18" i="24"/>
  <c r="G11" i="24"/>
  <c r="F12" i="24"/>
  <c r="G5" i="24"/>
  <c r="F6" i="24"/>
  <c r="B15" i="22"/>
  <c r="H5" i="36" l="1"/>
  <c r="I5" i="36" s="1"/>
  <c r="J5" i="36" s="1"/>
  <c r="K5" i="36" s="1"/>
  <c r="L5" i="36" s="1"/>
  <c r="M5" i="36" s="1"/>
  <c r="N5" i="36" s="1"/>
  <c r="F95" i="24"/>
  <c r="E3" i="22" s="1"/>
  <c r="E14" i="22" s="1"/>
  <c r="G12" i="21"/>
  <c r="G16" i="23"/>
  <c r="G9" i="22" s="1"/>
  <c r="H12" i="21" s="1"/>
  <c r="C16" i="21"/>
  <c r="C15" i="22"/>
  <c r="L11" i="22"/>
  <c r="J12" i="22"/>
  <c r="J15" i="21"/>
  <c r="D13" i="22"/>
  <c r="D5" i="22"/>
  <c r="G6" i="24"/>
  <c r="H5" i="24"/>
  <c r="G12" i="24"/>
  <c r="H11" i="24"/>
  <c r="G18" i="24"/>
  <c r="H17" i="24"/>
  <c r="G24" i="24"/>
  <c r="H23" i="24"/>
  <c r="G30" i="24"/>
  <c r="H29" i="24"/>
  <c r="G42" i="24"/>
  <c r="H41" i="24"/>
  <c r="G48" i="24"/>
  <c r="H47" i="24"/>
  <c r="G54" i="24"/>
  <c r="H53" i="24"/>
  <c r="G60" i="24"/>
  <c r="H59" i="24"/>
  <c r="G66" i="24"/>
  <c r="H65" i="24"/>
  <c r="G72" i="24"/>
  <c r="H71" i="24"/>
  <c r="G78" i="24"/>
  <c r="H77" i="24"/>
  <c r="G84" i="24"/>
  <c r="H83" i="24"/>
  <c r="G90" i="24"/>
  <c r="H89" i="24"/>
  <c r="H9" i="24"/>
  <c r="I8" i="24"/>
  <c r="H15" i="24"/>
  <c r="I14" i="24"/>
  <c r="H21" i="24"/>
  <c r="I20" i="24"/>
  <c r="H27" i="24"/>
  <c r="I26" i="24"/>
  <c r="H33" i="24"/>
  <c r="I32" i="24"/>
  <c r="I36" i="24"/>
  <c r="J35" i="24"/>
  <c r="H39" i="24"/>
  <c r="I38" i="24"/>
  <c r="H45" i="24"/>
  <c r="I44" i="24"/>
  <c r="H51" i="24"/>
  <c r="I50" i="24"/>
  <c r="H57" i="24"/>
  <c r="I56" i="24"/>
  <c r="H63" i="24"/>
  <c r="I62" i="24"/>
  <c r="H69" i="24"/>
  <c r="I68" i="24"/>
  <c r="H75" i="24"/>
  <c r="I74" i="24"/>
  <c r="H81" i="24"/>
  <c r="I80" i="24"/>
  <c r="H87" i="24"/>
  <c r="I86" i="24"/>
  <c r="H93" i="24"/>
  <c r="I92" i="24"/>
  <c r="K36" i="38"/>
  <c r="B3" i="31" s="1"/>
  <c r="I4" i="23" l="1"/>
  <c r="H16" i="23"/>
  <c r="H9" i="22" s="1"/>
  <c r="I12" i="21" s="1"/>
  <c r="G95" i="24"/>
  <c r="F3" i="22" s="1"/>
  <c r="G5" i="21" s="1"/>
  <c r="F5" i="21"/>
  <c r="E5" i="22"/>
  <c r="E13" i="22"/>
  <c r="B10" i="21"/>
  <c r="B6" i="31"/>
  <c r="D15" i="22"/>
  <c r="D16" i="21"/>
  <c r="K12" i="22"/>
  <c r="K15" i="21"/>
  <c r="M11" i="22"/>
  <c r="N11" i="22" s="1"/>
  <c r="J92" i="24"/>
  <c r="I93" i="24"/>
  <c r="J86" i="24"/>
  <c r="I87" i="24"/>
  <c r="J80" i="24"/>
  <c r="I81" i="24"/>
  <c r="J74" i="24"/>
  <c r="I75" i="24"/>
  <c r="J68" i="24"/>
  <c r="I69" i="24"/>
  <c r="J62" i="24"/>
  <c r="I63" i="24"/>
  <c r="J56" i="24"/>
  <c r="I57" i="24"/>
  <c r="J50" i="24"/>
  <c r="I51" i="24"/>
  <c r="J44" i="24"/>
  <c r="I45" i="24"/>
  <c r="J38" i="24"/>
  <c r="I39" i="24"/>
  <c r="K35" i="24"/>
  <c r="J36" i="24"/>
  <c r="J32" i="24"/>
  <c r="I33" i="24"/>
  <c r="J26" i="24"/>
  <c r="I27" i="24"/>
  <c r="J20" i="24"/>
  <c r="I21" i="24"/>
  <c r="J14" i="24"/>
  <c r="I15" i="24"/>
  <c r="J8" i="24"/>
  <c r="I9" i="24"/>
  <c r="I89" i="24"/>
  <c r="H90" i="24"/>
  <c r="I83" i="24"/>
  <c r="H84" i="24"/>
  <c r="I77" i="24"/>
  <c r="H78" i="24"/>
  <c r="I71" i="24"/>
  <c r="H72" i="24"/>
  <c r="I65" i="24"/>
  <c r="H66" i="24"/>
  <c r="I59" i="24"/>
  <c r="H60" i="24"/>
  <c r="I53" i="24"/>
  <c r="H54" i="24"/>
  <c r="I47" i="24"/>
  <c r="H48" i="24"/>
  <c r="I41" i="24"/>
  <c r="H42" i="24"/>
  <c r="I29" i="24"/>
  <c r="H30" i="24"/>
  <c r="I23" i="24"/>
  <c r="H24" i="24"/>
  <c r="I17" i="24"/>
  <c r="H18" i="24"/>
  <c r="I11" i="24"/>
  <c r="H12" i="24"/>
  <c r="I5" i="24"/>
  <c r="H6" i="24"/>
  <c r="H95" i="24" l="1"/>
  <c r="G3" i="22" s="1"/>
  <c r="B8" i="31"/>
  <c r="B9" i="31"/>
  <c r="J4" i="23"/>
  <c r="I16" i="23"/>
  <c r="I9" i="22" s="1"/>
  <c r="J12" i="21" s="1"/>
  <c r="L12" i="22"/>
  <c r="L15" i="21"/>
  <c r="E15" i="22"/>
  <c r="E16" i="21"/>
  <c r="H22" i="39"/>
  <c r="B19" i="21"/>
  <c r="B6" i="33" s="1"/>
  <c r="B9" i="33" s="1"/>
  <c r="B10" i="33" s="1"/>
  <c r="B11" i="33" s="1"/>
  <c r="F13" i="22"/>
  <c r="F14" i="22"/>
  <c r="F5" i="22"/>
  <c r="I6" i="24"/>
  <c r="J5" i="24"/>
  <c r="I12" i="24"/>
  <c r="J11" i="24"/>
  <c r="I18" i="24"/>
  <c r="J17" i="24"/>
  <c r="I24" i="24"/>
  <c r="J23" i="24"/>
  <c r="I30" i="24"/>
  <c r="J29" i="24"/>
  <c r="I42" i="24"/>
  <c r="J41" i="24"/>
  <c r="I48" i="24"/>
  <c r="J47" i="24"/>
  <c r="I54" i="24"/>
  <c r="J53" i="24"/>
  <c r="I60" i="24"/>
  <c r="J59" i="24"/>
  <c r="I66" i="24"/>
  <c r="J65" i="24"/>
  <c r="I72" i="24"/>
  <c r="J71" i="24"/>
  <c r="I78" i="24"/>
  <c r="J77" i="24"/>
  <c r="I84" i="24"/>
  <c r="J83" i="24"/>
  <c r="I90" i="24"/>
  <c r="J89" i="24"/>
  <c r="J9" i="24"/>
  <c r="K8" i="24"/>
  <c r="J15" i="24"/>
  <c r="K14" i="24"/>
  <c r="J21" i="24"/>
  <c r="K20" i="24"/>
  <c r="J27" i="24"/>
  <c r="K26" i="24"/>
  <c r="J33" i="24"/>
  <c r="K32" i="24"/>
  <c r="K36" i="24"/>
  <c r="L35" i="24"/>
  <c r="J39" i="24"/>
  <c r="K38" i="24"/>
  <c r="J45" i="24"/>
  <c r="K44" i="24"/>
  <c r="J51" i="24"/>
  <c r="K50" i="24"/>
  <c r="J57" i="24"/>
  <c r="K56" i="24"/>
  <c r="J63" i="24"/>
  <c r="K62" i="24"/>
  <c r="J69" i="24"/>
  <c r="K68" i="24"/>
  <c r="J75" i="24"/>
  <c r="K74" i="24"/>
  <c r="J81" i="24"/>
  <c r="K80" i="24"/>
  <c r="J87" i="24"/>
  <c r="K86" i="24"/>
  <c r="J93" i="24"/>
  <c r="K92" i="24"/>
  <c r="F4" i="31" l="1"/>
  <c r="G8" i="31" s="1"/>
  <c r="B7" i="21"/>
  <c r="B21" i="39" s="1"/>
  <c r="H5" i="21"/>
  <c r="K4" i="23"/>
  <c r="J16" i="23"/>
  <c r="J9" i="22" s="1"/>
  <c r="I95" i="24"/>
  <c r="H3" i="22" s="1"/>
  <c r="I5" i="21" s="1"/>
  <c r="B6" i="21"/>
  <c r="B10" i="31"/>
  <c r="F15" i="22"/>
  <c r="F16" i="21"/>
  <c r="M12" i="22"/>
  <c r="M15" i="21"/>
  <c r="G14" i="22"/>
  <c r="G5" i="22"/>
  <c r="G13" i="22"/>
  <c r="L92" i="24"/>
  <c r="K93" i="24"/>
  <c r="L86" i="24"/>
  <c r="K87" i="24"/>
  <c r="L80" i="24"/>
  <c r="K81" i="24"/>
  <c r="L74" i="24"/>
  <c r="K75" i="24"/>
  <c r="L68" i="24"/>
  <c r="K69" i="24"/>
  <c r="L62" i="24"/>
  <c r="K63" i="24"/>
  <c r="L56" i="24"/>
  <c r="K57" i="24"/>
  <c r="L50" i="24"/>
  <c r="K51" i="24"/>
  <c r="L44" i="24"/>
  <c r="K45" i="24"/>
  <c r="L38" i="24"/>
  <c r="K39" i="24"/>
  <c r="M35" i="24"/>
  <c r="L36" i="24"/>
  <c r="L32" i="24"/>
  <c r="K33" i="24"/>
  <c r="L26" i="24"/>
  <c r="K27" i="24"/>
  <c r="L20" i="24"/>
  <c r="K21" i="24"/>
  <c r="L14" i="24"/>
  <c r="K15" i="24"/>
  <c r="L8" i="24"/>
  <c r="K9" i="24"/>
  <c r="K89" i="24"/>
  <c r="J90" i="24"/>
  <c r="K83" i="24"/>
  <c r="J84" i="24"/>
  <c r="K77" i="24"/>
  <c r="J78" i="24"/>
  <c r="K71" i="24"/>
  <c r="J72" i="24"/>
  <c r="K65" i="24"/>
  <c r="J66" i="24"/>
  <c r="K59" i="24"/>
  <c r="J60" i="24"/>
  <c r="K53" i="24"/>
  <c r="J54" i="24"/>
  <c r="K47" i="24"/>
  <c r="J48" i="24"/>
  <c r="K41" i="24"/>
  <c r="J42" i="24"/>
  <c r="K29" i="24"/>
  <c r="J30" i="24"/>
  <c r="K23" i="24"/>
  <c r="J24" i="24"/>
  <c r="K17" i="24"/>
  <c r="J18" i="24"/>
  <c r="K11" i="24"/>
  <c r="J12" i="24"/>
  <c r="K5" i="24"/>
  <c r="J6" i="24"/>
  <c r="N93" i="36"/>
  <c r="M93" i="36"/>
  <c r="L93" i="36"/>
  <c r="K93" i="36"/>
  <c r="J93" i="36"/>
  <c r="I93" i="36"/>
  <c r="H93" i="36"/>
  <c r="G93" i="36"/>
  <c r="F93" i="36"/>
  <c r="E93" i="36"/>
  <c r="D93" i="36"/>
  <c r="C93" i="36"/>
  <c r="N90" i="36"/>
  <c r="M90" i="36"/>
  <c r="L90" i="36"/>
  <c r="K90" i="36"/>
  <c r="J90" i="36"/>
  <c r="I90" i="36"/>
  <c r="H90" i="36"/>
  <c r="G90" i="36"/>
  <c r="F90" i="36"/>
  <c r="E90" i="36"/>
  <c r="D90" i="36"/>
  <c r="C90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N81" i="36"/>
  <c r="M81" i="36"/>
  <c r="L81" i="36"/>
  <c r="K81" i="36"/>
  <c r="J81" i="36"/>
  <c r="I81" i="36"/>
  <c r="H81" i="36"/>
  <c r="G81" i="36"/>
  <c r="F81" i="36"/>
  <c r="E81" i="36"/>
  <c r="D81" i="36"/>
  <c r="C81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N69" i="36"/>
  <c r="M69" i="36"/>
  <c r="L69" i="36"/>
  <c r="K69" i="36"/>
  <c r="J69" i="36"/>
  <c r="I69" i="36"/>
  <c r="H69" i="36"/>
  <c r="G69" i="36"/>
  <c r="F69" i="36"/>
  <c r="E69" i="36"/>
  <c r="D69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N63" i="36"/>
  <c r="M63" i="36"/>
  <c r="L63" i="36"/>
  <c r="K63" i="36"/>
  <c r="J63" i="36"/>
  <c r="I63" i="36"/>
  <c r="H63" i="36"/>
  <c r="G63" i="36"/>
  <c r="F63" i="36"/>
  <c r="E63" i="36"/>
  <c r="D63" i="36"/>
  <c r="C63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N57" i="36"/>
  <c r="M57" i="36"/>
  <c r="L57" i="36"/>
  <c r="K57" i="36"/>
  <c r="J57" i="36"/>
  <c r="I57" i="36"/>
  <c r="H57" i="36"/>
  <c r="G57" i="36"/>
  <c r="F57" i="36"/>
  <c r="E57" i="36"/>
  <c r="D57" i="36"/>
  <c r="C57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N12" i="36"/>
  <c r="M12" i="36"/>
  <c r="L12" i="36"/>
  <c r="K12" i="36"/>
  <c r="J12" i="36"/>
  <c r="I12" i="36"/>
  <c r="H12" i="36"/>
  <c r="F12" i="36"/>
  <c r="E12" i="36"/>
  <c r="D12" i="36"/>
  <c r="C12" i="36"/>
  <c r="N9" i="36"/>
  <c r="M9" i="36"/>
  <c r="L9" i="36"/>
  <c r="K9" i="36"/>
  <c r="J9" i="36"/>
  <c r="I9" i="36"/>
  <c r="H9" i="36"/>
  <c r="F9" i="36"/>
  <c r="E9" i="36"/>
  <c r="D9" i="36"/>
  <c r="C9" i="36"/>
  <c r="N6" i="36"/>
  <c r="M6" i="36"/>
  <c r="L6" i="36"/>
  <c r="K6" i="36"/>
  <c r="J6" i="36"/>
  <c r="I6" i="36"/>
  <c r="H6" i="36"/>
  <c r="F6" i="36"/>
  <c r="E6" i="36"/>
  <c r="D6" i="36"/>
  <c r="H5" i="31" l="1"/>
  <c r="O6" i="36"/>
  <c r="G94" i="36"/>
  <c r="F6" i="22" s="1"/>
  <c r="K94" i="36"/>
  <c r="J6" i="22" s="1"/>
  <c r="K11" i="21" s="1"/>
  <c r="D94" i="36"/>
  <c r="C6" i="22" s="1"/>
  <c r="H94" i="36"/>
  <c r="G6" i="22" s="1"/>
  <c r="H11" i="21" s="1"/>
  <c r="L94" i="36"/>
  <c r="K6" i="22" s="1"/>
  <c r="L11" i="21" s="1"/>
  <c r="F94" i="36"/>
  <c r="E6" i="22" s="1"/>
  <c r="J94" i="36"/>
  <c r="I6" i="22" s="1"/>
  <c r="J11" i="21" s="1"/>
  <c r="N94" i="36"/>
  <c r="M6" i="22" s="1"/>
  <c r="N11" i="21" s="1"/>
  <c r="E94" i="36"/>
  <c r="D6" i="22" s="1"/>
  <c r="I94" i="36"/>
  <c r="H6" i="22" s="1"/>
  <c r="I11" i="21" s="1"/>
  <c r="M94" i="36"/>
  <c r="L6" i="22" s="1"/>
  <c r="M11" i="21" s="1"/>
  <c r="K12" i="21"/>
  <c r="J95" i="24"/>
  <c r="I3" i="22" s="1"/>
  <c r="L4" i="23"/>
  <c r="K16" i="23"/>
  <c r="K9" i="22" s="1"/>
  <c r="C94" i="36"/>
  <c r="B6" i="22" s="1"/>
  <c r="B7" i="22" s="1"/>
  <c r="N15" i="21"/>
  <c r="N12" i="22"/>
  <c r="G15" i="22"/>
  <c r="G16" i="21"/>
  <c r="B20" i="39"/>
  <c r="B8" i="21"/>
  <c r="H14" i="22"/>
  <c r="H5" i="22"/>
  <c r="H13" i="22"/>
  <c r="K6" i="24"/>
  <c r="L5" i="24"/>
  <c r="K12" i="24"/>
  <c r="L11" i="24"/>
  <c r="K18" i="24"/>
  <c r="L17" i="24"/>
  <c r="K24" i="24"/>
  <c r="L23" i="24"/>
  <c r="K30" i="24"/>
  <c r="L29" i="24"/>
  <c r="K42" i="24"/>
  <c r="L41" i="24"/>
  <c r="K48" i="24"/>
  <c r="L47" i="24"/>
  <c r="K54" i="24"/>
  <c r="L53" i="24"/>
  <c r="K60" i="24"/>
  <c r="L59" i="24"/>
  <c r="K66" i="24"/>
  <c r="L65" i="24"/>
  <c r="K72" i="24"/>
  <c r="L71" i="24"/>
  <c r="K78" i="24"/>
  <c r="L77" i="24"/>
  <c r="K84" i="24"/>
  <c r="L83" i="24"/>
  <c r="K90" i="24"/>
  <c r="L89" i="24"/>
  <c r="L9" i="24"/>
  <c r="M8" i="24"/>
  <c r="L15" i="24"/>
  <c r="M14" i="24"/>
  <c r="L21" i="24"/>
  <c r="M20" i="24"/>
  <c r="L27" i="24"/>
  <c r="M26" i="24"/>
  <c r="L33" i="24"/>
  <c r="M32" i="24"/>
  <c r="M36" i="24"/>
  <c r="N35" i="24"/>
  <c r="N36" i="24" s="1"/>
  <c r="L39" i="24"/>
  <c r="M38" i="24"/>
  <c r="L45" i="24"/>
  <c r="M44" i="24"/>
  <c r="L51" i="24"/>
  <c r="M50" i="24"/>
  <c r="L57" i="24"/>
  <c r="M56" i="24"/>
  <c r="L63" i="24"/>
  <c r="M62" i="24"/>
  <c r="L69" i="24"/>
  <c r="M68" i="24"/>
  <c r="L75" i="24"/>
  <c r="M74" i="24"/>
  <c r="L81" i="24"/>
  <c r="M80" i="24"/>
  <c r="L87" i="24"/>
  <c r="M86" i="24"/>
  <c r="L93" i="24"/>
  <c r="M92" i="24"/>
  <c r="O9" i="36"/>
  <c r="O12" i="36"/>
  <c r="O15" i="36"/>
  <c r="O18" i="36"/>
  <c r="O21" i="36"/>
  <c r="O24" i="36"/>
  <c r="O27" i="36"/>
  <c r="O30" i="36"/>
  <c r="O33" i="36"/>
  <c r="O36" i="36"/>
  <c r="O39" i="36"/>
  <c r="O42" i="36"/>
  <c r="O45" i="36"/>
  <c r="O48" i="36"/>
  <c r="O51" i="36"/>
  <c r="O54" i="36"/>
  <c r="O57" i="36"/>
  <c r="O60" i="36"/>
  <c r="O63" i="36"/>
  <c r="O66" i="36"/>
  <c r="O69" i="36"/>
  <c r="O72" i="36"/>
  <c r="O75" i="36"/>
  <c r="O78" i="36"/>
  <c r="O81" i="36"/>
  <c r="O84" i="36"/>
  <c r="O87" i="36"/>
  <c r="O90" i="36"/>
  <c r="O93" i="36"/>
  <c r="O36" i="24" l="1"/>
  <c r="L12" i="21"/>
  <c r="M4" i="23"/>
  <c r="L16" i="23"/>
  <c r="L9" i="22" s="1"/>
  <c r="O94" i="36"/>
  <c r="K95" i="24"/>
  <c r="J3" i="22" s="1"/>
  <c r="K5" i="21" s="1"/>
  <c r="J5" i="21"/>
  <c r="I14" i="22"/>
  <c r="I5" i="22"/>
  <c r="I7" i="22" s="1"/>
  <c r="I13" i="22"/>
  <c r="C11" i="21"/>
  <c r="N6" i="22"/>
  <c r="F11" i="21"/>
  <c r="E7" i="22"/>
  <c r="H7" i="22"/>
  <c r="D11" i="21"/>
  <c r="C7" i="22"/>
  <c r="G11" i="21"/>
  <c r="F7" i="22"/>
  <c r="E11" i="21"/>
  <c r="D7" i="22"/>
  <c r="G7" i="22"/>
  <c r="B20" i="21"/>
  <c r="B19" i="39"/>
  <c r="H15" i="22"/>
  <c r="H16" i="21"/>
  <c r="F5" i="31"/>
  <c r="F6" i="31" s="1"/>
  <c r="F7" i="31" s="1"/>
  <c r="N92" i="24"/>
  <c r="N93" i="24" s="1"/>
  <c r="M93" i="24"/>
  <c r="N86" i="24"/>
  <c r="N87" i="24" s="1"/>
  <c r="M87" i="24"/>
  <c r="N80" i="24"/>
  <c r="N81" i="24" s="1"/>
  <c r="M81" i="24"/>
  <c r="N74" i="24"/>
  <c r="N75" i="24" s="1"/>
  <c r="M75" i="24"/>
  <c r="N68" i="24"/>
  <c r="N69" i="24" s="1"/>
  <c r="M69" i="24"/>
  <c r="N62" i="24"/>
  <c r="N63" i="24" s="1"/>
  <c r="M63" i="24"/>
  <c r="N56" i="24"/>
  <c r="N57" i="24" s="1"/>
  <c r="M57" i="24"/>
  <c r="N50" i="24"/>
  <c r="N51" i="24" s="1"/>
  <c r="M51" i="24"/>
  <c r="N44" i="24"/>
  <c r="N45" i="24" s="1"/>
  <c r="M45" i="24"/>
  <c r="N38" i="24"/>
  <c r="N39" i="24" s="1"/>
  <c r="M39" i="24"/>
  <c r="N32" i="24"/>
  <c r="N33" i="24" s="1"/>
  <c r="M33" i="24"/>
  <c r="N26" i="24"/>
  <c r="N27" i="24" s="1"/>
  <c r="M27" i="24"/>
  <c r="N20" i="24"/>
  <c r="N21" i="24" s="1"/>
  <c r="M21" i="24"/>
  <c r="N14" i="24"/>
  <c r="N15" i="24" s="1"/>
  <c r="M15" i="24"/>
  <c r="N8" i="24"/>
  <c r="N9" i="24" s="1"/>
  <c r="M9" i="24"/>
  <c r="M89" i="24"/>
  <c r="L90" i="24"/>
  <c r="M83" i="24"/>
  <c r="L84" i="24"/>
  <c r="M77" i="24"/>
  <c r="L78" i="24"/>
  <c r="M71" i="24"/>
  <c r="L72" i="24"/>
  <c r="M65" i="24"/>
  <c r="L66" i="24"/>
  <c r="M59" i="24"/>
  <c r="L60" i="24"/>
  <c r="M53" i="24"/>
  <c r="L54" i="24"/>
  <c r="M47" i="24"/>
  <c r="L48" i="24"/>
  <c r="M41" i="24"/>
  <c r="L42" i="24"/>
  <c r="M29" i="24"/>
  <c r="L30" i="24"/>
  <c r="M23" i="24"/>
  <c r="L24" i="24"/>
  <c r="M17" i="24"/>
  <c r="L18" i="24"/>
  <c r="M11" i="24"/>
  <c r="L12" i="24"/>
  <c r="M5" i="24"/>
  <c r="L6" i="24"/>
  <c r="M12" i="21" l="1"/>
  <c r="M16" i="23"/>
  <c r="M9" i="22" s="1"/>
  <c r="N4" i="23"/>
  <c r="N16" i="23" s="1"/>
  <c r="L95" i="24"/>
  <c r="K3" i="22" s="1"/>
  <c r="L5" i="21" s="1"/>
  <c r="D14" i="2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C14" i="21"/>
  <c r="I15" i="22"/>
  <c r="I16" i="21"/>
  <c r="J13" i="22"/>
  <c r="J14" i="22"/>
  <c r="J5" i="22"/>
  <c r="J7" i="22" s="1"/>
  <c r="O93" i="24"/>
  <c r="O87" i="24"/>
  <c r="O81" i="24"/>
  <c r="O75" i="24"/>
  <c r="O69" i="24"/>
  <c r="O63" i="24"/>
  <c r="O57" i="24"/>
  <c r="O51" i="24"/>
  <c r="O45" i="24"/>
  <c r="O39" i="24"/>
  <c r="O33" i="24"/>
  <c r="O27" i="24"/>
  <c r="O21" i="24"/>
  <c r="O15" i="24"/>
  <c r="O9" i="24"/>
  <c r="M6" i="24"/>
  <c r="N5" i="24"/>
  <c r="N6" i="24" s="1"/>
  <c r="M12" i="24"/>
  <c r="N11" i="24"/>
  <c r="N12" i="24" s="1"/>
  <c r="M18" i="24"/>
  <c r="N17" i="24"/>
  <c r="N18" i="24" s="1"/>
  <c r="M24" i="24"/>
  <c r="N23" i="24"/>
  <c r="N24" i="24" s="1"/>
  <c r="M30" i="24"/>
  <c r="N29" i="24"/>
  <c r="N30" i="24" s="1"/>
  <c r="M42" i="24"/>
  <c r="N41" i="24"/>
  <c r="N42" i="24" s="1"/>
  <c r="M48" i="24"/>
  <c r="N47" i="24"/>
  <c r="N48" i="24" s="1"/>
  <c r="M54" i="24"/>
  <c r="N53" i="24"/>
  <c r="N54" i="24" s="1"/>
  <c r="M60" i="24"/>
  <c r="N59" i="24"/>
  <c r="N60" i="24" s="1"/>
  <c r="M66" i="24"/>
  <c r="N65" i="24"/>
  <c r="N66" i="24" s="1"/>
  <c r="M72" i="24"/>
  <c r="N71" i="24"/>
  <c r="N72" i="24" s="1"/>
  <c r="M78" i="24"/>
  <c r="N77" i="24"/>
  <c r="N78" i="24" s="1"/>
  <c r="M84" i="24"/>
  <c r="N83" i="24"/>
  <c r="N84" i="24" s="1"/>
  <c r="M90" i="24"/>
  <c r="N89" i="24"/>
  <c r="N90" i="24" s="1"/>
  <c r="F8" i="31"/>
  <c r="F9" i="31" s="1"/>
  <c r="G9" i="31"/>
  <c r="G10" i="31" l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G38" i="31" s="1"/>
  <c r="G39" i="31" s="1"/>
  <c r="G40" i="31" s="1"/>
  <c r="B10" i="22"/>
  <c r="N12" i="21"/>
  <c r="N9" i="22"/>
  <c r="I5" i="31"/>
  <c r="J5" i="31" s="1"/>
  <c r="N95" i="24"/>
  <c r="M3" i="22" s="1"/>
  <c r="M95" i="24"/>
  <c r="L3" i="22" s="1"/>
  <c r="M5" i="21" s="1"/>
  <c r="J15" i="22"/>
  <c r="J16" i="21"/>
  <c r="K14" i="22"/>
  <c r="K5" i="22"/>
  <c r="K7" i="22" s="1"/>
  <c r="K13" i="22"/>
  <c r="H6" i="31"/>
  <c r="H7" i="31" s="1"/>
  <c r="I7" i="31" s="1"/>
  <c r="O18" i="24"/>
  <c r="O6" i="24"/>
  <c r="O90" i="24"/>
  <c r="O84" i="24"/>
  <c r="O78" i="24"/>
  <c r="O72" i="24"/>
  <c r="O66" i="24"/>
  <c r="O60" i="24"/>
  <c r="O54" i="24"/>
  <c r="O48" i="24"/>
  <c r="O42" i="24"/>
  <c r="O30" i="24"/>
  <c r="O24" i="24"/>
  <c r="O12" i="24"/>
  <c r="F10" i="31"/>
  <c r="C10" i="22" l="1"/>
  <c r="D13" i="21" s="1"/>
  <c r="B17" i="22"/>
  <c r="B18" i="22" s="1"/>
  <c r="B19" i="22" s="1"/>
  <c r="N5" i="21"/>
  <c r="N3" i="22"/>
  <c r="B29" i="39" s="1"/>
  <c r="F11" i="31"/>
  <c r="F12" i="31" s="1"/>
  <c r="F13" i="31" s="1"/>
  <c r="F14" i="31" s="1"/>
  <c r="F15" i="31" s="1"/>
  <c r="F16" i="31" s="1"/>
  <c r="F17" i="31" s="1"/>
  <c r="H17" i="31" s="1"/>
  <c r="F10" i="22" s="1"/>
  <c r="C13" i="21"/>
  <c r="G41" i="31"/>
  <c r="I6" i="31"/>
  <c r="J6" i="31" s="1"/>
  <c r="J7" i="31" s="1"/>
  <c r="H8" i="31"/>
  <c r="H9" i="31" s="1"/>
  <c r="O95" i="24"/>
  <c r="K15" i="22"/>
  <c r="K16" i="21"/>
  <c r="M14" i="22"/>
  <c r="M13" i="22"/>
  <c r="M5" i="22"/>
  <c r="L14" i="22"/>
  <c r="L13" i="22"/>
  <c r="L5" i="22"/>
  <c r="B3" i="33"/>
  <c r="C4" i="21"/>
  <c r="C8" i="21" s="1"/>
  <c r="C17" i="22" l="1"/>
  <c r="C18" i="22" s="1"/>
  <c r="C19" i="22" s="1"/>
  <c r="D18" i="21" s="1"/>
  <c r="D19" i="21" s="1"/>
  <c r="D10" i="22"/>
  <c r="E13" i="21" s="1"/>
  <c r="N13" i="22"/>
  <c r="N5" i="22"/>
  <c r="N14" i="22"/>
  <c r="F18" i="31"/>
  <c r="F19" i="31" s="1"/>
  <c r="F20" i="31" s="1"/>
  <c r="F21" i="31" s="1"/>
  <c r="F22" i="31" s="1"/>
  <c r="F23" i="31" s="1"/>
  <c r="F24" i="31" s="1"/>
  <c r="F25" i="31" s="1"/>
  <c r="F26" i="31" s="1"/>
  <c r="F27" i="31" s="1"/>
  <c r="F28" i="31" s="1"/>
  <c r="F29" i="31" s="1"/>
  <c r="H29" i="31" s="1"/>
  <c r="J10" i="22" s="1"/>
  <c r="I8" i="31"/>
  <c r="J8" i="31" s="1"/>
  <c r="L15" i="22"/>
  <c r="L16" i="21"/>
  <c r="G13" i="21"/>
  <c r="G10" i="22"/>
  <c r="F17" i="22"/>
  <c r="F18" i="22" s="1"/>
  <c r="F19" i="22" s="1"/>
  <c r="L7" i="22"/>
  <c r="M7" i="22"/>
  <c r="H10" i="31"/>
  <c r="I9" i="31"/>
  <c r="H18" i="31"/>
  <c r="I17" i="31"/>
  <c r="C3" i="33"/>
  <c r="E10" i="22" l="1"/>
  <c r="E17" i="22" s="1"/>
  <c r="E18" i="22" s="1"/>
  <c r="E19" i="22" s="1"/>
  <c r="D17" i="22"/>
  <c r="D18" i="22" s="1"/>
  <c r="N7" i="22"/>
  <c r="B30" i="39" s="1"/>
  <c r="F30" i="31"/>
  <c r="F31" i="31" s="1"/>
  <c r="F32" i="31" s="1"/>
  <c r="F33" i="31" s="1"/>
  <c r="F34" i="31" s="1"/>
  <c r="F35" i="31" s="1"/>
  <c r="F36" i="31" s="1"/>
  <c r="F37" i="31" s="1"/>
  <c r="F38" i="31" s="1"/>
  <c r="F39" i="31" s="1"/>
  <c r="F40" i="31" s="1"/>
  <c r="F41" i="31" s="1"/>
  <c r="K10" i="22"/>
  <c r="K13" i="21"/>
  <c r="J17" i="22"/>
  <c r="J18" i="22" s="1"/>
  <c r="C20" i="22"/>
  <c r="C18" i="21"/>
  <c r="C19" i="21" s="1"/>
  <c r="C20" i="21" s="1"/>
  <c r="G17" i="22"/>
  <c r="G18" i="22" s="1"/>
  <c r="G19" i="22" s="1"/>
  <c r="H13" i="21"/>
  <c r="H10" i="22"/>
  <c r="B20" i="22"/>
  <c r="G18" i="21"/>
  <c r="G19" i="21" s="1"/>
  <c r="M15" i="22"/>
  <c r="M16" i="21"/>
  <c r="J9" i="31"/>
  <c r="I18" i="31"/>
  <c r="H19" i="31"/>
  <c r="H11" i="31"/>
  <c r="I10" i="31"/>
  <c r="C4" i="33"/>
  <c r="D19" i="22" l="1"/>
  <c r="F13" i="21"/>
  <c r="L10" i="22"/>
  <c r="L13" i="21"/>
  <c r="K17" i="22"/>
  <c r="K18" i="22" s="1"/>
  <c r="J19" i="22"/>
  <c r="J20" i="22" s="1"/>
  <c r="J10" i="31"/>
  <c r="N16" i="21"/>
  <c r="N15" i="22"/>
  <c r="F18" i="21"/>
  <c r="F19" i="21" s="1"/>
  <c r="D20" i="22"/>
  <c r="F20" i="22"/>
  <c r="I10" i="22"/>
  <c r="I13" i="21"/>
  <c r="H17" i="22"/>
  <c r="H18" i="22" s="1"/>
  <c r="H19" i="22" s="1"/>
  <c r="H18" i="21"/>
  <c r="H19" i="21" s="1"/>
  <c r="I19" i="31"/>
  <c r="H20" i="31"/>
  <c r="I11" i="31"/>
  <c r="J11" i="31" s="1"/>
  <c r="H12" i="31"/>
  <c r="E18" i="21" l="1"/>
  <c r="E19" i="21" s="1"/>
  <c r="K18" i="21"/>
  <c r="K19" i="21" s="1"/>
  <c r="K19" i="22"/>
  <c r="L18" i="21" s="1"/>
  <c r="L19" i="21" s="1"/>
  <c r="M10" i="22"/>
  <c r="M13" i="21"/>
  <c r="L17" i="22"/>
  <c r="L18" i="22" s="1"/>
  <c r="E20" i="22"/>
  <c r="G20" i="22"/>
  <c r="I18" i="21"/>
  <c r="I19" i="21" s="1"/>
  <c r="I17" i="22"/>
  <c r="I18" i="22" s="1"/>
  <c r="I19" i="22" s="1"/>
  <c r="J13" i="21"/>
  <c r="N10" i="22"/>
  <c r="I12" i="31"/>
  <c r="J12" i="31" s="1"/>
  <c r="H13" i="31"/>
  <c r="I20" i="31"/>
  <c r="H21" i="31"/>
  <c r="D6" i="33"/>
  <c r="D7" i="33" s="1"/>
  <c r="N13" i="21" l="1"/>
  <c r="M17" i="22"/>
  <c r="M18" i="22" s="1"/>
  <c r="N18" i="22" s="1"/>
  <c r="B31" i="39" s="1"/>
  <c r="K20" i="22"/>
  <c r="L19" i="22"/>
  <c r="M18" i="21" s="1"/>
  <c r="M19" i="21" s="1"/>
  <c r="J18" i="21"/>
  <c r="J19" i="21" s="1"/>
  <c r="H20" i="22"/>
  <c r="I21" i="31"/>
  <c r="H22" i="31"/>
  <c r="I13" i="31"/>
  <c r="J13" i="31" s="1"/>
  <c r="H14" i="31"/>
  <c r="N17" i="22" l="1"/>
  <c r="L20" i="22"/>
  <c r="M19" i="22"/>
  <c r="I20" i="22"/>
  <c r="I14" i="31"/>
  <c r="J14" i="31" s="1"/>
  <c r="H15" i="31"/>
  <c r="I22" i="31"/>
  <c r="H23" i="31"/>
  <c r="E6" i="33"/>
  <c r="E7" i="33" s="1"/>
  <c r="N18" i="21" l="1"/>
  <c r="N19" i="21" s="1"/>
  <c r="N19" i="22"/>
  <c r="M20" i="22"/>
  <c r="N20" i="22" s="1"/>
  <c r="B32" i="39" s="1"/>
  <c r="H33" i="39" s="1"/>
  <c r="I23" i="31"/>
  <c r="H24" i="31"/>
  <c r="I15" i="31"/>
  <c r="J15" i="31" s="1"/>
  <c r="H16" i="31"/>
  <c r="I16" i="31" s="1"/>
  <c r="C6" i="33"/>
  <c r="D4" i="21"/>
  <c r="D8" i="21" s="1"/>
  <c r="D20" i="21" s="1"/>
  <c r="J16" i="31" l="1"/>
  <c r="J17" i="31" s="1"/>
  <c r="J18" i="31" s="1"/>
  <c r="J19" i="31" s="1"/>
  <c r="J20" i="31" s="1"/>
  <c r="J21" i="31" s="1"/>
  <c r="J22" i="31" s="1"/>
  <c r="J23" i="31" s="1"/>
  <c r="H25" i="31"/>
  <c r="I24" i="31"/>
  <c r="E4" i="21"/>
  <c r="E8" i="21" s="1"/>
  <c r="E20" i="21" s="1"/>
  <c r="D3" i="33"/>
  <c r="C7" i="33"/>
  <c r="C11" i="33" s="1"/>
  <c r="C9" i="33"/>
  <c r="C10" i="33"/>
  <c r="J24" i="31" l="1"/>
  <c r="H26" i="31"/>
  <c r="I25" i="31"/>
  <c r="D9" i="33"/>
  <c r="D4" i="33"/>
  <c r="D10" i="33" s="1"/>
  <c r="D11" i="33"/>
  <c r="E3" i="33"/>
  <c r="F4" i="21"/>
  <c r="F8" i="21" s="1"/>
  <c r="F20" i="21" s="1"/>
  <c r="J25" i="31" l="1"/>
  <c r="F6" i="33"/>
  <c r="F7" i="33" s="1"/>
  <c r="I26" i="31"/>
  <c r="H27" i="31"/>
  <c r="G4" i="21"/>
  <c r="G8" i="21" s="1"/>
  <c r="G20" i="21" s="1"/>
  <c r="F3" i="33"/>
  <c r="E9" i="33"/>
  <c r="E4" i="33"/>
  <c r="E10" i="33" s="1"/>
  <c r="E11" i="33"/>
  <c r="J26" i="31" l="1"/>
  <c r="I27" i="31"/>
  <c r="H28" i="31"/>
  <c r="F11" i="33"/>
  <c r="F4" i="33"/>
  <c r="F10" i="33" s="1"/>
  <c r="F9" i="33"/>
  <c r="G3" i="33"/>
  <c r="J27" i="31" l="1"/>
  <c r="H30" i="31"/>
  <c r="I29" i="31"/>
  <c r="H4" i="21"/>
  <c r="H8" i="21" s="1"/>
  <c r="H20" i="21" s="1"/>
  <c r="I28" i="31"/>
  <c r="G4" i="33"/>
  <c r="I6" i="33"/>
  <c r="I7" i="33" s="1"/>
  <c r="H31" i="31" l="1"/>
  <c r="I30" i="31"/>
  <c r="G6" i="33"/>
  <c r="G7" i="33" s="1"/>
  <c r="G11" i="33" s="1"/>
  <c r="J28" i="31"/>
  <c r="J29" i="31" s="1"/>
  <c r="H3" i="33"/>
  <c r="J30" i="31" l="1"/>
  <c r="I31" i="31"/>
  <c r="H32" i="31"/>
  <c r="G10" i="33"/>
  <c r="G9" i="33"/>
  <c r="H6" i="33"/>
  <c r="H7" i="33" s="1"/>
  <c r="H11" i="33" s="1"/>
  <c r="I4" i="21"/>
  <c r="I8" i="21" s="1"/>
  <c r="I20" i="21" s="1"/>
  <c r="J6" i="33"/>
  <c r="J7" i="33" s="1"/>
  <c r="H4" i="33"/>
  <c r="J31" i="31" l="1"/>
  <c r="H33" i="31"/>
  <c r="I32" i="31"/>
  <c r="H9" i="33"/>
  <c r="J4" i="21"/>
  <c r="J8" i="21" s="1"/>
  <c r="J20" i="21" s="1"/>
  <c r="I3" i="33"/>
  <c r="H10" i="33"/>
  <c r="J32" i="31" l="1"/>
  <c r="H34" i="31"/>
  <c r="I33" i="31"/>
  <c r="J3" i="33"/>
  <c r="K4" i="21"/>
  <c r="K8" i="21" s="1"/>
  <c r="K20" i="21" s="1"/>
  <c r="I9" i="33"/>
  <c r="I4" i="33"/>
  <c r="I10" i="33" s="1"/>
  <c r="I11" i="33"/>
  <c r="J33" i="31" l="1"/>
  <c r="H35" i="31"/>
  <c r="I34" i="31"/>
  <c r="K6" i="33"/>
  <c r="K7" i="33" s="1"/>
  <c r="K3" i="33"/>
  <c r="L4" i="21"/>
  <c r="L8" i="21" s="1"/>
  <c r="L20" i="21" s="1"/>
  <c r="J4" i="33"/>
  <c r="J10" i="33" s="1"/>
  <c r="J11" i="33"/>
  <c r="J9" i="33"/>
  <c r="J34" i="31" l="1"/>
  <c r="H36" i="31"/>
  <c r="I35" i="31"/>
  <c r="K4" i="33"/>
  <c r="K10" i="33" s="1"/>
  <c r="K9" i="33"/>
  <c r="K11" i="33"/>
  <c r="L3" i="33"/>
  <c r="J35" i="31" l="1"/>
  <c r="H37" i="31"/>
  <c r="I36" i="31"/>
  <c r="L6" i="33"/>
  <c r="L7" i="33" s="1"/>
  <c r="L11" i="33" s="1"/>
  <c r="L4" i="33"/>
  <c r="M4" i="21"/>
  <c r="M8" i="21" s="1"/>
  <c r="M20" i="21" s="1"/>
  <c r="J36" i="31" l="1"/>
  <c r="H38" i="31"/>
  <c r="I37" i="31"/>
  <c r="L9" i="33"/>
  <c r="L10" i="33"/>
  <c r="M3" i="33"/>
  <c r="J37" i="31" l="1"/>
  <c r="H39" i="31"/>
  <c r="I38" i="31"/>
  <c r="M6" i="33"/>
  <c r="M7" i="33" s="1"/>
  <c r="M11" i="33" s="1"/>
  <c r="M4" i="33"/>
  <c r="N4" i="21"/>
  <c r="N8" i="21" s="1"/>
  <c r="N20" i="21" s="1"/>
  <c r="B33" i="39" s="1"/>
  <c r="J38" i="31" l="1"/>
  <c r="H40" i="31"/>
  <c r="I39" i="31"/>
  <c r="M10" i="33"/>
  <c r="M9" i="33"/>
  <c r="N3" i="33"/>
  <c r="O3" i="33" s="1"/>
  <c r="J39" i="31" l="1"/>
  <c r="I40" i="31"/>
  <c r="I41" i="31" s="1"/>
  <c r="H41" i="31"/>
  <c r="N4" i="33"/>
  <c r="J40" i="31" l="1"/>
  <c r="N6" i="33"/>
  <c r="N10" i="33" s="1"/>
  <c r="N7" i="33" l="1"/>
  <c r="N11" i="33" s="1"/>
  <c r="N9" i="33"/>
  <c r="F15" i="33"/>
  <c r="F14" i="33"/>
  <c r="E14" i="33" l="1"/>
  <c r="H31" i="39" s="1"/>
  <c r="E15" i="33"/>
  <c r="H32" i="39" s="1"/>
  <c r="G15" i="33"/>
  <c r="G14" i="33"/>
</calcChain>
</file>

<file path=xl/sharedStrings.xml><?xml version="1.0" encoding="utf-8"?>
<sst xmlns="http://schemas.openxmlformats.org/spreadsheetml/2006/main" count="613" uniqueCount="300">
  <si>
    <t>TOTAL</t>
  </si>
  <si>
    <t>TOTAL SALES</t>
  </si>
  <si>
    <t>EXPENSES</t>
  </si>
  <si>
    <t>GROSS PROFIT</t>
  </si>
  <si>
    <t>Rent</t>
  </si>
  <si>
    <t>Depreciation</t>
  </si>
  <si>
    <t>Interest</t>
  </si>
  <si>
    <t>Equity</t>
  </si>
  <si>
    <t>Loan Repayment</t>
  </si>
  <si>
    <t>Components</t>
  </si>
  <si>
    <t>Pre Startup</t>
  </si>
  <si>
    <t>CASH INFLOW</t>
  </si>
  <si>
    <t>Cash at Hand (beginning of month)</t>
  </si>
  <si>
    <t>Cash Sales</t>
  </si>
  <si>
    <t>Loan Proceed</t>
  </si>
  <si>
    <t>Total Cash Inflow</t>
  </si>
  <si>
    <t>CASH OUTFLOW</t>
  </si>
  <si>
    <t>Pre-operating Expenses</t>
  </si>
  <si>
    <t>Operating Expenses</t>
  </si>
  <si>
    <t>Insurance</t>
  </si>
  <si>
    <t>Other expenses</t>
  </si>
  <si>
    <t>Income Tax</t>
  </si>
  <si>
    <t>Total Cash Outflow</t>
  </si>
  <si>
    <t>Cash Balance (end of the month)</t>
  </si>
  <si>
    <t>Total</t>
  </si>
  <si>
    <t>Other Expenses</t>
  </si>
  <si>
    <t>TOTAL EXPENSES</t>
  </si>
  <si>
    <t>NET PROFIT BEFORE TAX</t>
  </si>
  <si>
    <t>NET PROFIT AFTER TAX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</si>
  <si>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</si>
  <si>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</si>
  <si>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</si>
  <si>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</si>
  <si>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</si>
  <si>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</si>
  <si>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</si>
  <si>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</si>
  <si>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</si>
  <si>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</si>
  <si>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</si>
  <si>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</si>
  <si>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Qty</t>
  </si>
  <si>
    <t>Amt</t>
  </si>
  <si>
    <t>Telephone</t>
  </si>
  <si>
    <t>IRR</t>
  </si>
  <si>
    <t>NPV</t>
  </si>
  <si>
    <t>Price/ Unit</t>
  </si>
  <si>
    <t>Total Revenue</t>
  </si>
  <si>
    <t xml:space="preserve">   </t>
  </si>
  <si>
    <t>Cash Inflow</t>
  </si>
  <si>
    <t>Red Rev 20%</t>
  </si>
  <si>
    <t>Cash Outflow</t>
  </si>
  <si>
    <t>Inc Cost 15%</t>
  </si>
  <si>
    <t>Presented</t>
  </si>
  <si>
    <t>Scenerio 1</t>
  </si>
  <si>
    <t>Scenerio 2</t>
  </si>
  <si>
    <t>Scenario 1</t>
  </si>
  <si>
    <t>Scenario 2</t>
  </si>
  <si>
    <t xml:space="preserve">SENSITIVITY ANALYSIS FOR </t>
  </si>
  <si>
    <t>TOTAL COST OF SALES</t>
  </si>
  <si>
    <t>Product 30</t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</si>
  <si>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</si>
  <si>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</si>
  <si>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</si>
  <si>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</si>
  <si>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</si>
  <si>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</si>
  <si>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</si>
  <si>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</si>
  <si>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</si>
  <si>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</si>
  <si>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</si>
  <si>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</si>
  <si>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Expenses</t>
  </si>
  <si>
    <t>Salary</t>
  </si>
  <si>
    <t>Transport and logistics</t>
  </si>
  <si>
    <t>Total Expense</t>
  </si>
  <si>
    <t>Assumptions:</t>
  </si>
  <si>
    <t xml:space="preserve">Jan- Mar </t>
  </si>
  <si>
    <t>Apr-June</t>
  </si>
  <si>
    <t>July-Sept</t>
  </si>
  <si>
    <t>Oct-Dec</t>
  </si>
  <si>
    <t>ITEMS</t>
  </si>
  <si>
    <t>AMOUNT</t>
  </si>
  <si>
    <t>COMMENT</t>
  </si>
  <si>
    <t>Month</t>
  </si>
  <si>
    <t>Principal</t>
  </si>
  <si>
    <t xml:space="preserve">Monthly Principal </t>
  </si>
  <si>
    <t>Monthly Interest</t>
  </si>
  <si>
    <t>Principal + Interest</t>
  </si>
  <si>
    <t xml:space="preserve">Cumulative </t>
  </si>
  <si>
    <t>Initial Operating Expenses -3months</t>
  </si>
  <si>
    <t>SOURCES  OF  FUNDS</t>
  </si>
  <si>
    <t>%</t>
  </si>
  <si>
    <t xml:space="preserve">Personal Fund /Equity </t>
  </si>
  <si>
    <t>Bank Loan</t>
  </si>
  <si>
    <t xml:space="preserve">Total Funds Sourced </t>
  </si>
  <si>
    <t>SALARY</t>
  </si>
  <si>
    <t>NAME</t>
  </si>
  <si>
    <t>DESIGNATION</t>
  </si>
  <si>
    <t>MONTHLY SALARY(N)</t>
  </si>
  <si>
    <t>ANNUAL SALARY(N)</t>
  </si>
  <si>
    <t>Staff 1</t>
  </si>
  <si>
    <t>Staff 2</t>
  </si>
  <si>
    <t>Staff 3</t>
  </si>
  <si>
    <t>Staff 4</t>
  </si>
  <si>
    <t>Staff 5</t>
  </si>
  <si>
    <t>Staff 6</t>
  </si>
  <si>
    <t>Staff 7</t>
  </si>
  <si>
    <t>S/N</t>
  </si>
  <si>
    <t>Stock / Item</t>
  </si>
  <si>
    <t>Quantity</t>
  </si>
  <si>
    <t>Unit Cost</t>
  </si>
  <si>
    <t>Description</t>
  </si>
  <si>
    <t>EQUIPMENT</t>
  </si>
  <si>
    <t>QTY</t>
  </si>
  <si>
    <t>LIFE SPAN (MONTHS)</t>
  </si>
  <si>
    <r>
      <t xml:space="preserve">MONTHLY DEPRECIATION </t>
    </r>
    <r>
      <rPr>
        <b/>
        <strike/>
        <sz val="11"/>
        <color theme="1"/>
        <rFont val="Calibri"/>
        <family val="2"/>
        <scheme val="minor"/>
      </rPr>
      <t>N</t>
    </r>
  </si>
  <si>
    <t>DESCRIPTION</t>
  </si>
  <si>
    <t>EQUIPMENT DEPRICIATION TABLE</t>
  </si>
  <si>
    <t>DESCRIPTION/ DETAILS</t>
  </si>
  <si>
    <r>
      <t xml:space="preserve">AMOUNT </t>
    </r>
    <r>
      <rPr>
        <b/>
        <strike/>
        <sz val="12"/>
        <color theme="1"/>
        <rFont val="Calibri"/>
        <family val="2"/>
        <scheme val="minor"/>
      </rPr>
      <t>N</t>
    </r>
  </si>
  <si>
    <t xml:space="preserve">Rental of store </t>
  </si>
  <si>
    <t xml:space="preserve">Equipment </t>
  </si>
  <si>
    <t>Recruitment of staff</t>
  </si>
  <si>
    <t>PRE-OPERATING ACTIVITIES AND EXPENSES</t>
  </si>
  <si>
    <t>PRE-OPERATING ACTIVITIES</t>
  </si>
  <si>
    <t>5% of equipment + 5% of Initial stock</t>
  </si>
  <si>
    <t>Initial advertisement</t>
  </si>
  <si>
    <t>Business registration</t>
  </si>
  <si>
    <t>Loan Repayment Schedule</t>
  </si>
  <si>
    <t>ASSUMPTION</t>
  </si>
  <si>
    <t>OTHER INCOME</t>
  </si>
  <si>
    <t>TOTAL INCOME</t>
  </si>
  <si>
    <t>Bad Debt</t>
  </si>
  <si>
    <t>Provision for discount allowed</t>
  </si>
  <si>
    <t>ITEM</t>
  </si>
  <si>
    <t>DECRIPTION</t>
  </si>
  <si>
    <t>QTY CONSIDERED</t>
  </si>
  <si>
    <t>WHOLE SELL COST PRICE (N)</t>
  </si>
  <si>
    <t>WHOLE SALE SELLING PRICE (N)</t>
  </si>
  <si>
    <t>UNIT SELLING PRICE (N)</t>
  </si>
  <si>
    <t>UNIT COST PRICE (N)</t>
  </si>
  <si>
    <t>Total Cost</t>
  </si>
  <si>
    <t>UNIT COST (N)</t>
  </si>
  <si>
    <t>VALUE (N)</t>
  </si>
  <si>
    <t>Repair &amp; Maintenance</t>
  </si>
  <si>
    <t>Advertising</t>
  </si>
  <si>
    <t>Account/legal</t>
  </si>
  <si>
    <t>Consumables</t>
  </si>
  <si>
    <t>Delivery</t>
  </si>
  <si>
    <t>Fuel/Diesel</t>
  </si>
  <si>
    <t>Utilities (NEPA /WATER)</t>
  </si>
  <si>
    <t>Security fee</t>
  </si>
  <si>
    <t>1. Salary is assumed to increase by 5% yearly.</t>
  </si>
  <si>
    <t xml:space="preserve">                                  QUATERLY OPERATING EXPENSES</t>
  </si>
  <si>
    <t>Other income</t>
  </si>
  <si>
    <t xml:space="preserve">Profile </t>
  </si>
  <si>
    <t>Name of business</t>
  </si>
  <si>
    <t>Type of Business (Production, Service, Trade)</t>
  </si>
  <si>
    <t xml:space="preserve">Product/Services </t>
  </si>
  <si>
    <t>Business Location</t>
  </si>
  <si>
    <t>Name of promoter</t>
  </si>
  <si>
    <t>Phone</t>
  </si>
  <si>
    <t>Gender</t>
  </si>
  <si>
    <t>Age</t>
  </si>
  <si>
    <t>Email</t>
  </si>
  <si>
    <t xml:space="preserve">Contact Home address </t>
  </si>
  <si>
    <t xml:space="preserve">State of Origin </t>
  </si>
  <si>
    <t>Business Status (Startup, Existing, Expansion)</t>
  </si>
  <si>
    <t xml:space="preserve">Likely take off date for the business </t>
  </si>
  <si>
    <t>Type of ownership</t>
  </si>
  <si>
    <t xml:space="preserve">Investment </t>
  </si>
  <si>
    <t>Number of employee</t>
  </si>
  <si>
    <t>Loan</t>
  </si>
  <si>
    <t>Total value of Equipment</t>
  </si>
  <si>
    <t>Loan tenor ( Months)</t>
  </si>
  <si>
    <t>Total pre-operating exp</t>
  </si>
  <si>
    <t>Moratorium</t>
  </si>
  <si>
    <t>3 MONTHS</t>
  </si>
  <si>
    <t>Monthly Operating exp</t>
  </si>
  <si>
    <t>Interest rated considered</t>
  </si>
  <si>
    <t>Financial indicators</t>
  </si>
  <si>
    <t>Number of Months projected:</t>
  </si>
  <si>
    <t xml:space="preserve">Type of Projection </t>
  </si>
  <si>
    <t>Total turnover</t>
  </si>
  <si>
    <t>Length or period (Months)</t>
  </si>
  <si>
    <t>Total Gross profit</t>
  </si>
  <si>
    <t>Total Net Profit bf tax</t>
  </si>
  <si>
    <t>Net profit after tax</t>
  </si>
  <si>
    <t>Cash balance end of the period</t>
  </si>
  <si>
    <t>ROI</t>
  </si>
  <si>
    <t xml:space="preserve">Trainees Batch Number: </t>
  </si>
  <si>
    <t>Supervisor’s Name</t>
  </si>
  <si>
    <t>Training Location:</t>
  </si>
  <si>
    <t>Date of Submission:</t>
  </si>
  <si>
    <t>Number of copy Submitted:</t>
  </si>
  <si>
    <t>2. Moratorium is assumed at three month.</t>
  </si>
  <si>
    <t>1. Interest rate is at 9% on an annual reducing balance method.</t>
  </si>
  <si>
    <t>A4 Paper</t>
  </si>
  <si>
    <t>Pen</t>
  </si>
  <si>
    <t xml:space="preserve">Stapple Pin </t>
  </si>
  <si>
    <t>Data</t>
  </si>
  <si>
    <t>Marker</t>
  </si>
  <si>
    <t>Binding Materials</t>
  </si>
  <si>
    <t>DVD RW</t>
  </si>
  <si>
    <t>DVD Pack</t>
  </si>
  <si>
    <t>Laminating Film</t>
  </si>
  <si>
    <t>Business Card</t>
  </si>
  <si>
    <t>Board Cleaner</t>
  </si>
  <si>
    <t>Board Cleaner Spirit</t>
  </si>
  <si>
    <t>Toileteries</t>
  </si>
  <si>
    <t>GOTv Subscription</t>
  </si>
  <si>
    <t>Black Toner Printer</t>
  </si>
  <si>
    <t>Color Toner Printer</t>
  </si>
  <si>
    <t>online database system</t>
  </si>
  <si>
    <t>Uk used HP laserjet printer</t>
  </si>
  <si>
    <t>A3 colour printer</t>
  </si>
  <si>
    <t>wifi installation</t>
  </si>
  <si>
    <t>Digital personal fingerprint</t>
  </si>
  <si>
    <t>Projector/screen</t>
  </si>
  <si>
    <t>1 KVA inverter</t>
  </si>
  <si>
    <t>Office fittings/furniture</t>
  </si>
  <si>
    <t>VSAT wireless</t>
  </si>
  <si>
    <t>Biometric
 scanner</t>
  </si>
  <si>
    <t>Photocopier Toner</t>
  </si>
  <si>
    <t>A4 black &amp; white printers</t>
  </si>
  <si>
    <t>Laminating machine</t>
  </si>
  <si>
    <t>Aluminium Show glass</t>
  </si>
  <si>
    <t>Initial / Expanding Stock</t>
  </si>
  <si>
    <t>Earpiece</t>
  </si>
  <si>
    <t>Headset</t>
  </si>
  <si>
    <t>8 gig memory card</t>
  </si>
  <si>
    <t>16 gig memory card</t>
  </si>
  <si>
    <t>phone chargers</t>
  </si>
  <si>
    <t>USB cords</t>
  </si>
  <si>
    <t>8 gig USB flashdrives</t>
  </si>
  <si>
    <t>16 gig USB flashdrives</t>
  </si>
  <si>
    <t xml:space="preserve">Black and White Printing </t>
  </si>
  <si>
    <t>Black and White Printing</t>
  </si>
  <si>
    <t>Photocopy</t>
  </si>
  <si>
    <t>Coloured printing</t>
  </si>
  <si>
    <t>Scanning</t>
  </si>
  <si>
    <t>DVD + burning</t>
  </si>
  <si>
    <t>A3 paper</t>
  </si>
  <si>
    <t>3 months salary</t>
  </si>
  <si>
    <t>Premium website design</t>
  </si>
  <si>
    <t>Basic website design</t>
  </si>
  <si>
    <t>Advanced website design</t>
  </si>
  <si>
    <t>Typesetting</t>
  </si>
  <si>
    <t>Online registrations</t>
  </si>
  <si>
    <t>Spiral binding</t>
  </si>
  <si>
    <t>Data analysis</t>
  </si>
  <si>
    <t>OS installations/computer repairs</t>
  </si>
  <si>
    <t>Data recovery</t>
  </si>
  <si>
    <t>C.E.O</t>
  </si>
  <si>
    <t>Computer operator 1</t>
  </si>
  <si>
    <t>Total Expansion Capital Estimated</t>
  </si>
  <si>
    <t>large format printing</t>
  </si>
  <si>
    <t>UK used desktop computers</t>
  </si>
  <si>
    <t>4 gig ram, 120HDD, 3.9GHz</t>
  </si>
  <si>
    <t>8 gig flashdrive</t>
  </si>
  <si>
    <t>16 gig flashdrive</t>
  </si>
  <si>
    <t>Phone charger</t>
  </si>
  <si>
    <t>Black and White A3 Printing</t>
  </si>
  <si>
    <t>Coloured A3 printing</t>
  </si>
  <si>
    <t>ICT training (Web design &amp; graphics)</t>
  </si>
  <si>
    <t>Computer training (Desktop publishing)</t>
  </si>
  <si>
    <t>ICT training (Data analysis &amp; computer repairs)</t>
  </si>
  <si>
    <t>Internet services (100mb data)</t>
  </si>
  <si>
    <t>Functional Website</t>
  </si>
  <si>
    <t>Furniture /Fittings/Installation</t>
  </si>
  <si>
    <t>PRODUCTS AND SERVICES</t>
  </si>
  <si>
    <t>SOLE PROPRIETOR</t>
  </si>
  <si>
    <t>36 MONTHS</t>
  </si>
  <si>
    <t>Expansion Capital</t>
  </si>
  <si>
    <t>1 (Jan-Mar)</t>
  </si>
  <si>
    <t>2(Apr-Jun)</t>
  </si>
  <si>
    <t>3(Jul-Sep)</t>
  </si>
  <si>
    <t>4(Oct-Dec)</t>
  </si>
  <si>
    <t>5(Jan-Mar)</t>
  </si>
  <si>
    <t>6(Apr-Jun)</t>
  </si>
  <si>
    <t>7(Jul-Sep)</t>
  </si>
  <si>
    <t>8(Oct-Dec)</t>
  </si>
  <si>
    <t>9(Jan-Mar)</t>
  </si>
  <si>
    <t>10(Apr-Jun)</t>
  </si>
  <si>
    <t>11(Jul-Sep)</t>
  </si>
  <si>
    <t>12(Oct-Dec)</t>
  </si>
  <si>
    <t>Expanding Stock (3 months)</t>
  </si>
  <si>
    <t>2 years rent</t>
  </si>
  <si>
    <t>Initial/Required Expansion Capital Estimate</t>
  </si>
  <si>
    <t>PROPOSED PRICE LIST</t>
  </si>
  <si>
    <t>QUARTERLY COST FORECAST</t>
  </si>
  <si>
    <t>QUARTERLY SALES FORECAST</t>
  </si>
  <si>
    <t>QUARTERLY PROFIT AND LOSS PROJECTION</t>
  </si>
  <si>
    <t>TRI-Monthly Cash flow Plan (36 Months)</t>
  </si>
  <si>
    <t>value of equipments + 13% of inflation</t>
  </si>
  <si>
    <t xml:space="preserve">ICT training </t>
  </si>
  <si>
    <t>ICT training (ICT)</t>
  </si>
  <si>
    <r>
      <t>Opening inventory</t>
    </r>
    <r>
      <rPr>
        <sz val="12"/>
        <color indexed="8"/>
        <rFont val="Times New Roman"/>
        <family val="1"/>
      </rPr>
      <t xml:space="preserve"> Total Cost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</si>
</sst>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[Red]\(&quot;$&quot;#,##0.00\)"/>
    <numFmt numFmtId="165" formatCode="_(* #,##0.00_);_(* \(#,##0.00\);_(* &quot;-&quot;??_);_(@_)"/>
    <numFmt numFmtId="166" formatCode="_(* #,##0_);_(* \(#,##0\);_(* &quot;-&quot;??_);_(@_)"/>
    <numFmt numFmtId="167" formatCode="#,##0.00;[Red]#,##0.00"/>
  </numFmts>
  <fonts count="4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  <font>
      <sz val="11"/>
      <color theme="1"/>
      <name val="Book Antiqua"/>
      <family val="1"/>
    </font>
    <font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indexed="8"/>
      <name val="Times New Roman"/>
      <family val="1"/>
    </font>
    <font>
      <b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lgerian"/>
      <family val="5"/>
    </font>
    <font>
      <b/>
      <strike/>
      <sz val="11"/>
      <color theme="1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5" fontId="7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2" fillId="0" borderId="0"/>
    <xf numFmtId="0" fontId="35" fillId="0" borderId="0" applyNumberFormat="0" applyFill="0" applyBorder="0" applyAlignment="0" applyProtection="0"/>
  </cellStyleXfs>
  <cellXfs count="229">
    <xf numFmtId="0" fontId="0" fillId="0" borderId="0" xfId="0"/>
    <xf numFmtId="0" fontId="0" fillId="0" borderId="0" xfId="0"/>
    <xf numFmtId="0" fontId="8" fillId="0" borderId="0" xfId="0" applyFont="1"/>
    <xf numFmtId="0" fontId="11" fillId="0" borderId="2" xfId="0" applyFont="1" applyBorder="1" applyAlignment="1">
      <alignment vertical="top" wrapText="1"/>
    </xf>
    <xf numFmtId="0" fontId="13" fillId="0" borderId="4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3" fontId="0" fillId="0" borderId="0" xfId="0" applyNumberFormat="1"/>
    <xf numFmtId="165" fontId="0" fillId="0" borderId="0" xfId="0" applyNumberFormat="1"/>
    <xf numFmtId="0" fontId="13" fillId="0" borderId="4" xfId="0" applyFont="1" applyFill="1" applyBorder="1" applyAlignment="1">
      <alignment vertical="top" wrapText="1"/>
    </xf>
    <xf numFmtId="0" fontId="15" fillId="0" borderId="0" xfId="0" applyFont="1"/>
    <xf numFmtId="166" fontId="13" fillId="2" borderId="4" xfId="1" applyNumberFormat="1" applyFont="1" applyFill="1" applyBorder="1" applyAlignment="1">
      <alignment vertical="top" wrapText="1"/>
    </xf>
    <xf numFmtId="166" fontId="13" fillId="0" borderId="4" xfId="1" applyNumberFormat="1" applyFont="1" applyBorder="1" applyAlignment="1">
      <alignment vertical="top" wrapText="1"/>
    </xf>
    <xf numFmtId="166" fontId="13" fillId="0" borderId="5" xfId="1" applyNumberFormat="1" applyFont="1" applyBorder="1" applyAlignment="1">
      <alignment vertical="top" wrapText="1"/>
    </xf>
    <xf numFmtId="166" fontId="14" fillId="2" borderId="4" xfId="1" applyNumberFormat="1" applyFont="1" applyFill="1" applyBorder="1" applyAlignment="1">
      <alignment vertical="top" wrapText="1"/>
    </xf>
    <xf numFmtId="166" fontId="11" fillId="0" borderId="4" xfId="1" applyNumberFormat="1" applyFont="1" applyBorder="1" applyAlignment="1">
      <alignment vertical="top" wrapText="1"/>
    </xf>
    <xf numFmtId="166" fontId="14" fillId="0" borderId="5" xfId="1" applyNumberFormat="1" applyFont="1" applyBorder="1" applyAlignment="1">
      <alignment vertical="top" wrapText="1"/>
    </xf>
    <xf numFmtId="166" fontId="12" fillId="0" borderId="2" xfId="1" applyNumberFormat="1" applyFont="1" applyBorder="1" applyAlignment="1">
      <alignment vertical="top" wrapText="1"/>
    </xf>
    <xf numFmtId="0" fontId="17" fillId="0" borderId="0" xfId="0" applyFont="1"/>
    <xf numFmtId="0" fontId="12" fillId="0" borderId="3" xfId="0" applyFont="1" applyBorder="1" applyAlignment="1">
      <alignment horizontal="center" vertical="top" wrapText="1"/>
    </xf>
    <xf numFmtId="0" fontId="4" fillId="0" borderId="0" xfId="3" applyFont="1" applyBorder="1" applyAlignment="1">
      <alignment horizontal="center"/>
    </xf>
    <xf numFmtId="0" fontId="5" fillId="0" borderId="0" xfId="3" applyFont="1" applyBorder="1" applyAlignment="1">
      <alignment horizontal="left"/>
    </xf>
    <xf numFmtId="0" fontId="7" fillId="0" borderId="0" xfId="3" applyFont="1"/>
    <xf numFmtId="0" fontId="7" fillId="0" borderId="0" xfId="3" applyFont="1" applyAlignment="1">
      <alignment horizontal="center"/>
    </xf>
    <xf numFmtId="166" fontId="6" fillId="3" borderId="0" xfId="2" applyNumberFormat="1" applyFont="1" applyFill="1" applyBorder="1" applyAlignment="1">
      <alignment wrapText="1"/>
    </xf>
    <xf numFmtId="166" fontId="6" fillId="3" borderId="0" xfId="2" applyNumberFormat="1" applyFont="1" applyFill="1" applyBorder="1" applyAlignment="1">
      <alignment horizontal="right" vertical="top" wrapText="1"/>
    </xf>
    <xf numFmtId="166" fontId="6" fillId="0" borderId="0" xfId="2" applyNumberFormat="1" applyFont="1" applyBorder="1" applyAlignment="1">
      <alignment wrapText="1"/>
    </xf>
    <xf numFmtId="166" fontId="19" fillId="0" borderId="0" xfId="2" applyNumberFormat="1" applyFont="1" applyBorder="1"/>
    <xf numFmtId="166" fontId="6" fillId="0" borderId="0" xfId="0" applyNumberFormat="1" applyFont="1" applyBorder="1" applyAlignment="1">
      <alignment horizontal="right" vertical="top" wrapText="1"/>
    </xf>
    <xf numFmtId="166" fontId="1" fillId="0" borderId="0" xfId="2" applyNumberFormat="1" applyFont="1" applyBorder="1"/>
    <xf numFmtId="166" fontId="7" fillId="0" borderId="0" xfId="2" applyNumberFormat="1" applyFont="1"/>
    <xf numFmtId="3" fontId="7" fillId="0" borderId="0" xfId="3" applyNumberFormat="1" applyFont="1"/>
    <xf numFmtId="165" fontId="7" fillId="0" borderId="0" xfId="2" applyFont="1"/>
    <xf numFmtId="164" fontId="7" fillId="0" borderId="0" xfId="3" applyNumberFormat="1" applyFont="1"/>
    <xf numFmtId="9" fontId="7" fillId="0" borderId="0" xfId="3" applyNumberFormat="1" applyFont="1"/>
    <xf numFmtId="166" fontId="14" fillId="0" borderId="10" xfId="1" applyNumberFormat="1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166" fontId="14" fillId="2" borderId="7" xfId="1" applyNumberFormat="1" applyFont="1" applyFill="1" applyBorder="1" applyAlignment="1">
      <alignment vertical="top" wrapText="1"/>
    </xf>
    <xf numFmtId="166" fontId="13" fillId="0" borderId="7" xfId="1" applyNumberFormat="1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166" fontId="13" fillId="0" borderId="10" xfId="1" applyNumberFormat="1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20" fillId="0" borderId="1" xfId="0" applyFont="1" applyBorder="1" applyAlignment="1">
      <alignment horizontal="center"/>
    </xf>
    <xf numFmtId="0" fontId="18" fillId="0" borderId="0" xfId="0" applyFont="1"/>
    <xf numFmtId="0" fontId="17" fillId="0" borderId="1" xfId="0" applyFont="1" applyBorder="1"/>
    <xf numFmtId="0" fontId="18" fillId="0" borderId="1" xfId="0" applyFont="1" applyBorder="1"/>
    <xf numFmtId="0" fontId="23" fillId="0" borderId="1" xfId="0" applyFont="1" applyBorder="1" applyAlignment="1">
      <alignment horizontal="left"/>
    </xf>
    <xf numFmtId="0" fontId="16" fillId="0" borderId="0" xfId="0" applyFont="1"/>
    <xf numFmtId="0" fontId="23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4" fontId="24" fillId="0" borderId="1" xfId="0" applyNumberFormat="1" applyFont="1" applyBorder="1"/>
    <xf numFmtId="4" fontId="23" fillId="0" borderId="1" xfId="0" applyNumberFormat="1" applyFont="1" applyBorder="1"/>
    <xf numFmtId="0" fontId="25" fillId="0" borderId="13" xfId="0" applyFont="1" applyBorder="1"/>
    <xf numFmtId="0" fontId="24" fillId="0" borderId="0" xfId="0" applyFont="1"/>
    <xf numFmtId="0" fontId="26" fillId="0" borderId="0" xfId="0" applyFont="1"/>
    <xf numFmtId="0" fontId="18" fillId="0" borderId="0" xfId="0" applyFont="1" applyBorder="1"/>
    <xf numFmtId="0" fontId="21" fillId="0" borderId="0" xfId="0" applyFont="1" applyBorder="1"/>
    <xf numFmtId="3" fontId="22" fillId="0" borderId="0" xfId="0" applyNumberFormat="1" applyFont="1" applyBorder="1"/>
    <xf numFmtId="0" fontId="17" fillId="0" borderId="0" xfId="0" applyFont="1" applyBorder="1"/>
    <xf numFmtId="3" fontId="22" fillId="0" borderId="0" xfId="0" applyNumberFormat="1" applyFont="1" applyBorder="1" applyAlignment="1">
      <alignment horizontal="center"/>
    </xf>
    <xf numFmtId="167" fontId="22" fillId="0" borderId="0" xfId="0" applyNumberFormat="1" applyFont="1" applyBorder="1" applyAlignment="1">
      <alignment horizontal="center"/>
    </xf>
    <xf numFmtId="3" fontId="21" fillId="0" borderId="0" xfId="0" applyNumberFormat="1" applyFont="1" applyBorder="1"/>
    <xf numFmtId="0" fontId="0" fillId="0" borderId="18" xfId="0" applyBorder="1"/>
    <xf numFmtId="0" fontId="0" fillId="0" borderId="1" xfId="0" applyBorder="1"/>
    <xf numFmtId="0" fontId="31" fillId="0" borderId="0" xfId="0" applyFont="1"/>
    <xf numFmtId="0" fontId="17" fillId="0" borderId="1" xfId="0" applyFont="1" applyBorder="1" applyAlignment="1">
      <alignment horizontal="right"/>
    </xf>
    <xf numFmtId="0" fontId="17" fillId="0" borderId="15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 wrapText="1"/>
    </xf>
    <xf numFmtId="0" fontId="17" fillId="0" borderId="17" xfId="0" applyFont="1" applyFill="1" applyBorder="1" applyAlignment="1">
      <alignment horizontal="center"/>
    </xf>
    <xf numFmtId="165" fontId="18" fillId="0" borderId="1" xfId="1" applyFont="1" applyBorder="1"/>
    <xf numFmtId="0" fontId="18" fillId="0" borderId="18" xfId="0" applyFont="1" applyBorder="1"/>
    <xf numFmtId="165" fontId="18" fillId="0" borderId="1" xfId="1" applyFont="1" applyFill="1" applyBorder="1"/>
    <xf numFmtId="0" fontId="18" fillId="0" borderId="1" xfId="0" applyFont="1" applyBorder="1" applyAlignment="1">
      <alignment wrapText="1"/>
    </xf>
    <xf numFmtId="165" fontId="17" fillId="0" borderId="1" xfId="0" applyNumberFormat="1" applyFont="1" applyBorder="1"/>
    <xf numFmtId="165" fontId="18" fillId="0" borderId="1" xfId="0" applyNumberFormat="1" applyFont="1" applyFill="1" applyBorder="1"/>
    <xf numFmtId="9" fontId="18" fillId="0" borderId="1" xfId="0" applyNumberFormat="1" applyFont="1" applyBorder="1"/>
    <xf numFmtId="4" fontId="18" fillId="4" borderId="1" xfId="0" applyNumberFormat="1" applyFont="1" applyFill="1" applyBorder="1"/>
    <xf numFmtId="9" fontId="17" fillId="0" borderId="1" xfId="0" applyNumberFormat="1" applyFont="1" applyBorder="1"/>
    <xf numFmtId="0" fontId="18" fillId="0" borderId="19" xfId="0" applyFont="1" applyBorder="1"/>
    <xf numFmtId="165" fontId="18" fillId="0" borderId="19" xfId="1" applyFont="1" applyFill="1" applyBorder="1"/>
    <xf numFmtId="165" fontId="18" fillId="0" borderId="19" xfId="1" applyFont="1" applyBorder="1"/>
    <xf numFmtId="0" fontId="12" fillId="0" borderId="0" xfId="0" applyFont="1"/>
    <xf numFmtId="0" fontId="14" fillId="0" borderId="0" xfId="0" applyFont="1"/>
    <xf numFmtId="0" fontId="12" fillId="0" borderId="1" xfId="0" applyFont="1" applyBorder="1"/>
    <xf numFmtId="0" fontId="14" fillId="0" borderId="1" xfId="0" applyFont="1" applyBorder="1"/>
    <xf numFmtId="165" fontId="14" fillId="0" borderId="1" xfId="1" applyFont="1" applyBorder="1"/>
    <xf numFmtId="165" fontId="12" fillId="0" borderId="1" xfId="1" applyFont="1" applyBorder="1"/>
    <xf numFmtId="0" fontId="12" fillId="0" borderId="1" xfId="0" applyFont="1" applyBorder="1" applyAlignment="1">
      <alignment wrapText="1"/>
    </xf>
    <xf numFmtId="0" fontId="28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4" fillId="5" borderId="1" xfId="0" applyFont="1" applyFill="1" applyBorder="1" applyAlignment="1">
      <alignment vertical="top" wrapText="1"/>
    </xf>
    <xf numFmtId="0" fontId="27" fillId="0" borderId="0" xfId="0" applyFont="1"/>
    <xf numFmtId="0" fontId="12" fillId="0" borderId="12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center" vertical="top" wrapText="1"/>
    </xf>
    <xf numFmtId="165" fontId="14" fillId="0" borderId="1" xfId="1" applyFont="1" applyFill="1" applyBorder="1" applyAlignment="1">
      <alignment vertical="top" wrapText="1"/>
    </xf>
    <xf numFmtId="0" fontId="12" fillId="5" borderId="1" xfId="0" applyFont="1" applyFill="1" applyBorder="1" applyAlignment="1">
      <alignment vertical="top"/>
    </xf>
    <xf numFmtId="0" fontId="27" fillId="0" borderId="2" xfId="0" applyFont="1" applyBorder="1"/>
    <xf numFmtId="165" fontId="27" fillId="0" borderId="2" xfId="0" applyNumberFormat="1" applyFont="1" applyBorder="1"/>
    <xf numFmtId="0" fontId="0" fillId="0" borderId="0" xfId="0" applyFont="1"/>
    <xf numFmtId="0" fontId="27" fillId="0" borderId="1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/>
    </xf>
    <xf numFmtId="3" fontId="0" fillId="0" borderId="1" xfId="0" applyNumberFormat="1" applyFont="1" applyBorder="1" applyAlignment="1">
      <alignment horizontal="justify" vertical="center"/>
    </xf>
    <xf numFmtId="0" fontId="0" fillId="0" borderId="19" xfId="0" applyFont="1" applyBorder="1" applyAlignment="1">
      <alignment horizontal="justify" vertical="center"/>
    </xf>
    <xf numFmtId="3" fontId="0" fillId="0" borderId="19" xfId="0" applyNumberFormat="1" applyFont="1" applyBorder="1" applyAlignment="1">
      <alignment horizontal="justify" vertical="center"/>
    </xf>
    <xf numFmtId="0" fontId="0" fillId="0" borderId="2" xfId="0" applyFont="1" applyBorder="1" applyAlignment="1">
      <alignment horizontal="justify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justify" vertical="center"/>
    </xf>
    <xf numFmtId="0" fontId="29" fillId="0" borderId="5" xfId="0" applyFont="1" applyBorder="1" applyAlignment="1">
      <alignment horizontal="justify" vertical="center"/>
    </xf>
    <xf numFmtId="3" fontId="29" fillId="0" borderId="5" xfId="0" applyNumberFormat="1" applyFont="1" applyBorder="1" applyAlignment="1">
      <alignment horizontal="right" vertical="center"/>
    </xf>
    <xf numFmtId="0" fontId="30" fillId="0" borderId="6" xfId="0" applyFont="1" applyBorder="1" applyAlignment="1">
      <alignment horizontal="justify" vertical="center"/>
    </xf>
    <xf numFmtId="0" fontId="27" fillId="0" borderId="20" xfId="0" applyFont="1" applyBorder="1" applyAlignment="1"/>
    <xf numFmtId="0" fontId="0" fillId="0" borderId="0" xfId="0" applyAlignment="1">
      <alignment wrapText="1"/>
    </xf>
    <xf numFmtId="0" fontId="27" fillId="0" borderId="1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0" fillId="0" borderId="0" xfId="0" applyBorder="1"/>
    <xf numFmtId="166" fontId="14" fillId="0" borderId="0" xfId="1" applyNumberFormat="1" applyFont="1" applyFill="1" applyBorder="1" applyAlignment="1">
      <alignment vertical="top" wrapText="1"/>
    </xf>
    <xf numFmtId="0" fontId="0" fillId="0" borderId="0" xfId="0" applyFill="1" applyBorder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vertical="top" wrapText="1"/>
    </xf>
    <xf numFmtId="0" fontId="14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vertical="top" wrapText="1"/>
    </xf>
    <xf numFmtId="166" fontId="13" fillId="0" borderId="0" xfId="1" applyNumberFormat="1" applyFont="1" applyFill="1" applyBorder="1" applyAlignment="1">
      <alignment vertical="top" wrapText="1"/>
    </xf>
    <xf numFmtId="166" fontId="12" fillId="0" borderId="0" xfId="1" applyNumberFormat="1" applyFont="1" applyFill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19" xfId="0" applyFont="1" applyBorder="1" applyAlignment="1">
      <alignment vertical="top" wrapText="1"/>
    </xf>
    <xf numFmtId="0" fontId="24" fillId="0" borderId="1" xfId="0" applyFont="1" applyBorder="1" applyAlignment="1">
      <alignment horizontal="left" vertical="top"/>
    </xf>
    <xf numFmtId="4" fontId="23" fillId="0" borderId="1" xfId="0" applyNumberFormat="1" applyFont="1" applyBorder="1" applyAlignment="1">
      <alignment horizontal="center"/>
    </xf>
    <xf numFmtId="0" fontId="25" fillId="0" borderId="21" xfId="0" applyFont="1" applyBorder="1"/>
    <xf numFmtId="0" fontId="26" fillId="0" borderId="21" xfId="0" applyFont="1" applyBorder="1"/>
    <xf numFmtId="0" fontId="30" fillId="0" borderId="1" xfId="0" applyFont="1" applyBorder="1" applyAlignment="1">
      <alignment vertical="top" wrapText="1"/>
    </xf>
    <xf numFmtId="165" fontId="29" fillId="0" borderId="1" xfId="2" applyFont="1" applyBorder="1" applyAlignment="1">
      <alignment vertical="top" wrapText="1"/>
    </xf>
    <xf numFmtId="0" fontId="30" fillId="0" borderId="0" xfId="0" applyFont="1" applyBorder="1" applyAlignment="1">
      <alignment vertical="top" wrapText="1"/>
    </xf>
    <xf numFmtId="165" fontId="29" fillId="0" borderId="0" xfId="2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165" fontId="29" fillId="0" borderId="1" xfId="2" applyFont="1" applyFill="1" applyBorder="1" applyAlignment="1">
      <alignment vertical="top" wrapText="1"/>
    </xf>
    <xf numFmtId="165" fontId="29" fillId="0" borderId="1" xfId="1" applyFont="1" applyFill="1" applyBorder="1" applyAlignment="1">
      <alignment vertical="top" wrapText="1"/>
    </xf>
    <xf numFmtId="165" fontId="29" fillId="4" borderId="1" xfId="2" applyFont="1" applyFill="1" applyBorder="1" applyAlignment="1">
      <alignment vertical="top" wrapText="1"/>
    </xf>
    <xf numFmtId="0" fontId="29" fillId="0" borderId="0" xfId="0" applyFont="1" applyBorder="1"/>
    <xf numFmtId="0" fontId="11" fillId="0" borderId="22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165" fontId="10" fillId="0" borderId="24" xfId="2" applyFont="1" applyBorder="1" applyAlignment="1">
      <alignment vertical="top" wrapText="1"/>
    </xf>
    <xf numFmtId="165" fontId="10" fillId="0" borderId="24" xfId="2" applyFont="1" applyBorder="1" applyAlignment="1">
      <alignment wrapText="1"/>
    </xf>
    <xf numFmtId="0" fontId="0" fillId="0" borderId="25" xfId="0" applyBorder="1"/>
    <xf numFmtId="0" fontId="0" fillId="0" borderId="26" xfId="0" applyBorder="1"/>
    <xf numFmtId="0" fontId="17" fillId="0" borderId="26" xfId="0" applyFont="1" applyBorder="1"/>
    <xf numFmtId="0" fontId="0" fillId="0" borderId="7" xfId="0" applyBorder="1"/>
    <xf numFmtId="0" fontId="0" fillId="0" borderId="27" xfId="0" applyBorder="1"/>
    <xf numFmtId="0" fontId="0" fillId="0" borderId="4" xfId="0" applyBorder="1"/>
    <xf numFmtId="0" fontId="30" fillId="0" borderId="27" xfId="0" applyFont="1" applyBorder="1"/>
    <xf numFmtId="0" fontId="29" fillId="6" borderId="0" xfId="0" applyFont="1" applyFill="1" applyBorder="1" applyAlignment="1">
      <alignment horizontal="center" wrapText="1"/>
    </xf>
    <xf numFmtId="0" fontId="27" fillId="0" borderId="0" xfId="0" applyFont="1" applyBorder="1"/>
    <xf numFmtId="0" fontId="0" fillId="6" borderId="30" xfId="0" applyFill="1" applyBorder="1" applyAlignment="1">
      <alignment horizontal="center" wrapText="1"/>
    </xf>
    <xf numFmtId="0" fontId="27" fillId="0" borderId="0" xfId="0" applyFont="1" applyBorder="1" applyAlignment="1">
      <alignment horizontal="left"/>
    </xf>
    <xf numFmtId="0" fontId="0" fillId="6" borderId="19" xfId="0" applyFill="1" applyBorder="1"/>
    <xf numFmtId="0" fontId="27" fillId="0" borderId="27" xfId="0" applyFont="1" applyBorder="1"/>
    <xf numFmtId="0" fontId="0" fillId="7" borderId="0" xfId="0" applyFill="1" applyBorder="1" applyAlignment="1">
      <alignment horizontal="center" wrapText="1"/>
    </xf>
    <xf numFmtId="0" fontId="17" fillId="0" borderId="27" xfId="0" applyFont="1" applyFill="1" applyBorder="1"/>
    <xf numFmtId="165" fontId="0" fillId="0" borderId="1" xfId="0" applyNumberFormat="1" applyBorder="1"/>
    <xf numFmtId="0" fontId="0" fillId="6" borderId="1" xfId="0" applyFill="1" applyBorder="1"/>
    <xf numFmtId="9" fontId="0" fillId="6" borderId="1" xfId="0" applyNumberFormat="1" applyFill="1" applyBorder="1"/>
    <xf numFmtId="0" fontId="28" fillId="0" borderId="27" xfId="0" applyFont="1" applyBorder="1"/>
    <xf numFmtId="0" fontId="0" fillId="6" borderId="1" xfId="0" applyFill="1" applyBorder="1" applyAlignment="1"/>
    <xf numFmtId="0" fontId="0" fillId="7" borderId="1" xfId="0" applyFill="1" applyBorder="1" applyAlignment="1"/>
    <xf numFmtId="166" fontId="7" fillId="0" borderId="1" xfId="1" applyNumberFormat="1" applyFont="1" applyBorder="1"/>
    <xf numFmtId="9" fontId="0" fillId="0" borderId="1" xfId="0" applyNumberFormat="1" applyBorder="1"/>
    <xf numFmtId="0" fontId="0" fillId="6" borderId="19" xfId="0" applyFill="1" applyBorder="1" applyAlignment="1">
      <alignment horizontal="center" wrapText="1"/>
    </xf>
    <xf numFmtId="0" fontId="0" fillId="0" borderId="27" xfId="0" applyBorder="1" applyAlignment="1">
      <alignment horizontal="right"/>
    </xf>
    <xf numFmtId="0" fontId="0" fillId="0" borderId="22" xfId="0" applyBorder="1"/>
    <xf numFmtId="0" fontId="0" fillId="0" borderId="20" xfId="0" applyBorder="1"/>
    <xf numFmtId="0" fontId="0" fillId="6" borderId="32" xfId="0" applyFill="1" applyBorder="1"/>
    <xf numFmtId="0" fontId="2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right" vertical="center" wrapText="1"/>
    </xf>
    <xf numFmtId="0" fontId="0" fillId="0" borderId="1" xfId="0" applyNumberFormat="1" applyBorder="1"/>
    <xf numFmtId="165" fontId="17" fillId="0" borderId="1" xfId="1" applyFont="1" applyBorder="1"/>
    <xf numFmtId="165" fontId="29" fillId="0" borderId="1" xfId="2" applyNumberFormat="1" applyFont="1" applyBorder="1" applyAlignment="1">
      <alignment vertical="top" wrapText="1"/>
    </xf>
    <xf numFmtId="3" fontId="14" fillId="5" borderId="1" xfId="0" applyNumberFormat="1" applyFont="1" applyFill="1" applyBorder="1" applyAlignment="1">
      <alignment vertical="top" wrapText="1"/>
    </xf>
    <xf numFmtId="3" fontId="29" fillId="0" borderId="5" xfId="0" applyNumberFormat="1" applyFont="1" applyBorder="1" applyAlignment="1">
      <alignment horizontal="justify" vertical="center"/>
    </xf>
    <xf numFmtId="0" fontId="0" fillId="0" borderId="1" xfId="0" applyFont="1" applyBorder="1" applyAlignment="1">
      <alignment horizontal="left" vertical="center" wrapText="1"/>
    </xf>
    <xf numFmtId="3" fontId="0" fillId="0" borderId="1" xfId="0" applyNumberFormat="1" applyFont="1" applyBorder="1" applyAlignment="1">
      <alignment horizontal="center" vertical="center"/>
    </xf>
    <xf numFmtId="3" fontId="0" fillId="0" borderId="18" xfId="0" applyNumberFormat="1" applyBorder="1"/>
    <xf numFmtId="3" fontId="0" fillId="0" borderId="1" xfId="0" applyNumberFormat="1" applyBorder="1"/>
    <xf numFmtId="3" fontId="27" fillId="0" borderId="2" xfId="0" applyNumberFormat="1" applyFont="1" applyBorder="1" applyAlignment="1">
      <alignment horizontal="justify" vertical="center"/>
    </xf>
    <xf numFmtId="0" fontId="30" fillId="0" borderId="5" xfId="0" applyFont="1" applyBorder="1" applyAlignment="1">
      <alignment horizontal="justify" vertical="center"/>
    </xf>
    <xf numFmtId="3" fontId="36" fillId="0" borderId="5" xfId="0" applyNumberFormat="1" applyFont="1" applyBorder="1" applyAlignment="1">
      <alignment horizontal="right" vertical="center"/>
    </xf>
    <xf numFmtId="0" fontId="14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3" fillId="0" borderId="0" xfId="0" applyFont="1" applyFill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3" fillId="0" borderId="12" xfId="0" applyFont="1" applyBorder="1" applyAlignment="1">
      <alignment vertical="top" wrapText="1"/>
    </xf>
    <xf numFmtId="0" fontId="13" fillId="0" borderId="11" xfId="0" applyFont="1" applyBorder="1" applyAlignment="1">
      <alignment vertical="top" wrapText="1"/>
    </xf>
    <xf numFmtId="0" fontId="13" fillId="0" borderId="6" xfId="0" applyFont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0" fontId="13" fillId="0" borderId="8" xfId="0" applyFont="1" applyBorder="1" applyAlignment="1">
      <alignment horizontal="center" vertical="top" wrapText="1"/>
    </xf>
    <xf numFmtId="0" fontId="35" fillId="6" borderId="1" xfId="5" applyFill="1" applyBorder="1" applyAlignment="1" applyProtection="1">
      <alignment horizontal="center" wrapText="1"/>
    </xf>
    <xf numFmtId="0" fontId="0" fillId="6" borderId="30" xfId="0" applyFill="1" applyBorder="1" applyAlignment="1">
      <alignment horizontal="center" wrapText="1"/>
    </xf>
    <xf numFmtId="0" fontId="16" fillId="6" borderId="23" xfId="0" applyFont="1" applyFill="1" applyBorder="1" applyAlignment="1">
      <alignment wrapText="1"/>
    </xf>
    <xf numFmtId="0" fontId="16" fillId="6" borderId="28" xfId="0" applyFont="1" applyFill="1" applyBorder="1" applyAlignment="1">
      <alignment wrapText="1"/>
    </xf>
    <xf numFmtId="0" fontId="16" fillId="6" borderId="29" xfId="0" applyFont="1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29" fillId="6" borderId="1" xfId="0" quotePrefix="1" applyFont="1" applyFill="1" applyBorder="1" applyAlignment="1">
      <alignment horizontal="center" wrapText="1"/>
    </xf>
    <xf numFmtId="0" fontId="29" fillId="6" borderId="1" xfId="0" applyFont="1" applyFill="1" applyBorder="1" applyAlignment="1">
      <alignment horizontal="center" wrapText="1"/>
    </xf>
    <xf numFmtId="0" fontId="0" fillId="6" borderId="14" xfId="0" applyFill="1" applyBorder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17" fontId="0" fillId="6" borderId="1" xfId="0" applyNumberFormat="1" applyFill="1" applyBorder="1" applyAlignment="1">
      <alignment horizontal="center" wrapText="1"/>
    </xf>
    <xf numFmtId="0" fontId="0" fillId="6" borderId="0" xfId="0" applyFill="1" applyBorder="1" applyAlignment="1">
      <alignment horizontal="center" wrapText="1"/>
    </xf>
    <xf numFmtId="0" fontId="0" fillId="6" borderId="23" xfId="0" applyFill="1" applyBorder="1" applyAlignment="1">
      <alignment horizontal="center" wrapText="1"/>
    </xf>
    <xf numFmtId="0" fontId="0" fillId="6" borderId="28" xfId="0" applyFill="1" applyBorder="1" applyAlignment="1">
      <alignment horizontal="center" wrapText="1"/>
    </xf>
    <xf numFmtId="0" fontId="0" fillId="6" borderId="31" xfId="0" applyFill="1" applyBorder="1" applyAlignment="1">
      <alignment horizontal="center" wrapText="1"/>
    </xf>
    <xf numFmtId="0" fontId="37" fillId="0" borderId="0" xfId="0" applyFont="1"/>
    <xf numFmtId="0" fontId="29" fillId="0" borderId="0" xfId="0" applyFont="1"/>
    <xf numFmtId="0" fontId="38" fillId="0" borderId="1" xfId="0" applyFont="1" applyBorder="1" applyAlignment="1">
      <alignment vertical="top" wrapText="1"/>
    </xf>
    <xf numFmtId="0" fontId="38" fillId="0" borderId="23" xfId="0" applyFont="1" applyBorder="1" applyAlignment="1">
      <alignment vertical="top" wrapText="1"/>
    </xf>
    <xf numFmtId="0" fontId="38" fillId="0" borderId="0" xfId="0" applyFont="1" applyBorder="1" applyAlignment="1">
      <alignment vertical="top" wrapText="1"/>
    </xf>
    <xf numFmtId="165" fontId="38" fillId="0" borderId="0" xfId="2" applyFont="1" applyBorder="1" applyAlignment="1">
      <alignment vertical="top" wrapText="1"/>
    </xf>
    <xf numFmtId="165" fontId="37" fillId="0" borderId="1" xfId="2" applyFont="1" applyBorder="1" applyAlignment="1">
      <alignment wrapText="1"/>
    </xf>
    <xf numFmtId="165" fontId="37" fillId="0" borderId="23" xfId="2" applyFont="1" applyBorder="1" applyAlignment="1">
      <alignment wrapText="1"/>
    </xf>
    <xf numFmtId="165" fontId="37" fillId="0" borderId="0" xfId="2" applyFont="1" applyBorder="1" applyAlignment="1">
      <alignment wrapText="1"/>
    </xf>
    <xf numFmtId="0" fontId="37" fillId="0" borderId="1" xfId="0" applyFont="1" applyBorder="1" applyAlignment="1">
      <alignment vertical="top" wrapText="1"/>
    </xf>
    <xf numFmtId="165" fontId="37" fillId="0" borderId="1" xfId="2" applyFont="1" applyBorder="1" applyAlignment="1">
      <alignment vertical="top" wrapText="1"/>
    </xf>
    <xf numFmtId="165" fontId="37" fillId="0" borderId="23" xfId="2" applyFont="1" applyBorder="1" applyAlignment="1">
      <alignment vertical="top" wrapText="1"/>
    </xf>
  </cellXfs>
  <cellStyles count="6">
    <cellStyle name="Comma" xfId="1" builtinId="3"/>
    <cellStyle name="Comma 2" xfId="2" xr:uid="{00000000-0005-0000-0000-000001000000}"/>
    <cellStyle name="Hyperlink" xfId="5" builtinId="8"/>
    <cellStyle name="Normal" xfId="0" builtinId="0"/>
    <cellStyle name="Normal 2" xfId="3" xr:uid="{00000000-0005-0000-0000-000004000000}"/>
    <cellStyle name="Normal 3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zoomScale="80" zoomScaleNormal="80" workbookViewId="0">
      <selection activeCell="J33" sqref="J33"/>
    </sheetView>
  </sheetViews>
  <sheetFormatPr defaultRowHeight="15" x14ac:dyDescent="0.25"/>
  <cols>
    <col min="1" max="1" width="4.28515625" bestFit="1" customWidth="1"/>
    <col min="2" max="2" width="17.42578125" customWidth="1"/>
    <col min="3" max="3" width="14.42578125" style="1" customWidth="1"/>
    <col min="4" max="4" width="10.5703125" customWidth="1"/>
    <col min="5" max="5" width="13.42578125" customWidth="1"/>
    <col min="6" max="6" width="14.42578125" customWidth="1"/>
    <col min="7" max="7" width="6.5703125" customWidth="1"/>
    <col min="8" max="8" width="6.42578125" customWidth="1"/>
    <col min="9" max="9" width="25.42578125" customWidth="1"/>
    <col min="10" max="10" width="25.42578125" style="1" customWidth="1"/>
    <col min="11" max="11" width="17.5703125" customWidth="1"/>
    <col min="12" max="12" width="13.42578125" customWidth="1"/>
    <col min="13" max="13" width="15.42578125" customWidth="1"/>
    <col min="14" max="14" width="16.140625" customWidth="1"/>
    <col min="15" max="15" width="20.85546875" customWidth="1"/>
  </cols>
  <sheetData>
    <row r="1" spans="1:15" ht="19.5" thickBot="1" x14ac:dyDescent="0.35">
      <c r="A1" s="1"/>
      <c r="B1" s="88" t="s">
        <v>229</v>
      </c>
      <c r="C1" s="88"/>
      <c r="D1" s="89"/>
      <c r="E1" s="1"/>
      <c r="F1" s="1"/>
      <c r="H1" s="92" t="s">
        <v>119</v>
      </c>
      <c r="I1" s="99"/>
      <c r="J1" s="99"/>
      <c r="L1" s="99"/>
      <c r="M1" s="99"/>
      <c r="N1" s="99"/>
      <c r="O1" s="99"/>
    </row>
    <row r="2" spans="1:15" ht="30" x14ac:dyDescent="0.25">
      <c r="A2" s="90" t="s">
        <v>109</v>
      </c>
      <c r="B2" s="93" t="s">
        <v>110</v>
      </c>
      <c r="C2" s="94" t="s">
        <v>113</v>
      </c>
      <c r="D2" s="94" t="s">
        <v>111</v>
      </c>
      <c r="E2" s="94" t="s">
        <v>112</v>
      </c>
      <c r="F2" s="94" t="s">
        <v>24</v>
      </c>
      <c r="H2" s="100" t="s">
        <v>109</v>
      </c>
      <c r="I2" s="101" t="s">
        <v>114</v>
      </c>
      <c r="J2" s="101" t="s">
        <v>118</v>
      </c>
      <c r="K2" s="101" t="s">
        <v>115</v>
      </c>
      <c r="L2" s="101" t="s">
        <v>144</v>
      </c>
      <c r="M2" s="101" t="s">
        <v>145</v>
      </c>
      <c r="N2" s="102" t="s">
        <v>116</v>
      </c>
      <c r="O2" s="102" t="s">
        <v>117</v>
      </c>
    </row>
    <row r="3" spans="1:15" ht="15.75" x14ac:dyDescent="0.25">
      <c r="A3" s="1">
        <v>1</v>
      </c>
      <c r="B3" s="91" t="s">
        <v>199</v>
      </c>
      <c r="C3" s="91"/>
      <c r="D3" s="91">
        <v>24</v>
      </c>
      <c r="E3" s="183">
        <v>5600</v>
      </c>
      <c r="F3" s="95">
        <f>D3*E3</f>
        <v>134400</v>
      </c>
      <c r="H3" s="176">
        <v>1</v>
      </c>
      <c r="I3" s="178" t="s">
        <v>259</v>
      </c>
      <c r="J3" s="176" t="s">
        <v>260</v>
      </c>
      <c r="K3" s="176">
        <v>4</v>
      </c>
      <c r="L3" s="186">
        <v>30000</v>
      </c>
      <c r="M3" s="178">
        <f>K3*L3</f>
        <v>120000</v>
      </c>
      <c r="N3" s="175">
        <v>24</v>
      </c>
      <c r="O3" s="179">
        <f>M3/N3</f>
        <v>5000</v>
      </c>
    </row>
    <row r="4" spans="1:15" ht="15.75" x14ac:dyDescent="0.25">
      <c r="A4" s="1">
        <v>2</v>
      </c>
      <c r="B4" s="91" t="s">
        <v>200</v>
      </c>
      <c r="C4" s="91"/>
      <c r="D4" s="91">
        <v>3</v>
      </c>
      <c r="E4" s="91">
        <v>30</v>
      </c>
      <c r="F4" s="95">
        <f t="shared" ref="F4:F20" si="0">D4*E4</f>
        <v>90</v>
      </c>
      <c r="H4" s="176">
        <v>2</v>
      </c>
      <c r="I4" s="178" t="s">
        <v>216</v>
      </c>
      <c r="J4" s="176" t="s">
        <v>226</v>
      </c>
      <c r="K4" s="176">
        <v>2</v>
      </c>
      <c r="L4" s="186">
        <v>60000</v>
      </c>
      <c r="M4" s="178">
        <f t="shared" ref="M4:M13" si="1">K4*L4</f>
        <v>120000</v>
      </c>
      <c r="N4" s="175">
        <v>36</v>
      </c>
      <c r="O4" s="179">
        <f t="shared" ref="O4:O6" si="2">M4/N4</f>
        <v>3333.3333333333335</v>
      </c>
    </row>
    <row r="5" spans="1:15" ht="15.75" x14ac:dyDescent="0.25">
      <c r="A5" s="1">
        <v>3</v>
      </c>
      <c r="B5" s="91" t="s">
        <v>201</v>
      </c>
      <c r="C5" s="91"/>
      <c r="D5" s="91">
        <v>12</v>
      </c>
      <c r="E5" s="91">
        <v>100</v>
      </c>
      <c r="F5" s="95">
        <f t="shared" si="0"/>
        <v>1200</v>
      </c>
      <c r="H5" s="176">
        <v>3</v>
      </c>
      <c r="I5" s="178" t="s">
        <v>216</v>
      </c>
      <c r="J5" s="176" t="s">
        <v>217</v>
      </c>
      <c r="K5" s="176">
        <v>1</v>
      </c>
      <c r="L5" s="186">
        <v>150000</v>
      </c>
      <c r="M5" s="178">
        <f t="shared" si="1"/>
        <v>150000</v>
      </c>
      <c r="N5" s="175">
        <v>36</v>
      </c>
      <c r="O5" s="179">
        <f t="shared" si="2"/>
        <v>4166.666666666667</v>
      </c>
    </row>
    <row r="6" spans="1:15" ht="31.5" x14ac:dyDescent="0.25">
      <c r="A6" s="1">
        <v>4</v>
      </c>
      <c r="B6" s="91" t="s">
        <v>225</v>
      </c>
      <c r="C6" s="91"/>
      <c r="D6" s="91">
        <v>3</v>
      </c>
      <c r="E6" s="91">
        <v>6000</v>
      </c>
      <c r="F6" s="95">
        <f t="shared" si="0"/>
        <v>18000</v>
      </c>
      <c r="H6" s="176">
        <v>4</v>
      </c>
      <c r="I6" s="178" t="s">
        <v>223</v>
      </c>
      <c r="J6" s="176" t="s">
        <v>218</v>
      </c>
      <c r="K6" s="176">
        <v>1</v>
      </c>
      <c r="L6" s="186">
        <v>200000</v>
      </c>
      <c r="M6" s="178">
        <f>K6*L6</f>
        <v>200000</v>
      </c>
      <c r="N6" s="175">
        <v>36</v>
      </c>
      <c r="O6" s="179">
        <f t="shared" si="2"/>
        <v>5555.5555555555557</v>
      </c>
    </row>
    <row r="7" spans="1:15" ht="15.75" x14ac:dyDescent="0.25">
      <c r="A7" s="1">
        <v>5</v>
      </c>
      <c r="B7" s="91" t="s">
        <v>202</v>
      </c>
      <c r="C7" s="91"/>
      <c r="D7" s="91">
        <v>3</v>
      </c>
      <c r="E7" s="91">
        <v>12000</v>
      </c>
      <c r="F7" s="95">
        <f t="shared" si="0"/>
        <v>36000</v>
      </c>
      <c r="H7" s="176"/>
      <c r="I7" s="178"/>
      <c r="J7" s="176"/>
      <c r="K7" s="176"/>
      <c r="L7" s="186"/>
      <c r="M7" s="178"/>
      <c r="N7" s="175"/>
      <c r="O7" s="179"/>
    </row>
    <row r="8" spans="1:15" ht="15.75" x14ac:dyDescent="0.25">
      <c r="A8" s="1">
        <v>6</v>
      </c>
      <c r="B8" s="91" t="s">
        <v>203</v>
      </c>
      <c r="C8" s="91"/>
      <c r="D8" s="91">
        <v>3</v>
      </c>
      <c r="E8" s="91">
        <v>700</v>
      </c>
      <c r="F8" s="95">
        <f t="shared" si="0"/>
        <v>2100</v>
      </c>
      <c r="H8" s="176">
        <v>6</v>
      </c>
      <c r="I8" s="178" t="s">
        <v>219</v>
      </c>
      <c r="J8" s="176"/>
      <c r="K8" s="176">
        <v>1</v>
      </c>
      <c r="L8" s="186">
        <v>25000</v>
      </c>
      <c r="M8" s="178">
        <f t="shared" si="1"/>
        <v>25000</v>
      </c>
      <c r="N8" s="175">
        <v>36</v>
      </c>
      <c r="O8" s="179">
        <f t="shared" ref="O8:O13" si="3">M8/N8</f>
        <v>694.44444444444446</v>
      </c>
    </row>
    <row r="9" spans="1:15" ht="31.5" x14ac:dyDescent="0.25">
      <c r="A9" s="1">
        <v>7</v>
      </c>
      <c r="B9" s="91" t="s">
        <v>204</v>
      </c>
      <c r="C9" s="91"/>
      <c r="D9" s="91">
        <v>12</v>
      </c>
      <c r="E9" s="91">
        <v>3700</v>
      </c>
      <c r="F9" s="95">
        <f t="shared" si="0"/>
        <v>44400</v>
      </c>
      <c r="H9" s="176">
        <v>7</v>
      </c>
      <c r="I9" s="185" t="s">
        <v>224</v>
      </c>
      <c r="J9" s="176"/>
      <c r="K9" s="176">
        <v>1</v>
      </c>
      <c r="L9" s="186">
        <v>50000</v>
      </c>
      <c r="M9" s="178">
        <f t="shared" si="1"/>
        <v>50000</v>
      </c>
      <c r="N9" s="175">
        <v>36</v>
      </c>
      <c r="O9" s="179">
        <f t="shared" si="3"/>
        <v>1388.8888888888889</v>
      </c>
    </row>
    <row r="10" spans="1:15" ht="15.75" x14ac:dyDescent="0.25">
      <c r="A10" s="1">
        <v>8</v>
      </c>
      <c r="B10" s="91"/>
      <c r="C10" s="91"/>
      <c r="D10" s="91"/>
      <c r="E10" s="91"/>
      <c r="F10" s="95"/>
      <c r="H10" s="176">
        <v>8</v>
      </c>
      <c r="I10" s="178" t="s">
        <v>220</v>
      </c>
      <c r="J10" s="176"/>
      <c r="K10" s="176">
        <v>1</v>
      </c>
      <c r="L10" s="186">
        <v>70000</v>
      </c>
      <c r="M10" s="178">
        <f t="shared" si="1"/>
        <v>70000</v>
      </c>
      <c r="N10" s="175">
        <v>36</v>
      </c>
      <c r="O10" s="179">
        <f t="shared" si="3"/>
        <v>1944.4444444444443</v>
      </c>
    </row>
    <row r="11" spans="1:15" ht="15.75" x14ac:dyDescent="0.25">
      <c r="A11" s="1">
        <v>9</v>
      </c>
      <c r="B11" s="91" t="s">
        <v>205</v>
      </c>
      <c r="C11" s="91"/>
      <c r="D11" s="91">
        <v>3</v>
      </c>
      <c r="E11" s="91">
        <v>1800</v>
      </c>
      <c r="F11" s="95">
        <f t="shared" si="0"/>
        <v>5400</v>
      </c>
      <c r="H11" s="176">
        <v>9</v>
      </c>
      <c r="I11" s="178" t="s">
        <v>221</v>
      </c>
      <c r="J11" s="176"/>
      <c r="K11" s="176">
        <v>1</v>
      </c>
      <c r="L11" s="186">
        <v>150000</v>
      </c>
      <c r="M11" s="178">
        <f t="shared" si="1"/>
        <v>150000</v>
      </c>
      <c r="N11" s="175">
        <v>24</v>
      </c>
      <c r="O11" s="179">
        <f t="shared" si="3"/>
        <v>6250</v>
      </c>
    </row>
    <row r="12" spans="1:15" ht="15.75" x14ac:dyDescent="0.25">
      <c r="A12" s="1">
        <v>10</v>
      </c>
      <c r="B12" s="91" t="s">
        <v>206</v>
      </c>
      <c r="C12" s="91"/>
      <c r="D12" s="91">
        <v>3</v>
      </c>
      <c r="E12" s="91">
        <v>500</v>
      </c>
      <c r="F12" s="95">
        <f t="shared" si="0"/>
        <v>1500</v>
      </c>
      <c r="H12" s="176">
        <v>10</v>
      </c>
      <c r="I12" s="178" t="s">
        <v>227</v>
      </c>
      <c r="J12" s="176"/>
      <c r="K12" s="176">
        <v>1</v>
      </c>
      <c r="L12" s="176">
        <v>8000</v>
      </c>
      <c r="M12" s="178">
        <f t="shared" si="1"/>
        <v>8000</v>
      </c>
      <c r="N12" s="175">
        <v>36</v>
      </c>
      <c r="O12" s="179">
        <f t="shared" si="3"/>
        <v>222.22222222222223</v>
      </c>
    </row>
    <row r="13" spans="1:15" ht="31.5" x14ac:dyDescent="0.25">
      <c r="A13" s="1">
        <v>11</v>
      </c>
      <c r="B13" s="91" t="s">
        <v>207</v>
      </c>
      <c r="C13" s="91"/>
      <c r="D13" s="91">
        <v>3</v>
      </c>
      <c r="E13" s="91">
        <v>1500</v>
      </c>
      <c r="F13" s="95">
        <f t="shared" si="0"/>
        <v>4500</v>
      </c>
      <c r="H13" s="176">
        <v>11</v>
      </c>
      <c r="I13" s="178" t="s">
        <v>228</v>
      </c>
      <c r="J13" s="103"/>
      <c r="K13" s="103">
        <v>1</v>
      </c>
      <c r="L13" s="104">
        <v>50000</v>
      </c>
      <c r="M13" s="178">
        <f t="shared" si="1"/>
        <v>50000</v>
      </c>
      <c r="N13" s="103">
        <v>36</v>
      </c>
      <c r="O13" s="179">
        <f t="shared" si="3"/>
        <v>1388.8888888888889</v>
      </c>
    </row>
    <row r="14" spans="1:15" ht="31.5" x14ac:dyDescent="0.25">
      <c r="A14" s="1">
        <v>12</v>
      </c>
      <c r="B14" s="91" t="s">
        <v>212</v>
      </c>
      <c r="C14" s="91"/>
      <c r="D14" s="91">
        <v>3</v>
      </c>
      <c r="E14" s="91">
        <v>1800</v>
      </c>
      <c r="F14" s="95">
        <f t="shared" si="0"/>
        <v>5400</v>
      </c>
      <c r="H14" s="176">
        <v>12</v>
      </c>
      <c r="I14" s="178"/>
      <c r="J14" s="103"/>
      <c r="K14" s="103"/>
      <c r="L14" s="104"/>
      <c r="M14" s="177"/>
      <c r="N14" s="103"/>
      <c r="O14" s="179"/>
    </row>
    <row r="15" spans="1:15" ht="47.25" x14ac:dyDescent="0.25">
      <c r="A15" s="1">
        <v>13</v>
      </c>
      <c r="B15" s="91" t="s">
        <v>270</v>
      </c>
      <c r="C15" s="91" t="s">
        <v>215</v>
      </c>
      <c r="D15" s="91">
        <v>3</v>
      </c>
      <c r="E15" s="91">
        <v>12500</v>
      </c>
      <c r="F15" s="95">
        <f>D15*E15</f>
        <v>37500</v>
      </c>
      <c r="H15" s="176">
        <v>13</v>
      </c>
      <c r="I15" s="178"/>
      <c r="J15" s="103"/>
      <c r="K15" s="103"/>
      <c r="L15" s="104"/>
      <c r="M15" s="177"/>
      <c r="N15" s="103"/>
      <c r="O15" s="179"/>
    </row>
    <row r="16" spans="1:15" ht="31.5" x14ac:dyDescent="0.25">
      <c r="A16" s="1">
        <v>14</v>
      </c>
      <c r="B16" s="91" t="s">
        <v>213</v>
      </c>
      <c r="C16" s="91"/>
      <c r="D16" s="91">
        <v>12</v>
      </c>
      <c r="E16" s="91">
        <v>1000</v>
      </c>
      <c r="F16" s="95">
        <f t="shared" si="0"/>
        <v>12000</v>
      </c>
      <c r="H16" s="176">
        <v>14</v>
      </c>
      <c r="I16" s="178"/>
      <c r="J16" s="103"/>
      <c r="K16" s="103"/>
      <c r="L16" s="104"/>
      <c r="M16" s="177"/>
      <c r="N16" s="103"/>
      <c r="O16" s="179"/>
    </row>
    <row r="17" spans="1:15" ht="31.5" x14ac:dyDescent="0.25">
      <c r="A17" s="1">
        <v>15</v>
      </c>
      <c r="B17" s="91" t="s">
        <v>214</v>
      </c>
      <c r="C17" s="91"/>
      <c r="D17" s="91">
        <v>3</v>
      </c>
      <c r="E17" s="183">
        <v>10000</v>
      </c>
      <c r="F17" s="95">
        <f t="shared" si="0"/>
        <v>30000</v>
      </c>
      <c r="H17" s="176">
        <v>15</v>
      </c>
      <c r="I17" s="178"/>
      <c r="J17" s="103"/>
      <c r="K17" s="103"/>
      <c r="L17" s="104"/>
      <c r="M17" s="177"/>
      <c r="N17" s="103"/>
      <c r="O17" s="179"/>
    </row>
    <row r="18" spans="1:15" ht="15.75" x14ac:dyDescent="0.25">
      <c r="A18" s="1">
        <v>16</v>
      </c>
      <c r="B18" s="91" t="s">
        <v>208</v>
      </c>
      <c r="C18" s="91"/>
      <c r="D18" s="91">
        <v>4500</v>
      </c>
      <c r="E18" s="91">
        <v>10</v>
      </c>
      <c r="F18" s="95">
        <f t="shared" si="0"/>
        <v>45000</v>
      </c>
      <c r="H18" s="176">
        <v>16</v>
      </c>
      <c r="I18" s="178"/>
      <c r="J18" s="103"/>
      <c r="K18" s="103"/>
      <c r="L18" s="104"/>
      <c r="M18" s="177"/>
      <c r="N18" s="103"/>
      <c r="O18" s="179"/>
    </row>
    <row r="19" spans="1:15" ht="16.5" x14ac:dyDescent="0.25">
      <c r="A19" s="1">
        <v>17</v>
      </c>
      <c r="B19" s="91" t="s">
        <v>209</v>
      </c>
      <c r="C19" s="96"/>
      <c r="D19" s="91">
        <v>1</v>
      </c>
      <c r="E19" s="91">
        <v>350</v>
      </c>
      <c r="F19" s="95">
        <f t="shared" si="0"/>
        <v>350</v>
      </c>
      <c r="H19" s="176">
        <v>17</v>
      </c>
      <c r="I19" s="178"/>
      <c r="J19" s="103"/>
      <c r="K19" s="103"/>
      <c r="L19" s="104"/>
      <c r="M19" s="177"/>
      <c r="N19" s="103"/>
      <c r="O19" s="179"/>
    </row>
    <row r="20" spans="1:15" ht="31.5" x14ac:dyDescent="0.25">
      <c r="A20" s="1">
        <v>18</v>
      </c>
      <c r="B20" s="91" t="s">
        <v>210</v>
      </c>
      <c r="C20" s="91"/>
      <c r="D20" s="91">
        <v>3</v>
      </c>
      <c r="E20" s="91">
        <v>150</v>
      </c>
      <c r="F20" s="95">
        <f t="shared" si="0"/>
        <v>450</v>
      </c>
      <c r="H20" s="176">
        <v>18</v>
      </c>
      <c r="I20" s="178"/>
      <c r="J20" s="103"/>
      <c r="K20" s="103"/>
      <c r="L20" s="104"/>
      <c r="M20" s="177"/>
      <c r="N20" s="103"/>
      <c r="O20" s="179"/>
    </row>
    <row r="21" spans="1:15" ht="15.75" x14ac:dyDescent="0.25">
      <c r="A21" s="1">
        <v>19</v>
      </c>
      <c r="B21" s="91" t="s">
        <v>211</v>
      </c>
      <c r="C21" s="91"/>
      <c r="D21" s="91">
        <v>3</v>
      </c>
      <c r="E21" s="91">
        <v>1000</v>
      </c>
      <c r="F21" s="95">
        <f t="shared" ref="F21:F29" si="4">D21*E21</f>
        <v>3000</v>
      </c>
      <c r="H21" s="176">
        <v>19</v>
      </c>
      <c r="I21" s="178"/>
      <c r="J21" s="103"/>
      <c r="K21" s="103"/>
      <c r="L21" s="104"/>
      <c r="M21" s="177"/>
      <c r="N21" s="103"/>
      <c r="O21" s="179"/>
    </row>
    <row r="22" spans="1:15" ht="32.25" thickBot="1" x14ac:dyDescent="0.3">
      <c r="A22" s="1">
        <v>20</v>
      </c>
      <c r="B22" s="91" t="s">
        <v>236</v>
      </c>
      <c r="C22" s="91"/>
      <c r="D22" s="91">
        <v>30</v>
      </c>
      <c r="E22" s="183">
        <v>1100</v>
      </c>
      <c r="F22" s="95">
        <f t="shared" si="4"/>
        <v>33000</v>
      </c>
      <c r="H22" s="176">
        <v>20</v>
      </c>
      <c r="I22" s="178"/>
      <c r="J22" s="105"/>
      <c r="K22" s="105"/>
      <c r="L22" s="106"/>
      <c r="M22" s="177"/>
      <c r="N22" s="105"/>
      <c r="O22" s="179"/>
    </row>
    <row r="23" spans="1:15" ht="32.25" thickBot="1" x14ac:dyDescent="0.3">
      <c r="A23" s="1">
        <v>21</v>
      </c>
      <c r="B23" s="91" t="s">
        <v>237</v>
      </c>
      <c r="C23" s="91"/>
      <c r="D23" s="91">
        <v>30</v>
      </c>
      <c r="E23" s="183">
        <v>1500</v>
      </c>
      <c r="F23" s="95">
        <f t="shared" si="4"/>
        <v>45000</v>
      </c>
      <c r="H23" s="97"/>
      <c r="I23" s="97" t="s">
        <v>0</v>
      </c>
      <c r="J23" s="97"/>
      <c r="K23" s="97"/>
      <c r="L23" s="97"/>
      <c r="M23" s="189">
        <f>SUM(M3:M22)</f>
        <v>943000</v>
      </c>
      <c r="N23" s="107"/>
      <c r="O23" s="97">
        <f>SUM(O3:O22)</f>
        <v>29944.444444444449</v>
      </c>
    </row>
    <row r="24" spans="1:15" ht="15.75" x14ac:dyDescent="0.25">
      <c r="A24" s="1">
        <v>22</v>
      </c>
      <c r="B24" s="91" t="s">
        <v>230</v>
      </c>
      <c r="C24" s="91"/>
      <c r="D24" s="91">
        <v>30</v>
      </c>
      <c r="E24" s="183">
        <v>500</v>
      </c>
      <c r="F24" s="95">
        <f t="shared" si="4"/>
        <v>15000</v>
      </c>
    </row>
    <row r="25" spans="1:15" ht="15.75" x14ac:dyDescent="0.25">
      <c r="A25" s="1">
        <v>23</v>
      </c>
      <c r="B25" s="91" t="s">
        <v>231</v>
      </c>
      <c r="C25" s="91"/>
      <c r="D25" s="91">
        <v>10</v>
      </c>
      <c r="E25" s="183">
        <v>3800</v>
      </c>
      <c r="F25" s="95">
        <f t="shared" si="4"/>
        <v>38000</v>
      </c>
    </row>
    <row r="26" spans="1:15" ht="31.5" x14ac:dyDescent="0.25">
      <c r="A26" s="1">
        <v>24</v>
      </c>
      <c r="B26" s="91" t="s">
        <v>232</v>
      </c>
      <c r="C26" s="91"/>
      <c r="D26" s="91">
        <v>30</v>
      </c>
      <c r="E26" s="183">
        <v>950</v>
      </c>
      <c r="F26" s="95">
        <f t="shared" si="4"/>
        <v>28500</v>
      </c>
    </row>
    <row r="27" spans="1:15" ht="32.25" thickBot="1" x14ac:dyDescent="0.3">
      <c r="A27" s="1">
        <v>25</v>
      </c>
      <c r="B27" s="91" t="s">
        <v>233</v>
      </c>
      <c r="C27" s="91"/>
      <c r="D27" s="91">
        <v>30</v>
      </c>
      <c r="E27" s="183">
        <v>1300</v>
      </c>
      <c r="F27" s="95">
        <f t="shared" si="4"/>
        <v>39000</v>
      </c>
      <c r="I27" s="114" t="s">
        <v>125</v>
      </c>
      <c r="J27" s="114"/>
      <c r="K27" s="114"/>
    </row>
    <row r="28" spans="1:15" ht="32.25" thickBot="1" x14ac:dyDescent="0.3">
      <c r="A28" s="1">
        <v>26</v>
      </c>
      <c r="B28" s="91" t="s">
        <v>234</v>
      </c>
      <c r="C28" s="91"/>
      <c r="D28" s="91">
        <v>30</v>
      </c>
      <c r="E28" s="183">
        <v>1000</v>
      </c>
      <c r="F28" s="95">
        <f t="shared" si="4"/>
        <v>30000</v>
      </c>
      <c r="I28" s="108" t="s">
        <v>126</v>
      </c>
      <c r="J28" s="109" t="s">
        <v>120</v>
      </c>
      <c r="K28" s="109" t="s">
        <v>121</v>
      </c>
    </row>
    <row r="29" spans="1:15" ht="16.5" thickBot="1" x14ac:dyDescent="0.3">
      <c r="A29" s="1">
        <v>27</v>
      </c>
      <c r="B29" s="91" t="s">
        <v>235</v>
      </c>
      <c r="C29" s="91"/>
      <c r="D29" s="91">
        <v>30</v>
      </c>
      <c r="E29" s="183">
        <v>350</v>
      </c>
      <c r="F29" s="95">
        <f t="shared" si="4"/>
        <v>10500</v>
      </c>
      <c r="I29" s="110" t="s">
        <v>122</v>
      </c>
      <c r="J29" s="184" t="s">
        <v>289</v>
      </c>
      <c r="K29" s="112">
        <v>400000</v>
      </c>
    </row>
    <row r="30" spans="1:15" ht="32.25" thickBot="1" x14ac:dyDescent="0.3">
      <c r="A30" s="1">
        <v>28</v>
      </c>
      <c r="B30" s="91" t="s">
        <v>244</v>
      </c>
      <c r="C30" s="91" t="s">
        <v>258</v>
      </c>
      <c r="D30" s="91">
        <v>3</v>
      </c>
      <c r="E30" s="183">
        <v>2400</v>
      </c>
      <c r="F30" s="95">
        <v>7200</v>
      </c>
      <c r="I30" s="110" t="s">
        <v>129</v>
      </c>
      <c r="J30" s="111"/>
      <c r="K30" s="112"/>
    </row>
    <row r="31" spans="1:15" ht="32.25" thickBot="1" x14ac:dyDescent="0.3">
      <c r="A31" s="1">
        <v>29</v>
      </c>
      <c r="B31" s="91"/>
      <c r="C31" s="91"/>
      <c r="D31" s="91"/>
      <c r="E31" s="183"/>
      <c r="F31" s="95">
        <f>D31*E31</f>
        <v>0</v>
      </c>
      <c r="I31" s="110" t="s">
        <v>271</v>
      </c>
      <c r="J31" s="111" t="s">
        <v>222</v>
      </c>
      <c r="K31" s="112">
        <v>150000</v>
      </c>
    </row>
    <row r="32" spans="1:15" ht="32.25" thickBot="1" x14ac:dyDescent="0.3">
      <c r="A32" s="1">
        <v>30</v>
      </c>
      <c r="B32" s="91"/>
      <c r="C32" s="91"/>
      <c r="D32" s="91"/>
      <c r="E32" s="91"/>
      <c r="F32" s="95">
        <f>D32*E32</f>
        <v>0</v>
      </c>
      <c r="I32" s="110" t="s">
        <v>123</v>
      </c>
      <c r="J32" s="111" t="s">
        <v>296</v>
      </c>
      <c r="K32" s="112">
        <f>13%*M23+M23</f>
        <v>1065590</v>
      </c>
    </row>
    <row r="33" spans="2:11" ht="32.25" thickBot="1" x14ac:dyDescent="0.3">
      <c r="B33" s="97" t="s">
        <v>0</v>
      </c>
      <c r="C33" s="97"/>
      <c r="D33" s="97"/>
      <c r="E33" s="97"/>
      <c r="F33" s="98">
        <f>SUM(F3:F32)</f>
        <v>627490</v>
      </c>
      <c r="I33" s="110" t="s">
        <v>19</v>
      </c>
      <c r="J33" s="111" t="s">
        <v>127</v>
      </c>
      <c r="K33" s="112">
        <f>5%*M23</f>
        <v>47150</v>
      </c>
    </row>
    <row r="34" spans="2:11" ht="16.5" thickBot="1" x14ac:dyDescent="0.3">
      <c r="I34" s="110" t="s">
        <v>128</v>
      </c>
      <c r="J34" s="184"/>
      <c r="K34" s="112">
        <v>50000</v>
      </c>
    </row>
    <row r="35" spans="2:11" ht="16.5" thickBot="1" x14ac:dyDescent="0.3">
      <c r="I35" s="110" t="s">
        <v>124</v>
      </c>
      <c r="J35" s="111" t="s">
        <v>245</v>
      </c>
      <c r="K35" s="112">
        <v>150000</v>
      </c>
    </row>
    <row r="36" spans="2:11" ht="16.5" thickBot="1" x14ac:dyDescent="0.3">
      <c r="I36" s="113" t="s">
        <v>0</v>
      </c>
      <c r="J36" s="190"/>
      <c r="K36" s="191">
        <f>SUM(K29:K35)</f>
        <v>1862740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O34"/>
  <sheetViews>
    <sheetView zoomScale="79" zoomScaleNormal="79" workbookViewId="0">
      <selection activeCell="D25" sqref="D25"/>
    </sheetView>
  </sheetViews>
  <sheetFormatPr defaultRowHeight="15" x14ac:dyDescent="0.25"/>
  <cols>
    <col min="1" max="1" width="29.7109375" customWidth="1"/>
    <col min="2" max="2" width="16.85546875" customWidth="1"/>
    <col min="3" max="3" width="16.140625" customWidth="1"/>
    <col min="4" max="4" width="19.85546875" customWidth="1"/>
    <col min="5" max="5" width="18.28515625" customWidth="1"/>
    <col min="6" max="7" width="14" bestFit="1" customWidth="1"/>
    <col min="8" max="8" width="14" customWidth="1"/>
    <col min="9" max="10" width="14" bestFit="1" customWidth="1"/>
    <col min="11" max="11" width="14" customWidth="1"/>
    <col min="12" max="12" width="17.5703125" customWidth="1"/>
    <col min="13" max="13" width="15.85546875" customWidth="1"/>
    <col min="14" max="14" width="18.28515625" customWidth="1"/>
  </cols>
  <sheetData>
    <row r="1" spans="1:15" ht="18.75" x14ac:dyDescent="0.3">
      <c r="A1" s="45" t="s">
        <v>155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5" ht="18.75" x14ac:dyDescent="0.3">
      <c r="A2" s="47"/>
      <c r="B2" s="47" t="s">
        <v>61</v>
      </c>
      <c r="C2" s="47" t="s">
        <v>62</v>
      </c>
      <c r="D2" s="47" t="s">
        <v>63</v>
      </c>
      <c r="E2" s="47" t="s">
        <v>64</v>
      </c>
      <c r="F2" s="47" t="s">
        <v>65</v>
      </c>
      <c r="G2" s="47" t="s">
        <v>66</v>
      </c>
      <c r="H2" s="47" t="s">
        <v>67</v>
      </c>
      <c r="I2" s="47" t="s">
        <v>68</v>
      </c>
      <c r="J2" s="47" t="s">
        <v>69</v>
      </c>
      <c r="K2" s="47" t="s">
        <v>70</v>
      </c>
      <c r="L2" s="47" t="s">
        <v>71</v>
      </c>
      <c r="M2" s="47" t="s">
        <v>72</v>
      </c>
      <c r="N2" s="47" t="s">
        <v>0</v>
      </c>
      <c r="O2" s="46"/>
    </row>
    <row r="3" spans="1:15" ht="18.75" x14ac:dyDescent="0.3">
      <c r="A3" s="47" t="s">
        <v>73</v>
      </c>
      <c r="B3" s="41" t="s">
        <v>78</v>
      </c>
      <c r="C3" s="41" t="s">
        <v>79</v>
      </c>
      <c r="D3" s="41" t="s">
        <v>80</v>
      </c>
      <c r="E3" s="41" t="s">
        <v>81</v>
      </c>
      <c r="F3" s="41" t="s">
        <v>78</v>
      </c>
      <c r="G3" s="41" t="s">
        <v>79</v>
      </c>
      <c r="H3" s="41" t="s">
        <v>80</v>
      </c>
      <c r="I3" s="41" t="s">
        <v>81</v>
      </c>
      <c r="J3" s="41" t="s">
        <v>78</v>
      </c>
      <c r="K3" s="41" t="s">
        <v>79</v>
      </c>
      <c r="L3" s="41" t="s">
        <v>80</v>
      </c>
      <c r="M3" s="41" t="s">
        <v>81</v>
      </c>
      <c r="N3" s="47" t="s">
        <v>24</v>
      </c>
      <c r="O3" s="46"/>
    </row>
    <row r="4" spans="1:15" s="1" customFormat="1" ht="18.75" x14ac:dyDescent="0.3">
      <c r="A4" s="48" t="s">
        <v>74</v>
      </c>
      <c r="B4" s="49">
        <f>D34*3</f>
        <v>240000</v>
      </c>
      <c r="C4" s="49">
        <f>B4</f>
        <v>240000</v>
      </c>
      <c r="D4" s="49">
        <f>C4</f>
        <v>240000</v>
      </c>
      <c r="E4" s="49">
        <f>D4</f>
        <v>240000</v>
      </c>
      <c r="F4" s="49">
        <f>5%*E4+E4</f>
        <v>252000</v>
      </c>
      <c r="G4" s="49">
        <f>F4</f>
        <v>252000</v>
      </c>
      <c r="H4" s="49">
        <f>G4</f>
        <v>252000</v>
      </c>
      <c r="I4" s="49">
        <f t="shared" ref="I4" si="0">H4</f>
        <v>252000</v>
      </c>
      <c r="J4" s="49">
        <f>5%*I4+I4</f>
        <v>264600</v>
      </c>
      <c r="K4" s="49">
        <f>J4</f>
        <v>264600</v>
      </c>
      <c r="L4" s="49">
        <f t="shared" ref="L4:M4" si="1">K4</f>
        <v>264600</v>
      </c>
      <c r="M4" s="49">
        <f t="shared" si="1"/>
        <v>264600</v>
      </c>
      <c r="N4" s="130">
        <f>SUM(B4:M4)</f>
        <v>3026400</v>
      </c>
      <c r="O4" s="46"/>
    </row>
    <row r="5" spans="1:15" s="1" customFormat="1" ht="18.75" x14ac:dyDescent="0.3">
      <c r="A5" s="127" t="s">
        <v>146</v>
      </c>
      <c r="B5" s="49">
        <v>10000</v>
      </c>
      <c r="C5" s="49">
        <v>10000</v>
      </c>
      <c r="D5" s="49">
        <v>10000</v>
      </c>
      <c r="E5" s="49">
        <v>10000</v>
      </c>
      <c r="F5" s="49">
        <v>10000</v>
      </c>
      <c r="G5" s="49">
        <v>10000</v>
      </c>
      <c r="H5" s="49">
        <v>10000</v>
      </c>
      <c r="I5" s="49">
        <v>10000</v>
      </c>
      <c r="J5" s="49">
        <v>10000</v>
      </c>
      <c r="K5" s="49">
        <v>10000</v>
      </c>
      <c r="L5" s="49">
        <v>10000</v>
      </c>
      <c r="M5" s="49">
        <v>10000</v>
      </c>
      <c r="N5" s="130">
        <f t="shared" ref="N5:N15" si="2">SUM(B5:M5)</f>
        <v>120000</v>
      </c>
      <c r="O5" s="46"/>
    </row>
    <row r="6" spans="1:15" s="1" customFormat="1" ht="18.75" x14ac:dyDescent="0.3">
      <c r="A6" s="127" t="s">
        <v>147</v>
      </c>
      <c r="B6" s="49">
        <v>50000</v>
      </c>
      <c r="C6" s="49">
        <v>10000</v>
      </c>
      <c r="D6" s="49">
        <v>10000</v>
      </c>
      <c r="E6" s="49">
        <v>10000</v>
      </c>
      <c r="F6" s="49">
        <v>10000</v>
      </c>
      <c r="G6" s="49">
        <v>10000</v>
      </c>
      <c r="H6" s="49">
        <v>10000</v>
      </c>
      <c r="I6" s="49">
        <v>10000</v>
      </c>
      <c r="J6" s="49">
        <v>10000</v>
      </c>
      <c r="K6" s="49">
        <v>10000</v>
      </c>
      <c r="L6" s="49">
        <v>10000</v>
      </c>
      <c r="M6" s="49">
        <v>10000</v>
      </c>
      <c r="N6" s="130">
        <f>SUM(B6:M6)</f>
        <v>160000</v>
      </c>
      <c r="O6" s="46"/>
    </row>
    <row r="7" spans="1:15" s="1" customFormat="1" ht="18.75" x14ac:dyDescent="0.3">
      <c r="A7" s="127" t="s">
        <v>148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130">
        <f>SUM(B7:M7)</f>
        <v>0</v>
      </c>
      <c r="O7" s="46"/>
    </row>
    <row r="8" spans="1:15" s="1" customFormat="1" ht="18.75" x14ac:dyDescent="0.3">
      <c r="A8" s="127" t="s">
        <v>149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130">
        <f t="shared" si="2"/>
        <v>0</v>
      </c>
      <c r="O8" s="46"/>
    </row>
    <row r="9" spans="1:15" s="1" customFormat="1" ht="18.75" x14ac:dyDescent="0.3">
      <c r="A9" s="127" t="s">
        <v>150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130">
        <f t="shared" si="2"/>
        <v>0</v>
      </c>
      <c r="O9" s="46"/>
    </row>
    <row r="10" spans="1:15" s="1" customFormat="1" ht="18.75" x14ac:dyDescent="0.3">
      <c r="A10" s="127" t="s">
        <v>151</v>
      </c>
      <c r="B10" s="49">
        <v>3045</v>
      </c>
      <c r="C10" s="49">
        <v>3045</v>
      </c>
      <c r="D10" s="49">
        <v>3045</v>
      </c>
      <c r="E10" s="49">
        <v>3045</v>
      </c>
      <c r="F10" s="49">
        <v>3045</v>
      </c>
      <c r="G10" s="49">
        <v>3045</v>
      </c>
      <c r="H10" s="49">
        <v>3045</v>
      </c>
      <c r="I10" s="49">
        <v>3045</v>
      </c>
      <c r="J10" s="49">
        <v>3045</v>
      </c>
      <c r="K10" s="49">
        <v>3045</v>
      </c>
      <c r="L10" s="49">
        <v>3045</v>
      </c>
      <c r="M10" s="49">
        <v>3045</v>
      </c>
      <c r="N10" s="130">
        <f t="shared" si="2"/>
        <v>36540</v>
      </c>
      <c r="O10" s="46"/>
    </row>
    <row r="11" spans="1:15" s="1" customFormat="1" ht="18.75" x14ac:dyDescent="0.3">
      <c r="A11" s="127" t="s">
        <v>43</v>
      </c>
      <c r="B11" s="49">
        <v>3000</v>
      </c>
      <c r="C11" s="49">
        <v>3000</v>
      </c>
      <c r="D11" s="49">
        <v>3000</v>
      </c>
      <c r="E11" s="49">
        <v>3000</v>
      </c>
      <c r="F11" s="49">
        <v>3000</v>
      </c>
      <c r="G11" s="49">
        <v>3000</v>
      </c>
      <c r="H11" s="49">
        <v>3000</v>
      </c>
      <c r="I11" s="49">
        <v>3000</v>
      </c>
      <c r="J11" s="49">
        <v>3000</v>
      </c>
      <c r="K11" s="49">
        <v>3000</v>
      </c>
      <c r="L11" s="49">
        <v>3000</v>
      </c>
      <c r="M11" s="49">
        <v>3000</v>
      </c>
      <c r="N11" s="130">
        <f t="shared" si="2"/>
        <v>36000</v>
      </c>
      <c r="O11" s="46"/>
    </row>
    <row r="12" spans="1:15" ht="18.75" x14ac:dyDescent="0.3">
      <c r="A12" s="127" t="s">
        <v>19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130">
        <f t="shared" si="2"/>
        <v>0</v>
      </c>
      <c r="O12" s="46"/>
    </row>
    <row r="13" spans="1:15" ht="18.75" x14ac:dyDescent="0.3">
      <c r="A13" s="128" t="s">
        <v>152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130">
        <f t="shared" si="2"/>
        <v>0</v>
      </c>
      <c r="O13" s="46"/>
    </row>
    <row r="14" spans="1:15" ht="18.75" x14ac:dyDescent="0.3">
      <c r="A14" s="129" t="s">
        <v>153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130">
        <f t="shared" si="2"/>
        <v>0</v>
      </c>
      <c r="O14" s="46"/>
    </row>
    <row r="15" spans="1:15" ht="18.75" x14ac:dyDescent="0.3">
      <c r="A15" s="129" t="s">
        <v>75</v>
      </c>
      <c r="B15" s="49">
        <v>10000</v>
      </c>
      <c r="C15" s="49">
        <v>10000</v>
      </c>
      <c r="D15" s="49">
        <v>10000</v>
      </c>
      <c r="E15" s="49">
        <v>10000</v>
      </c>
      <c r="F15" s="49">
        <v>10000</v>
      </c>
      <c r="G15" s="49">
        <v>10000</v>
      </c>
      <c r="H15" s="49">
        <v>10000</v>
      </c>
      <c r="I15" s="49">
        <v>10000</v>
      </c>
      <c r="J15" s="49">
        <v>10000</v>
      </c>
      <c r="K15" s="49">
        <v>10000</v>
      </c>
      <c r="L15" s="49">
        <v>10000</v>
      </c>
      <c r="M15" s="49">
        <v>10000</v>
      </c>
      <c r="N15" s="130">
        <f t="shared" si="2"/>
        <v>120000</v>
      </c>
      <c r="O15" s="46"/>
    </row>
    <row r="16" spans="1:15" ht="18.75" x14ac:dyDescent="0.3">
      <c r="A16" s="47" t="s">
        <v>76</v>
      </c>
      <c r="B16" s="50">
        <f>SUM(B4:B15)</f>
        <v>316045</v>
      </c>
      <c r="C16" s="50">
        <f t="shared" ref="C16:N16" si="3">SUM(C4:C15)</f>
        <v>276045</v>
      </c>
      <c r="D16" s="50">
        <f t="shared" si="3"/>
        <v>276045</v>
      </c>
      <c r="E16" s="50">
        <f t="shared" si="3"/>
        <v>276045</v>
      </c>
      <c r="F16" s="50">
        <f t="shared" si="3"/>
        <v>288045</v>
      </c>
      <c r="G16" s="50">
        <f t="shared" si="3"/>
        <v>288045</v>
      </c>
      <c r="H16" s="50">
        <f t="shared" si="3"/>
        <v>288045</v>
      </c>
      <c r="I16" s="50">
        <f t="shared" si="3"/>
        <v>288045</v>
      </c>
      <c r="J16" s="50">
        <f t="shared" si="3"/>
        <v>300645</v>
      </c>
      <c r="K16" s="50">
        <f t="shared" si="3"/>
        <v>300645</v>
      </c>
      <c r="L16" s="50">
        <f t="shared" si="3"/>
        <v>300645</v>
      </c>
      <c r="M16" s="50">
        <f t="shared" si="3"/>
        <v>300645</v>
      </c>
      <c r="N16" s="50">
        <f t="shared" si="3"/>
        <v>3498940</v>
      </c>
      <c r="O16" s="46"/>
    </row>
    <row r="17" spans="1:15" ht="18.75" x14ac:dyDescent="0.3">
      <c r="A17" s="131"/>
      <c r="B17" s="132"/>
      <c r="C17" s="132"/>
      <c r="D17" s="132"/>
      <c r="E17" s="132"/>
      <c r="F17" s="132"/>
      <c r="G17" s="132"/>
      <c r="H17" s="52"/>
      <c r="I17" s="52"/>
      <c r="J17" s="52"/>
      <c r="K17" s="52"/>
      <c r="L17" s="52"/>
      <c r="M17" s="52"/>
      <c r="N17" s="52"/>
      <c r="O17" s="46"/>
    </row>
    <row r="18" spans="1:15" ht="18.75" x14ac:dyDescent="0.3">
      <c r="A18" s="53"/>
      <c r="B18" s="53"/>
      <c r="C18" s="53"/>
      <c r="D18" s="53"/>
      <c r="E18" s="53"/>
      <c r="F18" s="53"/>
      <c r="G18" s="53"/>
      <c r="H18" s="52"/>
      <c r="I18" s="52"/>
      <c r="J18" s="52"/>
      <c r="K18" s="52"/>
      <c r="L18" s="52"/>
      <c r="M18" s="52"/>
      <c r="N18" s="52"/>
      <c r="O18" s="46"/>
    </row>
    <row r="19" spans="1:15" ht="18.75" x14ac:dyDescent="0.3">
      <c r="A19" s="53"/>
      <c r="B19" s="53"/>
      <c r="C19" s="53"/>
      <c r="D19" s="53"/>
      <c r="E19" s="53"/>
      <c r="F19" s="53"/>
      <c r="G19" s="53"/>
      <c r="H19" s="52"/>
      <c r="I19" s="52"/>
      <c r="J19" s="52"/>
      <c r="K19" s="52"/>
      <c r="L19" s="52"/>
      <c r="M19" s="52"/>
      <c r="N19" s="52"/>
      <c r="O19" s="46"/>
    </row>
    <row r="20" spans="1:15" ht="19.5" thickBot="1" x14ac:dyDescent="0.35">
      <c r="A20" s="51" t="s">
        <v>77</v>
      </c>
      <c r="B20" s="53"/>
      <c r="C20" s="53"/>
      <c r="D20" s="53"/>
      <c r="E20" s="53"/>
      <c r="F20" s="53"/>
      <c r="G20" s="53"/>
      <c r="H20" s="46"/>
      <c r="I20" s="46"/>
      <c r="J20" s="46"/>
      <c r="K20" s="46"/>
      <c r="L20" s="46"/>
      <c r="M20" s="46"/>
      <c r="N20" s="46"/>
      <c r="O20" s="46"/>
    </row>
    <row r="21" spans="1:15" ht="18.75" x14ac:dyDescent="0.3">
      <c r="A21" s="53" t="s">
        <v>154</v>
      </c>
      <c r="B21" s="53"/>
      <c r="C21" s="53"/>
      <c r="D21" s="53"/>
      <c r="E21" s="53"/>
      <c r="F21" s="53"/>
      <c r="G21" s="53"/>
      <c r="H21" s="46"/>
      <c r="I21" s="46"/>
      <c r="J21" s="46"/>
      <c r="K21" s="46"/>
      <c r="L21" s="46"/>
      <c r="M21" s="46"/>
      <c r="N21" s="46"/>
      <c r="O21" s="46"/>
    </row>
    <row r="22" spans="1:15" ht="18.75" x14ac:dyDescent="0.3">
      <c r="A22" s="53"/>
      <c r="B22" s="53"/>
      <c r="C22" s="53"/>
      <c r="D22" s="53"/>
      <c r="E22" s="53"/>
      <c r="F22" s="53"/>
      <c r="G22" s="53"/>
      <c r="H22" s="46"/>
      <c r="I22" s="46"/>
      <c r="J22" s="46"/>
      <c r="K22" s="46"/>
      <c r="L22" s="46"/>
      <c r="M22" s="46"/>
      <c r="N22" s="46"/>
      <c r="O22" s="46"/>
    </row>
    <row r="23" spans="1:15" ht="18.75" x14ac:dyDescent="0.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spans="1:15" ht="18.75" x14ac:dyDescent="0.3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1:15" ht="18.75" x14ac:dyDescent="0.3">
      <c r="A25" s="46"/>
      <c r="B25" s="81" t="s">
        <v>97</v>
      </c>
      <c r="C25" s="82"/>
      <c r="D25" s="82"/>
      <c r="E25" s="1"/>
      <c r="F25" s="46"/>
      <c r="G25" s="46"/>
      <c r="H25" s="46"/>
      <c r="I25" s="46"/>
      <c r="J25" s="46"/>
      <c r="K25" s="46"/>
      <c r="L25" s="46"/>
      <c r="M25" s="46"/>
      <c r="N25" s="46"/>
      <c r="O25" s="46"/>
    </row>
    <row r="26" spans="1:15" ht="33" x14ac:dyDescent="0.3">
      <c r="A26" s="46"/>
      <c r="B26" s="83" t="s">
        <v>98</v>
      </c>
      <c r="C26" s="83" t="s">
        <v>99</v>
      </c>
      <c r="D26" s="87" t="s">
        <v>100</v>
      </c>
      <c r="E26" s="87" t="s">
        <v>101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</row>
    <row r="27" spans="1:15" ht="18.75" x14ac:dyDescent="0.3">
      <c r="A27" s="46"/>
      <c r="B27" s="84" t="s">
        <v>102</v>
      </c>
      <c r="C27" s="84" t="s">
        <v>255</v>
      </c>
      <c r="D27" s="85">
        <v>40000</v>
      </c>
      <c r="E27" s="85">
        <f>D27*12</f>
        <v>480000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</row>
    <row r="28" spans="1:15" ht="18.75" x14ac:dyDescent="0.3">
      <c r="A28" s="46"/>
      <c r="B28" s="84" t="s">
        <v>103</v>
      </c>
      <c r="C28" s="84" t="s">
        <v>256</v>
      </c>
      <c r="D28" s="85">
        <v>20000</v>
      </c>
      <c r="E28" s="85">
        <f t="shared" ref="E28:E33" si="4">D28*12</f>
        <v>240000</v>
      </c>
      <c r="F28" s="46"/>
      <c r="G28" s="46"/>
      <c r="H28" s="46"/>
      <c r="I28" s="46"/>
      <c r="J28" s="46"/>
      <c r="K28" s="46"/>
      <c r="L28" s="46"/>
      <c r="M28" s="46"/>
      <c r="N28" s="46"/>
      <c r="O28" s="46"/>
    </row>
    <row r="29" spans="1:15" ht="15.75" x14ac:dyDescent="0.25">
      <c r="B29" s="84" t="s">
        <v>104</v>
      </c>
      <c r="C29" s="84" t="s">
        <v>256</v>
      </c>
      <c r="D29" s="85">
        <v>20000</v>
      </c>
      <c r="E29" s="85">
        <f t="shared" si="4"/>
        <v>240000</v>
      </c>
    </row>
    <row r="30" spans="1:15" ht="15.75" x14ac:dyDescent="0.25">
      <c r="B30" s="84" t="s">
        <v>105</v>
      </c>
      <c r="C30" s="84"/>
      <c r="D30" s="85"/>
      <c r="E30" s="85">
        <f t="shared" si="4"/>
        <v>0</v>
      </c>
    </row>
    <row r="31" spans="1:15" ht="15.75" x14ac:dyDescent="0.25">
      <c r="B31" s="84" t="s">
        <v>106</v>
      </c>
      <c r="C31" s="84"/>
      <c r="D31" s="85"/>
      <c r="E31" s="85">
        <f t="shared" si="4"/>
        <v>0</v>
      </c>
    </row>
    <row r="32" spans="1:15" ht="15.75" x14ac:dyDescent="0.25">
      <c r="B32" s="84" t="s">
        <v>107</v>
      </c>
      <c r="C32" s="84"/>
      <c r="D32" s="85"/>
      <c r="E32" s="85">
        <f t="shared" si="4"/>
        <v>0</v>
      </c>
    </row>
    <row r="33" spans="2:5" ht="15.75" x14ac:dyDescent="0.25">
      <c r="B33" s="84" t="s">
        <v>108</v>
      </c>
      <c r="C33" s="84"/>
      <c r="D33" s="85"/>
      <c r="E33" s="85">
        <f t="shared" si="4"/>
        <v>0</v>
      </c>
    </row>
    <row r="34" spans="2:5" ht="16.5" x14ac:dyDescent="0.3">
      <c r="B34" s="84"/>
      <c r="C34" s="83" t="s">
        <v>0</v>
      </c>
      <c r="D34" s="86">
        <f>SUM(D27:D33)</f>
        <v>80000</v>
      </c>
      <c r="E34" s="86">
        <f>SUM(E27:E33)</f>
        <v>960000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J41"/>
  <sheetViews>
    <sheetView zoomScale="63" zoomScaleNormal="63" workbookViewId="0">
      <selection activeCell="B9" sqref="B9"/>
    </sheetView>
  </sheetViews>
  <sheetFormatPr defaultRowHeight="15" x14ac:dyDescent="0.25"/>
  <cols>
    <col min="1" max="1" width="45" customWidth="1"/>
    <col min="2" max="2" width="29" customWidth="1"/>
    <col min="3" max="3" width="27.140625" customWidth="1"/>
    <col min="4" max="4" width="9.7109375" customWidth="1"/>
    <col min="5" max="5" width="23.140625" customWidth="1"/>
    <col min="6" max="6" width="22.140625" customWidth="1"/>
    <col min="7" max="10" width="20.140625" bestFit="1" customWidth="1"/>
  </cols>
  <sheetData>
    <row r="1" spans="1:10" ht="22.5" thickBot="1" x14ac:dyDescent="0.4">
      <c r="A1" s="43" t="s">
        <v>290</v>
      </c>
      <c r="B1" s="44"/>
      <c r="C1" s="44"/>
      <c r="D1" s="42"/>
      <c r="E1" s="17" t="s">
        <v>130</v>
      </c>
      <c r="F1" s="63"/>
      <c r="G1" s="63"/>
      <c r="H1" s="63"/>
      <c r="I1" s="63"/>
      <c r="J1" s="63"/>
    </row>
    <row r="2" spans="1:10" ht="42.75" thickBot="1" x14ac:dyDescent="0.4">
      <c r="A2" s="43" t="s">
        <v>82</v>
      </c>
      <c r="B2" s="64" t="s">
        <v>83</v>
      </c>
      <c r="C2" s="64" t="s">
        <v>84</v>
      </c>
      <c r="D2" s="42"/>
      <c r="E2" s="65" t="s">
        <v>85</v>
      </c>
      <c r="F2" s="66" t="s">
        <v>86</v>
      </c>
      <c r="G2" s="67" t="s">
        <v>87</v>
      </c>
      <c r="H2" s="67" t="s">
        <v>88</v>
      </c>
      <c r="I2" s="67" t="s">
        <v>89</v>
      </c>
      <c r="J2" s="68" t="s">
        <v>90</v>
      </c>
    </row>
    <row r="3" spans="1:10" ht="21" x14ac:dyDescent="0.35">
      <c r="A3" s="44" t="s">
        <v>17</v>
      </c>
      <c r="B3" s="69">
        <f>'PRE-OPERATING, EQUIPMENT'!K36</f>
        <v>1862740</v>
      </c>
      <c r="C3" s="44"/>
      <c r="D3" s="42"/>
      <c r="E3" s="70"/>
      <c r="F3" s="70"/>
      <c r="G3" s="70"/>
      <c r="H3" s="70"/>
      <c r="I3" s="70"/>
      <c r="J3" s="70"/>
    </row>
    <row r="4" spans="1:10" ht="21" x14ac:dyDescent="0.35">
      <c r="A4" s="44" t="s">
        <v>288</v>
      </c>
      <c r="B4" s="69">
        <f>'PRE-OPERATING, EQUIPMENT'!F33</f>
        <v>627490</v>
      </c>
      <c r="C4" s="44"/>
      <c r="D4" s="42"/>
      <c r="E4" s="44">
        <v>0</v>
      </c>
      <c r="F4" s="71">
        <f>B9</f>
        <v>2525647.5</v>
      </c>
      <c r="G4" s="69"/>
      <c r="H4" s="69"/>
      <c r="I4" s="69"/>
      <c r="J4" s="69"/>
    </row>
    <row r="5" spans="1:10" ht="42" x14ac:dyDescent="0.35">
      <c r="A5" s="72" t="s">
        <v>91</v>
      </c>
      <c r="B5" s="69">
        <f>'OPERATING EXPENSE'!B16</f>
        <v>316045</v>
      </c>
      <c r="C5" s="44"/>
      <c r="D5" s="42"/>
      <c r="E5" s="44">
        <v>1</v>
      </c>
      <c r="F5" s="71">
        <f>F4-G4</f>
        <v>2525647.5</v>
      </c>
      <c r="G5" s="71">
        <v>0</v>
      </c>
      <c r="H5" s="69">
        <f>F4*9%/12</f>
        <v>18942.356250000001</v>
      </c>
      <c r="I5" s="69">
        <f>H5</f>
        <v>18942.356250000001</v>
      </c>
      <c r="J5" s="69">
        <f>I5</f>
        <v>18942.356250000001</v>
      </c>
    </row>
    <row r="6" spans="1:10" ht="21" x14ac:dyDescent="0.35">
      <c r="A6" s="44" t="s">
        <v>257</v>
      </c>
      <c r="B6" s="73">
        <f>SUM(B3:B5)</f>
        <v>2806275</v>
      </c>
      <c r="C6" s="44"/>
      <c r="D6" s="42"/>
      <c r="E6" s="44">
        <v>2</v>
      </c>
      <c r="F6" s="71">
        <f>F5-G5</f>
        <v>2525647.5</v>
      </c>
      <c r="G6" s="71">
        <v>0</v>
      </c>
      <c r="H6" s="69">
        <f>H5</f>
        <v>18942.356250000001</v>
      </c>
      <c r="I6" s="69">
        <f>I5</f>
        <v>18942.356250000001</v>
      </c>
      <c r="J6" s="69">
        <f t="shared" ref="J6:J40" si="0">J5+I6</f>
        <v>37884.712500000001</v>
      </c>
    </row>
    <row r="7" spans="1:10" ht="21" x14ac:dyDescent="0.35">
      <c r="A7" s="43" t="s">
        <v>92</v>
      </c>
      <c r="B7" s="64" t="s">
        <v>83</v>
      </c>
      <c r="C7" s="44" t="s">
        <v>93</v>
      </c>
      <c r="D7" s="42"/>
      <c r="E7" s="44">
        <v>3</v>
      </c>
      <c r="F7" s="71">
        <f t="shared" ref="F7:F41" si="1">F6-G6</f>
        <v>2525647.5</v>
      </c>
      <c r="G7" s="71">
        <v>0</v>
      </c>
      <c r="H7" s="69">
        <f t="shared" ref="H7:H16" si="2">H6</f>
        <v>18942.356250000001</v>
      </c>
      <c r="I7" s="69">
        <f t="shared" ref="I7:I40" si="3">H7+G7</f>
        <v>18942.356250000001</v>
      </c>
      <c r="J7" s="69">
        <f t="shared" si="0"/>
        <v>56827.068750000006</v>
      </c>
    </row>
    <row r="8" spans="1:10" ht="21" x14ac:dyDescent="0.35">
      <c r="A8" s="44" t="s">
        <v>94</v>
      </c>
      <c r="B8" s="74">
        <f>10%*B6</f>
        <v>280627.5</v>
      </c>
      <c r="C8" s="75">
        <v>0.1</v>
      </c>
      <c r="D8" s="42"/>
      <c r="E8" s="44">
        <v>4</v>
      </c>
      <c r="F8" s="71">
        <f t="shared" si="1"/>
        <v>2525647.5</v>
      </c>
      <c r="G8" s="71">
        <f>F4/33</f>
        <v>76534.772727272721</v>
      </c>
      <c r="H8" s="69">
        <f t="shared" si="2"/>
        <v>18942.356250000001</v>
      </c>
      <c r="I8" s="69">
        <f t="shared" si="3"/>
        <v>95477.128977272718</v>
      </c>
      <c r="J8" s="69">
        <f t="shared" si="0"/>
        <v>152304.19772727272</v>
      </c>
    </row>
    <row r="9" spans="1:10" ht="21" x14ac:dyDescent="0.35">
      <c r="A9" s="44" t="s">
        <v>95</v>
      </c>
      <c r="B9" s="76">
        <f>B6*90%</f>
        <v>2525647.5</v>
      </c>
      <c r="C9" s="75">
        <v>0.9</v>
      </c>
      <c r="D9" s="42"/>
      <c r="E9" s="44">
        <v>5</v>
      </c>
      <c r="F9" s="71">
        <f t="shared" si="1"/>
        <v>2449112.7272727271</v>
      </c>
      <c r="G9" s="71">
        <f t="shared" ref="G9:H24" si="4">G8</f>
        <v>76534.772727272721</v>
      </c>
      <c r="H9" s="69">
        <f t="shared" si="2"/>
        <v>18942.356250000001</v>
      </c>
      <c r="I9" s="69">
        <f t="shared" si="3"/>
        <v>95477.128977272718</v>
      </c>
      <c r="J9" s="69">
        <f t="shared" si="0"/>
        <v>247781.32670454544</v>
      </c>
    </row>
    <row r="10" spans="1:10" ht="21" x14ac:dyDescent="0.35">
      <c r="A10" s="43" t="s">
        <v>96</v>
      </c>
      <c r="B10" s="73">
        <f>SUM(B8:B9)</f>
        <v>2806275</v>
      </c>
      <c r="C10" s="77">
        <v>1</v>
      </c>
      <c r="D10" s="42"/>
      <c r="E10" s="44">
        <v>6</v>
      </c>
      <c r="F10" s="71">
        <f t="shared" si="1"/>
        <v>2372577.9545454541</v>
      </c>
      <c r="G10" s="71">
        <f t="shared" si="4"/>
        <v>76534.772727272721</v>
      </c>
      <c r="H10" s="69">
        <f t="shared" si="2"/>
        <v>18942.356250000001</v>
      </c>
      <c r="I10" s="69">
        <f t="shared" si="3"/>
        <v>95477.128977272718</v>
      </c>
      <c r="J10" s="69">
        <f t="shared" si="0"/>
        <v>343258.45568181819</v>
      </c>
    </row>
    <row r="11" spans="1:10" ht="21" x14ac:dyDescent="0.35">
      <c r="A11" s="42"/>
      <c r="B11" s="42"/>
      <c r="C11" s="42"/>
      <c r="D11" s="42"/>
      <c r="E11" s="44">
        <v>7</v>
      </c>
      <c r="F11" s="71">
        <f t="shared" si="1"/>
        <v>2296043.1818181812</v>
      </c>
      <c r="G11" s="71">
        <f t="shared" si="4"/>
        <v>76534.772727272721</v>
      </c>
      <c r="H11" s="69">
        <f t="shared" si="2"/>
        <v>18942.356250000001</v>
      </c>
      <c r="I11" s="69">
        <f t="shared" si="3"/>
        <v>95477.128977272718</v>
      </c>
      <c r="J11" s="69">
        <f t="shared" si="0"/>
        <v>438735.58465909091</v>
      </c>
    </row>
    <row r="12" spans="1:10" ht="21" x14ac:dyDescent="0.35">
      <c r="A12" s="17" t="s">
        <v>131</v>
      </c>
      <c r="B12" s="42"/>
      <c r="C12" s="42"/>
      <c r="D12" s="42"/>
      <c r="E12" s="44">
        <v>8</v>
      </c>
      <c r="F12" s="71">
        <f t="shared" si="1"/>
        <v>2219508.4090909082</v>
      </c>
      <c r="G12" s="71">
        <f t="shared" si="4"/>
        <v>76534.772727272721</v>
      </c>
      <c r="H12" s="69">
        <f t="shared" si="2"/>
        <v>18942.356250000001</v>
      </c>
      <c r="I12" s="69">
        <f t="shared" si="3"/>
        <v>95477.128977272718</v>
      </c>
      <c r="J12" s="69">
        <f t="shared" si="0"/>
        <v>534212.71363636362</v>
      </c>
    </row>
    <row r="13" spans="1:10" ht="21" x14ac:dyDescent="0.35">
      <c r="A13" s="42" t="s">
        <v>198</v>
      </c>
      <c r="B13" s="42"/>
      <c r="C13" s="42"/>
      <c r="D13" s="42"/>
      <c r="E13" s="44">
        <v>9</v>
      </c>
      <c r="F13" s="71">
        <f t="shared" si="1"/>
        <v>2142973.6363636353</v>
      </c>
      <c r="G13" s="71">
        <f t="shared" si="4"/>
        <v>76534.772727272721</v>
      </c>
      <c r="H13" s="69">
        <f t="shared" si="2"/>
        <v>18942.356250000001</v>
      </c>
      <c r="I13" s="69">
        <f t="shared" si="3"/>
        <v>95477.128977272718</v>
      </c>
      <c r="J13" s="69">
        <f t="shared" si="0"/>
        <v>629689.84261363628</v>
      </c>
    </row>
    <row r="14" spans="1:10" ht="21" x14ac:dyDescent="0.35">
      <c r="A14" s="42" t="s">
        <v>197</v>
      </c>
      <c r="B14" s="42"/>
      <c r="C14" s="42"/>
      <c r="D14" s="42"/>
      <c r="E14" s="44">
        <v>10</v>
      </c>
      <c r="F14" s="71">
        <f t="shared" si="1"/>
        <v>2066438.8636363626</v>
      </c>
      <c r="G14" s="71">
        <f t="shared" si="4"/>
        <v>76534.772727272721</v>
      </c>
      <c r="H14" s="69">
        <f t="shared" si="2"/>
        <v>18942.356250000001</v>
      </c>
      <c r="I14" s="69">
        <f t="shared" si="3"/>
        <v>95477.128977272718</v>
      </c>
      <c r="J14" s="69">
        <f t="shared" si="0"/>
        <v>725166.97159090894</v>
      </c>
    </row>
    <row r="15" spans="1:10" ht="21" x14ac:dyDescent="0.35">
      <c r="A15" s="42"/>
      <c r="B15" s="42"/>
      <c r="C15" s="42"/>
      <c r="D15" s="42"/>
      <c r="E15" s="44">
        <v>11</v>
      </c>
      <c r="F15" s="71">
        <f t="shared" si="1"/>
        <v>1989904.0909090899</v>
      </c>
      <c r="G15" s="71">
        <f t="shared" si="4"/>
        <v>76534.772727272721</v>
      </c>
      <c r="H15" s="69">
        <f t="shared" si="2"/>
        <v>18942.356250000001</v>
      </c>
      <c r="I15" s="69">
        <f t="shared" si="3"/>
        <v>95477.128977272718</v>
      </c>
      <c r="J15" s="69">
        <f t="shared" si="0"/>
        <v>820644.1005681816</v>
      </c>
    </row>
    <row r="16" spans="1:10" ht="21" x14ac:dyDescent="0.35">
      <c r="A16" s="42"/>
      <c r="B16" s="42"/>
      <c r="C16" s="42"/>
      <c r="D16" s="42"/>
      <c r="E16" s="44">
        <v>12</v>
      </c>
      <c r="F16" s="71">
        <f t="shared" si="1"/>
        <v>1913369.3181818172</v>
      </c>
      <c r="G16" s="71">
        <f t="shared" si="4"/>
        <v>76534.772727272721</v>
      </c>
      <c r="H16" s="69">
        <f t="shared" si="2"/>
        <v>18942.356250000001</v>
      </c>
      <c r="I16" s="69">
        <f t="shared" si="3"/>
        <v>95477.128977272718</v>
      </c>
      <c r="J16" s="69">
        <f t="shared" si="0"/>
        <v>916121.22954545426</v>
      </c>
    </row>
    <row r="17" spans="1:10" ht="21" x14ac:dyDescent="0.35">
      <c r="A17" s="42"/>
      <c r="B17" s="42"/>
      <c r="C17" s="42"/>
      <c r="D17" s="42"/>
      <c r="E17" s="44">
        <v>13</v>
      </c>
      <c r="F17" s="71">
        <f t="shared" si="1"/>
        <v>1836834.5454545445</v>
      </c>
      <c r="G17" s="71">
        <f t="shared" si="4"/>
        <v>76534.772727272721</v>
      </c>
      <c r="H17" s="69">
        <f>9%*F17/12</f>
        <v>13776.259090909081</v>
      </c>
      <c r="I17" s="69">
        <f t="shared" si="3"/>
        <v>90311.0318181818</v>
      </c>
      <c r="J17" s="69">
        <f t="shared" si="0"/>
        <v>1006432.261363636</v>
      </c>
    </row>
    <row r="18" spans="1:10" s="1" customFormat="1" ht="21" x14ac:dyDescent="0.35">
      <c r="A18" s="42"/>
      <c r="B18" s="42"/>
      <c r="C18" s="42"/>
      <c r="D18" s="42"/>
      <c r="E18" s="44">
        <v>14</v>
      </c>
      <c r="F18" s="71">
        <f t="shared" si="1"/>
        <v>1760299.7727272718</v>
      </c>
      <c r="G18" s="71">
        <f t="shared" si="4"/>
        <v>76534.772727272721</v>
      </c>
      <c r="H18" s="69">
        <f t="shared" si="4"/>
        <v>13776.259090909081</v>
      </c>
      <c r="I18" s="69">
        <f t="shared" si="3"/>
        <v>90311.0318181818</v>
      </c>
      <c r="J18" s="69">
        <f t="shared" si="0"/>
        <v>1096743.2931818177</v>
      </c>
    </row>
    <row r="19" spans="1:10" ht="21" x14ac:dyDescent="0.35">
      <c r="A19" s="42"/>
      <c r="B19" s="42"/>
      <c r="C19" s="42"/>
      <c r="D19" s="42"/>
      <c r="E19" s="44">
        <v>15</v>
      </c>
      <c r="F19" s="71">
        <f t="shared" si="1"/>
        <v>1683764.9999999991</v>
      </c>
      <c r="G19" s="71">
        <f t="shared" si="4"/>
        <v>76534.772727272721</v>
      </c>
      <c r="H19" s="69">
        <f t="shared" si="4"/>
        <v>13776.259090909081</v>
      </c>
      <c r="I19" s="69">
        <f t="shared" si="3"/>
        <v>90311.0318181818</v>
      </c>
      <c r="J19" s="69">
        <f t="shared" si="0"/>
        <v>1187054.3249999995</v>
      </c>
    </row>
    <row r="20" spans="1:10" ht="21" x14ac:dyDescent="0.35">
      <c r="A20" s="42"/>
      <c r="B20" s="42"/>
      <c r="C20" s="42"/>
      <c r="D20" s="42"/>
      <c r="E20" s="44">
        <v>16</v>
      </c>
      <c r="F20" s="71">
        <f t="shared" si="1"/>
        <v>1607230.2272727264</v>
      </c>
      <c r="G20" s="71">
        <f t="shared" si="4"/>
        <v>76534.772727272721</v>
      </c>
      <c r="H20" s="69">
        <f t="shared" si="4"/>
        <v>13776.259090909081</v>
      </c>
      <c r="I20" s="69">
        <f t="shared" si="3"/>
        <v>90311.0318181818</v>
      </c>
      <c r="J20" s="69">
        <f t="shared" si="0"/>
        <v>1277365.3568181812</v>
      </c>
    </row>
    <row r="21" spans="1:10" ht="21" x14ac:dyDescent="0.35">
      <c r="A21" s="42"/>
      <c r="B21" s="42"/>
      <c r="C21" s="42"/>
      <c r="D21" s="42"/>
      <c r="E21" s="44">
        <v>17</v>
      </c>
      <c r="F21" s="71">
        <f t="shared" si="1"/>
        <v>1530695.4545454537</v>
      </c>
      <c r="G21" s="71">
        <f t="shared" si="4"/>
        <v>76534.772727272721</v>
      </c>
      <c r="H21" s="69">
        <f t="shared" si="4"/>
        <v>13776.259090909081</v>
      </c>
      <c r="I21" s="69">
        <f t="shared" si="3"/>
        <v>90311.0318181818</v>
      </c>
      <c r="J21" s="69">
        <f t="shared" si="0"/>
        <v>1367676.388636363</v>
      </c>
    </row>
    <row r="22" spans="1:10" ht="21" x14ac:dyDescent="0.35">
      <c r="A22" s="42"/>
      <c r="B22" s="42"/>
      <c r="C22" s="42"/>
      <c r="D22" s="42"/>
      <c r="E22" s="44">
        <v>18</v>
      </c>
      <c r="F22" s="71">
        <f t="shared" si="1"/>
        <v>1454160.681818181</v>
      </c>
      <c r="G22" s="71">
        <f t="shared" si="4"/>
        <v>76534.772727272721</v>
      </c>
      <c r="H22" s="69">
        <f t="shared" si="4"/>
        <v>13776.259090909081</v>
      </c>
      <c r="I22" s="69">
        <f t="shared" si="3"/>
        <v>90311.0318181818</v>
      </c>
      <c r="J22" s="69">
        <f t="shared" si="0"/>
        <v>1457987.4204545447</v>
      </c>
    </row>
    <row r="23" spans="1:10" ht="21" x14ac:dyDescent="0.35">
      <c r="A23" s="42"/>
      <c r="B23" s="42"/>
      <c r="C23" s="42"/>
      <c r="D23" s="42"/>
      <c r="E23" s="44">
        <v>19</v>
      </c>
      <c r="F23" s="71">
        <f t="shared" si="1"/>
        <v>1377625.9090909082</v>
      </c>
      <c r="G23" s="71">
        <f t="shared" si="4"/>
        <v>76534.772727272721</v>
      </c>
      <c r="H23" s="69">
        <f t="shared" si="4"/>
        <v>13776.259090909081</v>
      </c>
      <c r="I23" s="69">
        <f t="shared" si="3"/>
        <v>90311.0318181818</v>
      </c>
      <c r="J23" s="69">
        <f t="shared" si="0"/>
        <v>1548298.4522727265</v>
      </c>
    </row>
    <row r="24" spans="1:10" ht="21" x14ac:dyDescent="0.35">
      <c r="A24" s="42"/>
      <c r="B24" s="42"/>
      <c r="C24" s="42"/>
      <c r="D24" s="42"/>
      <c r="E24" s="44">
        <v>20</v>
      </c>
      <c r="F24" s="71">
        <f t="shared" si="1"/>
        <v>1301091.1363636355</v>
      </c>
      <c r="G24" s="71">
        <f t="shared" si="4"/>
        <v>76534.772727272721</v>
      </c>
      <c r="H24" s="69">
        <f t="shared" si="4"/>
        <v>13776.259090909081</v>
      </c>
      <c r="I24" s="69">
        <f t="shared" si="3"/>
        <v>90311.0318181818</v>
      </c>
      <c r="J24" s="69">
        <f t="shared" si="0"/>
        <v>1638609.4840909082</v>
      </c>
    </row>
    <row r="25" spans="1:10" ht="21" x14ac:dyDescent="0.35">
      <c r="A25" s="42"/>
      <c r="B25" s="42"/>
      <c r="C25" s="42"/>
      <c r="D25" s="42"/>
      <c r="E25" s="44">
        <v>21</v>
      </c>
      <c r="F25" s="71">
        <f t="shared" si="1"/>
        <v>1224556.3636363628</v>
      </c>
      <c r="G25" s="71">
        <f t="shared" ref="G25:H28" si="5">G24</f>
        <v>76534.772727272721</v>
      </c>
      <c r="H25" s="69">
        <f t="shared" si="5"/>
        <v>13776.259090909081</v>
      </c>
      <c r="I25" s="69">
        <f t="shared" si="3"/>
        <v>90311.0318181818</v>
      </c>
      <c r="J25" s="69">
        <f t="shared" si="0"/>
        <v>1728920.5159090899</v>
      </c>
    </row>
    <row r="26" spans="1:10" ht="21" x14ac:dyDescent="0.35">
      <c r="A26" s="42"/>
      <c r="B26" s="42"/>
      <c r="C26" s="42"/>
      <c r="D26" s="42"/>
      <c r="E26" s="44">
        <v>22</v>
      </c>
      <c r="F26" s="71">
        <f t="shared" si="1"/>
        <v>1148021.5909090901</v>
      </c>
      <c r="G26" s="71">
        <f t="shared" si="5"/>
        <v>76534.772727272721</v>
      </c>
      <c r="H26" s="69">
        <f t="shared" si="5"/>
        <v>13776.259090909081</v>
      </c>
      <c r="I26" s="69">
        <f t="shared" si="3"/>
        <v>90311.0318181818</v>
      </c>
      <c r="J26" s="69">
        <f t="shared" si="0"/>
        <v>1819231.5477272717</v>
      </c>
    </row>
    <row r="27" spans="1:10" ht="21" x14ac:dyDescent="0.35">
      <c r="A27" s="42"/>
      <c r="B27" s="42"/>
      <c r="C27" s="42"/>
      <c r="D27" s="42"/>
      <c r="E27" s="44">
        <v>23</v>
      </c>
      <c r="F27" s="71">
        <f t="shared" si="1"/>
        <v>1071486.8181818174</v>
      </c>
      <c r="G27" s="71">
        <f t="shared" si="5"/>
        <v>76534.772727272721</v>
      </c>
      <c r="H27" s="69">
        <f t="shared" si="5"/>
        <v>13776.259090909081</v>
      </c>
      <c r="I27" s="69">
        <f t="shared" si="3"/>
        <v>90311.0318181818</v>
      </c>
      <c r="J27" s="69">
        <f t="shared" si="0"/>
        <v>1909542.5795454534</v>
      </c>
    </row>
    <row r="28" spans="1:10" ht="21" x14ac:dyDescent="0.35">
      <c r="A28" s="42"/>
      <c r="B28" s="42"/>
      <c r="C28" s="42"/>
      <c r="D28" s="42"/>
      <c r="E28" s="78">
        <v>24</v>
      </c>
      <c r="F28" s="79">
        <f t="shared" si="1"/>
        <v>994952.04545454471</v>
      </c>
      <c r="G28" s="79">
        <f t="shared" si="5"/>
        <v>76534.772727272721</v>
      </c>
      <c r="H28" s="80">
        <f t="shared" si="5"/>
        <v>13776.259090909081</v>
      </c>
      <c r="I28" s="80">
        <f t="shared" si="3"/>
        <v>90311.0318181818</v>
      </c>
      <c r="J28" s="80">
        <f t="shared" si="0"/>
        <v>1999853.6113636352</v>
      </c>
    </row>
    <row r="29" spans="1:10" ht="21" x14ac:dyDescent="0.35">
      <c r="A29" s="42"/>
      <c r="B29" s="42"/>
      <c r="C29" s="42"/>
      <c r="D29" s="42"/>
      <c r="E29" s="44">
        <v>25</v>
      </c>
      <c r="F29" s="71">
        <f t="shared" si="1"/>
        <v>918417.27272727201</v>
      </c>
      <c r="G29" s="79">
        <f t="shared" ref="G29" si="6">G28</f>
        <v>76534.772727272721</v>
      </c>
      <c r="H29" s="69">
        <f>9%*F29/12</f>
        <v>6888.1295454545398</v>
      </c>
      <c r="I29" s="80">
        <f t="shared" si="3"/>
        <v>83422.902272727253</v>
      </c>
      <c r="J29" s="80">
        <f t="shared" si="0"/>
        <v>2083276.5136363625</v>
      </c>
    </row>
    <row r="30" spans="1:10" ht="21" x14ac:dyDescent="0.35">
      <c r="A30" s="54"/>
      <c r="B30" s="56"/>
      <c r="C30" s="58"/>
      <c r="D30" s="59"/>
      <c r="E30" s="44">
        <v>26</v>
      </c>
      <c r="F30" s="71">
        <f t="shared" si="1"/>
        <v>841882.4999999993</v>
      </c>
      <c r="G30" s="79">
        <f t="shared" ref="G30" si="7">G29</f>
        <v>76534.772727272721</v>
      </c>
      <c r="H30" s="80">
        <f t="shared" ref="H30" si="8">H29</f>
        <v>6888.1295454545398</v>
      </c>
      <c r="I30" s="80">
        <f t="shared" si="3"/>
        <v>83422.902272727253</v>
      </c>
      <c r="J30" s="80">
        <f t="shared" si="0"/>
        <v>2166699.4159090896</v>
      </c>
    </row>
    <row r="31" spans="1:10" ht="21" x14ac:dyDescent="0.35">
      <c r="A31" s="54"/>
      <c r="B31" s="56"/>
      <c r="C31" s="58"/>
      <c r="D31" s="59"/>
      <c r="E31" s="44">
        <v>27</v>
      </c>
      <c r="F31" s="71">
        <f t="shared" si="1"/>
        <v>765347.7272727266</v>
      </c>
      <c r="G31" s="79">
        <f t="shared" ref="G31" si="9">G30</f>
        <v>76534.772727272721</v>
      </c>
      <c r="H31" s="80">
        <f t="shared" ref="H31" si="10">H30</f>
        <v>6888.1295454545398</v>
      </c>
      <c r="I31" s="80">
        <f t="shared" si="3"/>
        <v>83422.902272727253</v>
      </c>
      <c r="J31" s="80">
        <f t="shared" si="0"/>
        <v>2250122.318181817</v>
      </c>
    </row>
    <row r="32" spans="1:10" ht="21" x14ac:dyDescent="0.35">
      <c r="A32" s="54"/>
      <c r="B32" s="56"/>
      <c r="C32" s="58"/>
      <c r="D32" s="59"/>
      <c r="E32" s="44">
        <v>28</v>
      </c>
      <c r="F32" s="71">
        <f t="shared" si="1"/>
        <v>688812.95454545389</v>
      </c>
      <c r="G32" s="79">
        <f t="shared" ref="G32" si="11">G31</f>
        <v>76534.772727272721</v>
      </c>
      <c r="H32" s="80">
        <f t="shared" ref="H32" si="12">H31</f>
        <v>6888.1295454545398</v>
      </c>
      <c r="I32" s="80">
        <f t="shared" si="3"/>
        <v>83422.902272727253</v>
      </c>
      <c r="J32" s="80">
        <f t="shared" si="0"/>
        <v>2333545.2204545443</v>
      </c>
    </row>
    <row r="33" spans="1:10" ht="21" x14ac:dyDescent="0.35">
      <c r="A33" s="57"/>
      <c r="B33" s="55"/>
      <c r="C33" s="60"/>
      <c r="D33" s="55"/>
      <c r="E33" s="44">
        <v>29</v>
      </c>
      <c r="F33" s="71">
        <f t="shared" si="1"/>
        <v>612278.18181818118</v>
      </c>
      <c r="G33" s="79">
        <f t="shared" ref="G33" si="13">G32</f>
        <v>76534.772727272721</v>
      </c>
      <c r="H33" s="80">
        <f t="shared" ref="H33" si="14">H32</f>
        <v>6888.1295454545398</v>
      </c>
      <c r="I33" s="80">
        <f t="shared" si="3"/>
        <v>83422.902272727253</v>
      </c>
      <c r="J33" s="80">
        <f t="shared" si="0"/>
        <v>2416968.1227272716</v>
      </c>
    </row>
    <row r="34" spans="1:10" ht="21" x14ac:dyDescent="0.35">
      <c r="A34" s="42"/>
      <c r="B34" s="42"/>
      <c r="C34" s="42"/>
      <c r="D34" s="42"/>
      <c r="E34" s="44">
        <v>30</v>
      </c>
      <c r="F34" s="71">
        <f t="shared" si="1"/>
        <v>535743.40909090848</v>
      </c>
      <c r="G34" s="79">
        <f t="shared" ref="G34" si="15">G33</f>
        <v>76534.772727272721</v>
      </c>
      <c r="H34" s="80">
        <f t="shared" ref="H34" si="16">H33</f>
        <v>6888.1295454545398</v>
      </c>
      <c r="I34" s="80">
        <f t="shared" si="3"/>
        <v>83422.902272727253</v>
      </c>
      <c r="J34" s="80">
        <f t="shared" si="0"/>
        <v>2500391.024999999</v>
      </c>
    </row>
    <row r="35" spans="1:10" ht="21" x14ac:dyDescent="0.35">
      <c r="A35" s="42"/>
      <c r="B35" s="42"/>
      <c r="C35" s="42"/>
      <c r="D35" s="42"/>
      <c r="E35" s="44">
        <v>31</v>
      </c>
      <c r="F35" s="71">
        <f t="shared" si="1"/>
        <v>459208.63636363577</v>
      </c>
      <c r="G35" s="79">
        <f t="shared" ref="G35" si="17">G34</f>
        <v>76534.772727272721</v>
      </c>
      <c r="H35" s="80">
        <f t="shared" ref="H35" si="18">H34</f>
        <v>6888.1295454545398</v>
      </c>
      <c r="I35" s="80">
        <f t="shared" si="3"/>
        <v>83422.902272727253</v>
      </c>
      <c r="J35" s="80">
        <f t="shared" si="0"/>
        <v>2583813.9272727263</v>
      </c>
    </row>
    <row r="36" spans="1:10" ht="21" x14ac:dyDescent="0.35">
      <c r="A36" s="42"/>
      <c r="B36" s="42"/>
      <c r="C36" s="42"/>
      <c r="D36" s="42"/>
      <c r="E36" s="44">
        <v>32</v>
      </c>
      <c r="F36" s="71">
        <f t="shared" si="1"/>
        <v>382673.86363636306</v>
      </c>
      <c r="G36" s="79">
        <f t="shared" ref="G36" si="19">G35</f>
        <v>76534.772727272721</v>
      </c>
      <c r="H36" s="80">
        <f t="shared" ref="H36" si="20">H35</f>
        <v>6888.1295454545398</v>
      </c>
      <c r="I36" s="80">
        <f t="shared" si="3"/>
        <v>83422.902272727253</v>
      </c>
      <c r="J36" s="80">
        <f t="shared" si="0"/>
        <v>2667236.8295454537</v>
      </c>
    </row>
    <row r="37" spans="1:10" ht="21" x14ac:dyDescent="0.35">
      <c r="A37" s="42"/>
      <c r="B37" s="42"/>
      <c r="C37" s="42"/>
      <c r="D37" s="42"/>
      <c r="E37" s="44">
        <v>33</v>
      </c>
      <c r="F37" s="71">
        <f t="shared" si="1"/>
        <v>306139.09090909036</v>
      </c>
      <c r="G37" s="79">
        <f t="shared" ref="G37" si="21">G36</f>
        <v>76534.772727272721</v>
      </c>
      <c r="H37" s="80">
        <f t="shared" ref="H37" si="22">H36</f>
        <v>6888.1295454545398</v>
      </c>
      <c r="I37" s="80">
        <f t="shared" si="3"/>
        <v>83422.902272727253</v>
      </c>
      <c r="J37" s="80">
        <f t="shared" si="0"/>
        <v>2750659.731818181</v>
      </c>
    </row>
    <row r="38" spans="1:10" ht="21" x14ac:dyDescent="0.35">
      <c r="A38" s="42"/>
      <c r="B38" s="42"/>
      <c r="C38" s="42"/>
      <c r="D38" s="42"/>
      <c r="E38" s="44">
        <v>34</v>
      </c>
      <c r="F38" s="71">
        <f t="shared" si="1"/>
        <v>229604.31818181765</v>
      </c>
      <c r="G38" s="79">
        <f t="shared" ref="G38" si="23">G37</f>
        <v>76534.772727272721</v>
      </c>
      <c r="H38" s="80">
        <f t="shared" ref="H38" si="24">H37</f>
        <v>6888.1295454545398</v>
      </c>
      <c r="I38" s="80">
        <f t="shared" si="3"/>
        <v>83422.902272727253</v>
      </c>
      <c r="J38" s="80">
        <f t="shared" si="0"/>
        <v>2834082.6340909083</v>
      </c>
    </row>
    <row r="39" spans="1:10" ht="21" x14ac:dyDescent="0.35">
      <c r="E39" s="44">
        <v>35</v>
      </c>
      <c r="F39" s="71">
        <f t="shared" si="1"/>
        <v>153069.54545454495</v>
      </c>
      <c r="G39" s="79">
        <f t="shared" ref="G39" si="25">G38</f>
        <v>76534.772727272721</v>
      </c>
      <c r="H39" s="80">
        <f t="shared" ref="H39" si="26">H38</f>
        <v>6888.1295454545398</v>
      </c>
      <c r="I39" s="80">
        <f t="shared" si="3"/>
        <v>83422.902272727253</v>
      </c>
      <c r="J39" s="80">
        <f t="shared" si="0"/>
        <v>2917505.5363636357</v>
      </c>
    </row>
    <row r="40" spans="1:10" ht="21" x14ac:dyDescent="0.35">
      <c r="E40" s="44">
        <v>36</v>
      </c>
      <c r="F40" s="71">
        <f t="shared" si="1"/>
        <v>76534.772727272226</v>
      </c>
      <c r="G40" s="79">
        <f t="shared" ref="G40" si="27">G39</f>
        <v>76534.772727272721</v>
      </c>
      <c r="H40" s="80">
        <f t="shared" ref="H40" si="28">H39</f>
        <v>6888.1295454545398</v>
      </c>
      <c r="I40" s="80">
        <f t="shared" si="3"/>
        <v>83422.902272727253</v>
      </c>
      <c r="J40" s="80">
        <f t="shared" si="0"/>
        <v>3000928.438636363</v>
      </c>
    </row>
    <row r="41" spans="1:10" ht="21" x14ac:dyDescent="0.35">
      <c r="E41" s="62" t="s">
        <v>0</v>
      </c>
      <c r="F41" s="71">
        <f t="shared" si="1"/>
        <v>-4.9476511776447296E-10</v>
      </c>
      <c r="G41" s="181">
        <f>SUM(G5:G40)</f>
        <v>2525647.5000000009</v>
      </c>
      <c r="H41" s="181">
        <f>SUM(H5:H40)</f>
        <v>475280.93863636337</v>
      </c>
      <c r="I41" s="181">
        <f>SUM(I5:I40)</f>
        <v>3000928.438636363</v>
      </c>
      <c r="J41" s="62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activeCell="A21" sqref="A21"/>
    </sheetView>
  </sheetViews>
  <sheetFormatPr defaultRowHeight="15" x14ac:dyDescent="0.25"/>
  <cols>
    <col min="1" max="1" width="23" customWidth="1"/>
    <col min="2" max="2" width="13.140625" customWidth="1"/>
    <col min="3" max="3" width="15.7109375" customWidth="1"/>
    <col min="4" max="4" width="12.85546875" customWidth="1"/>
    <col min="5" max="5" width="12" customWidth="1"/>
    <col min="6" max="6" width="15.28515625" customWidth="1"/>
    <col min="7" max="7" width="10.28515625" customWidth="1"/>
  </cols>
  <sheetData>
    <row r="1" spans="1:7" x14ac:dyDescent="0.25">
      <c r="A1" s="92" t="s">
        <v>291</v>
      </c>
    </row>
    <row r="2" spans="1:7" s="115" customFormat="1" ht="45" x14ac:dyDescent="0.25">
      <c r="A2" s="116" t="s">
        <v>136</v>
      </c>
      <c r="B2" s="116" t="s">
        <v>137</v>
      </c>
      <c r="C2" s="116" t="s">
        <v>139</v>
      </c>
      <c r="D2" s="116" t="s">
        <v>138</v>
      </c>
      <c r="E2" s="116" t="s">
        <v>142</v>
      </c>
      <c r="F2" s="116" t="s">
        <v>140</v>
      </c>
      <c r="G2" s="116" t="s">
        <v>141</v>
      </c>
    </row>
    <row r="3" spans="1:7" x14ac:dyDescent="0.25">
      <c r="A3" s="61" t="s">
        <v>239</v>
      </c>
      <c r="B3" s="61"/>
      <c r="C3" s="187">
        <v>67200</v>
      </c>
      <c r="D3" s="61">
        <v>12</v>
      </c>
      <c r="E3" s="61">
        <f>C3/D3</f>
        <v>5600</v>
      </c>
      <c r="F3" s="187">
        <v>300000</v>
      </c>
      <c r="G3" s="61">
        <f>F3/D3</f>
        <v>25000</v>
      </c>
    </row>
    <row r="4" spans="1:7" x14ac:dyDescent="0.25">
      <c r="A4" s="62" t="s">
        <v>240</v>
      </c>
      <c r="B4" s="62"/>
      <c r="C4" s="188">
        <v>67200</v>
      </c>
      <c r="D4" s="62">
        <v>12</v>
      </c>
      <c r="E4" s="61">
        <f t="shared" ref="E4:E32" si="0">C4/D4</f>
        <v>5600</v>
      </c>
      <c r="F4" s="188">
        <v>600000</v>
      </c>
      <c r="G4" s="61">
        <f t="shared" ref="G4:G32" si="1">F4/D4</f>
        <v>50000</v>
      </c>
    </row>
    <row r="5" spans="1:7" x14ac:dyDescent="0.25">
      <c r="A5" s="62" t="s">
        <v>241</v>
      </c>
      <c r="B5" s="62"/>
      <c r="C5" s="187">
        <v>6000</v>
      </c>
      <c r="D5" s="61">
        <v>1</v>
      </c>
      <c r="E5" s="61">
        <f>C5/D5</f>
        <v>6000</v>
      </c>
      <c r="F5" s="188">
        <v>75000</v>
      </c>
      <c r="G5" s="61">
        <f>F5/D5</f>
        <v>75000</v>
      </c>
    </row>
    <row r="6" spans="1:7" x14ac:dyDescent="0.25">
      <c r="A6" s="62" t="s">
        <v>242</v>
      </c>
      <c r="B6" s="62"/>
      <c r="C6" s="62">
        <v>450</v>
      </c>
      <c r="D6" s="62">
        <v>90</v>
      </c>
      <c r="E6" s="61">
        <f t="shared" si="0"/>
        <v>5</v>
      </c>
      <c r="F6" s="62">
        <v>4500</v>
      </c>
      <c r="G6" s="61">
        <f t="shared" si="1"/>
        <v>50</v>
      </c>
    </row>
    <row r="7" spans="1:7" x14ac:dyDescent="0.25">
      <c r="A7" s="62" t="s">
        <v>243</v>
      </c>
      <c r="B7" s="62"/>
      <c r="C7" s="61">
        <v>6900</v>
      </c>
      <c r="D7" s="61">
        <v>3</v>
      </c>
      <c r="E7" s="61">
        <f t="shared" si="0"/>
        <v>2300</v>
      </c>
      <c r="F7" s="188">
        <v>15000</v>
      </c>
      <c r="G7" s="61">
        <f t="shared" si="1"/>
        <v>5000</v>
      </c>
    </row>
    <row r="8" spans="1:7" x14ac:dyDescent="0.25">
      <c r="A8" s="62" t="s">
        <v>247</v>
      </c>
      <c r="B8" s="62"/>
      <c r="C8" s="188">
        <v>30000</v>
      </c>
      <c r="D8" s="62">
        <v>9</v>
      </c>
      <c r="E8" s="61">
        <f t="shared" si="0"/>
        <v>3333.3333333333335</v>
      </c>
      <c r="F8" s="188">
        <v>270000</v>
      </c>
      <c r="G8" s="61">
        <f t="shared" si="1"/>
        <v>30000</v>
      </c>
    </row>
    <row r="9" spans="1:7" x14ac:dyDescent="0.25">
      <c r="A9" s="62" t="s">
        <v>246</v>
      </c>
      <c r="B9" s="62"/>
      <c r="C9" s="187">
        <v>50000</v>
      </c>
      <c r="D9" s="61">
        <v>3</v>
      </c>
      <c r="E9" s="61">
        <f t="shared" si="0"/>
        <v>16666.666666666668</v>
      </c>
      <c r="F9" s="188">
        <v>450000</v>
      </c>
      <c r="G9" s="61">
        <f t="shared" si="1"/>
        <v>150000</v>
      </c>
    </row>
    <row r="10" spans="1:7" x14ac:dyDescent="0.25">
      <c r="A10" s="62" t="s">
        <v>248</v>
      </c>
      <c r="B10" s="62"/>
      <c r="C10" s="188">
        <v>150000</v>
      </c>
      <c r="D10" s="62">
        <v>1</v>
      </c>
      <c r="E10" s="61">
        <f t="shared" si="0"/>
        <v>150000</v>
      </c>
      <c r="F10" s="188">
        <v>450000</v>
      </c>
      <c r="G10" s="61">
        <f t="shared" si="1"/>
        <v>450000</v>
      </c>
    </row>
    <row r="11" spans="1:7" x14ac:dyDescent="0.25">
      <c r="A11" s="62" t="s">
        <v>249</v>
      </c>
      <c r="B11" s="62"/>
      <c r="C11" s="61">
        <v>1500</v>
      </c>
      <c r="D11" s="61">
        <v>300</v>
      </c>
      <c r="E11" s="61">
        <f t="shared" si="0"/>
        <v>5</v>
      </c>
      <c r="F11" s="188">
        <v>30000</v>
      </c>
      <c r="G11" s="61">
        <f t="shared" si="1"/>
        <v>100</v>
      </c>
    </row>
    <row r="12" spans="1:7" x14ac:dyDescent="0.25">
      <c r="A12" s="62" t="s">
        <v>250</v>
      </c>
      <c r="B12" s="62"/>
      <c r="C12" s="62">
        <v>4500</v>
      </c>
      <c r="D12" s="62">
        <v>30</v>
      </c>
      <c r="E12" s="61">
        <f t="shared" si="0"/>
        <v>150</v>
      </c>
      <c r="F12" s="188">
        <v>15000</v>
      </c>
      <c r="G12" s="61">
        <f t="shared" si="1"/>
        <v>500</v>
      </c>
    </row>
    <row r="13" spans="1:7" x14ac:dyDescent="0.25">
      <c r="A13" s="62" t="s">
        <v>251</v>
      </c>
      <c r="B13" s="62"/>
      <c r="C13" s="187">
        <v>22200</v>
      </c>
      <c r="D13" s="61">
        <v>6</v>
      </c>
      <c r="E13" s="61">
        <f t="shared" si="0"/>
        <v>3700</v>
      </c>
      <c r="F13" s="62">
        <v>48000</v>
      </c>
      <c r="G13" s="61">
        <f t="shared" si="1"/>
        <v>8000</v>
      </c>
    </row>
    <row r="14" spans="1:7" x14ac:dyDescent="0.25">
      <c r="A14" s="62" t="s">
        <v>252</v>
      </c>
      <c r="B14" s="62"/>
      <c r="C14" s="188">
        <v>30000</v>
      </c>
      <c r="D14" s="62">
        <v>6</v>
      </c>
      <c r="E14" s="61">
        <f t="shared" si="0"/>
        <v>5000</v>
      </c>
      <c r="F14" s="188">
        <v>90000</v>
      </c>
      <c r="G14" s="61">
        <f t="shared" si="1"/>
        <v>15000</v>
      </c>
    </row>
    <row r="15" spans="1:7" x14ac:dyDescent="0.25">
      <c r="A15" s="62" t="s">
        <v>254</v>
      </c>
      <c r="B15" s="62"/>
      <c r="C15" s="61">
        <v>7500</v>
      </c>
      <c r="D15" s="61">
        <v>15</v>
      </c>
      <c r="E15" s="61">
        <f t="shared" si="0"/>
        <v>500</v>
      </c>
      <c r="F15" s="188">
        <v>45000</v>
      </c>
      <c r="G15" s="61">
        <f t="shared" si="1"/>
        <v>3000</v>
      </c>
    </row>
    <row r="16" spans="1:7" x14ac:dyDescent="0.25">
      <c r="A16" s="62" t="s">
        <v>253</v>
      </c>
      <c r="B16" s="62"/>
      <c r="C16" s="188">
        <v>12000</v>
      </c>
      <c r="D16" s="62">
        <v>60</v>
      </c>
      <c r="E16" s="61">
        <f t="shared" si="0"/>
        <v>200</v>
      </c>
      <c r="F16" s="188">
        <v>150000</v>
      </c>
      <c r="G16" s="61">
        <f t="shared" si="1"/>
        <v>2500</v>
      </c>
    </row>
    <row r="17" spans="1:7" x14ac:dyDescent="0.25">
      <c r="A17" s="62" t="s">
        <v>267</v>
      </c>
      <c r="B17" s="62"/>
      <c r="C17" s="187">
        <v>60000</v>
      </c>
      <c r="D17" s="61">
        <v>20</v>
      </c>
      <c r="E17" s="61">
        <f t="shared" si="0"/>
        <v>3000</v>
      </c>
      <c r="F17" s="188">
        <v>150000</v>
      </c>
      <c r="G17" s="61">
        <f t="shared" si="1"/>
        <v>7500</v>
      </c>
    </row>
    <row r="18" spans="1:7" x14ac:dyDescent="0.25">
      <c r="A18" s="62" t="s">
        <v>266</v>
      </c>
      <c r="B18" s="62"/>
      <c r="C18" s="188">
        <v>75000</v>
      </c>
      <c r="D18" s="62">
        <v>20</v>
      </c>
      <c r="E18" s="61">
        <f t="shared" si="0"/>
        <v>3750</v>
      </c>
      <c r="F18" s="188">
        <v>300000</v>
      </c>
      <c r="G18" s="61">
        <f t="shared" si="1"/>
        <v>15000</v>
      </c>
    </row>
    <row r="19" spans="1:7" x14ac:dyDescent="0.25">
      <c r="A19" s="62" t="s">
        <v>268</v>
      </c>
      <c r="B19" s="62"/>
      <c r="C19" s="187">
        <v>75000</v>
      </c>
      <c r="D19" s="61">
        <v>20</v>
      </c>
      <c r="E19" s="61">
        <f t="shared" si="0"/>
        <v>3750</v>
      </c>
      <c r="F19" s="188">
        <v>300000</v>
      </c>
      <c r="G19" s="61">
        <f t="shared" si="1"/>
        <v>15000</v>
      </c>
    </row>
    <row r="20" spans="1:7" x14ac:dyDescent="0.25">
      <c r="A20" s="62" t="s">
        <v>297</v>
      </c>
      <c r="B20" s="62"/>
      <c r="C20" s="188">
        <v>75000</v>
      </c>
      <c r="D20" s="62">
        <v>20</v>
      </c>
      <c r="E20" s="61">
        <f t="shared" si="0"/>
        <v>3750</v>
      </c>
      <c r="F20" s="188">
        <v>300000</v>
      </c>
      <c r="G20" s="61">
        <f t="shared" si="1"/>
        <v>15000</v>
      </c>
    </row>
    <row r="21" spans="1:7" x14ac:dyDescent="0.25">
      <c r="A21" s="62" t="s">
        <v>269</v>
      </c>
      <c r="B21" s="62"/>
      <c r="C21" s="187">
        <v>36000</v>
      </c>
      <c r="D21" s="61">
        <v>200</v>
      </c>
      <c r="E21" s="61">
        <f>C21/D21</f>
        <v>180</v>
      </c>
      <c r="F21" s="188">
        <v>60000</v>
      </c>
      <c r="G21" s="61">
        <f t="shared" si="1"/>
        <v>300</v>
      </c>
    </row>
    <row r="22" spans="1:7" x14ac:dyDescent="0.25">
      <c r="A22" s="62" t="s">
        <v>232</v>
      </c>
      <c r="B22" s="62"/>
      <c r="C22" s="188">
        <v>28500</v>
      </c>
      <c r="D22" s="62">
        <v>30</v>
      </c>
      <c r="E22" s="61">
        <f>C22/D22</f>
        <v>950</v>
      </c>
      <c r="F22" s="188">
        <v>39000</v>
      </c>
      <c r="G22" s="61">
        <f t="shared" si="1"/>
        <v>1300</v>
      </c>
    </row>
    <row r="23" spans="1:7" x14ac:dyDescent="0.25">
      <c r="A23" s="62" t="s">
        <v>233</v>
      </c>
      <c r="B23" s="62"/>
      <c r="C23" s="187">
        <v>39000</v>
      </c>
      <c r="D23" s="61">
        <v>30</v>
      </c>
      <c r="E23" s="61">
        <f t="shared" si="0"/>
        <v>1300</v>
      </c>
      <c r="F23" s="188">
        <v>48000</v>
      </c>
      <c r="G23" s="61">
        <f>F23/D23</f>
        <v>1600</v>
      </c>
    </row>
    <row r="24" spans="1:7" x14ac:dyDescent="0.25">
      <c r="A24" s="62" t="s">
        <v>261</v>
      </c>
      <c r="B24" s="62"/>
      <c r="C24" s="188">
        <v>33000</v>
      </c>
      <c r="D24" s="62">
        <v>30</v>
      </c>
      <c r="E24" s="61">
        <f t="shared" si="0"/>
        <v>1100</v>
      </c>
      <c r="F24" s="188">
        <v>45000</v>
      </c>
      <c r="G24" s="61">
        <f t="shared" si="1"/>
        <v>1500</v>
      </c>
    </row>
    <row r="25" spans="1:7" x14ac:dyDescent="0.25">
      <c r="A25" s="62" t="s">
        <v>262</v>
      </c>
      <c r="B25" s="62"/>
      <c r="C25" s="187">
        <v>45000</v>
      </c>
      <c r="D25" s="61">
        <v>30</v>
      </c>
      <c r="E25" s="61">
        <f t="shared" si="0"/>
        <v>1500</v>
      </c>
      <c r="F25" s="188">
        <v>57000</v>
      </c>
      <c r="G25" s="61">
        <f t="shared" si="1"/>
        <v>1900</v>
      </c>
    </row>
    <row r="26" spans="1:7" x14ac:dyDescent="0.25">
      <c r="A26" s="62" t="s">
        <v>230</v>
      </c>
      <c r="B26" s="62"/>
      <c r="C26" s="188">
        <v>15000</v>
      </c>
      <c r="D26" s="62">
        <v>30</v>
      </c>
      <c r="E26" s="61">
        <f t="shared" si="0"/>
        <v>500</v>
      </c>
      <c r="F26" s="188">
        <v>21000</v>
      </c>
      <c r="G26" s="61">
        <f t="shared" si="1"/>
        <v>700</v>
      </c>
    </row>
    <row r="27" spans="1:7" x14ac:dyDescent="0.25">
      <c r="A27" s="62" t="s">
        <v>263</v>
      </c>
      <c r="B27" s="62"/>
      <c r="C27" s="187">
        <v>30000</v>
      </c>
      <c r="D27" s="61">
        <v>30</v>
      </c>
      <c r="E27" s="61">
        <f t="shared" si="0"/>
        <v>1000</v>
      </c>
      <c r="F27" s="188">
        <v>45000</v>
      </c>
      <c r="G27" s="61">
        <f t="shared" si="1"/>
        <v>1500</v>
      </c>
    </row>
    <row r="28" spans="1:7" x14ac:dyDescent="0.25">
      <c r="A28" s="62" t="s">
        <v>231</v>
      </c>
      <c r="B28" s="62"/>
      <c r="C28" s="188">
        <v>38000</v>
      </c>
      <c r="D28" s="62">
        <v>10</v>
      </c>
      <c r="E28" s="61">
        <f t="shared" si="0"/>
        <v>3800</v>
      </c>
      <c r="F28" s="188">
        <v>44000</v>
      </c>
      <c r="G28" s="61">
        <f t="shared" si="1"/>
        <v>4400</v>
      </c>
    </row>
    <row r="29" spans="1:7" x14ac:dyDescent="0.25">
      <c r="A29" s="62" t="s">
        <v>235</v>
      </c>
      <c r="B29" s="62"/>
      <c r="C29" s="187">
        <v>10500</v>
      </c>
      <c r="D29" s="61">
        <v>30</v>
      </c>
      <c r="E29" s="61">
        <f t="shared" si="0"/>
        <v>350</v>
      </c>
      <c r="F29" s="188">
        <v>15000</v>
      </c>
      <c r="G29" s="61">
        <f t="shared" si="1"/>
        <v>500</v>
      </c>
    </row>
    <row r="30" spans="1:7" x14ac:dyDescent="0.25">
      <c r="A30" s="62" t="s">
        <v>264</v>
      </c>
      <c r="B30" s="62"/>
      <c r="C30" s="188">
        <v>8300</v>
      </c>
      <c r="D30" s="62">
        <v>3</v>
      </c>
      <c r="E30" s="61">
        <f t="shared" si="0"/>
        <v>2766.6666666666665</v>
      </c>
      <c r="F30" s="188">
        <v>75000</v>
      </c>
      <c r="G30" s="61">
        <f t="shared" si="1"/>
        <v>25000</v>
      </c>
    </row>
    <row r="31" spans="1:7" x14ac:dyDescent="0.25">
      <c r="A31" s="62" t="s">
        <v>265</v>
      </c>
      <c r="B31" s="62"/>
      <c r="C31" s="187">
        <v>17200</v>
      </c>
      <c r="D31" s="61">
        <v>3</v>
      </c>
      <c r="E31" s="61">
        <f t="shared" si="0"/>
        <v>5733.333333333333</v>
      </c>
      <c r="F31" s="188">
        <v>225000</v>
      </c>
      <c r="G31" s="61">
        <f t="shared" si="1"/>
        <v>75000</v>
      </c>
    </row>
    <row r="32" spans="1:7" x14ac:dyDescent="0.25">
      <c r="A32" s="62" t="s">
        <v>252</v>
      </c>
      <c r="B32" s="62"/>
      <c r="C32" s="188">
        <v>27000</v>
      </c>
      <c r="D32" s="62">
        <v>9</v>
      </c>
      <c r="E32" s="61">
        <f t="shared" si="0"/>
        <v>3000</v>
      </c>
      <c r="F32" s="188">
        <v>90000</v>
      </c>
      <c r="G32" s="61">
        <f t="shared" si="1"/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73"/>
  <sheetViews>
    <sheetView zoomScale="90" zoomScaleNormal="90" workbookViewId="0">
      <selection activeCell="A58" sqref="A58:A60"/>
    </sheetView>
  </sheetViews>
  <sheetFormatPr defaultRowHeight="15" x14ac:dyDescent="0.25"/>
  <cols>
    <col min="1" max="1" width="13" customWidth="1"/>
    <col min="2" max="2" width="12.42578125" customWidth="1"/>
    <col min="3" max="3" width="13.140625" customWidth="1"/>
    <col min="4" max="4" width="14.5703125" customWidth="1"/>
    <col min="5" max="5" width="13.42578125" customWidth="1"/>
    <col min="6" max="6" width="11.140625" customWidth="1"/>
    <col min="7" max="7" width="11.85546875" customWidth="1"/>
    <col min="8" max="8" width="11.140625" customWidth="1"/>
    <col min="9" max="9" width="11.5703125" customWidth="1"/>
    <col min="10" max="11" width="12.28515625" customWidth="1"/>
    <col min="12" max="12" width="12.140625" customWidth="1"/>
    <col min="13" max="13" width="11.5703125" customWidth="1"/>
    <col min="14" max="14" width="12.5703125" customWidth="1"/>
    <col min="15" max="15" width="13.140625" customWidth="1"/>
  </cols>
  <sheetData>
    <row r="1" spans="1:16" ht="24" thickBot="1" x14ac:dyDescent="0.4">
      <c r="A1" s="9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25" thickBot="1" x14ac:dyDescent="0.3">
      <c r="A2" s="3"/>
      <c r="B2" s="40"/>
      <c r="C2" s="18" t="s">
        <v>29</v>
      </c>
      <c r="D2" s="18" t="s">
        <v>30</v>
      </c>
      <c r="E2" s="18" t="s">
        <v>31</v>
      </c>
      <c r="F2" s="18" t="s">
        <v>32</v>
      </c>
      <c r="G2" s="18" t="s">
        <v>33</v>
      </c>
      <c r="H2" s="18" t="s">
        <v>34</v>
      </c>
      <c r="I2" s="18" t="s">
        <v>35</v>
      </c>
      <c r="J2" s="18" t="s">
        <v>36</v>
      </c>
      <c r="K2" s="18" t="s">
        <v>37</v>
      </c>
      <c r="L2" s="18" t="s">
        <v>38</v>
      </c>
      <c r="M2" s="18" t="s">
        <v>39</v>
      </c>
      <c r="N2" s="18" t="s">
        <v>40</v>
      </c>
      <c r="O2" s="40" t="s">
        <v>0</v>
      </c>
      <c r="P2" s="1"/>
    </row>
    <row r="3" spans="1:16" ht="15.75" thickBot="1" x14ac:dyDescent="0.3">
      <c r="A3" s="3"/>
      <c r="B3" s="41"/>
      <c r="C3" s="41" t="s">
        <v>78</v>
      </c>
      <c r="D3" s="41" t="s">
        <v>79</v>
      </c>
      <c r="E3" s="41" t="s">
        <v>80</v>
      </c>
      <c r="F3" s="41" t="s">
        <v>81</v>
      </c>
      <c r="G3" s="41" t="s">
        <v>78</v>
      </c>
      <c r="H3" s="41" t="s">
        <v>79</v>
      </c>
      <c r="I3" s="41" t="s">
        <v>80</v>
      </c>
      <c r="J3" s="41" t="s">
        <v>81</v>
      </c>
      <c r="K3" s="41" t="s">
        <v>78</v>
      </c>
      <c r="L3" s="41" t="s">
        <v>79</v>
      </c>
      <c r="M3" s="41" t="s">
        <v>80</v>
      </c>
      <c r="N3" s="41" t="s">
        <v>81</v>
      </c>
      <c r="O3" s="41" t="s">
        <v>24</v>
      </c>
      <c r="P3" s="1"/>
    </row>
    <row r="4" spans="1:16" ht="16.5" x14ac:dyDescent="0.25">
      <c r="A4" s="197" t="s">
        <v>239</v>
      </c>
      <c r="B4" s="8" t="s">
        <v>41</v>
      </c>
      <c r="C4" s="10">
        <v>30</v>
      </c>
      <c r="D4" s="10">
        <v>10</v>
      </c>
      <c r="E4" s="10">
        <v>30</v>
      </c>
      <c r="F4" s="10">
        <v>30</v>
      </c>
      <c r="G4" s="10">
        <v>20</v>
      </c>
      <c r="H4" s="10">
        <v>30</v>
      </c>
      <c r="I4" s="10">
        <v>20</v>
      </c>
      <c r="J4" s="10">
        <v>20</v>
      </c>
      <c r="K4" s="10">
        <v>40</v>
      </c>
      <c r="L4" s="10">
        <v>20</v>
      </c>
      <c r="M4" s="10">
        <v>40</v>
      </c>
      <c r="N4" s="10">
        <v>30</v>
      </c>
      <c r="O4" s="11"/>
      <c r="P4" s="1"/>
    </row>
    <row r="5" spans="1:16" ht="16.5" x14ac:dyDescent="0.25">
      <c r="A5" s="198"/>
      <c r="B5" s="8" t="s">
        <v>46</v>
      </c>
      <c r="C5" s="10">
        <f>'PROPOSED PRICING'!E3</f>
        <v>5600</v>
      </c>
      <c r="D5" s="13">
        <f>C5</f>
        <v>5600</v>
      </c>
      <c r="E5" s="13">
        <f t="shared" ref="E5:N5" si="0">D5</f>
        <v>5600</v>
      </c>
      <c r="F5" s="13">
        <f t="shared" si="0"/>
        <v>5600</v>
      </c>
      <c r="G5" s="13">
        <f t="shared" si="0"/>
        <v>5600</v>
      </c>
      <c r="H5" s="13">
        <f t="shared" si="0"/>
        <v>5600</v>
      </c>
      <c r="I5" s="13">
        <f t="shared" si="0"/>
        <v>5600</v>
      </c>
      <c r="J5" s="13">
        <f t="shared" si="0"/>
        <v>5600</v>
      </c>
      <c r="K5" s="13">
        <f t="shared" si="0"/>
        <v>5600</v>
      </c>
      <c r="L5" s="13">
        <f t="shared" si="0"/>
        <v>5600</v>
      </c>
      <c r="M5" s="13">
        <f t="shared" si="0"/>
        <v>5600</v>
      </c>
      <c r="N5" s="13">
        <f t="shared" si="0"/>
        <v>5600</v>
      </c>
      <c r="O5" s="11"/>
      <c r="P5" s="1"/>
    </row>
    <row r="6" spans="1:16" ht="17.25" thickBot="1" x14ac:dyDescent="0.3">
      <c r="A6" s="199"/>
      <c r="B6" s="5" t="s">
        <v>42</v>
      </c>
      <c r="C6" s="12">
        <f>C4*C5</f>
        <v>168000</v>
      </c>
      <c r="D6" s="12">
        <f t="shared" ref="D6:N6" si="1">D4*D5</f>
        <v>56000</v>
      </c>
      <c r="E6" s="12">
        <f t="shared" si="1"/>
        <v>168000</v>
      </c>
      <c r="F6" s="12">
        <f t="shared" si="1"/>
        <v>168000</v>
      </c>
      <c r="G6" s="12">
        <f t="shared" si="1"/>
        <v>112000</v>
      </c>
      <c r="H6" s="12">
        <f t="shared" si="1"/>
        <v>168000</v>
      </c>
      <c r="I6" s="12">
        <f t="shared" si="1"/>
        <v>112000</v>
      </c>
      <c r="J6" s="12">
        <f t="shared" si="1"/>
        <v>112000</v>
      </c>
      <c r="K6" s="12">
        <f t="shared" si="1"/>
        <v>224000</v>
      </c>
      <c r="L6" s="12">
        <f t="shared" si="1"/>
        <v>112000</v>
      </c>
      <c r="M6" s="12">
        <f t="shared" si="1"/>
        <v>224000</v>
      </c>
      <c r="N6" s="12">
        <f t="shared" si="1"/>
        <v>168000</v>
      </c>
      <c r="O6" s="39">
        <f>SUM(C6:N6)</f>
        <v>1792000</v>
      </c>
      <c r="P6" s="1"/>
    </row>
    <row r="7" spans="1:16" ht="16.5" x14ac:dyDescent="0.25">
      <c r="A7" s="197" t="s">
        <v>240</v>
      </c>
      <c r="B7" s="35" t="s">
        <v>41</v>
      </c>
      <c r="C7" s="36">
        <v>30</v>
      </c>
      <c r="D7" s="36">
        <v>10</v>
      </c>
      <c r="E7" s="36">
        <v>30</v>
      </c>
      <c r="F7" s="36">
        <v>30</v>
      </c>
      <c r="G7" s="36">
        <v>20</v>
      </c>
      <c r="H7" s="36">
        <v>30</v>
      </c>
      <c r="I7" s="36">
        <v>20</v>
      </c>
      <c r="J7" s="36">
        <v>20</v>
      </c>
      <c r="K7" s="36">
        <v>30</v>
      </c>
      <c r="L7" s="36">
        <v>20</v>
      </c>
      <c r="M7" s="36">
        <v>30</v>
      </c>
      <c r="N7" s="36">
        <v>20</v>
      </c>
      <c r="O7" s="37"/>
      <c r="P7" s="1"/>
    </row>
    <row r="8" spans="1:16" ht="16.5" x14ac:dyDescent="0.25">
      <c r="A8" s="198"/>
      <c r="B8" s="4" t="s">
        <v>46</v>
      </c>
      <c r="C8" s="13">
        <f>'PROPOSED PRICING'!E4</f>
        <v>5600</v>
      </c>
      <c r="D8" s="13">
        <f>C8</f>
        <v>5600</v>
      </c>
      <c r="E8" s="13">
        <f t="shared" ref="E8:N8" si="2">D8</f>
        <v>5600</v>
      </c>
      <c r="F8" s="13">
        <f t="shared" si="2"/>
        <v>5600</v>
      </c>
      <c r="G8" s="13">
        <f t="shared" si="2"/>
        <v>5600</v>
      </c>
      <c r="H8" s="13">
        <f t="shared" si="2"/>
        <v>5600</v>
      </c>
      <c r="I8" s="13">
        <f t="shared" si="2"/>
        <v>5600</v>
      </c>
      <c r="J8" s="13">
        <f t="shared" si="2"/>
        <v>5600</v>
      </c>
      <c r="K8" s="13">
        <f t="shared" si="2"/>
        <v>5600</v>
      </c>
      <c r="L8" s="13">
        <f t="shared" si="2"/>
        <v>5600</v>
      </c>
      <c r="M8" s="13">
        <f t="shared" si="2"/>
        <v>5600</v>
      </c>
      <c r="N8" s="13">
        <f t="shared" si="2"/>
        <v>5600</v>
      </c>
      <c r="O8" s="11"/>
      <c r="P8" s="1"/>
    </row>
    <row r="9" spans="1:16" ht="17.25" thickBot="1" x14ac:dyDescent="0.3">
      <c r="A9" s="200"/>
      <c r="B9" s="38" t="s">
        <v>42</v>
      </c>
      <c r="C9" s="34">
        <f>C7*C8</f>
        <v>168000</v>
      </c>
      <c r="D9" s="34">
        <f t="shared" ref="D9:N9" si="3">D7*D8</f>
        <v>56000</v>
      </c>
      <c r="E9" s="34">
        <f t="shared" si="3"/>
        <v>168000</v>
      </c>
      <c r="F9" s="34">
        <f t="shared" si="3"/>
        <v>168000</v>
      </c>
      <c r="G9" s="34">
        <f t="shared" si="3"/>
        <v>112000</v>
      </c>
      <c r="H9" s="34">
        <f t="shared" si="3"/>
        <v>168000</v>
      </c>
      <c r="I9" s="34">
        <f t="shared" si="3"/>
        <v>112000</v>
      </c>
      <c r="J9" s="34">
        <f t="shared" si="3"/>
        <v>112000</v>
      </c>
      <c r="K9" s="34">
        <f t="shared" si="3"/>
        <v>168000</v>
      </c>
      <c r="L9" s="34">
        <f t="shared" si="3"/>
        <v>112000</v>
      </c>
      <c r="M9" s="34">
        <f t="shared" si="3"/>
        <v>168000</v>
      </c>
      <c r="N9" s="34">
        <f t="shared" si="3"/>
        <v>112000</v>
      </c>
      <c r="O9" s="39">
        <f>SUM(C9:N9)</f>
        <v>1624000</v>
      </c>
      <c r="P9" s="1"/>
    </row>
    <row r="10" spans="1:16" ht="16.5" x14ac:dyDescent="0.25">
      <c r="A10" s="197" t="s">
        <v>241</v>
      </c>
      <c r="B10" s="4" t="s">
        <v>41</v>
      </c>
      <c r="C10" s="13">
        <v>1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4"/>
      <c r="P10" s="1"/>
    </row>
    <row r="11" spans="1:16" ht="16.5" x14ac:dyDescent="0.25">
      <c r="A11" s="198"/>
      <c r="B11" s="4" t="s">
        <v>46</v>
      </c>
      <c r="C11" s="13">
        <f>'PROPOSED PRICING'!E5</f>
        <v>6000</v>
      </c>
      <c r="D11" s="13">
        <f>C11</f>
        <v>6000</v>
      </c>
      <c r="E11" s="13">
        <f t="shared" ref="E11:N11" si="4">D11</f>
        <v>6000</v>
      </c>
      <c r="F11" s="13">
        <f t="shared" si="4"/>
        <v>6000</v>
      </c>
      <c r="G11" s="13">
        <f t="shared" si="4"/>
        <v>6000</v>
      </c>
      <c r="H11" s="13">
        <f t="shared" si="4"/>
        <v>6000</v>
      </c>
      <c r="I11" s="13">
        <f t="shared" si="4"/>
        <v>6000</v>
      </c>
      <c r="J11" s="13">
        <f t="shared" si="4"/>
        <v>6000</v>
      </c>
      <c r="K11" s="13">
        <f t="shared" si="4"/>
        <v>6000</v>
      </c>
      <c r="L11" s="13">
        <f t="shared" si="4"/>
        <v>6000</v>
      </c>
      <c r="M11" s="13">
        <f t="shared" si="4"/>
        <v>6000</v>
      </c>
      <c r="N11" s="13">
        <f t="shared" si="4"/>
        <v>6000</v>
      </c>
      <c r="O11" s="14"/>
      <c r="P11" s="1"/>
    </row>
    <row r="12" spans="1:16" ht="17.25" thickBot="1" x14ac:dyDescent="0.3">
      <c r="A12" s="199"/>
      <c r="B12" s="5" t="s">
        <v>42</v>
      </c>
      <c r="C12" s="15">
        <f>C10*C11</f>
        <v>6000</v>
      </c>
      <c r="D12" s="15">
        <f t="shared" ref="D12:N12" si="5">D10*D11</f>
        <v>6000</v>
      </c>
      <c r="E12" s="15">
        <f t="shared" si="5"/>
        <v>6000</v>
      </c>
      <c r="F12" s="15">
        <f t="shared" si="5"/>
        <v>6000</v>
      </c>
      <c r="G12" s="15">
        <f t="shared" si="5"/>
        <v>6000</v>
      </c>
      <c r="H12" s="15">
        <f t="shared" si="5"/>
        <v>6000</v>
      </c>
      <c r="I12" s="15">
        <f t="shared" si="5"/>
        <v>6000</v>
      </c>
      <c r="J12" s="15">
        <f t="shared" si="5"/>
        <v>6000</v>
      </c>
      <c r="K12" s="15">
        <f t="shared" si="5"/>
        <v>6000</v>
      </c>
      <c r="L12" s="15">
        <f t="shared" si="5"/>
        <v>6000</v>
      </c>
      <c r="M12" s="15">
        <f t="shared" si="5"/>
        <v>6000</v>
      </c>
      <c r="N12" s="15">
        <f t="shared" si="5"/>
        <v>6000</v>
      </c>
      <c r="O12" s="12">
        <f>SUM(C12:N12)</f>
        <v>72000</v>
      </c>
      <c r="P12" s="1"/>
    </row>
    <row r="13" spans="1:16" ht="16.5" x14ac:dyDescent="0.25">
      <c r="A13" s="197" t="s">
        <v>242</v>
      </c>
      <c r="B13" s="4" t="s">
        <v>41</v>
      </c>
      <c r="C13" s="13">
        <v>90</v>
      </c>
      <c r="D13" s="13">
        <v>30</v>
      </c>
      <c r="E13" s="13">
        <v>90</v>
      </c>
      <c r="F13" s="13">
        <v>90</v>
      </c>
      <c r="G13" s="13">
        <v>60</v>
      </c>
      <c r="H13" s="13">
        <v>90</v>
      </c>
      <c r="I13" s="13">
        <v>60</v>
      </c>
      <c r="J13" s="13">
        <v>60</v>
      </c>
      <c r="K13" s="13">
        <v>100</v>
      </c>
      <c r="L13" s="13">
        <v>60</v>
      </c>
      <c r="M13" s="13">
        <v>100</v>
      </c>
      <c r="N13" s="13">
        <v>90</v>
      </c>
      <c r="O13" s="11"/>
      <c r="P13" s="1"/>
    </row>
    <row r="14" spans="1:16" ht="16.5" x14ac:dyDescent="0.25">
      <c r="A14" s="198"/>
      <c r="B14" s="4" t="s">
        <v>46</v>
      </c>
      <c r="C14" s="13">
        <f>'PROPOSED PRICING'!E6</f>
        <v>5</v>
      </c>
      <c r="D14" s="13">
        <f>C14</f>
        <v>5</v>
      </c>
      <c r="E14" s="13">
        <f t="shared" ref="E14:N14" si="6">D14</f>
        <v>5</v>
      </c>
      <c r="F14" s="13">
        <f t="shared" si="6"/>
        <v>5</v>
      </c>
      <c r="G14" s="13">
        <f t="shared" si="6"/>
        <v>5</v>
      </c>
      <c r="H14" s="13">
        <f t="shared" si="6"/>
        <v>5</v>
      </c>
      <c r="I14" s="13">
        <f t="shared" si="6"/>
        <v>5</v>
      </c>
      <c r="J14" s="13">
        <f t="shared" si="6"/>
        <v>5</v>
      </c>
      <c r="K14" s="13">
        <f t="shared" si="6"/>
        <v>5</v>
      </c>
      <c r="L14" s="13">
        <f t="shared" si="6"/>
        <v>5</v>
      </c>
      <c r="M14" s="13">
        <f t="shared" si="6"/>
        <v>5</v>
      </c>
      <c r="N14" s="13">
        <f t="shared" si="6"/>
        <v>5</v>
      </c>
      <c r="O14" s="11"/>
      <c r="P14" s="1"/>
    </row>
    <row r="15" spans="1:16" ht="17.25" thickBot="1" x14ac:dyDescent="0.3">
      <c r="A15" s="199"/>
      <c r="B15" s="5" t="s">
        <v>42</v>
      </c>
      <c r="C15" s="15">
        <f>C13*C14</f>
        <v>450</v>
      </c>
      <c r="D15" s="15">
        <f t="shared" ref="D15:N15" si="7">D13*D14</f>
        <v>150</v>
      </c>
      <c r="E15" s="15">
        <f t="shared" si="7"/>
        <v>450</v>
      </c>
      <c r="F15" s="15">
        <f t="shared" si="7"/>
        <v>450</v>
      </c>
      <c r="G15" s="15">
        <f t="shared" si="7"/>
        <v>300</v>
      </c>
      <c r="H15" s="15">
        <f t="shared" si="7"/>
        <v>450</v>
      </c>
      <c r="I15" s="15">
        <f t="shared" si="7"/>
        <v>300</v>
      </c>
      <c r="J15" s="15">
        <f t="shared" si="7"/>
        <v>300</v>
      </c>
      <c r="K15" s="15">
        <f t="shared" si="7"/>
        <v>500</v>
      </c>
      <c r="L15" s="15">
        <f t="shared" si="7"/>
        <v>300</v>
      </c>
      <c r="M15" s="15">
        <f t="shared" si="7"/>
        <v>500</v>
      </c>
      <c r="N15" s="15">
        <f t="shared" si="7"/>
        <v>450</v>
      </c>
      <c r="O15" s="12">
        <f>SUM(C15:N15)</f>
        <v>4600</v>
      </c>
      <c r="P15" s="1"/>
    </row>
    <row r="16" spans="1:16" ht="16.5" x14ac:dyDescent="0.25">
      <c r="A16" s="197" t="s">
        <v>243</v>
      </c>
      <c r="B16" s="8" t="s">
        <v>41</v>
      </c>
      <c r="C16" s="10">
        <v>3</v>
      </c>
      <c r="D16" s="10">
        <v>1</v>
      </c>
      <c r="E16" s="10">
        <v>3</v>
      </c>
      <c r="F16" s="10">
        <v>3</v>
      </c>
      <c r="G16" s="10">
        <v>2</v>
      </c>
      <c r="H16" s="10">
        <v>3</v>
      </c>
      <c r="I16" s="10">
        <v>2</v>
      </c>
      <c r="J16" s="10">
        <v>2</v>
      </c>
      <c r="K16" s="10">
        <v>4</v>
      </c>
      <c r="L16" s="10">
        <v>2</v>
      </c>
      <c r="M16" s="10">
        <v>4</v>
      </c>
      <c r="N16" s="10">
        <v>3</v>
      </c>
      <c r="O16" s="11"/>
      <c r="P16" s="1"/>
    </row>
    <row r="17" spans="1:16" ht="16.5" x14ac:dyDescent="0.25">
      <c r="A17" s="198"/>
      <c r="B17" s="8" t="s">
        <v>46</v>
      </c>
      <c r="C17" s="10">
        <f>'PROPOSED PRICING'!E7</f>
        <v>2300</v>
      </c>
      <c r="D17" s="13">
        <f>C17</f>
        <v>2300</v>
      </c>
      <c r="E17" s="13">
        <f t="shared" ref="E17:N17" si="8">D17</f>
        <v>2300</v>
      </c>
      <c r="F17" s="13">
        <f t="shared" si="8"/>
        <v>2300</v>
      </c>
      <c r="G17" s="13">
        <f t="shared" si="8"/>
        <v>2300</v>
      </c>
      <c r="H17" s="13">
        <f t="shared" si="8"/>
        <v>2300</v>
      </c>
      <c r="I17" s="13">
        <f t="shared" si="8"/>
        <v>2300</v>
      </c>
      <c r="J17" s="13">
        <f t="shared" si="8"/>
        <v>2300</v>
      </c>
      <c r="K17" s="13">
        <f t="shared" si="8"/>
        <v>2300</v>
      </c>
      <c r="L17" s="13">
        <f t="shared" si="8"/>
        <v>2300</v>
      </c>
      <c r="M17" s="13">
        <f t="shared" si="8"/>
        <v>2300</v>
      </c>
      <c r="N17" s="13">
        <f t="shared" si="8"/>
        <v>2300</v>
      </c>
      <c r="O17" s="11"/>
      <c r="P17" s="1"/>
    </row>
    <row r="18" spans="1:16" ht="17.25" thickBot="1" x14ac:dyDescent="0.3">
      <c r="A18" s="200"/>
      <c r="B18" s="5" t="s">
        <v>42</v>
      </c>
      <c r="C18" s="12">
        <f>C16*C17</f>
        <v>6900</v>
      </c>
      <c r="D18" s="12">
        <f t="shared" ref="D18:N18" si="9">D16*D17</f>
        <v>2300</v>
      </c>
      <c r="E18" s="12">
        <f t="shared" si="9"/>
        <v>6900</v>
      </c>
      <c r="F18" s="12">
        <f t="shared" si="9"/>
        <v>6900</v>
      </c>
      <c r="G18" s="12">
        <f t="shared" si="9"/>
        <v>4600</v>
      </c>
      <c r="H18" s="12">
        <f t="shared" si="9"/>
        <v>6900</v>
      </c>
      <c r="I18" s="12">
        <f t="shared" si="9"/>
        <v>4600</v>
      </c>
      <c r="J18" s="12">
        <f t="shared" si="9"/>
        <v>4600</v>
      </c>
      <c r="K18" s="12">
        <f t="shared" si="9"/>
        <v>9200</v>
      </c>
      <c r="L18" s="12">
        <f t="shared" si="9"/>
        <v>4600</v>
      </c>
      <c r="M18" s="12">
        <f t="shared" si="9"/>
        <v>9200</v>
      </c>
      <c r="N18" s="12">
        <f t="shared" si="9"/>
        <v>6900</v>
      </c>
      <c r="O18" s="12">
        <f>SUM(C18:N18)</f>
        <v>73600</v>
      </c>
      <c r="P18" s="1"/>
    </row>
    <row r="19" spans="1:16" ht="16.5" x14ac:dyDescent="0.25">
      <c r="A19" s="197" t="s">
        <v>247</v>
      </c>
      <c r="B19" s="35" t="s">
        <v>41</v>
      </c>
      <c r="C19" s="36">
        <v>9</v>
      </c>
      <c r="D19" s="36">
        <v>9</v>
      </c>
      <c r="E19" s="36">
        <v>9</v>
      </c>
      <c r="F19" s="36">
        <v>9</v>
      </c>
      <c r="G19" s="36">
        <v>9</v>
      </c>
      <c r="H19" s="36">
        <v>9</v>
      </c>
      <c r="I19" s="36">
        <v>9</v>
      </c>
      <c r="J19" s="36">
        <v>9</v>
      </c>
      <c r="K19" s="36">
        <v>9</v>
      </c>
      <c r="L19" s="36">
        <v>9</v>
      </c>
      <c r="M19" s="36">
        <v>9</v>
      </c>
      <c r="N19" s="36">
        <v>9</v>
      </c>
      <c r="O19" s="37"/>
      <c r="P19" s="1"/>
    </row>
    <row r="20" spans="1:16" ht="16.5" x14ac:dyDescent="0.25">
      <c r="A20" s="198"/>
      <c r="B20" s="4" t="s">
        <v>46</v>
      </c>
      <c r="C20" s="13">
        <f>'PROPOSED PRICING'!E8</f>
        <v>3333.3333333333335</v>
      </c>
      <c r="D20" s="13">
        <f>C20</f>
        <v>3333.3333333333335</v>
      </c>
      <c r="E20" s="13">
        <f t="shared" ref="E20:N20" si="10">D20</f>
        <v>3333.3333333333335</v>
      </c>
      <c r="F20" s="13">
        <f t="shared" si="10"/>
        <v>3333.3333333333335</v>
      </c>
      <c r="G20" s="13">
        <f t="shared" si="10"/>
        <v>3333.3333333333335</v>
      </c>
      <c r="H20" s="13">
        <f t="shared" si="10"/>
        <v>3333.3333333333335</v>
      </c>
      <c r="I20" s="13">
        <f t="shared" si="10"/>
        <v>3333.3333333333335</v>
      </c>
      <c r="J20" s="13">
        <f t="shared" si="10"/>
        <v>3333.3333333333335</v>
      </c>
      <c r="K20" s="13">
        <f t="shared" si="10"/>
        <v>3333.3333333333335</v>
      </c>
      <c r="L20" s="13">
        <f t="shared" si="10"/>
        <v>3333.3333333333335</v>
      </c>
      <c r="M20" s="13">
        <f t="shared" si="10"/>
        <v>3333.3333333333335</v>
      </c>
      <c r="N20" s="13">
        <f t="shared" si="10"/>
        <v>3333.3333333333335</v>
      </c>
      <c r="O20" s="11"/>
      <c r="P20" s="1"/>
    </row>
    <row r="21" spans="1:16" ht="17.25" thickBot="1" x14ac:dyDescent="0.3">
      <c r="A21" s="199"/>
      <c r="B21" s="38" t="s">
        <v>42</v>
      </c>
      <c r="C21" s="34">
        <f>C19*C20</f>
        <v>30000</v>
      </c>
      <c r="D21" s="34">
        <f t="shared" ref="D21:N21" si="11">D19*D20</f>
        <v>30000</v>
      </c>
      <c r="E21" s="34">
        <f t="shared" si="11"/>
        <v>30000</v>
      </c>
      <c r="F21" s="34">
        <f t="shared" si="11"/>
        <v>30000</v>
      </c>
      <c r="G21" s="34">
        <f t="shared" si="11"/>
        <v>30000</v>
      </c>
      <c r="H21" s="34">
        <f t="shared" si="11"/>
        <v>30000</v>
      </c>
      <c r="I21" s="34">
        <f t="shared" si="11"/>
        <v>30000</v>
      </c>
      <c r="J21" s="34">
        <f t="shared" si="11"/>
        <v>30000</v>
      </c>
      <c r="K21" s="34">
        <f t="shared" si="11"/>
        <v>30000</v>
      </c>
      <c r="L21" s="34">
        <f t="shared" si="11"/>
        <v>30000</v>
      </c>
      <c r="M21" s="34">
        <f t="shared" si="11"/>
        <v>30000</v>
      </c>
      <c r="N21" s="34">
        <f t="shared" si="11"/>
        <v>30000</v>
      </c>
      <c r="O21" s="39">
        <f>SUM(C21:N21)</f>
        <v>360000</v>
      </c>
      <c r="P21" s="1"/>
    </row>
    <row r="22" spans="1:16" ht="16.5" x14ac:dyDescent="0.25">
      <c r="A22" s="197" t="s">
        <v>246</v>
      </c>
      <c r="B22" s="4" t="s">
        <v>41</v>
      </c>
      <c r="C22" s="13">
        <v>3</v>
      </c>
      <c r="D22" s="13">
        <v>3</v>
      </c>
      <c r="E22" s="13">
        <v>3</v>
      </c>
      <c r="F22" s="13">
        <v>3</v>
      </c>
      <c r="G22" s="13">
        <v>3</v>
      </c>
      <c r="H22" s="13">
        <v>3</v>
      </c>
      <c r="I22" s="13">
        <v>3</v>
      </c>
      <c r="J22" s="13">
        <v>3</v>
      </c>
      <c r="K22" s="13">
        <v>3</v>
      </c>
      <c r="L22" s="13">
        <v>3</v>
      </c>
      <c r="M22" s="13">
        <v>3</v>
      </c>
      <c r="N22" s="13">
        <v>3</v>
      </c>
      <c r="O22" s="14"/>
      <c r="P22" s="1"/>
    </row>
    <row r="23" spans="1:16" ht="16.5" x14ac:dyDescent="0.25">
      <c r="A23" s="198"/>
      <c r="B23" s="4" t="s">
        <v>46</v>
      </c>
      <c r="C23" s="13">
        <f>'PROPOSED PRICING'!E9</f>
        <v>16666.666666666668</v>
      </c>
      <c r="D23" s="13">
        <f>C23</f>
        <v>16666.666666666668</v>
      </c>
      <c r="E23" s="13">
        <f t="shared" ref="E23:N23" si="12">D23</f>
        <v>16666.666666666668</v>
      </c>
      <c r="F23" s="13">
        <f t="shared" si="12"/>
        <v>16666.666666666668</v>
      </c>
      <c r="G23" s="13">
        <f t="shared" si="12"/>
        <v>16666.666666666668</v>
      </c>
      <c r="H23" s="13">
        <f t="shared" si="12"/>
        <v>16666.666666666668</v>
      </c>
      <c r="I23" s="13">
        <f t="shared" si="12"/>
        <v>16666.666666666668</v>
      </c>
      <c r="J23" s="13">
        <f t="shared" si="12"/>
        <v>16666.666666666668</v>
      </c>
      <c r="K23" s="13">
        <f t="shared" si="12"/>
        <v>16666.666666666668</v>
      </c>
      <c r="L23" s="13">
        <f t="shared" si="12"/>
        <v>16666.666666666668</v>
      </c>
      <c r="M23" s="13">
        <f t="shared" si="12"/>
        <v>16666.666666666668</v>
      </c>
      <c r="N23" s="13">
        <f t="shared" si="12"/>
        <v>16666.666666666668</v>
      </c>
      <c r="O23" s="14"/>
      <c r="P23" s="1"/>
    </row>
    <row r="24" spans="1:16" ht="17.25" thickBot="1" x14ac:dyDescent="0.3">
      <c r="A24" s="199"/>
      <c r="B24" s="5" t="s">
        <v>42</v>
      </c>
      <c r="C24" s="15">
        <f>C22*C23</f>
        <v>50000</v>
      </c>
      <c r="D24" s="15">
        <f t="shared" ref="D24:N24" si="13">D22*D23</f>
        <v>50000</v>
      </c>
      <c r="E24" s="15">
        <f t="shared" si="13"/>
        <v>50000</v>
      </c>
      <c r="F24" s="15">
        <f t="shared" si="13"/>
        <v>50000</v>
      </c>
      <c r="G24" s="15">
        <f t="shared" si="13"/>
        <v>50000</v>
      </c>
      <c r="H24" s="15">
        <f t="shared" si="13"/>
        <v>50000</v>
      </c>
      <c r="I24" s="15">
        <f t="shared" si="13"/>
        <v>50000</v>
      </c>
      <c r="J24" s="15">
        <f t="shared" si="13"/>
        <v>50000</v>
      </c>
      <c r="K24" s="15">
        <f t="shared" si="13"/>
        <v>50000</v>
      </c>
      <c r="L24" s="15">
        <f t="shared" si="13"/>
        <v>50000</v>
      </c>
      <c r="M24" s="15">
        <f t="shared" si="13"/>
        <v>50000</v>
      </c>
      <c r="N24" s="15">
        <f t="shared" si="13"/>
        <v>50000</v>
      </c>
      <c r="O24" s="12">
        <f>SUM(C24:N24)</f>
        <v>600000</v>
      </c>
      <c r="P24" s="1"/>
    </row>
    <row r="25" spans="1:16" ht="16.5" x14ac:dyDescent="0.25">
      <c r="A25" s="197" t="s">
        <v>248</v>
      </c>
      <c r="B25" s="4" t="s">
        <v>41</v>
      </c>
      <c r="C25" s="13">
        <v>1</v>
      </c>
      <c r="D25" s="13">
        <v>1</v>
      </c>
      <c r="E25" s="13">
        <v>1</v>
      </c>
      <c r="F25" s="13">
        <v>1</v>
      </c>
      <c r="G25" s="13">
        <v>1</v>
      </c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1"/>
      <c r="P25" s="1"/>
    </row>
    <row r="26" spans="1:16" ht="16.5" x14ac:dyDescent="0.25">
      <c r="A26" s="198"/>
      <c r="B26" s="4" t="s">
        <v>46</v>
      </c>
      <c r="C26" s="13">
        <f>'PROPOSED PRICING'!E10</f>
        <v>150000</v>
      </c>
      <c r="D26" s="13">
        <f>C26</f>
        <v>150000</v>
      </c>
      <c r="E26" s="13">
        <f t="shared" ref="E26:N26" si="14">D26</f>
        <v>150000</v>
      </c>
      <c r="F26" s="13">
        <f t="shared" si="14"/>
        <v>150000</v>
      </c>
      <c r="G26" s="13">
        <f t="shared" si="14"/>
        <v>150000</v>
      </c>
      <c r="H26" s="13">
        <f t="shared" si="14"/>
        <v>150000</v>
      </c>
      <c r="I26" s="13">
        <f t="shared" si="14"/>
        <v>150000</v>
      </c>
      <c r="J26" s="13">
        <f t="shared" si="14"/>
        <v>150000</v>
      </c>
      <c r="K26" s="13">
        <f t="shared" si="14"/>
        <v>150000</v>
      </c>
      <c r="L26" s="13">
        <f t="shared" si="14"/>
        <v>150000</v>
      </c>
      <c r="M26" s="13">
        <f t="shared" si="14"/>
        <v>150000</v>
      </c>
      <c r="N26" s="13">
        <f t="shared" si="14"/>
        <v>150000</v>
      </c>
      <c r="O26" s="11"/>
      <c r="P26" s="1"/>
    </row>
    <row r="27" spans="1:16" ht="17.25" thickBot="1" x14ac:dyDescent="0.3">
      <c r="A27" s="200"/>
      <c r="B27" s="5" t="s">
        <v>42</v>
      </c>
      <c r="C27" s="15">
        <f>C25*C26</f>
        <v>150000</v>
      </c>
      <c r="D27" s="15">
        <f t="shared" ref="D27:N27" si="15">D25*D26</f>
        <v>150000</v>
      </c>
      <c r="E27" s="15">
        <f t="shared" si="15"/>
        <v>150000</v>
      </c>
      <c r="F27" s="15">
        <f t="shared" si="15"/>
        <v>150000</v>
      </c>
      <c r="G27" s="15">
        <f t="shared" si="15"/>
        <v>150000</v>
      </c>
      <c r="H27" s="15">
        <f t="shared" si="15"/>
        <v>150000</v>
      </c>
      <c r="I27" s="15">
        <f t="shared" si="15"/>
        <v>150000</v>
      </c>
      <c r="J27" s="15">
        <f t="shared" si="15"/>
        <v>150000</v>
      </c>
      <c r="K27" s="15">
        <f t="shared" si="15"/>
        <v>150000</v>
      </c>
      <c r="L27" s="15">
        <f t="shared" si="15"/>
        <v>150000</v>
      </c>
      <c r="M27" s="15">
        <f t="shared" si="15"/>
        <v>150000</v>
      </c>
      <c r="N27" s="15">
        <f t="shared" si="15"/>
        <v>150000</v>
      </c>
      <c r="O27" s="12">
        <f>SUM(C27:N27)</f>
        <v>1800000</v>
      </c>
      <c r="P27" s="1"/>
    </row>
    <row r="28" spans="1:16" ht="16.5" x14ac:dyDescent="0.25">
      <c r="A28" s="197" t="s">
        <v>249</v>
      </c>
      <c r="B28" s="8" t="s">
        <v>41</v>
      </c>
      <c r="C28" s="10">
        <v>300</v>
      </c>
      <c r="D28" s="10">
        <v>100</v>
      </c>
      <c r="E28" s="10">
        <v>300</v>
      </c>
      <c r="F28" s="10">
        <v>300</v>
      </c>
      <c r="G28" s="10">
        <v>200</v>
      </c>
      <c r="H28" s="10">
        <v>300</v>
      </c>
      <c r="I28" s="10">
        <v>200</v>
      </c>
      <c r="J28" s="10">
        <v>200</v>
      </c>
      <c r="K28" s="10">
        <v>400</v>
      </c>
      <c r="L28" s="10">
        <v>200</v>
      </c>
      <c r="M28" s="10">
        <v>400</v>
      </c>
      <c r="N28" s="10">
        <v>300</v>
      </c>
      <c r="O28" s="11"/>
      <c r="P28" s="1"/>
    </row>
    <row r="29" spans="1:16" ht="16.5" x14ac:dyDescent="0.25">
      <c r="A29" s="198"/>
      <c r="B29" s="8" t="s">
        <v>46</v>
      </c>
      <c r="C29" s="10">
        <f>'PROPOSED PRICING'!E11</f>
        <v>5</v>
      </c>
      <c r="D29" s="13">
        <f>C29</f>
        <v>5</v>
      </c>
      <c r="E29" s="13">
        <f t="shared" ref="E29:N29" si="16">D29</f>
        <v>5</v>
      </c>
      <c r="F29" s="13">
        <f t="shared" si="16"/>
        <v>5</v>
      </c>
      <c r="G29" s="13">
        <f t="shared" si="16"/>
        <v>5</v>
      </c>
      <c r="H29" s="13">
        <f t="shared" si="16"/>
        <v>5</v>
      </c>
      <c r="I29" s="13">
        <f t="shared" si="16"/>
        <v>5</v>
      </c>
      <c r="J29" s="13">
        <f t="shared" si="16"/>
        <v>5</v>
      </c>
      <c r="K29" s="13">
        <f t="shared" si="16"/>
        <v>5</v>
      </c>
      <c r="L29" s="13">
        <f t="shared" si="16"/>
        <v>5</v>
      </c>
      <c r="M29" s="13">
        <f t="shared" si="16"/>
        <v>5</v>
      </c>
      <c r="N29" s="13">
        <f t="shared" si="16"/>
        <v>5</v>
      </c>
      <c r="O29" s="11"/>
      <c r="P29" s="1"/>
    </row>
    <row r="30" spans="1:16" ht="17.25" thickBot="1" x14ac:dyDescent="0.3">
      <c r="A30" s="199"/>
      <c r="B30" s="5" t="s">
        <v>42</v>
      </c>
      <c r="C30" s="12">
        <f>C28*C29</f>
        <v>1500</v>
      </c>
      <c r="D30" s="12">
        <f t="shared" ref="D30:N30" si="17">D28*D29</f>
        <v>500</v>
      </c>
      <c r="E30" s="12">
        <f t="shared" si="17"/>
        <v>1500</v>
      </c>
      <c r="F30" s="12">
        <f t="shared" si="17"/>
        <v>1500</v>
      </c>
      <c r="G30" s="12">
        <f t="shared" si="17"/>
        <v>1000</v>
      </c>
      <c r="H30" s="12">
        <f t="shared" si="17"/>
        <v>1500</v>
      </c>
      <c r="I30" s="12">
        <f t="shared" si="17"/>
        <v>1000</v>
      </c>
      <c r="J30" s="12">
        <f t="shared" si="17"/>
        <v>1000</v>
      </c>
      <c r="K30" s="12">
        <f t="shared" si="17"/>
        <v>2000</v>
      </c>
      <c r="L30" s="12">
        <f t="shared" si="17"/>
        <v>1000</v>
      </c>
      <c r="M30" s="12">
        <f t="shared" si="17"/>
        <v>2000</v>
      </c>
      <c r="N30" s="12">
        <f t="shared" si="17"/>
        <v>1500</v>
      </c>
      <c r="O30" s="12">
        <f>SUM(C30:N30)</f>
        <v>16000</v>
      </c>
      <c r="P30" s="1"/>
    </row>
    <row r="31" spans="1:16" ht="16.5" x14ac:dyDescent="0.25">
      <c r="A31" s="197" t="s">
        <v>250</v>
      </c>
      <c r="B31" s="35" t="s">
        <v>41</v>
      </c>
      <c r="C31" s="36">
        <v>30</v>
      </c>
      <c r="D31" s="36">
        <v>20</v>
      </c>
      <c r="E31" s="36">
        <v>30</v>
      </c>
      <c r="F31" s="36">
        <v>30</v>
      </c>
      <c r="G31" s="36">
        <v>20</v>
      </c>
      <c r="H31" s="36">
        <v>30</v>
      </c>
      <c r="I31" s="36">
        <v>20</v>
      </c>
      <c r="J31" s="36">
        <v>20</v>
      </c>
      <c r="K31" s="36">
        <v>40</v>
      </c>
      <c r="L31" s="36">
        <v>20</v>
      </c>
      <c r="M31" s="36">
        <v>40</v>
      </c>
      <c r="N31" s="36">
        <v>30</v>
      </c>
      <c r="O31" s="37"/>
      <c r="P31" s="1"/>
    </row>
    <row r="32" spans="1:16" ht="16.5" x14ac:dyDescent="0.25">
      <c r="A32" s="198"/>
      <c r="B32" s="4" t="s">
        <v>46</v>
      </c>
      <c r="C32" s="13">
        <f>'PROPOSED PRICING'!E12</f>
        <v>150</v>
      </c>
      <c r="D32" s="13">
        <f>C32</f>
        <v>150</v>
      </c>
      <c r="E32" s="13">
        <f t="shared" ref="E32:N32" si="18">D32</f>
        <v>150</v>
      </c>
      <c r="F32" s="13">
        <f t="shared" si="18"/>
        <v>150</v>
      </c>
      <c r="G32" s="13">
        <f t="shared" si="18"/>
        <v>150</v>
      </c>
      <c r="H32" s="13">
        <f t="shared" si="18"/>
        <v>150</v>
      </c>
      <c r="I32" s="13">
        <f t="shared" si="18"/>
        <v>150</v>
      </c>
      <c r="J32" s="13">
        <f t="shared" si="18"/>
        <v>150</v>
      </c>
      <c r="K32" s="13">
        <f t="shared" si="18"/>
        <v>150</v>
      </c>
      <c r="L32" s="13">
        <f t="shared" si="18"/>
        <v>150</v>
      </c>
      <c r="M32" s="13">
        <f t="shared" si="18"/>
        <v>150</v>
      </c>
      <c r="N32" s="13">
        <f t="shared" si="18"/>
        <v>150</v>
      </c>
      <c r="O32" s="11"/>
      <c r="P32" s="1"/>
    </row>
    <row r="33" spans="1:16" ht="17.25" thickBot="1" x14ac:dyDescent="0.3">
      <c r="A33" s="199"/>
      <c r="B33" s="38" t="s">
        <v>42</v>
      </c>
      <c r="C33" s="34">
        <f>C31*C32</f>
        <v>4500</v>
      </c>
      <c r="D33" s="34">
        <f t="shared" ref="D33:N33" si="19">D31*D32</f>
        <v>3000</v>
      </c>
      <c r="E33" s="34">
        <f t="shared" si="19"/>
        <v>4500</v>
      </c>
      <c r="F33" s="34">
        <f t="shared" si="19"/>
        <v>4500</v>
      </c>
      <c r="G33" s="34">
        <f t="shared" si="19"/>
        <v>3000</v>
      </c>
      <c r="H33" s="34">
        <f t="shared" si="19"/>
        <v>4500</v>
      </c>
      <c r="I33" s="34">
        <f t="shared" si="19"/>
        <v>3000</v>
      </c>
      <c r="J33" s="34">
        <f t="shared" si="19"/>
        <v>3000</v>
      </c>
      <c r="K33" s="34">
        <f t="shared" si="19"/>
        <v>6000</v>
      </c>
      <c r="L33" s="34">
        <f t="shared" si="19"/>
        <v>3000</v>
      </c>
      <c r="M33" s="34">
        <f t="shared" si="19"/>
        <v>6000</v>
      </c>
      <c r="N33" s="34">
        <f t="shared" si="19"/>
        <v>4500</v>
      </c>
      <c r="O33" s="39">
        <f>SUM(C33:N33)</f>
        <v>49500</v>
      </c>
      <c r="P33" s="1"/>
    </row>
    <row r="34" spans="1:16" ht="16.5" x14ac:dyDescent="0.25">
      <c r="A34" s="197" t="s">
        <v>251</v>
      </c>
      <c r="B34" s="4" t="s">
        <v>41</v>
      </c>
      <c r="C34" s="13">
        <v>6</v>
      </c>
      <c r="D34" s="13">
        <v>2</v>
      </c>
      <c r="E34" s="13">
        <v>6</v>
      </c>
      <c r="F34" s="13">
        <v>6</v>
      </c>
      <c r="G34" s="13">
        <v>4</v>
      </c>
      <c r="H34" s="13">
        <v>6</v>
      </c>
      <c r="I34" s="13">
        <v>4</v>
      </c>
      <c r="J34" s="13">
        <v>4</v>
      </c>
      <c r="K34" s="13">
        <v>7</v>
      </c>
      <c r="L34" s="13">
        <v>4</v>
      </c>
      <c r="M34" s="13">
        <v>7</v>
      </c>
      <c r="N34" s="13">
        <v>6</v>
      </c>
      <c r="O34" s="14"/>
      <c r="P34" s="1"/>
    </row>
    <row r="35" spans="1:16" ht="16.5" x14ac:dyDescent="0.25">
      <c r="A35" s="198"/>
      <c r="B35" s="4" t="s">
        <v>46</v>
      </c>
      <c r="C35" s="13">
        <f>'PROPOSED PRICING'!E13</f>
        <v>3700</v>
      </c>
      <c r="D35" s="13">
        <f>C35</f>
        <v>3700</v>
      </c>
      <c r="E35" s="13">
        <f t="shared" ref="E35:N35" si="20">D35</f>
        <v>3700</v>
      </c>
      <c r="F35" s="13">
        <f t="shared" si="20"/>
        <v>3700</v>
      </c>
      <c r="G35" s="13">
        <f t="shared" si="20"/>
        <v>3700</v>
      </c>
      <c r="H35" s="13">
        <f t="shared" si="20"/>
        <v>3700</v>
      </c>
      <c r="I35" s="13">
        <f t="shared" si="20"/>
        <v>3700</v>
      </c>
      <c r="J35" s="13">
        <f t="shared" si="20"/>
        <v>3700</v>
      </c>
      <c r="K35" s="13">
        <f t="shared" si="20"/>
        <v>3700</v>
      </c>
      <c r="L35" s="13">
        <f t="shared" si="20"/>
        <v>3700</v>
      </c>
      <c r="M35" s="13">
        <f t="shared" si="20"/>
        <v>3700</v>
      </c>
      <c r="N35" s="13">
        <f t="shared" si="20"/>
        <v>3700</v>
      </c>
      <c r="O35" s="14"/>
      <c r="P35" s="1"/>
    </row>
    <row r="36" spans="1:16" ht="17.25" thickBot="1" x14ac:dyDescent="0.3">
      <c r="A36" s="200"/>
      <c r="B36" s="5" t="s">
        <v>42</v>
      </c>
      <c r="C36" s="15">
        <f>C34*C35</f>
        <v>22200</v>
      </c>
      <c r="D36" s="15">
        <f t="shared" ref="D36:N36" si="21">D34*D35</f>
        <v>7400</v>
      </c>
      <c r="E36" s="15">
        <f t="shared" si="21"/>
        <v>22200</v>
      </c>
      <c r="F36" s="15">
        <f t="shared" si="21"/>
        <v>22200</v>
      </c>
      <c r="G36" s="15">
        <f t="shared" si="21"/>
        <v>14800</v>
      </c>
      <c r="H36" s="15">
        <f t="shared" si="21"/>
        <v>22200</v>
      </c>
      <c r="I36" s="15">
        <f t="shared" si="21"/>
        <v>14800</v>
      </c>
      <c r="J36" s="15">
        <f t="shared" si="21"/>
        <v>14800</v>
      </c>
      <c r="K36" s="15">
        <f t="shared" si="21"/>
        <v>25900</v>
      </c>
      <c r="L36" s="15">
        <f t="shared" si="21"/>
        <v>14800</v>
      </c>
      <c r="M36" s="15">
        <f t="shared" si="21"/>
        <v>25900</v>
      </c>
      <c r="N36" s="15">
        <f t="shared" si="21"/>
        <v>22200</v>
      </c>
      <c r="O36" s="12">
        <f>SUM(C36:N36)</f>
        <v>229400</v>
      </c>
      <c r="P36" s="1"/>
    </row>
    <row r="37" spans="1:16" ht="16.5" x14ac:dyDescent="0.25">
      <c r="A37" s="197" t="s">
        <v>252</v>
      </c>
      <c r="B37" s="4" t="s">
        <v>41</v>
      </c>
      <c r="C37" s="13">
        <v>6</v>
      </c>
      <c r="D37" s="13">
        <v>2</v>
      </c>
      <c r="E37" s="13">
        <v>6</v>
      </c>
      <c r="F37" s="13">
        <v>6</v>
      </c>
      <c r="G37" s="13">
        <v>4</v>
      </c>
      <c r="H37" s="13">
        <v>6</v>
      </c>
      <c r="I37" s="13">
        <v>4</v>
      </c>
      <c r="J37" s="13">
        <v>4</v>
      </c>
      <c r="K37" s="13">
        <v>7</v>
      </c>
      <c r="L37" s="13">
        <v>4</v>
      </c>
      <c r="M37" s="13">
        <v>7</v>
      </c>
      <c r="N37" s="13">
        <v>6</v>
      </c>
      <c r="O37" s="11"/>
      <c r="P37" s="1"/>
    </row>
    <row r="38" spans="1:16" ht="16.5" x14ac:dyDescent="0.25">
      <c r="A38" s="198"/>
      <c r="B38" s="4" t="s">
        <v>46</v>
      </c>
      <c r="C38" s="13">
        <f>'PROPOSED PRICING'!E14</f>
        <v>5000</v>
      </c>
      <c r="D38" s="13">
        <f>C38</f>
        <v>5000</v>
      </c>
      <c r="E38" s="13">
        <f t="shared" ref="E38:N38" si="22">D38</f>
        <v>5000</v>
      </c>
      <c r="F38" s="13">
        <f t="shared" si="22"/>
        <v>5000</v>
      </c>
      <c r="G38" s="13">
        <f t="shared" si="22"/>
        <v>5000</v>
      </c>
      <c r="H38" s="13">
        <f t="shared" si="22"/>
        <v>5000</v>
      </c>
      <c r="I38" s="13">
        <f t="shared" si="22"/>
        <v>5000</v>
      </c>
      <c r="J38" s="13">
        <f t="shared" si="22"/>
        <v>5000</v>
      </c>
      <c r="K38" s="13">
        <f t="shared" si="22"/>
        <v>5000</v>
      </c>
      <c r="L38" s="13">
        <f t="shared" si="22"/>
        <v>5000</v>
      </c>
      <c r="M38" s="13">
        <f t="shared" si="22"/>
        <v>5000</v>
      </c>
      <c r="N38" s="13">
        <f t="shared" si="22"/>
        <v>5000</v>
      </c>
      <c r="O38" s="11"/>
      <c r="P38" s="1"/>
    </row>
    <row r="39" spans="1:16" ht="17.25" thickBot="1" x14ac:dyDescent="0.3">
      <c r="A39" s="199"/>
      <c r="B39" s="5" t="s">
        <v>42</v>
      </c>
      <c r="C39" s="15">
        <f>C37*C38</f>
        <v>30000</v>
      </c>
      <c r="D39" s="15">
        <f t="shared" ref="D39:N39" si="23">D37*D38</f>
        <v>10000</v>
      </c>
      <c r="E39" s="15">
        <f t="shared" si="23"/>
        <v>30000</v>
      </c>
      <c r="F39" s="15">
        <f t="shared" si="23"/>
        <v>30000</v>
      </c>
      <c r="G39" s="15">
        <f t="shared" si="23"/>
        <v>20000</v>
      </c>
      <c r="H39" s="15">
        <f t="shared" si="23"/>
        <v>30000</v>
      </c>
      <c r="I39" s="15">
        <f t="shared" si="23"/>
        <v>20000</v>
      </c>
      <c r="J39" s="15">
        <f t="shared" si="23"/>
        <v>20000</v>
      </c>
      <c r="K39" s="15">
        <f t="shared" si="23"/>
        <v>35000</v>
      </c>
      <c r="L39" s="15">
        <f t="shared" si="23"/>
        <v>20000</v>
      </c>
      <c r="M39" s="15">
        <f t="shared" si="23"/>
        <v>35000</v>
      </c>
      <c r="N39" s="15">
        <f t="shared" si="23"/>
        <v>30000</v>
      </c>
      <c r="O39" s="12">
        <f>SUM(C39:N39)</f>
        <v>310000</v>
      </c>
      <c r="P39" s="1"/>
    </row>
    <row r="40" spans="1:16" ht="16.5" x14ac:dyDescent="0.25">
      <c r="A40" s="197" t="s">
        <v>254</v>
      </c>
      <c r="B40" s="8" t="s">
        <v>41</v>
      </c>
      <c r="C40" s="10">
        <v>15</v>
      </c>
      <c r="D40" s="10">
        <v>15</v>
      </c>
      <c r="E40" s="10">
        <v>15</v>
      </c>
      <c r="F40" s="10">
        <v>15</v>
      </c>
      <c r="G40" s="10">
        <v>15</v>
      </c>
      <c r="H40" s="10">
        <v>15</v>
      </c>
      <c r="I40" s="10">
        <v>15</v>
      </c>
      <c r="J40" s="10">
        <v>15</v>
      </c>
      <c r="K40" s="10">
        <v>15</v>
      </c>
      <c r="L40" s="10">
        <v>15</v>
      </c>
      <c r="M40" s="10">
        <v>15</v>
      </c>
      <c r="N40" s="10">
        <v>15</v>
      </c>
      <c r="O40" s="11"/>
      <c r="P40" s="1"/>
    </row>
    <row r="41" spans="1:16" ht="16.5" x14ac:dyDescent="0.25">
      <c r="A41" s="198"/>
      <c r="B41" s="8" t="s">
        <v>46</v>
      </c>
      <c r="C41" s="10">
        <f>'PROPOSED PRICING'!E15</f>
        <v>500</v>
      </c>
      <c r="D41" s="13">
        <f>C41</f>
        <v>500</v>
      </c>
      <c r="E41" s="13">
        <f t="shared" ref="E41:N41" si="24">D41</f>
        <v>500</v>
      </c>
      <c r="F41" s="13">
        <f t="shared" si="24"/>
        <v>500</v>
      </c>
      <c r="G41" s="13">
        <f t="shared" si="24"/>
        <v>500</v>
      </c>
      <c r="H41" s="13">
        <f t="shared" si="24"/>
        <v>500</v>
      </c>
      <c r="I41" s="13">
        <f t="shared" si="24"/>
        <v>500</v>
      </c>
      <c r="J41" s="13">
        <f t="shared" si="24"/>
        <v>500</v>
      </c>
      <c r="K41" s="13">
        <f t="shared" si="24"/>
        <v>500</v>
      </c>
      <c r="L41" s="13">
        <f t="shared" si="24"/>
        <v>500</v>
      </c>
      <c r="M41" s="13">
        <f t="shared" si="24"/>
        <v>500</v>
      </c>
      <c r="N41" s="13">
        <f t="shared" si="24"/>
        <v>500</v>
      </c>
      <c r="O41" s="11"/>
      <c r="P41" s="1"/>
    </row>
    <row r="42" spans="1:16" ht="17.25" thickBot="1" x14ac:dyDescent="0.3">
      <c r="A42" s="199"/>
      <c r="B42" s="5" t="s">
        <v>42</v>
      </c>
      <c r="C42" s="12">
        <f>C40*C41</f>
        <v>7500</v>
      </c>
      <c r="D42" s="12">
        <f t="shared" ref="D42:N42" si="25">D40*D41</f>
        <v>7500</v>
      </c>
      <c r="E42" s="12">
        <f t="shared" si="25"/>
        <v>7500</v>
      </c>
      <c r="F42" s="12">
        <f t="shared" si="25"/>
        <v>7500</v>
      </c>
      <c r="G42" s="12">
        <f t="shared" si="25"/>
        <v>7500</v>
      </c>
      <c r="H42" s="12">
        <f t="shared" si="25"/>
        <v>7500</v>
      </c>
      <c r="I42" s="12">
        <f t="shared" si="25"/>
        <v>7500</v>
      </c>
      <c r="J42" s="12">
        <f t="shared" si="25"/>
        <v>7500</v>
      </c>
      <c r="K42" s="12">
        <f t="shared" si="25"/>
        <v>7500</v>
      </c>
      <c r="L42" s="12">
        <f t="shared" si="25"/>
        <v>7500</v>
      </c>
      <c r="M42" s="12">
        <f t="shared" si="25"/>
        <v>7500</v>
      </c>
      <c r="N42" s="12">
        <f t="shared" si="25"/>
        <v>7500</v>
      </c>
      <c r="O42" s="12">
        <f>SUM(C42:N42)</f>
        <v>90000</v>
      </c>
      <c r="P42" s="1"/>
    </row>
    <row r="43" spans="1:16" ht="16.5" x14ac:dyDescent="0.25">
      <c r="A43" s="197" t="s">
        <v>253</v>
      </c>
      <c r="B43" s="35" t="s">
        <v>41</v>
      </c>
      <c r="C43" s="36">
        <v>60</v>
      </c>
      <c r="D43" s="36">
        <v>30</v>
      </c>
      <c r="E43" s="36">
        <v>60</v>
      </c>
      <c r="F43" s="36">
        <v>60</v>
      </c>
      <c r="G43" s="36">
        <v>40</v>
      </c>
      <c r="H43" s="36">
        <v>60</v>
      </c>
      <c r="I43" s="36">
        <v>40</v>
      </c>
      <c r="J43" s="36">
        <v>40</v>
      </c>
      <c r="K43" s="36">
        <v>70</v>
      </c>
      <c r="L43" s="36">
        <v>40</v>
      </c>
      <c r="M43" s="36">
        <v>70</v>
      </c>
      <c r="N43" s="36">
        <v>60</v>
      </c>
      <c r="O43" s="37"/>
      <c r="P43" s="1"/>
    </row>
    <row r="44" spans="1:16" ht="16.5" x14ac:dyDescent="0.25">
      <c r="A44" s="198"/>
      <c r="B44" s="4" t="s">
        <v>46</v>
      </c>
      <c r="C44" s="13">
        <f>'PROPOSED PRICING'!E16</f>
        <v>200</v>
      </c>
      <c r="D44" s="13">
        <f>C44</f>
        <v>200</v>
      </c>
      <c r="E44" s="13">
        <f t="shared" ref="E44:N44" si="26">D44</f>
        <v>200</v>
      </c>
      <c r="F44" s="13">
        <f t="shared" si="26"/>
        <v>200</v>
      </c>
      <c r="G44" s="13">
        <f t="shared" si="26"/>
        <v>200</v>
      </c>
      <c r="H44" s="13">
        <f t="shared" si="26"/>
        <v>200</v>
      </c>
      <c r="I44" s="13">
        <f t="shared" si="26"/>
        <v>200</v>
      </c>
      <c r="J44" s="13">
        <f t="shared" si="26"/>
        <v>200</v>
      </c>
      <c r="K44" s="13">
        <f t="shared" si="26"/>
        <v>200</v>
      </c>
      <c r="L44" s="13">
        <f t="shared" si="26"/>
        <v>200</v>
      </c>
      <c r="M44" s="13">
        <f t="shared" si="26"/>
        <v>200</v>
      </c>
      <c r="N44" s="13">
        <f t="shared" si="26"/>
        <v>200</v>
      </c>
      <c r="O44" s="11"/>
      <c r="P44" s="1"/>
    </row>
    <row r="45" spans="1:16" ht="17.25" thickBot="1" x14ac:dyDescent="0.3">
      <c r="A45" s="200"/>
      <c r="B45" s="38" t="s">
        <v>42</v>
      </c>
      <c r="C45" s="34">
        <f>C43*C44</f>
        <v>12000</v>
      </c>
      <c r="D45" s="34">
        <f t="shared" ref="D45:N45" si="27">D43*D44</f>
        <v>6000</v>
      </c>
      <c r="E45" s="34">
        <f t="shared" si="27"/>
        <v>12000</v>
      </c>
      <c r="F45" s="34">
        <f t="shared" si="27"/>
        <v>12000</v>
      </c>
      <c r="G45" s="34">
        <f t="shared" si="27"/>
        <v>8000</v>
      </c>
      <c r="H45" s="34">
        <f t="shared" si="27"/>
        <v>12000</v>
      </c>
      <c r="I45" s="34">
        <f t="shared" si="27"/>
        <v>8000</v>
      </c>
      <c r="J45" s="34">
        <f t="shared" si="27"/>
        <v>8000</v>
      </c>
      <c r="K45" s="34">
        <f t="shared" si="27"/>
        <v>14000</v>
      </c>
      <c r="L45" s="34">
        <f t="shared" si="27"/>
        <v>8000</v>
      </c>
      <c r="M45" s="34">
        <f t="shared" si="27"/>
        <v>14000</v>
      </c>
      <c r="N45" s="34">
        <f t="shared" si="27"/>
        <v>12000</v>
      </c>
      <c r="O45" s="39">
        <f>SUM(C45:N45)</f>
        <v>126000</v>
      </c>
      <c r="P45" s="1"/>
    </row>
    <row r="46" spans="1:16" ht="16.5" x14ac:dyDescent="0.25">
      <c r="A46" s="197" t="s">
        <v>267</v>
      </c>
      <c r="B46" s="4" t="s">
        <v>41</v>
      </c>
      <c r="C46" s="13">
        <v>20</v>
      </c>
      <c r="D46" s="13">
        <v>20</v>
      </c>
      <c r="E46" s="13">
        <v>20</v>
      </c>
      <c r="F46" s="13">
        <v>20</v>
      </c>
      <c r="G46" s="13">
        <v>30</v>
      </c>
      <c r="H46" s="13">
        <v>30</v>
      </c>
      <c r="I46" s="13">
        <v>30</v>
      </c>
      <c r="J46" s="13">
        <v>30</v>
      </c>
      <c r="K46" s="13">
        <v>30</v>
      </c>
      <c r="L46" s="13">
        <v>30</v>
      </c>
      <c r="M46" s="13">
        <v>30</v>
      </c>
      <c r="N46" s="13">
        <v>30</v>
      </c>
      <c r="O46" s="14"/>
      <c r="P46" s="1"/>
    </row>
    <row r="47" spans="1:16" ht="16.5" x14ac:dyDescent="0.25">
      <c r="A47" s="198"/>
      <c r="B47" s="4" t="s">
        <v>46</v>
      </c>
      <c r="C47" s="13">
        <f>'PROPOSED PRICING'!E17</f>
        <v>3000</v>
      </c>
      <c r="D47" s="13">
        <f>C47</f>
        <v>3000</v>
      </c>
      <c r="E47" s="13">
        <f t="shared" ref="E47:N47" si="28">D47</f>
        <v>3000</v>
      </c>
      <c r="F47" s="13">
        <f t="shared" si="28"/>
        <v>3000</v>
      </c>
      <c r="G47" s="13">
        <f t="shared" si="28"/>
        <v>3000</v>
      </c>
      <c r="H47" s="13">
        <f t="shared" si="28"/>
        <v>3000</v>
      </c>
      <c r="I47" s="13">
        <f t="shared" si="28"/>
        <v>3000</v>
      </c>
      <c r="J47" s="13">
        <f t="shared" si="28"/>
        <v>3000</v>
      </c>
      <c r="K47" s="13">
        <f t="shared" si="28"/>
        <v>3000</v>
      </c>
      <c r="L47" s="13">
        <f t="shared" si="28"/>
        <v>3000</v>
      </c>
      <c r="M47" s="13">
        <f t="shared" si="28"/>
        <v>3000</v>
      </c>
      <c r="N47" s="13">
        <f t="shared" si="28"/>
        <v>3000</v>
      </c>
      <c r="O47" s="14"/>
      <c r="P47" s="1"/>
    </row>
    <row r="48" spans="1:16" ht="17.25" thickBot="1" x14ac:dyDescent="0.3">
      <c r="A48" s="199"/>
      <c r="B48" s="5" t="s">
        <v>42</v>
      </c>
      <c r="C48" s="15">
        <f>C46*C47</f>
        <v>60000</v>
      </c>
      <c r="D48" s="15">
        <f t="shared" ref="D48:N48" si="29">D46*D47</f>
        <v>60000</v>
      </c>
      <c r="E48" s="15">
        <f t="shared" si="29"/>
        <v>60000</v>
      </c>
      <c r="F48" s="15">
        <f t="shared" si="29"/>
        <v>60000</v>
      </c>
      <c r="G48" s="15">
        <f t="shared" si="29"/>
        <v>90000</v>
      </c>
      <c r="H48" s="15">
        <f t="shared" si="29"/>
        <v>90000</v>
      </c>
      <c r="I48" s="15">
        <f t="shared" si="29"/>
        <v>90000</v>
      </c>
      <c r="J48" s="15">
        <f t="shared" si="29"/>
        <v>90000</v>
      </c>
      <c r="K48" s="15">
        <f t="shared" si="29"/>
        <v>90000</v>
      </c>
      <c r="L48" s="15">
        <f t="shared" si="29"/>
        <v>90000</v>
      </c>
      <c r="M48" s="15">
        <f t="shared" si="29"/>
        <v>90000</v>
      </c>
      <c r="N48" s="15">
        <f t="shared" si="29"/>
        <v>90000</v>
      </c>
      <c r="O48" s="12">
        <f>SUM(C48:N48)</f>
        <v>960000</v>
      </c>
      <c r="P48" s="1"/>
    </row>
    <row r="49" spans="1:16" ht="16.5" x14ac:dyDescent="0.25">
      <c r="A49" s="197" t="s">
        <v>266</v>
      </c>
      <c r="B49" s="4" t="s">
        <v>41</v>
      </c>
      <c r="C49" s="13">
        <v>20</v>
      </c>
      <c r="D49" s="13">
        <v>20</v>
      </c>
      <c r="E49" s="13">
        <v>20</v>
      </c>
      <c r="F49" s="13">
        <v>20</v>
      </c>
      <c r="G49" s="13">
        <v>30</v>
      </c>
      <c r="H49" s="13">
        <v>30</v>
      </c>
      <c r="I49" s="13">
        <v>30</v>
      </c>
      <c r="J49" s="13">
        <v>30</v>
      </c>
      <c r="K49" s="13">
        <v>30</v>
      </c>
      <c r="L49" s="13">
        <v>30</v>
      </c>
      <c r="M49" s="13">
        <v>30</v>
      </c>
      <c r="N49" s="13">
        <v>30</v>
      </c>
      <c r="O49" s="11"/>
      <c r="P49" s="1"/>
    </row>
    <row r="50" spans="1:16" ht="16.5" x14ac:dyDescent="0.25">
      <c r="A50" s="198"/>
      <c r="B50" s="4" t="s">
        <v>46</v>
      </c>
      <c r="C50" s="13">
        <f>'PROPOSED PRICING'!E18</f>
        <v>3750</v>
      </c>
      <c r="D50" s="13">
        <f>C50</f>
        <v>3750</v>
      </c>
      <c r="E50" s="13">
        <f t="shared" ref="E50:N50" si="30">D50</f>
        <v>3750</v>
      </c>
      <c r="F50" s="13">
        <f t="shared" si="30"/>
        <v>3750</v>
      </c>
      <c r="G50" s="13">
        <f t="shared" si="30"/>
        <v>3750</v>
      </c>
      <c r="H50" s="13">
        <f t="shared" si="30"/>
        <v>3750</v>
      </c>
      <c r="I50" s="13">
        <f t="shared" si="30"/>
        <v>3750</v>
      </c>
      <c r="J50" s="13">
        <f t="shared" si="30"/>
        <v>3750</v>
      </c>
      <c r="K50" s="13">
        <f t="shared" si="30"/>
        <v>3750</v>
      </c>
      <c r="L50" s="13">
        <f t="shared" si="30"/>
        <v>3750</v>
      </c>
      <c r="M50" s="13">
        <f t="shared" si="30"/>
        <v>3750</v>
      </c>
      <c r="N50" s="13">
        <f t="shared" si="30"/>
        <v>3750</v>
      </c>
      <c r="O50" s="11"/>
      <c r="P50" s="1"/>
    </row>
    <row r="51" spans="1:16" ht="17.25" thickBot="1" x14ac:dyDescent="0.3">
      <c r="A51" s="199"/>
      <c r="B51" s="5" t="s">
        <v>42</v>
      </c>
      <c r="C51" s="15">
        <f>C49*C50</f>
        <v>75000</v>
      </c>
      <c r="D51" s="15">
        <f t="shared" ref="D51:N51" si="31">D49*D50</f>
        <v>75000</v>
      </c>
      <c r="E51" s="15">
        <f t="shared" si="31"/>
        <v>75000</v>
      </c>
      <c r="F51" s="15">
        <f t="shared" si="31"/>
        <v>75000</v>
      </c>
      <c r="G51" s="15">
        <f t="shared" si="31"/>
        <v>112500</v>
      </c>
      <c r="H51" s="15">
        <f t="shared" si="31"/>
        <v>112500</v>
      </c>
      <c r="I51" s="15">
        <f t="shared" si="31"/>
        <v>112500</v>
      </c>
      <c r="J51" s="15">
        <f t="shared" si="31"/>
        <v>112500</v>
      </c>
      <c r="K51" s="15">
        <f t="shared" si="31"/>
        <v>112500</v>
      </c>
      <c r="L51" s="15">
        <f t="shared" si="31"/>
        <v>112500</v>
      </c>
      <c r="M51" s="15">
        <f t="shared" si="31"/>
        <v>112500</v>
      </c>
      <c r="N51" s="15">
        <f t="shared" si="31"/>
        <v>112500</v>
      </c>
      <c r="O51" s="12">
        <f>SUM(C51:N51)</f>
        <v>1200000</v>
      </c>
      <c r="P51" s="1"/>
    </row>
    <row r="52" spans="1:16" ht="16.5" x14ac:dyDescent="0.25">
      <c r="A52" s="197" t="s">
        <v>268</v>
      </c>
      <c r="B52" s="8" t="s">
        <v>41</v>
      </c>
      <c r="C52" s="10">
        <v>20</v>
      </c>
      <c r="D52" s="10">
        <v>20</v>
      </c>
      <c r="E52" s="10">
        <v>20</v>
      </c>
      <c r="F52" s="10">
        <v>20</v>
      </c>
      <c r="G52" s="10">
        <v>30</v>
      </c>
      <c r="H52" s="10">
        <v>30</v>
      </c>
      <c r="I52" s="10">
        <v>30</v>
      </c>
      <c r="J52" s="10">
        <v>30</v>
      </c>
      <c r="K52" s="10">
        <v>30</v>
      </c>
      <c r="L52" s="10">
        <v>30</v>
      </c>
      <c r="M52" s="10">
        <v>30</v>
      </c>
      <c r="N52" s="10">
        <v>30</v>
      </c>
      <c r="O52" s="11"/>
      <c r="P52" s="1"/>
    </row>
    <row r="53" spans="1:16" ht="16.5" x14ac:dyDescent="0.25">
      <c r="A53" s="198"/>
      <c r="B53" s="8" t="s">
        <v>46</v>
      </c>
      <c r="C53" s="10">
        <f>'PROPOSED PRICING'!E19</f>
        <v>3750</v>
      </c>
      <c r="D53" s="13">
        <f>C53</f>
        <v>3750</v>
      </c>
      <c r="E53" s="13">
        <f t="shared" ref="E53:N53" si="32">D53</f>
        <v>3750</v>
      </c>
      <c r="F53" s="13">
        <f t="shared" si="32"/>
        <v>3750</v>
      </c>
      <c r="G53" s="13">
        <f t="shared" si="32"/>
        <v>3750</v>
      </c>
      <c r="H53" s="13">
        <f t="shared" si="32"/>
        <v>3750</v>
      </c>
      <c r="I53" s="13">
        <f t="shared" si="32"/>
        <v>3750</v>
      </c>
      <c r="J53" s="13">
        <f t="shared" si="32"/>
        <v>3750</v>
      </c>
      <c r="K53" s="13">
        <f t="shared" si="32"/>
        <v>3750</v>
      </c>
      <c r="L53" s="13">
        <f t="shared" si="32"/>
        <v>3750</v>
      </c>
      <c r="M53" s="13">
        <f t="shared" si="32"/>
        <v>3750</v>
      </c>
      <c r="N53" s="13">
        <f t="shared" si="32"/>
        <v>3750</v>
      </c>
      <c r="O53" s="11"/>
      <c r="P53" s="1"/>
    </row>
    <row r="54" spans="1:16" ht="17.25" thickBot="1" x14ac:dyDescent="0.3">
      <c r="A54" s="200"/>
      <c r="B54" s="5" t="s">
        <v>42</v>
      </c>
      <c r="C54" s="12">
        <f>C52*C53</f>
        <v>75000</v>
      </c>
      <c r="D54" s="12">
        <f t="shared" ref="D54:N54" si="33">D52*D53</f>
        <v>75000</v>
      </c>
      <c r="E54" s="12">
        <f t="shared" si="33"/>
        <v>75000</v>
      </c>
      <c r="F54" s="12">
        <f t="shared" si="33"/>
        <v>75000</v>
      </c>
      <c r="G54" s="12">
        <f t="shared" si="33"/>
        <v>112500</v>
      </c>
      <c r="H54" s="12">
        <f t="shared" si="33"/>
        <v>112500</v>
      </c>
      <c r="I54" s="12">
        <f t="shared" si="33"/>
        <v>112500</v>
      </c>
      <c r="J54" s="12">
        <f t="shared" si="33"/>
        <v>112500</v>
      </c>
      <c r="K54" s="12">
        <f t="shared" si="33"/>
        <v>112500</v>
      </c>
      <c r="L54" s="12">
        <f t="shared" si="33"/>
        <v>112500</v>
      </c>
      <c r="M54" s="12">
        <f t="shared" si="33"/>
        <v>112500</v>
      </c>
      <c r="N54" s="12">
        <f t="shared" si="33"/>
        <v>112500</v>
      </c>
      <c r="O54" s="12">
        <f>SUM(C54:N54)</f>
        <v>1200000</v>
      </c>
      <c r="P54" s="1"/>
    </row>
    <row r="55" spans="1:16" ht="16.5" x14ac:dyDescent="0.25">
      <c r="A55" s="197" t="s">
        <v>298</v>
      </c>
      <c r="B55" s="35" t="s">
        <v>41</v>
      </c>
      <c r="C55" s="36">
        <v>20</v>
      </c>
      <c r="D55" s="36">
        <v>20</v>
      </c>
      <c r="E55" s="36">
        <v>20</v>
      </c>
      <c r="F55" s="36">
        <v>20</v>
      </c>
      <c r="G55" s="36">
        <v>30</v>
      </c>
      <c r="H55" s="36">
        <v>30</v>
      </c>
      <c r="I55" s="36">
        <v>30</v>
      </c>
      <c r="J55" s="36">
        <v>30</v>
      </c>
      <c r="K55" s="36">
        <v>30</v>
      </c>
      <c r="L55" s="36">
        <v>30</v>
      </c>
      <c r="M55" s="36">
        <v>30</v>
      </c>
      <c r="N55" s="36">
        <v>30</v>
      </c>
      <c r="O55" s="37"/>
      <c r="P55" s="1"/>
    </row>
    <row r="56" spans="1:16" ht="16.5" x14ac:dyDescent="0.25">
      <c r="A56" s="198"/>
      <c r="B56" s="4" t="s">
        <v>46</v>
      </c>
      <c r="C56" s="13">
        <f>'PROPOSED PRICING'!E20</f>
        <v>3750</v>
      </c>
      <c r="D56" s="13">
        <f>C56</f>
        <v>3750</v>
      </c>
      <c r="E56" s="13">
        <f t="shared" ref="E56:N56" si="34">D56</f>
        <v>3750</v>
      </c>
      <c r="F56" s="13">
        <f t="shared" si="34"/>
        <v>3750</v>
      </c>
      <c r="G56" s="13">
        <f t="shared" si="34"/>
        <v>3750</v>
      </c>
      <c r="H56" s="13">
        <f t="shared" si="34"/>
        <v>3750</v>
      </c>
      <c r="I56" s="13">
        <f t="shared" si="34"/>
        <v>3750</v>
      </c>
      <c r="J56" s="13">
        <f t="shared" si="34"/>
        <v>3750</v>
      </c>
      <c r="K56" s="13">
        <f t="shared" si="34"/>
        <v>3750</v>
      </c>
      <c r="L56" s="13">
        <f t="shared" si="34"/>
        <v>3750</v>
      </c>
      <c r="M56" s="13">
        <f t="shared" si="34"/>
        <v>3750</v>
      </c>
      <c r="N56" s="13">
        <f t="shared" si="34"/>
        <v>3750</v>
      </c>
      <c r="O56" s="11"/>
      <c r="P56" s="1"/>
    </row>
    <row r="57" spans="1:16" ht="17.25" thickBot="1" x14ac:dyDescent="0.3">
      <c r="A57" s="199"/>
      <c r="B57" s="38" t="s">
        <v>42</v>
      </c>
      <c r="C57" s="34">
        <f>C55*C56</f>
        <v>75000</v>
      </c>
      <c r="D57" s="34">
        <f t="shared" ref="D57:N57" si="35">D55*D56</f>
        <v>75000</v>
      </c>
      <c r="E57" s="34">
        <f t="shared" si="35"/>
        <v>75000</v>
      </c>
      <c r="F57" s="34">
        <f t="shared" si="35"/>
        <v>75000</v>
      </c>
      <c r="G57" s="34">
        <f t="shared" si="35"/>
        <v>112500</v>
      </c>
      <c r="H57" s="34">
        <f t="shared" si="35"/>
        <v>112500</v>
      </c>
      <c r="I57" s="34">
        <f t="shared" si="35"/>
        <v>112500</v>
      </c>
      <c r="J57" s="34">
        <f t="shared" si="35"/>
        <v>112500</v>
      </c>
      <c r="K57" s="34">
        <f t="shared" si="35"/>
        <v>112500</v>
      </c>
      <c r="L57" s="34">
        <f t="shared" si="35"/>
        <v>112500</v>
      </c>
      <c r="M57" s="34">
        <f t="shared" si="35"/>
        <v>112500</v>
      </c>
      <c r="N57" s="34">
        <f t="shared" si="35"/>
        <v>112500</v>
      </c>
      <c r="O57" s="39">
        <f>SUM(C57:N57)</f>
        <v>1200000</v>
      </c>
      <c r="P57" s="1"/>
    </row>
    <row r="58" spans="1:16" ht="16.5" x14ac:dyDescent="0.25">
      <c r="A58" s="197" t="s">
        <v>269</v>
      </c>
      <c r="B58" s="4" t="s">
        <v>41</v>
      </c>
      <c r="C58" s="13">
        <v>200</v>
      </c>
      <c r="D58" s="13">
        <v>70</v>
      </c>
      <c r="E58" s="13">
        <v>200</v>
      </c>
      <c r="F58" s="13">
        <v>200</v>
      </c>
      <c r="G58" s="13">
        <v>140</v>
      </c>
      <c r="H58" s="13">
        <v>200</v>
      </c>
      <c r="I58" s="13">
        <v>140</v>
      </c>
      <c r="J58" s="13">
        <v>140</v>
      </c>
      <c r="K58" s="13">
        <v>280</v>
      </c>
      <c r="L58" s="13">
        <v>140</v>
      </c>
      <c r="M58" s="13">
        <v>280</v>
      </c>
      <c r="N58" s="13">
        <v>200</v>
      </c>
      <c r="O58" s="14"/>
      <c r="P58" s="1"/>
    </row>
    <row r="59" spans="1:16" ht="16.5" x14ac:dyDescent="0.25">
      <c r="A59" s="198"/>
      <c r="B59" s="4" t="s">
        <v>46</v>
      </c>
      <c r="C59" s="13">
        <f>'PROPOSED PRICING'!E21</f>
        <v>180</v>
      </c>
      <c r="D59" s="13">
        <f>C59</f>
        <v>180</v>
      </c>
      <c r="E59" s="13">
        <f t="shared" ref="E59:N59" si="36">D59</f>
        <v>180</v>
      </c>
      <c r="F59" s="13">
        <f t="shared" si="36"/>
        <v>180</v>
      </c>
      <c r="G59" s="13">
        <f t="shared" si="36"/>
        <v>180</v>
      </c>
      <c r="H59" s="13">
        <f t="shared" si="36"/>
        <v>180</v>
      </c>
      <c r="I59" s="13">
        <f t="shared" si="36"/>
        <v>180</v>
      </c>
      <c r="J59" s="13">
        <f t="shared" si="36"/>
        <v>180</v>
      </c>
      <c r="K59" s="13">
        <f t="shared" si="36"/>
        <v>180</v>
      </c>
      <c r="L59" s="13">
        <f t="shared" si="36"/>
        <v>180</v>
      </c>
      <c r="M59" s="13">
        <f t="shared" si="36"/>
        <v>180</v>
      </c>
      <c r="N59" s="13">
        <f t="shared" si="36"/>
        <v>180</v>
      </c>
      <c r="O59" s="14"/>
      <c r="P59" s="1"/>
    </row>
    <row r="60" spans="1:16" ht="17.25" thickBot="1" x14ac:dyDescent="0.3">
      <c r="A60" s="199"/>
      <c r="B60" s="5" t="s">
        <v>42</v>
      </c>
      <c r="C60" s="15">
        <f>C58*C59</f>
        <v>36000</v>
      </c>
      <c r="D60" s="15">
        <f t="shared" ref="D60:N60" si="37">D58*D59</f>
        <v>12600</v>
      </c>
      <c r="E60" s="15">
        <f t="shared" si="37"/>
        <v>36000</v>
      </c>
      <c r="F60" s="15">
        <f t="shared" si="37"/>
        <v>36000</v>
      </c>
      <c r="G60" s="15">
        <f t="shared" si="37"/>
        <v>25200</v>
      </c>
      <c r="H60" s="15">
        <f t="shared" si="37"/>
        <v>36000</v>
      </c>
      <c r="I60" s="15">
        <f t="shared" si="37"/>
        <v>25200</v>
      </c>
      <c r="J60" s="15">
        <f t="shared" si="37"/>
        <v>25200</v>
      </c>
      <c r="K60" s="15">
        <f t="shared" si="37"/>
        <v>50400</v>
      </c>
      <c r="L60" s="15">
        <f t="shared" si="37"/>
        <v>25200</v>
      </c>
      <c r="M60" s="15">
        <f t="shared" si="37"/>
        <v>50400</v>
      </c>
      <c r="N60" s="15">
        <f t="shared" si="37"/>
        <v>36000</v>
      </c>
      <c r="O60" s="12">
        <f>SUM(C60:N60)</f>
        <v>394200</v>
      </c>
      <c r="P60" s="1"/>
    </row>
    <row r="61" spans="1:16" ht="16.5" x14ac:dyDescent="0.25">
      <c r="A61" s="197" t="s">
        <v>232</v>
      </c>
      <c r="B61" s="4" t="s">
        <v>41</v>
      </c>
      <c r="C61" s="13">
        <v>30</v>
      </c>
      <c r="D61" s="13">
        <v>10</v>
      </c>
      <c r="E61" s="13">
        <v>30</v>
      </c>
      <c r="F61" s="13">
        <v>30</v>
      </c>
      <c r="G61" s="13">
        <v>20</v>
      </c>
      <c r="H61" s="13">
        <v>30</v>
      </c>
      <c r="I61" s="13">
        <v>20</v>
      </c>
      <c r="J61" s="13">
        <v>20</v>
      </c>
      <c r="K61" s="13">
        <v>40</v>
      </c>
      <c r="L61" s="13">
        <v>20</v>
      </c>
      <c r="M61" s="13">
        <v>40</v>
      </c>
      <c r="N61" s="13">
        <v>30</v>
      </c>
      <c r="O61" s="11"/>
      <c r="P61" s="1"/>
    </row>
    <row r="62" spans="1:16" ht="16.5" x14ac:dyDescent="0.25">
      <c r="A62" s="198"/>
      <c r="B62" s="4" t="s">
        <v>46</v>
      </c>
      <c r="C62" s="13">
        <f>'PROPOSED PRICING'!E22</f>
        <v>950</v>
      </c>
      <c r="D62" s="13">
        <f>C62</f>
        <v>950</v>
      </c>
      <c r="E62" s="13">
        <f t="shared" ref="E62:N62" si="38">D62</f>
        <v>950</v>
      </c>
      <c r="F62" s="13">
        <f t="shared" si="38"/>
        <v>950</v>
      </c>
      <c r="G62" s="13">
        <f t="shared" si="38"/>
        <v>950</v>
      </c>
      <c r="H62" s="13">
        <f t="shared" si="38"/>
        <v>950</v>
      </c>
      <c r="I62" s="13">
        <f t="shared" si="38"/>
        <v>950</v>
      </c>
      <c r="J62" s="13">
        <f t="shared" si="38"/>
        <v>950</v>
      </c>
      <c r="K62" s="13">
        <f t="shared" si="38"/>
        <v>950</v>
      </c>
      <c r="L62" s="13">
        <f t="shared" si="38"/>
        <v>950</v>
      </c>
      <c r="M62" s="13">
        <f t="shared" si="38"/>
        <v>950</v>
      </c>
      <c r="N62" s="13">
        <f t="shared" si="38"/>
        <v>950</v>
      </c>
      <c r="O62" s="11"/>
      <c r="P62" s="1"/>
    </row>
    <row r="63" spans="1:16" ht="17.25" thickBot="1" x14ac:dyDescent="0.3">
      <c r="A63" s="200"/>
      <c r="B63" s="5" t="s">
        <v>42</v>
      </c>
      <c r="C63" s="15">
        <f>C61*C62</f>
        <v>28500</v>
      </c>
      <c r="D63" s="15">
        <f t="shared" ref="D63:N63" si="39">D61*D62</f>
        <v>9500</v>
      </c>
      <c r="E63" s="15">
        <f t="shared" si="39"/>
        <v>28500</v>
      </c>
      <c r="F63" s="15">
        <f t="shared" si="39"/>
        <v>28500</v>
      </c>
      <c r="G63" s="15">
        <f t="shared" si="39"/>
        <v>19000</v>
      </c>
      <c r="H63" s="15">
        <f t="shared" si="39"/>
        <v>28500</v>
      </c>
      <c r="I63" s="15">
        <f t="shared" si="39"/>
        <v>19000</v>
      </c>
      <c r="J63" s="15">
        <f t="shared" si="39"/>
        <v>19000</v>
      </c>
      <c r="K63" s="15">
        <f t="shared" si="39"/>
        <v>38000</v>
      </c>
      <c r="L63" s="15">
        <f t="shared" si="39"/>
        <v>19000</v>
      </c>
      <c r="M63" s="15">
        <f t="shared" si="39"/>
        <v>38000</v>
      </c>
      <c r="N63" s="15">
        <f t="shared" si="39"/>
        <v>28500</v>
      </c>
      <c r="O63" s="12">
        <f>SUM(C63:N63)</f>
        <v>304000</v>
      </c>
      <c r="P63" s="1"/>
    </row>
    <row r="64" spans="1:16" ht="16.5" x14ac:dyDescent="0.25">
      <c r="A64" s="197" t="s">
        <v>233</v>
      </c>
      <c r="B64" s="8" t="s">
        <v>41</v>
      </c>
      <c r="C64" s="10">
        <v>30</v>
      </c>
      <c r="D64" s="10">
        <v>10</v>
      </c>
      <c r="E64" s="10">
        <v>30</v>
      </c>
      <c r="F64" s="10">
        <v>30</v>
      </c>
      <c r="G64" s="10">
        <v>20</v>
      </c>
      <c r="H64" s="10">
        <v>30</v>
      </c>
      <c r="I64" s="10">
        <v>20</v>
      </c>
      <c r="J64" s="10">
        <v>20</v>
      </c>
      <c r="K64" s="10">
        <v>40</v>
      </c>
      <c r="L64" s="10">
        <v>20</v>
      </c>
      <c r="M64" s="10">
        <v>40</v>
      </c>
      <c r="N64" s="10">
        <v>30</v>
      </c>
      <c r="O64" s="11"/>
      <c r="P64" s="1"/>
    </row>
    <row r="65" spans="1:16" ht="16.5" x14ac:dyDescent="0.25">
      <c r="A65" s="198"/>
      <c r="B65" s="8" t="s">
        <v>46</v>
      </c>
      <c r="C65" s="10">
        <f>'PROPOSED PRICING'!E23</f>
        <v>1300</v>
      </c>
      <c r="D65" s="13">
        <f>C65</f>
        <v>1300</v>
      </c>
      <c r="E65" s="13">
        <f t="shared" ref="E65:N65" si="40">D65</f>
        <v>1300</v>
      </c>
      <c r="F65" s="13">
        <f t="shared" si="40"/>
        <v>1300</v>
      </c>
      <c r="G65" s="13">
        <f t="shared" si="40"/>
        <v>1300</v>
      </c>
      <c r="H65" s="13">
        <f t="shared" si="40"/>
        <v>1300</v>
      </c>
      <c r="I65" s="13">
        <f t="shared" si="40"/>
        <v>1300</v>
      </c>
      <c r="J65" s="13">
        <f t="shared" si="40"/>
        <v>1300</v>
      </c>
      <c r="K65" s="13">
        <f t="shared" si="40"/>
        <v>1300</v>
      </c>
      <c r="L65" s="13">
        <f t="shared" si="40"/>
        <v>1300</v>
      </c>
      <c r="M65" s="13">
        <f t="shared" si="40"/>
        <v>1300</v>
      </c>
      <c r="N65" s="13">
        <f t="shared" si="40"/>
        <v>1300</v>
      </c>
      <c r="O65" s="11"/>
      <c r="P65" s="1"/>
    </row>
    <row r="66" spans="1:16" ht="17.25" thickBot="1" x14ac:dyDescent="0.3">
      <c r="A66" s="199"/>
      <c r="B66" s="5" t="s">
        <v>42</v>
      </c>
      <c r="C66" s="12">
        <f>C64*C65</f>
        <v>39000</v>
      </c>
      <c r="D66" s="12">
        <f t="shared" ref="D66:N66" si="41">D64*D65</f>
        <v>13000</v>
      </c>
      <c r="E66" s="12">
        <f t="shared" si="41"/>
        <v>39000</v>
      </c>
      <c r="F66" s="12">
        <f t="shared" si="41"/>
        <v>39000</v>
      </c>
      <c r="G66" s="12">
        <f t="shared" si="41"/>
        <v>26000</v>
      </c>
      <c r="H66" s="12">
        <f t="shared" si="41"/>
        <v>39000</v>
      </c>
      <c r="I66" s="12">
        <f t="shared" si="41"/>
        <v>26000</v>
      </c>
      <c r="J66" s="12">
        <f t="shared" si="41"/>
        <v>26000</v>
      </c>
      <c r="K66" s="12">
        <f t="shared" si="41"/>
        <v>52000</v>
      </c>
      <c r="L66" s="12">
        <f t="shared" si="41"/>
        <v>26000</v>
      </c>
      <c r="M66" s="12">
        <f t="shared" si="41"/>
        <v>52000</v>
      </c>
      <c r="N66" s="12">
        <f t="shared" si="41"/>
        <v>39000</v>
      </c>
      <c r="O66" s="12">
        <f>SUM(C66:N66)</f>
        <v>416000</v>
      </c>
      <c r="P66" s="1"/>
    </row>
    <row r="67" spans="1:16" ht="16.5" x14ac:dyDescent="0.25">
      <c r="A67" s="197" t="s">
        <v>261</v>
      </c>
      <c r="B67" s="35" t="s">
        <v>41</v>
      </c>
      <c r="C67" s="36">
        <v>30</v>
      </c>
      <c r="D67" s="36">
        <v>10</v>
      </c>
      <c r="E67" s="36">
        <v>30</v>
      </c>
      <c r="F67" s="36">
        <v>30</v>
      </c>
      <c r="G67" s="36">
        <v>20</v>
      </c>
      <c r="H67" s="36">
        <v>30</v>
      </c>
      <c r="I67" s="36">
        <v>20</v>
      </c>
      <c r="J67" s="36">
        <v>20</v>
      </c>
      <c r="K67" s="36">
        <v>40</v>
      </c>
      <c r="L67" s="36">
        <v>20</v>
      </c>
      <c r="M67" s="36">
        <v>40</v>
      </c>
      <c r="N67" s="36">
        <v>30</v>
      </c>
      <c r="O67" s="37"/>
      <c r="P67" s="1"/>
    </row>
    <row r="68" spans="1:16" ht="16.5" x14ac:dyDescent="0.25">
      <c r="A68" s="198"/>
      <c r="B68" s="4" t="s">
        <v>46</v>
      </c>
      <c r="C68" s="13">
        <f>'PROPOSED PRICING'!E24</f>
        <v>1100</v>
      </c>
      <c r="D68" s="13">
        <f>C68</f>
        <v>1100</v>
      </c>
      <c r="E68" s="13">
        <f t="shared" ref="E68:N68" si="42">D68</f>
        <v>1100</v>
      </c>
      <c r="F68" s="13">
        <f t="shared" si="42"/>
        <v>1100</v>
      </c>
      <c r="G68" s="13">
        <f t="shared" si="42"/>
        <v>1100</v>
      </c>
      <c r="H68" s="13">
        <f t="shared" si="42"/>
        <v>1100</v>
      </c>
      <c r="I68" s="13">
        <f t="shared" si="42"/>
        <v>1100</v>
      </c>
      <c r="J68" s="13">
        <f t="shared" si="42"/>
        <v>1100</v>
      </c>
      <c r="K68" s="13">
        <f t="shared" si="42"/>
        <v>1100</v>
      </c>
      <c r="L68" s="13">
        <f t="shared" si="42"/>
        <v>1100</v>
      </c>
      <c r="M68" s="13">
        <f t="shared" si="42"/>
        <v>1100</v>
      </c>
      <c r="N68" s="13">
        <f t="shared" si="42"/>
        <v>1100</v>
      </c>
      <c r="O68" s="11"/>
      <c r="P68" s="1"/>
    </row>
    <row r="69" spans="1:16" ht="17.25" thickBot="1" x14ac:dyDescent="0.3">
      <c r="A69" s="199"/>
      <c r="B69" s="38" t="s">
        <v>42</v>
      </c>
      <c r="C69" s="34">
        <f>C67*C68</f>
        <v>33000</v>
      </c>
      <c r="D69" s="34">
        <f t="shared" ref="D69:N69" si="43">D67*D68</f>
        <v>11000</v>
      </c>
      <c r="E69" s="34">
        <f t="shared" si="43"/>
        <v>33000</v>
      </c>
      <c r="F69" s="34">
        <f t="shared" si="43"/>
        <v>33000</v>
      </c>
      <c r="G69" s="34">
        <f t="shared" si="43"/>
        <v>22000</v>
      </c>
      <c r="H69" s="34">
        <f t="shared" si="43"/>
        <v>33000</v>
      </c>
      <c r="I69" s="34">
        <f t="shared" si="43"/>
        <v>22000</v>
      </c>
      <c r="J69" s="34">
        <f t="shared" si="43"/>
        <v>22000</v>
      </c>
      <c r="K69" s="34">
        <f t="shared" si="43"/>
        <v>44000</v>
      </c>
      <c r="L69" s="34">
        <f t="shared" si="43"/>
        <v>22000</v>
      </c>
      <c r="M69" s="34">
        <f t="shared" si="43"/>
        <v>44000</v>
      </c>
      <c r="N69" s="34">
        <f t="shared" si="43"/>
        <v>33000</v>
      </c>
      <c r="O69" s="39">
        <f>SUM(C69:N69)</f>
        <v>352000</v>
      </c>
      <c r="P69" s="1"/>
    </row>
    <row r="70" spans="1:16" ht="16.5" x14ac:dyDescent="0.25">
      <c r="A70" s="197" t="s">
        <v>262</v>
      </c>
      <c r="B70" s="4" t="s">
        <v>41</v>
      </c>
      <c r="C70" s="13">
        <v>30</v>
      </c>
      <c r="D70" s="13">
        <v>10</v>
      </c>
      <c r="E70" s="13">
        <v>30</v>
      </c>
      <c r="F70" s="13">
        <v>30</v>
      </c>
      <c r="G70" s="13">
        <v>20</v>
      </c>
      <c r="H70" s="13">
        <v>30</v>
      </c>
      <c r="I70" s="13">
        <v>20</v>
      </c>
      <c r="J70" s="13">
        <v>20</v>
      </c>
      <c r="K70" s="13">
        <v>40</v>
      </c>
      <c r="L70" s="13">
        <v>20</v>
      </c>
      <c r="M70" s="13">
        <v>40</v>
      </c>
      <c r="N70" s="13">
        <v>30</v>
      </c>
      <c r="O70" s="14"/>
      <c r="P70" s="1"/>
    </row>
    <row r="71" spans="1:16" ht="16.5" x14ac:dyDescent="0.25">
      <c r="A71" s="198"/>
      <c r="B71" s="4" t="s">
        <v>46</v>
      </c>
      <c r="C71" s="13">
        <f>'PROPOSED PRICING'!E25</f>
        <v>1500</v>
      </c>
      <c r="D71" s="13">
        <f>C71</f>
        <v>1500</v>
      </c>
      <c r="E71" s="13">
        <f t="shared" ref="E71:N71" si="44">D71</f>
        <v>1500</v>
      </c>
      <c r="F71" s="13">
        <f t="shared" si="44"/>
        <v>1500</v>
      </c>
      <c r="G71" s="13">
        <f t="shared" si="44"/>
        <v>1500</v>
      </c>
      <c r="H71" s="13">
        <f t="shared" si="44"/>
        <v>1500</v>
      </c>
      <c r="I71" s="13">
        <f t="shared" si="44"/>
        <v>1500</v>
      </c>
      <c r="J71" s="13">
        <f t="shared" si="44"/>
        <v>1500</v>
      </c>
      <c r="K71" s="13">
        <f t="shared" si="44"/>
        <v>1500</v>
      </c>
      <c r="L71" s="13">
        <f t="shared" si="44"/>
        <v>1500</v>
      </c>
      <c r="M71" s="13">
        <f t="shared" si="44"/>
        <v>1500</v>
      </c>
      <c r="N71" s="13">
        <f t="shared" si="44"/>
        <v>1500</v>
      </c>
      <c r="O71" s="14"/>
      <c r="P71" s="1"/>
    </row>
    <row r="72" spans="1:16" ht="17.25" thickBot="1" x14ac:dyDescent="0.3">
      <c r="A72" s="200"/>
      <c r="B72" s="5" t="s">
        <v>42</v>
      </c>
      <c r="C72" s="15">
        <f>C70*C71</f>
        <v>45000</v>
      </c>
      <c r="D72" s="15">
        <f t="shared" ref="D72:N72" si="45">D70*D71</f>
        <v>15000</v>
      </c>
      <c r="E72" s="15">
        <f t="shared" si="45"/>
        <v>45000</v>
      </c>
      <c r="F72" s="15">
        <f t="shared" si="45"/>
        <v>45000</v>
      </c>
      <c r="G72" s="15">
        <f t="shared" si="45"/>
        <v>30000</v>
      </c>
      <c r="H72" s="15">
        <f t="shared" si="45"/>
        <v>45000</v>
      </c>
      <c r="I72" s="15">
        <f t="shared" si="45"/>
        <v>30000</v>
      </c>
      <c r="J72" s="15">
        <f t="shared" si="45"/>
        <v>30000</v>
      </c>
      <c r="K72" s="15">
        <f t="shared" si="45"/>
        <v>60000</v>
      </c>
      <c r="L72" s="15">
        <f t="shared" si="45"/>
        <v>30000</v>
      </c>
      <c r="M72" s="15">
        <f t="shared" si="45"/>
        <v>60000</v>
      </c>
      <c r="N72" s="15">
        <f t="shared" si="45"/>
        <v>45000</v>
      </c>
      <c r="O72" s="12">
        <f>SUM(C72:N72)</f>
        <v>480000</v>
      </c>
      <c r="P72" s="1"/>
    </row>
    <row r="73" spans="1:16" ht="16.5" x14ac:dyDescent="0.25">
      <c r="A73" s="197" t="s">
        <v>230</v>
      </c>
      <c r="B73" s="4" t="s">
        <v>41</v>
      </c>
      <c r="C73" s="13">
        <v>30</v>
      </c>
      <c r="D73" s="13">
        <v>10</v>
      </c>
      <c r="E73" s="13">
        <v>30</v>
      </c>
      <c r="F73" s="13">
        <v>30</v>
      </c>
      <c r="G73" s="13">
        <v>20</v>
      </c>
      <c r="H73" s="13">
        <v>30</v>
      </c>
      <c r="I73" s="13">
        <v>20</v>
      </c>
      <c r="J73" s="13">
        <v>20</v>
      </c>
      <c r="K73" s="13">
        <v>40</v>
      </c>
      <c r="L73" s="13">
        <v>20</v>
      </c>
      <c r="M73" s="13">
        <v>40</v>
      </c>
      <c r="N73" s="13">
        <v>30</v>
      </c>
      <c r="O73" s="11"/>
      <c r="P73" s="1"/>
    </row>
    <row r="74" spans="1:16" ht="16.5" x14ac:dyDescent="0.25">
      <c r="A74" s="198"/>
      <c r="B74" s="4" t="s">
        <v>46</v>
      </c>
      <c r="C74" s="13">
        <f>'PROPOSED PRICING'!E26</f>
        <v>500</v>
      </c>
      <c r="D74" s="13">
        <f>C74</f>
        <v>500</v>
      </c>
      <c r="E74" s="13">
        <f t="shared" ref="E74:N74" si="46">D74</f>
        <v>500</v>
      </c>
      <c r="F74" s="13">
        <f t="shared" si="46"/>
        <v>500</v>
      </c>
      <c r="G74" s="13">
        <f t="shared" si="46"/>
        <v>500</v>
      </c>
      <c r="H74" s="13">
        <f t="shared" si="46"/>
        <v>500</v>
      </c>
      <c r="I74" s="13">
        <f t="shared" si="46"/>
        <v>500</v>
      </c>
      <c r="J74" s="13">
        <f t="shared" si="46"/>
        <v>500</v>
      </c>
      <c r="K74" s="13">
        <f t="shared" si="46"/>
        <v>500</v>
      </c>
      <c r="L74" s="13">
        <f t="shared" si="46"/>
        <v>500</v>
      </c>
      <c r="M74" s="13">
        <f t="shared" si="46"/>
        <v>500</v>
      </c>
      <c r="N74" s="13">
        <f t="shared" si="46"/>
        <v>500</v>
      </c>
      <c r="O74" s="11"/>
      <c r="P74" s="1"/>
    </row>
    <row r="75" spans="1:16" ht="17.25" thickBot="1" x14ac:dyDescent="0.3">
      <c r="A75" s="199"/>
      <c r="B75" s="5" t="s">
        <v>42</v>
      </c>
      <c r="C75" s="15">
        <f>C73*C74</f>
        <v>15000</v>
      </c>
      <c r="D75" s="15">
        <f t="shared" ref="D75:N75" si="47">D73*D74</f>
        <v>5000</v>
      </c>
      <c r="E75" s="15">
        <f t="shared" si="47"/>
        <v>15000</v>
      </c>
      <c r="F75" s="15">
        <f t="shared" si="47"/>
        <v>15000</v>
      </c>
      <c r="G75" s="15">
        <f t="shared" si="47"/>
        <v>10000</v>
      </c>
      <c r="H75" s="15">
        <f t="shared" si="47"/>
        <v>15000</v>
      </c>
      <c r="I75" s="15">
        <f t="shared" si="47"/>
        <v>10000</v>
      </c>
      <c r="J75" s="15">
        <f t="shared" si="47"/>
        <v>10000</v>
      </c>
      <c r="K75" s="15">
        <f t="shared" si="47"/>
        <v>20000</v>
      </c>
      <c r="L75" s="15">
        <f t="shared" si="47"/>
        <v>10000</v>
      </c>
      <c r="M75" s="15">
        <f t="shared" si="47"/>
        <v>20000</v>
      </c>
      <c r="N75" s="15">
        <f t="shared" si="47"/>
        <v>15000</v>
      </c>
      <c r="O75" s="12">
        <f>SUM(C75:N75)</f>
        <v>160000</v>
      </c>
      <c r="P75" s="1"/>
    </row>
    <row r="76" spans="1:16" ht="16.5" x14ac:dyDescent="0.25">
      <c r="A76" s="197" t="s">
        <v>263</v>
      </c>
      <c r="B76" s="8" t="s">
        <v>41</v>
      </c>
      <c r="C76" s="10">
        <v>30</v>
      </c>
      <c r="D76" s="10">
        <v>10</v>
      </c>
      <c r="E76" s="10">
        <v>30</v>
      </c>
      <c r="F76" s="10">
        <v>30</v>
      </c>
      <c r="G76" s="10">
        <v>20</v>
      </c>
      <c r="H76" s="10">
        <v>30</v>
      </c>
      <c r="I76" s="10">
        <v>20</v>
      </c>
      <c r="J76" s="10">
        <v>20</v>
      </c>
      <c r="K76" s="10">
        <v>40</v>
      </c>
      <c r="L76" s="10">
        <v>20</v>
      </c>
      <c r="M76" s="10">
        <v>40</v>
      </c>
      <c r="N76" s="10">
        <v>30</v>
      </c>
      <c r="O76" s="11"/>
      <c r="P76" s="1"/>
    </row>
    <row r="77" spans="1:16" ht="16.5" x14ac:dyDescent="0.25">
      <c r="A77" s="198"/>
      <c r="B77" s="8" t="s">
        <v>46</v>
      </c>
      <c r="C77" s="10">
        <f>'PROPOSED PRICING'!E27</f>
        <v>1000</v>
      </c>
      <c r="D77" s="13">
        <f>C77</f>
        <v>1000</v>
      </c>
      <c r="E77" s="13">
        <f t="shared" ref="E77:N77" si="48">D77</f>
        <v>1000</v>
      </c>
      <c r="F77" s="13">
        <f t="shared" si="48"/>
        <v>1000</v>
      </c>
      <c r="G77" s="13">
        <f t="shared" si="48"/>
        <v>1000</v>
      </c>
      <c r="H77" s="13">
        <f t="shared" si="48"/>
        <v>1000</v>
      </c>
      <c r="I77" s="13">
        <f t="shared" si="48"/>
        <v>1000</v>
      </c>
      <c r="J77" s="13">
        <f t="shared" si="48"/>
        <v>1000</v>
      </c>
      <c r="K77" s="13">
        <f t="shared" si="48"/>
        <v>1000</v>
      </c>
      <c r="L77" s="13">
        <f t="shared" si="48"/>
        <v>1000</v>
      </c>
      <c r="M77" s="13">
        <f t="shared" si="48"/>
        <v>1000</v>
      </c>
      <c r="N77" s="13">
        <f t="shared" si="48"/>
        <v>1000</v>
      </c>
      <c r="O77" s="11"/>
      <c r="P77" s="1"/>
    </row>
    <row r="78" spans="1:16" ht="17.25" thickBot="1" x14ac:dyDescent="0.3">
      <c r="A78" s="199"/>
      <c r="B78" s="5" t="s">
        <v>42</v>
      </c>
      <c r="C78" s="12">
        <f>C76*C77</f>
        <v>30000</v>
      </c>
      <c r="D78" s="12">
        <f t="shared" ref="D78:N78" si="49">D76*D77</f>
        <v>10000</v>
      </c>
      <c r="E78" s="12">
        <f t="shared" si="49"/>
        <v>30000</v>
      </c>
      <c r="F78" s="12">
        <f t="shared" si="49"/>
        <v>30000</v>
      </c>
      <c r="G78" s="12">
        <f t="shared" si="49"/>
        <v>20000</v>
      </c>
      <c r="H78" s="12">
        <f t="shared" si="49"/>
        <v>30000</v>
      </c>
      <c r="I78" s="12">
        <f t="shared" si="49"/>
        <v>20000</v>
      </c>
      <c r="J78" s="12">
        <f t="shared" si="49"/>
        <v>20000</v>
      </c>
      <c r="K78" s="12">
        <f t="shared" si="49"/>
        <v>40000</v>
      </c>
      <c r="L78" s="12">
        <f t="shared" si="49"/>
        <v>20000</v>
      </c>
      <c r="M78" s="12">
        <f t="shared" si="49"/>
        <v>40000</v>
      </c>
      <c r="N78" s="12">
        <f t="shared" si="49"/>
        <v>30000</v>
      </c>
      <c r="O78" s="12">
        <f>SUM(C78:N78)</f>
        <v>320000</v>
      </c>
      <c r="P78" s="1"/>
    </row>
    <row r="79" spans="1:16" ht="16.5" x14ac:dyDescent="0.25">
      <c r="A79" s="197" t="s">
        <v>231</v>
      </c>
      <c r="B79" s="35" t="s">
        <v>41</v>
      </c>
      <c r="C79" s="36">
        <v>10</v>
      </c>
      <c r="D79" s="36">
        <v>10</v>
      </c>
      <c r="E79" s="36">
        <v>10</v>
      </c>
      <c r="F79" s="36">
        <v>10</v>
      </c>
      <c r="G79" s="36">
        <v>10</v>
      </c>
      <c r="H79" s="36">
        <v>10</v>
      </c>
      <c r="I79" s="36">
        <v>10</v>
      </c>
      <c r="J79" s="36">
        <v>10</v>
      </c>
      <c r="K79" s="36">
        <v>10</v>
      </c>
      <c r="L79" s="36">
        <v>10</v>
      </c>
      <c r="M79" s="36">
        <v>10</v>
      </c>
      <c r="N79" s="36">
        <v>10</v>
      </c>
      <c r="O79" s="37"/>
      <c r="P79" s="1"/>
    </row>
    <row r="80" spans="1:16" ht="16.5" x14ac:dyDescent="0.25">
      <c r="A80" s="198"/>
      <c r="B80" s="4" t="s">
        <v>46</v>
      </c>
      <c r="C80" s="13">
        <f>'PROPOSED PRICING'!E28</f>
        <v>3800</v>
      </c>
      <c r="D80" s="13">
        <f>C80</f>
        <v>3800</v>
      </c>
      <c r="E80" s="13">
        <f t="shared" ref="E80:N80" si="50">D80</f>
        <v>3800</v>
      </c>
      <c r="F80" s="13">
        <f t="shared" si="50"/>
        <v>3800</v>
      </c>
      <c r="G80" s="13">
        <f t="shared" si="50"/>
        <v>3800</v>
      </c>
      <c r="H80" s="13">
        <f t="shared" si="50"/>
        <v>3800</v>
      </c>
      <c r="I80" s="13">
        <f t="shared" si="50"/>
        <v>3800</v>
      </c>
      <c r="J80" s="13">
        <f t="shared" si="50"/>
        <v>3800</v>
      </c>
      <c r="K80" s="13">
        <f t="shared" si="50"/>
        <v>3800</v>
      </c>
      <c r="L80" s="13">
        <f t="shared" si="50"/>
        <v>3800</v>
      </c>
      <c r="M80" s="13">
        <f t="shared" si="50"/>
        <v>3800</v>
      </c>
      <c r="N80" s="13">
        <f t="shared" si="50"/>
        <v>3800</v>
      </c>
      <c r="O80" s="11"/>
      <c r="P80" s="1"/>
    </row>
    <row r="81" spans="1:16" ht="17.25" thickBot="1" x14ac:dyDescent="0.3">
      <c r="A81" s="200"/>
      <c r="B81" s="38" t="s">
        <v>42</v>
      </c>
      <c r="C81" s="34">
        <f>C79*C80</f>
        <v>38000</v>
      </c>
      <c r="D81" s="34">
        <f t="shared" ref="D81:N81" si="51">D79*D80</f>
        <v>38000</v>
      </c>
      <c r="E81" s="34">
        <f t="shared" si="51"/>
        <v>38000</v>
      </c>
      <c r="F81" s="34">
        <f t="shared" si="51"/>
        <v>38000</v>
      </c>
      <c r="G81" s="34">
        <f t="shared" si="51"/>
        <v>38000</v>
      </c>
      <c r="H81" s="34">
        <f t="shared" si="51"/>
        <v>38000</v>
      </c>
      <c r="I81" s="34">
        <f t="shared" si="51"/>
        <v>38000</v>
      </c>
      <c r="J81" s="34">
        <f t="shared" si="51"/>
        <v>38000</v>
      </c>
      <c r="K81" s="34">
        <f t="shared" si="51"/>
        <v>38000</v>
      </c>
      <c r="L81" s="34">
        <f t="shared" si="51"/>
        <v>38000</v>
      </c>
      <c r="M81" s="34">
        <f t="shared" si="51"/>
        <v>38000</v>
      </c>
      <c r="N81" s="34">
        <f t="shared" si="51"/>
        <v>38000</v>
      </c>
      <c r="O81" s="39">
        <f>SUM(C81:N81)</f>
        <v>456000</v>
      </c>
      <c r="P81" s="1"/>
    </row>
    <row r="82" spans="1:16" ht="16.5" x14ac:dyDescent="0.25">
      <c r="A82" s="197" t="s">
        <v>235</v>
      </c>
      <c r="B82" s="4" t="s">
        <v>41</v>
      </c>
      <c r="C82" s="13">
        <v>30</v>
      </c>
      <c r="D82" s="13">
        <v>10</v>
      </c>
      <c r="E82" s="13">
        <v>30</v>
      </c>
      <c r="F82" s="13">
        <v>30</v>
      </c>
      <c r="G82" s="13">
        <v>20</v>
      </c>
      <c r="H82" s="13">
        <v>30</v>
      </c>
      <c r="I82" s="13">
        <v>20</v>
      </c>
      <c r="J82" s="13">
        <v>20</v>
      </c>
      <c r="K82" s="13">
        <v>40</v>
      </c>
      <c r="L82" s="13">
        <v>20</v>
      </c>
      <c r="M82" s="13">
        <v>40</v>
      </c>
      <c r="N82" s="13">
        <v>30</v>
      </c>
      <c r="O82" s="14"/>
      <c r="P82" s="1"/>
    </row>
    <row r="83" spans="1:16" ht="16.5" x14ac:dyDescent="0.25">
      <c r="A83" s="198"/>
      <c r="B83" s="4" t="s">
        <v>46</v>
      </c>
      <c r="C83" s="13">
        <f>'PROPOSED PRICING'!E29</f>
        <v>350</v>
      </c>
      <c r="D83" s="13">
        <f>C83</f>
        <v>350</v>
      </c>
      <c r="E83" s="13">
        <f t="shared" ref="E83:N83" si="52">D83</f>
        <v>350</v>
      </c>
      <c r="F83" s="13">
        <f t="shared" si="52"/>
        <v>350</v>
      </c>
      <c r="G83" s="13">
        <f t="shared" si="52"/>
        <v>350</v>
      </c>
      <c r="H83" s="13">
        <f t="shared" si="52"/>
        <v>350</v>
      </c>
      <c r="I83" s="13">
        <f t="shared" si="52"/>
        <v>350</v>
      </c>
      <c r="J83" s="13">
        <f t="shared" si="52"/>
        <v>350</v>
      </c>
      <c r="K83" s="13">
        <f t="shared" si="52"/>
        <v>350</v>
      </c>
      <c r="L83" s="13">
        <f t="shared" si="52"/>
        <v>350</v>
      </c>
      <c r="M83" s="13">
        <f t="shared" si="52"/>
        <v>350</v>
      </c>
      <c r="N83" s="13">
        <f t="shared" si="52"/>
        <v>350</v>
      </c>
      <c r="O83" s="14"/>
      <c r="P83" s="1"/>
    </row>
    <row r="84" spans="1:16" ht="17.25" thickBot="1" x14ac:dyDescent="0.3">
      <c r="A84" s="199"/>
      <c r="B84" s="5" t="s">
        <v>42</v>
      </c>
      <c r="C84" s="15">
        <f>C82*C83</f>
        <v>10500</v>
      </c>
      <c r="D84" s="15">
        <f t="shared" ref="D84:N84" si="53">D82*D83</f>
        <v>3500</v>
      </c>
      <c r="E84" s="15">
        <f t="shared" si="53"/>
        <v>10500</v>
      </c>
      <c r="F84" s="15">
        <f t="shared" si="53"/>
        <v>10500</v>
      </c>
      <c r="G84" s="15">
        <f t="shared" si="53"/>
        <v>7000</v>
      </c>
      <c r="H84" s="15">
        <f t="shared" si="53"/>
        <v>10500</v>
      </c>
      <c r="I84" s="15">
        <f t="shared" si="53"/>
        <v>7000</v>
      </c>
      <c r="J84" s="15">
        <f t="shared" si="53"/>
        <v>7000</v>
      </c>
      <c r="K84" s="15">
        <f t="shared" si="53"/>
        <v>14000</v>
      </c>
      <c r="L84" s="15">
        <f t="shared" si="53"/>
        <v>7000</v>
      </c>
      <c r="M84" s="15">
        <f t="shared" si="53"/>
        <v>14000</v>
      </c>
      <c r="N84" s="15">
        <f t="shared" si="53"/>
        <v>10500</v>
      </c>
      <c r="O84" s="12">
        <f>SUM(C84:N84)</f>
        <v>112000</v>
      </c>
      <c r="P84" s="1"/>
    </row>
    <row r="85" spans="1:16" ht="16.5" x14ac:dyDescent="0.25">
      <c r="A85" s="197" t="s">
        <v>264</v>
      </c>
      <c r="B85" s="4" t="s">
        <v>41</v>
      </c>
      <c r="C85" s="13">
        <v>3</v>
      </c>
      <c r="D85" s="13">
        <v>1</v>
      </c>
      <c r="E85" s="13">
        <v>3</v>
      </c>
      <c r="F85" s="13">
        <v>3</v>
      </c>
      <c r="G85" s="13">
        <v>6</v>
      </c>
      <c r="H85" s="13">
        <v>6</v>
      </c>
      <c r="I85" s="13">
        <v>6</v>
      </c>
      <c r="J85" s="13">
        <v>6</v>
      </c>
      <c r="K85" s="13">
        <v>9</v>
      </c>
      <c r="L85" s="13">
        <v>9</v>
      </c>
      <c r="M85" s="13">
        <v>9</v>
      </c>
      <c r="N85" s="13">
        <v>9</v>
      </c>
      <c r="O85" s="11"/>
      <c r="P85" s="1"/>
    </row>
    <row r="86" spans="1:16" ht="16.5" x14ac:dyDescent="0.25">
      <c r="A86" s="198"/>
      <c r="B86" s="4" t="s">
        <v>46</v>
      </c>
      <c r="C86" s="13">
        <f>'PROPOSED PRICING'!E30</f>
        <v>2766.6666666666665</v>
      </c>
      <c r="D86" s="13">
        <f>C86</f>
        <v>2766.6666666666665</v>
      </c>
      <c r="E86" s="13">
        <f t="shared" ref="E86:N86" si="54">D86</f>
        <v>2766.6666666666665</v>
      </c>
      <c r="F86" s="13">
        <f t="shared" si="54"/>
        <v>2766.6666666666665</v>
      </c>
      <c r="G86" s="13">
        <f t="shared" si="54"/>
        <v>2766.6666666666665</v>
      </c>
      <c r="H86" s="13">
        <f t="shared" si="54"/>
        <v>2766.6666666666665</v>
      </c>
      <c r="I86" s="13">
        <f t="shared" si="54"/>
        <v>2766.6666666666665</v>
      </c>
      <c r="J86" s="13">
        <f t="shared" si="54"/>
        <v>2766.6666666666665</v>
      </c>
      <c r="K86" s="13">
        <f t="shared" si="54"/>
        <v>2766.6666666666665</v>
      </c>
      <c r="L86" s="13">
        <f t="shared" si="54"/>
        <v>2766.6666666666665</v>
      </c>
      <c r="M86" s="13">
        <f t="shared" si="54"/>
        <v>2766.6666666666665</v>
      </c>
      <c r="N86" s="13">
        <f t="shared" si="54"/>
        <v>2766.6666666666665</v>
      </c>
      <c r="O86" s="11"/>
      <c r="P86" s="1"/>
    </row>
    <row r="87" spans="1:16" ht="17.25" thickBot="1" x14ac:dyDescent="0.3">
      <c r="A87" s="199"/>
      <c r="B87" s="5" t="s">
        <v>42</v>
      </c>
      <c r="C87" s="15">
        <f>C85*C86</f>
        <v>8300</v>
      </c>
      <c r="D87" s="15">
        <f t="shared" ref="D87:N87" si="55">D85*D86</f>
        <v>2766.6666666666665</v>
      </c>
      <c r="E87" s="15">
        <f t="shared" si="55"/>
        <v>8300</v>
      </c>
      <c r="F87" s="15">
        <f t="shared" si="55"/>
        <v>8300</v>
      </c>
      <c r="G87" s="15">
        <f t="shared" si="55"/>
        <v>16600</v>
      </c>
      <c r="H87" s="15">
        <f t="shared" si="55"/>
        <v>16600</v>
      </c>
      <c r="I87" s="15">
        <f t="shared" si="55"/>
        <v>16600</v>
      </c>
      <c r="J87" s="15">
        <f t="shared" si="55"/>
        <v>16600</v>
      </c>
      <c r="K87" s="15">
        <f t="shared" si="55"/>
        <v>24900</v>
      </c>
      <c r="L87" s="15">
        <f t="shared" si="55"/>
        <v>24900</v>
      </c>
      <c r="M87" s="15">
        <f t="shared" si="55"/>
        <v>24900</v>
      </c>
      <c r="N87" s="15">
        <f t="shared" si="55"/>
        <v>24900</v>
      </c>
      <c r="O87" s="12">
        <f>SUM(C87:N87)</f>
        <v>193666.66666666666</v>
      </c>
      <c r="P87" s="1"/>
    </row>
    <row r="88" spans="1:16" ht="16.5" x14ac:dyDescent="0.25">
      <c r="A88" s="197" t="s">
        <v>265</v>
      </c>
      <c r="B88" s="8" t="s">
        <v>41</v>
      </c>
      <c r="C88" s="10">
        <v>3</v>
      </c>
      <c r="D88" s="10">
        <v>1</v>
      </c>
      <c r="E88" s="10">
        <v>3</v>
      </c>
      <c r="F88" s="10">
        <v>3</v>
      </c>
      <c r="G88" s="10">
        <v>6</v>
      </c>
      <c r="H88" s="10">
        <v>6</v>
      </c>
      <c r="I88" s="10">
        <v>6</v>
      </c>
      <c r="J88" s="10">
        <v>6</v>
      </c>
      <c r="K88" s="10">
        <v>6</v>
      </c>
      <c r="L88" s="10">
        <v>6</v>
      </c>
      <c r="M88" s="10">
        <v>6</v>
      </c>
      <c r="N88" s="10">
        <v>6</v>
      </c>
      <c r="O88" s="11"/>
      <c r="P88" s="1"/>
    </row>
    <row r="89" spans="1:16" ht="16.5" x14ac:dyDescent="0.25">
      <c r="A89" s="198"/>
      <c r="B89" s="8" t="s">
        <v>46</v>
      </c>
      <c r="C89" s="10">
        <f>'PROPOSED PRICING'!E31</f>
        <v>5733.333333333333</v>
      </c>
      <c r="D89" s="13">
        <f>C89</f>
        <v>5733.333333333333</v>
      </c>
      <c r="E89" s="13">
        <f t="shared" ref="E89:N89" si="56">D89</f>
        <v>5733.333333333333</v>
      </c>
      <c r="F89" s="13">
        <f t="shared" si="56"/>
        <v>5733.333333333333</v>
      </c>
      <c r="G89" s="13">
        <f t="shared" si="56"/>
        <v>5733.333333333333</v>
      </c>
      <c r="H89" s="13">
        <f t="shared" si="56"/>
        <v>5733.333333333333</v>
      </c>
      <c r="I89" s="13">
        <f t="shared" si="56"/>
        <v>5733.333333333333</v>
      </c>
      <c r="J89" s="13">
        <f t="shared" si="56"/>
        <v>5733.333333333333</v>
      </c>
      <c r="K89" s="13">
        <f t="shared" si="56"/>
        <v>5733.333333333333</v>
      </c>
      <c r="L89" s="13">
        <f t="shared" si="56"/>
        <v>5733.333333333333</v>
      </c>
      <c r="M89" s="13">
        <f t="shared" si="56"/>
        <v>5733.333333333333</v>
      </c>
      <c r="N89" s="13">
        <f t="shared" si="56"/>
        <v>5733.333333333333</v>
      </c>
      <c r="O89" s="11"/>
      <c r="P89" s="1"/>
    </row>
    <row r="90" spans="1:16" ht="17.25" thickBot="1" x14ac:dyDescent="0.3">
      <c r="A90" s="200"/>
      <c r="B90" s="5" t="s">
        <v>42</v>
      </c>
      <c r="C90" s="12">
        <f>C88*C89</f>
        <v>17200</v>
      </c>
      <c r="D90" s="12">
        <f t="shared" ref="D90:N90" si="57">D88*D89</f>
        <v>5733.333333333333</v>
      </c>
      <c r="E90" s="12">
        <f t="shared" si="57"/>
        <v>17200</v>
      </c>
      <c r="F90" s="12">
        <f t="shared" si="57"/>
        <v>17200</v>
      </c>
      <c r="G90" s="12">
        <f t="shared" si="57"/>
        <v>34400</v>
      </c>
      <c r="H90" s="12">
        <f t="shared" si="57"/>
        <v>34400</v>
      </c>
      <c r="I90" s="12">
        <f t="shared" si="57"/>
        <v>34400</v>
      </c>
      <c r="J90" s="12">
        <f t="shared" si="57"/>
        <v>34400</v>
      </c>
      <c r="K90" s="12">
        <f t="shared" si="57"/>
        <v>34400</v>
      </c>
      <c r="L90" s="12">
        <f t="shared" si="57"/>
        <v>34400</v>
      </c>
      <c r="M90" s="12">
        <f t="shared" si="57"/>
        <v>34400</v>
      </c>
      <c r="N90" s="12">
        <f t="shared" si="57"/>
        <v>34400</v>
      </c>
      <c r="O90" s="12">
        <f>SUM(C90:N90)</f>
        <v>332533.33333333331</v>
      </c>
      <c r="P90" s="1"/>
    </row>
    <row r="91" spans="1:16" ht="16.5" x14ac:dyDescent="0.25">
      <c r="A91" s="197" t="s">
        <v>252</v>
      </c>
      <c r="B91" s="35" t="s">
        <v>41</v>
      </c>
      <c r="C91" s="36">
        <v>9</v>
      </c>
      <c r="D91" s="36">
        <v>3</v>
      </c>
      <c r="E91" s="36">
        <v>9</v>
      </c>
      <c r="F91" s="36">
        <v>9</v>
      </c>
      <c r="G91" s="36">
        <v>6</v>
      </c>
      <c r="H91" s="36">
        <v>6</v>
      </c>
      <c r="I91" s="36">
        <v>9</v>
      </c>
      <c r="J91" s="36">
        <v>6</v>
      </c>
      <c r="K91" s="36">
        <v>9</v>
      </c>
      <c r="L91" s="36">
        <v>6</v>
      </c>
      <c r="M91" s="36">
        <v>9</v>
      </c>
      <c r="N91" s="36">
        <v>9</v>
      </c>
      <c r="O91" s="37"/>
      <c r="P91" s="1"/>
    </row>
    <row r="92" spans="1:16" ht="16.5" x14ac:dyDescent="0.25">
      <c r="A92" s="198"/>
      <c r="B92" s="4" t="s">
        <v>46</v>
      </c>
      <c r="C92" s="13">
        <f>'PROPOSED PRICING'!E32</f>
        <v>3000</v>
      </c>
      <c r="D92" s="13">
        <f>C92</f>
        <v>3000</v>
      </c>
      <c r="E92" s="13">
        <f t="shared" ref="E92:N92" si="58">D92</f>
        <v>3000</v>
      </c>
      <c r="F92" s="13">
        <f t="shared" si="58"/>
        <v>3000</v>
      </c>
      <c r="G92" s="13">
        <f t="shared" si="58"/>
        <v>3000</v>
      </c>
      <c r="H92" s="13">
        <f t="shared" si="58"/>
        <v>3000</v>
      </c>
      <c r="I92" s="13">
        <f t="shared" si="58"/>
        <v>3000</v>
      </c>
      <c r="J92" s="13">
        <f t="shared" si="58"/>
        <v>3000</v>
      </c>
      <c r="K92" s="13">
        <f t="shared" si="58"/>
        <v>3000</v>
      </c>
      <c r="L92" s="13">
        <f t="shared" si="58"/>
        <v>3000</v>
      </c>
      <c r="M92" s="13">
        <f t="shared" si="58"/>
        <v>3000</v>
      </c>
      <c r="N92" s="13">
        <f t="shared" si="58"/>
        <v>3000</v>
      </c>
      <c r="O92" s="11"/>
      <c r="P92" s="1"/>
    </row>
    <row r="93" spans="1:16" ht="17.25" thickBot="1" x14ac:dyDescent="0.3">
      <c r="A93" s="199"/>
      <c r="B93" s="38" t="s">
        <v>42</v>
      </c>
      <c r="C93" s="34">
        <f>C91*C92</f>
        <v>27000</v>
      </c>
      <c r="D93" s="34">
        <f t="shared" ref="D93:N93" si="59">D91*D92</f>
        <v>9000</v>
      </c>
      <c r="E93" s="34">
        <f t="shared" si="59"/>
        <v>27000</v>
      </c>
      <c r="F93" s="34">
        <f t="shared" si="59"/>
        <v>27000</v>
      </c>
      <c r="G93" s="34">
        <f t="shared" si="59"/>
        <v>18000</v>
      </c>
      <c r="H93" s="34">
        <f t="shared" si="59"/>
        <v>18000</v>
      </c>
      <c r="I93" s="34">
        <f t="shared" si="59"/>
        <v>27000</v>
      </c>
      <c r="J93" s="34">
        <f t="shared" si="59"/>
        <v>18000</v>
      </c>
      <c r="K93" s="34">
        <f t="shared" si="59"/>
        <v>27000</v>
      </c>
      <c r="L93" s="34">
        <f t="shared" si="59"/>
        <v>18000</v>
      </c>
      <c r="M93" s="34">
        <f t="shared" si="59"/>
        <v>27000</v>
      </c>
      <c r="N93" s="34">
        <f t="shared" si="59"/>
        <v>27000</v>
      </c>
      <c r="O93" s="39">
        <f>SUM(C93:N93)</f>
        <v>270000</v>
      </c>
      <c r="P93" s="1"/>
    </row>
    <row r="94" spans="1:16" ht="17.25" thickBot="1" x14ac:dyDescent="0.3">
      <c r="A94" s="195" t="s">
        <v>143</v>
      </c>
      <c r="B94" s="196"/>
      <c r="C94" s="16">
        <f>C6+C9+C12+C15+C18+C21+C24+C27+C30+C33+C36+C39+C42+C45+C48+C51+C54+C57+C60+C63+C66+C69+C72+C75+C78+C81+C84+C87+C90+C93</f>
        <v>1269550</v>
      </c>
      <c r="D94" s="16">
        <f t="shared" ref="D94:O94" si="60">D6+D9+D12+D15+D18+D21+D24+D27+D30+D33+D36+D39+D42+D45+D48+D51+D54+D57+D60+D63+D66+D69+D72+D75+D78+D81+D84+D87+D90+D93</f>
        <v>804950</v>
      </c>
      <c r="E94" s="16">
        <f t="shared" si="60"/>
        <v>1269550</v>
      </c>
      <c r="F94" s="16">
        <f t="shared" si="60"/>
        <v>1269550</v>
      </c>
      <c r="G94" s="16">
        <f t="shared" si="60"/>
        <v>1212900</v>
      </c>
      <c r="H94" s="16">
        <f t="shared" si="60"/>
        <v>1428550</v>
      </c>
      <c r="I94" s="16">
        <f t="shared" si="60"/>
        <v>1221900</v>
      </c>
      <c r="J94" s="16">
        <f t="shared" si="60"/>
        <v>1212900</v>
      </c>
      <c r="K94" s="16">
        <f t="shared" si="60"/>
        <v>1598300</v>
      </c>
      <c r="L94" s="16">
        <f t="shared" si="60"/>
        <v>1221200</v>
      </c>
      <c r="M94" s="16">
        <f t="shared" si="60"/>
        <v>1598300</v>
      </c>
      <c r="N94" s="16">
        <f t="shared" si="60"/>
        <v>1389850</v>
      </c>
      <c r="O94" s="16">
        <f t="shared" si="60"/>
        <v>15497500</v>
      </c>
      <c r="P94" s="1"/>
    </row>
    <row r="95" spans="1:1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6"/>
      <c r="P95" s="1"/>
    </row>
    <row r="96" spans="1:16" x14ac:dyDescent="0.25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"/>
    </row>
    <row r="97" spans="1:16" ht="23.25" x14ac:dyDescent="0.35">
      <c r="A97" s="121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"/>
    </row>
    <row r="98" spans="1:16" ht="15.75" x14ac:dyDescent="0.25">
      <c r="A98" s="122"/>
      <c r="B98" s="122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2"/>
      <c r="P98" s="1"/>
    </row>
    <row r="99" spans="1:16" ht="16.5" x14ac:dyDescent="0.25">
      <c r="A99" s="194"/>
      <c r="B99" s="124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"/>
    </row>
    <row r="100" spans="1:16" ht="16.5" x14ac:dyDescent="0.25">
      <c r="A100" s="194"/>
      <c r="B100" s="124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"/>
    </row>
    <row r="101" spans="1:16" ht="16.5" x14ac:dyDescent="0.25">
      <c r="A101" s="194"/>
      <c r="B101" s="124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"/>
    </row>
    <row r="102" spans="1:16" ht="16.5" x14ac:dyDescent="0.25">
      <c r="A102" s="192"/>
      <c r="B102" s="124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"/>
    </row>
    <row r="103" spans="1:16" ht="16.5" x14ac:dyDescent="0.25">
      <c r="A103" s="192"/>
      <c r="B103" s="124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"/>
    </row>
    <row r="104" spans="1:16" ht="16.5" x14ac:dyDescent="0.25">
      <c r="A104" s="192"/>
      <c r="B104" s="124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"/>
    </row>
    <row r="105" spans="1:16" ht="16.5" x14ac:dyDescent="0.25">
      <c r="A105" s="192"/>
      <c r="B105" s="124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"/>
    </row>
    <row r="106" spans="1:16" ht="16.5" x14ac:dyDescent="0.25">
      <c r="A106" s="192"/>
      <c r="B106" s="124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"/>
    </row>
    <row r="107" spans="1:16" ht="16.5" x14ac:dyDescent="0.25">
      <c r="A107" s="192"/>
      <c r="B107" s="124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"/>
    </row>
    <row r="108" spans="1:16" ht="16.5" x14ac:dyDescent="0.25">
      <c r="A108" s="192"/>
      <c r="B108" s="124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19"/>
      <c r="P108" s="1"/>
    </row>
    <row r="109" spans="1:16" ht="16.5" x14ac:dyDescent="0.25">
      <c r="A109" s="192"/>
      <c r="B109" s="124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"/>
    </row>
    <row r="110" spans="1:16" ht="16.5" x14ac:dyDescent="0.25">
      <c r="A110" s="192"/>
      <c r="B110" s="124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"/>
    </row>
    <row r="111" spans="1:16" ht="16.5" x14ac:dyDescent="0.25">
      <c r="A111" s="194"/>
      <c r="B111" s="124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"/>
    </row>
    <row r="112" spans="1:16" ht="16.5" x14ac:dyDescent="0.25">
      <c r="A112" s="194"/>
      <c r="B112" s="124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"/>
    </row>
    <row r="113" spans="1:16" ht="16.5" x14ac:dyDescent="0.25">
      <c r="A113" s="194"/>
      <c r="B113" s="124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"/>
    </row>
    <row r="114" spans="1:16" ht="16.5" x14ac:dyDescent="0.25">
      <c r="A114" s="192"/>
      <c r="B114" s="124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"/>
    </row>
    <row r="115" spans="1:16" ht="16.5" x14ac:dyDescent="0.25">
      <c r="A115" s="192"/>
      <c r="B115" s="124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"/>
    </row>
    <row r="116" spans="1:16" ht="16.5" x14ac:dyDescent="0.25">
      <c r="A116" s="192"/>
      <c r="B116" s="124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"/>
    </row>
    <row r="117" spans="1:16" ht="16.5" x14ac:dyDescent="0.25">
      <c r="A117" s="192"/>
      <c r="B117" s="124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"/>
    </row>
    <row r="118" spans="1:16" ht="16.5" x14ac:dyDescent="0.25">
      <c r="A118" s="192"/>
      <c r="B118" s="124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"/>
    </row>
    <row r="119" spans="1:16" ht="16.5" x14ac:dyDescent="0.25">
      <c r="A119" s="192"/>
      <c r="B119" s="124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"/>
    </row>
    <row r="120" spans="1:16" ht="16.5" x14ac:dyDescent="0.25">
      <c r="A120" s="192"/>
      <c r="B120" s="124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19"/>
      <c r="P120" s="1"/>
    </row>
    <row r="121" spans="1:16" ht="16.5" x14ac:dyDescent="0.25">
      <c r="A121" s="192"/>
      <c r="B121" s="124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"/>
    </row>
    <row r="122" spans="1:16" ht="16.5" x14ac:dyDescent="0.25">
      <c r="A122" s="192"/>
      <c r="B122" s="124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"/>
    </row>
    <row r="123" spans="1:16" ht="16.5" x14ac:dyDescent="0.25">
      <c r="A123" s="194"/>
      <c r="B123" s="124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"/>
    </row>
    <row r="124" spans="1:16" ht="16.5" x14ac:dyDescent="0.25">
      <c r="A124" s="194"/>
      <c r="B124" s="124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"/>
    </row>
    <row r="125" spans="1:16" ht="16.5" x14ac:dyDescent="0.25">
      <c r="A125" s="194"/>
      <c r="B125" s="124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"/>
    </row>
    <row r="126" spans="1:16" ht="16.5" x14ac:dyDescent="0.25">
      <c r="A126" s="192"/>
      <c r="B126" s="124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"/>
    </row>
    <row r="127" spans="1:16" ht="16.5" x14ac:dyDescent="0.25">
      <c r="A127" s="192"/>
      <c r="B127" s="124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"/>
    </row>
    <row r="128" spans="1:16" ht="16.5" x14ac:dyDescent="0.25">
      <c r="A128" s="192"/>
      <c r="B128" s="124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"/>
    </row>
    <row r="129" spans="1:16" ht="16.5" x14ac:dyDescent="0.25">
      <c r="A129" s="192"/>
      <c r="B129" s="124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"/>
    </row>
    <row r="130" spans="1:16" ht="16.5" x14ac:dyDescent="0.25">
      <c r="A130" s="192"/>
      <c r="B130" s="124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"/>
    </row>
    <row r="131" spans="1:16" ht="16.5" x14ac:dyDescent="0.25">
      <c r="A131" s="192"/>
      <c r="B131" s="124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"/>
    </row>
    <row r="132" spans="1:16" ht="16.5" x14ac:dyDescent="0.25">
      <c r="A132" s="192"/>
      <c r="B132" s="124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19"/>
      <c r="P132" s="1"/>
    </row>
    <row r="133" spans="1:16" ht="16.5" x14ac:dyDescent="0.25">
      <c r="A133" s="192"/>
      <c r="B133" s="124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"/>
    </row>
    <row r="134" spans="1:16" ht="16.5" x14ac:dyDescent="0.25">
      <c r="A134" s="192"/>
      <c r="B134" s="124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"/>
    </row>
    <row r="135" spans="1:16" ht="16.5" x14ac:dyDescent="0.25">
      <c r="A135" s="194"/>
      <c r="B135" s="124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"/>
    </row>
    <row r="136" spans="1:16" ht="16.5" x14ac:dyDescent="0.25">
      <c r="A136" s="194"/>
      <c r="B136" s="124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"/>
    </row>
    <row r="137" spans="1:16" ht="16.5" x14ac:dyDescent="0.25">
      <c r="A137" s="194"/>
      <c r="B137" s="124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"/>
    </row>
    <row r="138" spans="1:16" ht="16.5" x14ac:dyDescent="0.25">
      <c r="A138" s="192"/>
      <c r="B138" s="124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"/>
    </row>
    <row r="139" spans="1:16" ht="16.5" x14ac:dyDescent="0.25">
      <c r="A139" s="192"/>
      <c r="B139" s="124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"/>
    </row>
    <row r="140" spans="1:16" ht="16.5" x14ac:dyDescent="0.25">
      <c r="A140" s="192"/>
      <c r="B140" s="124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"/>
    </row>
    <row r="141" spans="1:16" ht="16.5" x14ac:dyDescent="0.25">
      <c r="A141" s="192"/>
      <c r="B141" s="124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"/>
    </row>
    <row r="142" spans="1:16" ht="16.5" x14ac:dyDescent="0.25">
      <c r="A142" s="192"/>
      <c r="B142" s="124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"/>
    </row>
    <row r="143" spans="1:16" ht="16.5" x14ac:dyDescent="0.25">
      <c r="A143" s="192"/>
      <c r="B143" s="124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"/>
    </row>
    <row r="144" spans="1:16" ht="16.5" x14ac:dyDescent="0.25">
      <c r="A144" s="192"/>
      <c r="B144" s="124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19"/>
      <c r="P144" s="1"/>
    </row>
    <row r="145" spans="1:16" ht="16.5" x14ac:dyDescent="0.25">
      <c r="A145" s="192"/>
      <c r="B145" s="124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"/>
    </row>
    <row r="146" spans="1:16" ht="16.5" x14ac:dyDescent="0.25">
      <c r="A146" s="192"/>
      <c r="B146" s="124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"/>
    </row>
    <row r="147" spans="1:16" ht="16.5" x14ac:dyDescent="0.25">
      <c r="A147" s="194"/>
      <c r="B147" s="124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"/>
    </row>
    <row r="148" spans="1:16" ht="16.5" x14ac:dyDescent="0.25">
      <c r="A148" s="194"/>
      <c r="B148" s="124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"/>
    </row>
    <row r="149" spans="1:16" ht="16.5" x14ac:dyDescent="0.25">
      <c r="A149" s="194"/>
      <c r="B149" s="124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"/>
    </row>
    <row r="150" spans="1:16" ht="16.5" x14ac:dyDescent="0.25">
      <c r="A150" s="192"/>
      <c r="B150" s="124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"/>
    </row>
    <row r="151" spans="1:16" ht="16.5" x14ac:dyDescent="0.25">
      <c r="A151" s="192"/>
      <c r="B151" s="124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"/>
    </row>
    <row r="152" spans="1:16" ht="16.5" x14ac:dyDescent="0.25">
      <c r="A152" s="192"/>
      <c r="B152" s="124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"/>
    </row>
    <row r="153" spans="1:16" ht="16.5" x14ac:dyDescent="0.25">
      <c r="A153" s="192"/>
      <c r="B153" s="124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"/>
    </row>
    <row r="154" spans="1:16" ht="16.5" x14ac:dyDescent="0.25">
      <c r="A154" s="192"/>
      <c r="B154" s="124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"/>
    </row>
    <row r="155" spans="1:16" ht="16.5" x14ac:dyDescent="0.25">
      <c r="A155" s="192"/>
      <c r="B155" s="124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"/>
    </row>
    <row r="156" spans="1:16" ht="16.5" x14ac:dyDescent="0.25">
      <c r="A156" s="192"/>
      <c r="B156" s="124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19"/>
      <c r="P156" s="1"/>
    </row>
    <row r="157" spans="1:16" ht="16.5" x14ac:dyDescent="0.25">
      <c r="A157" s="192"/>
      <c r="B157" s="124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"/>
    </row>
    <row r="158" spans="1:16" ht="16.5" x14ac:dyDescent="0.25">
      <c r="A158" s="192"/>
      <c r="B158" s="124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"/>
    </row>
    <row r="159" spans="1:16" ht="16.5" x14ac:dyDescent="0.25">
      <c r="A159" s="194"/>
      <c r="B159" s="124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"/>
    </row>
    <row r="160" spans="1:16" ht="16.5" x14ac:dyDescent="0.25">
      <c r="A160" s="194"/>
      <c r="B160" s="124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"/>
    </row>
    <row r="161" spans="1:16" ht="16.5" x14ac:dyDescent="0.25">
      <c r="A161" s="194"/>
      <c r="B161" s="124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"/>
    </row>
    <row r="162" spans="1:16" ht="16.5" x14ac:dyDescent="0.25">
      <c r="A162" s="192"/>
      <c r="B162" s="124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"/>
    </row>
    <row r="163" spans="1:16" ht="16.5" x14ac:dyDescent="0.25">
      <c r="A163" s="192"/>
      <c r="B163" s="124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"/>
    </row>
    <row r="164" spans="1:16" ht="16.5" x14ac:dyDescent="0.25">
      <c r="A164" s="192"/>
      <c r="B164" s="124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"/>
    </row>
    <row r="165" spans="1:16" ht="16.5" x14ac:dyDescent="0.25">
      <c r="A165" s="192"/>
      <c r="B165" s="124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"/>
    </row>
    <row r="166" spans="1:16" ht="16.5" x14ac:dyDescent="0.25">
      <c r="A166" s="192"/>
      <c r="B166" s="124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"/>
    </row>
    <row r="167" spans="1:16" ht="16.5" x14ac:dyDescent="0.25">
      <c r="A167" s="192"/>
      <c r="B167" s="124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"/>
    </row>
    <row r="168" spans="1:16" ht="16.5" x14ac:dyDescent="0.25">
      <c r="A168" s="192"/>
      <c r="B168" s="124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19"/>
      <c r="P168" s="1"/>
    </row>
    <row r="169" spans="1:16" ht="16.5" x14ac:dyDescent="0.25">
      <c r="A169" s="192"/>
      <c r="B169" s="124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"/>
    </row>
    <row r="170" spans="1:16" ht="16.5" x14ac:dyDescent="0.25">
      <c r="A170" s="192"/>
      <c r="B170" s="124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"/>
    </row>
    <row r="171" spans="1:16" ht="16.5" x14ac:dyDescent="0.25">
      <c r="A171" s="194"/>
      <c r="B171" s="124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"/>
    </row>
    <row r="172" spans="1:16" ht="16.5" x14ac:dyDescent="0.25">
      <c r="A172" s="194"/>
      <c r="B172" s="124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"/>
    </row>
    <row r="173" spans="1:16" ht="16.5" x14ac:dyDescent="0.25">
      <c r="A173" s="194"/>
      <c r="B173" s="124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"/>
    </row>
    <row r="174" spans="1:16" ht="16.5" x14ac:dyDescent="0.25">
      <c r="A174" s="192"/>
      <c r="B174" s="124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"/>
    </row>
    <row r="175" spans="1:16" ht="16.5" x14ac:dyDescent="0.25">
      <c r="A175" s="192"/>
      <c r="B175" s="124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"/>
    </row>
    <row r="176" spans="1:16" ht="16.5" x14ac:dyDescent="0.25">
      <c r="A176" s="192"/>
      <c r="B176" s="124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"/>
    </row>
    <row r="177" spans="1:16" ht="16.5" x14ac:dyDescent="0.25">
      <c r="A177" s="192"/>
      <c r="B177" s="124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"/>
    </row>
    <row r="178" spans="1:16" ht="16.5" x14ac:dyDescent="0.25">
      <c r="A178" s="192"/>
      <c r="B178" s="124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"/>
    </row>
    <row r="179" spans="1:16" ht="16.5" x14ac:dyDescent="0.25">
      <c r="A179" s="192"/>
      <c r="B179" s="124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"/>
    </row>
    <row r="180" spans="1:16" ht="16.5" x14ac:dyDescent="0.25">
      <c r="A180" s="192"/>
      <c r="B180" s="124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19"/>
      <c r="P180" s="1"/>
    </row>
    <row r="181" spans="1:16" ht="16.5" x14ac:dyDescent="0.25">
      <c r="A181" s="192"/>
      <c r="B181" s="124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"/>
    </row>
    <row r="182" spans="1:16" ht="16.5" x14ac:dyDescent="0.25">
      <c r="A182" s="192"/>
      <c r="B182" s="124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"/>
    </row>
    <row r="183" spans="1:16" ht="16.5" x14ac:dyDescent="0.25">
      <c r="A183" s="194"/>
      <c r="B183" s="124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"/>
    </row>
    <row r="184" spans="1:16" ht="16.5" x14ac:dyDescent="0.25">
      <c r="A184" s="194"/>
      <c r="B184" s="124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"/>
    </row>
    <row r="185" spans="1:16" ht="16.5" x14ac:dyDescent="0.25">
      <c r="A185" s="194"/>
      <c r="B185" s="124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"/>
    </row>
    <row r="186" spans="1:16" ht="16.5" x14ac:dyDescent="0.25">
      <c r="A186" s="192"/>
      <c r="B186" s="124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"/>
    </row>
    <row r="187" spans="1:16" ht="16.5" x14ac:dyDescent="0.25">
      <c r="A187" s="192"/>
      <c r="B187" s="124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"/>
    </row>
    <row r="188" spans="1:16" ht="16.5" x14ac:dyDescent="0.25">
      <c r="A188" s="192"/>
      <c r="B188" s="124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"/>
    </row>
    <row r="189" spans="1:16" ht="16.5" x14ac:dyDescent="0.25">
      <c r="A189" s="192"/>
      <c r="B189" s="124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"/>
    </row>
    <row r="190" spans="1:16" ht="16.5" x14ac:dyDescent="0.25">
      <c r="A190" s="192"/>
      <c r="B190" s="124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"/>
    </row>
    <row r="191" spans="1:16" ht="16.5" x14ac:dyDescent="0.25">
      <c r="A191" s="192"/>
      <c r="B191" s="124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"/>
    </row>
    <row r="192" spans="1:16" ht="16.5" x14ac:dyDescent="0.25">
      <c r="A192" s="192"/>
      <c r="B192" s="124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19"/>
      <c r="P192" s="1"/>
    </row>
    <row r="193" spans="1:16" ht="16.5" x14ac:dyDescent="0.25">
      <c r="A193" s="192"/>
      <c r="B193" s="124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"/>
    </row>
    <row r="194" spans="1:16" ht="16.5" x14ac:dyDescent="0.25">
      <c r="A194" s="192"/>
      <c r="B194" s="124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"/>
    </row>
    <row r="195" spans="1:16" ht="16.5" x14ac:dyDescent="0.25">
      <c r="A195" s="194"/>
      <c r="B195" s="124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"/>
    </row>
    <row r="196" spans="1:16" ht="16.5" x14ac:dyDescent="0.25">
      <c r="A196" s="194"/>
      <c r="B196" s="124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"/>
    </row>
    <row r="197" spans="1:16" ht="16.5" x14ac:dyDescent="0.25">
      <c r="A197" s="194"/>
      <c r="B197" s="124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"/>
    </row>
    <row r="198" spans="1:16" ht="16.5" x14ac:dyDescent="0.25">
      <c r="A198" s="192"/>
      <c r="B198" s="124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"/>
    </row>
    <row r="199" spans="1:16" ht="16.5" x14ac:dyDescent="0.25">
      <c r="A199" s="192"/>
      <c r="B199" s="124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"/>
    </row>
    <row r="200" spans="1:16" ht="16.5" x14ac:dyDescent="0.25">
      <c r="A200" s="192"/>
      <c r="B200" s="124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"/>
    </row>
    <row r="201" spans="1:16" ht="16.5" x14ac:dyDescent="0.25">
      <c r="A201" s="192"/>
      <c r="B201" s="124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"/>
    </row>
    <row r="202" spans="1:16" ht="16.5" x14ac:dyDescent="0.25">
      <c r="A202" s="192"/>
      <c r="B202" s="124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"/>
    </row>
    <row r="203" spans="1:16" ht="16.5" x14ac:dyDescent="0.25">
      <c r="A203" s="192"/>
      <c r="B203" s="124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"/>
    </row>
    <row r="204" spans="1:16" ht="16.5" x14ac:dyDescent="0.25">
      <c r="A204" s="192"/>
      <c r="B204" s="124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19"/>
      <c r="P204" s="1"/>
    </row>
    <row r="205" spans="1:16" ht="16.5" x14ac:dyDescent="0.25">
      <c r="A205" s="192"/>
      <c r="B205" s="124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"/>
    </row>
    <row r="206" spans="1:16" ht="16.5" x14ac:dyDescent="0.25">
      <c r="A206" s="192"/>
      <c r="B206" s="124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"/>
    </row>
    <row r="207" spans="1:16" ht="16.5" x14ac:dyDescent="0.25">
      <c r="A207" s="194"/>
      <c r="B207" s="124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"/>
    </row>
    <row r="208" spans="1:16" ht="16.5" x14ac:dyDescent="0.25">
      <c r="A208" s="194"/>
      <c r="B208" s="124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"/>
    </row>
    <row r="209" spans="1:16" ht="16.5" x14ac:dyDescent="0.25">
      <c r="A209" s="194"/>
      <c r="B209" s="124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"/>
    </row>
    <row r="210" spans="1:16" ht="16.5" x14ac:dyDescent="0.25">
      <c r="A210" s="192"/>
      <c r="B210" s="124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"/>
    </row>
    <row r="211" spans="1:16" ht="16.5" x14ac:dyDescent="0.25">
      <c r="A211" s="192"/>
      <c r="B211" s="124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"/>
    </row>
    <row r="212" spans="1:16" ht="16.5" x14ac:dyDescent="0.25">
      <c r="A212" s="192"/>
      <c r="B212" s="124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"/>
    </row>
    <row r="213" spans="1:16" ht="16.5" x14ac:dyDescent="0.25">
      <c r="A213" s="192"/>
      <c r="B213" s="124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"/>
    </row>
    <row r="214" spans="1:16" ht="16.5" x14ac:dyDescent="0.25">
      <c r="A214" s="192"/>
      <c r="B214" s="124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"/>
    </row>
    <row r="215" spans="1:16" ht="16.5" x14ac:dyDescent="0.25">
      <c r="A215" s="192"/>
      <c r="B215" s="124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"/>
    </row>
    <row r="216" spans="1:16" ht="16.5" x14ac:dyDescent="0.25">
      <c r="A216" s="192"/>
      <c r="B216" s="124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19"/>
      <c r="P216" s="1"/>
    </row>
    <row r="217" spans="1:16" ht="16.5" x14ac:dyDescent="0.25">
      <c r="A217" s="192"/>
      <c r="B217" s="124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"/>
    </row>
    <row r="218" spans="1:16" ht="16.5" x14ac:dyDescent="0.25">
      <c r="A218" s="192"/>
      <c r="B218" s="124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"/>
    </row>
    <row r="219" spans="1:16" ht="16.5" x14ac:dyDescent="0.25">
      <c r="A219" s="194"/>
      <c r="B219" s="124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"/>
    </row>
    <row r="220" spans="1:16" ht="16.5" x14ac:dyDescent="0.25">
      <c r="A220" s="194"/>
      <c r="B220" s="124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"/>
    </row>
    <row r="221" spans="1:16" ht="16.5" x14ac:dyDescent="0.25">
      <c r="A221" s="194"/>
      <c r="B221" s="124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"/>
    </row>
    <row r="222" spans="1:16" ht="16.5" x14ac:dyDescent="0.25">
      <c r="A222" s="192"/>
      <c r="B222" s="124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"/>
    </row>
    <row r="223" spans="1:16" ht="16.5" x14ac:dyDescent="0.25">
      <c r="A223" s="192"/>
      <c r="B223" s="124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"/>
    </row>
    <row r="224" spans="1:16" ht="16.5" x14ac:dyDescent="0.25">
      <c r="A224" s="192"/>
      <c r="B224" s="124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"/>
    </row>
    <row r="225" spans="1:16" ht="16.5" x14ac:dyDescent="0.25">
      <c r="A225" s="192"/>
      <c r="B225" s="124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"/>
    </row>
    <row r="226" spans="1:16" ht="16.5" x14ac:dyDescent="0.25">
      <c r="A226" s="192"/>
      <c r="B226" s="124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"/>
    </row>
    <row r="227" spans="1:16" ht="16.5" x14ac:dyDescent="0.25">
      <c r="A227" s="192"/>
      <c r="B227" s="124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"/>
    </row>
    <row r="228" spans="1:16" ht="16.5" x14ac:dyDescent="0.25">
      <c r="A228" s="192"/>
      <c r="B228" s="124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19"/>
      <c r="P228" s="1"/>
    </row>
    <row r="229" spans="1:16" ht="16.5" x14ac:dyDescent="0.25">
      <c r="A229" s="192"/>
      <c r="B229" s="124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"/>
    </row>
    <row r="230" spans="1:16" ht="16.5" x14ac:dyDescent="0.25">
      <c r="A230" s="192"/>
      <c r="B230" s="124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"/>
    </row>
    <row r="231" spans="1:16" ht="16.5" x14ac:dyDescent="0.25">
      <c r="A231" s="194"/>
      <c r="B231" s="124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"/>
    </row>
    <row r="232" spans="1:16" ht="16.5" x14ac:dyDescent="0.25">
      <c r="A232" s="194"/>
      <c r="B232" s="124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"/>
    </row>
    <row r="233" spans="1:16" ht="16.5" x14ac:dyDescent="0.25">
      <c r="A233" s="194"/>
      <c r="B233" s="124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"/>
    </row>
    <row r="234" spans="1:16" ht="16.5" x14ac:dyDescent="0.25">
      <c r="A234" s="192"/>
      <c r="B234" s="124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"/>
    </row>
    <row r="235" spans="1:16" ht="16.5" x14ac:dyDescent="0.25">
      <c r="A235" s="192"/>
      <c r="B235" s="124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"/>
    </row>
    <row r="236" spans="1:16" ht="16.5" x14ac:dyDescent="0.25">
      <c r="A236" s="192"/>
      <c r="B236" s="124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"/>
    </row>
    <row r="237" spans="1:16" ht="16.5" x14ac:dyDescent="0.25">
      <c r="A237" s="192"/>
      <c r="B237" s="124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"/>
    </row>
    <row r="238" spans="1:16" ht="16.5" x14ac:dyDescent="0.25">
      <c r="A238" s="192"/>
      <c r="B238" s="124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"/>
    </row>
    <row r="239" spans="1:16" ht="16.5" x14ac:dyDescent="0.25">
      <c r="A239" s="192"/>
      <c r="B239" s="124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"/>
    </row>
    <row r="240" spans="1:16" ht="16.5" x14ac:dyDescent="0.25">
      <c r="A240" s="192"/>
      <c r="B240" s="124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19"/>
      <c r="P240" s="1"/>
    </row>
    <row r="241" spans="1:16" ht="16.5" x14ac:dyDescent="0.25">
      <c r="A241" s="192"/>
      <c r="B241" s="124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"/>
    </row>
    <row r="242" spans="1:16" ht="16.5" x14ac:dyDescent="0.25">
      <c r="A242" s="192"/>
      <c r="B242" s="124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"/>
    </row>
    <row r="243" spans="1:16" ht="16.5" x14ac:dyDescent="0.25">
      <c r="A243" s="194"/>
      <c r="B243" s="124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"/>
    </row>
    <row r="244" spans="1:16" ht="16.5" x14ac:dyDescent="0.25">
      <c r="A244" s="194"/>
      <c r="B244" s="124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"/>
    </row>
    <row r="245" spans="1:16" ht="16.5" x14ac:dyDescent="0.25">
      <c r="A245" s="194"/>
      <c r="B245" s="124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"/>
    </row>
    <row r="246" spans="1:16" ht="16.5" x14ac:dyDescent="0.25">
      <c r="A246" s="192"/>
      <c r="B246" s="124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"/>
    </row>
    <row r="247" spans="1:16" ht="16.5" x14ac:dyDescent="0.25">
      <c r="A247" s="192"/>
      <c r="B247" s="124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"/>
    </row>
    <row r="248" spans="1:16" ht="16.5" x14ac:dyDescent="0.25">
      <c r="A248" s="192"/>
      <c r="B248" s="124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"/>
    </row>
    <row r="249" spans="1:16" ht="16.5" x14ac:dyDescent="0.25">
      <c r="A249" s="192"/>
      <c r="B249" s="124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"/>
    </row>
    <row r="250" spans="1:16" ht="16.5" x14ac:dyDescent="0.25">
      <c r="A250" s="192"/>
      <c r="B250" s="124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"/>
    </row>
    <row r="251" spans="1:16" ht="16.5" x14ac:dyDescent="0.25">
      <c r="A251" s="192"/>
      <c r="B251" s="124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"/>
    </row>
    <row r="252" spans="1:16" ht="16.5" x14ac:dyDescent="0.25">
      <c r="A252" s="192"/>
      <c r="B252" s="124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19"/>
      <c r="P252" s="1"/>
    </row>
    <row r="253" spans="1:16" ht="16.5" x14ac:dyDescent="0.25">
      <c r="A253" s="192"/>
      <c r="B253" s="124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"/>
    </row>
    <row r="254" spans="1:16" ht="16.5" x14ac:dyDescent="0.25">
      <c r="A254" s="192"/>
      <c r="B254" s="124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"/>
    </row>
    <row r="255" spans="1:16" ht="16.5" x14ac:dyDescent="0.25">
      <c r="A255" s="194"/>
      <c r="B255" s="124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"/>
    </row>
    <row r="256" spans="1:16" ht="16.5" x14ac:dyDescent="0.25">
      <c r="A256" s="194"/>
      <c r="B256" s="124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"/>
    </row>
    <row r="257" spans="1:16" ht="16.5" x14ac:dyDescent="0.25">
      <c r="A257" s="194"/>
      <c r="B257" s="124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"/>
    </row>
    <row r="258" spans="1:16" ht="16.5" x14ac:dyDescent="0.25">
      <c r="A258" s="192"/>
      <c r="B258" s="124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"/>
    </row>
    <row r="259" spans="1:16" ht="16.5" x14ac:dyDescent="0.25">
      <c r="A259" s="192"/>
      <c r="B259" s="124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"/>
    </row>
    <row r="260" spans="1:16" ht="16.5" x14ac:dyDescent="0.25">
      <c r="A260" s="192"/>
      <c r="B260" s="124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"/>
    </row>
    <row r="261" spans="1:16" ht="16.5" x14ac:dyDescent="0.25">
      <c r="A261" s="192"/>
      <c r="B261" s="124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"/>
    </row>
    <row r="262" spans="1:16" ht="16.5" x14ac:dyDescent="0.25">
      <c r="A262" s="192"/>
      <c r="B262" s="124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"/>
    </row>
    <row r="263" spans="1:16" ht="16.5" x14ac:dyDescent="0.25">
      <c r="A263" s="192"/>
      <c r="B263" s="124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"/>
    </row>
    <row r="264" spans="1:16" ht="16.5" x14ac:dyDescent="0.25">
      <c r="A264" s="192"/>
      <c r="B264" s="124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19"/>
      <c r="P264" s="1"/>
    </row>
    <row r="265" spans="1:16" ht="16.5" x14ac:dyDescent="0.25">
      <c r="A265" s="192"/>
      <c r="B265" s="124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"/>
    </row>
    <row r="266" spans="1:16" ht="16.5" x14ac:dyDescent="0.25">
      <c r="A266" s="192"/>
      <c r="B266" s="124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"/>
    </row>
    <row r="267" spans="1:16" ht="16.5" x14ac:dyDescent="0.25">
      <c r="A267" s="194"/>
      <c r="B267" s="124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"/>
    </row>
    <row r="268" spans="1:16" ht="16.5" x14ac:dyDescent="0.25">
      <c r="A268" s="194"/>
      <c r="B268" s="124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"/>
    </row>
    <row r="269" spans="1:16" ht="16.5" x14ac:dyDescent="0.25">
      <c r="A269" s="194"/>
      <c r="B269" s="124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"/>
    </row>
    <row r="270" spans="1:16" ht="16.5" x14ac:dyDescent="0.25">
      <c r="A270" s="192"/>
      <c r="B270" s="124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"/>
    </row>
    <row r="271" spans="1:16" ht="16.5" x14ac:dyDescent="0.25">
      <c r="A271" s="192"/>
      <c r="B271" s="124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"/>
    </row>
    <row r="272" spans="1:16" ht="16.5" x14ac:dyDescent="0.25">
      <c r="A272" s="192"/>
      <c r="B272" s="124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"/>
    </row>
    <row r="273" spans="1:16" ht="16.5" x14ac:dyDescent="0.25">
      <c r="A273" s="192"/>
      <c r="B273" s="124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"/>
    </row>
    <row r="274" spans="1:16" ht="16.5" x14ac:dyDescent="0.25">
      <c r="A274" s="192"/>
      <c r="B274" s="124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"/>
    </row>
    <row r="275" spans="1:16" ht="16.5" x14ac:dyDescent="0.25">
      <c r="A275" s="192"/>
      <c r="B275" s="124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"/>
    </row>
    <row r="276" spans="1:16" ht="16.5" x14ac:dyDescent="0.25">
      <c r="A276" s="192"/>
      <c r="B276" s="124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19"/>
      <c r="P276" s="1"/>
    </row>
    <row r="277" spans="1:16" ht="16.5" x14ac:dyDescent="0.25">
      <c r="A277" s="192"/>
      <c r="B277" s="124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"/>
    </row>
    <row r="278" spans="1:16" ht="16.5" x14ac:dyDescent="0.25">
      <c r="A278" s="192"/>
      <c r="B278" s="124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"/>
    </row>
    <row r="279" spans="1:16" ht="16.5" x14ac:dyDescent="0.25">
      <c r="A279" s="194"/>
      <c r="B279" s="124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"/>
    </row>
    <row r="280" spans="1:16" ht="16.5" x14ac:dyDescent="0.25">
      <c r="A280" s="194"/>
      <c r="B280" s="124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"/>
    </row>
    <row r="281" spans="1:16" ht="16.5" x14ac:dyDescent="0.25">
      <c r="A281" s="194"/>
      <c r="B281" s="124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"/>
    </row>
    <row r="282" spans="1:16" ht="16.5" x14ac:dyDescent="0.25">
      <c r="A282" s="192"/>
      <c r="B282" s="124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"/>
    </row>
    <row r="283" spans="1:16" ht="16.5" x14ac:dyDescent="0.25">
      <c r="A283" s="192"/>
      <c r="B283" s="124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"/>
    </row>
    <row r="284" spans="1:16" ht="16.5" x14ac:dyDescent="0.25">
      <c r="A284" s="192"/>
      <c r="B284" s="124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"/>
    </row>
    <row r="285" spans="1:16" ht="16.5" x14ac:dyDescent="0.25">
      <c r="A285" s="192"/>
      <c r="B285" s="124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"/>
    </row>
    <row r="286" spans="1:16" ht="16.5" x14ac:dyDescent="0.25">
      <c r="A286" s="192"/>
      <c r="B286" s="124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"/>
    </row>
    <row r="287" spans="1:16" ht="16.5" x14ac:dyDescent="0.25">
      <c r="A287" s="192"/>
      <c r="B287" s="124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"/>
    </row>
    <row r="288" spans="1:16" ht="16.5" x14ac:dyDescent="0.25">
      <c r="A288" s="192"/>
      <c r="B288" s="124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19"/>
      <c r="P288" s="1"/>
    </row>
    <row r="289" spans="1:16" ht="16.5" x14ac:dyDescent="0.25">
      <c r="A289" s="192"/>
      <c r="B289" s="124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"/>
    </row>
    <row r="290" spans="1:16" ht="16.5" x14ac:dyDescent="0.25">
      <c r="A290" s="192"/>
      <c r="B290" s="124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"/>
    </row>
    <row r="291" spans="1:16" ht="16.5" x14ac:dyDescent="0.25">
      <c r="A291" s="194"/>
      <c r="B291" s="124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"/>
    </row>
    <row r="292" spans="1:16" ht="16.5" x14ac:dyDescent="0.25">
      <c r="A292" s="194"/>
      <c r="B292" s="124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"/>
    </row>
    <row r="293" spans="1:16" ht="16.5" x14ac:dyDescent="0.25">
      <c r="A293" s="194"/>
      <c r="B293" s="124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"/>
    </row>
    <row r="294" spans="1:16" ht="16.5" x14ac:dyDescent="0.25">
      <c r="A294" s="192"/>
      <c r="B294" s="124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"/>
    </row>
    <row r="295" spans="1:16" ht="16.5" x14ac:dyDescent="0.25">
      <c r="A295" s="192"/>
      <c r="B295" s="124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"/>
    </row>
    <row r="296" spans="1:16" ht="16.5" x14ac:dyDescent="0.25">
      <c r="A296" s="192"/>
      <c r="B296" s="124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"/>
    </row>
    <row r="297" spans="1:16" ht="16.5" x14ac:dyDescent="0.25">
      <c r="A297" s="192"/>
      <c r="B297" s="124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"/>
    </row>
    <row r="298" spans="1:16" ht="16.5" x14ac:dyDescent="0.25">
      <c r="A298" s="192"/>
      <c r="B298" s="124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"/>
    </row>
    <row r="299" spans="1:16" ht="16.5" x14ac:dyDescent="0.25">
      <c r="A299" s="192"/>
      <c r="B299" s="124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"/>
    </row>
    <row r="300" spans="1:16" ht="16.5" x14ac:dyDescent="0.25">
      <c r="A300" s="192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19"/>
      <c r="P300" s="1"/>
    </row>
    <row r="301" spans="1:16" ht="16.5" x14ac:dyDescent="0.25">
      <c r="A301" s="192"/>
      <c r="B301" s="124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"/>
    </row>
    <row r="302" spans="1:16" ht="16.5" x14ac:dyDescent="0.25">
      <c r="A302" s="192"/>
      <c r="B302" s="124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"/>
    </row>
    <row r="303" spans="1:16" ht="16.5" x14ac:dyDescent="0.25">
      <c r="A303" s="194"/>
      <c r="B303" s="124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"/>
    </row>
    <row r="304" spans="1:16" ht="16.5" x14ac:dyDescent="0.25">
      <c r="A304" s="194"/>
      <c r="B304" s="124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"/>
    </row>
    <row r="305" spans="1:16" ht="16.5" x14ac:dyDescent="0.25">
      <c r="A305" s="194"/>
      <c r="B305" s="124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"/>
    </row>
    <row r="306" spans="1:16" ht="16.5" x14ac:dyDescent="0.25">
      <c r="A306" s="192"/>
      <c r="B306" s="124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"/>
    </row>
    <row r="307" spans="1:16" ht="16.5" x14ac:dyDescent="0.25">
      <c r="A307" s="192"/>
      <c r="B307" s="124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"/>
    </row>
    <row r="308" spans="1:16" ht="16.5" x14ac:dyDescent="0.25">
      <c r="A308" s="192"/>
      <c r="B308" s="124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"/>
    </row>
    <row r="309" spans="1:16" ht="16.5" x14ac:dyDescent="0.25">
      <c r="A309" s="192"/>
      <c r="B309" s="124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"/>
    </row>
    <row r="310" spans="1:16" ht="16.5" x14ac:dyDescent="0.25">
      <c r="A310" s="192"/>
      <c r="B310" s="124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"/>
    </row>
    <row r="311" spans="1:16" ht="16.5" x14ac:dyDescent="0.25">
      <c r="A311" s="192"/>
      <c r="B311" s="124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"/>
    </row>
    <row r="312" spans="1:16" ht="16.5" x14ac:dyDescent="0.25">
      <c r="A312" s="192"/>
      <c r="B312" s="124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19"/>
      <c r="P312" s="1"/>
    </row>
    <row r="313" spans="1:16" ht="16.5" x14ac:dyDescent="0.25">
      <c r="A313" s="192"/>
      <c r="B313" s="124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"/>
    </row>
    <row r="314" spans="1:16" ht="16.5" x14ac:dyDescent="0.25">
      <c r="A314" s="192"/>
      <c r="B314" s="124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"/>
    </row>
    <row r="315" spans="1:16" ht="16.5" x14ac:dyDescent="0.25">
      <c r="A315" s="194"/>
      <c r="B315" s="124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"/>
    </row>
    <row r="316" spans="1:16" ht="16.5" x14ac:dyDescent="0.25">
      <c r="A316" s="194"/>
      <c r="B316" s="124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"/>
    </row>
    <row r="317" spans="1:16" ht="16.5" x14ac:dyDescent="0.25">
      <c r="A317" s="194"/>
      <c r="B317" s="124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"/>
    </row>
    <row r="318" spans="1:16" ht="16.5" x14ac:dyDescent="0.25">
      <c r="A318" s="192"/>
      <c r="B318" s="124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"/>
    </row>
    <row r="319" spans="1:16" ht="16.5" x14ac:dyDescent="0.25">
      <c r="A319" s="192"/>
      <c r="B319" s="124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"/>
    </row>
    <row r="320" spans="1:16" ht="16.5" x14ac:dyDescent="0.25">
      <c r="A320" s="192"/>
      <c r="B320" s="124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"/>
    </row>
    <row r="321" spans="1:16" ht="16.5" x14ac:dyDescent="0.25">
      <c r="A321" s="192"/>
      <c r="B321" s="124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"/>
    </row>
    <row r="322" spans="1:16" ht="16.5" x14ac:dyDescent="0.25">
      <c r="A322" s="192"/>
      <c r="B322" s="124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"/>
    </row>
    <row r="323" spans="1:16" ht="16.5" x14ac:dyDescent="0.25">
      <c r="A323" s="192"/>
      <c r="B323" s="124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"/>
    </row>
    <row r="324" spans="1:16" ht="16.5" x14ac:dyDescent="0.25">
      <c r="A324" s="192"/>
      <c r="B324" s="124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19"/>
      <c r="P324" s="1"/>
    </row>
    <row r="325" spans="1:16" ht="16.5" x14ac:dyDescent="0.25">
      <c r="A325" s="192"/>
      <c r="B325" s="124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"/>
    </row>
    <row r="326" spans="1:16" ht="16.5" x14ac:dyDescent="0.25">
      <c r="A326" s="192"/>
      <c r="B326" s="124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"/>
    </row>
    <row r="327" spans="1:16" ht="16.5" x14ac:dyDescent="0.25">
      <c r="A327" s="194"/>
      <c r="B327" s="124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"/>
    </row>
    <row r="328" spans="1:16" ht="16.5" x14ac:dyDescent="0.25">
      <c r="A328" s="194"/>
      <c r="B328" s="124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"/>
    </row>
    <row r="329" spans="1:16" ht="16.5" x14ac:dyDescent="0.25">
      <c r="A329" s="194"/>
      <c r="B329" s="124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"/>
    </row>
    <row r="330" spans="1:16" ht="16.5" x14ac:dyDescent="0.25">
      <c r="A330" s="192"/>
      <c r="B330" s="124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"/>
    </row>
    <row r="331" spans="1:16" ht="16.5" x14ac:dyDescent="0.25">
      <c r="A331" s="192"/>
      <c r="B331" s="124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"/>
    </row>
    <row r="332" spans="1:16" ht="16.5" x14ac:dyDescent="0.25">
      <c r="A332" s="192"/>
      <c r="B332" s="124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"/>
    </row>
    <row r="333" spans="1:16" ht="16.5" x14ac:dyDescent="0.25">
      <c r="A333" s="192"/>
      <c r="B333" s="124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"/>
    </row>
    <row r="334" spans="1:16" ht="16.5" x14ac:dyDescent="0.25">
      <c r="A334" s="192"/>
      <c r="B334" s="124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"/>
    </row>
    <row r="335" spans="1:16" ht="16.5" x14ac:dyDescent="0.25">
      <c r="A335" s="192"/>
      <c r="B335" s="124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"/>
    </row>
    <row r="336" spans="1:16" ht="16.5" x14ac:dyDescent="0.25">
      <c r="A336" s="192"/>
      <c r="B336" s="124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19"/>
      <c r="P336" s="1"/>
    </row>
    <row r="337" spans="1:16" ht="16.5" x14ac:dyDescent="0.25">
      <c r="A337" s="192"/>
      <c r="B337" s="124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"/>
    </row>
    <row r="338" spans="1:16" ht="16.5" x14ac:dyDescent="0.25">
      <c r="A338" s="192"/>
      <c r="B338" s="124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"/>
    </row>
    <row r="339" spans="1:16" ht="16.5" x14ac:dyDescent="0.25">
      <c r="A339" s="194"/>
      <c r="B339" s="124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"/>
    </row>
    <row r="340" spans="1:16" ht="16.5" x14ac:dyDescent="0.25">
      <c r="A340" s="194"/>
      <c r="B340" s="124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"/>
    </row>
    <row r="341" spans="1:16" ht="16.5" x14ac:dyDescent="0.25">
      <c r="A341" s="194"/>
      <c r="B341" s="124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"/>
    </row>
    <row r="342" spans="1:16" ht="16.5" x14ac:dyDescent="0.25">
      <c r="A342" s="192"/>
      <c r="B342" s="124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"/>
    </row>
    <row r="343" spans="1:16" ht="16.5" x14ac:dyDescent="0.25">
      <c r="A343" s="192"/>
      <c r="B343" s="124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"/>
    </row>
    <row r="344" spans="1:16" ht="16.5" x14ac:dyDescent="0.25">
      <c r="A344" s="192"/>
      <c r="B344" s="124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"/>
    </row>
    <row r="345" spans="1:16" ht="16.5" x14ac:dyDescent="0.25">
      <c r="A345" s="192"/>
      <c r="B345" s="124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"/>
    </row>
    <row r="346" spans="1:16" ht="16.5" x14ac:dyDescent="0.25">
      <c r="A346" s="192"/>
      <c r="B346" s="124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"/>
    </row>
    <row r="347" spans="1:16" ht="16.5" x14ac:dyDescent="0.25">
      <c r="A347" s="192"/>
      <c r="B347" s="124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"/>
    </row>
    <row r="348" spans="1:16" ht="16.5" x14ac:dyDescent="0.25">
      <c r="A348" s="192"/>
      <c r="B348" s="124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19"/>
      <c r="P348" s="1"/>
    </row>
    <row r="349" spans="1:16" ht="16.5" x14ac:dyDescent="0.25">
      <c r="A349" s="192"/>
      <c r="B349" s="124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"/>
    </row>
    <row r="350" spans="1:16" ht="16.5" x14ac:dyDescent="0.25">
      <c r="A350" s="192"/>
      <c r="B350" s="124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"/>
    </row>
    <row r="351" spans="1:16" ht="16.5" x14ac:dyDescent="0.25">
      <c r="A351" s="194"/>
      <c r="B351" s="124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"/>
    </row>
    <row r="352" spans="1:16" ht="16.5" x14ac:dyDescent="0.25">
      <c r="A352" s="194"/>
      <c r="B352" s="124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"/>
    </row>
    <row r="353" spans="1:16" ht="16.5" x14ac:dyDescent="0.25">
      <c r="A353" s="194"/>
      <c r="B353" s="124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"/>
    </row>
    <row r="354" spans="1:16" ht="16.5" x14ac:dyDescent="0.25">
      <c r="A354" s="192"/>
      <c r="B354" s="124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"/>
    </row>
    <row r="355" spans="1:16" ht="16.5" x14ac:dyDescent="0.25">
      <c r="A355" s="192"/>
      <c r="B355" s="124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"/>
    </row>
    <row r="356" spans="1:16" ht="16.5" x14ac:dyDescent="0.25">
      <c r="A356" s="192"/>
      <c r="B356" s="124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"/>
    </row>
    <row r="357" spans="1:16" ht="16.5" x14ac:dyDescent="0.25">
      <c r="A357" s="192"/>
      <c r="B357" s="124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"/>
    </row>
    <row r="358" spans="1:16" ht="16.5" x14ac:dyDescent="0.25">
      <c r="A358" s="192"/>
      <c r="B358" s="124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"/>
    </row>
    <row r="359" spans="1:16" ht="16.5" x14ac:dyDescent="0.25">
      <c r="A359" s="192"/>
      <c r="B359" s="124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"/>
    </row>
    <row r="360" spans="1:16" ht="16.5" x14ac:dyDescent="0.25">
      <c r="A360" s="192"/>
      <c r="B360" s="124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19"/>
      <c r="P360" s="1"/>
    </row>
    <row r="361" spans="1:16" ht="16.5" x14ac:dyDescent="0.25">
      <c r="A361" s="192"/>
      <c r="B361" s="124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"/>
    </row>
    <row r="362" spans="1:16" ht="16.5" x14ac:dyDescent="0.25">
      <c r="A362" s="192"/>
      <c r="B362" s="124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"/>
    </row>
    <row r="363" spans="1:16" ht="16.5" x14ac:dyDescent="0.25">
      <c r="A363" s="194"/>
      <c r="B363" s="124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"/>
    </row>
    <row r="364" spans="1:16" ht="16.5" x14ac:dyDescent="0.25">
      <c r="A364" s="194"/>
      <c r="B364" s="124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"/>
    </row>
    <row r="365" spans="1:16" ht="16.5" x14ac:dyDescent="0.25">
      <c r="A365" s="194"/>
      <c r="B365" s="124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"/>
    </row>
    <row r="366" spans="1:16" ht="16.5" x14ac:dyDescent="0.25">
      <c r="A366" s="192"/>
      <c r="B366" s="124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"/>
    </row>
    <row r="367" spans="1:16" ht="16.5" x14ac:dyDescent="0.25">
      <c r="A367" s="192"/>
      <c r="B367" s="124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"/>
    </row>
    <row r="368" spans="1:16" ht="16.5" x14ac:dyDescent="0.25">
      <c r="A368" s="192"/>
      <c r="B368" s="124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"/>
    </row>
    <row r="369" spans="1:16" ht="16.5" x14ac:dyDescent="0.25">
      <c r="A369" s="192"/>
      <c r="B369" s="124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"/>
    </row>
    <row r="370" spans="1:16" ht="16.5" x14ac:dyDescent="0.25">
      <c r="A370" s="192"/>
      <c r="B370" s="124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"/>
    </row>
    <row r="371" spans="1:16" ht="16.5" x14ac:dyDescent="0.25">
      <c r="A371" s="192"/>
      <c r="B371" s="124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"/>
    </row>
    <row r="372" spans="1:16" ht="16.5" x14ac:dyDescent="0.25">
      <c r="A372" s="192"/>
      <c r="B372" s="124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19"/>
      <c r="P372" s="1"/>
    </row>
    <row r="373" spans="1:16" ht="16.5" x14ac:dyDescent="0.25">
      <c r="A373" s="192"/>
      <c r="B373" s="124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"/>
    </row>
    <row r="374" spans="1:16" ht="16.5" x14ac:dyDescent="0.25">
      <c r="A374" s="192"/>
      <c r="B374" s="124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"/>
    </row>
    <row r="375" spans="1:16" ht="16.5" x14ac:dyDescent="0.25">
      <c r="A375" s="194"/>
      <c r="B375" s="124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"/>
    </row>
    <row r="376" spans="1:16" ht="16.5" x14ac:dyDescent="0.25">
      <c r="A376" s="194"/>
      <c r="B376" s="124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"/>
    </row>
    <row r="377" spans="1:16" ht="16.5" x14ac:dyDescent="0.25">
      <c r="A377" s="194"/>
      <c r="B377" s="124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"/>
    </row>
    <row r="378" spans="1:16" ht="16.5" x14ac:dyDescent="0.25">
      <c r="A378" s="192"/>
      <c r="B378" s="124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"/>
    </row>
    <row r="379" spans="1:16" ht="16.5" x14ac:dyDescent="0.25">
      <c r="A379" s="192"/>
      <c r="B379" s="124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"/>
    </row>
    <row r="380" spans="1:16" ht="16.5" x14ac:dyDescent="0.25">
      <c r="A380" s="192"/>
      <c r="B380" s="124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"/>
    </row>
    <row r="381" spans="1:16" ht="16.5" x14ac:dyDescent="0.25">
      <c r="A381" s="192"/>
      <c r="B381" s="124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"/>
    </row>
    <row r="382" spans="1:16" ht="16.5" x14ac:dyDescent="0.25">
      <c r="A382" s="192"/>
      <c r="B382" s="124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"/>
    </row>
    <row r="383" spans="1:16" ht="16.5" x14ac:dyDescent="0.25">
      <c r="A383" s="192"/>
      <c r="B383" s="124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"/>
    </row>
    <row r="384" spans="1:16" ht="16.5" x14ac:dyDescent="0.25">
      <c r="A384" s="192"/>
      <c r="B384" s="124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19"/>
      <c r="P384" s="1"/>
    </row>
    <row r="385" spans="1:16" ht="16.5" x14ac:dyDescent="0.25">
      <c r="A385" s="192"/>
      <c r="B385" s="124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"/>
    </row>
    <row r="386" spans="1:16" ht="16.5" x14ac:dyDescent="0.25">
      <c r="A386" s="192"/>
      <c r="B386" s="124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"/>
    </row>
    <row r="387" spans="1:16" ht="16.5" x14ac:dyDescent="0.25">
      <c r="A387" s="194"/>
      <c r="B387" s="124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"/>
    </row>
    <row r="388" spans="1:16" ht="16.5" x14ac:dyDescent="0.25">
      <c r="A388" s="194"/>
      <c r="B388" s="124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"/>
    </row>
    <row r="389" spans="1:16" ht="16.5" x14ac:dyDescent="0.25">
      <c r="A389" s="194"/>
      <c r="B389" s="124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"/>
    </row>
    <row r="390" spans="1:16" ht="16.5" x14ac:dyDescent="0.25">
      <c r="A390" s="192"/>
      <c r="B390" s="124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"/>
    </row>
    <row r="391" spans="1:16" ht="16.5" x14ac:dyDescent="0.25">
      <c r="A391" s="192"/>
      <c r="B391" s="124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"/>
    </row>
    <row r="392" spans="1:16" ht="16.5" x14ac:dyDescent="0.25">
      <c r="A392" s="192"/>
      <c r="B392" s="124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"/>
    </row>
    <row r="393" spans="1:16" ht="16.5" x14ac:dyDescent="0.25">
      <c r="A393" s="192"/>
      <c r="B393" s="124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"/>
    </row>
    <row r="394" spans="1:16" ht="16.5" x14ac:dyDescent="0.25">
      <c r="A394" s="192"/>
      <c r="B394" s="124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"/>
    </row>
    <row r="395" spans="1:16" ht="16.5" x14ac:dyDescent="0.25">
      <c r="A395" s="192"/>
      <c r="B395" s="124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"/>
    </row>
    <row r="396" spans="1:16" ht="16.5" x14ac:dyDescent="0.25">
      <c r="A396" s="192"/>
      <c r="B396" s="124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19"/>
      <c r="P396" s="1"/>
    </row>
    <row r="397" spans="1:16" ht="16.5" x14ac:dyDescent="0.25">
      <c r="A397" s="192"/>
      <c r="B397" s="124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"/>
    </row>
    <row r="398" spans="1:16" ht="16.5" x14ac:dyDescent="0.25">
      <c r="A398" s="192"/>
      <c r="B398" s="124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"/>
    </row>
    <row r="399" spans="1:16" ht="16.5" x14ac:dyDescent="0.25">
      <c r="A399" s="194"/>
      <c r="B399" s="124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"/>
    </row>
    <row r="400" spans="1:16" ht="16.5" x14ac:dyDescent="0.25">
      <c r="A400" s="194"/>
      <c r="B400" s="124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"/>
    </row>
    <row r="401" spans="1:16" ht="16.5" x14ac:dyDescent="0.25">
      <c r="A401" s="194"/>
      <c r="B401" s="124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"/>
    </row>
    <row r="402" spans="1:16" ht="16.5" x14ac:dyDescent="0.25">
      <c r="A402" s="192"/>
      <c r="B402" s="124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"/>
    </row>
    <row r="403" spans="1:16" ht="16.5" x14ac:dyDescent="0.25">
      <c r="A403" s="192"/>
      <c r="B403" s="124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"/>
    </row>
    <row r="404" spans="1:16" ht="16.5" x14ac:dyDescent="0.25">
      <c r="A404" s="192"/>
      <c r="B404" s="124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"/>
    </row>
    <row r="405" spans="1:16" ht="16.5" x14ac:dyDescent="0.25">
      <c r="A405" s="192"/>
      <c r="B405" s="124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"/>
    </row>
    <row r="406" spans="1:16" ht="16.5" x14ac:dyDescent="0.25">
      <c r="A406" s="192"/>
      <c r="B406" s="124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"/>
    </row>
    <row r="407" spans="1:16" ht="16.5" x14ac:dyDescent="0.25">
      <c r="A407" s="192"/>
      <c r="B407" s="124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"/>
    </row>
    <row r="408" spans="1:16" ht="16.5" x14ac:dyDescent="0.25">
      <c r="A408" s="192"/>
      <c r="B408" s="124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19"/>
      <c r="P408" s="1"/>
    </row>
    <row r="409" spans="1:16" ht="16.5" x14ac:dyDescent="0.25">
      <c r="A409" s="192"/>
      <c r="B409" s="124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"/>
    </row>
    <row r="410" spans="1:16" ht="16.5" x14ac:dyDescent="0.25">
      <c r="A410" s="192"/>
      <c r="B410" s="124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"/>
    </row>
    <row r="411" spans="1:16" ht="16.5" x14ac:dyDescent="0.25">
      <c r="A411" s="194"/>
      <c r="B411" s="124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"/>
    </row>
    <row r="412" spans="1:16" ht="16.5" x14ac:dyDescent="0.25">
      <c r="A412" s="194"/>
      <c r="B412" s="124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"/>
    </row>
    <row r="413" spans="1:16" ht="16.5" x14ac:dyDescent="0.25">
      <c r="A413" s="194"/>
      <c r="B413" s="124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"/>
    </row>
    <row r="414" spans="1:16" ht="16.5" x14ac:dyDescent="0.25">
      <c r="A414" s="192"/>
      <c r="B414" s="124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"/>
    </row>
    <row r="415" spans="1:16" ht="16.5" x14ac:dyDescent="0.25">
      <c r="A415" s="192"/>
      <c r="B415" s="124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"/>
    </row>
    <row r="416" spans="1:16" ht="16.5" x14ac:dyDescent="0.25">
      <c r="A416" s="192"/>
      <c r="B416" s="124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"/>
    </row>
    <row r="417" spans="1:16" ht="16.5" x14ac:dyDescent="0.25">
      <c r="A417" s="192"/>
      <c r="B417" s="124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"/>
    </row>
    <row r="418" spans="1:16" ht="16.5" x14ac:dyDescent="0.25">
      <c r="A418" s="192"/>
      <c r="B418" s="124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"/>
    </row>
    <row r="419" spans="1:16" ht="16.5" x14ac:dyDescent="0.25">
      <c r="A419" s="192"/>
      <c r="B419" s="124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"/>
    </row>
    <row r="420" spans="1:16" ht="16.5" x14ac:dyDescent="0.25">
      <c r="A420" s="192"/>
      <c r="B420" s="124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19"/>
      <c r="P420" s="1"/>
    </row>
    <row r="421" spans="1:16" ht="16.5" x14ac:dyDescent="0.25">
      <c r="A421" s="192"/>
      <c r="B421" s="124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"/>
    </row>
    <row r="422" spans="1:16" ht="16.5" x14ac:dyDescent="0.25">
      <c r="A422" s="192"/>
      <c r="B422" s="124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"/>
    </row>
    <row r="423" spans="1:16" ht="16.5" x14ac:dyDescent="0.25">
      <c r="A423" s="194"/>
      <c r="B423" s="124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"/>
    </row>
    <row r="424" spans="1:16" ht="16.5" x14ac:dyDescent="0.25">
      <c r="A424" s="194"/>
      <c r="B424" s="124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"/>
    </row>
    <row r="425" spans="1:16" ht="16.5" x14ac:dyDescent="0.25">
      <c r="A425" s="194"/>
      <c r="B425" s="124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"/>
    </row>
    <row r="426" spans="1:16" ht="16.5" x14ac:dyDescent="0.25">
      <c r="A426" s="192"/>
      <c r="B426" s="124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"/>
    </row>
    <row r="427" spans="1:16" ht="16.5" x14ac:dyDescent="0.25">
      <c r="A427" s="192"/>
      <c r="B427" s="124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"/>
    </row>
    <row r="428" spans="1:16" ht="16.5" x14ac:dyDescent="0.25">
      <c r="A428" s="192"/>
      <c r="B428" s="124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"/>
    </row>
    <row r="429" spans="1:16" ht="16.5" x14ac:dyDescent="0.25">
      <c r="A429" s="192"/>
      <c r="B429" s="124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"/>
    </row>
    <row r="430" spans="1:16" ht="16.5" x14ac:dyDescent="0.25">
      <c r="A430" s="192"/>
      <c r="B430" s="124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"/>
    </row>
    <row r="431" spans="1:16" ht="16.5" x14ac:dyDescent="0.25">
      <c r="A431" s="192"/>
      <c r="B431" s="124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"/>
    </row>
    <row r="432" spans="1:16" ht="16.5" x14ac:dyDescent="0.25">
      <c r="A432" s="192"/>
      <c r="B432" s="124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19"/>
      <c r="P432" s="1"/>
    </row>
    <row r="433" spans="1:16" ht="16.5" x14ac:dyDescent="0.25">
      <c r="A433" s="192"/>
      <c r="B433" s="124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"/>
    </row>
    <row r="434" spans="1:16" ht="16.5" x14ac:dyDescent="0.25">
      <c r="A434" s="192"/>
      <c r="B434" s="124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"/>
    </row>
    <row r="435" spans="1:16" ht="16.5" x14ac:dyDescent="0.25">
      <c r="A435" s="194"/>
      <c r="B435" s="124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"/>
    </row>
    <row r="436" spans="1:16" ht="16.5" x14ac:dyDescent="0.25">
      <c r="A436" s="194"/>
      <c r="B436" s="124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"/>
    </row>
    <row r="437" spans="1:16" ht="16.5" x14ac:dyDescent="0.25">
      <c r="A437" s="194"/>
      <c r="B437" s="124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"/>
    </row>
    <row r="438" spans="1:16" ht="16.5" x14ac:dyDescent="0.25">
      <c r="A438" s="192"/>
      <c r="B438" s="124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"/>
    </row>
    <row r="439" spans="1:16" ht="16.5" x14ac:dyDescent="0.25">
      <c r="A439" s="192"/>
      <c r="B439" s="124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"/>
    </row>
    <row r="440" spans="1:16" ht="16.5" x14ac:dyDescent="0.25">
      <c r="A440" s="192"/>
      <c r="B440" s="124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"/>
    </row>
    <row r="441" spans="1:16" ht="16.5" x14ac:dyDescent="0.25">
      <c r="A441" s="192"/>
      <c r="B441" s="124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"/>
    </row>
    <row r="442" spans="1:16" ht="16.5" x14ac:dyDescent="0.25">
      <c r="A442" s="192"/>
      <c r="B442" s="124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"/>
    </row>
    <row r="443" spans="1:16" ht="16.5" x14ac:dyDescent="0.25">
      <c r="A443" s="192"/>
      <c r="B443" s="124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"/>
    </row>
    <row r="444" spans="1:16" ht="16.5" x14ac:dyDescent="0.25">
      <c r="A444" s="192"/>
      <c r="B444" s="124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19"/>
      <c r="P444" s="1"/>
    </row>
    <row r="445" spans="1:16" ht="16.5" x14ac:dyDescent="0.25">
      <c r="A445" s="192"/>
      <c r="B445" s="124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"/>
    </row>
    <row r="446" spans="1:16" ht="16.5" x14ac:dyDescent="0.25">
      <c r="A446" s="192"/>
      <c r="B446" s="124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"/>
    </row>
    <row r="447" spans="1:16" ht="16.5" x14ac:dyDescent="0.25">
      <c r="A447" s="194"/>
      <c r="B447" s="124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"/>
    </row>
    <row r="448" spans="1:16" ht="16.5" x14ac:dyDescent="0.25">
      <c r="A448" s="194"/>
      <c r="B448" s="124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"/>
    </row>
    <row r="449" spans="1:16" ht="16.5" x14ac:dyDescent="0.25">
      <c r="A449" s="194"/>
      <c r="B449" s="124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"/>
    </row>
    <row r="450" spans="1:16" ht="16.5" x14ac:dyDescent="0.25">
      <c r="A450" s="192"/>
      <c r="B450" s="124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"/>
    </row>
    <row r="451" spans="1:16" ht="16.5" x14ac:dyDescent="0.25">
      <c r="A451" s="192"/>
      <c r="B451" s="124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"/>
    </row>
    <row r="452" spans="1:16" ht="16.5" x14ac:dyDescent="0.25">
      <c r="A452" s="192"/>
      <c r="B452" s="124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"/>
    </row>
    <row r="453" spans="1:16" ht="16.5" x14ac:dyDescent="0.25">
      <c r="A453" s="192"/>
      <c r="B453" s="124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"/>
    </row>
    <row r="454" spans="1:16" ht="16.5" x14ac:dyDescent="0.25">
      <c r="A454" s="192"/>
      <c r="B454" s="124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"/>
    </row>
    <row r="455" spans="1:16" ht="16.5" x14ac:dyDescent="0.25">
      <c r="A455" s="192"/>
      <c r="B455" s="124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"/>
    </row>
    <row r="456" spans="1:16" ht="16.5" x14ac:dyDescent="0.25">
      <c r="A456" s="192"/>
      <c r="B456" s="124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19"/>
      <c r="P456" s="1"/>
    </row>
    <row r="457" spans="1:16" ht="16.5" x14ac:dyDescent="0.25">
      <c r="A457" s="192"/>
      <c r="B457" s="124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"/>
    </row>
    <row r="458" spans="1:16" ht="16.5" x14ac:dyDescent="0.25">
      <c r="A458" s="192"/>
      <c r="B458" s="124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"/>
    </row>
    <row r="459" spans="1:16" ht="16.5" x14ac:dyDescent="0.25">
      <c r="A459" s="194"/>
      <c r="B459" s="124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"/>
    </row>
    <row r="460" spans="1:16" ht="16.5" x14ac:dyDescent="0.25">
      <c r="A460" s="194"/>
      <c r="B460" s="124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"/>
    </row>
    <row r="461" spans="1:16" ht="16.5" x14ac:dyDescent="0.25">
      <c r="A461" s="194"/>
      <c r="B461" s="124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"/>
    </row>
    <row r="462" spans="1:16" ht="16.5" x14ac:dyDescent="0.25">
      <c r="A462" s="192"/>
      <c r="B462" s="124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"/>
    </row>
    <row r="463" spans="1:16" ht="16.5" x14ac:dyDescent="0.25">
      <c r="A463" s="192"/>
      <c r="B463" s="124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"/>
    </row>
    <row r="464" spans="1:16" ht="16.5" x14ac:dyDescent="0.25">
      <c r="A464" s="192"/>
      <c r="B464" s="124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"/>
    </row>
    <row r="465" spans="1:16" ht="16.5" x14ac:dyDescent="0.25">
      <c r="A465" s="192"/>
      <c r="B465" s="124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"/>
    </row>
    <row r="466" spans="1:16" ht="16.5" x14ac:dyDescent="0.25">
      <c r="A466" s="192"/>
      <c r="B466" s="124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"/>
    </row>
    <row r="467" spans="1:16" ht="16.5" x14ac:dyDescent="0.25">
      <c r="A467" s="192"/>
      <c r="B467" s="124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"/>
    </row>
    <row r="468" spans="1:16" ht="16.5" x14ac:dyDescent="0.25">
      <c r="A468" s="192"/>
      <c r="B468" s="124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19"/>
      <c r="P468" s="1"/>
    </row>
    <row r="469" spans="1:16" ht="16.5" x14ac:dyDescent="0.25">
      <c r="A469" s="192"/>
      <c r="B469" s="124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"/>
    </row>
    <row r="470" spans="1:16" ht="16.5" x14ac:dyDescent="0.25">
      <c r="A470" s="192"/>
      <c r="B470" s="124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"/>
    </row>
    <row r="471" spans="1:16" ht="16.5" x14ac:dyDescent="0.25">
      <c r="A471" s="194"/>
      <c r="B471" s="124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"/>
    </row>
    <row r="472" spans="1:16" ht="16.5" x14ac:dyDescent="0.25">
      <c r="A472" s="194"/>
      <c r="B472" s="124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"/>
    </row>
    <row r="473" spans="1:16" ht="16.5" x14ac:dyDescent="0.25">
      <c r="A473" s="194"/>
      <c r="B473" s="124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"/>
    </row>
    <row r="474" spans="1:16" ht="16.5" x14ac:dyDescent="0.25">
      <c r="A474" s="192"/>
      <c r="B474" s="124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"/>
    </row>
    <row r="475" spans="1:16" ht="16.5" x14ac:dyDescent="0.25">
      <c r="A475" s="192"/>
      <c r="B475" s="124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"/>
    </row>
    <row r="476" spans="1:16" ht="16.5" x14ac:dyDescent="0.25">
      <c r="A476" s="192"/>
      <c r="B476" s="124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"/>
    </row>
    <row r="477" spans="1:16" ht="16.5" x14ac:dyDescent="0.25">
      <c r="A477" s="192"/>
      <c r="B477" s="124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"/>
    </row>
    <row r="478" spans="1:16" ht="16.5" x14ac:dyDescent="0.25">
      <c r="A478" s="192"/>
      <c r="B478" s="124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"/>
    </row>
    <row r="479" spans="1:16" ht="16.5" x14ac:dyDescent="0.25">
      <c r="A479" s="192"/>
      <c r="B479" s="124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"/>
    </row>
    <row r="480" spans="1:16" ht="16.5" x14ac:dyDescent="0.25">
      <c r="A480" s="192"/>
      <c r="B480" s="124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19"/>
      <c r="P480" s="1"/>
    </row>
    <row r="481" spans="1:16" ht="16.5" x14ac:dyDescent="0.25">
      <c r="A481" s="192"/>
      <c r="B481" s="124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"/>
    </row>
    <row r="482" spans="1:16" ht="16.5" x14ac:dyDescent="0.25">
      <c r="A482" s="192"/>
      <c r="B482" s="124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"/>
    </row>
    <row r="483" spans="1:16" ht="16.5" x14ac:dyDescent="0.25">
      <c r="A483" s="194"/>
      <c r="B483" s="124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"/>
    </row>
    <row r="484" spans="1:16" ht="16.5" x14ac:dyDescent="0.25">
      <c r="A484" s="194"/>
      <c r="B484" s="124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"/>
    </row>
    <row r="485" spans="1:16" ht="16.5" x14ac:dyDescent="0.25">
      <c r="A485" s="194"/>
      <c r="B485" s="124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"/>
    </row>
    <row r="486" spans="1:16" ht="16.5" x14ac:dyDescent="0.25">
      <c r="A486" s="192"/>
      <c r="B486" s="124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"/>
    </row>
    <row r="487" spans="1:16" ht="16.5" x14ac:dyDescent="0.25">
      <c r="A487" s="192"/>
      <c r="B487" s="124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"/>
    </row>
    <row r="488" spans="1:16" ht="16.5" x14ac:dyDescent="0.25">
      <c r="A488" s="192"/>
      <c r="B488" s="124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"/>
    </row>
    <row r="489" spans="1:16" ht="16.5" x14ac:dyDescent="0.25">
      <c r="A489" s="192"/>
      <c r="B489" s="124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"/>
    </row>
    <row r="490" spans="1:16" ht="16.5" x14ac:dyDescent="0.25">
      <c r="A490" s="192"/>
      <c r="B490" s="124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"/>
    </row>
    <row r="491" spans="1:16" ht="16.5" x14ac:dyDescent="0.25">
      <c r="A491" s="192"/>
      <c r="B491" s="124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"/>
    </row>
    <row r="492" spans="1:16" ht="16.5" x14ac:dyDescent="0.25">
      <c r="A492" s="192"/>
      <c r="B492" s="124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19"/>
      <c r="P492" s="1"/>
    </row>
    <row r="493" spans="1:16" ht="16.5" x14ac:dyDescent="0.25">
      <c r="A493" s="192"/>
      <c r="B493" s="124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"/>
    </row>
    <row r="494" spans="1:16" ht="16.5" x14ac:dyDescent="0.25">
      <c r="A494" s="192"/>
      <c r="B494" s="124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"/>
    </row>
    <row r="495" spans="1:16" ht="16.5" x14ac:dyDescent="0.25">
      <c r="A495" s="194"/>
      <c r="B495" s="124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"/>
    </row>
    <row r="496" spans="1:16" ht="16.5" x14ac:dyDescent="0.25">
      <c r="A496" s="194"/>
      <c r="B496" s="124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"/>
    </row>
    <row r="497" spans="1:16" ht="16.5" x14ac:dyDescent="0.25">
      <c r="A497" s="194"/>
      <c r="B497" s="124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"/>
    </row>
    <row r="498" spans="1:16" ht="16.5" x14ac:dyDescent="0.25">
      <c r="A498" s="192"/>
      <c r="B498" s="124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"/>
    </row>
    <row r="499" spans="1:16" ht="16.5" x14ac:dyDescent="0.25">
      <c r="A499" s="192"/>
      <c r="B499" s="124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"/>
    </row>
    <row r="500" spans="1:16" ht="16.5" x14ac:dyDescent="0.25">
      <c r="A500" s="192"/>
      <c r="B500" s="124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"/>
    </row>
    <row r="501" spans="1:16" ht="16.5" x14ac:dyDescent="0.25">
      <c r="A501" s="192"/>
      <c r="B501" s="124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"/>
    </row>
    <row r="502" spans="1:16" ht="16.5" x14ac:dyDescent="0.25">
      <c r="A502" s="192"/>
      <c r="B502" s="124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"/>
    </row>
    <row r="503" spans="1:16" ht="16.5" x14ac:dyDescent="0.25">
      <c r="A503" s="192"/>
      <c r="B503" s="124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"/>
    </row>
    <row r="504" spans="1:16" ht="16.5" x14ac:dyDescent="0.25">
      <c r="A504" s="192"/>
      <c r="B504" s="124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19"/>
      <c r="P504" s="1"/>
    </row>
    <row r="505" spans="1:16" ht="16.5" x14ac:dyDescent="0.25">
      <c r="A505" s="192"/>
      <c r="B505" s="124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"/>
    </row>
    <row r="506" spans="1:16" ht="16.5" x14ac:dyDescent="0.25">
      <c r="A506" s="192"/>
      <c r="B506" s="124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"/>
    </row>
    <row r="507" spans="1:16" ht="16.5" x14ac:dyDescent="0.25">
      <c r="A507" s="194"/>
      <c r="B507" s="124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"/>
    </row>
    <row r="508" spans="1:16" ht="16.5" x14ac:dyDescent="0.25">
      <c r="A508" s="194"/>
      <c r="B508" s="124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"/>
    </row>
    <row r="509" spans="1:16" ht="16.5" x14ac:dyDescent="0.25">
      <c r="A509" s="194"/>
      <c r="B509" s="124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"/>
    </row>
    <row r="510" spans="1:16" ht="16.5" x14ac:dyDescent="0.25">
      <c r="A510" s="192"/>
      <c r="B510" s="124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"/>
    </row>
    <row r="511" spans="1:16" ht="16.5" x14ac:dyDescent="0.25">
      <c r="A511" s="192"/>
      <c r="B511" s="124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"/>
    </row>
    <row r="512" spans="1:16" ht="16.5" x14ac:dyDescent="0.25">
      <c r="A512" s="192"/>
      <c r="B512" s="124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"/>
    </row>
    <row r="513" spans="1:16" ht="16.5" x14ac:dyDescent="0.25">
      <c r="A513" s="192"/>
      <c r="B513" s="124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"/>
    </row>
    <row r="514" spans="1:16" ht="16.5" x14ac:dyDescent="0.25">
      <c r="A514" s="192"/>
      <c r="B514" s="124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"/>
    </row>
    <row r="515" spans="1:16" ht="16.5" x14ac:dyDescent="0.25">
      <c r="A515" s="192"/>
      <c r="B515" s="124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"/>
    </row>
    <row r="516" spans="1:16" ht="16.5" x14ac:dyDescent="0.25">
      <c r="A516" s="192"/>
      <c r="B516" s="124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19"/>
      <c r="P516" s="1"/>
    </row>
    <row r="517" spans="1:16" ht="16.5" x14ac:dyDescent="0.25">
      <c r="A517" s="192"/>
      <c r="B517" s="124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"/>
    </row>
    <row r="518" spans="1:16" ht="16.5" x14ac:dyDescent="0.25">
      <c r="A518" s="192"/>
      <c r="B518" s="124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"/>
    </row>
    <row r="519" spans="1:16" ht="16.5" x14ac:dyDescent="0.25">
      <c r="A519" s="194"/>
      <c r="B519" s="124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"/>
    </row>
    <row r="520" spans="1:16" ht="16.5" x14ac:dyDescent="0.25">
      <c r="A520" s="194"/>
      <c r="B520" s="124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"/>
    </row>
    <row r="521" spans="1:16" ht="16.5" x14ac:dyDescent="0.25">
      <c r="A521" s="194"/>
      <c r="B521" s="124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"/>
    </row>
    <row r="522" spans="1:16" ht="16.5" x14ac:dyDescent="0.25">
      <c r="A522" s="192"/>
      <c r="B522" s="124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"/>
    </row>
    <row r="523" spans="1:16" ht="16.5" x14ac:dyDescent="0.25">
      <c r="A523" s="192"/>
      <c r="B523" s="124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"/>
    </row>
    <row r="524" spans="1:16" ht="16.5" x14ac:dyDescent="0.25">
      <c r="A524" s="192"/>
      <c r="B524" s="124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"/>
    </row>
    <row r="525" spans="1:16" ht="16.5" x14ac:dyDescent="0.25">
      <c r="A525" s="192"/>
      <c r="B525" s="124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"/>
    </row>
    <row r="526" spans="1:16" ht="16.5" x14ac:dyDescent="0.25">
      <c r="A526" s="192"/>
      <c r="B526" s="124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"/>
    </row>
    <row r="527" spans="1:16" ht="16.5" x14ac:dyDescent="0.25">
      <c r="A527" s="192"/>
      <c r="B527" s="124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"/>
    </row>
    <row r="528" spans="1:16" ht="16.5" x14ac:dyDescent="0.25">
      <c r="A528" s="192"/>
      <c r="B528" s="124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19"/>
      <c r="P528" s="1"/>
    </row>
    <row r="529" spans="1:16" ht="16.5" x14ac:dyDescent="0.25">
      <c r="A529" s="192"/>
      <c r="B529" s="124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"/>
    </row>
    <row r="530" spans="1:16" ht="16.5" x14ac:dyDescent="0.25">
      <c r="A530" s="192"/>
      <c r="B530" s="124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"/>
    </row>
    <row r="531" spans="1:16" ht="16.5" x14ac:dyDescent="0.25">
      <c r="A531" s="194"/>
      <c r="B531" s="124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"/>
    </row>
    <row r="532" spans="1:16" ht="16.5" x14ac:dyDescent="0.25">
      <c r="A532" s="194"/>
      <c r="B532" s="124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"/>
    </row>
    <row r="533" spans="1:16" ht="16.5" x14ac:dyDescent="0.25">
      <c r="A533" s="194"/>
      <c r="B533" s="124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"/>
    </row>
    <row r="534" spans="1:16" ht="16.5" x14ac:dyDescent="0.25">
      <c r="A534" s="192"/>
      <c r="B534" s="124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"/>
    </row>
    <row r="535" spans="1:16" ht="16.5" x14ac:dyDescent="0.25">
      <c r="A535" s="192"/>
      <c r="B535" s="124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"/>
    </row>
    <row r="536" spans="1:16" ht="16.5" x14ac:dyDescent="0.25">
      <c r="A536" s="192"/>
      <c r="B536" s="124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"/>
    </row>
    <row r="537" spans="1:16" ht="16.5" x14ac:dyDescent="0.25">
      <c r="A537" s="192"/>
      <c r="B537" s="124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"/>
    </row>
    <row r="538" spans="1:16" ht="16.5" x14ac:dyDescent="0.25">
      <c r="A538" s="192"/>
      <c r="B538" s="124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"/>
    </row>
    <row r="539" spans="1:16" ht="16.5" x14ac:dyDescent="0.25">
      <c r="A539" s="192"/>
      <c r="B539" s="124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"/>
    </row>
    <row r="540" spans="1:16" ht="16.5" x14ac:dyDescent="0.25">
      <c r="A540" s="192"/>
      <c r="B540" s="124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19"/>
      <c r="P540" s="1"/>
    </row>
    <row r="541" spans="1:16" ht="16.5" x14ac:dyDescent="0.25">
      <c r="A541" s="192"/>
      <c r="B541" s="124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"/>
    </row>
    <row r="542" spans="1:16" ht="16.5" x14ac:dyDescent="0.25">
      <c r="A542" s="192"/>
      <c r="B542" s="124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"/>
    </row>
    <row r="543" spans="1:16" ht="16.5" x14ac:dyDescent="0.25">
      <c r="A543" s="194"/>
      <c r="B543" s="124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"/>
    </row>
    <row r="544" spans="1:16" ht="16.5" x14ac:dyDescent="0.25">
      <c r="A544" s="194"/>
      <c r="B544" s="124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"/>
    </row>
    <row r="545" spans="1:16" ht="16.5" x14ac:dyDescent="0.25">
      <c r="A545" s="194"/>
      <c r="B545" s="124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"/>
    </row>
    <row r="546" spans="1:16" ht="16.5" x14ac:dyDescent="0.25">
      <c r="A546" s="192"/>
      <c r="B546" s="124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"/>
    </row>
    <row r="547" spans="1:16" ht="16.5" x14ac:dyDescent="0.25">
      <c r="A547" s="192"/>
      <c r="B547" s="124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"/>
    </row>
    <row r="548" spans="1:16" ht="16.5" x14ac:dyDescent="0.25">
      <c r="A548" s="192"/>
      <c r="B548" s="124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"/>
    </row>
    <row r="549" spans="1:16" ht="16.5" x14ac:dyDescent="0.25">
      <c r="A549" s="192"/>
      <c r="B549" s="124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"/>
    </row>
    <row r="550" spans="1:16" ht="16.5" x14ac:dyDescent="0.25">
      <c r="A550" s="192"/>
      <c r="B550" s="124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"/>
    </row>
    <row r="551" spans="1:16" ht="16.5" x14ac:dyDescent="0.25">
      <c r="A551" s="192"/>
      <c r="B551" s="124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"/>
    </row>
    <row r="552" spans="1:16" ht="16.5" x14ac:dyDescent="0.25">
      <c r="A552" s="192"/>
      <c r="B552" s="124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19"/>
      <c r="P552" s="1"/>
    </row>
    <row r="553" spans="1:16" ht="16.5" x14ac:dyDescent="0.25">
      <c r="A553" s="192"/>
      <c r="B553" s="124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"/>
    </row>
    <row r="554" spans="1:16" ht="16.5" x14ac:dyDescent="0.25">
      <c r="A554" s="192"/>
      <c r="B554" s="124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"/>
    </row>
    <row r="555" spans="1:16" ht="16.5" x14ac:dyDescent="0.25">
      <c r="A555" s="194"/>
      <c r="B555" s="124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"/>
    </row>
    <row r="556" spans="1:16" ht="16.5" x14ac:dyDescent="0.25">
      <c r="A556" s="194"/>
      <c r="B556" s="124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"/>
    </row>
    <row r="557" spans="1:16" ht="16.5" x14ac:dyDescent="0.25">
      <c r="A557" s="194"/>
      <c r="B557" s="124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"/>
    </row>
    <row r="558" spans="1:16" ht="16.5" x14ac:dyDescent="0.25">
      <c r="A558" s="192"/>
      <c r="B558" s="124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"/>
    </row>
    <row r="559" spans="1:16" ht="16.5" x14ac:dyDescent="0.25">
      <c r="A559" s="192"/>
      <c r="B559" s="124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"/>
    </row>
    <row r="560" spans="1:16" ht="16.5" x14ac:dyDescent="0.25">
      <c r="A560" s="192"/>
      <c r="B560" s="124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"/>
    </row>
    <row r="561" spans="1:16" ht="16.5" x14ac:dyDescent="0.25">
      <c r="A561" s="192"/>
      <c r="B561" s="124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"/>
    </row>
    <row r="562" spans="1:16" ht="16.5" x14ac:dyDescent="0.25">
      <c r="A562" s="192"/>
      <c r="B562" s="124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"/>
    </row>
    <row r="563" spans="1:16" ht="16.5" x14ac:dyDescent="0.25">
      <c r="A563" s="192"/>
      <c r="B563" s="124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"/>
    </row>
    <row r="564" spans="1:16" ht="16.5" x14ac:dyDescent="0.25">
      <c r="A564" s="192"/>
      <c r="B564" s="124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19"/>
      <c r="P564" s="1"/>
    </row>
    <row r="565" spans="1:16" ht="16.5" x14ac:dyDescent="0.25">
      <c r="A565" s="192"/>
      <c r="B565" s="124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"/>
    </row>
    <row r="566" spans="1:16" ht="16.5" x14ac:dyDescent="0.25">
      <c r="A566" s="192"/>
      <c r="B566" s="124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"/>
    </row>
    <row r="567" spans="1:16" ht="16.5" x14ac:dyDescent="0.25">
      <c r="A567" s="194"/>
      <c r="B567" s="124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"/>
    </row>
    <row r="568" spans="1:16" ht="16.5" x14ac:dyDescent="0.25">
      <c r="A568" s="194"/>
      <c r="B568" s="124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"/>
    </row>
    <row r="569" spans="1:16" ht="16.5" x14ac:dyDescent="0.25">
      <c r="A569" s="194"/>
      <c r="B569" s="124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"/>
    </row>
    <row r="570" spans="1:16" ht="16.5" x14ac:dyDescent="0.25">
      <c r="A570" s="192"/>
      <c r="B570" s="124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"/>
    </row>
    <row r="571" spans="1:16" ht="16.5" x14ac:dyDescent="0.25">
      <c r="A571" s="192"/>
      <c r="B571" s="124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"/>
    </row>
    <row r="572" spans="1:16" ht="16.5" x14ac:dyDescent="0.25">
      <c r="A572" s="192"/>
      <c r="B572" s="124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"/>
    </row>
    <row r="573" spans="1:16" ht="16.5" x14ac:dyDescent="0.25">
      <c r="A573" s="192"/>
      <c r="B573" s="124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"/>
    </row>
    <row r="574" spans="1:16" ht="16.5" x14ac:dyDescent="0.25">
      <c r="A574" s="192"/>
      <c r="B574" s="124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"/>
    </row>
    <row r="575" spans="1:16" ht="16.5" x14ac:dyDescent="0.25">
      <c r="A575" s="192"/>
      <c r="B575" s="124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"/>
    </row>
    <row r="576" spans="1:16" ht="16.5" x14ac:dyDescent="0.25">
      <c r="A576" s="192"/>
      <c r="B576" s="124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19"/>
      <c r="P576" s="1"/>
    </row>
    <row r="577" spans="1:16" ht="16.5" x14ac:dyDescent="0.25">
      <c r="A577" s="192"/>
      <c r="B577" s="124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"/>
    </row>
    <row r="578" spans="1:16" ht="16.5" x14ac:dyDescent="0.25">
      <c r="A578" s="192"/>
      <c r="B578" s="124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"/>
    </row>
    <row r="579" spans="1:16" ht="16.5" x14ac:dyDescent="0.25">
      <c r="A579" s="194"/>
      <c r="B579" s="124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"/>
    </row>
    <row r="580" spans="1:16" ht="16.5" x14ac:dyDescent="0.25">
      <c r="A580" s="194"/>
      <c r="B580" s="124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"/>
    </row>
    <row r="581" spans="1:16" ht="16.5" x14ac:dyDescent="0.25">
      <c r="A581" s="194"/>
      <c r="B581" s="124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"/>
    </row>
    <row r="582" spans="1:16" ht="16.5" x14ac:dyDescent="0.25">
      <c r="A582" s="192"/>
      <c r="B582" s="124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"/>
    </row>
    <row r="583" spans="1:16" ht="16.5" x14ac:dyDescent="0.25">
      <c r="A583" s="192"/>
      <c r="B583" s="124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"/>
    </row>
    <row r="584" spans="1:16" ht="16.5" x14ac:dyDescent="0.25">
      <c r="A584" s="192"/>
      <c r="B584" s="124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"/>
    </row>
    <row r="585" spans="1:16" ht="16.5" x14ac:dyDescent="0.25">
      <c r="A585" s="192"/>
      <c r="B585" s="124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"/>
    </row>
    <row r="586" spans="1:16" ht="16.5" x14ac:dyDescent="0.25">
      <c r="A586" s="192"/>
      <c r="B586" s="124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"/>
    </row>
    <row r="587" spans="1:16" ht="16.5" x14ac:dyDescent="0.25">
      <c r="A587" s="192"/>
      <c r="B587" s="124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"/>
    </row>
    <row r="588" spans="1:16" ht="16.5" x14ac:dyDescent="0.25">
      <c r="A588" s="192"/>
      <c r="B588" s="124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19"/>
      <c r="P588" s="1"/>
    </row>
    <row r="589" spans="1:16" ht="16.5" x14ac:dyDescent="0.25">
      <c r="A589" s="192"/>
      <c r="B589" s="124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"/>
    </row>
    <row r="590" spans="1:16" ht="16.5" x14ac:dyDescent="0.25">
      <c r="A590" s="192"/>
      <c r="B590" s="124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"/>
    </row>
    <row r="591" spans="1:16" ht="16.5" x14ac:dyDescent="0.25">
      <c r="A591" s="194"/>
      <c r="B591" s="124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"/>
    </row>
    <row r="592" spans="1:16" ht="16.5" x14ac:dyDescent="0.25">
      <c r="A592" s="194"/>
      <c r="B592" s="124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"/>
    </row>
    <row r="593" spans="1:16" ht="16.5" x14ac:dyDescent="0.25">
      <c r="A593" s="194"/>
      <c r="B593" s="124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"/>
    </row>
    <row r="594" spans="1:16" ht="16.5" x14ac:dyDescent="0.25">
      <c r="A594" s="192"/>
      <c r="B594" s="124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"/>
    </row>
    <row r="595" spans="1:16" ht="16.5" x14ac:dyDescent="0.25">
      <c r="A595" s="192"/>
      <c r="B595" s="124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"/>
    </row>
    <row r="596" spans="1:16" ht="16.5" x14ac:dyDescent="0.25">
      <c r="A596" s="192"/>
      <c r="B596" s="124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"/>
    </row>
    <row r="597" spans="1:16" ht="16.5" x14ac:dyDescent="0.25">
      <c r="A597" s="192"/>
      <c r="B597" s="124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"/>
    </row>
    <row r="598" spans="1:16" ht="16.5" x14ac:dyDescent="0.25">
      <c r="A598" s="192"/>
      <c r="B598" s="124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"/>
    </row>
    <row r="599" spans="1:16" ht="16.5" x14ac:dyDescent="0.25">
      <c r="A599" s="192"/>
      <c r="B599" s="124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"/>
    </row>
    <row r="600" spans="1:16" ht="16.5" x14ac:dyDescent="0.25">
      <c r="A600" s="192"/>
      <c r="B600" s="124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19"/>
      <c r="P600" s="1"/>
    </row>
    <row r="601" spans="1:16" ht="16.5" x14ac:dyDescent="0.25">
      <c r="A601" s="192"/>
      <c r="B601" s="124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"/>
    </row>
    <row r="602" spans="1:16" ht="16.5" x14ac:dyDescent="0.25">
      <c r="A602" s="192"/>
      <c r="B602" s="124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"/>
    </row>
    <row r="603" spans="1:16" ht="16.5" x14ac:dyDescent="0.25">
      <c r="A603" s="194"/>
      <c r="B603" s="124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"/>
    </row>
    <row r="604" spans="1:16" ht="16.5" x14ac:dyDescent="0.25">
      <c r="A604" s="194"/>
      <c r="B604" s="124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"/>
    </row>
    <row r="605" spans="1:16" ht="16.5" x14ac:dyDescent="0.25">
      <c r="A605" s="194"/>
      <c r="B605" s="124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"/>
    </row>
    <row r="606" spans="1:16" ht="16.5" x14ac:dyDescent="0.25">
      <c r="A606" s="192"/>
      <c r="B606" s="124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"/>
    </row>
    <row r="607" spans="1:16" ht="16.5" x14ac:dyDescent="0.25">
      <c r="A607" s="192"/>
      <c r="B607" s="124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"/>
    </row>
    <row r="608" spans="1:16" ht="16.5" x14ac:dyDescent="0.25">
      <c r="A608" s="192"/>
      <c r="B608" s="124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"/>
    </row>
    <row r="609" spans="1:16" ht="16.5" x14ac:dyDescent="0.25">
      <c r="A609" s="192"/>
      <c r="B609" s="124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"/>
    </row>
    <row r="610" spans="1:16" ht="16.5" x14ac:dyDescent="0.25">
      <c r="A610" s="192"/>
      <c r="B610" s="124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"/>
    </row>
    <row r="611" spans="1:16" ht="16.5" x14ac:dyDescent="0.25">
      <c r="A611" s="192"/>
      <c r="B611" s="124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"/>
    </row>
    <row r="612" spans="1:16" ht="16.5" x14ac:dyDescent="0.25">
      <c r="A612" s="192"/>
      <c r="B612" s="124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19"/>
      <c r="P612" s="1"/>
    </row>
    <row r="613" spans="1:16" ht="16.5" x14ac:dyDescent="0.25">
      <c r="A613" s="192"/>
      <c r="B613" s="124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"/>
    </row>
    <row r="614" spans="1:16" ht="16.5" x14ac:dyDescent="0.25">
      <c r="A614" s="192"/>
      <c r="B614" s="124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"/>
    </row>
    <row r="615" spans="1:16" ht="16.5" x14ac:dyDescent="0.25">
      <c r="A615" s="194"/>
      <c r="B615" s="124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"/>
    </row>
    <row r="616" spans="1:16" ht="16.5" x14ac:dyDescent="0.25">
      <c r="A616" s="194"/>
      <c r="B616" s="124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"/>
    </row>
    <row r="617" spans="1:16" ht="16.5" x14ac:dyDescent="0.25">
      <c r="A617" s="194"/>
      <c r="B617" s="124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"/>
    </row>
    <row r="618" spans="1:16" ht="16.5" x14ac:dyDescent="0.25">
      <c r="A618" s="192"/>
      <c r="B618" s="124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"/>
    </row>
    <row r="619" spans="1:16" ht="16.5" x14ac:dyDescent="0.25">
      <c r="A619" s="192"/>
      <c r="B619" s="124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"/>
    </row>
    <row r="620" spans="1:16" ht="16.5" x14ac:dyDescent="0.25">
      <c r="A620" s="192"/>
      <c r="B620" s="124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"/>
    </row>
    <row r="621" spans="1:16" ht="16.5" x14ac:dyDescent="0.25">
      <c r="A621" s="192"/>
      <c r="B621" s="124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"/>
    </row>
    <row r="622" spans="1:16" ht="16.5" x14ac:dyDescent="0.25">
      <c r="A622" s="192"/>
      <c r="B622" s="124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"/>
    </row>
    <row r="623" spans="1:16" ht="16.5" x14ac:dyDescent="0.25">
      <c r="A623" s="192"/>
      <c r="B623" s="124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"/>
    </row>
    <row r="624" spans="1:16" ht="16.5" x14ac:dyDescent="0.25">
      <c r="A624" s="192"/>
      <c r="B624" s="124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19"/>
      <c r="P624" s="1"/>
    </row>
    <row r="625" spans="1:16" ht="16.5" x14ac:dyDescent="0.25">
      <c r="A625" s="192"/>
      <c r="B625" s="124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"/>
    </row>
    <row r="626" spans="1:16" ht="16.5" x14ac:dyDescent="0.25">
      <c r="A626" s="192"/>
      <c r="B626" s="124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"/>
    </row>
    <row r="627" spans="1:16" ht="16.5" x14ac:dyDescent="0.25">
      <c r="A627" s="194"/>
      <c r="B627" s="124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"/>
    </row>
    <row r="628" spans="1:16" ht="16.5" x14ac:dyDescent="0.25">
      <c r="A628" s="194"/>
      <c r="B628" s="124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"/>
    </row>
    <row r="629" spans="1:16" ht="16.5" x14ac:dyDescent="0.25">
      <c r="A629" s="194"/>
      <c r="B629" s="124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"/>
    </row>
    <row r="630" spans="1:16" ht="16.5" x14ac:dyDescent="0.25">
      <c r="A630" s="192"/>
      <c r="B630" s="124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"/>
    </row>
    <row r="631" spans="1:16" ht="16.5" x14ac:dyDescent="0.25">
      <c r="A631" s="192"/>
      <c r="B631" s="124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"/>
    </row>
    <row r="632" spans="1:16" ht="16.5" x14ac:dyDescent="0.25">
      <c r="A632" s="192"/>
      <c r="B632" s="124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"/>
    </row>
    <row r="633" spans="1:16" ht="16.5" x14ac:dyDescent="0.25">
      <c r="A633" s="192"/>
      <c r="B633" s="124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"/>
    </row>
    <row r="634" spans="1:16" ht="16.5" x14ac:dyDescent="0.25">
      <c r="A634" s="192"/>
      <c r="B634" s="124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"/>
    </row>
    <row r="635" spans="1:16" ht="16.5" x14ac:dyDescent="0.25">
      <c r="A635" s="192"/>
      <c r="B635" s="124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"/>
    </row>
    <row r="636" spans="1:16" ht="16.5" x14ac:dyDescent="0.25">
      <c r="A636" s="192"/>
      <c r="B636" s="124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19"/>
      <c r="P636" s="1"/>
    </row>
    <row r="637" spans="1:16" ht="16.5" x14ac:dyDescent="0.25">
      <c r="A637" s="192"/>
      <c r="B637" s="124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"/>
    </row>
    <row r="638" spans="1:16" ht="16.5" x14ac:dyDescent="0.25">
      <c r="A638" s="192"/>
      <c r="B638" s="124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"/>
    </row>
    <row r="639" spans="1:16" ht="16.5" x14ac:dyDescent="0.25">
      <c r="A639" s="194"/>
      <c r="B639" s="124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"/>
    </row>
    <row r="640" spans="1:16" ht="16.5" x14ac:dyDescent="0.25">
      <c r="A640" s="194"/>
      <c r="B640" s="124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"/>
    </row>
    <row r="641" spans="1:16" ht="16.5" x14ac:dyDescent="0.25">
      <c r="A641" s="194"/>
      <c r="B641" s="124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"/>
    </row>
    <row r="642" spans="1:16" ht="16.5" x14ac:dyDescent="0.25">
      <c r="A642" s="192"/>
      <c r="B642" s="124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"/>
    </row>
    <row r="643" spans="1:16" ht="16.5" x14ac:dyDescent="0.25">
      <c r="A643" s="192"/>
      <c r="B643" s="124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"/>
    </row>
    <row r="644" spans="1:16" ht="16.5" x14ac:dyDescent="0.25">
      <c r="A644" s="192"/>
      <c r="B644" s="124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"/>
    </row>
    <row r="645" spans="1:16" ht="16.5" x14ac:dyDescent="0.25">
      <c r="A645" s="192"/>
      <c r="B645" s="124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"/>
    </row>
    <row r="646" spans="1:16" ht="16.5" x14ac:dyDescent="0.25">
      <c r="A646" s="192"/>
      <c r="B646" s="124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"/>
    </row>
    <row r="647" spans="1:16" ht="16.5" x14ac:dyDescent="0.25">
      <c r="A647" s="192"/>
      <c r="B647" s="124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"/>
    </row>
    <row r="648" spans="1:16" ht="16.5" x14ac:dyDescent="0.25">
      <c r="A648" s="192"/>
      <c r="B648" s="124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19"/>
      <c r="P648" s="1"/>
    </row>
    <row r="649" spans="1:16" ht="16.5" x14ac:dyDescent="0.25">
      <c r="A649" s="192"/>
      <c r="B649" s="124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"/>
    </row>
    <row r="650" spans="1:16" ht="16.5" x14ac:dyDescent="0.25">
      <c r="A650" s="192"/>
      <c r="B650" s="124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"/>
    </row>
    <row r="651" spans="1:16" ht="16.5" x14ac:dyDescent="0.25">
      <c r="A651" s="194"/>
      <c r="B651" s="124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"/>
    </row>
    <row r="652" spans="1:16" ht="16.5" x14ac:dyDescent="0.25">
      <c r="A652" s="194"/>
      <c r="B652" s="124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"/>
    </row>
    <row r="653" spans="1:16" ht="16.5" x14ac:dyDescent="0.25">
      <c r="A653" s="194"/>
      <c r="B653" s="124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"/>
    </row>
    <row r="654" spans="1:16" ht="16.5" x14ac:dyDescent="0.25">
      <c r="A654" s="192"/>
      <c r="B654" s="124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"/>
    </row>
    <row r="655" spans="1:16" ht="16.5" x14ac:dyDescent="0.25">
      <c r="A655" s="192"/>
      <c r="B655" s="124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"/>
    </row>
    <row r="656" spans="1:16" ht="16.5" x14ac:dyDescent="0.25">
      <c r="A656" s="192"/>
      <c r="B656" s="124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"/>
    </row>
    <row r="657" spans="1:16" ht="16.5" x14ac:dyDescent="0.25">
      <c r="A657" s="192"/>
      <c r="B657" s="124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"/>
    </row>
    <row r="658" spans="1:16" ht="16.5" x14ac:dyDescent="0.25">
      <c r="A658" s="192"/>
      <c r="B658" s="124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"/>
    </row>
    <row r="659" spans="1:16" ht="16.5" x14ac:dyDescent="0.25">
      <c r="A659" s="192"/>
      <c r="B659" s="124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"/>
    </row>
    <row r="660" spans="1:16" ht="16.5" x14ac:dyDescent="0.25">
      <c r="A660" s="192"/>
      <c r="B660" s="124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19"/>
      <c r="P660" s="1"/>
    </row>
    <row r="661" spans="1:16" ht="16.5" x14ac:dyDescent="0.25">
      <c r="A661" s="192"/>
      <c r="B661" s="124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"/>
    </row>
    <row r="662" spans="1:16" ht="16.5" x14ac:dyDescent="0.25">
      <c r="A662" s="192"/>
      <c r="B662" s="124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"/>
    </row>
    <row r="663" spans="1:16" ht="16.5" x14ac:dyDescent="0.25">
      <c r="A663" s="194"/>
      <c r="B663" s="124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"/>
    </row>
    <row r="664" spans="1:16" ht="16.5" x14ac:dyDescent="0.25">
      <c r="A664" s="194"/>
      <c r="B664" s="124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"/>
    </row>
    <row r="665" spans="1:16" ht="16.5" x14ac:dyDescent="0.25">
      <c r="A665" s="194"/>
      <c r="B665" s="124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"/>
    </row>
    <row r="666" spans="1:16" ht="16.5" x14ac:dyDescent="0.25">
      <c r="A666" s="192"/>
      <c r="B666" s="124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"/>
    </row>
    <row r="667" spans="1:16" ht="16.5" x14ac:dyDescent="0.25">
      <c r="A667" s="192"/>
      <c r="B667" s="124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"/>
    </row>
    <row r="668" spans="1:16" ht="16.5" x14ac:dyDescent="0.25">
      <c r="A668" s="192"/>
      <c r="B668" s="124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"/>
    </row>
    <row r="669" spans="1:16" ht="16.5" x14ac:dyDescent="0.25">
      <c r="A669" s="192"/>
      <c r="B669" s="124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"/>
    </row>
    <row r="670" spans="1:16" ht="16.5" x14ac:dyDescent="0.25">
      <c r="A670" s="192"/>
      <c r="B670" s="124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"/>
    </row>
    <row r="671" spans="1:16" ht="16.5" x14ac:dyDescent="0.25">
      <c r="A671" s="192"/>
      <c r="B671" s="124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"/>
    </row>
    <row r="672" spans="1:16" ht="16.5" x14ac:dyDescent="0.25">
      <c r="A672" s="192"/>
      <c r="B672" s="124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19"/>
      <c r="P672" s="1"/>
    </row>
    <row r="673" spans="1:16" ht="16.5" x14ac:dyDescent="0.25">
      <c r="A673" s="192"/>
      <c r="B673" s="124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"/>
    </row>
    <row r="674" spans="1:16" ht="16.5" x14ac:dyDescent="0.25">
      <c r="A674" s="192"/>
      <c r="B674" s="124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"/>
    </row>
    <row r="675" spans="1:16" ht="16.5" x14ac:dyDescent="0.25">
      <c r="A675" s="194"/>
      <c r="B675" s="124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"/>
    </row>
    <row r="676" spans="1:16" ht="16.5" x14ac:dyDescent="0.25">
      <c r="A676" s="194"/>
      <c r="B676" s="124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"/>
    </row>
    <row r="677" spans="1:16" ht="16.5" x14ac:dyDescent="0.25">
      <c r="A677" s="194"/>
      <c r="B677" s="124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"/>
    </row>
    <row r="678" spans="1:16" ht="16.5" x14ac:dyDescent="0.25">
      <c r="A678" s="192"/>
      <c r="B678" s="124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"/>
    </row>
    <row r="679" spans="1:16" ht="16.5" x14ac:dyDescent="0.25">
      <c r="A679" s="192"/>
      <c r="B679" s="124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"/>
    </row>
    <row r="680" spans="1:16" ht="16.5" x14ac:dyDescent="0.25">
      <c r="A680" s="192"/>
      <c r="B680" s="124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"/>
    </row>
    <row r="681" spans="1:16" ht="16.5" x14ac:dyDescent="0.25">
      <c r="A681" s="192"/>
      <c r="B681" s="124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"/>
    </row>
    <row r="682" spans="1:16" ht="16.5" x14ac:dyDescent="0.25">
      <c r="A682" s="192"/>
      <c r="B682" s="124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"/>
    </row>
    <row r="683" spans="1:16" ht="16.5" x14ac:dyDescent="0.25">
      <c r="A683" s="192"/>
      <c r="B683" s="124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"/>
    </row>
    <row r="684" spans="1:16" ht="16.5" x14ac:dyDescent="0.25">
      <c r="A684" s="192"/>
      <c r="B684" s="124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19"/>
      <c r="P684" s="1"/>
    </row>
    <row r="685" spans="1:16" ht="16.5" x14ac:dyDescent="0.25">
      <c r="A685" s="192"/>
      <c r="B685" s="124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"/>
    </row>
    <row r="686" spans="1:16" ht="16.5" x14ac:dyDescent="0.25">
      <c r="A686" s="192"/>
      <c r="B686" s="124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"/>
    </row>
    <row r="687" spans="1:16" ht="16.5" x14ac:dyDescent="0.25">
      <c r="A687" s="194"/>
      <c r="B687" s="124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"/>
    </row>
    <row r="688" spans="1:16" ht="16.5" x14ac:dyDescent="0.25">
      <c r="A688" s="194"/>
      <c r="B688" s="124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"/>
    </row>
    <row r="689" spans="1:16" ht="16.5" x14ac:dyDescent="0.25">
      <c r="A689" s="194"/>
      <c r="B689" s="124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"/>
    </row>
    <row r="690" spans="1:16" ht="16.5" x14ac:dyDescent="0.25">
      <c r="A690" s="192"/>
      <c r="B690" s="124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"/>
    </row>
    <row r="691" spans="1:16" ht="16.5" x14ac:dyDescent="0.25">
      <c r="A691" s="192"/>
      <c r="B691" s="124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"/>
    </row>
    <row r="692" spans="1:16" ht="16.5" x14ac:dyDescent="0.25">
      <c r="A692" s="192"/>
      <c r="B692" s="124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"/>
    </row>
    <row r="693" spans="1:16" ht="16.5" x14ac:dyDescent="0.25">
      <c r="A693" s="192"/>
      <c r="B693" s="124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"/>
    </row>
    <row r="694" spans="1:16" ht="16.5" x14ac:dyDescent="0.25">
      <c r="A694" s="192"/>
      <c r="B694" s="124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"/>
    </row>
    <row r="695" spans="1:16" ht="16.5" x14ac:dyDescent="0.25">
      <c r="A695" s="192"/>
      <c r="B695" s="124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"/>
    </row>
    <row r="696" spans="1:16" ht="16.5" x14ac:dyDescent="0.25">
      <c r="A696" s="192"/>
      <c r="B696" s="124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19"/>
      <c r="P696" s="1"/>
    </row>
    <row r="697" spans="1:16" ht="16.5" x14ac:dyDescent="0.25">
      <c r="A697" s="192"/>
      <c r="B697" s="124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"/>
    </row>
    <row r="698" spans="1:16" ht="16.5" x14ac:dyDescent="0.25">
      <c r="A698" s="192"/>
      <c r="B698" s="124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"/>
    </row>
    <row r="699" spans="1:16" ht="16.5" x14ac:dyDescent="0.25">
      <c r="A699" s="194"/>
      <c r="B699" s="124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"/>
    </row>
    <row r="700" spans="1:16" ht="16.5" x14ac:dyDescent="0.25">
      <c r="A700" s="194"/>
      <c r="B700" s="124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"/>
    </row>
    <row r="701" spans="1:16" ht="16.5" x14ac:dyDescent="0.25">
      <c r="A701" s="194"/>
      <c r="B701" s="124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"/>
    </row>
    <row r="702" spans="1:16" ht="16.5" x14ac:dyDescent="0.25">
      <c r="A702" s="192"/>
      <c r="B702" s="124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"/>
    </row>
    <row r="703" spans="1:16" ht="16.5" x14ac:dyDescent="0.25">
      <c r="A703" s="192"/>
      <c r="B703" s="124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"/>
    </row>
    <row r="704" spans="1:16" ht="16.5" x14ac:dyDescent="0.25">
      <c r="A704" s="192"/>
      <c r="B704" s="124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"/>
    </row>
    <row r="705" spans="1:16" ht="16.5" x14ac:dyDescent="0.25">
      <c r="A705" s="192"/>
      <c r="B705" s="124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"/>
    </row>
    <row r="706" spans="1:16" ht="16.5" x14ac:dyDescent="0.25">
      <c r="A706" s="192"/>
      <c r="B706" s="124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"/>
    </row>
    <row r="707" spans="1:16" ht="16.5" x14ac:dyDescent="0.25">
      <c r="A707" s="192"/>
      <c r="B707" s="124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"/>
    </row>
    <row r="708" spans="1:16" ht="16.5" x14ac:dyDescent="0.25">
      <c r="A708" s="192"/>
      <c r="B708" s="124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19"/>
      <c r="P708" s="1"/>
    </row>
    <row r="709" spans="1:16" ht="16.5" x14ac:dyDescent="0.25">
      <c r="A709" s="192"/>
      <c r="B709" s="124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"/>
    </row>
    <row r="710" spans="1:16" ht="16.5" x14ac:dyDescent="0.25">
      <c r="A710" s="192"/>
      <c r="B710" s="124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"/>
    </row>
    <row r="711" spans="1:16" ht="16.5" x14ac:dyDescent="0.25">
      <c r="A711" s="194"/>
      <c r="B711" s="124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"/>
    </row>
    <row r="712" spans="1:16" ht="16.5" x14ac:dyDescent="0.25">
      <c r="A712" s="194"/>
      <c r="B712" s="124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"/>
    </row>
    <row r="713" spans="1:16" ht="16.5" x14ac:dyDescent="0.25">
      <c r="A713" s="194"/>
      <c r="B713" s="124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"/>
    </row>
    <row r="714" spans="1:16" ht="16.5" x14ac:dyDescent="0.25">
      <c r="A714" s="192"/>
      <c r="B714" s="124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"/>
    </row>
    <row r="715" spans="1:16" ht="16.5" x14ac:dyDescent="0.25">
      <c r="A715" s="192"/>
      <c r="B715" s="124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"/>
    </row>
    <row r="716" spans="1:16" ht="16.5" x14ac:dyDescent="0.25">
      <c r="A716" s="192"/>
      <c r="B716" s="124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"/>
    </row>
    <row r="717" spans="1:16" ht="16.5" x14ac:dyDescent="0.25">
      <c r="A717" s="192"/>
      <c r="B717" s="124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"/>
    </row>
    <row r="718" spans="1:16" ht="16.5" x14ac:dyDescent="0.25">
      <c r="A718" s="192"/>
      <c r="B718" s="124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"/>
    </row>
    <row r="719" spans="1:16" ht="16.5" x14ac:dyDescent="0.25">
      <c r="A719" s="192"/>
      <c r="B719" s="124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"/>
    </row>
    <row r="720" spans="1:16" ht="16.5" x14ac:dyDescent="0.25">
      <c r="A720" s="192"/>
      <c r="B720" s="124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19"/>
      <c r="P720" s="1"/>
    </row>
    <row r="721" spans="1:16" ht="16.5" x14ac:dyDescent="0.25">
      <c r="A721" s="192"/>
      <c r="B721" s="124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"/>
    </row>
    <row r="722" spans="1:16" ht="16.5" x14ac:dyDescent="0.25">
      <c r="A722" s="192"/>
      <c r="B722" s="124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"/>
    </row>
    <row r="723" spans="1:16" ht="16.5" x14ac:dyDescent="0.25">
      <c r="A723" s="194"/>
      <c r="B723" s="124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"/>
    </row>
    <row r="724" spans="1:16" ht="16.5" x14ac:dyDescent="0.25">
      <c r="A724" s="194"/>
      <c r="B724" s="124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"/>
    </row>
    <row r="725" spans="1:16" ht="16.5" x14ac:dyDescent="0.25">
      <c r="A725" s="194"/>
      <c r="B725" s="124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"/>
    </row>
    <row r="726" spans="1:16" ht="16.5" x14ac:dyDescent="0.25">
      <c r="A726" s="192"/>
      <c r="B726" s="124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"/>
    </row>
    <row r="727" spans="1:16" ht="16.5" x14ac:dyDescent="0.25">
      <c r="A727" s="192"/>
      <c r="B727" s="124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"/>
    </row>
    <row r="728" spans="1:16" ht="16.5" x14ac:dyDescent="0.25">
      <c r="A728" s="192"/>
      <c r="B728" s="124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"/>
    </row>
    <row r="729" spans="1:16" ht="16.5" x14ac:dyDescent="0.25">
      <c r="A729" s="192"/>
      <c r="B729" s="124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"/>
    </row>
    <row r="730" spans="1:16" ht="16.5" x14ac:dyDescent="0.25">
      <c r="A730" s="192"/>
      <c r="B730" s="124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"/>
    </row>
    <row r="731" spans="1:16" ht="16.5" x14ac:dyDescent="0.25">
      <c r="A731" s="192"/>
      <c r="B731" s="124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"/>
    </row>
    <row r="732" spans="1:16" ht="16.5" x14ac:dyDescent="0.25">
      <c r="A732" s="192"/>
      <c r="B732" s="124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19"/>
      <c r="P732" s="1"/>
    </row>
    <row r="733" spans="1:16" ht="16.5" x14ac:dyDescent="0.25">
      <c r="A733" s="192"/>
      <c r="B733" s="124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"/>
    </row>
    <row r="734" spans="1:16" ht="16.5" x14ac:dyDescent="0.25">
      <c r="A734" s="192"/>
      <c r="B734" s="124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"/>
    </row>
    <row r="735" spans="1:16" ht="16.5" x14ac:dyDescent="0.25">
      <c r="A735" s="194"/>
      <c r="B735" s="124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"/>
    </row>
    <row r="736" spans="1:16" ht="16.5" x14ac:dyDescent="0.25">
      <c r="A736" s="194"/>
      <c r="B736" s="124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"/>
    </row>
    <row r="737" spans="1:16" ht="16.5" x14ac:dyDescent="0.25">
      <c r="A737" s="194"/>
      <c r="B737" s="124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"/>
    </row>
    <row r="738" spans="1:16" ht="16.5" x14ac:dyDescent="0.25">
      <c r="A738" s="192"/>
      <c r="B738" s="124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"/>
    </row>
    <row r="739" spans="1:16" ht="16.5" x14ac:dyDescent="0.25">
      <c r="A739" s="192"/>
      <c r="B739" s="124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"/>
    </row>
    <row r="740" spans="1:16" ht="16.5" x14ac:dyDescent="0.25">
      <c r="A740" s="192"/>
      <c r="B740" s="124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"/>
    </row>
    <row r="741" spans="1:16" ht="16.5" x14ac:dyDescent="0.25">
      <c r="A741" s="192"/>
      <c r="B741" s="124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"/>
    </row>
    <row r="742" spans="1:16" ht="16.5" x14ac:dyDescent="0.25">
      <c r="A742" s="192"/>
      <c r="B742" s="124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"/>
    </row>
    <row r="743" spans="1:16" ht="16.5" x14ac:dyDescent="0.25">
      <c r="A743" s="192"/>
      <c r="B743" s="124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"/>
    </row>
    <row r="744" spans="1:16" ht="16.5" x14ac:dyDescent="0.25">
      <c r="A744" s="192"/>
      <c r="B744" s="124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19"/>
      <c r="P744" s="1"/>
    </row>
    <row r="745" spans="1:16" ht="16.5" x14ac:dyDescent="0.25">
      <c r="A745" s="192"/>
      <c r="B745" s="124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"/>
    </row>
    <row r="746" spans="1:16" ht="16.5" x14ac:dyDescent="0.25">
      <c r="A746" s="192"/>
      <c r="B746" s="124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"/>
    </row>
    <row r="747" spans="1:16" ht="16.5" x14ac:dyDescent="0.25">
      <c r="A747" s="194"/>
      <c r="B747" s="124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"/>
    </row>
    <row r="748" spans="1:16" ht="16.5" x14ac:dyDescent="0.25">
      <c r="A748" s="194"/>
      <c r="B748" s="124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"/>
    </row>
    <row r="749" spans="1:16" ht="16.5" x14ac:dyDescent="0.25">
      <c r="A749" s="194"/>
      <c r="B749" s="124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"/>
    </row>
    <row r="750" spans="1:16" ht="16.5" x14ac:dyDescent="0.25">
      <c r="A750" s="192"/>
      <c r="B750" s="124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"/>
    </row>
    <row r="751" spans="1:16" ht="16.5" x14ac:dyDescent="0.25">
      <c r="A751" s="192"/>
      <c r="B751" s="124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"/>
    </row>
    <row r="752" spans="1:16" ht="16.5" x14ac:dyDescent="0.25">
      <c r="A752" s="192"/>
      <c r="B752" s="124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"/>
    </row>
    <row r="753" spans="1:16" ht="16.5" x14ac:dyDescent="0.25">
      <c r="A753" s="192"/>
      <c r="B753" s="124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"/>
    </row>
    <row r="754" spans="1:16" ht="16.5" x14ac:dyDescent="0.25">
      <c r="A754" s="192"/>
      <c r="B754" s="124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"/>
    </row>
    <row r="755" spans="1:16" ht="16.5" x14ac:dyDescent="0.25">
      <c r="A755" s="192"/>
      <c r="B755" s="124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"/>
    </row>
    <row r="756" spans="1:16" ht="16.5" x14ac:dyDescent="0.25">
      <c r="A756" s="192"/>
      <c r="B756" s="124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19"/>
      <c r="P756" s="1"/>
    </row>
    <row r="757" spans="1:16" ht="16.5" x14ac:dyDescent="0.25">
      <c r="A757" s="192"/>
      <c r="B757" s="124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"/>
    </row>
    <row r="758" spans="1:16" ht="16.5" x14ac:dyDescent="0.25">
      <c r="A758" s="192"/>
      <c r="B758" s="124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"/>
    </row>
    <row r="759" spans="1:16" ht="16.5" x14ac:dyDescent="0.25">
      <c r="A759" s="194"/>
      <c r="B759" s="124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"/>
    </row>
    <row r="760" spans="1:16" ht="16.5" x14ac:dyDescent="0.25">
      <c r="A760" s="194"/>
      <c r="B760" s="124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"/>
    </row>
    <row r="761" spans="1:16" ht="16.5" x14ac:dyDescent="0.25">
      <c r="A761" s="194"/>
      <c r="B761" s="124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"/>
    </row>
    <row r="762" spans="1:16" ht="16.5" x14ac:dyDescent="0.25">
      <c r="A762" s="192"/>
      <c r="B762" s="124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"/>
    </row>
    <row r="763" spans="1:16" ht="16.5" x14ac:dyDescent="0.25">
      <c r="A763" s="192"/>
      <c r="B763" s="124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"/>
    </row>
    <row r="764" spans="1:16" ht="16.5" x14ac:dyDescent="0.25">
      <c r="A764" s="192"/>
      <c r="B764" s="124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"/>
    </row>
    <row r="765" spans="1:16" ht="16.5" x14ac:dyDescent="0.25">
      <c r="A765" s="192"/>
      <c r="B765" s="124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"/>
    </row>
    <row r="766" spans="1:16" ht="16.5" x14ac:dyDescent="0.25">
      <c r="A766" s="192"/>
      <c r="B766" s="124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"/>
    </row>
    <row r="767" spans="1:16" ht="16.5" x14ac:dyDescent="0.25">
      <c r="A767" s="192"/>
      <c r="B767" s="124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"/>
    </row>
    <row r="768" spans="1:16" ht="16.5" x14ac:dyDescent="0.25">
      <c r="A768" s="192"/>
      <c r="B768" s="124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19"/>
      <c r="P768" s="1"/>
    </row>
    <row r="769" spans="1:16" ht="16.5" x14ac:dyDescent="0.25">
      <c r="A769" s="192"/>
      <c r="B769" s="124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"/>
    </row>
    <row r="770" spans="1:16" ht="16.5" x14ac:dyDescent="0.25">
      <c r="A770" s="192"/>
      <c r="B770" s="124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"/>
    </row>
    <row r="771" spans="1:16" ht="16.5" x14ac:dyDescent="0.25">
      <c r="A771" s="194"/>
      <c r="B771" s="124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"/>
    </row>
    <row r="772" spans="1:16" ht="16.5" x14ac:dyDescent="0.25">
      <c r="A772" s="194"/>
      <c r="B772" s="124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"/>
    </row>
    <row r="773" spans="1:16" ht="16.5" x14ac:dyDescent="0.25">
      <c r="A773" s="194"/>
      <c r="B773" s="124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"/>
    </row>
    <row r="774" spans="1:16" ht="16.5" x14ac:dyDescent="0.25">
      <c r="A774" s="192"/>
      <c r="B774" s="124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"/>
    </row>
    <row r="775" spans="1:16" ht="16.5" x14ac:dyDescent="0.25">
      <c r="A775" s="192"/>
      <c r="B775" s="124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"/>
    </row>
    <row r="776" spans="1:16" ht="16.5" x14ac:dyDescent="0.25">
      <c r="A776" s="192"/>
      <c r="B776" s="124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"/>
    </row>
    <row r="777" spans="1:16" ht="16.5" x14ac:dyDescent="0.25">
      <c r="A777" s="192"/>
      <c r="B777" s="124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"/>
    </row>
    <row r="778" spans="1:16" ht="16.5" x14ac:dyDescent="0.25">
      <c r="A778" s="192"/>
      <c r="B778" s="124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"/>
    </row>
    <row r="779" spans="1:16" ht="16.5" x14ac:dyDescent="0.25">
      <c r="A779" s="192"/>
      <c r="B779" s="124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"/>
    </row>
    <row r="780" spans="1:16" ht="16.5" x14ac:dyDescent="0.25">
      <c r="A780" s="192"/>
      <c r="B780" s="124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19"/>
      <c r="P780" s="1"/>
    </row>
    <row r="781" spans="1:16" ht="16.5" x14ac:dyDescent="0.25">
      <c r="A781" s="192"/>
      <c r="B781" s="124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"/>
    </row>
    <row r="782" spans="1:16" ht="16.5" x14ac:dyDescent="0.25">
      <c r="A782" s="192"/>
      <c r="B782" s="124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"/>
    </row>
    <row r="783" spans="1:16" ht="16.5" x14ac:dyDescent="0.25">
      <c r="A783" s="194"/>
      <c r="B783" s="124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"/>
    </row>
    <row r="784" spans="1:16" ht="16.5" x14ac:dyDescent="0.25">
      <c r="A784" s="194"/>
      <c r="B784" s="124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"/>
    </row>
    <row r="785" spans="1:16" ht="16.5" x14ac:dyDescent="0.25">
      <c r="A785" s="194"/>
      <c r="B785" s="124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"/>
    </row>
    <row r="786" spans="1:16" ht="16.5" x14ac:dyDescent="0.25">
      <c r="A786" s="192"/>
      <c r="B786" s="124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"/>
    </row>
    <row r="787" spans="1:16" ht="16.5" x14ac:dyDescent="0.25">
      <c r="A787" s="192"/>
      <c r="B787" s="124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"/>
    </row>
    <row r="788" spans="1:16" ht="16.5" x14ac:dyDescent="0.25">
      <c r="A788" s="192"/>
      <c r="B788" s="124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"/>
    </row>
    <row r="789" spans="1:16" ht="16.5" x14ac:dyDescent="0.25">
      <c r="A789" s="192"/>
      <c r="B789" s="124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"/>
    </row>
    <row r="790" spans="1:16" ht="16.5" x14ac:dyDescent="0.25">
      <c r="A790" s="192"/>
      <c r="B790" s="124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"/>
    </row>
    <row r="791" spans="1:16" ht="16.5" x14ac:dyDescent="0.25">
      <c r="A791" s="192"/>
      <c r="B791" s="124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"/>
    </row>
    <row r="792" spans="1:16" ht="16.5" x14ac:dyDescent="0.25">
      <c r="A792" s="192"/>
      <c r="B792" s="124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19"/>
      <c r="P792" s="1"/>
    </row>
    <row r="793" spans="1:16" ht="16.5" x14ac:dyDescent="0.25">
      <c r="A793" s="192"/>
      <c r="B793" s="124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"/>
    </row>
    <row r="794" spans="1:16" ht="16.5" x14ac:dyDescent="0.25">
      <c r="A794" s="192"/>
      <c r="B794" s="124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"/>
    </row>
    <row r="795" spans="1:16" ht="16.5" x14ac:dyDescent="0.25">
      <c r="A795" s="194"/>
      <c r="B795" s="124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"/>
    </row>
    <row r="796" spans="1:16" ht="16.5" x14ac:dyDescent="0.25">
      <c r="A796" s="194"/>
      <c r="B796" s="124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"/>
    </row>
    <row r="797" spans="1:16" ht="16.5" x14ac:dyDescent="0.25">
      <c r="A797" s="194"/>
      <c r="B797" s="124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"/>
    </row>
    <row r="798" spans="1:16" ht="16.5" x14ac:dyDescent="0.25">
      <c r="A798" s="192"/>
      <c r="B798" s="124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"/>
    </row>
    <row r="799" spans="1:16" ht="16.5" x14ac:dyDescent="0.25">
      <c r="A799" s="192"/>
      <c r="B799" s="124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"/>
    </row>
    <row r="800" spans="1:16" ht="16.5" x14ac:dyDescent="0.25">
      <c r="A800" s="192"/>
      <c r="B800" s="124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"/>
    </row>
    <row r="801" spans="1:16" ht="16.5" x14ac:dyDescent="0.25">
      <c r="A801" s="192"/>
      <c r="B801" s="124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"/>
    </row>
    <row r="802" spans="1:16" ht="16.5" x14ac:dyDescent="0.25">
      <c r="A802" s="192"/>
      <c r="B802" s="124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"/>
    </row>
    <row r="803" spans="1:16" ht="16.5" x14ac:dyDescent="0.25">
      <c r="A803" s="192"/>
      <c r="B803" s="124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"/>
    </row>
    <row r="804" spans="1:16" ht="16.5" x14ac:dyDescent="0.25">
      <c r="A804" s="192"/>
      <c r="B804" s="124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19"/>
      <c r="P804" s="1"/>
    </row>
    <row r="805" spans="1:16" ht="16.5" x14ac:dyDescent="0.25">
      <c r="A805" s="192"/>
      <c r="B805" s="124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"/>
    </row>
    <row r="806" spans="1:16" ht="16.5" x14ac:dyDescent="0.25">
      <c r="A806" s="192"/>
      <c r="B806" s="124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"/>
    </row>
    <row r="807" spans="1:16" ht="16.5" x14ac:dyDescent="0.25">
      <c r="A807" s="194"/>
      <c r="B807" s="124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"/>
    </row>
    <row r="808" spans="1:16" ht="16.5" x14ac:dyDescent="0.25">
      <c r="A808" s="194"/>
      <c r="B808" s="124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"/>
    </row>
    <row r="809" spans="1:16" ht="16.5" x14ac:dyDescent="0.25">
      <c r="A809" s="194"/>
      <c r="B809" s="124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"/>
    </row>
    <row r="810" spans="1:16" ht="16.5" x14ac:dyDescent="0.25">
      <c r="A810" s="192"/>
      <c r="B810" s="124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"/>
    </row>
    <row r="811" spans="1:16" ht="16.5" x14ac:dyDescent="0.25">
      <c r="A811" s="192"/>
      <c r="B811" s="124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"/>
    </row>
    <row r="812" spans="1:16" ht="16.5" x14ac:dyDescent="0.25">
      <c r="A812" s="192"/>
      <c r="B812" s="124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"/>
    </row>
    <row r="813" spans="1:16" ht="16.5" x14ac:dyDescent="0.25">
      <c r="A813" s="192"/>
      <c r="B813" s="124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"/>
    </row>
    <row r="814" spans="1:16" ht="16.5" x14ac:dyDescent="0.25">
      <c r="A814" s="192"/>
      <c r="B814" s="124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"/>
    </row>
    <row r="815" spans="1:16" ht="16.5" x14ac:dyDescent="0.25">
      <c r="A815" s="192"/>
      <c r="B815" s="124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"/>
    </row>
    <row r="816" spans="1:16" ht="16.5" x14ac:dyDescent="0.25">
      <c r="A816" s="192"/>
      <c r="B816" s="124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19"/>
      <c r="P816" s="1"/>
    </row>
    <row r="817" spans="1:16" ht="16.5" x14ac:dyDescent="0.25">
      <c r="A817" s="192"/>
      <c r="B817" s="124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"/>
    </row>
    <row r="818" spans="1:16" ht="16.5" x14ac:dyDescent="0.25">
      <c r="A818" s="192"/>
      <c r="B818" s="124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"/>
    </row>
    <row r="819" spans="1:16" ht="16.5" x14ac:dyDescent="0.25">
      <c r="A819" s="194"/>
      <c r="B819" s="124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"/>
    </row>
    <row r="820" spans="1:16" ht="16.5" x14ac:dyDescent="0.25">
      <c r="A820" s="194"/>
      <c r="B820" s="124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"/>
    </row>
    <row r="821" spans="1:16" ht="16.5" x14ac:dyDescent="0.25">
      <c r="A821" s="194"/>
      <c r="B821" s="124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"/>
    </row>
    <row r="822" spans="1:16" ht="16.5" x14ac:dyDescent="0.25">
      <c r="A822" s="192"/>
      <c r="B822" s="124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"/>
    </row>
    <row r="823" spans="1:16" ht="16.5" x14ac:dyDescent="0.25">
      <c r="A823" s="192"/>
      <c r="B823" s="124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"/>
    </row>
    <row r="824" spans="1:16" ht="16.5" x14ac:dyDescent="0.25">
      <c r="A824" s="192"/>
      <c r="B824" s="124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"/>
    </row>
    <row r="825" spans="1:16" ht="16.5" x14ac:dyDescent="0.25">
      <c r="A825" s="192"/>
      <c r="B825" s="124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"/>
    </row>
    <row r="826" spans="1:16" ht="16.5" x14ac:dyDescent="0.25">
      <c r="A826" s="192"/>
      <c r="B826" s="124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"/>
    </row>
    <row r="827" spans="1:16" ht="16.5" x14ac:dyDescent="0.25">
      <c r="A827" s="192"/>
      <c r="B827" s="124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"/>
    </row>
    <row r="828" spans="1:16" ht="16.5" x14ac:dyDescent="0.25">
      <c r="A828" s="192"/>
      <c r="B828" s="124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19"/>
      <c r="P828" s="1"/>
    </row>
    <row r="829" spans="1:16" ht="16.5" x14ac:dyDescent="0.25">
      <c r="A829" s="192"/>
      <c r="B829" s="124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"/>
    </row>
    <row r="830" spans="1:16" ht="16.5" x14ac:dyDescent="0.25">
      <c r="A830" s="192"/>
      <c r="B830" s="124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"/>
    </row>
    <row r="831" spans="1:16" ht="16.5" x14ac:dyDescent="0.25">
      <c r="A831" s="194"/>
      <c r="B831" s="124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"/>
    </row>
    <row r="832" spans="1:16" ht="16.5" x14ac:dyDescent="0.25">
      <c r="A832" s="194"/>
      <c r="B832" s="124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"/>
    </row>
    <row r="833" spans="1:16" ht="16.5" x14ac:dyDescent="0.25">
      <c r="A833" s="194"/>
      <c r="B833" s="124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"/>
    </row>
    <row r="834" spans="1:16" ht="16.5" x14ac:dyDescent="0.25">
      <c r="A834" s="192"/>
      <c r="B834" s="124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"/>
    </row>
    <row r="835" spans="1:16" ht="16.5" x14ac:dyDescent="0.25">
      <c r="A835" s="192"/>
      <c r="B835" s="124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"/>
    </row>
    <row r="836" spans="1:16" ht="16.5" x14ac:dyDescent="0.25">
      <c r="A836" s="192"/>
      <c r="B836" s="124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"/>
    </row>
    <row r="837" spans="1:16" ht="16.5" x14ac:dyDescent="0.25">
      <c r="A837" s="192"/>
      <c r="B837" s="124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"/>
    </row>
    <row r="838" spans="1:16" ht="16.5" x14ac:dyDescent="0.25">
      <c r="A838" s="192"/>
      <c r="B838" s="124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"/>
    </row>
    <row r="839" spans="1:16" ht="16.5" x14ac:dyDescent="0.25">
      <c r="A839" s="192"/>
      <c r="B839" s="124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"/>
    </row>
    <row r="840" spans="1:16" ht="16.5" x14ac:dyDescent="0.25">
      <c r="A840" s="192"/>
      <c r="B840" s="124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19"/>
      <c r="P840" s="1"/>
    </row>
    <row r="841" spans="1:16" ht="16.5" x14ac:dyDescent="0.25">
      <c r="A841" s="192"/>
      <c r="B841" s="124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"/>
    </row>
    <row r="842" spans="1:16" ht="16.5" x14ac:dyDescent="0.25">
      <c r="A842" s="192"/>
      <c r="B842" s="124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"/>
    </row>
    <row r="843" spans="1:16" ht="16.5" x14ac:dyDescent="0.25">
      <c r="A843" s="194"/>
      <c r="B843" s="124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"/>
    </row>
    <row r="844" spans="1:16" ht="16.5" x14ac:dyDescent="0.25">
      <c r="A844" s="194"/>
      <c r="B844" s="124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"/>
    </row>
    <row r="845" spans="1:16" ht="16.5" x14ac:dyDescent="0.25">
      <c r="A845" s="194"/>
      <c r="B845" s="124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"/>
    </row>
    <row r="846" spans="1:16" ht="16.5" x14ac:dyDescent="0.25">
      <c r="A846" s="192"/>
      <c r="B846" s="124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"/>
    </row>
    <row r="847" spans="1:16" ht="16.5" x14ac:dyDescent="0.25">
      <c r="A847" s="192"/>
      <c r="B847" s="124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"/>
    </row>
    <row r="848" spans="1:16" ht="16.5" x14ac:dyDescent="0.25">
      <c r="A848" s="192"/>
      <c r="B848" s="124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"/>
    </row>
    <row r="849" spans="1:16" ht="16.5" x14ac:dyDescent="0.25">
      <c r="A849" s="192"/>
      <c r="B849" s="124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"/>
    </row>
    <row r="850" spans="1:16" ht="16.5" x14ac:dyDescent="0.25">
      <c r="A850" s="192"/>
      <c r="B850" s="124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"/>
    </row>
    <row r="851" spans="1:16" ht="16.5" x14ac:dyDescent="0.25">
      <c r="A851" s="192"/>
      <c r="B851" s="124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"/>
    </row>
    <row r="852" spans="1:16" ht="16.5" x14ac:dyDescent="0.25">
      <c r="A852" s="192"/>
      <c r="B852" s="124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19"/>
      <c r="P852" s="1"/>
    </row>
    <row r="853" spans="1:16" ht="16.5" x14ac:dyDescent="0.25">
      <c r="A853" s="192"/>
      <c r="B853" s="124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"/>
    </row>
    <row r="854" spans="1:16" ht="16.5" x14ac:dyDescent="0.25">
      <c r="A854" s="192"/>
      <c r="B854" s="124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"/>
    </row>
    <row r="855" spans="1:16" ht="16.5" x14ac:dyDescent="0.25">
      <c r="A855" s="194"/>
      <c r="B855" s="124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"/>
    </row>
    <row r="856" spans="1:16" ht="16.5" x14ac:dyDescent="0.25">
      <c r="A856" s="194"/>
      <c r="B856" s="124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"/>
    </row>
    <row r="857" spans="1:16" ht="16.5" x14ac:dyDescent="0.25">
      <c r="A857" s="194"/>
      <c r="B857" s="124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"/>
    </row>
    <row r="858" spans="1:16" ht="16.5" x14ac:dyDescent="0.25">
      <c r="A858" s="192"/>
      <c r="B858" s="124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"/>
    </row>
    <row r="859" spans="1:16" ht="16.5" x14ac:dyDescent="0.25">
      <c r="A859" s="192"/>
      <c r="B859" s="124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"/>
    </row>
    <row r="860" spans="1:16" ht="16.5" x14ac:dyDescent="0.25">
      <c r="A860" s="192"/>
      <c r="B860" s="124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"/>
    </row>
    <row r="861" spans="1:16" ht="16.5" x14ac:dyDescent="0.25">
      <c r="A861" s="192"/>
      <c r="B861" s="124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"/>
    </row>
    <row r="862" spans="1:16" ht="16.5" x14ac:dyDescent="0.25">
      <c r="A862" s="192"/>
      <c r="B862" s="124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"/>
    </row>
    <row r="863" spans="1:16" ht="16.5" x14ac:dyDescent="0.25">
      <c r="A863" s="192"/>
      <c r="B863" s="124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"/>
    </row>
    <row r="864" spans="1:16" ht="16.5" x14ac:dyDescent="0.25">
      <c r="A864" s="192"/>
      <c r="B864" s="124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19"/>
      <c r="P864" s="1"/>
    </row>
    <row r="865" spans="1:16" ht="16.5" x14ac:dyDescent="0.25">
      <c r="A865" s="192"/>
      <c r="B865" s="124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"/>
    </row>
    <row r="866" spans="1:16" ht="16.5" x14ac:dyDescent="0.25">
      <c r="A866" s="192"/>
      <c r="B866" s="124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"/>
    </row>
    <row r="867" spans="1:16" ht="16.5" x14ac:dyDescent="0.25">
      <c r="A867" s="193"/>
      <c r="B867" s="193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"/>
    </row>
    <row r="868" spans="1:16" x14ac:dyDescent="0.25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"/>
    </row>
    <row r="869" spans="1:16" x14ac:dyDescent="0.25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"/>
    </row>
    <row r="870" spans="1:16" x14ac:dyDescent="0.25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</row>
    <row r="871" spans="1:16" x14ac:dyDescent="0.25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</row>
    <row r="872" spans="1:16" x14ac:dyDescent="0.25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</row>
    <row r="873" spans="1:16" x14ac:dyDescent="0.25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</row>
  </sheetData>
  <mergeCells count="288">
    <mergeCell ref="A22:A24"/>
    <mergeCell ref="A25:A27"/>
    <mergeCell ref="A28:A30"/>
    <mergeCell ref="A31:A33"/>
    <mergeCell ref="A34:A36"/>
    <mergeCell ref="A37:A39"/>
    <mergeCell ref="A4:A6"/>
    <mergeCell ref="A7:A9"/>
    <mergeCell ref="A10:A12"/>
    <mergeCell ref="A13:A15"/>
    <mergeCell ref="A16:A18"/>
    <mergeCell ref="A19:A21"/>
    <mergeCell ref="A58:A60"/>
    <mergeCell ref="A61:A63"/>
    <mergeCell ref="A64:A66"/>
    <mergeCell ref="A67:A69"/>
    <mergeCell ref="A70:A72"/>
    <mergeCell ref="A73:A75"/>
    <mergeCell ref="A40:A42"/>
    <mergeCell ref="A43:A45"/>
    <mergeCell ref="A46:A48"/>
    <mergeCell ref="A49:A51"/>
    <mergeCell ref="A52:A54"/>
    <mergeCell ref="A55:A57"/>
    <mergeCell ref="A102:A104"/>
    <mergeCell ref="A105:A107"/>
    <mergeCell ref="A108:A110"/>
    <mergeCell ref="A111:A113"/>
    <mergeCell ref="A114:A116"/>
    <mergeCell ref="A117:A119"/>
    <mergeCell ref="A94:B94"/>
    <mergeCell ref="A99:A101"/>
    <mergeCell ref="A76:A78"/>
    <mergeCell ref="A79:A81"/>
    <mergeCell ref="A82:A84"/>
    <mergeCell ref="A85:A87"/>
    <mergeCell ref="A88:A90"/>
    <mergeCell ref="A91:A93"/>
    <mergeCell ref="A138:A140"/>
    <mergeCell ref="A141:A143"/>
    <mergeCell ref="A144:A146"/>
    <mergeCell ref="A147:A149"/>
    <mergeCell ref="A150:A152"/>
    <mergeCell ref="A153:A155"/>
    <mergeCell ref="A120:A122"/>
    <mergeCell ref="A123:A125"/>
    <mergeCell ref="A126:A128"/>
    <mergeCell ref="A129:A131"/>
    <mergeCell ref="A132:A134"/>
    <mergeCell ref="A135:A137"/>
    <mergeCell ref="A174:A176"/>
    <mergeCell ref="A177:A179"/>
    <mergeCell ref="A180:A182"/>
    <mergeCell ref="A183:A185"/>
    <mergeCell ref="A186:A188"/>
    <mergeCell ref="A189:A191"/>
    <mergeCell ref="A156:A158"/>
    <mergeCell ref="A159:A161"/>
    <mergeCell ref="A162:A164"/>
    <mergeCell ref="A165:A167"/>
    <mergeCell ref="A168:A170"/>
    <mergeCell ref="A171:A173"/>
    <mergeCell ref="A210:A212"/>
    <mergeCell ref="A213:A215"/>
    <mergeCell ref="A216:A218"/>
    <mergeCell ref="A219:A221"/>
    <mergeCell ref="A222:A224"/>
    <mergeCell ref="A225:A227"/>
    <mergeCell ref="A192:A194"/>
    <mergeCell ref="A195:A197"/>
    <mergeCell ref="A198:A200"/>
    <mergeCell ref="A201:A203"/>
    <mergeCell ref="A204:A206"/>
    <mergeCell ref="A207:A209"/>
    <mergeCell ref="A246:A248"/>
    <mergeCell ref="A249:A251"/>
    <mergeCell ref="A252:A254"/>
    <mergeCell ref="A255:A257"/>
    <mergeCell ref="A258:A260"/>
    <mergeCell ref="A261:A263"/>
    <mergeCell ref="A228:A230"/>
    <mergeCell ref="A231:A233"/>
    <mergeCell ref="A234:A236"/>
    <mergeCell ref="A237:A239"/>
    <mergeCell ref="A240:A242"/>
    <mergeCell ref="A243:A245"/>
    <mergeCell ref="A282:A284"/>
    <mergeCell ref="A285:A287"/>
    <mergeCell ref="A288:A290"/>
    <mergeCell ref="A291:A293"/>
    <mergeCell ref="A294:A296"/>
    <mergeCell ref="A297:A299"/>
    <mergeCell ref="A264:A266"/>
    <mergeCell ref="A267:A269"/>
    <mergeCell ref="A270:A272"/>
    <mergeCell ref="A273:A275"/>
    <mergeCell ref="A276:A278"/>
    <mergeCell ref="A279:A281"/>
    <mergeCell ref="A318:A320"/>
    <mergeCell ref="A321:A323"/>
    <mergeCell ref="A324:A326"/>
    <mergeCell ref="A327:A329"/>
    <mergeCell ref="A330:A332"/>
    <mergeCell ref="A333:A335"/>
    <mergeCell ref="A300:A302"/>
    <mergeCell ref="A303:A305"/>
    <mergeCell ref="A306:A308"/>
    <mergeCell ref="A309:A311"/>
    <mergeCell ref="A312:A314"/>
    <mergeCell ref="A315:A317"/>
    <mergeCell ref="A354:A356"/>
    <mergeCell ref="A357:A359"/>
    <mergeCell ref="A360:A362"/>
    <mergeCell ref="A363:A365"/>
    <mergeCell ref="A366:A368"/>
    <mergeCell ref="A369:A371"/>
    <mergeCell ref="A336:A338"/>
    <mergeCell ref="A339:A341"/>
    <mergeCell ref="A342:A344"/>
    <mergeCell ref="A345:A347"/>
    <mergeCell ref="A348:A350"/>
    <mergeCell ref="A351:A353"/>
    <mergeCell ref="A390:A392"/>
    <mergeCell ref="A393:A395"/>
    <mergeCell ref="A396:A398"/>
    <mergeCell ref="A399:A401"/>
    <mergeCell ref="A402:A404"/>
    <mergeCell ref="A405:A407"/>
    <mergeCell ref="A372:A374"/>
    <mergeCell ref="A375:A377"/>
    <mergeCell ref="A378:A380"/>
    <mergeCell ref="A381:A383"/>
    <mergeCell ref="A384:A386"/>
    <mergeCell ref="A387:A389"/>
    <mergeCell ref="A426:A428"/>
    <mergeCell ref="A429:A431"/>
    <mergeCell ref="A432:A434"/>
    <mergeCell ref="A435:A437"/>
    <mergeCell ref="A438:A440"/>
    <mergeCell ref="A441:A443"/>
    <mergeCell ref="A408:A410"/>
    <mergeCell ref="A411:A413"/>
    <mergeCell ref="A414:A416"/>
    <mergeCell ref="A417:A419"/>
    <mergeCell ref="A420:A422"/>
    <mergeCell ref="A423:A425"/>
    <mergeCell ref="A462:A464"/>
    <mergeCell ref="A465:A467"/>
    <mergeCell ref="A468:A470"/>
    <mergeCell ref="A471:A473"/>
    <mergeCell ref="A474:A476"/>
    <mergeCell ref="A477:A479"/>
    <mergeCell ref="A444:A446"/>
    <mergeCell ref="A447:A449"/>
    <mergeCell ref="A450:A452"/>
    <mergeCell ref="A453:A455"/>
    <mergeCell ref="A456:A458"/>
    <mergeCell ref="A459:A461"/>
    <mergeCell ref="A498:A500"/>
    <mergeCell ref="A501:A503"/>
    <mergeCell ref="A504:A506"/>
    <mergeCell ref="A507:A509"/>
    <mergeCell ref="A510:A512"/>
    <mergeCell ref="A513:A515"/>
    <mergeCell ref="A480:A482"/>
    <mergeCell ref="A483:A485"/>
    <mergeCell ref="A486:A488"/>
    <mergeCell ref="A489:A491"/>
    <mergeCell ref="A492:A494"/>
    <mergeCell ref="A495:A497"/>
    <mergeCell ref="A534:A536"/>
    <mergeCell ref="A537:A539"/>
    <mergeCell ref="A540:A542"/>
    <mergeCell ref="A543:A545"/>
    <mergeCell ref="A546:A548"/>
    <mergeCell ref="A549:A551"/>
    <mergeCell ref="A516:A518"/>
    <mergeCell ref="A519:A521"/>
    <mergeCell ref="A522:A524"/>
    <mergeCell ref="A525:A527"/>
    <mergeCell ref="A528:A530"/>
    <mergeCell ref="A531:A533"/>
    <mergeCell ref="A570:A572"/>
    <mergeCell ref="A573:A575"/>
    <mergeCell ref="A576:A578"/>
    <mergeCell ref="A579:A581"/>
    <mergeCell ref="A582:A584"/>
    <mergeCell ref="A585:A587"/>
    <mergeCell ref="A552:A554"/>
    <mergeCell ref="A555:A557"/>
    <mergeCell ref="A558:A560"/>
    <mergeCell ref="A561:A563"/>
    <mergeCell ref="A564:A566"/>
    <mergeCell ref="A567:A569"/>
    <mergeCell ref="A606:A608"/>
    <mergeCell ref="A609:A611"/>
    <mergeCell ref="A612:A614"/>
    <mergeCell ref="A615:A617"/>
    <mergeCell ref="A618:A620"/>
    <mergeCell ref="A621:A623"/>
    <mergeCell ref="A588:A590"/>
    <mergeCell ref="A591:A593"/>
    <mergeCell ref="A594:A596"/>
    <mergeCell ref="A597:A599"/>
    <mergeCell ref="A600:A602"/>
    <mergeCell ref="A603:A605"/>
    <mergeCell ref="A642:A644"/>
    <mergeCell ref="A645:A647"/>
    <mergeCell ref="A648:A650"/>
    <mergeCell ref="A651:A653"/>
    <mergeCell ref="A654:A656"/>
    <mergeCell ref="A657:A659"/>
    <mergeCell ref="A624:A626"/>
    <mergeCell ref="A627:A629"/>
    <mergeCell ref="A630:A632"/>
    <mergeCell ref="A633:A635"/>
    <mergeCell ref="A636:A638"/>
    <mergeCell ref="A639:A641"/>
    <mergeCell ref="A678:A680"/>
    <mergeCell ref="A681:A683"/>
    <mergeCell ref="A684:A686"/>
    <mergeCell ref="A687:A689"/>
    <mergeCell ref="A690:A692"/>
    <mergeCell ref="A693:A695"/>
    <mergeCell ref="A660:A662"/>
    <mergeCell ref="A663:A665"/>
    <mergeCell ref="A666:A668"/>
    <mergeCell ref="A669:A671"/>
    <mergeCell ref="A672:A674"/>
    <mergeCell ref="A675:A677"/>
    <mergeCell ref="A714:A716"/>
    <mergeCell ref="A717:A719"/>
    <mergeCell ref="A720:A722"/>
    <mergeCell ref="A723:A725"/>
    <mergeCell ref="A726:A728"/>
    <mergeCell ref="A729:A731"/>
    <mergeCell ref="A696:A698"/>
    <mergeCell ref="A699:A701"/>
    <mergeCell ref="A702:A704"/>
    <mergeCell ref="A705:A707"/>
    <mergeCell ref="A708:A710"/>
    <mergeCell ref="A711:A713"/>
    <mergeCell ref="A750:A752"/>
    <mergeCell ref="A753:A755"/>
    <mergeCell ref="A756:A758"/>
    <mergeCell ref="A759:A761"/>
    <mergeCell ref="A762:A764"/>
    <mergeCell ref="A765:A767"/>
    <mergeCell ref="A732:A734"/>
    <mergeCell ref="A735:A737"/>
    <mergeCell ref="A738:A740"/>
    <mergeCell ref="A741:A743"/>
    <mergeCell ref="A744:A746"/>
    <mergeCell ref="A747:A749"/>
    <mergeCell ref="A786:A788"/>
    <mergeCell ref="A789:A791"/>
    <mergeCell ref="A792:A794"/>
    <mergeCell ref="A795:A797"/>
    <mergeCell ref="A798:A800"/>
    <mergeCell ref="A801:A803"/>
    <mergeCell ref="A768:A770"/>
    <mergeCell ref="A771:A773"/>
    <mergeCell ref="A774:A776"/>
    <mergeCell ref="A777:A779"/>
    <mergeCell ref="A780:A782"/>
    <mergeCell ref="A783:A785"/>
    <mergeCell ref="A822:A824"/>
    <mergeCell ref="A825:A827"/>
    <mergeCell ref="A828:A830"/>
    <mergeCell ref="A831:A833"/>
    <mergeCell ref="A834:A836"/>
    <mergeCell ref="A837:A839"/>
    <mergeCell ref="A804:A806"/>
    <mergeCell ref="A807:A809"/>
    <mergeCell ref="A810:A812"/>
    <mergeCell ref="A813:A815"/>
    <mergeCell ref="A816:A818"/>
    <mergeCell ref="A819:A821"/>
    <mergeCell ref="A858:A860"/>
    <mergeCell ref="A861:A863"/>
    <mergeCell ref="A864:A866"/>
    <mergeCell ref="A867:B867"/>
    <mergeCell ref="A840:A842"/>
    <mergeCell ref="A843:A845"/>
    <mergeCell ref="A846:A848"/>
    <mergeCell ref="A849:A851"/>
    <mergeCell ref="A852:A854"/>
    <mergeCell ref="A855:A85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P871"/>
  <sheetViews>
    <sheetView zoomScale="60" zoomScaleNormal="60" workbookViewId="0">
      <selection activeCell="A58" sqref="A58:A60"/>
    </sheetView>
  </sheetViews>
  <sheetFormatPr defaultRowHeight="15" x14ac:dyDescent="0.25"/>
  <cols>
    <col min="1" max="1" width="25.42578125" customWidth="1"/>
    <col min="2" max="2" width="11.85546875" bestFit="1" customWidth="1"/>
    <col min="3" max="3" width="17.85546875" customWidth="1"/>
    <col min="4" max="4" width="19" customWidth="1"/>
    <col min="5" max="5" width="21" customWidth="1"/>
    <col min="6" max="6" width="19.7109375" customWidth="1"/>
    <col min="7" max="7" width="18.5703125" customWidth="1"/>
    <col min="8" max="8" width="17.85546875" customWidth="1"/>
    <col min="9" max="9" width="17.7109375" customWidth="1"/>
    <col min="10" max="10" width="18.42578125" customWidth="1"/>
    <col min="11" max="11" width="17" customWidth="1"/>
    <col min="12" max="12" width="19.140625" customWidth="1"/>
    <col min="13" max="13" width="18.140625" customWidth="1"/>
    <col min="14" max="14" width="16.7109375" customWidth="1"/>
    <col min="15" max="15" width="22.5703125" customWidth="1"/>
  </cols>
  <sheetData>
    <row r="1" spans="1:15" ht="24" thickBot="1" x14ac:dyDescent="0.4">
      <c r="A1" s="9" t="s">
        <v>293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1" customFormat="1" ht="17.25" thickBot="1" x14ac:dyDescent="0.3">
      <c r="A2" s="3"/>
      <c r="B2" s="117"/>
      <c r="C2" s="18" t="s">
        <v>29</v>
      </c>
      <c r="D2" s="18" t="s">
        <v>30</v>
      </c>
      <c r="E2" s="18" t="s">
        <v>31</v>
      </c>
      <c r="F2" s="18" t="s">
        <v>32</v>
      </c>
      <c r="G2" s="18" t="s">
        <v>33</v>
      </c>
      <c r="H2" s="18" t="s">
        <v>34</v>
      </c>
      <c r="I2" s="18" t="s">
        <v>35</v>
      </c>
      <c r="J2" s="18" t="s">
        <v>36</v>
      </c>
      <c r="K2" s="18" t="s">
        <v>37</v>
      </c>
      <c r="L2" s="18" t="s">
        <v>38</v>
      </c>
      <c r="M2" s="18" t="s">
        <v>39</v>
      </c>
      <c r="N2" s="18" t="s">
        <v>40</v>
      </c>
      <c r="O2" s="117" t="s">
        <v>0</v>
      </c>
    </row>
    <row r="3" spans="1:15" ht="15.75" thickBot="1" x14ac:dyDescent="0.3">
      <c r="A3" s="3"/>
      <c r="B3" s="41"/>
      <c r="C3" s="41" t="s">
        <v>78</v>
      </c>
      <c r="D3" s="41" t="s">
        <v>79</v>
      </c>
      <c r="E3" s="41" t="s">
        <v>80</v>
      </c>
      <c r="F3" s="41" t="s">
        <v>81</v>
      </c>
      <c r="G3" s="41" t="s">
        <v>78</v>
      </c>
      <c r="H3" s="41" t="s">
        <v>79</v>
      </c>
      <c r="I3" s="41" t="s">
        <v>80</v>
      </c>
      <c r="J3" s="41" t="s">
        <v>81</v>
      </c>
      <c r="K3" s="41" t="s">
        <v>78</v>
      </c>
      <c r="L3" s="41" t="s">
        <v>79</v>
      </c>
      <c r="M3" s="41" t="s">
        <v>80</v>
      </c>
      <c r="N3" s="41" t="s">
        <v>81</v>
      </c>
      <c r="O3" s="41" t="s">
        <v>24</v>
      </c>
    </row>
    <row r="4" spans="1:15" ht="19.5" customHeight="1" x14ac:dyDescent="0.25">
      <c r="A4" s="197" t="s">
        <v>238</v>
      </c>
      <c r="B4" s="8" t="s">
        <v>41</v>
      </c>
      <c r="C4" s="10">
        <f>'Cost Forecast'!C4</f>
        <v>30</v>
      </c>
      <c r="D4" s="10">
        <f>'Cost Forecast'!D4</f>
        <v>10</v>
      </c>
      <c r="E4" s="10">
        <f>'Cost Forecast'!E4</f>
        <v>30</v>
      </c>
      <c r="F4" s="10">
        <f>'Cost Forecast'!F4</f>
        <v>30</v>
      </c>
      <c r="G4" s="10">
        <f>'Cost Forecast'!G4</f>
        <v>20</v>
      </c>
      <c r="H4" s="10">
        <f>'Cost Forecast'!H4</f>
        <v>30</v>
      </c>
      <c r="I4" s="10">
        <f>'Cost Forecast'!I4</f>
        <v>20</v>
      </c>
      <c r="J4" s="10">
        <f>'Cost Forecast'!J4</f>
        <v>20</v>
      </c>
      <c r="K4" s="10">
        <f>'Cost Forecast'!K4</f>
        <v>40</v>
      </c>
      <c r="L4" s="10">
        <f>'Cost Forecast'!L4</f>
        <v>20</v>
      </c>
      <c r="M4" s="10">
        <f>'Cost Forecast'!M4</f>
        <v>40</v>
      </c>
      <c r="N4" s="10">
        <f>'Cost Forecast'!N4</f>
        <v>30</v>
      </c>
      <c r="O4" s="11"/>
    </row>
    <row r="5" spans="1:15" ht="19.5" customHeight="1" x14ac:dyDescent="0.25">
      <c r="A5" s="198"/>
      <c r="B5" s="8" t="s">
        <v>46</v>
      </c>
      <c r="C5" s="10">
        <f>'PROPOSED PRICING'!G3</f>
        <v>25000</v>
      </c>
      <c r="D5" s="13">
        <f>C5</f>
        <v>25000</v>
      </c>
      <c r="E5" s="13">
        <f t="shared" ref="E5:N5" si="0">D5</f>
        <v>25000</v>
      </c>
      <c r="F5" s="13">
        <f t="shared" si="0"/>
        <v>25000</v>
      </c>
      <c r="G5" s="13">
        <f t="shared" si="0"/>
        <v>25000</v>
      </c>
      <c r="H5" s="13">
        <f t="shared" si="0"/>
        <v>25000</v>
      </c>
      <c r="I5" s="13">
        <f t="shared" si="0"/>
        <v>25000</v>
      </c>
      <c r="J5" s="13">
        <f t="shared" si="0"/>
        <v>25000</v>
      </c>
      <c r="K5" s="13">
        <f t="shared" si="0"/>
        <v>25000</v>
      </c>
      <c r="L5" s="13">
        <f t="shared" si="0"/>
        <v>25000</v>
      </c>
      <c r="M5" s="13">
        <f t="shared" si="0"/>
        <v>25000</v>
      </c>
      <c r="N5" s="13">
        <f t="shared" si="0"/>
        <v>25000</v>
      </c>
      <c r="O5" s="11"/>
    </row>
    <row r="6" spans="1:15" ht="19.5" customHeight="1" thickBot="1" x14ac:dyDescent="0.3">
      <c r="A6" s="199"/>
      <c r="B6" s="5" t="s">
        <v>42</v>
      </c>
      <c r="C6" s="12">
        <f>C4*C5</f>
        <v>750000</v>
      </c>
      <c r="D6" s="12">
        <f t="shared" ref="D6:N6" si="1">D4*D5</f>
        <v>250000</v>
      </c>
      <c r="E6" s="12">
        <f t="shared" si="1"/>
        <v>750000</v>
      </c>
      <c r="F6" s="12">
        <f t="shared" si="1"/>
        <v>750000</v>
      </c>
      <c r="G6" s="12">
        <f t="shared" si="1"/>
        <v>500000</v>
      </c>
      <c r="H6" s="12">
        <f t="shared" si="1"/>
        <v>750000</v>
      </c>
      <c r="I6" s="12">
        <f t="shared" si="1"/>
        <v>500000</v>
      </c>
      <c r="J6" s="12">
        <f t="shared" si="1"/>
        <v>500000</v>
      </c>
      <c r="K6" s="12">
        <f t="shared" si="1"/>
        <v>1000000</v>
      </c>
      <c r="L6" s="12">
        <f t="shared" si="1"/>
        <v>500000</v>
      </c>
      <c r="M6" s="12">
        <f t="shared" si="1"/>
        <v>1000000</v>
      </c>
      <c r="N6" s="12">
        <f t="shared" si="1"/>
        <v>750000</v>
      </c>
      <c r="O6" s="39">
        <f>SUM(C6:N6)</f>
        <v>8000000</v>
      </c>
    </row>
    <row r="7" spans="1:15" ht="19.5" customHeight="1" x14ac:dyDescent="0.25">
      <c r="A7" s="197" t="s">
        <v>240</v>
      </c>
      <c r="B7" s="35" t="s">
        <v>41</v>
      </c>
      <c r="C7" s="10">
        <f>'Cost Forecast'!C7</f>
        <v>30</v>
      </c>
      <c r="D7" s="10">
        <f>'Cost Forecast'!D7</f>
        <v>10</v>
      </c>
      <c r="E7" s="10">
        <f>'Cost Forecast'!E7</f>
        <v>30</v>
      </c>
      <c r="F7" s="10">
        <f>'Cost Forecast'!F7</f>
        <v>30</v>
      </c>
      <c r="G7" s="10">
        <f>'Cost Forecast'!G7</f>
        <v>20</v>
      </c>
      <c r="H7" s="10">
        <f>'Cost Forecast'!H7</f>
        <v>30</v>
      </c>
      <c r="I7" s="10">
        <f>'Cost Forecast'!I7</f>
        <v>20</v>
      </c>
      <c r="J7" s="10">
        <f>'Cost Forecast'!J7</f>
        <v>20</v>
      </c>
      <c r="K7" s="10">
        <f>'Cost Forecast'!K7</f>
        <v>30</v>
      </c>
      <c r="L7" s="10">
        <f>'Cost Forecast'!L7</f>
        <v>20</v>
      </c>
      <c r="M7" s="10">
        <f>'Cost Forecast'!M7</f>
        <v>30</v>
      </c>
      <c r="N7" s="10">
        <f>'Cost Forecast'!N7</f>
        <v>20</v>
      </c>
      <c r="O7" s="37"/>
    </row>
    <row r="8" spans="1:15" ht="19.5" customHeight="1" x14ac:dyDescent="0.25">
      <c r="A8" s="198"/>
      <c r="B8" s="4" t="s">
        <v>46</v>
      </c>
      <c r="C8" s="13">
        <f>'PROPOSED PRICING'!G4</f>
        <v>50000</v>
      </c>
      <c r="D8" s="13">
        <f>C8</f>
        <v>50000</v>
      </c>
      <c r="E8" s="13">
        <f t="shared" ref="E8:N8" si="2">D8</f>
        <v>50000</v>
      </c>
      <c r="F8" s="13">
        <f t="shared" si="2"/>
        <v>50000</v>
      </c>
      <c r="G8" s="13">
        <f t="shared" si="2"/>
        <v>50000</v>
      </c>
      <c r="H8" s="13">
        <f t="shared" si="2"/>
        <v>50000</v>
      </c>
      <c r="I8" s="13">
        <f t="shared" si="2"/>
        <v>50000</v>
      </c>
      <c r="J8" s="13">
        <f t="shared" si="2"/>
        <v>50000</v>
      </c>
      <c r="K8" s="13">
        <f t="shared" si="2"/>
        <v>50000</v>
      </c>
      <c r="L8" s="13">
        <f t="shared" si="2"/>
        <v>50000</v>
      </c>
      <c r="M8" s="13">
        <f t="shared" si="2"/>
        <v>50000</v>
      </c>
      <c r="N8" s="13">
        <f t="shared" si="2"/>
        <v>50000</v>
      </c>
      <c r="O8" s="11"/>
    </row>
    <row r="9" spans="1:15" ht="19.5" customHeight="1" thickBot="1" x14ac:dyDescent="0.3">
      <c r="A9" s="200"/>
      <c r="B9" s="38" t="s">
        <v>42</v>
      </c>
      <c r="C9" s="34">
        <f>C7*C8</f>
        <v>1500000</v>
      </c>
      <c r="D9" s="34">
        <f t="shared" ref="D9:N9" si="3">D7*D8</f>
        <v>500000</v>
      </c>
      <c r="E9" s="34">
        <f t="shared" si="3"/>
        <v>1500000</v>
      </c>
      <c r="F9" s="34">
        <f t="shared" si="3"/>
        <v>1500000</v>
      </c>
      <c r="G9" s="34">
        <f t="shared" si="3"/>
        <v>1000000</v>
      </c>
      <c r="H9" s="34">
        <f t="shared" si="3"/>
        <v>1500000</v>
      </c>
      <c r="I9" s="34">
        <f t="shared" si="3"/>
        <v>1000000</v>
      </c>
      <c r="J9" s="34">
        <f t="shared" si="3"/>
        <v>1000000</v>
      </c>
      <c r="K9" s="34">
        <f t="shared" si="3"/>
        <v>1500000</v>
      </c>
      <c r="L9" s="34">
        <f t="shared" si="3"/>
        <v>1000000</v>
      </c>
      <c r="M9" s="34">
        <f t="shared" si="3"/>
        <v>1500000</v>
      </c>
      <c r="N9" s="34">
        <f t="shared" si="3"/>
        <v>1000000</v>
      </c>
      <c r="O9" s="39">
        <f>SUM(C9:N9)</f>
        <v>14500000</v>
      </c>
    </row>
    <row r="10" spans="1:15" ht="19.5" customHeight="1" x14ac:dyDescent="0.25">
      <c r="A10" s="197" t="s">
        <v>241</v>
      </c>
      <c r="B10" s="4" t="s">
        <v>41</v>
      </c>
      <c r="C10" s="10">
        <f>'Cost Forecast'!C10</f>
        <v>1</v>
      </c>
      <c r="D10" s="10">
        <f>'Cost Forecast'!D10</f>
        <v>1</v>
      </c>
      <c r="E10" s="10">
        <f>'Cost Forecast'!E10</f>
        <v>1</v>
      </c>
      <c r="F10" s="10">
        <f>'Cost Forecast'!F10</f>
        <v>1</v>
      </c>
      <c r="G10" s="10">
        <f>'Cost Forecast'!G10</f>
        <v>1</v>
      </c>
      <c r="H10" s="10">
        <f>'Cost Forecast'!H10</f>
        <v>1</v>
      </c>
      <c r="I10" s="10">
        <f>'Cost Forecast'!I10</f>
        <v>1</v>
      </c>
      <c r="J10" s="10">
        <f>'Cost Forecast'!J10</f>
        <v>1</v>
      </c>
      <c r="K10" s="10">
        <f>'Cost Forecast'!K10</f>
        <v>1</v>
      </c>
      <c r="L10" s="10">
        <f>'Cost Forecast'!L10</f>
        <v>1</v>
      </c>
      <c r="M10" s="10">
        <f>'Cost Forecast'!M10</f>
        <v>1</v>
      </c>
      <c r="N10" s="10">
        <f>'Cost Forecast'!N10</f>
        <v>1</v>
      </c>
      <c r="O10" s="14"/>
    </row>
    <row r="11" spans="1:15" ht="19.5" customHeight="1" x14ac:dyDescent="0.25">
      <c r="A11" s="198"/>
      <c r="B11" s="4" t="s">
        <v>46</v>
      </c>
      <c r="C11" s="13">
        <f>'PROPOSED PRICING'!G5</f>
        <v>75000</v>
      </c>
      <c r="D11" s="13">
        <f>C11</f>
        <v>75000</v>
      </c>
      <c r="E11" s="13">
        <f t="shared" ref="E11:N11" si="4">D11</f>
        <v>75000</v>
      </c>
      <c r="F11" s="13">
        <f t="shared" si="4"/>
        <v>75000</v>
      </c>
      <c r="G11" s="13">
        <f t="shared" si="4"/>
        <v>75000</v>
      </c>
      <c r="H11" s="13">
        <f t="shared" si="4"/>
        <v>75000</v>
      </c>
      <c r="I11" s="13">
        <f t="shared" si="4"/>
        <v>75000</v>
      </c>
      <c r="J11" s="13">
        <f t="shared" si="4"/>
        <v>75000</v>
      </c>
      <c r="K11" s="13">
        <f t="shared" si="4"/>
        <v>75000</v>
      </c>
      <c r="L11" s="13">
        <f t="shared" si="4"/>
        <v>75000</v>
      </c>
      <c r="M11" s="13">
        <f t="shared" si="4"/>
        <v>75000</v>
      </c>
      <c r="N11" s="13">
        <f t="shared" si="4"/>
        <v>75000</v>
      </c>
      <c r="O11" s="14"/>
    </row>
    <row r="12" spans="1:15" ht="19.5" customHeight="1" thickBot="1" x14ac:dyDescent="0.3">
      <c r="A12" s="199"/>
      <c r="B12" s="5" t="s">
        <v>42</v>
      </c>
      <c r="C12" s="15">
        <f>C10*C11</f>
        <v>75000</v>
      </c>
      <c r="D12" s="15">
        <f t="shared" ref="D12:N12" si="5">D10*D11</f>
        <v>75000</v>
      </c>
      <c r="E12" s="15">
        <f t="shared" si="5"/>
        <v>75000</v>
      </c>
      <c r="F12" s="15">
        <f t="shared" si="5"/>
        <v>75000</v>
      </c>
      <c r="G12" s="15">
        <f t="shared" si="5"/>
        <v>75000</v>
      </c>
      <c r="H12" s="15">
        <f t="shared" si="5"/>
        <v>75000</v>
      </c>
      <c r="I12" s="15">
        <f t="shared" si="5"/>
        <v>75000</v>
      </c>
      <c r="J12" s="15">
        <f t="shared" si="5"/>
        <v>75000</v>
      </c>
      <c r="K12" s="15">
        <f t="shared" si="5"/>
        <v>75000</v>
      </c>
      <c r="L12" s="15">
        <f t="shared" si="5"/>
        <v>75000</v>
      </c>
      <c r="M12" s="15">
        <f t="shared" si="5"/>
        <v>75000</v>
      </c>
      <c r="N12" s="15">
        <f t="shared" si="5"/>
        <v>75000</v>
      </c>
      <c r="O12" s="12">
        <f>SUM(C12:N12)</f>
        <v>900000</v>
      </c>
    </row>
    <row r="13" spans="1:15" ht="19.5" customHeight="1" x14ac:dyDescent="0.25">
      <c r="A13" s="197" t="s">
        <v>242</v>
      </c>
      <c r="B13" s="4" t="s">
        <v>41</v>
      </c>
      <c r="C13" s="10">
        <f>'Cost Forecast'!C13</f>
        <v>90</v>
      </c>
      <c r="D13" s="10">
        <f>'Cost Forecast'!D13</f>
        <v>30</v>
      </c>
      <c r="E13" s="10">
        <f>'Cost Forecast'!E13</f>
        <v>90</v>
      </c>
      <c r="F13" s="10">
        <f>'Cost Forecast'!F13</f>
        <v>90</v>
      </c>
      <c r="G13" s="10">
        <f>'Cost Forecast'!G13</f>
        <v>60</v>
      </c>
      <c r="H13" s="10">
        <f>'Cost Forecast'!H13</f>
        <v>90</v>
      </c>
      <c r="I13" s="10">
        <f>'Cost Forecast'!I13</f>
        <v>60</v>
      </c>
      <c r="J13" s="10">
        <f>'Cost Forecast'!J13</f>
        <v>60</v>
      </c>
      <c r="K13" s="10">
        <f>'Cost Forecast'!K13</f>
        <v>100</v>
      </c>
      <c r="L13" s="10">
        <f>'Cost Forecast'!L13</f>
        <v>60</v>
      </c>
      <c r="M13" s="10">
        <f>'Cost Forecast'!M13</f>
        <v>100</v>
      </c>
      <c r="N13" s="10">
        <f>'Cost Forecast'!N13</f>
        <v>90</v>
      </c>
      <c r="O13" s="11"/>
    </row>
    <row r="14" spans="1:15" ht="19.5" customHeight="1" x14ac:dyDescent="0.25">
      <c r="A14" s="198"/>
      <c r="B14" s="4" t="s">
        <v>46</v>
      </c>
      <c r="C14" s="13">
        <f>'PROPOSED PRICING'!G6</f>
        <v>50</v>
      </c>
      <c r="D14" s="13">
        <f>C14</f>
        <v>50</v>
      </c>
      <c r="E14" s="13">
        <f t="shared" ref="E14:N14" si="6">D14</f>
        <v>50</v>
      </c>
      <c r="F14" s="13">
        <f t="shared" si="6"/>
        <v>50</v>
      </c>
      <c r="G14" s="13">
        <f t="shared" si="6"/>
        <v>50</v>
      </c>
      <c r="H14" s="13">
        <f t="shared" si="6"/>
        <v>50</v>
      </c>
      <c r="I14" s="13">
        <f t="shared" si="6"/>
        <v>50</v>
      </c>
      <c r="J14" s="13">
        <f t="shared" si="6"/>
        <v>50</v>
      </c>
      <c r="K14" s="13">
        <f t="shared" si="6"/>
        <v>50</v>
      </c>
      <c r="L14" s="13">
        <f t="shared" si="6"/>
        <v>50</v>
      </c>
      <c r="M14" s="13">
        <f t="shared" si="6"/>
        <v>50</v>
      </c>
      <c r="N14" s="13">
        <f t="shared" si="6"/>
        <v>50</v>
      </c>
      <c r="O14" s="11"/>
    </row>
    <row r="15" spans="1:15" ht="19.5" customHeight="1" thickBot="1" x14ac:dyDescent="0.3">
      <c r="A15" s="199"/>
      <c r="B15" s="5" t="s">
        <v>42</v>
      </c>
      <c r="C15" s="15">
        <f>C13*C14</f>
        <v>4500</v>
      </c>
      <c r="D15" s="15">
        <f t="shared" ref="D15:N15" si="7">D13*D14</f>
        <v>1500</v>
      </c>
      <c r="E15" s="15">
        <f t="shared" si="7"/>
        <v>4500</v>
      </c>
      <c r="F15" s="15">
        <f t="shared" si="7"/>
        <v>4500</v>
      </c>
      <c r="G15" s="15">
        <f t="shared" si="7"/>
        <v>3000</v>
      </c>
      <c r="H15" s="15">
        <f t="shared" si="7"/>
        <v>4500</v>
      </c>
      <c r="I15" s="15">
        <f t="shared" si="7"/>
        <v>3000</v>
      </c>
      <c r="J15" s="15">
        <f t="shared" si="7"/>
        <v>3000</v>
      </c>
      <c r="K15" s="15">
        <f t="shared" si="7"/>
        <v>5000</v>
      </c>
      <c r="L15" s="15">
        <f t="shared" si="7"/>
        <v>3000</v>
      </c>
      <c r="M15" s="15">
        <f t="shared" si="7"/>
        <v>5000</v>
      </c>
      <c r="N15" s="15">
        <f t="shared" si="7"/>
        <v>4500</v>
      </c>
      <c r="O15" s="12">
        <f>SUM(C15:N15)</f>
        <v>46000</v>
      </c>
    </row>
    <row r="16" spans="1:15" s="1" customFormat="1" ht="19.5" customHeight="1" x14ac:dyDescent="0.25">
      <c r="A16" s="197" t="s">
        <v>243</v>
      </c>
      <c r="B16" s="8" t="s">
        <v>41</v>
      </c>
      <c r="C16" s="10">
        <f>'Cost Forecast'!C16</f>
        <v>3</v>
      </c>
      <c r="D16" s="10">
        <f>'Cost Forecast'!D16</f>
        <v>1</v>
      </c>
      <c r="E16" s="10">
        <f>'Cost Forecast'!E16</f>
        <v>3</v>
      </c>
      <c r="F16" s="10">
        <f>'Cost Forecast'!F16</f>
        <v>3</v>
      </c>
      <c r="G16" s="10">
        <f>'Cost Forecast'!G16</f>
        <v>2</v>
      </c>
      <c r="H16" s="10">
        <f>'Cost Forecast'!H16</f>
        <v>3</v>
      </c>
      <c r="I16" s="10">
        <f>'Cost Forecast'!I16</f>
        <v>2</v>
      </c>
      <c r="J16" s="10">
        <f>'Cost Forecast'!J16</f>
        <v>2</v>
      </c>
      <c r="K16" s="10">
        <f>'Cost Forecast'!K16</f>
        <v>4</v>
      </c>
      <c r="L16" s="10">
        <f>'Cost Forecast'!L16</f>
        <v>2</v>
      </c>
      <c r="M16" s="10">
        <f>'Cost Forecast'!M16</f>
        <v>4</v>
      </c>
      <c r="N16" s="10">
        <f>'Cost Forecast'!N16</f>
        <v>3</v>
      </c>
      <c r="O16" s="11"/>
    </row>
    <row r="17" spans="1:15" s="1" customFormat="1" ht="19.5" customHeight="1" x14ac:dyDescent="0.25">
      <c r="A17" s="198"/>
      <c r="B17" s="8" t="s">
        <v>46</v>
      </c>
      <c r="C17" s="10">
        <f>'PROPOSED PRICING'!G7</f>
        <v>5000</v>
      </c>
      <c r="D17" s="13">
        <f>C17</f>
        <v>5000</v>
      </c>
      <c r="E17" s="13">
        <f t="shared" ref="E17:N17" si="8">D17</f>
        <v>5000</v>
      </c>
      <c r="F17" s="13">
        <f t="shared" si="8"/>
        <v>5000</v>
      </c>
      <c r="G17" s="13">
        <f t="shared" si="8"/>
        <v>5000</v>
      </c>
      <c r="H17" s="13">
        <f t="shared" si="8"/>
        <v>5000</v>
      </c>
      <c r="I17" s="13">
        <f t="shared" si="8"/>
        <v>5000</v>
      </c>
      <c r="J17" s="13">
        <f t="shared" si="8"/>
        <v>5000</v>
      </c>
      <c r="K17" s="13">
        <f t="shared" si="8"/>
        <v>5000</v>
      </c>
      <c r="L17" s="13">
        <f t="shared" si="8"/>
        <v>5000</v>
      </c>
      <c r="M17" s="13">
        <f t="shared" si="8"/>
        <v>5000</v>
      </c>
      <c r="N17" s="13">
        <f t="shared" si="8"/>
        <v>5000</v>
      </c>
      <c r="O17" s="11"/>
    </row>
    <row r="18" spans="1:15" s="1" customFormat="1" ht="19.5" customHeight="1" thickBot="1" x14ac:dyDescent="0.3">
      <c r="A18" s="200"/>
      <c r="B18" s="5" t="s">
        <v>42</v>
      </c>
      <c r="C18" s="12">
        <f>C16*C17</f>
        <v>15000</v>
      </c>
      <c r="D18" s="12">
        <f t="shared" ref="D18:N18" si="9">D16*D17</f>
        <v>5000</v>
      </c>
      <c r="E18" s="12">
        <f t="shared" si="9"/>
        <v>15000</v>
      </c>
      <c r="F18" s="12">
        <f t="shared" si="9"/>
        <v>15000</v>
      </c>
      <c r="G18" s="12">
        <f t="shared" si="9"/>
        <v>10000</v>
      </c>
      <c r="H18" s="12">
        <f t="shared" si="9"/>
        <v>15000</v>
      </c>
      <c r="I18" s="12">
        <f t="shared" si="9"/>
        <v>10000</v>
      </c>
      <c r="J18" s="12">
        <f t="shared" si="9"/>
        <v>10000</v>
      </c>
      <c r="K18" s="12">
        <f t="shared" si="9"/>
        <v>20000</v>
      </c>
      <c r="L18" s="12">
        <f t="shared" si="9"/>
        <v>10000</v>
      </c>
      <c r="M18" s="12">
        <f t="shared" si="9"/>
        <v>20000</v>
      </c>
      <c r="N18" s="12">
        <f t="shared" si="9"/>
        <v>15000</v>
      </c>
      <c r="O18" s="12">
        <f>SUM(C18:N18)</f>
        <v>160000</v>
      </c>
    </row>
    <row r="19" spans="1:15" s="1" customFormat="1" ht="19.5" customHeight="1" x14ac:dyDescent="0.25">
      <c r="A19" s="197" t="s">
        <v>247</v>
      </c>
      <c r="B19" s="35" t="s">
        <v>41</v>
      </c>
      <c r="C19" s="10">
        <f>'Cost Forecast'!C19</f>
        <v>9</v>
      </c>
      <c r="D19" s="10">
        <f>'Cost Forecast'!D19</f>
        <v>9</v>
      </c>
      <c r="E19" s="10">
        <f>'Cost Forecast'!E19</f>
        <v>9</v>
      </c>
      <c r="F19" s="10">
        <f>'Cost Forecast'!F19</f>
        <v>9</v>
      </c>
      <c r="G19" s="10">
        <f>'Cost Forecast'!G19</f>
        <v>9</v>
      </c>
      <c r="H19" s="10">
        <f>'Cost Forecast'!H19</f>
        <v>9</v>
      </c>
      <c r="I19" s="10">
        <f>'Cost Forecast'!I19</f>
        <v>9</v>
      </c>
      <c r="J19" s="10">
        <f>'Cost Forecast'!J19</f>
        <v>9</v>
      </c>
      <c r="K19" s="10">
        <f>'Cost Forecast'!K19</f>
        <v>9</v>
      </c>
      <c r="L19" s="10">
        <f>'Cost Forecast'!L19</f>
        <v>9</v>
      </c>
      <c r="M19" s="10">
        <f>'Cost Forecast'!M19</f>
        <v>9</v>
      </c>
      <c r="N19" s="10">
        <f>'Cost Forecast'!N19</f>
        <v>9</v>
      </c>
      <c r="O19" s="37"/>
    </row>
    <row r="20" spans="1:15" s="1" customFormat="1" ht="19.5" customHeight="1" x14ac:dyDescent="0.25">
      <c r="A20" s="198"/>
      <c r="B20" s="4" t="s">
        <v>46</v>
      </c>
      <c r="C20" s="13">
        <f>'PROPOSED PRICING'!G8</f>
        <v>30000</v>
      </c>
      <c r="D20" s="13">
        <f>C20</f>
        <v>30000</v>
      </c>
      <c r="E20" s="13">
        <f t="shared" ref="E20:N20" si="10">D20</f>
        <v>30000</v>
      </c>
      <c r="F20" s="13">
        <f t="shared" si="10"/>
        <v>30000</v>
      </c>
      <c r="G20" s="13">
        <f t="shared" si="10"/>
        <v>30000</v>
      </c>
      <c r="H20" s="13">
        <f t="shared" si="10"/>
        <v>30000</v>
      </c>
      <c r="I20" s="13">
        <f t="shared" si="10"/>
        <v>30000</v>
      </c>
      <c r="J20" s="13">
        <f t="shared" si="10"/>
        <v>30000</v>
      </c>
      <c r="K20" s="13">
        <f t="shared" si="10"/>
        <v>30000</v>
      </c>
      <c r="L20" s="13">
        <f t="shared" si="10"/>
        <v>30000</v>
      </c>
      <c r="M20" s="13">
        <f t="shared" si="10"/>
        <v>30000</v>
      </c>
      <c r="N20" s="13">
        <f t="shared" si="10"/>
        <v>30000</v>
      </c>
      <c r="O20" s="11"/>
    </row>
    <row r="21" spans="1:15" s="1" customFormat="1" ht="19.5" customHeight="1" thickBot="1" x14ac:dyDescent="0.3">
      <c r="A21" s="199"/>
      <c r="B21" s="38" t="s">
        <v>42</v>
      </c>
      <c r="C21" s="34">
        <f>C19*C20</f>
        <v>270000</v>
      </c>
      <c r="D21" s="34">
        <f t="shared" ref="D21:N21" si="11">D19*D20</f>
        <v>270000</v>
      </c>
      <c r="E21" s="34">
        <f t="shared" si="11"/>
        <v>270000</v>
      </c>
      <c r="F21" s="34">
        <f t="shared" si="11"/>
        <v>270000</v>
      </c>
      <c r="G21" s="34">
        <f t="shared" si="11"/>
        <v>270000</v>
      </c>
      <c r="H21" s="34">
        <f t="shared" si="11"/>
        <v>270000</v>
      </c>
      <c r="I21" s="34">
        <f t="shared" si="11"/>
        <v>270000</v>
      </c>
      <c r="J21" s="34">
        <f t="shared" si="11"/>
        <v>270000</v>
      </c>
      <c r="K21" s="34">
        <f t="shared" si="11"/>
        <v>270000</v>
      </c>
      <c r="L21" s="34">
        <f t="shared" si="11"/>
        <v>270000</v>
      </c>
      <c r="M21" s="34">
        <f t="shared" si="11"/>
        <v>270000</v>
      </c>
      <c r="N21" s="34">
        <f t="shared" si="11"/>
        <v>270000</v>
      </c>
      <c r="O21" s="39">
        <f>SUM(C21:N21)</f>
        <v>3240000</v>
      </c>
    </row>
    <row r="22" spans="1:15" s="1" customFormat="1" ht="19.5" customHeight="1" x14ac:dyDescent="0.25">
      <c r="A22" s="197" t="s">
        <v>246</v>
      </c>
      <c r="B22" s="4" t="s">
        <v>41</v>
      </c>
      <c r="C22" s="10">
        <f>'Cost Forecast'!C22</f>
        <v>3</v>
      </c>
      <c r="D22" s="10">
        <f>'Cost Forecast'!D22</f>
        <v>3</v>
      </c>
      <c r="E22" s="10">
        <f>'Cost Forecast'!E22</f>
        <v>3</v>
      </c>
      <c r="F22" s="10">
        <f>'Cost Forecast'!F22</f>
        <v>3</v>
      </c>
      <c r="G22" s="10">
        <f>'Cost Forecast'!G22</f>
        <v>3</v>
      </c>
      <c r="H22" s="10">
        <f>'Cost Forecast'!H22</f>
        <v>3</v>
      </c>
      <c r="I22" s="10">
        <f>'Cost Forecast'!I22</f>
        <v>3</v>
      </c>
      <c r="J22" s="10">
        <f>'Cost Forecast'!J22</f>
        <v>3</v>
      </c>
      <c r="K22" s="10">
        <f>'Cost Forecast'!K22</f>
        <v>3</v>
      </c>
      <c r="L22" s="10">
        <f>'Cost Forecast'!L22</f>
        <v>3</v>
      </c>
      <c r="M22" s="10">
        <f>'Cost Forecast'!M22</f>
        <v>3</v>
      </c>
      <c r="N22" s="10">
        <f>'Cost Forecast'!N22</f>
        <v>3</v>
      </c>
      <c r="O22" s="14"/>
    </row>
    <row r="23" spans="1:15" s="1" customFormat="1" ht="19.5" customHeight="1" x14ac:dyDescent="0.25">
      <c r="A23" s="198"/>
      <c r="B23" s="4" t="s">
        <v>46</v>
      </c>
      <c r="C23" s="13">
        <f>'PROPOSED PRICING'!G9</f>
        <v>150000</v>
      </c>
      <c r="D23" s="13">
        <f>C23</f>
        <v>150000</v>
      </c>
      <c r="E23" s="13">
        <f t="shared" ref="E23:N23" si="12">D23</f>
        <v>150000</v>
      </c>
      <c r="F23" s="13">
        <f t="shared" si="12"/>
        <v>150000</v>
      </c>
      <c r="G23" s="13">
        <f t="shared" si="12"/>
        <v>150000</v>
      </c>
      <c r="H23" s="13">
        <f t="shared" si="12"/>
        <v>150000</v>
      </c>
      <c r="I23" s="13">
        <f t="shared" si="12"/>
        <v>150000</v>
      </c>
      <c r="J23" s="13">
        <f t="shared" si="12"/>
        <v>150000</v>
      </c>
      <c r="K23" s="13">
        <f t="shared" si="12"/>
        <v>150000</v>
      </c>
      <c r="L23" s="13">
        <f t="shared" si="12"/>
        <v>150000</v>
      </c>
      <c r="M23" s="13">
        <f t="shared" si="12"/>
        <v>150000</v>
      </c>
      <c r="N23" s="13">
        <f t="shared" si="12"/>
        <v>150000</v>
      </c>
      <c r="O23" s="14"/>
    </row>
    <row r="24" spans="1:15" s="1" customFormat="1" ht="19.5" customHeight="1" thickBot="1" x14ac:dyDescent="0.3">
      <c r="A24" s="199"/>
      <c r="B24" s="5" t="s">
        <v>42</v>
      </c>
      <c r="C24" s="15">
        <f>C22*C23</f>
        <v>450000</v>
      </c>
      <c r="D24" s="15">
        <f t="shared" ref="D24:N24" si="13">D22*D23</f>
        <v>450000</v>
      </c>
      <c r="E24" s="15">
        <f t="shared" si="13"/>
        <v>450000</v>
      </c>
      <c r="F24" s="15">
        <f t="shared" si="13"/>
        <v>450000</v>
      </c>
      <c r="G24" s="15">
        <f t="shared" si="13"/>
        <v>450000</v>
      </c>
      <c r="H24" s="15">
        <f t="shared" si="13"/>
        <v>450000</v>
      </c>
      <c r="I24" s="15">
        <f t="shared" si="13"/>
        <v>450000</v>
      </c>
      <c r="J24" s="15">
        <f t="shared" si="13"/>
        <v>450000</v>
      </c>
      <c r="K24" s="15">
        <f t="shared" si="13"/>
        <v>450000</v>
      </c>
      <c r="L24" s="15">
        <f t="shared" si="13"/>
        <v>450000</v>
      </c>
      <c r="M24" s="15">
        <f t="shared" si="13"/>
        <v>450000</v>
      </c>
      <c r="N24" s="15">
        <f t="shared" si="13"/>
        <v>450000</v>
      </c>
      <c r="O24" s="12">
        <f>SUM(C24:N24)</f>
        <v>5400000</v>
      </c>
    </row>
    <row r="25" spans="1:15" s="1" customFormat="1" ht="19.5" customHeight="1" x14ac:dyDescent="0.25">
      <c r="A25" s="197" t="s">
        <v>248</v>
      </c>
      <c r="B25" s="4" t="s">
        <v>41</v>
      </c>
      <c r="C25" s="10">
        <f>'Cost Forecast'!C25</f>
        <v>1</v>
      </c>
      <c r="D25" s="10">
        <f>'Cost Forecast'!D25</f>
        <v>1</v>
      </c>
      <c r="E25" s="10">
        <f>'Cost Forecast'!E25</f>
        <v>1</v>
      </c>
      <c r="F25" s="10">
        <f>'Cost Forecast'!F25</f>
        <v>1</v>
      </c>
      <c r="G25" s="10">
        <f>'Cost Forecast'!G25</f>
        <v>1</v>
      </c>
      <c r="H25" s="10">
        <f>'Cost Forecast'!H25</f>
        <v>1</v>
      </c>
      <c r="I25" s="10">
        <f>'Cost Forecast'!I25</f>
        <v>1</v>
      </c>
      <c r="J25" s="10">
        <f>'Cost Forecast'!J25</f>
        <v>1</v>
      </c>
      <c r="K25" s="10">
        <f>'Cost Forecast'!K25</f>
        <v>1</v>
      </c>
      <c r="L25" s="10">
        <f>'Cost Forecast'!L25</f>
        <v>1</v>
      </c>
      <c r="M25" s="10">
        <f>'Cost Forecast'!M25</f>
        <v>1</v>
      </c>
      <c r="N25" s="10">
        <f>'Cost Forecast'!N25</f>
        <v>1</v>
      </c>
      <c r="O25" s="11"/>
    </row>
    <row r="26" spans="1:15" s="1" customFormat="1" ht="19.5" customHeight="1" x14ac:dyDescent="0.25">
      <c r="A26" s="198"/>
      <c r="B26" s="4" t="s">
        <v>46</v>
      </c>
      <c r="C26" s="13">
        <f>'PROPOSED PRICING'!G10</f>
        <v>450000</v>
      </c>
      <c r="D26" s="13">
        <f>C26</f>
        <v>450000</v>
      </c>
      <c r="E26" s="13">
        <f t="shared" ref="E26:N26" si="14">D26</f>
        <v>450000</v>
      </c>
      <c r="F26" s="13">
        <f t="shared" si="14"/>
        <v>450000</v>
      </c>
      <c r="G26" s="13">
        <f t="shared" si="14"/>
        <v>450000</v>
      </c>
      <c r="H26" s="13">
        <f t="shared" si="14"/>
        <v>450000</v>
      </c>
      <c r="I26" s="13">
        <f t="shared" si="14"/>
        <v>450000</v>
      </c>
      <c r="J26" s="13">
        <f t="shared" si="14"/>
        <v>450000</v>
      </c>
      <c r="K26" s="13">
        <f t="shared" si="14"/>
        <v>450000</v>
      </c>
      <c r="L26" s="13">
        <f t="shared" si="14"/>
        <v>450000</v>
      </c>
      <c r="M26" s="13">
        <f t="shared" si="14"/>
        <v>450000</v>
      </c>
      <c r="N26" s="13">
        <f t="shared" si="14"/>
        <v>450000</v>
      </c>
      <c r="O26" s="11"/>
    </row>
    <row r="27" spans="1:15" s="1" customFormat="1" ht="19.5" customHeight="1" thickBot="1" x14ac:dyDescent="0.3">
      <c r="A27" s="200"/>
      <c r="B27" s="5" t="s">
        <v>42</v>
      </c>
      <c r="C27" s="15">
        <f>C25*C26</f>
        <v>450000</v>
      </c>
      <c r="D27" s="15">
        <f t="shared" ref="D27:N27" si="15">D25*D26</f>
        <v>450000</v>
      </c>
      <c r="E27" s="15">
        <f t="shared" si="15"/>
        <v>450000</v>
      </c>
      <c r="F27" s="15">
        <f t="shared" si="15"/>
        <v>450000</v>
      </c>
      <c r="G27" s="15">
        <f t="shared" si="15"/>
        <v>450000</v>
      </c>
      <c r="H27" s="15">
        <f t="shared" si="15"/>
        <v>450000</v>
      </c>
      <c r="I27" s="15">
        <f t="shared" si="15"/>
        <v>450000</v>
      </c>
      <c r="J27" s="15">
        <f t="shared" si="15"/>
        <v>450000</v>
      </c>
      <c r="K27" s="15">
        <f t="shared" si="15"/>
        <v>450000</v>
      </c>
      <c r="L27" s="15">
        <f t="shared" si="15"/>
        <v>450000</v>
      </c>
      <c r="M27" s="15">
        <f t="shared" si="15"/>
        <v>450000</v>
      </c>
      <c r="N27" s="15">
        <f t="shared" si="15"/>
        <v>450000</v>
      </c>
      <c r="O27" s="12">
        <f>SUM(C27:N27)</f>
        <v>5400000</v>
      </c>
    </row>
    <row r="28" spans="1:15" s="1" customFormat="1" ht="19.5" customHeight="1" x14ac:dyDescent="0.25">
      <c r="A28" s="197" t="s">
        <v>249</v>
      </c>
      <c r="B28" s="8" t="s">
        <v>41</v>
      </c>
      <c r="C28" s="10">
        <f>'Cost Forecast'!C28</f>
        <v>300</v>
      </c>
      <c r="D28" s="10">
        <f>'Cost Forecast'!D28</f>
        <v>100</v>
      </c>
      <c r="E28" s="10">
        <f>'Cost Forecast'!E28</f>
        <v>300</v>
      </c>
      <c r="F28" s="10">
        <f>'Cost Forecast'!F28</f>
        <v>300</v>
      </c>
      <c r="G28" s="10">
        <f>'Cost Forecast'!G28</f>
        <v>200</v>
      </c>
      <c r="H28" s="10">
        <f>'Cost Forecast'!H28</f>
        <v>300</v>
      </c>
      <c r="I28" s="10">
        <f>'Cost Forecast'!I28</f>
        <v>200</v>
      </c>
      <c r="J28" s="10">
        <f>'Cost Forecast'!J28</f>
        <v>200</v>
      </c>
      <c r="K28" s="10">
        <f>'Cost Forecast'!K28</f>
        <v>400</v>
      </c>
      <c r="L28" s="10">
        <f>'Cost Forecast'!L28</f>
        <v>200</v>
      </c>
      <c r="M28" s="10">
        <f>'Cost Forecast'!M28</f>
        <v>400</v>
      </c>
      <c r="N28" s="10">
        <f>'Cost Forecast'!N28</f>
        <v>300</v>
      </c>
      <c r="O28" s="11"/>
    </row>
    <row r="29" spans="1:15" s="1" customFormat="1" ht="19.5" customHeight="1" x14ac:dyDescent="0.25">
      <c r="A29" s="198"/>
      <c r="B29" s="8" t="s">
        <v>46</v>
      </c>
      <c r="C29" s="10">
        <f>'PROPOSED PRICING'!G11</f>
        <v>100</v>
      </c>
      <c r="D29" s="13">
        <f>C29</f>
        <v>100</v>
      </c>
      <c r="E29" s="13">
        <f t="shared" ref="E29:N29" si="16">D29</f>
        <v>100</v>
      </c>
      <c r="F29" s="13">
        <f t="shared" si="16"/>
        <v>100</v>
      </c>
      <c r="G29" s="13">
        <f t="shared" si="16"/>
        <v>100</v>
      </c>
      <c r="H29" s="13">
        <f t="shared" si="16"/>
        <v>100</v>
      </c>
      <c r="I29" s="13">
        <f t="shared" si="16"/>
        <v>100</v>
      </c>
      <c r="J29" s="13">
        <f t="shared" si="16"/>
        <v>100</v>
      </c>
      <c r="K29" s="13">
        <f t="shared" si="16"/>
        <v>100</v>
      </c>
      <c r="L29" s="13">
        <f t="shared" si="16"/>
        <v>100</v>
      </c>
      <c r="M29" s="13">
        <f t="shared" si="16"/>
        <v>100</v>
      </c>
      <c r="N29" s="13">
        <f t="shared" si="16"/>
        <v>100</v>
      </c>
      <c r="O29" s="11"/>
    </row>
    <row r="30" spans="1:15" s="1" customFormat="1" ht="19.5" customHeight="1" thickBot="1" x14ac:dyDescent="0.3">
      <c r="A30" s="199"/>
      <c r="B30" s="5" t="s">
        <v>42</v>
      </c>
      <c r="C30" s="12">
        <f>C28*C29</f>
        <v>30000</v>
      </c>
      <c r="D30" s="12">
        <f t="shared" ref="D30:N30" si="17">D28*D29</f>
        <v>10000</v>
      </c>
      <c r="E30" s="12">
        <f t="shared" si="17"/>
        <v>30000</v>
      </c>
      <c r="F30" s="12">
        <f t="shared" si="17"/>
        <v>30000</v>
      </c>
      <c r="G30" s="12">
        <f t="shared" si="17"/>
        <v>20000</v>
      </c>
      <c r="H30" s="12">
        <f t="shared" si="17"/>
        <v>30000</v>
      </c>
      <c r="I30" s="12">
        <f t="shared" si="17"/>
        <v>20000</v>
      </c>
      <c r="J30" s="12">
        <f t="shared" si="17"/>
        <v>20000</v>
      </c>
      <c r="K30" s="12">
        <f t="shared" si="17"/>
        <v>40000</v>
      </c>
      <c r="L30" s="12">
        <f t="shared" si="17"/>
        <v>20000</v>
      </c>
      <c r="M30" s="12">
        <f t="shared" si="17"/>
        <v>40000</v>
      </c>
      <c r="N30" s="12">
        <f t="shared" si="17"/>
        <v>30000</v>
      </c>
      <c r="O30" s="12">
        <f>SUM(C30:N30)</f>
        <v>320000</v>
      </c>
    </row>
    <row r="31" spans="1:15" s="1" customFormat="1" ht="19.5" customHeight="1" x14ac:dyDescent="0.25">
      <c r="A31" s="197" t="s">
        <v>250</v>
      </c>
      <c r="B31" s="35" t="s">
        <v>41</v>
      </c>
      <c r="C31" s="10">
        <f>'Cost Forecast'!C31</f>
        <v>30</v>
      </c>
      <c r="D31" s="10">
        <f>'Cost Forecast'!D31</f>
        <v>20</v>
      </c>
      <c r="E31" s="10">
        <f>'Cost Forecast'!E31</f>
        <v>30</v>
      </c>
      <c r="F31" s="10">
        <f>'Cost Forecast'!F31</f>
        <v>30</v>
      </c>
      <c r="G31" s="10">
        <f>'Cost Forecast'!G31</f>
        <v>20</v>
      </c>
      <c r="H31" s="10">
        <f>'Cost Forecast'!H31</f>
        <v>30</v>
      </c>
      <c r="I31" s="10">
        <f>'Cost Forecast'!I31</f>
        <v>20</v>
      </c>
      <c r="J31" s="10">
        <f>'Cost Forecast'!J31</f>
        <v>20</v>
      </c>
      <c r="K31" s="10">
        <f>'Cost Forecast'!K31</f>
        <v>40</v>
      </c>
      <c r="L31" s="10">
        <f>'Cost Forecast'!L31</f>
        <v>20</v>
      </c>
      <c r="M31" s="10">
        <f>'Cost Forecast'!M31</f>
        <v>40</v>
      </c>
      <c r="N31" s="10">
        <f>'Cost Forecast'!N31</f>
        <v>30</v>
      </c>
      <c r="O31" s="37"/>
    </row>
    <row r="32" spans="1:15" s="1" customFormat="1" ht="19.5" customHeight="1" x14ac:dyDescent="0.25">
      <c r="A32" s="198"/>
      <c r="B32" s="4" t="s">
        <v>46</v>
      </c>
      <c r="C32" s="13">
        <f>'PROPOSED PRICING'!G12</f>
        <v>500</v>
      </c>
      <c r="D32" s="13">
        <f>C32</f>
        <v>500</v>
      </c>
      <c r="E32" s="13">
        <f t="shared" ref="E32:N32" si="18">D32</f>
        <v>500</v>
      </c>
      <c r="F32" s="13">
        <f t="shared" si="18"/>
        <v>500</v>
      </c>
      <c r="G32" s="13">
        <f t="shared" si="18"/>
        <v>500</v>
      </c>
      <c r="H32" s="13">
        <f t="shared" si="18"/>
        <v>500</v>
      </c>
      <c r="I32" s="13">
        <f t="shared" si="18"/>
        <v>500</v>
      </c>
      <c r="J32" s="13">
        <f t="shared" si="18"/>
        <v>500</v>
      </c>
      <c r="K32" s="13">
        <f t="shared" si="18"/>
        <v>500</v>
      </c>
      <c r="L32" s="13">
        <f t="shared" si="18"/>
        <v>500</v>
      </c>
      <c r="M32" s="13">
        <f t="shared" si="18"/>
        <v>500</v>
      </c>
      <c r="N32" s="13">
        <f t="shared" si="18"/>
        <v>500</v>
      </c>
      <c r="O32" s="11"/>
    </row>
    <row r="33" spans="1:15" s="1" customFormat="1" ht="19.5" customHeight="1" thickBot="1" x14ac:dyDescent="0.3">
      <c r="A33" s="199"/>
      <c r="B33" s="38" t="s">
        <v>42</v>
      </c>
      <c r="C33" s="34">
        <f>C31*C32</f>
        <v>15000</v>
      </c>
      <c r="D33" s="34">
        <f t="shared" ref="D33:N33" si="19">D31*D32</f>
        <v>10000</v>
      </c>
      <c r="E33" s="34">
        <f t="shared" si="19"/>
        <v>15000</v>
      </c>
      <c r="F33" s="34">
        <f t="shared" si="19"/>
        <v>15000</v>
      </c>
      <c r="G33" s="34">
        <f t="shared" si="19"/>
        <v>10000</v>
      </c>
      <c r="H33" s="34">
        <f t="shared" si="19"/>
        <v>15000</v>
      </c>
      <c r="I33" s="34">
        <f t="shared" si="19"/>
        <v>10000</v>
      </c>
      <c r="J33" s="34">
        <f t="shared" si="19"/>
        <v>10000</v>
      </c>
      <c r="K33" s="34">
        <f t="shared" si="19"/>
        <v>20000</v>
      </c>
      <c r="L33" s="34">
        <f t="shared" si="19"/>
        <v>10000</v>
      </c>
      <c r="M33" s="34">
        <f t="shared" si="19"/>
        <v>20000</v>
      </c>
      <c r="N33" s="34">
        <f t="shared" si="19"/>
        <v>15000</v>
      </c>
      <c r="O33" s="39">
        <f>SUM(C33:N33)</f>
        <v>165000</v>
      </c>
    </row>
    <row r="34" spans="1:15" s="1" customFormat="1" ht="19.5" customHeight="1" x14ac:dyDescent="0.25">
      <c r="A34" s="197" t="s">
        <v>251</v>
      </c>
      <c r="B34" s="4" t="s">
        <v>41</v>
      </c>
      <c r="C34" s="10">
        <f>'Cost Forecast'!C34</f>
        <v>6</v>
      </c>
      <c r="D34" s="10">
        <f>'Cost Forecast'!D34</f>
        <v>2</v>
      </c>
      <c r="E34" s="10">
        <f>'Cost Forecast'!E34</f>
        <v>6</v>
      </c>
      <c r="F34" s="10">
        <f>'Cost Forecast'!F34</f>
        <v>6</v>
      </c>
      <c r="G34" s="10">
        <f>'Cost Forecast'!G34</f>
        <v>4</v>
      </c>
      <c r="H34" s="10">
        <f>'Cost Forecast'!H34</f>
        <v>6</v>
      </c>
      <c r="I34" s="10">
        <f>'Cost Forecast'!I34</f>
        <v>4</v>
      </c>
      <c r="J34" s="10">
        <f>'Cost Forecast'!J34</f>
        <v>4</v>
      </c>
      <c r="K34" s="10">
        <f>'Cost Forecast'!K34</f>
        <v>7</v>
      </c>
      <c r="L34" s="10">
        <f>'Cost Forecast'!L34</f>
        <v>4</v>
      </c>
      <c r="M34" s="10">
        <f>'Cost Forecast'!M34</f>
        <v>7</v>
      </c>
      <c r="N34" s="10">
        <f>'Cost Forecast'!N34</f>
        <v>6</v>
      </c>
      <c r="O34" s="14"/>
    </row>
    <row r="35" spans="1:15" s="1" customFormat="1" ht="19.5" customHeight="1" x14ac:dyDescent="0.25">
      <c r="A35" s="198"/>
      <c r="B35" s="4" t="s">
        <v>46</v>
      </c>
      <c r="C35" s="13">
        <f>'PROPOSED PRICING'!G13</f>
        <v>8000</v>
      </c>
      <c r="D35" s="13">
        <f>C35</f>
        <v>8000</v>
      </c>
      <c r="E35" s="13">
        <f t="shared" ref="E35:N35" si="20">D35</f>
        <v>8000</v>
      </c>
      <c r="F35" s="13">
        <f t="shared" si="20"/>
        <v>8000</v>
      </c>
      <c r="G35" s="13">
        <f t="shared" si="20"/>
        <v>8000</v>
      </c>
      <c r="H35" s="13">
        <f t="shared" si="20"/>
        <v>8000</v>
      </c>
      <c r="I35" s="13">
        <f t="shared" si="20"/>
        <v>8000</v>
      </c>
      <c r="J35" s="13">
        <f t="shared" si="20"/>
        <v>8000</v>
      </c>
      <c r="K35" s="13">
        <f t="shared" si="20"/>
        <v>8000</v>
      </c>
      <c r="L35" s="13">
        <f t="shared" si="20"/>
        <v>8000</v>
      </c>
      <c r="M35" s="13">
        <f t="shared" si="20"/>
        <v>8000</v>
      </c>
      <c r="N35" s="13">
        <f t="shared" si="20"/>
        <v>8000</v>
      </c>
      <c r="O35" s="14"/>
    </row>
    <row r="36" spans="1:15" s="1" customFormat="1" ht="19.5" customHeight="1" thickBot="1" x14ac:dyDescent="0.3">
      <c r="A36" s="200"/>
      <c r="B36" s="5" t="s">
        <v>42</v>
      </c>
      <c r="C36" s="15">
        <f>C34*C35</f>
        <v>48000</v>
      </c>
      <c r="D36" s="15">
        <f t="shared" ref="D36:N36" si="21">D34*D35</f>
        <v>16000</v>
      </c>
      <c r="E36" s="15">
        <f t="shared" si="21"/>
        <v>48000</v>
      </c>
      <c r="F36" s="15">
        <f t="shared" si="21"/>
        <v>48000</v>
      </c>
      <c r="G36" s="15">
        <f t="shared" si="21"/>
        <v>32000</v>
      </c>
      <c r="H36" s="15">
        <f t="shared" si="21"/>
        <v>48000</v>
      </c>
      <c r="I36" s="15">
        <f t="shared" si="21"/>
        <v>32000</v>
      </c>
      <c r="J36" s="15">
        <f t="shared" si="21"/>
        <v>32000</v>
      </c>
      <c r="K36" s="15">
        <f t="shared" si="21"/>
        <v>56000</v>
      </c>
      <c r="L36" s="15">
        <f t="shared" si="21"/>
        <v>32000</v>
      </c>
      <c r="M36" s="15">
        <f t="shared" si="21"/>
        <v>56000</v>
      </c>
      <c r="N36" s="15">
        <f t="shared" si="21"/>
        <v>48000</v>
      </c>
      <c r="O36" s="12">
        <f>SUM(C36:N36)</f>
        <v>496000</v>
      </c>
    </row>
    <row r="37" spans="1:15" s="1" customFormat="1" ht="19.5" customHeight="1" x14ac:dyDescent="0.25">
      <c r="A37" s="197" t="s">
        <v>252</v>
      </c>
      <c r="B37" s="4" t="s">
        <v>41</v>
      </c>
      <c r="C37" s="10">
        <f>'Cost Forecast'!C37</f>
        <v>6</v>
      </c>
      <c r="D37" s="10">
        <f>'Cost Forecast'!D37</f>
        <v>2</v>
      </c>
      <c r="E37" s="10">
        <f>'Cost Forecast'!E37</f>
        <v>6</v>
      </c>
      <c r="F37" s="10">
        <f>'Cost Forecast'!F37</f>
        <v>6</v>
      </c>
      <c r="G37" s="10">
        <f>'Cost Forecast'!G37</f>
        <v>4</v>
      </c>
      <c r="H37" s="10">
        <f>'Cost Forecast'!H37</f>
        <v>6</v>
      </c>
      <c r="I37" s="10">
        <f>'Cost Forecast'!I37</f>
        <v>4</v>
      </c>
      <c r="J37" s="10">
        <f>'Cost Forecast'!J37</f>
        <v>4</v>
      </c>
      <c r="K37" s="10">
        <f>'Cost Forecast'!K37</f>
        <v>7</v>
      </c>
      <c r="L37" s="10">
        <f>'Cost Forecast'!L37</f>
        <v>4</v>
      </c>
      <c r="M37" s="10">
        <f>'Cost Forecast'!M37</f>
        <v>7</v>
      </c>
      <c r="N37" s="10">
        <f>'Cost Forecast'!N37</f>
        <v>6</v>
      </c>
      <c r="O37" s="11"/>
    </row>
    <row r="38" spans="1:15" s="1" customFormat="1" ht="19.5" customHeight="1" x14ac:dyDescent="0.25">
      <c r="A38" s="198"/>
      <c r="B38" s="4" t="s">
        <v>46</v>
      </c>
      <c r="C38" s="13">
        <f>'PROPOSED PRICING'!G14</f>
        <v>15000</v>
      </c>
      <c r="D38" s="13">
        <f>C38</f>
        <v>15000</v>
      </c>
      <c r="E38" s="13">
        <f t="shared" ref="E38:N38" si="22">D38</f>
        <v>15000</v>
      </c>
      <c r="F38" s="13">
        <f t="shared" si="22"/>
        <v>15000</v>
      </c>
      <c r="G38" s="13">
        <f t="shared" si="22"/>
        <v>15000</v>
      </c>
      <c r="H38" s="13">
        <f t="shared" si="22"/>
        <v>15000</v>
      </c>
      <c r="I38" s="13">
        <f t="shared" si="22"/>
        <v>15000</v>
      </c>
      <c r="J38" s="13">
        <f t="shared" si="22"/>
        <v>15000</v>
      </c>
      <c r="K38" s="13">
        <f t="shared" si="22"/>
        <v>15000</v>
      </c>
      <c r="L38" s="13">
        <f t="shared" si="22"/>
        <v>15000</v>
      </c>
      <c r="M38" s="13">
        <f t="shared" si="22"/>
        <v>15000</v>
      </c>
      <c r="N38" s="13">
        <f t="shared" si="22"/>
        <v>15000</v>
      </c>
      <c r="O38" s="11"/>
    </row>
    <row r="39" spans="1:15" s="1" customFormat="1" ht="19.5" customHeight="1" thickBot="1" x14ac:dyDescent="0.3">
      <c r="A39" s="199"/>
      <c r="B39" s="5" t="s">
        <v>42</v>
      </c>
      <c r="C39" s="15">
        <f>C37*C38</f>
        <v>90000</v>
      </c>
      <c r="D39" s="15">
        <f t="shared" ref="D39:N39" si="23">D37*D38</f>
        <v>30000</v>
      </c>
      <c r="E39" s="15">
        <f t="shared" si="23"/>
        <v>90000</v>
      </c>
      <c r="F39" s="15">
        <f t="shared" si="23"/>
        <v>90000</v>
      </c>
      <c r="G39" s="15">
        <f t="shared" si="23"/>
        <v>60000</v>
      </c>
      <c r="H39" s="15">
        <f t="shared" si="23"/>
        <v>90000</v>
      </c>
      <c r="I39" s="15">
        <f t="shared" si="23"/>
        <v>60000</v>
      </c>
      <c r="J39" s="15">
        <f t="shared" si="23"/>
        <v>60000</v>
      </c>
      <c r="K39" s="15">
        <f t="shared" si="23"/>
        <v>105000</v>
      </c>
      <c r="L39" s="15">
        <f t="shared" si="23"/>
        <v>60000</v>
      </c>
      <c r="M39" s="15">
        <f t="shared" si="23"/>
        <v>105000</v>
      </c>
      <c r="N39" s="15">
        <f t="shared" si="23"/>
        <v>90000</v>
      </c>
      <c r="O39" s="12">
        <f>SUM(C39:N39)</f>
        <v>930000</v>
      </c>
    </row>
    <row r="40" spans="1:15" s="1" customFormat="1" ht="19.5" customHeight="1" x14ac:dyDescent="0.25">
      <c r="A40" s="197" t="s">
        <v>254</v>
      </c>
      <c r="B40" s="8" t="s">
        <v>41</v>
      </c>
      <c r="C40" s="10">
        <f>'Cost Forecast'!C40</f>
        <v>15</v>
      </c>
      <c r="D40" s="10">
        <f>'Cost Forecast'!D40</f>
        <v>15</v>
      </c>
      <c r="E40" s="10">
        <f>'Cost Forecast'!E40</f>
        <v>15</v>
      </c>
      <c r="F40" s="10">
        <f>'Cost Forecast'!F40</f>
        <v>15</v>
      </c>
      <c r="G40" s="10">
        <f>'Cost Forecast'!G40</f>
        <v>15</v>
      </c>
      <c r="H40" s="10">
        <f>'Cost Forecast'!H40</f>
        <v>15</v>
      </c>
      <c r="I40" s="10">
        <f>'Cost Forecast'!I40</f>
        <v>15</v>
      </c>
      <c r="J40" s="10">
        <f>'Cost Forecast'!J40</f>
        <v>15</v>
      </c>
      <c r="K40" s="10">
        <f>'Cost Forecast'!K40</f>
        <v>15</v>
      </c>
      <c r="L40" s="10">
        <f>'Cost Forecast'!L40</f>
        <v>15</v>
      </c>
      <c r="M40" s="10">
        <f>'Cost Forecast'!M40</f>
        <v>15</v>
      </c>
      <c r="N40" s="10">
        <f>'Cost Forecast'!N40</f>
        <v>15</v>
      </c>
      <c r="O40" s="11"/>
    </row>
    <row r="41" spans="1:15" s="1" customFormat="1" ht="19.5" customHeight="1" x14ac:dyDescent="0.25">
      <c r="A41" s="198"/>
      <c r="B41" s="8" t="s">
        <v>46</v>
      </c>
      <c r="C41" s="10">
        <f>'PROPOSED PRICING'!G15</f>
        <v>3000</v>
      </c>
      <c r="D41" s="13">
        <f>C41</f>
        <v>3000</v>
      </c>
      <c r="E41" s="13">
        <f t="shared" ref="E41:N41" si="24">D41</f>
        <v>3000</v>
      </c>
      <c r="F41" s="13">
        <f t="shared" si="24"/>
        <v>3000</v>
      </c>
      <c r="G41" s="13">
        <f t="shared" si="24"/>
        <v>3000</v>
      </c>
      <c r="H41" s="13">
        <f t="shared" si="24"/>
        <v>3000</v>
      </c>
      <c r="I41" s="13">
        <f t="shared" si="24"/>
        <v>3000</v>
      </c>
      <c r="J41" s="13">
        <f t="shared" si="24"/>
        <v>3000</v>
      </c>
      <c r="K41" s="13">
        <f t="shared" si="24"/>
        <v>3000</v>
      </c>
      <c r="L41" s="13">
        <f t="shared" si="24"/>
        <v>3000</v>
      </c>
      <c r="M41" s="13">
        <f t="shared" si="24"/>
        <v>3000</v>
      </c>
      <c r="N41" s="13">
        <f t="shared" si="24"/>
        <v>3000</v>
      </c>
      <c r="O41" s="11"/>
    </row>
    <row r="42" spans="1:15" s="1" customFormat="1" ht="19.5" customHeight="1" thickBot="1" x14ac:dyDescent="0.3">
      <c r="A42" s="199"/>
      <c r="B42" s="5" t="s">
        <v>42</v>
      </c>
      <c r="C42" s="12">
        <f>C40*C41</f>
        <v>45000</v>
      </c>
      <c r="D42" s="12">
        <f t="shared" ref="D42:N42" si="25">D40*D41</f>
        <v>45000</v>
      </c>
      <c r="E42" s="12">
        <f t="shared" si="25"/>
        <v>45000</v>
      </c>
      <c r="F42" s="12">
        <f t="shared" si="25"/>
        <v>45000</v>
      </c>
      <c r="G42" s="12">
        <f t="shared" si="25"/>
        <v>45000</v>
      </c>
      <c r="H42" s="12">
        <f t="shared" si="25"/>
        <v>45000</v>
      </c>
      <c r="I42" s="12">
        <f t="shared" si="25"/>
        <v>45000</v>
      </c>
      <c r="J42" s="12">
        <f t="shared" si="25"/>
        <v>45000</v>
      </c>
      <c r="K42" s="12">
        <f t="shared" si="25"/>
        <v>45000</v>
      </c>
      <c r="L42" s="12">
        <f t="shared" si="25"/>
        <v>45000</v>
      </c>
      <c r="M42" s="12">
        <f t="shared" si="25"/>
        <v>45000</v>
      </c>
      <c r="N42" s="12">
        <f t="shared" si="25"/>
        <v>45000</v>
      </c>
      <c r="O42" s="12">
        <f>SUM(C42:N42)</f>
        <v>540000</v>
      </c>
    </row>
    <row r="43" spans="1:15" s="1" customFormat="1" ht="19.5" customHeight="1" x14ac:dyDescent="0.25">
      <c r="A43" s="197" t="s">
        <v>253</v>
      </c>
      <c r="B43" s="35" t="s">
        <v>41</v>
      </c>
      <c r="C43" s="10">
        <f>'Cost Forecast'!C43</f>
        <v>60</v>
      </c>
      <c r="D43" s="10">
        <f>'Cost Forecast'!D43</f>
        <v>30</v>
      </c>
      <c r="E43" s="10">
        <f>'Cost Forecast'!E43</f>
        <v>60</v>
      </c>
      <c r="F43" s="10">
        <f>'Cost Forecast'!F43</f>
        <v>60</v>
      </c>
      <c r="G43" s="10">
        <f>'Cost Forecast'!G43</f>
        <v>40</v>
      </c>
      <c r="H43" s="10">
        <f>'Cost Forecast'!H43</f>
        <v>60</v>
      </c>
      <c r="I43" s="10">
        <f>'Cost Forecast'!I43</f>
        <v>40</v>
      </c>
      <c r="J43" s="10">
        <f>'Cost Forecast'!J43</f>
        <v>40</v>
      </c>
      <c r="K43" s="10">
        <f>'Cost Forecast'!K43</f>
        <v>70</v>
      </c>
      <c r="L43" s="10">
        <f>'Cost Forecast'!L43</f>
        <v>40</v>
      </c>
      <c r="M43" s="10">
        <f>'Cost Forecast'!M43</f>
        <v>70</v>
      </c>
      <c r="N43" s="10">
        <f>'Cost Forecast'!N43</f>
        <v>60</v>
      </c>
      <c r="O43" s="37"/>
    </row>
    <row r="44" spans="1:15" s="1" customFormat="1" ht="19.5" customHeight="1" x14ac:dyDescent="0.25">
      <c r="A44" s="198"/>
      <c r="B44" s="4" t="s">
        <v>46</v>
      </c>
      <c r="C44" s="13">
        <f>'PROPOSED PRICING'!G16</f>
        <v>2500</v>
      </c>
      <c r="D44" s="13">
        <f>C44</f>
        <v>2500</v>
      </c>
      <c r="E44" s="13">
        <f t="shared" ref="E44:N44" si="26">D44</f>
        <v>2500</v>
      </c>
      <c r="F44" s="13">
        <f t="shared" si="26"/>
        <v>2500</v>
      </c>
      <c r="G44" s="13">
        <f t="shared" si="26"/>
        <v>2500</v>
      </c>
      <c r="H44" s="13">
        <f t="shared" si="26"/>
        <v>2500</v>
      </c>
      <c r="I44" s="13">
        <f t="shared" si="26"/>
        <v>2500</v>
      </c>
      <c r="J44" s="13">
        <f t="shared" si="26"/>
        <v>2500</v>
      </c>
      <c r="K44" s="13">
        <f t="shared" si="26"/>
        <v>2500</v>
      </c>
      <c r="L44" s="13">
        <f t="shared" si="26"/>
        <v>2500</v>
      </c>
      <c r="M44" s="13">
        <f t="shared" si="26"/>
        <v>2500</v>
      </c>
      <c r="N44" s="13">
        <f t="shared" si="26"/>
        <v>2500</v>
      </c>
      <c r="O44" s="11"/>
    </row>
    <row r="45" spans="1:15" s="1" customFormat="1" ht="19.5" customHeight="1" thickBot="1" x14ac:dyDescent="0.3">
      <c r="A45" s="200"/>
      <c r="B45" s="38" t="s">
        <v>42</v>
      </c>
      <c r="C45" s="34">
        <f>C43*C44</f>
        <v>150000</v>
      </c>
      <c r="D45" s="34">
        <f t="shared" ref="D45:N45" si="27">D43*D44</f>
        <v>75000</v>
      </c>
      <c r="E45" s="34">
        <f t="shared" si="27"/>
        <v>150000</v>
      </c>
      <c r="F45" s="34">
        <f t="shared" si="27"/>
        <v>150000</v>
      </c>
      <c r="G45" s="34">
        <f t="shared" si="27"/>
        <v>100000</v>
      </c>
      <c r="H45" s="34">
        <f t="shared" si="27"/>
        <v>150000</v>
      </c>
      <c r="I45" s="34">
        <f t="shared" si="27"/>
        <v>100000</v>
      </c>
      <c r="J45" s="34">
        <f t="shared" si="27"/>
        <v>100000</v>
      </c>
      <c r="K45" s="34">
        <f t="shared" si="27"/>
        <v>175000</v>
      </c>
      <c r="L45" s="34">
        <f t="shared" si="27"/>
        <v>100000</v>
      </c>
      <c r="M45" s="34">
        <f t="shared" si="27"/>
        <v>175000</v>
      </c>
      <c r="N45" s="34">
        <f t="shared" si="27"/>
        <v>150000</v>
      </c>
      <c r="O45" s="39">
        <f>SUM(C45:N45)</f>
        <v>1575000</v>
      </c>
    </row>
    <row r="46" spans="1:15" s="1" customFormat="1" ht="19.5" customHeight="1" x14ac:dyDescent="0.25">
      <c r="A46" s="197" t="s">
        <v>267</v>
      </c>
      <c r="B46" s="4" t="s">
        <v>41</v>
      </c>
      <c r="C46" s="10">
        <f>'Cost Forecast'!C46</f>
        <v>20</v>
      </c>
      <c r="D46" s="10">
        <f>'Cost Forecast'!D46</f>
        <v>20</v>
      </c>
      <c r="E46" s="10">
        <f>'Cost Forecast'!E46</f>
        <v>20</v>
      </c>
      <c r="F46" s="10">
        <f>'Cost Forecast'!F46</f>
        <v>20</v>
      </c>
      <c r="G46" s="10">
        <f>'Cost Forecast'!G46</f>
        <v>30</v>
      </c>
      <c r="H46" s="10">
        <f>'Cost Forecast'!H46</f>
        <v>30</v>
      </c>
      <c r="I46" s="10">
        <f>'Cost Forecast'!I46</f>
        <v>30</v>
      </c>
      <c r="J46" s="10">
        <f>'Cost Forecast'!J46</f>
        <v>30</v>
      </c>
      <c r="K46" s="10">
        <f>'Cost Forecast'!K46</f>
        <v>30</v>
      </c>
      <c r="L46" s="10">
        <f>'Cost Forecast'!L46</f>
        <v>30</v>
      </c>
      <c r="M46" s="10">
        <f>'Cost Forecast'!M46</f>
        <v>30</v>
      </c>
      <c r="N46" s="10">
        <f>'Cost Forecast'!N46</f>
        <v>30</v>
      </c>
      <c r="O46" s="14"/>
    </row>
    <row r="47" spans="1:15" s="1" customFormat="1" ht="19.5" customHeight="1" x14ac:dyDescent="0.25">
      <c r="A47" s="198"/>
      <c r="B47" s="4" t="s">
        <v>46</v>
      </c>
      <c r="C47" s="13">
        <f>'PROPOSED PRICING'!G16</f>
        <v>2500</v>
      </c>
      <c r="D47" s="13">
        <f>C47</f>
        <v>2500</v>
      </c>
      <c r="E47" s="13">
        <f t="shared" ref="E47:N47" si="28">D47</f>
        <v>2500</v>
      </c>
      <c r="F47" s="13">
        <f t="shared" si="28"/>
        <v>2500</v>
      </c>
      <c r="G47" s="13">
        <f t="shared" si="28"/>
        <v>2500</v>
      </c>
      <c r="H47" s="13">
        <f t="shared" si="28"/>
        <v>2500</v>
      </c>
      <c r="I47" s="13">
        <f t="shared" si="28"/>
        <v>2500</v>
      </c>
      <c r="J47" s="13">
        <f t="shared" si="28"/>
        <v>2500</v>
      </c>
      <c r="K47" s="13">
        <f t="shared" si="28"/>
        <v>2500</v>
      </c>
      <c r="L47" s="13">
        <f t="shared" si="28"/>
        <v>2500</v>
      </c>
      <c r="M47" s="13">
        <f t="shared" si="28"/>
        <v>2500</v>
      </c>
      <c r="N47" s="13">
        <f t="shared" si="28"/>
        <v>2500</v>
      </c>
      <c r="O47" s="14"/>
    </row>
    <row r="48" spans="1:15" s="1" customFormat="1" ht="19.5" customHeight="1" thickBot="1" x14ac:dyDescent="0.3">
      <c r="A48" s="199"/>
      <c r="B48" s="5" t="s">
        <v>42</v>
      </c>
      <c r="C48" s="15">
        <f>C46*C47</f>
        <v>50000</v>
      </c>
      <c r="D48" s="15">
        <f t="shared" ref="D48:N48" si="29">D46*D47</f>
        <v>50000</v>
      </c>
      <c r="E48" s="15">
        <f t="shared" si="29"/>
        <v>50000</v>
      </c>
      <c r="F48" s="15">
        <f t="shared" si="29"/>
        <v>50000</v>
      </c>
      <c r="G48" s="15">
        <f t="shared" si="29"/>
        <v>75000</v>
      </c>
      <c r="H48" s="15">
        <f t="shared" si="29"/>
        <v>75000</v>
      </c>
      <c r="I48" s="15">
        <f t="shared" si="29"/>
        <v>75000</v>
      </c>
      <c r="J48" s="15">
        <f t="shared" si="29"/>
        <v>75000</v>
      </c>
      <c r="K48" s="15">
        <f t="shared" si="29"/>
        <v>75000</v>
      </c>
      <c r="L48" s="15">
        <f t="shared" si="29"/>
        <v>75000</v>
      </c>
      <c r="M48" s="15">
        <f t="shared" si="29"/>
        <v>75000</v>
      </c>
      <c r="N48" s="15">
        <f t="shared" si="29"/>
        <v>75000</v>
      </c>
      <c r="O48" s="12">
        <f>SUM(C48:N48)</f>
        <v>800000</v>
      </c>
    </row>
    <row r="49" spans="1:15" s="1" customFormat="1" ht="19.5" customHeight="1" x14ac:dyDescent="0.25">
      <c r="A49" s="197" t="s">
        <v>266</v>
      </c>
      <c r="B49" s="4" t="s">
        <v>41</v>
      </c>
      <c r="C49" s="10">
        <f>'Cost Forecast'!C49</f>
        <v>20</v>
      </c>
      <c r="D49" s="10">
        <f>'Cost Forecast'!D49</f>
        <v>20</v>
      </c>
      <c r="E49" s="10">
        <f>'Cost Forecast'!E49</f>
        <v>20</v>
      </c>
      <c r="F49" s="10">
        <f>'Cost Forecast'!F49</f>
        <v>20</v>
      </c>
      <c r="G49" s="10">
        <f>'Cost Forecast'!G49</f>
        <v>30</v>
      </c>
      <c r="H49" s="10">
        <f>'Cost Forecast'!H49</f>
        <v>30</v>
      </c>
      <c r="I49" s="10">
        <f>'Cost Forecast'!I49</f>
        <v>30</v>
      </c>
      <c r="J49" s="10">
        <f>'Cost Forecast'!J49</f>
        <v>30</v>
      </c>
      <c r="K49" s="10">
        <f>'Cost Forecast'!K49</f>
        <v>30</v>
      </c>
      <c r="L49" s="10">
        <f>'Cost Forecast'!L49</f>
        <v>30</v>
      </c>
      <c r="M49" s="10">
        <f>'Cost Forecast'!M49</f>
        <v>30</v>
      </c>
      <c r="N49" s="10">
        <f>'Cost Forecast'!N49</f>
        <v>30</v>
      </c>
      <c r="O49" s="11"/>
    </row>
    <row r="50" spans="1:15" s="1" customFormat="1" ht="19.5" customHeight="1" x14ac:dyDescent="0.25">
      <c r="A50" s="198"/>
      <c r="B50" s="4" t="s">
        <v>46</v>
      </c>
      <c r="C50" s="13">
        <f>'PROPOSED PRICING'!G18</f>
        <v>15000</v>
      </c>
      <c r="D50" s="13">
        <f>C50</f>
        <v>15000</v>
      </c>
      <c r="E50" s="13">
        <f t="shared" ref="E50:N50" si="30">D50</f>
        <v>15000</v>
      </c>
      <c r="F50" s="13">
        <f t="shared" si="30"/>
        <v>15000</v>
      </c>
      <c r="G50" s="13">
        <f t="shared" si="30"/>
        <v>15000</v>
      </c>
      <c r="H50" s="13">
        <f t="shared" si="30"/>
        <v>15000</v>
      </c>
      <c r="I50" s="13">
        <f t="shared" si="30"/>
        <v>15000</v>
      </c>
      <c r="J50" s="13">
        <f t="shared" si="30"/>
        <v>15000</v>
      </c>
      <c r="K50" s="13">
        <f t="shared" si="30"/>
        <v>15000</v>
      </c>
      <c r="L50" s="13">
        <f t="shared" si="30"/>
        <v>15000</v>
      </c>
      <c r="M50" s="13">
        <f t="shared" si="30"/>
        <v>15000</v>
      </c>
      <c r="N50" s="13">
        <f t="shared" si="30"/>
        <v>15000</v>
      </c>
      <c r="O50" s="11"/>
    </row>
    <row r="51" spans="1:15" s="1" customFormat="1" ht="19.5" customHeight="1" thickBot="1" x14ac:dyDescent="0.3">
      <c r="A51" s="199"/>
      <c r="B51" s="5" t="s">
        <v>42</v>
      </c>
      <c r="C51" s="15">
        <f>C49*C50</f>
        <v>300000</v>
      </c>
      <c r="D51" s="15">
        <f t="shared" ref="D51:N51" si="31">D49*D50</f>
        <v>300000</v>
      </c>
      <c r="E51" s="15">
        <f t="shared" si="31"/>
        <v>300000</v>
      </c>
      <c r="F51" s="15">
        <f t="shared" si="31"/>
        <v>300000</v>
      </c>
      <c r="G51" s="15">
        <f t="shared" si="31"/>
        <v>450000</v>
      </c>
      <c r="H51" s="15">
        <f t="shared" si="31"/>
        <v>450000</v>
      </c>
      <c r="I51" s="15">
        <f t="shared" si="31"/>
        <v>450000</v>
      </c>
      <c r="J51" s="15">
        <f t="shared" si="31"/>
        <v>450000</v>
      </c>
      <c r="K51" s="15">
        <f t="shared" si="31"/>
        <v>450000</v>
      </c>
      <c r="L51" s="15">
        <f t="shared" si="31"/>
        <v>450000</v>
      </c>
      <c r="M51" s="15">
        <f t="shared" si="31"/>
        <v>450000</v>
      </c>
      <c r="N51" s="15">
        <f t="shared" si="31"/>
        <v>450000</v>
      </c>
      <c r="O51" s="12">
        <f>SUM(C51:N51)</f>
        <v>4800000</v>
      </c>
    </row>
    <row r="52" spans="1:15" s="1" customFormat="1" ht="19.5" customHeight="1" x14ac:dyDescent="0.25">
      <c r="A52" s="197" t="s">
        <v>268</v>
      </c>
      <c r="B52" s="8" t="s">
        <v>41</v>
      </c>
      <c r="C52" s="10">
        <f>'Cost Forecast'!C52</f>
        <v>20</v>
      </c>
      <c r="D52" s="10">
        <f>'Cost Forecast'!D52</f>
        <v>20</v>
      </c>
      <c r="E52" s="10">
        <f>'Cost Forecast'!E52</f>
        <v>20</v>
      </c>
      <c r="F52" s="10">
        <f>'Cost Forecast'!F52</f>
        <v>20</v>
      </c>
      <c r="G52" s="10">
        <f>'Cost Forecast'!G52</f>
        <v>30</v>
      </c>
      <c r="H52" s="10">
        <f>'Cost Forecast'!H52</f>
        <v>30</v>
      </c>
      <c r="I52" s="10">
        <f>'Cost Forecast'!I52</f>
        <v>30</v>
      </c>
      <c r="J52" s="10">
        <f>'Cost Forecast'!J52</f>
        <v>30</v>
      </c>
      <c r="K52" s="10">
        <f>'Cost Forecast'!K52</f>
        <v>30</v>
      </c>
      <c r="L52" s="10">
        <f>'Cost Forecast'!L52</f>
        <v>30</v>
      </c>
      <c r="M52" s="10">
        <f>'Cost Forecast'!M52</f>
        <v>30</v>
      </c>
      <c r="N52" s="10">
        <f>'Cost Forecast'!N52</f>
        <v>30</v>
      </c>
      <c r="O52" s="11"/>
    </row>
    <row r="53" spans="1:15" s="1" customFormat="1" ht="19.5" customHeight="1" x14ac:dyDescent="0.25">
      <c r="A53" s="198"/>
      <c r="B53" s="8" t="s">
        <v>46</v>
      </c>
      <c r="C53" s="10">
        <f>'PROPOSED PRICING'!G19</f>
        <v>15000</v>
      </c>
      <c r="D53" s="13">
        <f>C53</f>
        <v>15000</v>
      </c>
      <c r="E53" s="13">
        <f t="shared" ref="E53:N53" si="32">D53</f>
        <v>15000</v>
      </c>
      <c r="F53" s="13">
        <f t="shared" si="32"/>
        <v>15000</v>
      </c>
      <c r="G53" s="13">
        <f t="shared" si="32"/>
        <v>15000</v>
      </c>
      <c r="H53" s="13">
        <f t="shared" si="32"/>
        <v>15000</v>
      </c>
      <c r="I53" s="13">
        <f t="shared" si="32"/>
        <v>15000</v>
      </c>
      <c r="J53" s="13">
        <f t="shared" si="32"/>
        <v>15000</v>
      </c>
      <c r="K53" s="13">
        <f t="shared" si="32"/>
        <v>15000</v>
      </c>
      <c r="L53" s="13">
        <f t="shared" si="32"/>
        <v>15000</v>
      </c>
      <c r="M53" s="13">
        <f t="shared" si="32"/>
        <v>15000</v>
      </c>
      <c r="N53" s="13">
        <f t="shared" si="32"/>
        <v>15000</v>
      </c>
      <c r="O53" s="11"/>
    </row>
    <row r="54" spans="1:15" s="1" customFormat="1" ht="19.5" customHeight="1" thickBot="1" x14ac:dyDescent="0.3">
      <c r="A54" s="200"/>
      <c r="B54" s="5" t="s">
        <v>42</v>
      </c>
      <c r="C54" s="12">
        <f>C52*C53</f>
        <v>300000</v>
      </c>
      <c r="D54" s="12">
        <f t="shared" ref="D54:N54" si="33">D52*D53</f>
        <v>300000</v>
      </c>
      <c r="E54" s="12">
        <f t="shared" si="33"/>
        <v>300000</v>
      </c>
      <c r="F54" s="12">
        <f t="shared" si="33"/>
        <v>300000</v>
      </c>
      <c r="G54" s="12">
        <f t="shared" si="33"/>
        <v>450000</v>
      </c>
      <c r="H54" s="12">
        <f t="shared" si="33"/>
        <v>450000</v>
      </c>
      <c r="I54" s="12">
        <f t="shared" si="33"/>
        <v>450000</v>
      </c>
      <c r="J54" s="12">
        <f t="shared" si="33"/>
        <v>450000</v>
      </c>
      <c r="K54" s="12">
        <f t="shared" si="33"/>
        <v>450000</v>
      </c>
      <c r="L54" s="12">
        <f t="shared" si="33"/>
        <v>450000</v>
      </c>
      <c r="M54" s="12">
        <f t="shared" si="33"/>
        <v>450000</v>
      </c>
      <c r="N54" s="12">
        <f t="shared" si="33"/>
        <v>450000</v>
      </c>
      <c r="O54" s="12">
        <f>SUM(C54:N54)</f>
        <v>4800000</v>
      </c>
    </row>
    <row r="55" spans="1:15" s="1" customFormat="1" ht="19.5" customHeight="1" x14ac:dyDescent="0.25">
      <c r="A55" s="197" t="s">
        <v>298</v>
      </c>
      <c r="B55" s="35" t="s">
        <v>41</v>
      </c>
      <c r="C55" s="10">
        <f>'Cost Forecast'!C55</f>
        <v>20</v>
      </c>
      <c r="D55" s="10">
        <f>'Cost Forecast'!D55</f>
        <v>20</v>
      </c>
      <c r="E55" s="10">
        <f>'Cost Forecast'!E55</f>
        <v>20</v>
      </c>
      <c r="F55" s="10">
        <f>'Cost Forecast'!F55</f>
        <v>20</v>
      </c>
      <c r="G55" s="10">
        <f>'Cost Forecast'!G55</f>
        <v>30</v>
      </c>
      <c r="H55" s="10">
        <f>'Cost Forecast'!H55</f>
        <v>30</v>
      </c>
      <c r="I55" s="10">
        <f>'Cost Forecast'!I55</f>
        <v>30</v>
      </c>
      <c r="J55" s="10">
        <f>'Cost Forecast'!J55</f>
        <v>30</v>
      </c>
      <c r="K55" s="10">
        <f>'Cost Forecast'!K55</f>
        <v>30</v>
      </c>
      <c r="L55" s="10">
        <f>'Cost Forecast'!L55</f>
        <v>30</v>
      </c>
      <c r="M55" s="10">
        <f>'Cost Forecast'!M55</f>
        <v>30</v>
      </c>
      <c r="N55" s="10">
        <f>'Cost Forecast'!N55</f>
        <v>30</v>
      </c>
      <c r="O55" s="37"/>
    </row>
    <row r="56" spans="1:15" s="1" customFormat="1" ht="19.5" customHeight="1" x14ac:dyDescent="0.25">
      <c r="A56" s="198"/>
      <c r="B56" s="4" t="s">
        <v>46</v>
      </c>
      <c r="C56" s="13">
        <f>'PROPOSED PRICING'!G20</f>
        <v>15000</v>
      </c>
      <c r="D56" s="13">
        <f>C56</f>
        <v>15000</v>
      </c>
      <c r="E56" s="13">
        <f t="shared" ref="E56:N56" si="34">D56</f>
        <v>15000</v>
      </c>
      <c r="F56" s="13">
        <f t="shared" si="34"/>
        <v>15000</v>
      </c>
      <c r="G56" s="13">
        <f t="shared" si="34"/>
        <v>15000</v>
      </c>
      <c r="H56" s="13">
        <f t="shared" si="34"/>
        <v>15000</v>
      </c>
      <c r="I56" s="13">
        <f t="shared" si="34"/>
        <v>15000</v>
      </c>
      <c r="J56" s="13">
        <f t="shared" si="34"/>
        <v>15000</v>
      </c>
      <c r="K56" s="13">
        <f t="shared" si="34"/>
        <v>15000</v>
      </c>
      <c r="L56" s="13">
        <f t="shared" si="34"/>
        <v>15000</v>
      </c>
      <c r="M56" s="13">
        <f t="shared" si="34"/>
        <v>15000</v>
      </c>
      <c r="N56" s="13">
        <f t="shared" si="34"/>
        <v>15000</v>
      </c>
      <c r="O56" s="11"/>
    </row>
    <row r="57" spans="1:15" s="1" customFormat="1" ht="19.5" customHeight="1" thickBot="1" x14ac:dyDescent="0.3">
      <c r="A57" s="199"/>
      <c r="B57" s="38" t="s">
        <v>42</v>
      </c>
      <c r="C57" s="34">
        <f>C55*C56</f>
        <v>300000</v>
      </c>
      <c r="D57" s="34">
        <f t="shared" ref="D57:N57" si="35">D55*D56</f>
        <v>300000</v>
      </c>
      <c r="E57" s="34">
        <f t="shared" si="35"/>
        <v>300000</v>
      </c>
      <c r="F57" s="34">
        <f t="shared" si="35"/>
        <v>300000</v>
      </c>
      <c r="G57" s="34">
        <f t="shared" si="35"/>
        <v>450000</v>
      </c>
      <c r="H57" s="34">
        <f t="shared" si="35"/>
        <v>450000</v>
      </c>
      <c r="I57" s="34">
        <f t="shared" si="35"/>
        <v>450000</v>
      </c>
      <c r="J57" s="34">
        <f t="shared" si="35"/>
        <v>450000</v>
      </c>
      <c r="K57" s="34">
        <f t="shared" si="35"/>
        <v>450000</v>
      </c>
      <c r="L57" s="34">
        <f t="shared" si="35"/>
        <v>450000</v>
      </c>
      <c r="M57" s="34">
        <f t="shared" si="35"/>
        <v>450000</v>
      </c>
      <c r="N57" s="34">
        <f t="shared" si="35"/>
        <v>450000</v>
      </c>
      <c r="O57" s="39">
        <f>SUM(C57:N57)</f>
        <v>4800000</v>
      </c>
    </row>
    <row r="58" spans="1:15" s="1" customFormat="1" ht="19.5" customHeight="1" x14ac:dyDescent="0.25">
      <c r="A58" s="197" t="s">
        <v>269</v>
      </c>
      <c r="B58" s="4" t="s">
        <v>41</v>
      </c>
      <c r="C58" s="10">
        <f>'Cost Forecast'!C58</f>
        <v>200</v>
      </c>
      <c r="D58" s="10">
        <f>'Cost Forecast'!D58</f>
        <v>70</v>
      </c>
      <c r="E58" s="10">
        <f>'Cost Forecast'!E58</f>
        <v>200</v>
      </c>
      <c r="F58" s="10">
        <f>'Cost Forecast'!F58</f>
        <v>200</v>
      </c>
      <c r="G58" s="10">
        <f>'Cost Forecast'!G58</f>
        <v>140</v>
      </c>
      <c r="H58" s="10">
        <f>'Cost Forecast'!H58</f>
        <v>200</v>
      </c>
      <c r="I58" s="10">
        <f>'Cost Forecast'!I58</f>
        <v>140</v>
      </c>
      <c r="J58" s="10">
        <f>'Cost Forecast'!J58</f>
        <v>140</v>
      </c>
      <c r="K58" s="10">
        <f>'Cost Forecast'!K58</f>
        <v>280</v>
      </c>
      <c r="L58" s="10">
        <f>'Cost Forecast'!L58</f>
        <v>140</v>
      </c>
      <c r="M58" s="10">
        <f>'Cost Forecast'!M58</f>
        <v>280</v>
      </c>
      <c r="N58" s="10">
        <f>'Cost Forecast'!N58</f>
        <v>200</v>
      </c>
      <c r="O58" s="14"/>
    </row>
    <row r="59" spans="1:15" s="1" customFormat="1" ht="19.5" customHeight="1" x14ac:dyDescent="0.25">
      <c r="A59" s="198"/>
      <c r="B59" s="4" t="s">
        <v>46</v>
      </c>
      <c r="C59" s="13">
        <f>'PROPOSED PRICING'!G21</f>
        <v>300</v>
      </c>
      <c r="D59" s="13">
        <f>C59</f>
        <v>300</v>
      </c>
      <c r="E59" s="13">
        <f t="shared" ref="E59:N59" si="36">D59</f>
        <v>300</v>
      </c>
      <c r="F59" s="13">
        <f t="shared" si="36"/>
        <v>300</v>
      </c>
      <c r="G59" s="13">
        <f t="shared" si="36"/>
        <v>300</v>
      </c>
      <c r="H59" s="13">
        <f t="shared" si="36"/>
        <v>300</v>
      </c>
      <c r="I59" s="13">
        <f t="shared" si="36"/>
        <v>300</v>
      </c>
      <c r="J59" s="13">
        <f t="shared" si="36"/>
        <v>300</v>
      </c>
      <c r="K59" s="13">
        <f t="shared" si="36"/>
        <v>300</v>
      </c>
      <c r="L59" s="13">
        <f t="shared" si="36"/>
        <v>300</v>
      </c>
      <c r="M59" s="13">
        <f t="shared" si="36"/>
        <v>300</v>
      </c>
      <c r="N59" s="13">
        <f t="shared" si="36"/>
        <v>300</v>
      </c>
      <c r="O59" s="14"/>
    </row>
    <row r="60" spans="1:15" s="1" customFormat="1" ht="19.5" customHeight="1" thickBot="1" x14ac:dyDescent="0.3">
      <c r="A60" s="199"/>
      <c r="B60" s="5" t="s">
        <v>42</v>
      </c>
      <c r="C60" s="15">
        <f>C58*C59</f>
        <v>60000</v>
      </c>
      <c r="D60" s="15">
        <f t="shared" ref="D60:N60" si="37">D58*D59</f>
        <v>21000</v>
      </c>
      <c r="E60" s="15">
        <f t="shared" si="37"/>
        <v>60000</v>
      </c>
      <c r="F60" s="15">
        <f t="shared" si="37"/>
        <v>60000</v>
      </c>
      <c r="G60" s="15">
        <f t="shared" si="37"/>
        <v>42000</v>
      </c>
      <c r="H60" s="15">
        <f t="shared" si="37"/>
        <v>60000</v>
      </c>
      <c r="I60" s="15">
        <f t="shared" si="37"/>
        <v>42000</v>
      </c>
      <c r="J60" s="15">
        <f t="shared" si="37"/>
        <v>42000</v>
      </c>
      <c r="K60" s="15">
        <f t="shared" si="37"/>
        <v>84000</v>
      </c>
      <c r="L60" s="15">
        <f t="shared" si="37"/>
        <v>42000</v>
      </c>
      <c r="M60" s="15">
        <f t="shared" si="37"/>
        <v>84000</v>
      </c>
      <c r="N60" s="15">
        <f t="shared" si="37"/>
        <v>60000</v>
      </c>
      <c r="O60" s="12">
        <f>SUM(C60:N60)</f>
        <v>657000</v>
      </c>
    </row>
    <row r="61" spans="1:15" s="1" customFormat="1" ht="19.5" customHeight="1" x14ac:dyDescent="0.25">
      <c r="A61" s="197" t="s">
        <v>232</v>
      </c>
      <c r="B61" s="4" t="s">
        <v>41</v>
      </c>
      <c r="C61" s="10">
        <f>'Cost Forecast'!C61</f>
        <v>30</v>
      </c>
      <c r="D61" s="10">
        <f>'Cost Forecast'!D61</f>
        <v>10</v>
      </c>
      <c r="E61" s="10">
        <f>'Cost Forecast'!E61</f>
        <v>30</v>
      </c>
      <c r="F61" s="10">
        <f>'Cost Forecast'!F61</f>
        <v>30</v>
      </c>
      <c r="G61" s="10">
        <f>'Cost Forecast'!G61</f>
        <v>20</v>
      </c>
      <c r="H61" s="10">
        <f>'Cost Forecast'!H61</f>
        <v>30</v>
      </c>
      <c r="I61" s="10">
        <f>'Cost Forecast'!I61</f>
        <v>20</v>
      </c>
      <c r="J61" s="10">
        <f>'Cost Forecast'!J61</f>
        <v>20</v>
      </c>
      <c r="K61" s="10">
        <f>'Cost Forecast'!K61</f>
        <v>40</v>
      </c>
      <c r="L61" s="10">
        <f>'Cost Forecast'!L61</f>
        <v>20</v>
      </c>
      <c r="M61" s="10">
        <f>'Cost Forecast'!M61</f>
        <v>40</v>
      </c>
      <c r="N61" s="10">
        <f>'Cost Forecast'!N61</f>
        <v>30</v>
      </c>
      <c r="O61" s="11"/>
    </row>
    <row r="62" spans="1:15" s="1" customFormat="1" ht="19.5" customHeight="1" x14ac:dyDescent="0.25">
      <c r="A62" s="198"/>
      <c r="B62" s="4" t="s">
        <v>46</v>
      </c>
      <c r="C62" s="13">
        <f>'PROPOSED PRICING'!G22</f>
        <v>1300</v>
      </c>
      <c r="D62" s="13">
        <f>C62</f>
        <v>1300</v>
      </c>
      <c r="E62" s="13">
        <f t="shared" ref="E62:N62" si="38">D62</f>
        <v>1300</v>
      </c>
      <c r="F62" s="13">
        <f t="shared" si="38"/>
        <v>1300</v>
      </c>
      <c r="G62" s="13">
        <f t="shared" si="38"/>
        <v>1300</v>
      </c>
      <c r="H62" s="13">
        <f t="shared" si="38"/>
        <v>1300</v>
      </c>
      <c r="I62" s="13">
        <f t="shared" si="38"/>
        <v>1300</v>
      </c>
      <c r="J62" s="13">
        <f t="shared" si="38"/>
        <v>1300</v>
      </c>
      <c r="K62" s="13">
        <f t="shared" si="38"/>
        <v>1300</v>
      </c>
      <c r="L62" s="13">
        <f t="shared" si="38"/>
        <v>1300</v>
      </c>
      <c r="M62" s="13">
        <f t="shared" si="38"/>
        <v>1300</v>
      </c>
      <c r="N62" s="13">
        <f t="shared" si="38"/>
        <v>1300</v>
      </c>
      <c r="O62" s="11"/>
    </row>
    <row r="63" spans="1:15" s="1" customFormat="1" ht="19.5" customHeight="1" thickBot="1" x14ac:dyDescent="0.3">
      <c r="A63" s="200"/>
      <c r="B63" s="5" t="s">
        <v>42</v>
      </c>
      <c r="C63" s="15">
        <f>C61*C62</f>
        <v>39000</v>
      </c>
      <c r="D63" s="15">
        <f t="shared" ref="D63:N63" si="39">D61*D62</f>
        <v>13000</v>
      </c>
      <c r="E63" s="15">
        <f t="shared" si="39"/>
        <v>39000</v>
      </c>
      <c r="F63" s="15">
        <f t="shared" si="39"/>
        <v>39000</v>
      </c>
      <c r="G63" s="15">
        <f t="shared" si="39"/>
        <v>26000</v>
      </c>
      <c r="H63" s="15">
        <f t="shared" si="39"/>
        <v>39000</v>
      </c>
      <c r="I63" s="15">
        <f t="shared" si="39"/>
        <v>26000</v>
      </c>
      <c r="J63" s="15">
        <f t="shared" si="39"/>
        <v>26000</v>
      </c>
      <c r="K63" s="15">
        <f t="shared" si="39"/>
        <v>52000</v>
      </c>
      <c r="L63" s="15">
        <f t="shared" si="39"/>
        <v>26000</v>
      </c>
      <c r="M63" s="15">
        <f t="shared" si="39"/>
        <v>52000</v>
      </c>
      <c r="N63" s="15">
        <f t="shared" si="39"/>
        <v>39000</v>
      </c>
      <c r="O63" s="12">
        <f>SUM(C63:N63)</f>
        <v>416000</v>
      </c>
    </row>
    <row r="64" spans="1:15" s="1" customFormat="1" ht="19.5" customHeight="1" x14ac:dyDescent="0.25">
      <c r="A64" s="197" t="s">
        <v>233</v>
      </c>
      <c r="B64" s="8" t="s">
        <v>41</v>
      </c>
      <c r="C64" s="10">
        <f>'Cost Forecast'!C64</f>
        <v>30</v>
      </c>
      <c r="D64" s="10">
        <f>'Cost Forecast'!D64</f>
        <v>10</v>
      </c>
      <c r="E64" s="10">
        <f>'Cost Forecast'!E64</f>
        <v>30</v>
      </c>
      <c r="F64" s="10">
        <f>'Cost Forecast'!F64</f>
        <v>30</v>
      </c>
      <c r="G64" s="10">
        <f>'Cost Forecast'!G64</f>
        <v>20</v>
      </c>
      <c r="H64" s="10">
        <f>'Cost Forecast'!H64</f>
        <v>30</v>
      </c>
      <c r="I64" s="10">
        <f>'Cost Forecast'!I64</f>
        <v>20</v>
      </c>
      <c r="J64" s="10">
        <f>'Cost Forecast'!J64</f>
        <v>20</v>
      </c>
      <c r="K64" s="10">
        <f>'Cost Forecast'!K64</f>
        <v>40</v>
      </c>
      <c r="L64" s="10">
        <f>'Cost Forecast'!L64</f>
        <v>20</v>
      </c>
      <c r="M64" s="10">
        <f>'Cost Forecast'!M64</f>
        <v>40</v>
      </c>
      <c r="N64" s="10">
        <f>'Cost Forecast'!N64</f>
        <v>30</v>
      </c>
      <c r="O64" s="11"/>
    </row>
    <row r="65" spans="1:15" s="1" customFormat="1" ht="19.5" customHeight="1" x14ac:dyDescent="0.25">
      <c r="A65" s="198"/>
      <c r="B65" s="8" t="s">
        <v>46</v>
      </c>
      <c r="C65" s="10">
        <f>'PROPOSED PRICING'!G23</f>
        <v>1600</v>
      </c>
      <c r="D65" s="13">
        <f>C65</f>
        <v>1600</v>
      </c>
      <c r="E65" s="13">
        <f t="shared" ref="E65:N65" si="40">D65</f>
        <v>1600</v>
      </c>
      <c r="F65" s="13">
        <f t="shared" si="40"/>
        <v>1600</v>
      </c>
      <c r="G65" s="13">
        <f t="shared" si="40"/>
        <v>1600</v>
      </c>
      <c r="H65" s="13">
        <f t="shared" si="40"/>
        <v>1600</v>
      </c>
      <c r="I65" s="13">
        <f t="shared" si="40"/>
        <v>1600</v>
      </c>
      <c r="J65" s="13">
        <f t="shared" si="40"/>
        <v>1600</v>
      </c>
      <c r="K65" s="13">
        <f t="shared" si="40"/>
        <v>1600</v>
      </c>
      <c r="L65" s="13">
        <f t="shared" si="40"/>
        <v>1600</v>
      </c>
      <c r="M65" s="13">
        <f t="shared" si="40"/>
        <v>1600</v>
      </c>
      <c r="N65" s="13">
        <f t="shared" si="40"/>
        <v>1600</v>
      </c>
      <c r="O65" s="11"/>
    </row>
    <row r="66" spans="1:15" s="1" customFormat="1" ht="19.5" customHeight="1" thickBot="1" x14ac:dyDescent="0.3">
      <c r="A66" s="199"/>
      <c r="B66" s="5" t="s">
        <v>42</v>
      </c>
      <c r="C66" s="12">
        <f>C64*C65</f>
        <v>48000</v>
      </c>
      <c r="D66" s="12">
        <f t="shared" ref="D66:N66" si="41">D64*D65</f>
        <v>16000</v>
      </c>
      <c r="E66" s="12">
        <f t="shared" si="41"/>
        <v>48000</v>
      </c>
      <c r="F66" s="12">
        <f t="shared" si="41"/>
        <v>48000</v>
      </c>
      <c r="G66" s="12">
        <f t="shared" si="41"/>
        <v>32000</v>
      </c>
      <c r="H66" s="12">
        <f t="shared" si="41"/>
        <v>48000</v>
      </c>
      <c r="I66" s="12">
        <f t="shared" si="41"/>
        <v>32000</v>
      </c>
      <c r="J66" s="12">
        <f t="shared" si="41"/>
        <v>32000</v>
      </c>
      <c r="K66" s="12">
        <f t="shared" si="41"/>
        <v>64000</v>
      </c>
      <c r="L66" s="12">
        <f t="shared" si="41"/>
        <v>32000</v>
      </c>
      <c r="M66" s="12">
        <f t="shared" si="41"/>
        <v>64000</v>
      </c>
      <c r="N66" s="12">
        <f t="shared" si="41"/>
        <v>48000</v>
      </c>
      <c r="O66" s="12">
        <f>SUM(C66:N66)</f>
        <v>512000</v>
      </c>
    </row>
    <row r="67" spans="1:15" s="1" customFormat="1" ht="19.5" customHeight="1" x14ac:dyDescent="0.25">
      <c r="A67" s="197" t="s">
        <v>261</v>
      </c>
      <c r="B67" s="35" t="s">
        <v>41</v>
      </c>
      <c r="C67" s="10">
        <f>'Cost Forecast'!C67</f>
        <v>30</v>
      </c>
      <c r="D67" s="10">
        <f>'Cost Forecast'!D67</f>
        <v>10</v>
      </c>
      <c r="E67" s="10">
        <f>'Cost Forecast'!E67</f>
        <v>30</v>
      </c>
      <c r="F67" s="10">
        <f>'Cost Forecast'!F67</f>
        <v>30</v>
      </c>
      <c r="G67" s="10">
        <f>'Cost Forecast'!G67</f>
        <v>20</v>
      </c>
      <c r="H67" s="10">
        <f>'Cost Forecast'!H67</f>
        <v>30</v>
      </c>
      <c r="I67" s="10">
        <f>'Cost Forecast'!I67</f>
        <v>20</v>
      </c>
      <c r="J67" s="10">
        <f>'Cost Forecast'!J67</f>
        <v>20</v>
      </c>
      <c r="K67" s="10">
        <f>'Cost Forecast'!K67</f>
        <v>40</v>
      </c>
      <c r="L67" s="10">
        <f>'Cost Forecast'!L67</f>
        <v>20</v>
      </c>
      <c r="M67" s="10">
        <f>'Cost Forecast'!M67</f>
        <v>40</v>
      </c>
      <c r="N67" s="10">
        <f>'Cost Forecast'!N67</f>
        <v>30</v>
      </c>
      <c r="O67" s="37"/>
    </row>
    <row r="68" spans="1:15" s="1" customFormat="1" ht="19.5" customHeight="1" x14ac:dyDescent="0.25">
      <c r="A68" s="198"/>
      <c r="B68" s="4" t="s">
        <v>46</v>
      </c>
      <c r="C68" s="13">
        <f>'PROPOSED PRICING'!G24</f>
        <v>1500</v>
      </c>
      <c r="D68" s="13">
        <f>C68</f>
        <v>1500</v>
      </c>
      <c r="E68" s="13">
        <f t="shared" ref="E68:N68" si="42">D68</f>
        <v>1500</v>
      </c>
      <c r="F68" s="13">
        <f t="shared" si="42"/>
        <v>1500</v>
      </c>
      <c r="G68" s="13">
        <f t="shared" si="42"/>
        <v>1500</v>
      </c>
      <c r="H68" s="13">
        <f t="shared" si="42"/>
        <v>1500</v>
      </c>
      <c r="I68" s="13">
        <f t="shared" si="42"/>
        <v>1500</v>
      </c>
      <c r="J68" s="13">
        <f t="shared" si="42"/>
        <v>1500</v>
      </c>
      <c r="K68" s="13">
        <f t="shared" si="42"/>
        <v>1500</v>
      </c>
      <c r="L68" s="13">
        <f t="shared" si="42"/>
        <v>1500</v>
      </c>
      <c r="M68" s="13">
        <f t="shared" si="42"/>
        <v>1500</v>
      </c>
      <c r="N68" s="13">
        <f t="shared" si="42"/>
        <v>1500</v>
      </c>
      <c r="O68" s="11"/>
    </row>
    <row r="69" spans="1:15" s="1" customFormat="1" ht="19.5" customHeight="1" thickBot="1" x14ac:dyDescent="0.3">
      <c r="A69" s="199"/>
      <c r="B69" s="38" t="s">
        <v>42</v>
      </c>
      <c r="C69" s="34">
        <f>C67*C68</f>
        <v>45000</v>
      </c>
      <c r="D69" s="34">
        <f t="shared" ref="D69:N69" si="43">D67*D68</f>
        <v>15000</v>
      </c>
      <c r="E69" s="34">
        <f t="shared" si="43"/>
        <v>45000</v>
      </c>
      <c r="F69" s="34">
        <f t="shared" si="43"/>
        <v>45000</v>
      </c>
      <c r="G69" s="34">
        <f t="shared" si="43"/>
        <v>30000</v>
      </c>
      <c r="H69" s="34">
        <f t="shared" si="43"/>
        <v>45000</v>
      </c>
      <c r="I69" s="34">
        <f t="shared" si="43"/>
        <v>30000</v>
      </c>
      <c r="J69" s="34">
        <f t="shared" si="43"/>
        <v>30000</v>
      </c>
      <c r="K69" s="34">
        <f t="shared" si="43"/>
        <v>60000</v>
      </c>
      <c r="L69" s="34">
        <f t="shared" si="43"/>
        <v>30000</v>
      </c>
      <c r="M69" s="34">
        <f t="shared" si="43"/>
        <v>60000</v>
      </c>
      <c r="N69" s="34">
        <f t="shared" si="43"/>
        <v>45000</v>
      </c>
      <c r="O69" s="39">
        <f>SUM(C69:N69)</f>
        <v>480000</v>
      </c>
    </row>
    <row r="70" spans="1:15" s="1" customFormat="1" ht="19.5" customHeight="1" x14ac:dyDescent="0.25">
      <c r="A70" s="197" t="s">
        <v>262</v>
      </c>
      <c r="B70" s="4" t="s">
        <v>41</v>
      </c>
      <c r="C70" s="10">
        <f>'Cost Forecast'!C70</f>
        <v>30</v>
      </c>
      <c r="D70" s="10">
        <f>'Cost Forecast'!D70</f>
        <v>10</v>
      </c>
      <c r="E70" s="10">
        <f>'Cost Forecast'!E70</f>
        <v>30</v>
      </c>
      <c r="F70" s="10">
        <f>'Cost Forecast'!F70</f>
        <v>30</v>
      </c>
      <c r="G70" s="10">
        <f>'Cost Forecast'!G70</f>
        <v>20</v>
      </c>
      <c r="H70" s="10">
        <f>'Cost Forecast'!H70</f>
        <v>30</v>
      </c>
      <c r="I70" s="10">
        <f>'Cost Forecast'!I70</f>
        <v>20</v>
      </c>
      <c r="J70" s="10">
        <f>'Cost Forecast'!J70</f>
        <v>20</v>
      </c>
      <c r="K70" s="10">
        <f>'Cost Forecast'!K70</f>
        <v>40</v>
      </c>
      <c r="L70" s="10">
        <f>'Cost Forecast'!L70</f>
        <v>20</v>
      </c>
      <c r="M70" s="10">
        <f>'Cost Forecast'!M70</f>
        <v>40</v>
      </c>
      <c r="N70" s="10">
        <f>'Cost Forecast'!N70</f>
        <v>30</v>
      </c>
      <c r="O70" s="14"/>
    </row>
    <row r="71" spans="1:15" s="1" customFormat="1" ht="19.5" customHeight="1" x14ac:dyDescent="0.25">
      <c r="A71" s="198"/>
      <c r="B71" s="4" t="s">
        <v>46</v>
      </c>
      <c r="C71" s="13">
        <f>'PROPOSED PRICING'!G25</f>
        <v>1900</v>
      </c>
      <c r="D71" s="13">
        <f>C71</f>
        <v>1900</v>
      </c>
      <c r="E71" s="13">
        <f t="shared" ref="E71:N71" si="44">D71</f>
        <v>1900</v>
      </c>
      <c r="F71" s="13">
        <f t="shared" si="44"/>
        <v>1900</v>
      </c>
      <c r="G71" s="13">
        <f t="shared" si="44"/>
        <v>1900</v>
      </c>
      <c r="H71" s="13">
        <f t="shared" si="44"/>
        <v>1900</v>
      </c>
      <c r="I71" s="13">
        <f t="shared" si="44"/>
        <v>1900</v>
      </c>
      <c r="J71" s="13">
        <f t="shared" si="44"/>
        <v>1900</v>
      </c>
      <c r="K71" s="13">
        <f t="shared" si="44"/>
        <v>1900</v>
      </c>
      <c r="L71" s="13">
        <f t="shared" si="44"/>
        <v>1900</v>
      </c>
      <c r="M71" s="13">
        <f t="shared" si="44"/>
        <v>1900</v>
      </c>
      <c r="N71" s="13">
        <f t="shared" si="44"/>
        <v>1900</v>
      </c>
      <c r="O71" s="14"/>
    </row>
    <row r="72" spans="1:15" s="1" customFormat="1" ht="19.5" customHeight="1" thickBot="1" x14ac:dyDescent="0.3">
      <c r="A72" s="200"/>
      <c r="B72" s="5" t="s">
        <v>42</v>
      </c>
      <c r="C72" s="15">
        <f>C70*C71</f>
        <v>57000</v>
      </c>
      <c r="D72" s="15">
        <f t="shared" ref="D72:N72" si="45">D70*D71</f>
        <v>19000</v>
      </c>
      <c r="E72" s="15">
        <f t="shared" si="45"/>
        <v>57000</v>
      </c>
      <c r="F72" s="15">
        <f t="shared" si="45"/>
        <v>57000</v>
      </c>
      <c r="G72" s="15">
        <f t="shared" si="45"/>
        <v>38000</v>
      </c>
      <c r="H72" s="15">
        <f t="shared" si="45"/>
        <v>57000</v>
      </c>
      <c r="I72" s="15">
        <f t="shared" si="45"/>
        <v>38000</v>
      </c>
      <c r="J72" s="15">
        <f t="shared" si="45"/>
        <v>38000</v>
      </c>
      <c r="K72" s="15">
        <f t="shared" si="45"/>
        <v>76000</v>
      </c>
      <c r="L72" s="15">
        <f t="shared" si="45"/>
        <v>38000</v>
      </c>
      <c r="M72" s="15">
        <f t="shared" si="45"/>
        <v>76000</v>
      </c>
      <c r="N72" s="15">
        <f t="shared" si="45"/>
        <v>57000</v>
      </c>
      <c r="O72" s="12">
        <f>SUM(C72:N72)</f>
        <v>608000</v>
      </c>
    </row>
    <row r="73" spans="1:15" s="1" customFormat="1" ht="19.5" customHeight="1" x14ac:dyDescent="0.25">
      <c r="A73" s="197" t="s">
        <v>230</v>
      </c>
      <c r="B73" s="4" t="s">
        <v>41</v>
      </c>
      <c r="C73" s="10">
        <f>'Cost Forecast'!C73</f>
        <v>30</v>
      </c>
      <c r="D73" s="10">
        <f>'Cost Forecast'!D73</f>
        <v>10</v>
      </c>
      <c r="E73" s="10">
        <f>'Cost Forecast'!E73</f>
        <v>30</v>
      </c>
      <c r="F73" s="10">
        <f>'Cost Forecast'!F73</f>
        <v>30</v>
      </c>
      <c r="G73" s="10">
        <f>'Cost Forecast'!G73</f>
        <v>20</v>
      </c>
      <c r="H73" s="10">
        <f>'Cost Forecast'!H73</f>
        <v>30</v>
      </c>
      <c r="I73" s="10">
        <f>'Cost Forecast'!I73</f>
        <v>20</v>
      </c>
      <c r="J73" s="10">
        <f>'Cost Forecast'!J73</f>
        <v>20</v>
      </c>
      <c r="K73" s="10">
        <f>'Cost Forecast'!K73</f>
        <v>40</v>
      </c>
      <c r="L73" s="10">
        <f>'Cost Forecast'!L73</f>
        <v>20</v>
      </c>
      <c r="M73" s="10">
        <f>'Cost Forecast'!M73</f>
        <v>40</v>
      </c>
      <c r="N73" s="10">
        <f>'Cost Forecast'!N73</f>
        <v>30</v>
      </c>
      <c r="O73" s="11"/>
    </row>
    <row r="74" spans="1:15" s="1" customFormat="1" ht="19.5" customHeight="1" x14ac:dyDescent="0.25">
      <c r="A74" s="198"/>
      <c r="B74" s="4" t="s">
        <v>46</v>
      </c>
      <c r="C74" s="13">
        <f>'PROPOSED PRICING'!G26</f>
        <v>700</v>
      </c>
      <c r="D74" s="13">
        <f>C74</f>
        <v>700</v>
      </c>
      <c r="E74" s="13">
        <f t="shared" ref="E74:N74" si="46">D74</f>
        <v>700</v>
      </c>
      <c r="F74" s="13">
        <f t="shared" si="46"/>
        <v>700</v>
      </c>
      <c r="G74" s="13">
        <f t="shared" si="46"/>
        <v>700</v>
      </c>
      <c r="H74" s="13">
        <f t="shared" si="46"/>
        <v>700</v>
      </c>
      <c r="I74" s="13">
        <f t="shared" si="46"/>
        <v>700</v>
      </c>
      <c r="J74" s="13">
        <f t="shared" si="46"/>
        <v>700</v>
      </c>
      <c r="K74" s="13">
        <f t="shared" si="46"/>
        <v>700</v>
      </c>
      <c r="L74" s="13">
        <f t="shared" si="46"/>
        <v>700</v>
      </c>
      <c r="M74" s="13">
        <f t="shared" si="46"/>
        <v>700</v>
      </c>
      <c r="N74" s="13">
        <f t="shared" si="46"/>
        <v>700</v>
      </c>
      <c r="O74" s="11"/>
    </row>
    <row r="75" spans="1:15" s="1" customFormat="1" ht="19.5" customHeight="1" thickBot="1" x14ac:dyDescent="0.3">
      <c r="A75" s="199"/>
      <c r="B75" s="5" t="s">
        <v>42</v>
      </c>
      <c r="C75" s="15">
        <f>C73*C74</f>
        <v>21000</v>
      </c>
      <c r="D75" s="15">
        <f t="shared" ref="D75:N75" si="47">D73*D74</f>
        <v>7000</v>
      </c>
      <c r="E75" s="15">
        <f t="shared" si="47"/>
        <v>21000</v>
      </c>
      <c r="F75" s="15">
        <f t="shared" si="47"/>
        <v>21000</v>
      </c>
      <c r="G75" s="15">
        <f t="shared" si="47"/>
        <v>14000</v>
      </c>
      <c r="H75" s="15">
        <f t="shared" si="47"/>
        <v>21000</v>
      </c>
      <c r="I75" s="15">
        <f t="shared" si="47"/>
        <v>14000</v>
      </c>
      <c r="J75" s="15">
        <f t="shared" si="47"/>
        <v>14000</v>
      </c>
      <c r="K75" s="15">
        <f t="shared" si="47"/>
        <v>28000</v>
      </c>
      <c r="L75" s="15">
        <f t="shared" si="47"/>
        <v>14000</v>
      </c>
      <c r="M75" s="15">
        <f t="shared" si="47"/>
        <v>28000</v>
      </c>
      <c r="N75" s="15">
        <f t="shared" si="47"/>
        <v>21000</v>
      </c>
      <c r="O75" s="12">
        <f>SUM(C75:N75)</f>
        <v>224000</v>
      </c>
    </row>
    <row r="76" spans="1:15" s="1" customFormat="1" ht="19.5" customHeight="1" x14ac:dyDescent="0.25">
      <c r="A76" s="197" t="s">
        <v>263</v>
      </c>
      <c r="B76" s="8" t="s">
        <v>41</v>
      </c>
      <c r="C76" s="10">
        <f>'Cost Forecast'!C76</f>
        <v>30</v>
      </c>
      <c r="D76" s="10">
        <f>'Cost Forecast'!D76</f>
        <v>10</v>
      </c>
      <c r="E76" s="10">
        <f>'Cost Forecast'!E76</f>
        <v>30</v>
      </c>
      <c r="F76" s="10">
        <f>'Cost Forecast'!F76</f>
        <v>30</v>
      </c>
      <c r="G76" s="10">
        <f>'Cost Forecast'!G76</f>
        <v>20</v>
      </c>
      <c r="H76" s="10">
        <f>'Cost Forecast'!H76</f>
        <v>30</v>
      </c>
      <c r="I76" s="10">
        <f>'Cost Forecast'!I76</f>
        <v>20</v>
      </c>
      <c r="J76" s="10">
        <f>'Cost Forecast'!J76</f>
        <v>20</v>
      </c>
      <c r="K76" s="10">
        <f>'Cost Forecast'!K76</f>
        <v>40</v>
      </c>
      <c r="L76" s="10">
        <f>'Cost Forecast'!L76</f>
        <v>20</v>
      </c>
      <c r="M76" s="10">
        <f>'Cost Forecast'!M76</f>
        <v>40</v>
      </c>
      <c r="N76" s="10">
        <f>'Cost Forecast'!N76</f>
        <v>30</v>
      </c>
      <c r="O76" s="11"/>
    </row>
    <row r="77" spans="1:15" s="1" customFormat="1" ht="19.5" customHeight="1" x14ac:dyDescent="0.25">
      <c r="A77" s="198"/>
      <c r="B77" s="8" t="s">
        <v>46</v>
      </c>
      <c r="C77" s="10">
        <f>'PROPOSED PRICING'!G27</f>
        <v>1500</v>
      </c>
      <c r="D77" s="13">
        <f>C77</f>
        <v>1500</v>
      </c>
      <c r="E77" s="13">
        <f t="shared" ref="E77:N77" si="48">D77</f>
        <v>1500</v>
      </c>
      <c r="F77" s="13">
        <f t="shared" si="48"/>
        <v>1500</v>
      </c>
      <c r="G77" s="13">
        <f t="shared" si="48"/>
        <v>1500</v>
      </c>
      <c r="H77" s="13">
        <f t="shared" si="48"/>
        <v>1500</v>
      </c>
      <c r="I77" s="13">
        <f t="shared" si="48"/>
        <v>1500</v>
      </c>
      <c r="J77" s="13">
        <f t="shared" si="48"/>
        <v>1500</v>
      </c>
      <c r="K77" s="13">
        <f t="shared" si="48"/>
        <v>1500</v>
      </c>
      <c r="L77" s="13">
        <f t="shared" si="48"/>
        <v>1500</v>
      </c>
      <c r="M77" s="13">
        <f t="shared" si="48"/>
        <v>1500</v>
      </c>
      <c r="N77" s="13">
        <f t="shared" si="48"/>
        <v>1500</v>
      </c>
      <c r="O77" s="11"/>
    </row>
    <row r="78" spans="1:15" s="1" customFormat="1" ht="19.5" customHeight="1" thickBot="1" x14ac:dyDescent="0.3">
      <c r="A78" s="199"/>
      <c r="B78" s="5" t="s">
        <v>42</v>
      </c>
      <c r="C78" s="12">
        <f>C76*C77</f>
        <v>45000</v>
      </c>
      <c r="D78" s="12">
        <f t="shared" ref="D78:N78" si="49">D76*D77</f>
        <v>15000</v>
      </c>
      <c r="E78" s="12">
        <f t="shared" si="49"/>
        <v>45000</v>
      </c>
      <c r="F78" s="12">
        <f t="shared" si="49"/>
        <v>45000</v>
      </c>
      <c r="G78" s="12">
        <f t="shared" si="49"/>
        <v>30000</v>
      </c>
      <c r="H78" s="12">
        <f t="shared" si="49"/>
        <v>45000</v>
      </c>
      <c r="I78" s="12">
        <f t="shared" si="49"/>
        <v>30000</v>
      </c>
      <c r="J78" s="12">
        <f t="shared" si="49"/>
        <v>30000</v>
      </c>
      <c r="K78" s="12">
        <f t="shared" si="49"/>
        <v>60000</v>
      </c>
      <c r="L78" s="12">
        <f t="shared" si="49"/>
        <v>30000</v>
      </c>
      <c r="M78" s="12">
        <f t="shared" si="49"/>
        <v>60000</v>
      </c>
      <c r="N78" s="12">
        <f t="shared" si="49"/>
        <v>45000</v>
      </c>
      <c r="O78" s="12">
        <f>SUM(C78:N78)</f>
        <v>480000</v>
      </c>
    </row>
    <row r="79" spans="1:15" s="1" customFormat="1" ht="19.5" customHeight="1" x14ac:dyDescent="0.25">
      <c r="A79" s="197" t="s">
        <v>231</v>
      </c>
      <c r="B79" s="35" t="s">
        <v>41</v>
      </c>
      <c r="C79" s="10">
        <f>'Cost Forecast'!C79</f>
        <v>10</v>
      </c>
      <c r="D79" s="10">
        <f>'Cost Forecast'!D79</f>
        <v>10</v>
      </c>
      <c r="E79" s="10">
        <f>'Cost Forecast'!E79</f>
        <v>10</v>
      </c>
      <c r="F79" s="10">
        <f>'Cost Forecast'!F79</f>
        <v>10</v>
      </c>
      <c r="G79" s="10">
        <f>'Cost Forecast'!G79</f>
        <v>10</v>
      </c>
      <c r="H79" s="10">
        <f>'Cost Forecast'!H79</f>
        <v>10</v>
      </c>
      <c r="I79" s="10">
        <f>'Cost Forecast'!I79</f>
        <v>10</v>
      </c>
      <c r="J79" s="10">
        <f>'Cost Forecast'!J79</f>
        <v>10</v>
      </c>
      <c r="K79" s="10">
        <f>'Cost Forecast'!K79</f>
        <v>10</v>
      </c>
      <c r="L79" s="10">
        <f>'Cost Forecast'!L79</f>
        <v>10</v>
      </c>
      <c r="M79" s="10">
        <f>'Cost Forecast'!M79</f>
        <v>10</v>
      </c>
      <c r="N79" s="10">
        <f>'Cost Forecast'!N79</f>
        <v>10</v>
      </c>
      <c r="O79" s="37"/>
    </row>
    <row r="80" spans="1:15" s="1" customFormat="1" ht="19.5" customHeight="1" x14ac:dyDescent="0.25">
      <c r="A80" s="198"/>
      <c r="B80" s="4" t="s">
        <v>46</v>
      </c>
      <c r="C80" s="13">
        <f>'PROPOSED PRICING'!G28</f>
        <v>4400</v>
      </c>
      <c r="D80" s="13">
        <f>C80</f>
        <v>4400</v>
      </c>
      <c r="E80" s="13">
        <f t="shared" ref="E80:N80" si="50">D80</f>
        <v>4400</v>
      </c>
      <c r="F80" s="13">
        <f t="shared" si="50"/>
        <v>4400</v>
      </c>
      <c r="G80" s="13">
        <f t="shared" si="50"/>
        <v>4400</v>
      </c>
      <c r="H80" s="13">
        <f t="shared" si="50"/>
        <v>4400</v>
      </c>
      <c r="I80" s="13">
        <f t="shared" si="50"/>
        <v>4400</v>
      </c>
      <c r="J80" s="13">
        <f t="shared" si="50"/>
        <v>4400</v>
      </c>
      <c r="K80" s="13">
        <f t="shared" si="50"/>
        <v>4400</v>
      </c>
      <c r="L80" s="13">
        <f t="shared" si="50"/>
        <v>4400</v>
      </c>
      <c r="M80" s="13">
        <f t="shared" si="50"/>
        <v>4400</v>
      </c>
      <c r="N80" s="13">
        <f t="shared" si="50"/>
        <v>4400</v>
      </c>
      <c r="O80" s="11"/>
    </row>
    <row r="81" spans="1:15" s="1" customFormat="1" ht="19.5" customHeight="1" thickBot="1" x14ac:dyDescent="0.3">
      <c r="A81" s="200"/>
      <c r="B81" s="38" t="s">
        <v>42</v>
      </c>
      <c r="C81" s="34">
        <f>C79*C80</f>
        <v>44000</v>
      </c>
      <c r="D81" s="34">
        <f t="shared" ref="D81:N81" si="51">D79*D80</f>
        <v>44000</v>
      </c>
      <c r="E81" s="34">
        <f t="shared" si="51"/>
        <v>44000</v>
      </c>
      <c r="F81" s="34">
        <f t="shared" si="51"/>
        <v>44000</v>
      </c>
      <c r="G81" s="34">
        <f t="shared" si="51"/>
        <v>44000</v>
      </c>
      <c r="H81" s="34">
        <f t="shared" si="51"/>
        <v>44000</v>
      </c>
      <c r="I81" s="34">
        <f t="shared" si="51"/>
        <v>44000</v>
      </c>
      <c r="J81" s="34">
        <f t="shared" si="51"/>
        <v>44000</v>
      </c>
      <c r="K81" s="34">
        <f t="shared" si="51"/>
        <v>44000</v>
      </c>
      <c r="L81" s="34">
        <f t="shared" si="51"/>
        <v>44000</v>
      </c>
      <c r="M81" s="34">
        <f t="shared" si="51"/>
        <v>44000</v>
      </c>
      <c r="N81" s="34">
        <f t="shared" si="51"/>
        <v>44000</v>
      </c>
      <c r="O81" s="39">
        <f>SUM(C81:N81)</f>
        <v>528000</v>
      </c>
    </row>
    <row r="82" spans="1:15" s="1" customFormat="1" ht="19.5" customHeight="1" x14ac:dyDescent="0.25">
      <c r="A82" s="197" t="s">
        <v>235</v>
      </c>
      <c r="B82" s="4" t="s">
        <v>41</v>
      </c>
      <c r="C82" s="10">
        <f>'Cost Forecast'!C82</f>
        <v>30</v>
      </c>
      <c r="D82" s="10">
        <f>'Cost Forecast'!D82</f>
        <v>10</v>
      </c>
      <c r="E82" s="10">
        <f>'Cost Forecast'!E82</f>
        <v>30</v>
      </c>
      <c r="F82" s="10">
        <f>'Cost Forecast'!F82</f>
        <v>30</v>
      </c>
      <c r="G82" s="10">
        <f>'Cost Forecast'!G82</f>
        <v>20</v>
      </c>
      <c r="H82" s="10">
        <f>'Cost Forecast'!H82</f>
        <v>30</v>
      </c>
      <c r="I82" s="10">
        <f>'Cost Forecast'!I82</f>
        <v>20</v>
      </c>
      <c r="J82" s="10">
        <f>'Cost Forecast'!J82</f>
        <v>20</v>
      </c>
      <c r="K82" s="10">
        <f>'Cost Forecast'!K82</f>
        <v>40</v>
      </c>
      <c r="L82" s="10">
        <f>'Cost Forecast'!L82</f>
        <v>20</v>
      </c>
      <c r="M82" s="10">
        <f>'Cost Forecast'!M82</f>
        <v>40</v>
      </c>
      <c r="N82" s="10">
        <f>'Cost Forecast'!N82</f>
        <v>30</v>
      </c>
      <c r="O82" s="14"/>
    </row>
    <row r="83" spans="1:15" s="1" customFormat="1" ht="19.5" customHeight="1" x14ac:dyDescent="0.25">
      <c r="A83" s="198"/>
      <c r="B83" s="4" t="s">
        <v>46</v>
      </c>
      <c r="C83" s="13">
        <f>'PROPOSED PRICING'!G29</f>
        <v>500</v>
      </c>
      <c r="D83" s="13">
        <f>C83</f>
        <v>500</v>
      </c>
      <c r="E83" s="13">
        <f t="shared" ref="E83:N83" si="52">D83</f>
        <v>500</v>
      </c>
      <c r="F83" s="13">
        <f t="shared" si="52"/>
        <v>500</v>
      </c>
      <c r="G83" s="13">
        <f t="shared" si="52"/>
        <v>500</v>
      </c>
      <c r="H83" s="13">
        <f t="shared" si="52"/>
        <v>500</v>
      </c>
      <c r="I83" s="13">
        <f t="shared" si="52"/>
        <v>500</v>
      </c>
      <c r="J83" s="13">
        <f t="shared" si="52"/>
        <v>500</v>
      </c>
      <c r="K83" s="13">
        <f t="shared" si="52"/>
        <v>500</v>
      </c>
      <c r="L83" s="13">
        <f t="shared" si="52"/>
        <v>500</v>
      </c>
      <c r="M83" s="13">
        <f t="shared" si="52"/>
        <v>500</v>
      </c>
      <c r="N83" s="13">
        <f t="shared" si="52"/>
        <v>500</v>
      </c>
      <c r="O83" s="14"/>
    </row>
    <row r="84" spans="1:15" s="1" customFormat="1" ht="19.5" customHeight="1" thickBot="1" x14ac:dyDescent="0.3">
      <c r="A84" s="199"/>
      <c r="B84" s="5" t="s">
        <v>42</v>
      </c>
      <c r="C84" s="15">
        <f>C82*C83</f>
        <v>15000</v>
      </c>
      <c r="D84" s="15">
        <f t="shared" ref="D84:N84" si="53">D82*D83</f>
        <v>5000</v>
      </c>
      <c r="E84" s="15">
        <f t="shared" si="53"/>
        <v>15000</v>
      </c>
      <c r="F84" s="15">
        <f t="shared" si="53"/>
        <v>15000</v>
      </c>
      <c r="G84" s="15">
        <f t="shared" si="53"/>
        <v>10000</v>
      </c>
      <c r="H84" s="15">
        <f t="shared" si="53"/>
        <v>15000</v>
      </c>
      <c r="I84" s="15">
        <f t="shared" si="53"/>
        <v>10000</v>
      </c>
      <c r="J84" s="15">
        <f t="shared" si="53"/>
        <v>10000</v>
      </c>
      <c r="K84" s="15">
        <f t="shared" si="53"/>
        <v>20000</v>
      </c>
      <c r="L84" s="15">
        <f t="shared" si="53"/>
        <v>10000</v>
      </c>
      <c r="M84" s="15">
        <f t="shared" si="53"/>
        <v>20000</v>
      </c>
      <c r="N84" s="15">
        <f t="shared" si="53"/>
        <v>15000</v>
      </c>
      <c r="O84" s="12">
        <f>SUM(C84:N84)</f>
        <v>160000</v>
      </c>
    </row>
    <row r="85" spans="1:15" s="1" customFormat="1" ht="19.5" customHeight="1" x14ac:dyDescent="0.25">
      <c r="A85" s="197" t="s">
        <v>264</v>
      </c>
      <c r="B85" s="4" t="s">
        <v>41</v>
      </c>
      <c r="C85" s="10">
        <f>'Cost Forecast'!C85</f>
        <v>3</v>
      </c>
      <c r="D85" s="10">
        <f>'Cost Forecast'!D85</f>
        <v>1</v>
      </c>
      <c r="E85" s="10">
        <f>'Cost Forecast'!E85</f>
        <v>3</v>
      </c>
      <c r="F85" s="10">
        <f>'Cost Forecast'!F85</f>
        <v>3</v>
      </c>
      <c r="G85" s="10">
        <f>'Cost Forecast'!G85</f>
        <v>6</v>
      </c>
      <c r="H85" s="10">
        <f>'Cost Forecast'!H85</f>
        <v>6</v>
      </c>
      <c r="I85" s="10">
        <f>'Cost Forecast'!I85</f>
        <v>6</v>
      </c>
      <c r="J85" s="10">
        <f>'Cost Forecast'!J85</f>
        <v>6</v>
      </c>
      <c r="K85" s="10">
        <f>'Cost Forecast'!K85</f>
        <v>9</v>
      </c>
      <c r="L85" s="10">
        <f>'Cost Forecast'!L85</f>
        <v>9</v>
      </c>
      <c r="M85" s="10">
        <f>'Cost Forecast'!M85</f>
        <v>9</v>
      </c>
      <c r="N85" s="10">
        <f>'Cost Forecast'!N85</f>
        <v>9</v>
      </c>
      <c r="O85" s="11"/>
    </row>
    <row r="86" spans="1:15" s="1" customFormat="1" ht="19.5" customHeight="1" x14ac:dyDescent="0.25">
      <c r="A86" s="198"/>
      <c r="B86" s="4" t="s">
        <v>46</v>
      </c>
      <c r="C86" s="13">
        <f>'PROPOSED PRICING'!G30</f>
        <v>25000</v>
      </c>
      <c r="D86" s="13">
        <f>C86</f>
        <v>25000</v>
      </c>
      <c r="E86" s="13">
        <f t="shared" ref="E86:N86" si="54">D86</f>
        <v>25000</v>
      </c>
      <c r="F86" s="13">
        <f t="shared" si="54"/>
        <v>25000</v>
      </c>
      <c r="G86" s="13">
        <f t="shared" si="54"/>
        <v>25000</v>
      </c>
      <c r="H86" s="13">
        <f t="shared" si="54"/>
        <v>25000</v>
      </c>
      <c r="I86" s="13">
        <f t="shared" si="54"/>
        <v>25000</v>
      </c>
      <c r="J86" s="13">
        <f t="shared" si="54"/>
        <v>25000</v>
      </c>
      <c r="K86" s="13">
        <f t="shared" si="54"/>
        <v>25000</v>
      </c>
      <c r="L86" s="13">
        <f t="shared" si="54"/>
        <v>25000</v>
      </c>
      <c r="M86" s="13">
        <f t="shared" si="54"/>
        <v>25000</v>
      </c>
      <c r="N86" s="13">
        <f t="shared" si="54"/>
        <v>25000</v>
      </c>
      <c r="O86" s="11"/>
    </row>
    <row r="87" spans="1:15" s="1" customFormat="1" ht="19.5" customHeight="1" thickBot="1" x14ac:dyDescent="0.3">
      <c r="A87" s="199"/>
      <c r="B87" s="5" t="s">
        <v>42</v>
      </c>
      <c r="C87" s="15">
        <f>C85*C86</f>
        <v>75000</v>
      </c>
      <c r="D87" s="15">
        <f t="shared" ref="D87:N87" si="55">D85*D86</f>
        <v>25000</v>
      </c>
      <c r="E87" s="15">
        <f t="shared" si="55"/>
        <v>75000</v>
      </c>
      <c r="F87" s="15">
        <f t="shared" si="55"/>
        <v>75000</v>
      </c>
      <c r="G87" s="15">
        <f t="shared" si="55"/>
        <v>150000</v>
      </c>
      <c r="H87" s="15">
        <f t="shared" si="55"/>
        <v>150000</v>
      </c>
      <c r="I87" s="15">
        <f t="shared" si="55"/>
        <v>150000</v>
      </c>
      <c r="J87" s="15">
        <f t="shared" si="55"/>
        <v>150000</v>
      </c>
      <c r="K87" s="15">
        <f t="shared" si="55"/>
        <v>225000</v>
      </c>
      <c r="L87" s="15">
        <f t="shared" si="55"/>
        <v>225000</v>
      </c>
      <c r="M87" s="15">
        <f t="shared" si="55"/>
        <v>225000</v>
      </c>
      <c r="N87" s="15">
        <f t="shared" si="55"/>
        <v>225000</v>
      </c>
      <c r="O87" s="12">
        <f>SUM(C87:N87)</f>
        <v>1750000</v>
      </c>
    </row>
    <row r="88" spans="1:15" s="1" customFormat="1" ht="19.5" customHeight="1" x14ac:dyDescent="0.25">
      <c r="A88" s="197" t="s">
        <v>265</v>
      </c>
      <c r="B88" s="8" t="s">
        <v>41</v>
      </c>
      <c r="C88" s="10">
        <f>'Cost Forecast'!C88</f>
        <v>3</v>
      </c>
      <c r="D88" s="10">
        <f>'Cost Forecast'!D88</f>
        <v>1</v>
      </c>
      <c r="E88" s="10">
        <f>'Cost Forecast'!E88</f>
        <v>3</v>
      </c>
      <c r="F88" s="10">
        <f>'Cost Forecast'!F88</f>
        <v>3</v>
      </c>
      <c r="G88" s="10">
        <f>'Cost Forecast'!G88</f>
        <v>6</v>
      </c>
      <c r="H88" s="10">
        <f>'Cost Forecast'!H88</f>
        <v>6</v>
      </c>
      <c r="I88" s="10">
        <f>'Cost Forecast'!I88</f>
        <v>6</v>
      </c>
      <c r="J88" s="10">
        <f>'Cost Forecast'!J88</f>
        <v>6</v>
      </c>
      <c r="K88" s="10">
        <f>'Cost Forecast'!K88</f>
        <v>6</v>
      </c>
      <c r="L88" s="10">
        <f>'Cost Forecast'!L88</f>
        <v>6</v>
      </c>
      <c r="M88" s="10">
        <f>'Cost Forecast'!M88</f>
        <v>6</v>
      </c>
      <c r="N88" s="10">
        <f>'Cost Forecast'!N88</f>
        <v>6</v>
      </c>
      <c r="O88" s="11"/>
    </row>
    <row r="89" spans="1:15" s="1" customFormat="1" ht="19.5" customHeight="1" x14ac:dyDescent="0.25">
      <c r="A89" s="198"/>
      <c r="B89" s="8" t="s">
        <v>46</v>
      </c>
      <c r="C89" s="10">
        <f>'PROPOSED PRICING'!G31</f>
        <v>75000</v>
      </c>
      <c r="D89" s="13">
        <f>C89</f>
        <v>75000</v>
      </c>
      <c r="E89" s="13">
        <f t="shared" ref="E89:N89" si="56">D89</f>
        <v>75000</v>
      </c>
      <c r="F89" s="13">
        <f t="shared" si="56"/>
        <v>75000</v>
      </c>
      <c r="G89" s="13">
        <f t="shared" si="56"/>
        <v>75000</v>
      </c>
      <c r="H89" s="13">
        <f t="shared" si="56"/>
        <v>75000</v>
      </c>
      <c r="I89" s="13">
        <f t="shared" si="56"/>
        <v>75000</v>
      </c>
      <c r="J89" s="13">
        <f t="shared" si="56"/>
        <v>75000</v>
      </c>
      <c r="K89" s="13">
        <f t="shared" si="56"/>
        <v>75000</v>
      </c>
      <c r="L89" s="13">
        <f t="shared" si="56"/>
        <v>75000</v>
      </c>
      <c r="M89" s="13">
        <f t="shared" si="56"/>
        <v>75000</v>
      </c>
      <c r="N89" s="13">
        <f t="shared" si="56"/>
        <v>75000</v>
      </c>
      <c r="O89" s="11"/>
    </row>
    <row r="90" spans="1:15" s="1" customFormat="1" ht="19.5" customHeight="1" thickBot="1" x14ac:dyDescent="0.3">
      <c r="A90" s="200"/>
      <c r="B90" s="5" t="s">
        <v>42</v>
      </c>
      <c r="C90" s="12">
        <f>C88*C89</f>
        <v>225000</v>
      </c>
      <c r="D90" s="12">
        <f t="shared" ref="D90:N90" si="57">D88*D89</f>
        <v>75000</v>
      </c>
      <c r="E90" s="12">
        <f t="shared" si="57"/>
        <v>225000</v>
      </c>
      <c r="F90" s="12">
        <f t="shared" si="57"/>
        <v>225000</v>
      </c>
      <c r="G90" s="12">
        <f t="shared" si="57"/>
        <v>450000</v>
      </c>
      <c r="H90" s="12">
        <f t="shared" si="57"/>
        <v>450000</v>
      </c>
      <c r="I90" s="12">
        <f t="shared" si="57"/>
        <v>450000</v>
      </c>
      <c r="J90" s="12">
        <f t="shared" si="57"/>
        <v>450000</v>
      </c>
      <c r="K90" s="12">
        <f t="shared" si="57"/>
        <v>450000</v>
      </c>
      <c r="L90" s="12">
        <f t="shared" si="57"/>
        <v>450000</v>
      </c>
      <c r="M90" s="12">
        <f t="shared" si="57"/>
        <v>450000</v>
      </c>
      <c r="N90" s="12">
        <f t="shared" si="57"/>
        <v>450000</v>
      </c>
      <c r="O90" s="12">
        <f>SUM(C90:N90)</f>
        <v>4350000</v>
      </c>
    </row>
    <row r="91" spans="1:15" s="1" customFormat="1" ht="19.5" customHeight="1" x14ac:dyDescent="0.25">
      <c r="A91" s="197" t="s">
        <v>60</v>
      </c>
      <c r="B91" s="35" t="s">
        <v>41</v>
      </c>
      <c r="C91" s="10">
        <f>'Cost Forecast'!C91</f>
        <v>9</v>
      </c>
      <c r="D91" s="10">
        <f>'Cost Forecast'!D91</f>
        <v>3</v>
      </c>
      <c r="E91" s="10">
        <f>'Cost Forecast'!E91</f>
        <v>9</v>
      </c>
      <c r="F91" s="10">
        <f>'Cost Forecast'!F91</f>
        <v>9</v>
      </c>
      <c r="G91" s="10">
        <f>'Cost Forecast'!G91</f>
        <v>6</v>
      </c>
      <c r="H91" s="10">
        <f>'Cost Forecast'!H91</f>
        <v>6</v>
      </c>
      <c r="I91" s="10">
        <f>'Cost Forecast'!I91</f>
        <v>9</v>
      </c>
      <c r="J91" s="10">
        <f>'Cost Forecast'!J91</f>
        <v>6</v>
      </c>
      <c r="K91" s="10">
        <f>'Cost Forecast'!K91</f>
        <v>9</v>
      </c>
      <c r="L91" s="10">
        <f>'Cost Forecast'!L91</f>
        <v>6</v>
      </c>
      <c r="M91" s="10">
        <f>'Cost Forecast'!M91</f>
        <v>9</v>
      </c>
      <c r="N91" s="10">
        <f>'Cost Forecast'!N91</f>
        <v>9</v>
      </c>
      <c r="O91" s="37"/>
    </row>
    <row r="92" spans="1:15" s="1" customFormat="1" ht="19.5" customHeight="1" x14ac:dyDescent="0.25">
      <c r="A92" s="198"/>
      <c r="B92" s="4" t="s">
        <v>46</v>
      </c>
      <c r="C92" s="13">
        <f>'PROPOSED PRICING'!G32</f>
        <v>10000</v>
      </c>
      <c r="D92" s="13">
        <f>C92</f>
        <v>10000</v>
      </c>
      <c r="E92" s="13">
        <f t="shared" ref="E92:N92" si="58">D92</f>
        <v>10000</v>
      </c>
      <c r="F92" s="13">
        <f t="shared" si="58"/>
        <v>10000</v>
      </c>
      <c r="G92" s="13">
        <f t="shared" si="58"/>
        <v>10000</v>
      </c>
      <c r="H92" s="13">
        <f t="shared" si="58"/>
        <v>10000</v>
      </c>
      <c r="I92" s="13">
        <f t="shared" si="58"/>
        <v>10000</v>
      </c>
      <c r="J92" s="13">
        <f t="shared" si="58"/>
        <v>10000</v>
      </c>
      <c r="K92" s="13">
        <f t="shared" si="58"/>
        <v>10000</v>
      </c>
      <c r="L92" s="13">
        <f t="shared" si="58"/>
        <v>10000</v>
      </c>
      <c r="M92" s="13">
        <f t="shared" si="58"/>
        <v>10000</v>
      </c>
      <c r="N92" s="13">
        <f t="shared" si="58"/>
        <v>10000</v>
      </c>
      <c r="O92" s="11"/>
    </row>
    <row r="93" spans="1:15" s="1" customFormat="1" ht="19.5" customHeight="1" thickBot="1" x14ac:dyDescent="0.3">
      <c r="A93" s="199"/>
      <c r="B93" s="38" t="s">
        <v>42</v>
      </c>
      <c r="C93" s="34">
        <f>C91*C92</f>
        <v>90000</v>
      </c>
      <c r="D93" s="34">
        <f t="shared" ref="D93:N93" si="59">D91*D92</f>
        <v>30000</v>
      </c>
      <c r="E93" s="34">
        <f t="shared" si="59"/>
        <v>90000</v>
      </c>
      <c r="F93" s="34">
        <f t="shared" si="59"/>
        <v>90000</v>
      </c>
      <c r="G93" s="34">
        <f t="shared" si="59"/>
        <v>60000</v>
      </c>
      <c r="H93" s="34">
        <f t="shared" si="59"/>
        <v>60000</v>
      </c>
      <c r="I93" s="34">
        <f t="shared" si="59"/>
        <v>90000</v>
      </c>
      <c r="J93" s="34">
        <f t="shared" si="59"/>
        <v>60000</v>
      </c>
      <c r="K93" s="34">
        <f t="shared" si="59"/>
        <v>90000</v>
      </c>
      <c r="L93" s="34">
        <f t="shared" si="59"/>
        <v>60000</v>
      </c>
      <c r="M93" s="34">
        <f t="shared" si="59"/>
        <v>90000</v>
      </c>
      <c r="N93" s="34">
        <f t="shared" si="59"/>
        <v>90000</v>
      </c>
      <c r="O93" s="39">
        <f>SUM(C93:N93)</f>
        <v>900000</v>
      </c>
    </row>
    <row r="94" spans="1:15" s="1" customFormat="1" ht="19.5" customHeight="1" thickBot="1" x14ac:dyDescent="0.3">
      <c r="A94" s="143" t="s">
        <v>156</v>
      </c>
      <c r="B94" s="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2"/>
    </row>
    <row r="95" spans="1:15" s="1" customFormat="1" ht="19.5" customHeight="1" thickBot="1" x14ac:dyDescent="0.3">
      <c r="A95" s="201" t="s">
        <v>47</v>
      </c>
      <c r="B95" s="196"/>
      <c r="C95" s="16">
        <f>C6+C9+C12+C15+C18+C21+C24+C27+C30+C33+C36+C39+C42+C45+C48+C51+C54+C57+C60+C63+C66+C69+C72+C75+C78+C81+C84+C87+C90+C93+C94</f>
        <v>5606500</v>
      </c>
      <c r="D95" s="16">
        <f t="shared" ref="D95:O95" si="60">D6+D9+D12+D15+D18+D21+D24+D27+D30+D33+D36+D39+D42+D45+D48+D51+D54+D57+D60+D63+D66+D69+D72+D75+D78+D81+D84+D87+D90+D93+D94</f>
        <v>3422500</v>
      </c>
      <c r="E95" s="16">
        <f t="shared" si="60"/>
        <v>5606500</v>
      </c>
      <c r="F95" s="16">
        <f t="shared" si="60"/>
        <v>5606500</v>
      </c>
      <c r="G95" s="16">
        <f t="shared" si="60"/>
        <v>5376000</v>
      </c>
      <c r="H95" s="16">
        <f t="shared" si="60"/>
        <v>6351500</v>
      </c>
      <c r="I95" s="16">
        <f t="shared" si="60"/>
        <v>5406000</v>
      </c>
      <c r="J95" s="16">
        <f t="shared" si="60"/>
        <v>5376000</v>
      </c>
      <c r="K95" s="16">
        <f t="shared" si="60"/>
        <v>6889000</v>
      </c>
      <c r="L95" s="16">
        <f t="shared" si="60"/>
        <v>5451000</v>
      </c>
      <c r="M95" s="16">
        <f t="shared" si="60"/>
        <v>6889000</v>
      </c>
      <c r="N95" s="16">
        <f t="shared" si="60"/>
        <v>5956500</v>
      </c>
      <c r="O95" s="16">
        <f t="shared" si="60"/>
        <v>67937000</v>
      </c>
    </row>
    <row r="96" spans="1:15" s="1" customFormat="1" ht="19.5" customHeight="1" x14ac:dyDescent="0.25">
      <c r="O96" s="6"/>
    </row>
    <row r="97" spans="1:16" ht="19.5" customHeight="1" x14ac:dyDescent="0.25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</row>
    <row r="98" spans="1:16" s="1" customFormat="1" ht="19.5" customHeight="1" x14ac:dyDescent="0.35">
      <c r="A98" s="121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</row>
    <row r="99" spans="1:16" s="1" customFormat="1" ht="19.5" customHeight="1" x14ac:dyDescent="0.25">
      <c r="A99" s="122"/>
      <c r="B99" s="122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2"/>
      <c r="P99" s="120"/>
    </row>
    <row r="100" spans="1:16" s="1" customFormat="1" ht="19.5" customHeight="1" x14ac:dyDescent="0.25">
      <c r="A100" s="194"/>
      <c r="B100" s="124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0"/>
    </row>
    <row r="101" spans="1:16" s="1" customFormat="1" ht="19.5" customHeight="1" x14ac:dyDescent="0.25">
      <c r="A101" s="194"/>
      <c r="B101" s="124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0"/>
    </row>
    <row r="102" spans="1:16" s="1" customFormat="1" ht="19.5" customHeight="1" x14ac:dyDescent="0.25">
      <c r="A102" s="194"/>
      <c r="B102" s="124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0"/>
    </row>
    <row r="103" spans="1:16" s="1" customFormat="1" ht="19.5" customHeight="1" x14ac:dyDescent="0.25">
      <c r="A103" s="192"/>
      <c r="B103" s="124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0"/>
    </row>
    <row r="104" spans="1:16" s="1" customFormat="1" ht="19.5" customHeight="1" x14ac:dyDescent="0.25">
      <c r="A104" s="192"/>
      <c r="B104" s="124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0"/>
    </row>
    <row r="105" spans="1:16" s="1" customFormat="1" ht="19.5" customHeight="1" x14ac:dyDescent="0.25">
      <c r="A105" s="192"/>
      <c r="B105" s="124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0"/>
    </row>
    <row r="106" spans="1:16" s="1" customFormat="1" ht="19.5" customHeight="1" x14ac:dyDescent="0.25">
      <c r="A106" s="192"/>
      <c r="B106" s="124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20"/>
    </row>
    <row r="107" spans="1:16" ht="19.5" customHeight="1" x14ac:dyDescent="0.25">
      <c r="A107" s="192"/>
      <c r="B107" s="124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20"/>
    </row>
    <row r="108" spans="1:16" ht="19.5" customHeight="1" x14ac:dyDescent="0.25">
      <c r="A108" s="192"/>
      <c r="B108" s="124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20"/>
    </row>
    <row r="109" spans="1:16" ht="19.5" customHeight="1" x14ac:dyDescent="0.25">
      <c r="A109" s="192"/>
      <c r="B109" s="124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19"/>
      <c r="P109" s="120"/>
    </row>
    <row r="110" spans="1:16" ht="19.5" customHeight="1" x14ac:dyDescent="0.25">
      <c r="A110" s="192"/>
      <c r="B110" s="124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20"/>
    </row>
    <row r="111" spans="1:16" ht="19.5" customHeight="1" x14ac:dyDescent="0.25">
      <c r="A111" s="192"/>
      <c r="B111" s="124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20"/>
    </row>
    <row r="112" spans="1:16" s="1" customFormat="1" ht="19.5" customHeight="1" x14ac:dyDescent="0.25">
      <c r="A112" s="194"/>
      <c r="B112" s="124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0"/>
    </row>
    <row r="113" spans="1:16" s="1" customFormat="1" ht="19.5" customHeight="1" x14ac:dyDescent="0.25">
      <c r="A113" s="194"/>
      <c r="B113" s="124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0"/>
    </row>
    <row r="114" spans="1:16" s="1" customFormat="1" ht="19.5" customHeight="1" x14ac:dyDescent="0.25">
      <c r="A114" s="194"/>
      <c r="B114" s="124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0"/>
    </row>
    <row r="115" spans="1:16" s="1" customFormat="1" ht="19.5" customHeight="1" x14ac:dyDescent="0.25">
      <c r="A115" s="192"/>
      <c r="B115" s="124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0"/>
    </row>
    <row r="116" spans="1:16" s="1" customFormat="1" ht="19.5" customHeight="1" x14ac:dyDescent="0.25">
      <c r="A116" s="192"/>
      <c r="B116" s="124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0"/>
    </row>
    <row r="117" spans="1:16" s="1" customFormat="1" ht="19.5" customHeight="1" x14ac:dyDescent="0.25">
      <c r="A117" s="192"/>
      <c r="B117" s="124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0"/>
    </row>
    <row r="118" spans="1:16" s="1" customFormat="1" ht="19.5" customHeight="1" x14ac:dyDescent="0.25">
      <c r="A118" s="192"/>
      <c r="B118" s="124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20"/>
    </row>
    <row r="119" spans="1:16" s="1" customFormat="1" ht="19.5" customHeight="1" x14ac:dyDescent="0.25">
      <c r="A119" s="192"/>
      <c r="B119" s="124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20"/>
    </row>
    <row r="120" spans="1:16" s="1" customFormat="1" ht="19.5" customHeight="1" x14ac:dyDescent="0.25">
      <c r="A120" s="192"/>
      <c r="B120" s="124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20"/>
    </row>
    <row r="121" spans="1:16" s="1" customFormat="1" ht="19.5" customHeight="1" x14ac:dyDescent="0.25">
      <c r="A121" s="192"/>
      <c r="B121" s="124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19"/>
      <c r="P121" s="120"/>
    </row>
    <row r="122" spans="1:16" s="1" customFormat="1" ht="19.5" customHeight="1" x14ac:dyDescent="0.25">
      <c r="A122" s="192"/>
      <c r="B122" s="124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20"/>
    </row>
    <row r="123" spans="1:16" s="1" customFormat="1" ht="19.5" customHeight="1" x14ac:dyDescent="0.25">
      <c r="A123" s="192"/>
      <c r="B123" s="124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20"/>
    </row>
    <row r="124" spans="1:16" s="1" customFormat="1" ht="19.5" customHeight="1" x14ac:dyDescent="0.25">
      <c r="A124" s="194"/>
      <c r="B124" s="124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0"/>
    </row>
    <row r="125" spans="1:16" s="1" customFormat="1" ht="19.5" customHeight="1" x14ac:dyDescent="0.25">
      <c r="A125" s="194"/>
      <c r="B125" s="124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0"/>
    </row>
    <row r="126" spans="1:16" s="1" customFormat="1" ht="19.5" customHeight="1" x14ac:dyDescent="0.25">
      <c r="A126" s="194"/>
      <c r="B126" s="124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0"/>
    </row>
    <row r="127" spans="1:16" s="1" customFormat="1" ht="19.5" customHeight="1" x14ac:dyDescent="0.25">
      <c r="A127" s="192"/>
      <c r="B127" s="124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0"/>
    </row>
    <row r="128" spans="1:16" s="1" customFormat="1" ht="19.5" customHeight="1" x14ac:dyDescent="0.25">
      <c r="A128" s="192"/>
      <c r="B128" s="124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0"/>
    </row>
    <row r="129" spans="1:16" s="1" customFormat="1" ht="19.5" customHeight="1" x14ac:dyDescent="0.25">
      <c r="A129" s="192"/>
      <c r="B129" s="124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0"/>
    </row>
    <row r="130" spans="1:16" s="1" customFormat="1" ht="19.5" customHeight="1" x14ac:dyDescent="0.25">
      <c r="A130" s="192"/>
      <c r="B130" s="124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20"/>
    </row>
    <row r="131" spans="1:16" s="1" customFormat="1" ht="19.5" customHeight="1" x14ac:dyDescent="0.25">
      <c r="A131" s="192"/>
      <c r="B131" s="124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20"/>
    </row>
    <row r="132" spans="1:16" s="1" customFormat="1" ht="19.5" customHeight="1" x14ac:dyDescent="0.25">
      <c r="A132" s="192"/>
      <c r="B132" s="124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20"/>
    </row>
    <row r="133" spans="1:16" s="1" customFormat="1" ht="19.5" customHeight="1" x14ac:dyDescent="0.25">
      <c r="A133" s="192"/>
      <c r="B133" s="124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19"/>
      <c r="P133" s="120"/>
    </row>
    <row r="134" spans="1:16" s="1" customFormat="1" ht="19.5" customHeight="1" x14ac:dyDescent="0.25">
      <c r="A134" s="192"/>
      <c r="B134" s="124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20"/>
    </row>
    <row r="135" spans="1:16" s="1" customFormat="1" ht="19.5" customHeight="1" x14ac:dyDescent="0.25">
      <c r="A135" s="192"/>
      <c r="B135" s="124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20"/>
    </row>
    <row r="136" spans="1:16" s="1" customFormat="1" ht="19.5" customHeight="1" x14ac:dyDescent="0.25">
      <c r="A136" s="194"/>
      <c r="B136" s="124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0"/>
    </row>
    <row r="137" spans="1:16" s="1" customFormat="1" ht="19.5" customHeight="1" x14ac:dyDescent="0.25">
      <c r="A137" s="194"/>
      <c r="B137" s="124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0"/>
    </row>
    <row r="138" spans="1:16" s="1" customFormat="1" ht="19.5" customHeight="1" x14ac:dyDescent="0.25">
      <c r="A138" s="194"/>
      <c r="B138" s="124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0"/>
    </row>
    <row r="139" spans="1:16" s="1" customFormat="1" ht="19.5" customHeight="1" x14ac:dyDescent="0.25">
      <c r="A139" s="192"/>
      <c r="B139" s="124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0"/>
    </row>
    <row r="140" spans="1:16" s="1" customFormat="1" ht="19.5" customHeight="1" x14ac:dyDescent="0.25">
      <c r="A140" s="192"/>
      <c r="B140" s="124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0"/>
    </row>
    <row r="141" spans="1:16" s="1" customFormat="1" ht="19.5" customHeight="1" x14ac:dyDescent="0.25">
      <c r="A141" s="192"/>
      <c r="B141" s="124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0"/>
    </row>
    <row r="142" spans="1:16" s="1" customFormat="1" ht="19.5" customHeight="1" x14ac:dyDescent="0.25">
      <c r="A142" s="192"/>
      <c r="B142" s="124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20"/>
    </row>
    <row r="143" spans="1:16" s="1" customFormat="1" ht="19.5" customHeight="1" x14ac:dyDescent="0.25">
      <c r="A143" s="192"/>
      <c r="B143" s="124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20"/>
    </row>
    <row r="144" spans="1:16" s="1" customFormat="1" ht="19.5" customHeight="1" x14ac:dyDescent="0.25">
      <c r="A144" s="192"/>
      <c r="B144" s="124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20"/>
    </row>
    <row r="145" spans="1:16" s="1" customFormat="1" ht="19.5" customHeight="1" x14ac:dyDescent="0.25">
      <c r="A145" s="192"/>
      <c r="B145" s="124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19"/>
      <c r="P145" s="120"/>
    </row>
    <row r="146" spans="1:16" s="1" customFormat="1" ht="19.5" customHeight="1" x14ac:dyDescent="0.25">
      <c r="A146" s="192"/>
      <c r="B146" s="124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20"/>
    </row>
    <row r="147" spans="1:16" s="1" customFormat="1" ht="19.5" customHeight="1" x14ac:dyDescent="0.25">
      <c r="A147" s="192"/>
      <c r="B147" s="124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20"/>
    </row>
    <row r="148" spans="1:16" s="1" customFormat="1" ht="19.5" customHeight="1" x14ac:dyDescent="0.25">
      <c r="A148" s="194"/>
      <c r="B148" s="124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0"/>
    </row>
    <row r="149" spans="1:16" s="1" customFormat="1" ht="19.5" customHeight="1" x14ac:dyDescent="0.25">
      <c r="A149" s="194"/>
      <c r="B149" s="124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0"/>
    </row>
    <row r="150" spans="1:16" s="1" customFormat="1" ht="19.5" customHeight="1" x14ac:dyDescent="0.25">
      <c r="A150" s="194"/>
      <c r="B150" s="124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0"/>
    </row>
    <row r="151" spans="1:16" s="1" customFormat="1" ht="19.5" customHeight="1" x14ac:dyDescent="0.25">
      <c r="A151" s="192"/>
      <c r="B151" s="124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0"/>
    </row>
    <row r="152" spans="1:16" s="1" customFormat="1" ht="19.5" customHeight="1" x14ac:dyDescent="0.25">
      <c r="A152" s="192"/>
      <c r="B152" s="124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0"/>
    </row>
    <row r="153" spans="1:16" s="1" customFormat="1" ht="19.5" customHeight="1" x14ac:dyDescent="0.25">
      <c r="A153" s="192"/>
      <c r="B153" s="124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0"/>
    </row>
    <row r="154" spans="1:16" s="1" customFormat="1" ht="19.5" customHeight="1" x14ac:dyDescent="0.25">
      <c r="A154" s="192"/>
      <c r="B154" s="124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20"/>
    </row>
    <row r="155" spans="1:16" s="1" customFormat="1" ht="19.5" customHeight="1" x14ac:dyDescent="0.25">
      <c r="A155" s="192"/>
      <c r="B155" s="124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20"/>
    </row>
    <row r="156" spans="1:16" s="1" customFormat="1" ht="19.5" customHeight="1" x14ac:dyDescent="0.25">
      <c r="A156" s="192"/>
      <c r="B156" s="124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20"/>
    </row>
    <row r="157" spans="1:16" s="1" customFormat="1" ht="19.5" customHeight="1" x14ac:dyDescent="0.25">
      <c r="A157" s="192"/>
      <c r="B157" s="124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19"/>
      <c r="P157" s="120"/>
    </row>
    <row r="158" spans="1:16" s="1" customFormat="1" ht="19.5" customHeight="1" x14ac:dyDescent="0.25">
      <c r="A158" s="192"/>
      <c r="B158" s="124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20"/>
    </row>
    <row r="159" spans="1:16" s="1" customFormat="1" ht="19.5" customHeight="1" x14ac:dyDescent="0.25">
      <c r="A159" s="192"/>
      <c r="B159" s="124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20"/>
    </row>
    <row r="160" spans="1:16" s="1" customFormat="1" ht="19.5" customHeight="1" x14ac:dyDescent="0.25">
      <c r="A160" s="194"/>
      <c r="B160" s="124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0"/>
    </row>
    <row r="161" spans="1:16" s="1" customFormat="1" ht="19.5" customHeight="1" x14ac:dyDescent="0.25">
      <c r="A161" s="194"/>
      <c r="B161" s="124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0"/>
    </row>
    <row r="162" spans="1:16" s="1" customFormat="1" ht="19.5" customHeight="1" x14ac:dyDescent="0.25">
      <c r="A162" s="194"/>
      <c r="B162" s="124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0"/>
    </row>
    <row r="163" spans="1:16" s="1" customFormat="1" ht="19.5" customHeight="1" x14ac:dyDescent="0.25">
      <c r="A163" s="192"/>
      <c r="B163" s="124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0"/>
    </row>
    <row r="164" spans="1:16" s="1" customFormat="1" ht="19.5" customHeight="1" x14ac:dyDescent="0.25">
      <c r="A164" s="192"/>
      <c r="B164" s="124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0"/>
    </row>
    <row r="165" spans="1:16" s="1" customFormat="1" ht="19.5" customHeight="1" x14ac:dyDescent="0.25">
      <c r="A165" s="192"/>
      <c r="B165" s="124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0"/>
    </row>
    <row r="166" spans="1:16" s="1" customFormat="1" ht="19.5" customHeight="1" x14ac:dyDescent="0.25">
      <c r="A166" s="192"/>
      <c r="B166" s="124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20"/>
    </row>
    <row r="167" spans="1:16" s="1" customFormat="1" ht="19.5" customHeight="1" x14ac:dyDescent="0.25">
      <c r="A167" s="192"/>
      <c r="B167" s="124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20"/>
    </row>
    <row r="168" spans="1:16" s="1" customFormat="1" ht="19.5" customHeight="1" x14ac:dyDescent="0.25">
      <c r="A168" s="192"/>
      <c r="B168" s="124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20"/>
    </row>
    <row r="169" spans="1:16" s="1" customFormat="1" ht="19.5" customHeight="1" x14ac:dyDescent="0.25">
      <c r="A169" s="192"/>
      <c r="B169" s="124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19"/>
      <c r="P169" s="120"/>
    </row>
    <row r="170" spans="1:16" s="1" customFormat="1" ht="19.5" customHeight="1" x14ac:dyDescent="0.25">
      <c r="A170" s="192"/>
      <c r="B170" s="124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20"/>
    </row>
    <row r="171" spans="1:16" s="1" customFormat="1" ht="19.5" customHeight="1" x14ac:dyDescent="0.25">
      <c r="A171" s="192"/>
      <c r="B171" s="124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20"/>
    </row>
    <row r="172" spans="1:16" s="1" customFormat="1" ht="19.5" customHeight="1" x14ac:dyDescent="0.25">
      <c r="A172" s="194"/>
      <c r="B172" s="124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0"/>
    </row>
    <row r="173" spans="1:16" s="1" customFormat="1" ht="19.5" customHeight="1" x14ac:dyDescent="0.25">
      <c r="A173" s="194"/>
      <c r="B173" s="124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0"/>
    </row>
    <row r="174" spans="1:16" s="1" customFormat="1" ht="19.5" customHeight="1" x14ac:dyDescent="0.25">
      <c r="A174" s="194"/>
      <c r="B174" s="124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0"/>
    </row>
    <row r="175" spans="1:16" s="1" customFormat="1" ht="19.5" customHeight="1" x14ac:dyDescent="0.25">
      <c r="A175" s="192"/>
      <c r="B175" s="124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0"/>
    </row>
    <row r="176" spans="1:16" s="1" customFormat="1" ht="19.5" customHeight="1" x14ac:dyDescent="0.25">
      <c r="A176" s="192"/>
      <c r="B176" s="124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0"/>
    </row>
    <row r="177" spans="1:16" s="1" customFormat="1" ht="19.5" customHeight="1" x14ac:dyDescent="0.25">
      <c r="A177" s="192"/>
      <c r="B177" s="124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0"/>
    </row>
    <row r="178" spans="1:16" s="1" customFormat="1" ht="19.5" customHeight="1" x14ac:dyDescent="0.25">
      <c r="A178" s="192"/>
      <c r="B178" s="124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20"/>
    </row>
    <row r="179" spans="1:16" s="1" customFormat="1" ht="19.5" customHeight="1" x14ac:dyDescent="0.25">
      <c r="A179" s="192"/>
      <c r="B179" s="124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20"/>
    </row>
    <row r="180" spans="1:16" s="1" customFormat="1" ht="19.5" customHeight="1" x14ac:dyDescent="0.25">
      <c r="A180" s="192"/>
      <c r="B180" s="124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20"/>
    </row>
    <row r="181" spans="1:16" s="1" customFormat="1" ht="19.5" customHeight="1" x14ac:dyDescent="0.25">
      <c r="A181" s="192"/>
      <c r="B181" s="124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19"/>
      <c r="P181" s="120"/>
    </row>
    <row r="182" spans="1:16" s="1" customFormat="1" ht="19.5" customHeight="1" x14ac:dyDescent="0.25">
      <c r="A182" s="192"/>
      <c r="B182" s="124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20"/>
    </row>
    <row r="183" spans="1:16" s="1" customFormat="1" ht="19.5" customHeight="1" x14ac:dyDescent="0.25">
      <c r="A183" s="192"/>
      <c r="B183" s="124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20"/>
    </row>
    <row r="184" spans="1:16" s="1" customFormat="1" ht="19.5" customHeight="1" x14ac:dyDescent="0.25">
      <c r="A184" s="194"/>
      <c r="B184" s="124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0"/>
    </row>
    <row r="185" spans="1:16" s="1" customFormat="1" ht="19.5" customHeight="1" x14ac:dyDescent="0.25">
      <c r="A185" s="194"/>
      <c r="B185" s="124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0"/>
    </row>
    <row r="186" spans="1:16" s="1" customFormat="1" ht="19.5" customHeight="1" x14ac:dyDescent="0.25">
      <c r="A186" s="194"/>
      <c r="B186" s="124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0"/>
    </row>
    <row r="187" spans="1:16" s="1" customFormat="1" ht="19.5" customHeight="1" x14ac:dyDescent="0.25">
      <c r="A187" s="192"/>
      <c r="B187" s="124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0"/>
    </row>
    <row r="188" spans="1:16" s="1" customFormat="1" ht="19.5" customHeight="1" x14ac:dyDescent="0.25">
      <c r="A188" s="192"/>
      <c r="B188" s="124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0"/>
    </row>
    <row r="189" spans="1:16" s="1" customFormat="1" ht="19.5" customHeight="1" x14ac:dyDescent="0.25">
      <c r="A189" s="192"/>
      <c r="B189" s="124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0"/>
    </row>
    <row r="190" spans="1:16" s="1" customFormat="1" ht="19.5" customHeight="1" x14ac:dyDescent="0.25">
      <c r="A190" s="192"/>
      <c r="B190" s="124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20"/>
    </row>
    <row r="191" spans="1:16" s="1" customFormat="1" ht="19.5" customHeight="1" x14ac:dyDescent="0.25">
      <c r="A191" s="192"/>
      <c r="B191" s="124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20"/>
    </row>
    <row r="192" spans="1:16" s="1" customFormat="1" ht="19.5" customHeight="1" x14ac:dyDescent="0.25">
      <c r="A192" s="192"/>
      <c r="B192" s="124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20"/>
    </row>
    <row r="193" spans="1:16" s="1" customFormat="1" ht="19.5" customHeight="1" x14ac:dyDescent="0.25">
      <c r="A193" s="192"/>
      <c r="B193" s="124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19"/>
      <c r="P193" s="120"/>
    </row>
    <row r="194" spans="1:16" s="1" customFormat="1" ht="19.5" customHeight="1" x14ac:dyDescent="0.25">
      <c r="A194" s="192"/>
      <c r="B194" s="124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20"/>
    </row>
    <row r="195" spans="1:16" s="1" customFormat="1" ht="19.5" customHeight="1" x14ac:dyDescent="0.25">
      <c r="A195" s="192"/>
      <c r="B195" s="124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20"/>
    </row>
    <row r="196" spans="1:16" s="1" customFormat="1" ht="19.5" customHeight="1" x14ac:dyDescent="0.25">
      <c r="A196" s="194"/>
      <c r="B196" s="124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0"/>
    </row>
    <row r="197" spans="1:16" s="1" customFormat="1" ht="19.5" customHeight="1" x14ac:dyDescent="0.25">
      <c r="A197" s="194"/>
      <c r="B197" s="124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0"/>
    </row>
    <row r="198" spans="1:16" s="1" customFormat="1" ht="19.5" customHeight="1" x14ac:dyDescent="0.25">
      <c r="A198" s="194"/>
      <c r="B198" s="124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0"/>
    </row>
    <row r="199" spans="1:16" s="1" customFormat="1" ht="19.5" customHeight="1" x14ac:dyDescent="0.25">
      <c r="A199" s="192"/>
      <c r="B199" s="124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0"/>
    </row>
    <row r="200" spans="1:16" s="1" customFormat="1" ht="19.5" customHeight="1" x14ac:dyDescent="0.25">
      <c r="A200" s="192"/>
      <c r="B200" s="124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0"/>
    </row>
    <row r="201" spans="1:16" s="1" customFormat="1" ht="19.5" customHeight="1" x14ac:dyDescent="0.25">
      <c r="A201" s="192"/>
      <c r="B201" s="124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0"/>
    </row>
    <row r="202" spans="1:16" s="1" customFormat="1" ht="19.5" customHeight="1" x14ac:dyDescent="0.25">
      <c r="A202" s="192"/>
      <c r="B202" s="124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20"/>
    </row>
    <row r="203" spans="1:16" s="1" customFormat="1" ht="19.5" customHeight="1" x14ac:dyDescent="0.25">
      <c r="A203" s="192"/>
      <c r="B203" s="124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20"/>
    </row>
    <row r="204" spans="1:16" s="1" customFormat="1" ht="19.5" customHeight="1" x14ac:dyDescent="0.25">
      <c r="A204" s="192"/>
      <c r="B204" s="124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20"/>
    </row>
    <row r="205" spans="1:16" s="1" customFormat="1" ht="19.5" customHeight="1" x14ac:dyDescent="0.25">
      <c r="A205" s="192"/>
      <c r="B205" s="124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19"/>
      <c r="P205" s="120"/>
    </row>
    <row r="206" spans="1:16" s="1" customFormat="1" ht="19.5" customHeight="1" x14ac:dyDescent="0.25">
      <c r="A206" s="192"/>
      <c r="B206" s="124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20"/>
    </row>
    <row r="207" spans="1:16" s="1" customFormat="1" ht="19.5" customHeight="1" x14ac:dyDescent="0.25">
      <c r="A207" s="192"/>
      <c r="B207" s="124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20"/>
    </row>
    <row r="208" spans="1:16" s="1" customFormat="1" ht="19.5" customHeight="1" x14ac:dyDescent="0.25">
      <c r="A208" s="194"/>
      <c r="B208" s="124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0"/>
    </row>
    <row r="209" spans="1:16" s="1" customFormat="1" ht="19.5" customHeight="1" x14ac:dyDescent="0.25">
      <c r="A209" s="194"/>
      <c r="B209" s="124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0"/>
    </row>
    <row r="210" spans="1:16" s="1" customFormat="1" ht="19.5" customHeight="1" x14ac:dyDescent="0.25">
      <c r="A210" s="194"/>
      <c r="B210" s="124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0"/>
    </row>
    <row r="211" spans="1:16" s="1" customFormat="1" ht="19.5" customHeight="1" x14ac:dyDescent="0.25">
      <c r="A211" s="192"/>
      <c r="B211" s="124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0"/>
    </row>
    <row r="212" spans="1:16" s="1" customFormat="1" ht="19.5" customHeight="1" x14ac:dyDescent="0.25">
      <c r="A212" s="192"/>
      <c r="B212" s="124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0"/>
    </row>
    <row r="213" spans="1:16" s="1" customFormat="1" ht="19.5" customHeight="1" x14ac:dyDescent="0.25">
      <c r="A213" s="192"/>
      <c r="B213" s="124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0"/>
    </row>
    <row r="214" spans="1:16" s="1" customFormat="1" ht="19.5" customHeight="1" x14ac:dyDescent="0.25">
      <c r="A214" s="192"/>
      <c r="B214" s="124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20"/>
    </row>
    <row r="215" spans="1:16" s="1" customFormat="1" ht="19.5" customHeight="1" x14ac:dyDescent="0.25">
      <c r="A215" s="192"/>
      <c r="B215" s="124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20"/>
    </row>
    <row r="216" spans="1:16" s="1" customFormat="1" ht="19.5" customHeight="1" x14ac:dyDescent="0.25">
      <c r="A216" s="192"/>
      <c r="B216" s="124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20"/>
    </row>
    <row r="217" spans="1:16" s="1" customFormat="1" ht="19.5" customHeight="1" x14ac:dyDescent="0.25">
      <c r="A217" s="192"/>
      <c r="B217" s="124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19"/>
      <c r="P217" s="120"/>
    </row>
    <row r="218" spans="1:16" s="1" customFormat="1" ht="19.5" customHeight="1" x14ac:dyDescent="0.25">
      <c r="A218" s="192"/>
      <c r="B218" s="124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20"/>
    </row>
    <row r="219" spans="1:16" s="1" customFormat="1" ht="19.5" customHeight="1" x14ac:dyDescent="0.25">
      <c r="A219" s="192"/>
      <c r="B219" s="124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20"/>
    </row>
    <row r="220" spans="1:16" s="1" customFormat="1" ht="19.5" customHeight="1" x14ac:dyDescent="0.25">
      <c r="A220" s="194"/>
      <c r="B220" s="124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0"/>
    </row>
    <row r="221" spans="1:16" s="1" customFormat="1" ht="19.5" customHeight="1" x14ac:dyDescent="0.25">
      <c r="A221" s="194"/>
      <c r="B221" s="124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0"/>
    </row>
    <row r="222" spans="1:16" s="1" customFormat="1" ht="19.5" customHeight="1" x14ac:dyDescent="0.25">
      <c r="A222" s="194"/>
      <c r="B222" s="124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0"/>
    </row>
    <row r="223" spans="1:16" s="1" customFormat="1" ht="19.5" customHeight="1" x14ac:dyDescent="0.25">
      <c r="A223" s="192"/>
      <c r="B223" s="124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0"/>
    </row>
    <row r="224" spans="1:16" s="1" customFormat="1" ht="19.5" customHeight="1" x14ac:dyDescent="0.25">
      <c r="A224" s="192"/>
      <c r="B224" s="124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0"/>
    </row>
    <row r="225" spans="1:16" s="1" customFormat="1" ht="19.5" customHeight="1" x14ac:dyDescent="0.25">
      <c r="A225" s="192"/>
      <c r="B225" s="124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0"/>
    </row>
    <row r="226" spans="1:16" s="1" customFormat="1" ht="19.5" customHeight="1" x14ac:dyDescent="0.25">
      <c r="A226" s="192"/>
      <c r="B226" s="124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20"/>
    </row>
    <row r="227" spans="1:16" s="1" customFormat="1" ht="19.5" customHeight="1" x14ac:dyDescent="0.25">
      <c r="A227" s="192"/>
      <c r="B227" s="124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20"/>
    </row>
    <row r="228" spans="1:16" s="1" customFormat="1" ht="19.5" customHeight="1" x14ac:dyDescent="0.25">
      <c r="A228" s="192"/>
      <c r="B228" s="124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20"/>
    </row>
    <row r="229" spans="1:16" s="1" customFormat="1" ht="19.5" customHeight="1" x14ac:dyDescent="0.25">
      <c r="A229" s="192"/>
      <c r="B229" s="124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19"/>
      <c r="P229" s="120"/>
    </row>
    <row r="230" spans="1:16" s="1" customFormat="1" ht="19.5" customHeight="1" x14ac:dyDescent="0.25">
      <c r="A230" s="192"/>
      <c r="B230" s="124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20"/>
    </row>
    <row r="231" spans="1:16" s="1" customFormat="1" ht="19.5" customHeight="1" x14ac:dyDescent="0.25">
      <c r="A231" s="192"/>
      <c r="B231" s="124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20"/>
    </row>
    <row r="232" spans="1:16" s="1" customFormat="1" ht="19.5" customHeight="1" x14ac:dyDescent="0.25">
      <c r="A232" s="194"/>
      <c r="B232" s="124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0"/>
    </row>
    <row r="233" spans="1:16" s="1" customFormat="1" ht="19.5" customHeight="1" x14ac:dyDescent="0.25">
      <c r="A233" s="194"/>
      <c r="B233" s="124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0"/>
    </row>
    <row r="234" spans="1:16" s="1" customFormat="1" ht="19.5" customHeight="1" x14ac:dyDescent="0.25">
      <c r="A234" s="194"/>
      <c r="B234" s="124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0"/>
    </row>
    <row r="235" spans="1:16" s="1" customFormat="1" ht="19.5" customHeight="1" x14ac:dyDescent="0.25">
      <c r="A235" s="192"/>
      <c r="B235" s="124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0"/>
    </row>
    <row r="236" spans="1:16" s="1" customFormat="1" ht="19.5" customHeight="1" x14ac:dyDescent="0.25">
      <c r="A236" s="192"/>
      <c r="B236" s="124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0"/>
    </row>
    <row r="237" spans="1:16" s="1" customFormat="1" ht="19.5" customHeight="1" x14ac:dyDescent="0.25">
      <c r="A237" s="192"/>
      <c r="B237" s="124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0"/>
    </row>
    <row r="238" spans="1:16" s="1" customFormat="1" ht="19.5" customHeight="1" x14ac:dyDescent="0.25">
      <c r="A238" s="192"/>
      <c r="B238" s="124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20"/>
    </row>
    <row r="239" spans="1:16" s="1" customFormat="1" ht="19.5" customHeight="1" x14ac:dyDescent="0.25">
      <c r="A239" s="192"/>
      <c r="B239" s="124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20"/>
    </row>
    <row r="240" spans="1:16" s="1" customFormat="1" ht="19.5" customHeight="1" x14ac:dyDescent="0.25">
      <c r="A240" s="192"/>
      <c r="B240" s="124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20"/>
    </row>
    <row r="241" spans="1:16" s="1" customFormat="1" ht="19.5" customHeight="1" x14ac:dyDescent="0.25">
      <c r="A241" s="192"/>
      <c r="B241" s="124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19"/>
      <c r="P241" s="120"/>
    </row>
    <row r="242" spans="1:16" s="1" customFormat="1" ht="19.5" customHeight="1" x14ac:dyDescent="0.25">
      <c r="A242" s="192"/>
      <c r="B242" s="124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20"/>
    </row>
    <row r="243" spans="1:16" s="1" customFormat="1" ht="19.5" customHeight="1" x14ac:dyDescent="0.25">
      <c r="A243" s="192"/>
      <c r="B243" s="124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20"/>
    </row>
    <row r="244" spans="1:16" s="1" customFormat="1" ht="19.5" customHeight="1" x14ac:dyDescent="0.25">
      <c r="A244" s="194"/>
      <c r="B244" s="124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0"/>
    </row>
    <row r="245" spans="1:16" s="1" customFormat="1" ht="19.5" customHeight="1" x14ac:dyDescent="0.25">
      <c r="A245" s="194"/>
      <c r="B245" s="124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0"/>
    </row>
    <row r="246" spans="1:16" s="1" customFormat="1" ht="19.5" customHeight="1" x14ac:dyDescent="0.25">
      <c r="A246" s="194"/>
      <c r="B246" s="124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0"/>
    </row>
    <row r="247" spans="1:16" s="1" customFormat="1" ht="19.5" customHeight="1" x14ac:dyDescent="0.25">
      <c r="A247" s="192"/>
      <c r="B247" s="124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0"/>
    </row>
    <row r="248" spans="1:16" s="1" customFormat="1" ht="19.5" customHeight="1" x14ac:dyDescent="0.25">
      <c r="A248" s="192"/>
      <c r="B248" s="124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0"/>
    </row>
    <row r="249" spans="1:16" s="1" customFormat="1" ht="19.5" customHeight="1" x14ac:dyDescent="0.25">
      <c r="A249" s="192"/>
      <c r="B249" s="124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0"/>
    </row>
    <row r="250" spans="1:16" s="1" customFormat="1" ht="19.5" customHeight="1" x14ac:dyDescent="0.25">
      <c r="A250" s="192"/>
      <c r="B250" s="124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20"/>
    </row>
    <row r="251" spans="1:16" s="1" customFormat="1" ht="19.5" customHeight="1" x14ac:dyDescent="0.25">
      <c r="A251" s="192"/>
      <c r="B251" s="124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20"/>
    </row>
    <row r="252" spans="1:16" s="1" customFormat="1" ht="19.5" customHeight="1" x14ac:dyDescent="0.25">
      <c r="A252" s="192"/>
      <c r="B252" s="124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20"/>
    </row>
    <row r="253" spans="1:16" s="1" customFormat="1" ht="19.5" customHeight="1" x14ac:dyDescent="0.25">
      <c r="A253" s="192"/>
      <c r="B253" s="124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19"/>
      <c r="P253" s="120"/>
    </row>
    <row r="254" spans="1:16" s="1" customFormat="1" ht="19.5" customHeight="1" x14ac:dyDescent="0.25">
      <c r="A254" s="192"/>
      <c r="B254" s="124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20"/>
    </row>
    <row r="255" spans="1:16" s="1" customFormat="1" ht="19.5" customHeight="1" x14ac:dyDescent="0.25">
      <c r="A255" s="192"/>
      <c r="B255" s="124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20"/>
    </row>
    <row r="256" spans="1:16" s="1" customFormat="1" ht="19.5" customHeight="1" x14ac:dyDescent="0.25">
      <c r="A256" s="194"/>
      <c r="B256" s="124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0"/>
    </row>
    <row r="257" spans="1:16" s="1" customFormat="1" ht="19.5" customHeight="1" x14ac:dyDescent="0.25">
      <c r="A257" s="194"/>
      <c r="B257" s="124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0"/>
    </row>
    <row r="258" spans="1:16" s="1" customFormat="1" ht="19.5" customHeight="1" x14ac:dyDescent="0.25">
      <c r="A258" s="194"/>
      <c r="B258" s="124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0"/>
    </row>
    <row r="259" spans="1:16" s="1" customFormat="1" ht="19.5" customHeight="1" x14ac:dyDescent="0.25">
      <c r="A259" s="192"/>
      <c r="B259" s="124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0"/>
    </row>
    <row r="260" spans="1:16" s="1" customFormat="1" ht="19.5" customHeight="1" x14ac:dyDescent="0.25">
      <c r="A260" s="192"/>
      <c r="B260" s="124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0"/>
    </row>
    <row r="261" spans="1:16" s="1" customFormat="1" ht="19.5" customHeight="1" x14ac:dyDescent="0.25">
      <c r="A261" s="192"/>
      <c r="B261" s="124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0"/>
    </row>
    <row r="262" spans="1:16" s="1" customFormat="1" ht="19.5" customHeight="1" x14ac:dyDescent="0.25">
      <c r="A262" s="192"/>
      <c r="B262" s="124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20"/>
    </row>
    <row r="263" spans="1:16" s="1" customFormat="1" ht="19.5" customHeight="1" x14ac:dyDescent="0.25">
      <c r="A263" s="192"/>
      <c r="B263" s="124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20"/>
    </row>
    <row r="264" spans="1:16" s="1" customFormat="1" ht="19.5" customHeight="1" x14ac:dyDescent="0.25">
      <c r="A264" s="192"/>
      <c r="B264" s="124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20"/>
    </row>
    <row r="265" spans="1:16" s="1" customFormat="1" ht="19.5" customHeight="1" x14ac:dyDescent="0.25">
      <c r="A265" s="192"/>
      <c r="B265" s="124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19"/>
      <c r="P265" s="120"/>
    </row>
    <row r="266" spans="1:16" s="1" customFormat="1" ht="19.5" customHeight="1" x14ac:dyDescent="0.25">
      <c r="A266" s="192"/>
      <c r="B266" s="124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20"/>
    </row>
    <row r="267" spans="1:16" s="1" customFormat="1" ht="19.5" customHeight="1" x14ac:dyDescent="0.25">
      <c r="A267" s="192"/>
      <c r="B267" s="124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20"/>
    </row>
    <row r="268" spans="1:16" s="1" customFormat="1" ht="19.5" customHeight="1" x14ac:dyDescent="0.25">
      <c r="A268" s="194"/>
      <c r="B268" s="124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0"/>
    </row>
    <row r="269" spans="1:16" s="1" customFormat="1" ht="19.5" customHeight="1" x14ac:dyDescent="0.25">
      <c r="A269" s="194"/>
      <c r="B269" s="124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0"/>
    </row>
    <row r="270" spans="1:16" s="1" customFormat="1" ht="19.5" customHeight="1" x14ac:dyDescent="0.25">
      <c r="A270" s="194"/>
      <c r="B270" s="124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0"/>
    </row>
    <row r="271" spans="1:16" s="1" customFormat="1" ht="19.5" customHeight="1" x14ac:dyDescent="0.25">
      <c r="A271" s="192"/>
      <c r="B271" s="124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0"/>
    </row>
    <row r="272" spans="1:16" s="1" customFormat="1" ht="19.5" customHeight="1" x14ac:dyDescent="0.25">
      <c r="A272" s="192"/>
      <c r="B272" s="124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0"/>
    </row>
    <row r="273" spans="1:16" s="1" customFormat="1" ht="19.5" customHeight="1" x14ac:dyDescent="0.25">
      <c r="A273" s="192"/>
      <c r="B273" s="124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0"/>
    </row>
    <row r="274" spans="1:16" s="1" customFormat="1" ht="19.5" customHeight="1" x14ac:dyDescent="0.25">
      <c r="A274" s="192"/>
      <c r="B274" s="124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20"/>
    </row>
    <row r="275" spans="1:16" s="1" customFormat="1" ht="19.5" customHeight="1" x14ac:dyDescent="0.25">
      <c r="A275" s="192"/>
      <c r="B275" s="124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20"/>
    </row>
    <row r="276" spans="1:16" s="1" customFormat="1" ht="19.5" customHeight="1" x14ac:dyDescent="0.25">
      <c r="A276" s="192"/>
      <c r="B276" s="124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20"/>
    </row>
    <row r="277" spans="1:16" s="1" customFormat="1" ht="19.5" customHeight="1" x14ac:dyDescent="0.25">
      <c r="A277" s="192"/>
      <c r="B277" s="124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19"/>
      <c r="P277" s="120"/>
    </row>
    <row r="278" spans="1:16" s="1" customFormat="1" ht="19.5" customHeight="1" x14ac:dyDescent="0.25">
      <c r="A278" s="192"/>
      <c r="B278" s="124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20"/>
    </row>
    <row r="279" spans="1:16" s="1" customFormat="1" ht="19.5" customHeight="1" x14ac:dyDescent="0.25">
      <c r="A279" s="192"/>
      <c r="B279" s="124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20"/>
    </row>
    <row r="280" spans="1:16" s="1" customFormat="1" ht="19.5" customHeight="1" x14ac:dyDescent="0.25">
      <c r="A280" s="194"/>
      <c r="B280" s="124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0"/>
    </row>
    <row r="281" spans="1:16" s="1" customFormat="1" ht="19.5" customHeight="1" x14ac:dyDescent="0.25">
      <c r="A281" s="194"/>
      <c r="B281" s="124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0"/>
    </row>
    <row r="282" spans="1:16" s="1" customFormat="1" ht="19.5" customHeight="1" x14ac:dyDescent="0.25">
      <c r="A282" s="194"/>
      <c r="B282" s="124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0"/>
    </row>
    <row r="283" spans="1:16" s="1" customFormat="1" ht="19.5" customHeight="1" x14ac:dyDescent="0.25">
      <c r="A283" s="192"/>
      <c r="B283" s="124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0"/>
    </row>
    <row r="284" spans="1:16" s="1" customFormat="1" ht="19.5" customHeight="1" x14ac:dyDescent="0.25">
      <c r="A284" s="192"/>
      <c r="B284" s="124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0"/>
    </row>
    <row r="285" spans="1:16" s="1" customFormat="1" ht="19.5" customHeight="1" x14ac:dyDescent="0.25">
      <c r="A285" s="192"/>
      <c r="B285" s="124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0"/>
    </row>
    <row r="286" spans="1:16" s="1" customFormat="1" ht="19.5" customHeight="1" x14ac:dyDescent="0.25">
      <c r="A286" s="192"/>
      <c r="B286" s="124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20"/>
    </row>
    <row r="287" spans="1:16" s="1" customFormat="1" ht="19.5" customHeight="1" x14ac:dyDescent="0.25">
      <c r="A287" s="192"/>
      <c r="B287" s="124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20"/>
    </row>
    <row r="288" spans="1:16" s="1" customFormat="1" ht="19.5" customHeight="1" x14ac:dyDescent="0.25">
      <c r="A288" s="192"/>
      <c r="B288" s="124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20"/>
    </row>
    <row r="289" spans="1:16" s="1" customFormat="1" ht="19.5" customHeight="1" x14ac:dyDescent="0.25">
      <c r="A289" s="192"/>
      <c r="B289" s="124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19"/>
      <c r="P289" s="120"/>
    </row>
    <row r="290" spans="1:16" s="1" customFormat="1" ht="19.5" customHeight="1" x14ac:dyDescent="0.25">
      <c r="A290" s="192"/>
      <c r="B290" s="124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20"/>
    </row>
    <row r="291" spans="1:16" s="1" customFormat="1" ht="19.5" customHeight="1" x14ac:dyDescent="0.25">
      <c r="A291" s="192"/>
      <c r="B291" s="124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20"/>
    </row>
    <row r="292" spans="1:16" s="1" customFormat="1" ht="19.5" customHeight="1" x14ac:dyDescent="0.25">
      <c r="A292" s="194"/>
      <c r="B292" s="124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0"/>
    </row>
    <row r="293" spans="1:16" s="1" customFormat="1" ht="19.5" customHeight="1" x14ac:dyDescent="0.25">
      <c r="A293" s="194"/>
      <c r="B293" s="124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0"/>
    </row>
    <row r="294" spans="1:16" s="1" customFormat="1" ht="19.5" customHeight="1" x14ac:dyDescent="0.25">
      <c r="A294" s="194"/>
      <c r="B294" s="124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0"/>
    </row>
    <row r="295" spans="1:16" s="1" customFormat="1" ht="19.5" customHeight="1" x14ac:dyDescent="0.25">
      <c r="A295" s="192"/>
      <c r="B295" s="124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0"/>
    </row>
    <row r="296" spans="1:16" s="1" customFormat="1" ht="19.5" customHeight="1" x14ac:dyDescent="0.25">
      <c r="A296" s="192"/>
      <c r="B296" s="124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0"/>
    </row>
    <row r="297" spans="1:16" s="1" customFormat="1" ht="19.5" customHeight="1" x14ac:dyDescent="0.25">
      <c r="A297" s="192"/>
      <c r="B297" s="124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0"/>
    </row>
    <row r="298" spans="1:16" s="1" customFormat="1" ht="19.5" customHeight="1" x14ac:dyDescent="0.25">
      <c r="A298" s="192"/>
      <c r="B298" s="124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20"/>
    </row>
    <row r="299" spans="1:16" s="1" customFormat="1" ht="19.5" customHeight="1" x14ac:dyDescent="0.25">
      <c r="A299" s="192"/>
      <c r="B299" s="124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20"/>
    </row>
    <row r="300" spans="1:16" s="1" customFormat="1" ht="19.5" customHeight="1" x14ac:dyDescent="0.25">
      <c r="A300" s="192"/>
      <c r="B300" s="124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20"/>
    </row>
    <row r="301" spans="1:16" s="1" customFormat="1" ht="19.5" customHeight="1" x14ac:dyDescent="0.25">
      <c r="A301" s="192"/>
      <c r="B301" s="124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19"/>
      <c r="P301" s="120"/>
    </row>
    <row r="302" spans="1:16" s="1" customFormat="1" ht="19.5" customHeight="1" x14ac:dyDescent="0.25">
      <c r="A302" s="192"/>
      <c r="B302" s="124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20"/>
    </row>
    <row r="303" spans="1:16" s="1" customFormat="1" ht="19.5" customHeight="1" x14ac:dyDescent="0.25">
      <c r="A303" s="192"/>
      <c r="B303" s="124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20"/>
    </row>
    <row r="304" spans="1:16" s="1" customFormat="1" ht="19.5" customHeight="1" x14ac:dyDescent="0.25">
      <c r="A304" s="194"/>
      <c r="B304" s="124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0"/>
    </row>
    <row r="305" spans="1:16" s="1" customFormat="1" ht="19.5" customHeight="1" x14ac:dyDescent="0.25">
      <c r="A305" s="194"/>
      <c r="B305" s="124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0"/>
    </row>
    <row r="306" spans="1:16" s="1" customFormat="1" ht="19.5" customHeight="1" x14ac:dyDescent="0.25">
      <c r="A306" s="194"/>
      <c r="B306" s="124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0"/>
    </row>
    <row r="307" spans="1:16" s="1" customFormat="1" ht="19.5" customHeight="1" x14ac:dyDescent="0.25">
      <c r="A307" s="192"/>
      <c r="B307" s="124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0"/>
    </row>
    <row r="308" spans="1:16" s="1" customFormat="1" ht="19.5" customHeight="1" x14ac:dyDescent="0.25">
      <c r="A308" s="192"/>
      <c r="B308" s="124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0"/>
    </row>
    <row r="309" spans="1:16" s="1" customFormat="1" ht="19.5" customHeight="1" x14ac:dyDescent="0.25">
      <c r="A309" s="192"/>
      <c r="B309" s="124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0"/>
    </row>
    <row r="310" spans="1:16" s="1" customFormat="1" ht="19.5" customHeight="1" x14ac:dyDescent="0.25">
      <c r="A310" s="192"/>
      <c r="B310" s="124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20"/>
    </row>
    <row r="311" spans="1:16" s="1" customFormat="1" ht="19.5" customHeight="1" x14ac:dyDescent="0.25">
      <c r="A311" s="192"/>
      <c r="B311" s="124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20"/>
    </row>
    <row r="312" spans="1:16" s="1" customFormat="1" ht="19.5" customHeight="1" x14ac:dyDescent="0.25">
      <c r="A312" s="192"/>
      <c r="B312" s="124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20"/>
    </row>
    <row r="313" spans="1:16" s="1" customFormat="1" ht="19.5" customHeight="1" x14ac:dyDescent="0.25">
      <c r="A313" s="192"/>
      <c r="B313" s="124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19"/>
      <c r="P313" s="120"/>
    </row>
    <row r="314" spans="1:16" s="1" customFormat="1" ht="19.5" customHeight="1" x14ac:dyDescent="0.25">
      <c r="A314" s="192"/>
      <c r="B314" s="124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20"/>
    </row>
    <row r="315" spans="1:16" s="1" customFormat="1" ht="19.5" customHeight="1" x14ac:dyDescent="0.25">
      <c r="A315" s="192"/>
      <c r="B315" s="124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20"/>
    </row>
    <row r="316" spans="1:16" s="1" customFormat="1" ht="19.5" customHeight="1" x14ac:dyDescent="0.25">
      <c r="A316" s="194"/>
      <c r="B316" s="124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0"/>
    </row>
    <row r="317" spans="1:16" s="1" customFormat="1" ht="19.5" customHeight="1" x14ac:dyDescent="0.25">
      <c r="A317" s="194"/>
      <c r="B317" s="124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0"/>
    </row>
    <row r="318" spans="1:16" s="1" customFormat="1" ht="19.5" customHeight="1" x14ac:dyDescent="0.25">
      <c r="A318" s="194"/>
      <c r="B318" s="124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0"/>
    </row>
    <row r="319" spans="1:16" s="1" customFormat="1" ht="19.5" customHeight="1" x14ac:dyDescent="0.25">
      <c r="A319" s="192"/>
      <c r="B319" s="124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0"/>
    </row>
    <row r="320" spans="1:16" s="1" customFormat="1" ht="19.5" customHeight="1" x14ac:dyDescent="0.25">
      <c r="A320" s="192"/>
      <c r="B320" s="124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0"/>
    </row>
    <row r="321" spans="1:16" s="1" customFormat="1" ht="19.5" customHeight="1" x14ac:dyDescent="0.25">
      <c r="A321" s="192"/>
      <c r="B321" s="124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0"/>
    </row>
    <row r="322" spans="1:16" s="1" customFormat="1" ht="19.5" customHeight="1" x14ac:dyDescent="0.25">
      <c r="A322" s="192"/>
      <c r="B322" s="124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20"/>
    </row>
    <row r="323" spans="1:16" s="1" customFormat="1" ht="19.5" customHeight="1" x14ac:dyDescent="0.25">
      <c r="A323" s="192"/>
      <c r="B323" s="124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20"/>
    </row>
    <row r="324" spans="1:16" s="1" customFormat="1" ht="19.5" customHeight="1" x14ac:dyDescent="0.25">
      <c r="A324" s="192"/>
      <c r="B324" s="124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20"/>
    </row>
    <row r="325" spans="1:16" s="1" customFormat="1" ht="19.5" customHeight="1" x14ac:dyDescent="0.25">
      <c r="A325" s="192"/>
      <c r="B325" s="124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19"/>
      <c r="P325" s="120"/>
    </row>
    <row r="326" spans="1:16" s="1" customFormat="1" ht="19.5" customHeight="1" x14ac:dyDescent="0.25">
      <c r="A326" s="192"/>
      <c r="B326" s="124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20"/>
    </row>
    <row r="327" spans="1:16" s="1" customFormat="1" ht="19.5" customHeight="1" x14ac:dyDescent="0.25">
      <c r="A327" s="192"/>
      <c r="B327" s="124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20"/>
    </row>
    <row r="328" spans="1:16" s="1" customFormat="1" ht="19.5" customHeight="1" x14ac:dyDescent="0.25">
      <c r="A328" s="194"/>
      <c r="B328" s="124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0"/>
    </row>
    <row r="329" spans="1:16" s="1" customFormat="1" ht="19.5" customHeight="1" x14ac:dyDescent="0.25">
      <c r="A329" s="194"/>
      <c r="B329" s="124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0"/>
    </row>
    <row r="330" spans="1:16" s="1" customFormat="1" ht="19.5" customHeight="1" x14ac:dyDescent="0.25">
      <c r="A330" s="194"/>
      <c r="B330" s="124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0"/>
    </row>
    <row r="331" spans="1:16" s="1" customFormat="1" ht="19.5" customHeight="1" x14ac:dyDescent="0.25">
      <c r="A331" s="192"/>
      <c r="B331" s="124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0"/>
    </row>
    <row r="332" spans="1:16" s="1" customFormat="1" ht="19.5" customHeight="1" x14ac:dyDescent="0.25">
      <c r="A332" s="192"/>
      <c r="B332" s="124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0"/>
    </row>
    <row r="333" spans="1:16" s="1" customFormat="1" ht="19.5" customHeight="1" x14ac:dyDescent="0.25">
      <c r="A333" s="192"/>
      <c r="B333" s="124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0"/>
    </row>
    <row r="334" spans="1:16" s="1" customFormat="1" ht="19.5" customHeight="1" x14ac:dyDescent="0.25">
      <c r="A334" s="192"/>
      <c r="B334" s="124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20"/>
    </row>
    <row r="335" spans="1:16" s="1" customFormat="1" ht="19.5" customHeight="1" x14ac:dyDescent="0.25">
      <c r="A335" s="192"/>
      <c r="B335" s="124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20"/>
    </row>
    <row r="336" spans="1:16" s="1" customFormat="1" ht="19.5" customHeight="1" x14ac:dyDescent="0.25">
      <c r="A336" s="192"/>
      <c r="B336" s="124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20"/>
    </row>
    <row r="337" spans="1:16" s="1" customFormat="1" ht="19.5" customHeight="1" x14ac:dyDescent="0.25">
      <c r="A337" s="192"/>
      <c r="B337" s="124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19"/>
      <c r="P337" s="120"/>
    </row>
    <row r="338" spans="1:16" s="1" customFormat="1" ht="19.5" customHeight="1" x14ac:dyDescent="0.25">
      <c r="A338" s="192"/>
      <c r="B338" s="124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20"/>
    </row>
    <row r="339" spans="1:16" s="1" customFormat="1" ht="19.5" customHeight="1" x14ac:dyDescent="0.25">
      <c r="A339" s="192"/>
      <c r="B339" s="124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20"/>
    </row>
    <row r="340" spans="1:16" s="1" customFormat="1" ht="19.5" customHeight="1" x14ac:dyDescent="0.25">
      <c r="A340" s="194"/>
      <c r="B340" s="124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0"/>
    </row>
    <row r="341" spans="1:16" s="1" customFormat="1" ht="19.5" customHeight="1" x14ac:dyDescent="0.25">
      <c r="A341" s="194"/>
      <c r="B341" s="124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0"/>
    </row>
    <row r="342" spans="1:16" s="1" customFormat="1" ht="19.5" customHeight="1" x14ac:dyDescent="0.25">
      <c r="A342" s="194"/>
      <c r="B342" s="124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0"/>
    </row>
    <row r="343" spans="1:16" s="1" customFormat="1" ht="19.5" customHeight="1" x14ac:dyDescent="0.25">
      <c r="A343" s="192"/>
      <c r="B343" s="124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0"/>
    </row>
    <row r="344" spans="1:16" s="1" customFormat="1" ht="19.5" customHeight="1" x14ac:dyDescent="0.25">
      <c r="A344" s="192"/>
      <c r="B344" s="124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0"/>
    </row>
    <row r="345" spans="1:16" s="1" customFormat="1" ht="19.5" customHeight="1" x14ac:dyDescent="0.25">
      <c r="A345" s="192"/>
      <c r="B345" s="124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0"/>
    </row>
    <row r="346" spans="1:16" s="1" customFormat="1" ht="19.5" customHeight="1" x14ac:dyDescent="0.25">
      <c r="A346" s="192"/>
      <c r="B346" s="124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20"/>
    </row>
    <row r="347" spans="1:16" s="1" customFormat="1" ht="19.5" customHeight="1" x14ac:dyDescent="0.25">
      <c r="A347" s="192"/>
      <c r="B347" s="124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20"/>
    </row>
    <row r="348" spans="1:16" s="1" customFormat="1" ht="19.5" customHeight="1" x14ac:dyDescent="0.25">
      <c r="A348" s="192"/>
      <c r="B348" s="124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20"/>
    </row>
    <row r="349" spans="1:16" s="1" customFormat="1" ht="19.5" customHeight="1" x14ac:dyDescent="0.25">
      <c r="A349" s="192"/>
      <c r="B349" s="124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19"/>
      <c r="P349" s="120"/>
    </row>
    <row r="350" spans="1:16" s="1" customFormat="1" ht="19.5" customHeight="1" x14ac:dyDescent="0.25">
      <c r="A350" s="192"/>
      <c r="B350" s="124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20"/>
    </row>
    <row r="351" spans="1:16" s="1" customFormat="1" ht="19.5" customHeight="1" x14ac:dyDescent="0.25">
      <c r="A351" s="192"/>
      <c r="B351" s="124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20"/>
    </row>
    <row r="352" spans="1:16" s="1" customFormat="1" ht="19.5" customHeight="1" x14ac:dyDescent="0.25">
      <c r="A352" s="194"/>
      <c r="B352" s="124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0"/>
    </row>
    <row r="353" spans="1:16" s="1" customFormat="1" ht="19.5" customHeight="1" x14ac:dyDescent="0.25">
      <c r="A353" s="194"/>
      <c r="B353" s="124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0"/>
    </row>
    <row r="354" spans="1:16" s="1" customFormat="1" ht="19.5" customHeight="1" x14ac:dyDescent="0.25">
      <c r="A354" s="194"/>
      <c r="B354" s="124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0"/>
    </row>
    <row r="355" spans="1:16" s="1" customFormat="1" ht="19.5" customHeight="1" x14ac:dyDescent="0.25">
      <c r="A355" s="192"/>
      <c r="B355" s="124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0"/>
    </row>
    <row r="356" spans="1:16" s="1" customFormat="1" ht="19.5" customHeight="1" x14ac:dyDescent="0.25">
      <c r="A356" s="192"/>
      <c r="B356" s="124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0"/>
    </row>
    <row r="357" spans="1:16" s="1" customFormat="1" ht="19.5" customHeight="1" x14ac:dyDescent="0.25">
      <c r="A357" s="192"/>
      <c r="B357" s="124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0"/>
    </row>
    <row r="358" spans="1:16" s="1" customFormat="1" ht="19.5" customHeight="1" x14ac:dyDescent="0.25">
      <c r="A358" s="192"/>
      <c r="B358" s="124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20"/>
    </row>
    <row r="359" spans="1:16" s="1" customFormat="1" ht="19.5" customHeight="1" x14ac:dyDescent="0.25">
      <c r="A359" s="192"/>
      <c r="B359" s="124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20"/>
    </row>
    <row r="360" spans="1:16" s="1" customFormat="1" ht="19.5" customHeight="1" x14ac:dyDescent="0.25">
      <c r="A360" s="192"/>
      <c r="B360" s="124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20"/>
    </row>
    <row r="361" spans="1:16" s="1" customFormat="1" ht="19.5" customHeight="1" x14ac:dyDescent="0.25">
      <c r="A361" s="192"/>
      <c r="B361" s="124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19"/>
      <c r="P361" s="120"/>
    </row>
    <row r="362" spans="1:16" s="1" customFormat="1" ht="19.5" customHeight="1" x14ac:dyDescent="0.25">
      <c r="A362" s="192"/>
      <c r="B362" s="124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20"/>
    </row>
    <row r="363" spans="1:16" s="1" customFormat="1" ht="19.5" customHeight="1" x14ac:dyDescent="0.25">
      <c r="A363" s="192"/>
      <c r="B363" s="124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20"/>
    </row>
    <row r="364" spans="1:16" s="1" customFormat="1" ht="19.5" customHeight="1" x14ac:dyDescent="0.25">
      <c r="A364" s="194"/>
      <c r="B364" s="124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0"/>
    </row>
    <row r="365" spans="1:16" s="1" customFormat="1" ht="19.5" customHeight="1" x14ac:dyDescent="0.25">
      <c r="A365" s="194"/>
      <c r="B365" s="124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0"/>
    </row>
    <row r="366" spans="1:16" s="1" customFormat="1" ht="19.5" customHeight="1" x14ac:dyDescent="0.25">
      <c r="A366" s="194"/>
      <c r="B366" s="124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0"/>
    </row>
    <row r="367" spans="1:16" s="1" customFormat="1" ht="19.5" customHeight="1" x14ac:dyDescent="0.25">
      <c r="A367" s="192"/>
      <c r="B367" s="124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0"/>
    </row>
    <row r="368" spans="1:16" s="1" customFormat="1" ht="19.5" customHeight="1" x14ac:dyDescent="0.25">
      <c r="A368" s="192"/>
      <c r="B368" s="124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0"/>
    </row>
    <row r="369" spans="1:16" s="1" customFormat="1" ht="19.5" customHeight="1" x14ac:dyDescent="0.25">
      <c r="A369" s="192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0"/>
    </row>
    <row r="370" spans="1:16" s="1" customFormat="1" ht="19.5" customHeight="1" x14ac:dyDescent="0.25">
      <c r="A370" s="192"/>
      <c r="B370" s="124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20"/>
    </row>
    <row r="371" spans="1:16" s="1" customFormat="1" ht="19.5" customHeight="1" x14ac:dyDescent="0.25">
      <c r="A371" s="192"/>
      <c r="B371" s="124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20"/>
    </row>
    <row r="372" spans="1:16" s="1" customFormat="1" ht="19.5" customHeight="1" x14ac:dyDescent="0.25">
      <c r="A372" s="192"/>
      <c r="B372" s="124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20"/>
    </row>
    <row r="373" spans="1:16" s="1" customFormat="1" ht="19.5" customHeight="1" x14ac:dyDescent="0.25">
      <c r="A373" s="192"/>
      <c r="B373" s="124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19"/>
      <c r="P373" s="120"/>
    </row>
    <row r="374" spans="1:16" s="1" customFormat="1" ht="19.5" customHeight="1" x14ac:dyDescent="0.25">
      <c r="A374" s="192"/>
      <c r="B374" s="124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20"/>
    </row>
    <row r="375" spans="1:16" s="1" customFormat="1" ht="19.5" customHeight="1" x14ac:dyDescent="0.25">
      <c r="A375" s="192"/>
      <c r="B375" s="124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20"/>
    </row>
    <row r="376" spans="1:16" s="1" customFormat="1" ht="19.5" customHeight="1" x14ac:dyDescent="0.25">
      <c r="A376" s="194"/>
      <c r="B376" s="124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0"/>
    </row>
    <row r="377" spans="1:16" s="1" customFormat="1" ht="19.5" customHeight="1" x14ac:dyDescent="0.25">
      <c r="A377" s="194"/>
      <c r="B377" s="124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0"/>
    </row>
    <row r="378" spans="1:16" s="1" customFormat="1" ht="19.5" customHeight="1" x14ac:dyDescent="0.25">
      <c r="A378" s="194"/>
      <c r="B378" s="124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0"/>
    </row>
    <row r="379" spans="1:16" s="1" customFormat="1" ht="19.5" customHeight="1" x14ac:dyDescent="0.25">
      <c r="A379" s="192"/>
      <c r="B379" s="124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0"/>
    </row>
    <row r="380" spans="1:16" s="1" customFormat="1" ht="19.5" customHeight="1" x14ac:dyDescent="0.25">
      <c r="A380" s="192"/>
      <c r="B380" s="124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0"/>
    </row>
    <row r="381" spans="1:16" s="1" customFormat="1" ht="19.5" customHeight="1" x14ac:dyDescent="0.25">
      <c r="A381" s="192"/>
      <c r="B381" s="124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0"/>
    </row>
    <row r="382" spans="1:16" s="1" customFormat="1" ht="19.5" customHeight="1" x14ac:dyDescent="0.25">
      <c r="A382" s="192"/>
      <c r="B382" s="124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20"/>
    </row>
    <row r="383" spans="1:16" s="1" customFormat="1" ht="19.5" customHeight="1" x14ac:dyDescent="0.25">
      <c r="A383" s="192"/>
      <c r="B383" s="124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20"/>
    </row>
    <row r="384" spans="1:16" s="1" customFormat="1" ht="19.5" customHeight="1" x14ac:dyDescent="0.25">
      <c r="A384" s="192"/>
      <c r="B384" s="124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20"/>
    </row>
    <row r="385" spans="1:16" s="1" customFormat="1" ht="19.5" customHeight="1" x14ac:dyDescent="0.25">
      <c r="A385" s="192"/>
      <c r="B385" s="124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19"/>
      <c r="P385" s="120"/>
    </row>
    <row r="386" spans="1:16" s="1" customFormat="1" ht="19.5" customHeight="1" x14ac:dyDescent="0.25">
      <c r="A386" s="192"/>
      <c r="B386" s="124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20"/>
    </row>
    <row r="387" spans="1:16" s="1" customFormat="1" ht="19.5" customHeight="1" x14ac:dyDescent="0.25">
      <c r="A387" s="192"/>
      <c r="B387" s="124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20"/>
    </row>
    <row r="388" spans="1:16" s="1" customFormat="1" ht="19.5" customHeight="1" x14ac:dyDescent="0.25">
      <c r="A388" s="194"/>
      <c r="B388" s="124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0"/>
    </row>
    <row r="389" spans="1:16" s="1" customFormat="1" ht="19.5" customHeight="1" x14ac:dyDescent="0.25">
      <c r="A389" s="194"/>
      <c r="B389" s="124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0"/>
    </row>
    <row r="390" spans="1:16" s="1" customFormat="1" ht="19.5" customHeight="1" x14ac:dyDescent="0.25">
      <c r="A390" s="194"/>
      <c r="B390" s="124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0"/>
    </row>
    <row r="391" spans="1:16" s="1" customFormat="1" ht="19.5" customHeight="1" x14ac:dyDescent="0.25">
      <c r="A391" s="192"/>
      <c r="B391" s="124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0"/>
    </row>
    <row r="392" spans="1:16" s="1" customFormat="1" ht="19.5" customHeight="1" x14ac:dyDescent="0.25">
      <c r="A392" s="192"/>
      <c r="B392" s="124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0"/>
    </row>
    <row r="393" spans="1:16" s="1" customFormat="1" ht="19.5" customHeight="1" x14ac:dyDescent="0.25">
      <c r="A393" s="192"/>
      <c r="B393" s="124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0"/>
    </row>
    <row r="394" spans="1:16" s="1" customFormat="1" ht="19.5" customHeight="1" x14ac:dyDescent="0.25">
      <c r="A394" s="192"/>
      <c r="B394" s="124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20"/>
    </row>
    <row r="395" spans="1:16" s="1" customFormat="1" ht="19.5" customHeight="1" x14ac:dyDescent="0.25">
      <c r="A395" s="192"/>
      <c r="B395" s="124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20"/>
    </row>
    <row r="396" spans="1:16" s="1" customFormat="1" ht="19.5" customHeight="1" x14ac:dyDescent="0.25">
      <c r="A396" s="192"/>
      <c r="B396" s="124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20"/>
    </row>
    <row r="397" spans="1:16" s="1" customFormat="1" ht="19.5" customHeight="1" x14ac:dyDescent="0.25">
      <c r="A397" s="192"/>
      <c r="B397" s="124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19"/>
      <c r="P397" s="120"/>
    </row>
    <row r="398" spans="1:16" s="1" customFormat="1" ht="19.5" customHeight="1" x14ac:dyDescent="0.25">
      <c r="A398" s="192"/>
      <c r="B398" s="124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20"/>
    </row>
    <row r="399" spans="1:16" s="1" customFormat="1" ht="19.5" customHeight="1" x14ac:dyDescent="0.25">
      <c r="A399" s="192"/>
      <c r="B399" s="124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20"/>
    </row>
    <row r="400" spans="1:16" s="1" customFormat="1" ht="19.5" customHeight="1" x14ac:dyDescent="0.25">
      <c r="A400" s="194"/>
      <c r="B400" s="124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0"/>
    </row>
    <row r="401" spans="1:16" s="1" customFormat="1" ht="19.5" customHeight="1" x14ac:dyDescent="0.25">
      <c r="A401" s="194"/>
      <c r="B401" s="124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0"/>
    </row>
    <row r="402" spans="1:16" s="1" customFormat="1" ht="19.5" customHeight="1" x14ac:dyDescent="0.25">
      <c r="A402" s="194"/>
      <c r="B402" s="124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0"/>
    </row>
    <row r="403" spans="1:16" s="1" customFormat="1" ht="19.5" customHeight="1" x14ac:dyDescent="0.25">
      <c r="A403" s="192"/>
      <c r="B403" s="124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0"/>
    </row>
    <row r="404" spans="1:16" s="1" customFormat="1" ht="19.5" customHeight="1" x14ac:dyDescent="0.25">
      <c r="A404" s="192"/>
      <c r="B404" s="124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0"/>
    </row>
    <row r="405" spans="1:16" s="1" customFormat="1" ht="19.5" customHeight="1" x14ac:dyDescent="0.25">
      <c r="A405" s="192"/>
      <c r="B405" s="124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0"/>
    </row>
    <row r="406" spans="1:16" s="1" customFormat="1" ht="19.5" customHeight="1" x14ac:dyDescent="0.25">
      <c r="A406" s="192"/>
      <c r="B406" s="124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20"/>
    </row>
    <row r="407" spans="1:16" s="1" customFormat="1" ht="19.5" customHeight="1" x14ac:dyDescent="0.25">
      <c r="A407" s="192"/>
      <c r="B407" s="124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20"/>
    </row>
    <row r="408" spans="1:16" s="1" customFormat="1" ht="19.5" customHeight="1" x14ac:dyDescent="0.25">
      <c r="A408" s="192"/>
      <c r="B408" s="124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20"/>
    </row>
    <row r="409" spans="1:16" s="1" customFormat="1" ht="19.5" customHeight="1" x14ac:dyDescent="0.25">
      <c r="A409" s="192"/>
      <c r="B409" s="124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19"/>
      <c r="P409" s="120"/>
    </row>
    <row r="410" spans="1:16" s="1" customFormat="1" ht="19.5" customHeight="1" x14ac:dyDescent="0.25">
      <c r="A410" s="192"/>
      <c r="B410" s="124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20"/>
    </row>
    <row r="411" spans="1:16" s="1" customFormat="1" ht="19.5" customHeight="1" x14ac:dyDescent="0.25">
      <c r="A411" s="192"/>
      <c r="B411" s="124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20"/>
    </row>
    <row r="412" spans="1:16" s="1" customFormat="1" ht="19.5" customHeight="1" x14ac:dyDescent="0.25">
      <c r="A412" s="194"/>
      <c r="B412" s="124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0"/>
    </row>
    <row r="413" spans="1:16" s="1" customFormat="1" ht="19.5" customHeight="1" x14ac:dyDescent="0.25">
      <c r="A413" s="194"/>
      <c r="B413" s="124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0"/>
    </row>
    <row r="414" spans="1:16" s="1" customFormat="1" ht="19.5" customHeight="1" x14ac:dyDescent="0.25">
      <c r="A414" s="194"/>
      <c r="B414" s="124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0"/>
    </row>
    <row r="415" spans="1:16" s="1" customFormat="1" ht="19.5" customHeight="1" x14ac:dyDescent="0.25">
      <c r="A415" s="192"/>
      <c r="B415" s="124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0"/>
    </row>
    <row r="416" spans="1:16" s="1" customFormat="1" ht="19.5" customHeight="1" x14ac:dyDescent="0.25">
      <c r="A416" s="192"/>
      <c r="B416" s="124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0"/>
    </row>
    <row r="417" spans="1:16" s="1" customFormat="1" ht="19.5" customHeight="1" x14ac:dyDescent="0.25">
      <c r="A417" s="192"/>
      <c r="B417" s="124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0"/>
    </row>
    <row r="418" spans="1:16" s="1" customFormat="1" ht="19.5" customHeight="1" x14ac:dyDescent="0.25">
      <c r="A418" s="192"/>
      <c r="B418" s="124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20"/>
    </row>
    <row r="419" spans="1:16" s="1" customFormat="1" ht="19.5" customHeight="1" x14ac:dyDescent="0.25">
      <c r="A419" s="192"/>
      <c r="B419" s="124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20"/>
    </row>
    <row r="420" spans="1:16" s="1" customFormat="1" ht="19.5" customHeight="1" x14ac:dyDescent="0.25">
      <c r="A420" s="192"/>
      <c r="B420" s="124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20"/>
    </row>
    <row r="421" spans="1:16" s="1" customFormat="1" ht="19.5" customHeight="1" x14ac:dyDescent="0.25">
      <c r="A421" s="192"/>
      <c r="B421" s="124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19"/>
      <c r="P421" s="120"/>
    </row>
    <row r="422" spans="1:16" s="1" customFormat="1" ht="19.5" customHeight="1" x14ac:dyDescent="0.25">
      <c r="A422" s="192"/>
      <c r="B422" s="124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20"/>
    </row>
    <row r="423" spans="1:16" s="1" customFormat="1" ht="19.5" customHeight="1" x14ac:dyDescent="0.25">
      <c r="A423" s="192"/>
      <c r="B423" s="124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20"/>
    </row>
    <row r="424" spans="1:16" s="1" customFormat="1" ht="19.5" customHeight="1" x14ac:dyDescent="0.25">
      <c r="A424" s="194"/>
      <c r="B424" s="124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0"/>
    </row>
    <row r="425" spans="1:16" s="1" customFormat="1" ht="19.5" customHeight="1" x14ac:dyDescent="0.25">
      <c r="A425" s="194"/>
      <c r="B425" s="124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0"/>
    </row>
    <row r="426" spans="1:16" s="1" customFormat="1" ht="19.5" customHeight="1" x14ac:dyDescent="0.25">
      <c r="A426" s="194"/>
      <c r="B426" s="124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0"/>
    </row>
    <row r="427" spans="1:16" s="1" customFormat="1" ht="19.5" customHeight="1" x14ac:dyDescent="0.25">
      <c r="A427" s="192"/>
      <c r="B427" s="124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0"/>
    </row>
    <row r="428" spans="1:16" s="1" customFormat="1" ht="19.5" customHeight="1" x14ac:dyDescent="0.25">
      <c r="A428" s="192"/>
      <c r="B428" s="124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0"/>
    </row>
    <row r="429" spans="1:16" s="1" customFormat="1" ht="19.5" customHeight="1" x14ac:dyDescent="0.25">
      <c r="A429" s="192"/>
      <c r="B429" s="124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0"/>
    </row>
    <row r="430" spans="1:16" s="1" customFormat="1" ht="19.5" customHeight="1" x14ac:dyDescent="0.25">
      <c r="A430" s="192"/>
      <c r="B430" s="124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20"/>
    </row>
    <row r="431" spans="1:16" s="1" customFormat="1" ht="19.5" customHeight="1" x14ac:dyDescent="0.25">
      <c r="A431" s="192"/>
      <c r="B431" s="124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20"/>
    </row>
    <row r="432" spans="1:16" s="1" customFormat="1" ht="19.5" customHeight="1" x14ac:dyDescent="0.25">
      <c r="A432" s="192"/>
      <c r="B432" s="124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20"/>
    </row>
    <row r="433" spans="1:16" s="1" customFormat="1" ht="19.5" customHeight="1" x14ac:dyDescent="0.25">
      <c r="A433" s="192"/>
      <c r="B433" s="124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19"/>
      <c r="P433" s="120"/>
    </row>
    <row r="434" spans="1:16" s="1" customFormat="1" ht="19.5" customHeight="1" x14ac:dyDescent="0.25">
      <c r="A434" s="192"/>
      <c r="B434" s="124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20"/>
    </row>
    <row r="435" spans="1:16" s="1" customFormat="1" ht="19.5" customHeight="1" x14ac:dyDescent="0.25">
      <c r="A435" s="192"/>
      <c r="B435" s="124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20"/>
    </row>
    <row r="436" spans="1:16" s="1" customFormat="1" ht="19.5" customHeight="1" x14ac:dyDescent="0.25">
      <c r="A436" s="194"/>
      <c r="B436" s="124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0"/>
    </row>
    <row r="437" spans="1:16" s="1" customFormat="1" ht="19.5" customHeight="1" x14ac:dyDescent="0.25">
      <c r="A437" s="194"/>
      <c r="B437" s="124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0"/>
    </row>
    <row r="438" spans="1:16" s="1" customFormat="1" ht="19.5" customHeight="1" x14ac:dyDescent="0.25">
      <c r="A438" s="194"/>
      <c r="B438" s="124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0"/>
    </row>
    <row r="439" spans="1:16" s="1" customFormat="1" ht="19.5" customHeight="1" x14ac:dyDescent="0.25">
      <c r="A439" s="192"/>
      <c r="B439" s="124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0"/>
    </row>
    <row r="440" spans="1:16" s="1" customFormat="1" ht="19.5" customHeight="1" x14ac:dyDescent="0.25">
      <c r="A440" s="192"/>
      <c r="B440" s="124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0"/>
    </row>
    <row r="441" spans="1:16" s="1" customFormat="1" ht="19.5" customHeight="1" x14ac:dyDescent="0.25">
      <c r="A441" s="192"/>
      <c r="B441" s="124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0"/>
    </row>
    <row r="442" spans="1:16" s="1" customFormat="1" ht="19.5" customHeight="1" x14ac:dyDescent="0.25">
      <c r="A442" s="192"/>
      <c r="B442" s="124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20"/>
    </row>
    <row r="443" spans="1:16" s="1" customFormat="1" ht="19.5" customHeight="1" x14ac:dyDescent="0.25">
      <c r="A443" s="192"/>
      <c r="B443" s="124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20"/>
    </row>
    <row r="444" spans="1:16" s="1" customFormat="1" ht="19.5" customHeight="1" x14ac:dyDescent="0.25">
      <c r="A444" s="192"/>
      <c r="B444" s="124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20"/>
    </row>
    <row r="445" spans="1:16" s="1" customFormat="1" ht="19.5" customHeight="1" x14ac:dyDescent="0.25">
      <c r="A445" s="192"/>
      <c r="B445" s="124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19"/>
      <c r="P445" s="120"/>
    </row>
    <row r="446" spans="1:16" s="1" customFormat="1" ht="19.5" customHeight="1" x14ac:dyDescent="0.25">
      <c r="A446" s="192"/>
      <c r="B446" s="124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20"/>
    </row>
    <row r="447" spans="1:16" s="1" customFormat="1" ht="19.5" customHeight="1" x14ac:dyDescent="0.25">
      <c r="A447" s="192"/>
      <c r="B447" s="124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20"/>
    </row>
    <row r="448" spans="1:16" s="1" customFormat="1" ht="19.5" customHeight="1" x14ac:dyDescent="0.25">
      <c r="A448" s="194"/>
      <c r="B448" s="124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0"/>
    </row>
    <row r="449" spans="1:16" s="1" customFormat="1" ht="19.5" customHeight="1" x14ac:dyDescent="0.25">
      <c r="A449" s="194"/>
      <c r="B449" s="124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0"/>
    </row>
    <row r="450" spans="1:16" s="1" customFormat="1" ht="19.5" customHeight="1" x14ac:dyDescent="0.25">
      <c r="A450" s="194"/>
      <c r="B450" s="124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0"/>
    </row>
    <row r="451" spans="1:16" s="1" customFormat="1" ht="19.5" customHeight="1" x14ac:dyDescent="0.25">
      <c r="A451" s="192"/>
      <c r="B451" s="124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0"/>
    </row>
    <row r="452" spans="1:16" s="1" customFormat="1" ht="19.5" customHeight="1" x14ac:dyDescent="0.25">
      <c r="A452" s="192"/>
      <c r="B452" s="124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0"/>
    </row>
    <row r="453" spans="1:16" s="1" customFormat="1" ht="19.5" customHeight="1" x14ac:dyDescent="0.25">
      <c r="A453" s="192"/>
      <c r="B453" s="124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0"/>
    </row>
    <row r="454" spans="1:16" s="1" customFormat="1" ht="19.5" customHeight="1" x14ac:dyDescent="0.25">
      <c r="A454" s="192"/>
      <c r="B454" s="124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20"/>
    </row>
    <row r="455" spans="1:16" s="1" customFormat="1" ht="19.5" customHeight="1" x14ac:dyDescent="0.25">
      <c r="A455" s="192"/>
      <c r="B455" s="124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20"/>
    </row>
    <row r="456" spans="1:16" s="1" customFormat="1" ht="19.5" customHeight="1" x14ac:dyDescent="0.25">
      <c r="A456" s="192"/>
      <c r="B456" s="124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20"/>
    </row>
    <row r="457" spans="1:16" s="1" customFormat="1" ht="19.5" customHeight="1" x14ac:dyDescent="0.25">
      <c r="A457" s="192"/>
      <c r="B457" s="124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19"/>
      <c r="P457" s="120"/>
    </row>
    <row r="458" spans="1:16" s="1" customFormat="1" ht="19.5" customHeight="1" x14ac:dyDescent="0.25">
      <c r="A458" s="192"/>
      <c r="B458" s="124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20"/>
    </row>
    <row r="459" spans="1:16" s="1" customFormat="1" ht="19.5" customHeight="1" x14ac:dyDescent="0.25">
      <c r="A459" s="192"/>
      <c r="B459" s="124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20"/>
    </row>
    <row r="460" spans="1:16" s="1" customFormat="1" ht="19.5" customHeight="1" x14ac:dyDescent="0.25">
      <c r="A460" s="194"/>
      <c r="B460" s="124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0"/>
    </row>
    <row r="461" spans="1:16" s="1" customFormat="1" ht="19.5" customHeight="1" x14ac:dyDescent="0.25">
      <c r="A461" s="194"/>
      <c r="B461" s="124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0"/>
    </row>
    <row r="462" spans="1:16" s="1" customFormat="1" ht="19.5" customHeight="1" x14ac:dyDescent="0.25">
      <c r="A462" s="194"/>
      <c r="B462" s="124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0"/>
    </row>
    <row r="463" spans="1:16" s="1" customFormat="1" ht="19.5" customHeight="1" x14ac:dyDescent="0.25">
      <c r="A463" s="192"/>
      <c r="B463" s="124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0"/>
    </row>
    <row r="464" spans="1:16" s="1" customFormat="1" ht="19.5" customHeight="1" x14ac:dyDescent="0.25">
      <c r="A464" s="192"/>
      <c r="B464" s="124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0"/>
    </row>
    <row r="465" spans="1:16" s="1" customFormat="1" ht="19.5" customHeight="1" x14ac:dyDescent="0.25">
      <c r="A465" s="192"/>
      <c r="B465" s="124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0"/>
    </row>
    <row r="466" spans="1:16" s="1" customFormat="1" ht="19.5" customHeight="1" x14ac:dyDescent="0.25">
      <c r="A466" s="192"/>
      <c r="B466" s="124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20"/>
    </row>
    <row r="467" spans="1:16" s="1" customFormat="1" ht="19.5" customHeight="1" x14ac:dyDescent="0.25">
      <c r="A467" s="192"/>
      <c r="B467" s="124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20"/>
    </row>
    <row r="468" spans="1:16" s="1" customFormat="1" ht="19.5" customHeight="1" x14ac:dyDescent="0.25">
      <c r="A468" s="192"/>
      <c r="B468" s="124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20"/>
    </row>
    <row r="469" spans="1:16" s="1" customFormat="1" ht="19.5" customHeight="1" x14ac:dyDescent="0.25">
      <c r="A469" s="192"/>
      <c r="B469" s="124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19"/>
      <c r="P469" s="120"/>
    </row>
    <row r="470" spans="1:16" s="1" customFormat="1" ht="19.5" customHeight="1" x14ac:dyDescent="0.25">
      <c r="A470" s="192"/>
      <c r="B470" s="124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20"/>
    </row>
    <row r="471" spans="1:16" s="1" customFormat="1" ht="19.5" customHeight="1" x14ac:dyDescent="0.25">
      <c r="A471" s="192"/>
      <c r="B471" s="124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20"/>
    </row>
    <row r="472" spans="1:16" s="1" customFormat="1" ht="19.5" customHeight="1" x14ac:dyDescent="0.25">
      <c r="A472" s="194"/>
      <c r="B472" s="124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0"/>
    </row>
    <row r="473" spans="1:16" s="1" customFormat="1" ht="19.5" customHeight="1" x14ac:dyDescent="0.25">
      <c r="A473" s="194"/>
      <c r="B473" s="124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0"/>
    </row>
    <row r="474" spans="1:16" s="1" customFormat="1" ht="19.5" customHeight="1" x14ac:dyDescent="0.25">
      <c r="A474" s="194"/>
      <c r="B474" s="124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0"/>
    </row>
    <row r="475" spans="1:16" s="1" customFormat="1" ht="19.5" customHeight="1" x14ac:dyDescent="0.25">
      <c r="A475" s="192"/>
      <c r="B475" s="124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0"/>
    </row>
    <row r="476" spans="1:16" s="1" customFormat="1" ht="19.5" customHeight="1" x14ac:dyDescent="0.25">
      <c r="A476" s="192"/>
      <c r="B476" s="124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0"/>
    </row>
    <row r="477" spans="1:16" s="1" customFormat="1" ht="19.5" customHeight="1" x14ac:dyDescent="0.25">
      <c r="A477" s="192"/>
      <c r="B477" s="124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0"/>
    </row>
    <row r="478" spans="1:16" s="1" customFormat="1" ht="19.5" customHeight="1" x14ac:dyDescent="0.25">
      <c r="A478" s="192"/>
      <c r="B478" s="124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20"/>
    </row>
    <row r="479" spans="1:16" s="1" customFormat="1" ht="19.5" customHeight="1" x14ac:dyDescent="0.25">
      <c r="A479" s="192"/>
      <c r="B479" s="124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20"/>
    </row>
    <row r="480" spans="1:16" s="1" customFormat="1" ht="19.5" customHeight="1" x14ac:dyDescent="0.25">
      <c r="A480" s="192"/>
      <c r="B480" s="124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20"/>
    </row>
    <row r="481" spans="1:16" s="1" customFormat="1" ht="19.5" customHeight="1" x14ac:dyDescent="0.25">
      <c r="A481" s="192"/>
      <c r="B481" s="124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19"/>
      <c r="P481" s="120"/>
    </row>
    <row r="482" spans="1:16" s="1" customFormat="1" ht="19.5" customHeight="1" x14ac:dyDescent="0.25">
      <c r="A482" s="192"/>
      <c r="B482" s="124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20"/>
    </row>
    <row r="483" spans="1:16" s="1" customFormat="1" ht="19.5" customHeight="1" x14ac:dyDescent="0.25">
      <c r="A483" s="192"/>
      <c r="B483" s="124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20"/>
    </row>
    <row r="484" spans="1:16" s="1" customFormat="1" ht="19.5" customHeight="1" x14ac:dyDescent="0.25">
      <c r="A484" s="194"/>
      <c r="B484" s="124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0"/>
    </row>
    <row r="485" spans="1:16" s="1" customFormat="1" ht="19.5" customHeight="1" x14ac:dyDescent="0.25">
      <c r="A485" s="194"/>
      <c r="B485" s="124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0"/>
    </row>
    <row r="486" spans="1:16" s="1" customFormat="1" ht="19.5" customHeight="1" x14ac:dyDescent="0.25">
      <c r="A486" s="194"/>
      <c r="B486" s="124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0"/>
    </row>
    <row r="487" spans="1:16" s="1" customFormat="1" ht="19.5" customHeight="1" x14ac:dyDescent="0.25">
      <c r="A487" s="192"/>
      <c r="B487" s="124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0"/>
    </row>
    <row r="488" spans="1:16" s="1" customFormat="1" ht="19.5" customHeight="1" x14ac:dyDescent="0.25">
      <c r="A488" s="192"/>
      <c r="B488" s="124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0"/>
    </row>
    <row r="489" spans="1:16" s="1" customFormat="1" ht="19.5" customHeight="1" x14ac:dyDescent="0.25">
      <c r="A489" s="192"/>
      <c r="B489" s="124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0"/>
    </row>
    <row r="490" spans="1:16" s="1" customFormat="1" ht="19.5" customHeight="1" x14ac:dyDescent="0.25">
      <c r="A490" s="192"/>
      <c r="B490" s="124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20"/>
    </row>
    <row r="491" spans="1:16" s="1" customFormat="1" ht="19.5" customHeight="1" x14ac:dyDescent="0.25">
      <c r="A491" s="192"/>
      <c r="B491" s="124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20"/>
    </row>
    <row r="492" spans="1:16" s="1" customFormat="1" ht="19.5" customHeight="1" x14ac:dyDescent="0.25">
      <c r="A492" s="192"/>
      <c r="B492" s="124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20"/>
    </row>
    <row r="493" spans="1:16" s="1" customFormat="1" ht="19.5" customHeight="1" x14ac:dyDescent="0.25">
      <c r="A493" s="192"/>
      <c r="B493" s="124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19"/>
      <c r="P493" s="120"/>
    </row>
    <row r="494" spans="1:16" s="1" customFormat="1" ht="19.5" customHeight="1" x14ac:dyDescent="0.25">
      <c r="A494" s="192"/>
      <c r="B494" s="124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20"/>
    </row>
    <row r="495" spans="1:16" s="1" customFormat="1" ht="19.5" customHeight="1" x14ac:dyDescent="0.25">
      <c r="A495" s="192"/>
      <c r="B495" s="124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20"/>
    </row>
    <row r="496" spans="1:16" s="1" customFormat="1" ht="19.5" customHeight="1" x14ac:dyDescent="0.25">
      <c r="A496" s="194"/>
      <c r="B496" s="124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0"/>
    </row>
    <row r="497" spans="1:16" s="1" customFormat="1" ht="19.5" customHeight="1" x14ac:dyDescent="0.25">
      <c r="A497" s="194"/>
      <c r="B497" s="124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0"/>
    </row>
    <row r="498" spans="1:16" s="1" customFormat="1" ht="19.5" customHeight="1" x14ac:dyDescent="0.25">
      <c r="A498" s="194"/>
      <c r="B498" s="124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0"/>
    </row>
    <row r="499" spans="1:16" s="1" customFormat="1" ht="19.5" customHeight="1" x14ac:dyDescent="0.25">
      <c r="A499" s="192"/>
      <c r="B499" s="124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0"/>
    </row>
    <row r="500" spans="1:16" s="1" customFormat="1" ht="19.5" customHeight="1" x14ac:dyDescent="0.25">
      <c r="A500" s="192"/>
      <c r="B500" s="124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0"/>
    </row>
    <row r="501" spans="1:16" s="1" customFormat="1" ht="19.5" customHeight="1" x14ac:dyDescent="0.25">
      <c r="A501" s="192"/>
      <c r="B501" s="124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0"/>
    </row>
    <row r="502" spans="1:16" s="1" customFormat="1" ht="19.5" customHeight="1" x14ac:dyDescent="0.25">
      <c r="A502" s="192"/>
      <c r="B502" s="124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20"/>
    </row>
    <row r="503" spans="1:16" s="1" customFormat="1" ht="19.5" customHeight="1" x14ac:dyDescent="0.25">
      <c r="A503" s="192"/>
      <c r="B503" s="124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20"/>
    </row>
    <row r="504" spans="1:16" s="1" customFormat="1" ht="19.5" customHeight="1" x14ac:dyDescent="0.25">
      <c r="A504" s="192"/>
      <c r="B504" s="124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20"/>
    </row>
    <row r="505" spans="1:16" s="1" customFormat="1" ht="19.5" customHeight="1" x14ac:dyDescent="0.25">
      <c r="A505" s="192"/>
      <c r="B505" s="124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19"/>
      <c r="P505" s="120"/>
    </row>
    <row r="506" spans="1:16" s="1" customFormat="1" ht="19.5" customHeight="1" x14ac:dyDescent="0.25">
      <c r="A506" s="192"/>
      <c r="B506" s="124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20"/>
    </row>
    <row r="507" spans="1:16" s="1" customFormat="1" ht="19.5" customHeight="1" x14ac:dyDescent="0.25">
      <c r="A507" s="192"/>
      <c r="B507" s="124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20"/>
    </row>
    <row r="508" spans="1:16" s="1" customFormat="1" ht="19.5" customHeight="1" x14ac:dyDescent="0.25">
      <c r="A508" s="194"/>
      <c r="B508" s="124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0"/>
    </row>
    <row r="509" spans="1:16" s="1" customFormat="1" ht="19.5" customHeight="1" x14ac:dyDescent="0.25">
      <c r="A509" s="194"/>
      <c r="B509" s="124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0"/>
    </row>
    <row r="510" spans="1:16" s="1" customFormat="1" ht="19.5" customHeight="1" x14ac:dyDescent="0.25">
      <c r="A510" s="194"/>
      <c r="B510" s="124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0"/>
    </row>
    <row r="511" spans="1:16" s="1" customFormat="1" ht="19.5" customHeight="1" x14ac:dyDescent="0.25">
      <c r="A511" s="192"/>
      <c r="B511" s="124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0"/>
    </row>
    <row r="512" spans="1:16" s="1" customFormat="1" ht="19.5" customHeight="1" x14ac:dyDescent="0.25">
      <c r="A512" s="192"/>
      <c r="B512" s="124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0"/>
    </row>
    <row r="513" spans="1:16" s="1" customFormat="1" ht="19.5" customHeight="1" x14ac:dyDescent="0.25">
      <c r="A513" s="192"/>
      <c r="B513" s="124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0"/>
    </row>
    <row r="514" spans="1:16" s="1" customFormat="1" ht="19.5" customHeight="1" x14ac:dyDescent="0.25">
      <c r="A514" s="192"/>
      <c r="B514" s="124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20"/>
    </row>
    <row r="515" spans="1:16" s="1" customFormat="1" ht="19.5" customHeight="1" x14ac:dyDescent="0.25">
      <c r="A515" s="192"/>
      <c r="B515" s="124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20"/>
    </row>
    <row r="516" spans="1:16" s="1" customFormat="1" ht="19.5" customHeight="1" x14ac:dyDescent="0.25">
      <c r="A516" s="192"/>
      <c r="B516" s="124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20"/>
    </row>
    <row r="517" spans="1:16" s="1" customFormat="1" ht="19.5" customHeight="1" x14ac:dyDescent="0.25">
      <c r="A517" s="192"/>
      <c r="B517" s="124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19"/>
      <c r="P517" s="120"/>
    </row>
    <row r="518" spans="1:16" s="1" customFormat="1" ht="19.5" customHeight="1" x14ac:dyDescent="0.25">
      <c r="A518" s="192"/>
      <c r="B518" s="124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20"/>
    </row>
    <row r="519" spans="1:16" s="1" customFormat="1" ht="19.5" customHeight="1" x14ac:dyDescent="0.25">
      <c r="A519" s="192"/>
      <c r="B519" s="124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20"/>
    </row>
    <row r="520" spans="1:16" s="1" customFormat="1" ht="19.5" customHeight="1" x14ac:dyDescent="0.25">
      <c r="A520" s="194"/>
      <c r="B520" s="124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0"/>
    </row>
    <row r="521" spans="1:16" s="1" customFormat="1" ht="19.5" customHeight="1" x14ac:dyDescent="0.25">
      <c r="A521" s="194"/>
      <c r="B521" s="124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0"/>
    </row>
    <row r="522" spans="1:16" s="1" customFormat="1" ht="19.5" customHeight="1" x14ac:dyDescent="0.25">
      <c r="A522" s="194"/>
      <c r="B522" s="124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0"/>
    </row>
    <row r="523" spans="1:16" s="1" customFormat="1" ht="19.5" customHeight="1" x14ac:dyDescent="0.25">
      <c r="A523" s="192"/>
      <c r="B523" s="124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0"/>
    </row>
    <row r="524" spans="1:16" s="1" customFormat="1" ht="19.5" customHeight="1" x14ac:dyDescent="0.25">
      <c r="A524" s="192"/>
      <c r="B524" s="124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0"/>
    </row>
    <row r="525" spans="1:16" s="1" customFormat="1" ht="19.5" customHeight="1" x14ac:dyDescent="0.25">
      <c r="A525" s="192"/>
      <c r="B525" s="124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0"/>
    </row>
    <row r="526" spans="1:16" s="1" customFormat="1" ht="19.5" customHeight="1" x14ac:dyDescent="0.25">
      <c r="A526" s="192"/>
      <c r="B526" s="124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20"/>
    </row>
    <row r="527" spans="1:16" s="1" customFormat="1" ht="19.5" customHeight="1" x14ac:dyDescent="0.25">
      <c r="A527" s="192"/>
      <c r="B527" s="124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20"/>
    </row>
    <row r="528" spans="1:16" s="1" customFormat="1" ht="19.5" customHeight="1" x14ac:dyDescent="0.25">
      <c r="A528" s="192"/>
      <c r="B528" s="124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20"/>
    </row>
    <row r="529" spans="1:16" s="1" customFormat="1" ht="19.5" customHeight="1" x14ac:dyDescent="0.25">
      <c r="A529" s="192"/>
      <c r="B529" s="124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19"/>
      <c r="P529" s="120"/>
    </row>
    <row r="530" spans="1:16" s="1" customFormat="1" ht="19.5" customHeight="1" x14ac:dyDescent="0.25">
      <c r="A530" s="192"/>
      <c r="B530" s="124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20"/>
    </row>
    <row r="531" spans="1:16" s="1" customFormat="1" ht="19.5" customHeight="1" x14ac:dyDescent="0.25">
      <c r="A531" s="192"/>
      <c r="B531" s="124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20"/>
    </row>
    <row r="532" spans="1:16" s="1" customFormat="1" ht="19.5" customHeight="1" x14ac:dyDescent="0.25">
      <c r="A532" s="194"/>
      <c r="B532" s="124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0"/>
    </row>
    <row r="533" spans="1:16" s="1" customFormat="1" ht="19.5" customHeight="1" x14ac:dyDescent="0.25">
      <c r="A533" s="194"/>
      <c r="B533" s="124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0"/>
    </row>
    <row r="534" spans="1:16" s="1" customFormat="1" ht="19.5" customHeight="1" x14ac:dyDescent="0.25">
      <c r="A534" s="194"/>
      <c r="B534" s="124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0"/>
    </row>
    <row r="535" spans="1:16" s="1" customFormat="1" ht="19.5" customHeight="1" x14ac:dyDescent="0.25">
      <c r="A535" s="192"/>
      <c r="B535" s="124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0"/>
    </row>
    <row r="536" spans="1:16" s="1" customFormat="1" ht="19.5" customHeight="1" x14ac:dyDescent="0.25">
      <c r="A536" s="192"/>
      <c r="B536" s="124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0"/>
    </row>
    <row r="537" spans="1:16" s="1" customFormat="1" ht="19.5" customHeight="1" x14ac:dyDescent="0.25">
      <c r="A537" s="192"/>
      <c r="B537" s="124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0"/>
    </row>
    <row r="538" spans="1:16" s="1" customFormat="1" ht="19.5" customHeight="1" x14ac:dyDescent="0.25">
      <c r="A538" s="192"/>
      <c r="B538" s="124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20"/>
    </row>
    <row r="539" spans="1:16" s="1" customFormat="1" ht="19.5" customHeight="1" x14ac:dyDescent="0.25">
      <c r="A539" s="192"/>
      <c r="B539" s="124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20"/>
    </row>
    <row r="540" spans="1:16" s="1" customFormat="1" ht="19.5" customHeight="1" x14ac:dyDescent="0.25">
      <c r="A540" s="192"/>
      <c r="B540" s="124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20"/>
    </row>
    <row r="541" spans="1:16" s="1" customFormat="1" ht="19.5" customHeight="1" x14ac:dyDescent="0.25">
      <c r="A541" s="192"/>
      <c r="B541" s="124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19"/>
      <c r="P541" s="120"/>
    </row>
    <row r="542" spans="1:16" s="1" customFormat="1" ht="19.5" customHeight="1" x14ac:dyDescent="0.25">
      <c r="A542" s="192"/>
      <c r="B542" s="124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20"/>
    </row>
    <row r="543" spans="1:16" s="1" customFormat="1" ht="19.5" customHeight="1" x14ac:dyDescent="0.25">
      <c r="A543" s="192"/>
      <c r="B543" s="124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20"/>
    </row>
    <row r="544" spans="1:16" s="1" customFormat="1" ht="19.5" customHeight="1" x14ac:dyDescent="0.25">
      <c r="A544" s="194"/>
      <c r="B544" s="124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0"/>
    </row>
    <row r="545" spans="1:16" s="1" customFormat="1" ht="19.5" customHeight="1" x14ac:dyDescent="0.25">
      <c r="A545" s="194"/>
      <c r="B545" s="124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0"/>
    </row>
    <row r="546" spans="1:16" s="1" customFormat="1" ht="19.5" customHeight="1" x14ac:dyDescent="0.25">
      <c r="A546" s="194"/>
      <c r="B546" s="124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0"/>
    </row>
    <row r="547" spans="1:16" s="1" customFormat="1" ht="19.5" customHeight="1" x14ac:dyDescent="0.25">
      <c r="A547" s="192"/>
      <c r="B547" s="124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0"/>
    </row>
    <row r="548" spans="1:16" s="1" customFormat="1" ht="19.5" customHeight="1" x14ac:dyDescent="0.25">
      <c r="A548" s="192"/>
      <c r="B548" s="124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0"/>
    </row>
    <row r="549" spans="1:16" s="1" customFormat="1" ht="19.5" customHeight="1" x14ac:dyDescent="0.25">
      <c r="A549" s="192"/>
      <c r="B549" s="124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0"/>
    </row>
    <row r="550" spans="1:16" s="1" customFormat="1" ht="19.5" customHeight="1" x14ac:dyDescent="0.25">
      <c r="A550" s="192"/>
      <c r="B550" s="124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20"/>
    </row>
    <row r="551" spans="1:16" s="1" customFormat="1" ht="19.5" customHeight="1" x14ac:dyDescent="0.25">
      <c r="A551" s="192"/>
      <c r="B551" s="124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20"/>
    </row>
    <row r="552" spans="1:16" s="1" customFormat="1" ht="19.5" customHeight="1" x14ac:dyDescent="0.25">
      <c r="A552" s="192"/>
      <c r="B552" s="124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20"/>
    </row>
    <row r="553" spans="1:16" s="1" customFormat="1" ht="19.5" customHeight="1" x14ac:dyDescent="0.25">
      <c r="A553" s="192"/>
      <c r="B553" s="124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19"/>
      <c r="P553" s="120"/>
    </row>
    <row r="554" spans="1:16" s="1" customFormat="1" ht="19.5" customHeight="1" x14ac:dyDescent="0.25">
      <c r="A554" s="192"/>
      <c r="B554" s="124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20"/>
    </row>
    <row r="555" spans="1:16" s="1" customFormat="1" ht="19.5" customHeight="1" x14ac:dyDescent="0.25">
      <c r="A555" s="192"/>
      <c r="B555" s="124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20"/>
    </row>
    <row r="556" spans="1:16" s="1" customFormat="1" ht="19.5" customHeight="1" x14ac:dyDescent="0.25">
      <c r="A556" s="194"/>
      <c r="B556" s="124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0"/>
    </row>
    <row r="557" spans="1:16" s="1" customFormat="1" ht="19.5" customHeight="1" x14ac:dyDescent="0.25">
      <c r="A557" s="194"/>
      <c r="B557" s="124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0"/>
    </row>
    <row r="558" spans="1:16" s="1" customFormat="1" ht="19.5" customHeight="1" x14ac:dyDescent="0.25">
      <c r="A558" s="194"/>
      <c r="B558" s="124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0"/>
    </row>
    <row r="559" spans="1:16" s="1" customFormat="1" ht="19.5" customHeight="1" x14ac:dyDescent="0.25">
      <c r="A559" s="192"/>
      <c r="B559" s="124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0"/>
    </row>
    <row r="560" spans="1:16" s="1" customFormat="1" ht="19.5" customHeight="1" x14ac:dyDescent="0.25">
      <c r="A560" s="192"/>
      <c r="B560" s="124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0"/>
    </row>
    <row r="561" spans="1:16" s="1" customFormat="1" ht="19.5" customHeight="1" x14ac:dyDescent="0.25">
      <c r="A561" s="192"/>
      <c r="B561" s="124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0"/>
    </row>
    <row r="562" spans="1:16" s="1" customFormat="1" ht="19.5" customHeight="1" x14ac:dyDescent="0.25">
      <c r="A562" s="192"/>
      <c r="B562" s="124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20"/>
    </row>
    <row r="563" spans="1:16" s="1" customFormat="1" ht="19.5" customHeight="1" x14ac:dyDescent="0.25">
      <c r="A563" s="192"/>
      <c r="B563" s="124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20"/>
    </row>
    <row r="564" spans="1:16" s="1" customFormat="1" ht="19.5" customHeight="1" x14ac:dyDescent="0.25">
      <c r="A564" s="192"/>
      <c r="B564" s="124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20"/>
    </row>
    <row r="565" spans="1:16" s="1" customFormat="1" ht="19.5" customHeight="1" x14ac:dyDescent="0.25">
      <c r="A565" s="192"/>
      <c r="B565" s="124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19"/>
      <c r="P565" s="120"/>
    </row>
    <row r="566" spans="1:16" s="1" customFormat="1" ht="19.5" customHeight="1" x14ac:dyDescent="0.25">
      <c r="A566" s="192"/>
      <c r="B566" s="124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20"/>
    </row>
    <row r="567" spans="1:16" s="1" customFormat="1" ht="19.5" customHeight="1" x14ac:dyDescent="0.25">
      <c r="A567" s="192"/>
      <c r="B567" s="124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20"/>
    </row>
    <row r="568" spans="1:16" s="1" customFormat="1" ht="19.5" customHeight="1" x14ac:dyDescent="0.25">
      <c r="A568" s="194"/>
      <c r="B568" s="124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0"/>
    </row>
    <row r="569" spans="1:16" s="1" customFormat="1" ht="19.5" customHeight="1" x14ac:dyDescent="0.25">
      <c r="A569" s="194"/>
      <c r="B569" s="124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0"/>
    </row>
    <row r="570" spans="1:16" s="1" customFormat="1" ht="19.5" customHeight="1" x14ac:dyDescent="0.25">
      <c r="A570" s="194"/>
      <c r="B570" s="124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0"/>
    </row>
    <row r="571" spans="1:16" s="1" customFormat="1" ht="19.5" customHeight="1" x14ac:dyDescent="0.25">
      <c r="A571" s="192"/>
      <c r="B571" s="124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0"/>
    </row>
    <row r="572" spans="1:16" s="1" customFormat="1" ht="19.5" customHeight="1" x14ac:dyDescent="0.25">
      <c r="A572" s="192"/>
      <c r="B572" s="124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0"/>
    </row>
    <row r="573" spans="1:16" s="1" customFormat="1" ht="19.5" customHeight="1" x14ac:dyDescent="0.25">
      <c r="A573" s="192"/>
      <c r="B573" s="124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0"/>
    </row>
    <row r="574" spans="1:16" s="1" customFormat="1" ht="19.5" customHeight="1" x14ac:dyDescent="0.25">
      <c r="A574" s="192"/>
      <c r="B574" s="124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20"/>
    </row>
    <row r="575" spans="1:16" s="1" customFormat="1" ht="19.5" customHeight="1" x14ac:dyDescent="0.25">
      <c r="A575" s="192"/>
      <c r="B575" s="124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20"/>
    </row>
    <row r="576" spans="1:16" s="1" customFormat="1" ht="19.5" customHeight="1" x14ac:dyDescent="0.25">
      <c r="A576" s="192"/>
      <c r="B576" s="124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20"/>
    </row>
    <row r="577" spans="1:16" s="1" customFormat="1" ht="19.5" customHeight="1" x14ac:dyDescent="0.25">
      <c r="A577" s="192"/>
      <c r="B577" s="124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19"/>
      <c r="P577" s="120"/>
    </row>
    <row r="578" spans="1:16" s="1" customFormat="1" ht="19.5" customHeight="1" x14ac:dyDescent="0.25">
      <c r="A578" s="192"/>
      <c r="B578" s="124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20"/>
    </row>
    <row r="579" spans="1:16" s="1" customFormat="1" ht="19.5" customHeight="1" x14ac:dyDescent="0.25">
      <c r="A579" s="192"/>
      <c r="B579" s="124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20"/>
    </row>
    <row r="580" spans="1:16" s="1" customFormat="1" ht="19.5" customHeight="1" x14ac:dyDescent="0.25">
      <c r="A580" s="194"/>
      <c r="B580" s="124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0"/>
    </row>
    <row r="581" spans="1:16" s="1" customFormat="1" ht="19.5" customHeight="1" x14ac:dyDescent="0.25">
      <c r="A581" s="194"/>
      <c r="B581" s="124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0"/>
    </row>
    <row r="582" spans="1:16" s="1" customFormat="1" ht="19.5" customHeight="1" x14ac:dyDescent="0.25">
      <c r="A582" s="194"/>
      <c r="B582" s="124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0"/>
    </row>
    <row r="583" spans="1:16" s="1" customFormat="1" ht="19.5" customHeight="1" x14ac:dyDescent="0.25">
      <c r="A583" s="192"/>
      <c r="B583" s="124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0"/>
    </row>
    <row r="584" spans="1:16" s="1" customFormat="1" ht="19.5" customHeight="1" x14ac:dyDescent="0.25">
      <c r="A584" s="192"/>
      <c r="B584" s="124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0"/>
    </row>
    <row r="585" spans="1:16" s="1" customFormat="1" ht="19.5" customHeight="1" x14ac:dyDescent="0.25">
      <c r="A585" s="192"/>
      <c r="B585" s="124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0"/>
    </row>
    <row r="586" spans="1:16" s="1" customFormat="1" ht="19.5" customHeight="1" x14ac:dyDescent="0.25">
      <c r="A586" s="192"/>
      <c r="B586" s="124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20"/>
    </row>
    <row r="587" spans="1:16" s="1" customFormat="1" ht="19.5" customHeight="1" x14ac:dyDescent="0.25">
      <c r="A587" s="192"/>
      <c r="B587" s="124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20"/>
    </row>
    <row r="588" spans="1:16" s="1" customFormat="1" ht="19.5" customHeight="1" x14ac:dyDescent="0.25">
      <c r="A588" s="192"/>
      <c r="B588" s="124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20"/>
    </row>
    <row r="589" spans="1:16" s="1" customFormat="1" ht="19.5" customHeight="1" x14ac:dyDescent="0.25">
      <c r="A589" s="192"/>
      <c r="B589" s="124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19"/>
      <c r="P589" s="120"/>
    </row>
    <row r="590" spans="1:16" s="1" customFormat="1" ht="19.5" customHeight="1" x14ac:dyDescent="0.25">
      <c r="A590" s="192"/>
      <c r="B590" s="124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20"/>
    </row>
    <row r="591" spans="1:16" s="1" customFormat="1" ht="19.5" customHeight="1" x14ac:dyDescent="0.25">
      <c r="A591" s="192"/>
      <c r="B591" s="124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20"/>
    </row>
    <row r="592" spans="1:16" s="1" customFormat="1" ht="19.5" customHeight="1" x14ac:dyDescent="0.25">
      <c r="A592" s="194"/>
      <c r="B592" s="124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0"/>
    </row>
    <row r="593" spans="1:16" s="1" customFormat="1" ht="19.5" customHeight="1" x14ac:dyDescent="0.25">
      <c r="A593" s="194"/>
      <c r="B593" s="124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0"/>
    </row>
    <row r="594" spans="1:16" s="1" customFormat="1" ht="19.5" customHeight="1" x14ac:dyDescent="0.25">
      <c r="A594" s="194"/>
      <c r="B594" s="124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0"/>
    </row>
    <row r="595" spans="1:16" s="1" customFormat="1" ht="19.5" customHeight="1" x14ac:dyDescent="0.25">
      <c r="A595" s="192"/>
      <c r="B595" s="124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0"/>
    </row>
    <row r="596" spans="1:16" s="1" customFormat="1" ht="19.5" customHeight="1" x14ac:dyDescent="0.25">
      <c r="A596" s="192"/>
      <c r="B596" s="124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0"/>
    </row>
    <row r="597" spans="1:16" s="1" customFormat="1" ht="19.5" customHeight="1" x14ac:dyDescent="0.25">
      <c r="A597" s="192"/>
      <c r="B597" s="124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0"/>
    </row>
    <row r="598" spans="1:16" s="1" customFormat="1" ht="19.5" customHeight="1" x14ac:dyDescent="0.25">
      <c r="A598" s="192"/>
      <c r="B598" s="124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20"/>
    </row>
    <row r="599" spans="1:16" s="1" customFormat="1" ht="19.5" customHeight="1" x14ac:dyDescent="0.25">
      <c r="A599" s="192"/>
      <c r="B599" s="124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20"/>
    </row>
    <row r="600" spans="1:16" s="1" customFormat="1" ht="19.5" customHeight="1" x14ac:dyDescent="0.25">
      <c r="A600" s="192"/>
      <c r="B600" s="124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20"/>
    </row>
    <row r="601" spans="1:16" s="1" customFormat="1" ht="19.5" customHeight="1" x14ac:dyDescent="0.25">
      <c r="A601" s="192"/>
      <c r="B601" s="124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19"/>
      <c r="P601" s="120"/>
    </row>
    <row r="602" spans="1:16" s="1" customFormat="1" ht="19.5" customHeight="1" x14ac:dyDescent="0.25">
      <c r="A602" s="192"/>
      <c r="B602" s="124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20"/>
    </row>
    <row r="603" spans="1:16" s="1" customFormat="1" ht="19.5" customHeight="1" x14ac:dyDescent="0.25">
      <c r="A603" s="192"/>
      <c r="B603" s="124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20"/>
    </row>
    <row r="604" spans="1:16" s="1" customFormat="1" ht="19.5" customHeight="1" x14ac:dyDescent="0.25">
      <c r="A604" s="194"/>
      <c r="B604" s="124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0"/>
    </row>
    <row r="605" spans="1:16" s="1" customFormat="1" ht="19.5" customHeight="1" x14ac:dyDescent="0.25">
      <c r="A605" s="194"/>
      <c r="B605" s="124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0"/>
    </row>
    <row r="606" spans="1:16" s="1" customFormat="1" ht="19.5" customHeight="1" x14ac:dyDescent="0.25">
      <c r="A606" s="194"/>
      <c r="B606" s="124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0"/>
    </row>
    <row r="607" spans="1:16" s="1" customFormat="1" ht="19.5" customHeight="1" x14ac:dyDescent="0.25">
      <c r="A607" s="192"/>
      <c r="B607" s="124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0"/>
    </row>
    <row r="608" spans="1:16" s="1" customFormat="1" ht="19.5" customHeight="1" x14ac:dyDescent="0.25">
      <c r="A608" s="192"/>
      <c r="B608" s="124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0"/>
    </row>
    <row r="609" spans="1:16" s="1" customFormat="1" ht="19.5" customHeight="1" x14ac:dyDescent="0.25">
      <c r="A609" s="192"/>
      <c r="B609" s="124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0"/>
    </row>
    <row r="610" spans="1:16" s="1" customFormat="1" ht="19.5" customHeight="1" x14ac:dyDescent="0.25">
      <c r="A610" s="192"/>
      <c r="B610" s="124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20"/>
    </row>
    <row r="611" spans="1:16" s="1" customFormat="1" ht="19.5" customHeight="1" x14ac:dyDescent="0.25">
      <c r="A611" s="192"/>
      <c r="B611" s="124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20"/>
    </row>
    <row r="612" spans="1:16" s="1" customFormat="1" ht="19.5" customHeight="1" x14ac:dyDescent="0.25">
      <c r="A612" s="192"/>
      <c r="B612" s="124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20"/>
    </row>
    <row r="613" spans="1:16" s="1" customFormat="1" ht="19.5" customHeight="1" x14ac:dyDescent="0.25">
      <c r="A613" s="192"/>
      <c r="B613" s="124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19"/>
      <c r="P613" s="120"/>
    </row>
    <row r="614" spans="1:16" s="1" customFormat="1" ht="19.5" customHeight="1" x14ac:dyDescent="0.25">
      <c r="A614" s="192"/>
      <c r="B614" s="124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20"/>
    </row>
    <row r="615" spans="1:16" s="1" customFormat="1" ht="19.5" customHeight="1" x14ac:dyDescent="0.25">
      <c r="A615" s="192"/>
      <c r="B615" s="124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20"/>
    </row>
    <row r="616" spans="1:16" s="1" customFormat="1" ht="19.5" customHeight="1" x14ac:dyDescent="0.25">
      <c r="A616" s="194"/>
      <c r="B616" s="124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0"/>
    </row>
    <row r="617" spans="1:16" s="1" customFormat="1" ht="19.5" customHeight="1" x14ac:dyDescent="0.25">
      <c r="A617" s="194"/>
      <c r="B617" s="124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0"/>
    </row>
    <row r="618" spans="1:16" s="1" customFormat="1" ht="19.5" customHeight="1" x14ac:dyDescent="0.25">
      <c r="A618" s="194"/>
      <c r="B618" s="124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0"/>
    </row>
    <row r="619" spans="1:16" s="1" customFormat="1" ht="19.5" customHeight="1" x14ac:dyDescent="0.25">
      <c r="A619" s="192"/>
      <c r="B619" s="124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0"/>
    </row>
    <row r="620" spans="1:16" s="1" customFormat="1" ht="19.5" customHeight="1" x14ac:dyDescent="0.25">
      <c r="A620" s="192"/>
      <c r="B620" s="124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0"/>
    </row>
    <row r="621" spans="1:16" s="1" customFormat="1" ht="19.5" customHeight="1" x14ac:dyDescent="0.25">
      <c r="A621" s="192"/>
      <c r="B621" s="124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0"/>
    </row>
    <row r="622" spans="1:16" s="1" customFormat="1" ht="19.5" customHeight="1" x14ac:dyDescent="0.25">
      <c r="A622" s="192"/>
      <c r="B622" s="124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20"/>
    </row>
    <row r="623" spans="1:16" s="1" customFormat="1" ht="19.5" customHeight="1" x14ac:dyDescent="0.25">
      <c r="A623" s="192"/>
      <c r="B623" s="124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20"/>
    </row>
    <row r="624" spans="1:16" s="1" customFormat="1" ht="19.5" customHeight="1" x14ac:dyDescent="0.25">
      <c r="A624" s="192"/>
      <c r="B624" s="124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20"/>
    </row>
    <row r="625" spans="1:16" s="1" customFormat="1" ht="19.5" customHeight="1" x14ac:dyDescent="0.25">
      <c r="A625" s="192"/>
      <c r="B625" s="124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19"/>
      <c r="P625" s="120"/>
    </row>
    <row r="626" spans="1:16" s="1" customFormat="1" ht="19.5" customHeight="1" x14ac:dyDescent="0.25">
      <c r="A626" s="192"/>
      <c r="B626" s="124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20"/>
    </row>
    <row r="627" spans="1:16" s="1" customFormat="1" ht="19.5" customHeight="1" x14ac:dyDescent="0.25">
      <c r="A627" s="192"/>
      <c r="B627" s="124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20"/>
    </row>
    <row r="628" spans="1:16" s="1" customFormat="1" ht="19.5" customHeight="1" x14ac:dyDescent="0.25">
      <c r="A628" s="194"/>
      <c r="B628" s="124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0"/>
    </row>
    <row r="629" spans="1:16" s="1" customFormat="1" ht="19.5" customHeight="1" x14ac:dyDescent="0.25">
      <c r="A629" s="194"/>
      <c r="B629" s="124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0"/>
    </row>
    <row r="630" spans="1:16" s="1" customFormat="1" ht="19.5" customHeight="1" x14ac:dyDescent="0.25">
      <c r="A630" s="194"/>
      <c r="B630" s="124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0"/>
    </row>
    <row r="631" spans="1:16" s="1" customFormat="1" ht="19.5" customHeight="1" x14ac:dyDescent="0.25">
      <c r="A631" s="192"/>
      <c r="B631" s="124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0"/>
    </row>
    <row r="632" spans="1:16" s="1" customFormat="1" ht="19.5" customHeight="1" x14ac:dyDescent="0.25">
      <c r="A632" s="192"/>
      <c r="B632" s="124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0"/>
    </row>
    <row r="633" spans="1:16" s="1" customFormat="1" ht="19.5" customHeight="1" x14ac:dyDescent="0.25">
      <c r="A633" s="192"/>
      <c r="B633" s="124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0"/>
    </row>
    <row r="634" spans="1:16" s="1" customFormat="1" ht="19.5" customHeight="1" x14ac:dyDescent="0.25">
      <c r="A634" s="192"/>
      <c r="B634" s="124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20"/>
    </row>
    <row r="635" spans="1:16" s="1" customFormat="1" ht="19.5" customHeight="1" x14ac:dyDescent="0.25">
      <c r="A635" s="192"/>
      <c r="B635" s="124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20"/>
    </row>
    <row r="636" spans="1:16" s="1" customFormat="1" ht="19.5" customHeight="1" x14ac:dyDescent="0.25">
      <c r="A636" s="192"/>
      <c r="B636" s="124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20"/>
    </row>
    <row r="637" spans="1:16" s="1" customFormat="1" ht="19.5" customHeight="1" x14ac:dyDescent="0.25">
      <c r="A637" s="192"/>
      <c r="B637" s="124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19"/>
      <c r="P637" s="120"/>
    </row>
    <row r="638" spans="1:16" s="1" customFormat="1" ht="19.5" customHeight="1" x14ac:dyDescent="0.25">
      <c r="A638" s="192"/>
      <c r="B638" s="124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20"/>
    </row>
    <row r="639" spans="1:16" s="1" customFormat="1" ht="19.5" customHeight="1" x14ac:dyDescent="0.25">
      <c r="A639" s="192"/>
      <c r="B639" s="124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20"/>
    </row>
    <row r="640" spans="1:16" s="1" customFormat="1" ht="19.5" customHeight="1" x14ac:dyDescent="0.25">
      <c r="A640" s="194"/>
      <c r="B640" s="124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0"/>
    </row>
    <row r="641" spans="1:16" s="1" customFormat="1" ht="19.5" customHeight="1" x14ac:dyDescent="0.25">
      <c r="A641" s="194"/>
      <c r="B641" s="124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0"/>
    </row>
    <row r="642" spans="1:16" s="1" customFormat="1" ht="19.5" customHeight="1" x14ac:dyDescent="0.25">
      <c r="A642" s="194"/>
      <c r="B642" s="124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0"/>
    </row>
    <row r="643" spans="1:16" s="1" customFormat="1" ht="19.5" customHeight="1" x14ac:dyDescent="0.25">
      <c r="A643" s="192"/>
      <c r="B643" s="124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0"/>
    </row>
    <row r="644" spans="1:16" s="1" customFormat="1" ht="19.5" customHeight="1" x14ac:dyDescent="0.25">
      <c r="A644" s="192"/>
      <c r="B644" s="124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0"/>
    </row>
    <row r="645" spans="1:16" s="1" customFormat="1" ht="19.5" customHeight="1" x14ac:dyDescent="0.25">
      <c r="A645" s="192"/>
      <c r="B645" s="124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0"/>
    </row>
    <row r="646" spans="1:16" s="1" customFormat="1" ht="19.5" customHeight="1" x14ac:dyDescent="0.25">
      <c r="A646" s="192"/>
      <c r="B646" s="124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20"/>
    </row>
    <row r="647" spans="1:16" s="1" customFormat="1" ht="19.5" customHeight="1" x14ac:dyDescent="0.25">
      <c r="A647" s="192"/>
      <c r="B647" s="124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20"/>
    </row>
    <row r="648" spans="1:16" s="1" customFormat="1" ht="19.5" customHeight="1" x14ac:dyDescent="0.25">
      <c r="A648" s="192"/>
      <c r="B648" s="124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20"/>
    </row>
    <row r="649" spans="1:16" s="1" customFormat="1" ht="19.5" customHeight="1" x14ac:dyDescent="0.25">
      <c r="A649" s="192"/>
      <c r="B649" s="124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19"/>
      <c r="P649" s="120"/>
    </row>
    <row r="650" spans="1:16" s="1" customFormat="1" ht="19.5" customHeight="1" x14ac:dyDescent="0.25">
      <c r="A650" s="192"/>
      <c r="B650" s="124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20"/>
    </row>
    <row r="651" spans="1:16" s="1" customFormat="1" ht="19.5" customHeight="1" x14ac:dyDescent="0.25">
      <c r="A651" s="192"/>
      <c r="B651" s="124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20"/>
    </row>
    <row r="652" spans="1:16" s="1" customFormat="1" ht="19.5" customHeight="1" x14ac:dyDescent="0.25">
      <c r="A652" s="194"/>
      <c r="B652" s="124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0"/>
    </row>
    <row r="653" spans="1:16" s="1" customFormat="1" ht="19.5" customHeight="1" x14ac:dyDescent="0.25">
      <c r="A653" s="194"/>
      <c r="B653" s="124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0"/>
    </row>
    <row r="654" spans="1:16" s="1" customFormat="1" ht="19.5" customHeight="1" x14ac:dyDescent="0.25">
      <c r="A654" s="194"/>
      <c r="B654" s="124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0"/>
    </row>
    <row r="655" spans="1:16" s="1" customFormat="1" ht="19.5" customHeight="1" x14ac:dyDescent="0.25">
      <c r="A655" s="192"/>
      <c r="B655" s="124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0"/>
    </row>
    <row r="656" spans="1:16" s="1" customFormat="1" ht="19.5" customHeight="1" x14ac:dyDescent="0.25">
      <c r="A656" s="192"/>
      <c r="B656" s="124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0"/>
    </row>
    <row r="657" spans="1:16" s="1" customFormat="1" ht="19.5" customHeight="1" x14ac:dyDescent="0.25">
      <c r="A657" s="192"/>
      <c r="B657" s="124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0"/>
    </row>
    <row r="658" spans="1:16" s="1" customFormat="1" ht="19.5" customHeight="1" x14ac:dyDescent="0.25">
      <c r="A658" s="192"/>
      <c r="B658" s="124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20"/>
    </row>
    <row r="659" spans="1:16" s="1" customFormat="1" ht="19.5" customHeight="1" x14ac:dyDescent="0.25">
      <c r="A659" s="192"/>
      <c r="B659" s="124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20"/>
    </row>
    <row r="660" spans="1:16" s="1" customFormat="1" ht="19.5" customHeight="1" x14ac:dyDescent="0.25">
      <c r="A660" s="192"/>
      <c r="B660" s="124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20"/>
    </row>
    <row r="661" spans="1:16" s="1" customFormat="1" ht="19.5" customHeight="1" x14ac:dyDescent="0.25">
      <c r="A661" s="192"/>
      <c r="B661" s="124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19"/>
      <c r="P661" s="120"/>
    </row>
    <row r="662" spans="1:16" s="1" customFormat="1" ht="19.5" customHeight="1" x14ac:dyDescent="0.25">
      <c r="A662" s="192"/>
      <c r="B662" s="124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20"/>
    </row>
    <row r="663" spans="1:16" s="1" customFormat="1" ht="19.5" customHeight="1" x14ac:dyDescent="0.25">
      <c r="A663" s="192"/>
      <c r="B663" s="124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20"/>
    </row>
    <row r="664" spans="1:16" s="1" customFormat="1" ht="19.5" customHeight="1" x14ac:dyDescent="0.25">
      <c r="A664" s="194"/>
      <c r="B664" s="124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0"/>
    </row>
    <row r="665" spans="1:16" s="1" customFormat="1" ht="19.5" customHeight="1" x14ac:dyDescent="0.25">
      <c r="A665" s="194"/>
      <c r="B665" s="124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0"/>
    </row>
    <row r="666" spans="1:16" s="1" customFormat="1" ht="19.5" customHeight="1" x14ac:dyDescent="0.25">
      <c r="A666" s="194"/>
      <c r="B666" s="124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0"/>
    </row>
    <row r="667" spans="1:16" s="1" customFormat="1" ht="19.5" customHeight="1" x14ac:dyDescent="0.25">
      <c r="A667" s="192"/>
      <c r="B667" s="124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0"/>
    </row>
    <row r="668" spans="1:16" s="1" customFormat="1" ht="19.5" customHeight="1" x14ac:dyDescent="0.25">
      <c r="A668" s="192"/>
      <c r="B668" s="124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0"/>
    </row>
    <row r="669" spans="1:16" s="1" customFormat="1" ht="19.5" customHeight="1" x14ac:dyDescent="0.25">
      <c r="A669" s="192"/>
      <c r="B669" s="124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0"/>
    </row>
    <row r="670" spans="1:16" s="1" customFormat="1" ht="19.5" customHeight="1" x14ac:dyDescent="0.25">
      <c r="A670" s="192"/>
      <c r="B670" s="124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20"/>
    </row>
    <row r="671" spans="1:16" s="1" customFormat="1" ht="19.5" customHeight="1" x14ac:dyDescent="0.25">
      <c r="A671" s="192"/>
      <c r="B671" s="124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20"/>
    </row>
    <row r="672" spans="1:16" s="1" customFormat="1" ht="19.5" customHeight="1" x14ac:dyDescent="0.25">
      <c r="A672" s="192"/>
      <c r="B672" s="124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20"/>
    </row>
    <row r="673" spans="1:16" s="1" customFormat="1" ht="19.5" customHeight="1" x14ac:dyDescent="0.25">
      <c r="A673" s="192"/>
      <c r="B673" s="124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19"/>
      <c r="P673" s="120"/>
    </row>
    <row r="674" spans="1:16" s="1" customFormat="1" ht="19.5" customHeight="1" x14ac:dyDescent="0.25">
      <c r="A674" s="192"/>
      <c r="B674" s="124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20"/>
    </row>
    <row r="675" spans="1:16" s="1" customFormat="1" ht="19.5" customHeight="1" x14ac:dyDescent="0.25">
      <c r="A675" s="192"/>
      <c r="B675" s="124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20"/>
    </row>
    <row r="676" spans="1:16" s="1" customFormat="1" ht="19.5" customHeight="1" x14ac:dyDescent="0.25">
      <c r="A676" s="194"/>
      <c r="B676" s="124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0"/>
    </row>
    <row r="677" spans="1:16" s="1" customFormat="1" ht="19.5" customHeight="1" x14ac:dyDescent="0.25">
      <c r="A677" s="194"/>
      <c r="B677" s="124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0"/>
    </row>
    <row r="678" spans="1:16" s="1" customFormat="1" ht="19.5" customHeight="1" x14ac:dyDescent="0.25">
      <c r="A678" s="194"/>
      <c r="B678" s="124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0"/>
    </row>
    <row r="679" spans="1:16" s="1" customFormat="1" ht="19.5" customHeight="1" x14ac:dyDescent="0.25">
      <c r="A679" s="192"/>
      <c r="B679" s="124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0"/>
    </row>
    <row r="680" spans="1:16" s="1" customFormat="1" ht="19.5" customHeight="1" x14ac:dyDescent="0.25">
      <c r="A680" s="192"/>
      <c r="B680" s="124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0"/>
    </row>
    <row r="681" spans="1:16" s="1" customFormat="1" ht="19.5" customHeight="1" x14ac:dyDescent="0.25">
      <c r="A681" s="192"/>
      <c r="B681" s="124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0"/>
    </row>
    <row r="682" spans="1:16" s="1" customFormat="1" ht="19.5" customHeight="1" x14ac:dyDescent="0.25">
      <c r="A682" s="192"/>
      <c r="B682" s="124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20"/>
    </row>
    <row r="683" spans="1:16" s="1" customFormat="1" ht="19.5" customHeight="1" x14ac:dyDescent="0.25">
      <c r="A683" s="192"/>
      <c r="B683" s="124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20"/>
    </row>
    <row r="684" spans="1:16" s="1" customFormat="1" ht="19.5" customHeight="1" x14ac:dyDescent="0.25">
      <c r="A684" s="192"/>
      <c r="B684" s="124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20"/>
    </row>
    <row r="685" spans="1:16" s="1" customFormat="1" ht="19.5" customHeight="1" x14ac:dyDescent="0.25">
      <c r="A685" s="192"/>
      <c r="B685" s="124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19"/>
      <c r="P685" s="120"/>
    </row>
    <row r="686" spans="1:16" s="1" customFormat="1" ht="19.5" customHeight="1" x14ac:dyDescent="0.25">
      <c r="A686" s="192"/>
      <c r="B686" s="124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20"/>
    </row>
    <row r="687" spans="1:16" s="1" customFormat="1" ht="19.5" customHeight="1" x14ac:dyDescent="0.25">
      <c r="A687" s="192"/>
      <c r="B687" s="124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20"/>
    </row>
    <row r="688" spans="1:16" s="1" customFormat="1" ht="19.5" customHeight="1" x14ac:dyDescent="0.25">
      <c r="A688" s="194"/>
      <c r="B688" s="124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0"/>
    </row>
    <row r="689" spans="1:16" s="1" customFormat="1" ht="19.5" customHeight="1" x14ac:dyDescent="0.25">
      <c r="A689" s="194"/>
      <c r="B689" s="124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0"/>
    </row>
    <row r="690" spans="1:16" s="1" customFormat="1" ht="19.5" customHeight="1" x14ac:dyDescent="0.25">
      <c r="A690" s="194"/>
      <c r="B690" s="124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0"/>
    </row>
    <row r="691" spans="1:16" s="1" customFormat="1" ht="19.5" customHeight="1" x14ac:dyDescent="0.25">
      <c r="A691" s="192"/>
      <c r="B691" s="124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0"/>
    </row>
    <row r="692" spans="1:16" s="1" customFormat="1" ht="19.5" customHeight="1" x14ac:dyDescent="0.25">
      <c r="A692" s="192"/>
      <c r="B692" s="124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0"/>
    </row>
    <row r="693" spans="1:16" s="1" customFormat="1" ht="19.5" customHeight="1" x14ac:dyDescent="0.25">
      <c r="A693" s="192"/>
      <c r="B693" s="124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0"/>
    </row>
    <row r="694" spans="1:16" s="1" customFormat="1" ht="19.5" customHeight="1" x14ac:dyDescent="0.25">
      <c r="A694" s="192"/>
      <c r="B694" s="124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20"/>
    </row>
    <row r="695" spans="1:16" s="1" customFormat="1" ht="19.5" customHeight="1" x14ac:dyDescent="0.25">
      <c r="A695" s="192"/>
      <c r="B695" s="124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20"/>
    </row>
    <row r="696" spans="1:16" s="1" customFormat="1" ht="19.5" customHeight="1" x14ac:dyDescent="0.25">
      <c r="A696" s="192"/>
      <c r="B696" s="124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20"/>
    </row>
    <row r="697" spans="1:16" s="1" customFormat="1" ht="19.5" customHeight="1" x14ac:dyDescent="0.25">
      <c r="A697" s="192"/>
      <c r="B697" s="124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19"/>
      <c r="P697" s="120"/>
    </row>
    <row r="698" spans="1:16" s="1" customFormat="1" ht="19.5" customHeight="1" x14ac:dyDescent="0.25">
      <c r="A698" s="192"/>
      <c r="B698" s="124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20"/>
    </row>
    <row r="699" spans="1:16" s="1" customFormat="1" ht="19.5" customHeight="1" x14ac:dyDescent="0.25">
      <c r="A699" s="192"/>
      <c r="B699" s="124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20"/>
    </row>
    <row r="700" spans="1:16" s="1" customFormat="1" ht="19.5" customHeight="1" x14ac:dyDescent="0.25">
      <c r="A700" s="194"/>
      <c r="B700" s="124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0"/>
    </row>
    <row r="701" spans="1:16" s="1" customFormat="1" ht="19.5" customHeight="1" x14ac:dyDescent="0.25">
      <c r="A701" s="194"/>
      <c r="B701" s="124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0"/>
    </row>
    <row r="702" spans="1:16" s="1" customFormat="1" ht="19.5" customHeight="1" x14ac:dyDescent="0.25">
      <c r="A702" s="194"/>
      <c r="B702" s="124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0"/>
    </row>
    <row r="703" spans="1:16" s="1" customFormat="1" ht="19.5" customHeight="1" x14ac:dyDescent="0.25">
      <c r="A703" s="192"/>
      <c r="B703" s="124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0"/>
    </row>
    <row r="704" spans="1:16" s="1" customFormat="1" ht="19.5" customHeight="1" x14ac:dyDescent="0.25">
      <c r="A704" s="192"/>
      <c r="B704" s="124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0"/>
    </row>
    <row r="705" spans="1:16" s="1" customFormat="1" ht="19.5" customHeight="1" x14ac:dyDescent="0.25">
      <c r="A705" s="192"/>
      <c r="B705" s="124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0"/>
    </row>
    <row r="706" spans="1:16" s="1" customFormat="1" ht="19.5" customHeight="1" x14ac:dyDescent="0.25">
      <c r="A706" s="192"/>
      <c r="B706" s="124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20"/>
    </row>
    <row r="707" spans="1:16" s="1" customFormat="1" ht="19.5" customHeight="1" x14ac:dyDescent="0.25">
      <c r="A707" s="192"/>
      <c r="B707" s="124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20"/>
    </row>
    <row r="708" spans="1:16" s="1" customFormat="1" ht="19.5" customHeight="1" x14ac:dyDescent="0.25">
      <c r="A708" s="192"/>
      <c r="B708" s="124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20"/>
    </row>
    <row r="709" spans="1:16" s="1" customFormat="1" ht="19.5" customHeight="1" x14ac:dyDescent="0.25">
      <c r="A709" s="192"/>
      <c r="B709" s="124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19"/>
      <c r="P709" s="120"/>
    </row>
    <row r="710" spans="1:16" s="1" customFormat="1" ht="19.5" customHeight="1" x14ac:dyDescent="0.25">
      <c r="A710" s="192"/>
      <c r="B710" s="124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20"/>
    </row>
    <row r="711" spans="1:16" s="1" customFormat="1" ht="19.5" customHeight="1" x14ac:dyDescent="0.25">
      <c r="A711" s="192"/>
      <c r="B711" s="124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20"/>
    </row>
    <row r="712" spans="1:16" s="1" customFormat="1" ht="19.5" customHeight="1" x14ac:dyDescent="0.25">
      <c r="A712" s="194"/>
      <c r="B712" s="124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0"/>
    </row>
    <row r="713" spans="1:16" s="1" customFormat="1" ht="19.5" customHeight="1" x14ac:dyDescent="0.25">
      <c r="A713" s="194"/>
      <c r="B713" s="124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0"/>
    </row>
    <row r="714" spans="1:16" s="1" customFormat="1" ht="19.5" customHeight="1" x14ac:dyDescent="0.25">
      <c r="A714" s="194"/>
      <c r="B714" s="124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0"/>
    </row>
    <row r="715" spans="1:16" s="1" customFormat="1" ht="19.5" customHeight="1" x14ac:dyDescent="0.25">
      <c r="A715" s="192"/>
      <c r="B715" s="124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0"/>
    </row>
    <row r="716" spans="1:16" s="1" customFormat="1" ht="19.5" customHeight="1" x14ac:dyDescent="0.25">
      <c r="A716" s="192"/>
      <c r="B716" s="124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0"/>
    </row>
    <row r="717" spans="1:16" s="1" customFormat="1" ht="19.5" customHeight="1" x14ac:dyDescent="0.25">
      <c r="A717" s="192"/>
      <c r="B717" s="124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0"/>
    </row>
    <row r="718" spans="1:16" s="1" customFormat="1" ht="19.5" customHeight="1" x14ac:dyDescent="0.25">
      <c r="A718" s="192"/>
      <c r="B718" s="124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20"/>
    </row>
    <row r="719" spans="1:16" s="1" customFormat="1" ht="19.5" customHeight="1" x14ac:dyDescent="0.25">
      <c r="A719" s="192"/>
      <c r="B719" s="124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20"/>
    </row>
    <row r="720" spans="1:16" s="1" customFormat="1" ht="19.5" customHeight="1" x14ac:dyDescent="0.25">
      <c r="A720" s="192"/>
      <c r="B720" s="124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20"/>
    </row>
    <row r="721" spans="1:16" s="1" customFormat="1" ht="19.5" customHeight="1" x14ac:dyDescent="0.25">
      <c r="A721" s="192"/>
      <c r="B721" s="124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19"/>
      <c r="P721" s="120"/>
    </row>
    <row r="722" spans="1:16" s="1" customFormat="1" ht="19.5" customHeight="1" x14ac:dyDescent="0.25">
      <c r="A722" s="192"/>
      <c r="B722" s="124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20"/>
    </row>
    <row r="723" spans="1:16" s="1" customFormat="1" ht="19.5" customHeight="1" x14ac:dyDescent="0.25">
      <c r="A723" s="192"/>
      <c r="B723" s="124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20"/>
    </row>
    <row r="724" spans="1:16" s="1" customFormat="1" ht="19.5" customHeight="1" x14ac:dyDescent="0.25">
      <c r="A724" s="194"/>
      <c r="B724" s="124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0"/>
    </row>
    <row r="725" spans="1:16" s="1" customFormat="1" ht="19.5" customHeight="1" x14ac:dyDescent="0.25">
      <c r="A725" s="194"/>
      <c r="B725" s="124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0"/>
    </row>
    <row r="726" spans="1:16" s="1" customFormat="1" ht="19.5" customHeight="1" x14ac:dyDescent="0.25">
      <c r="A726" s="194"/>
      <c r="B726" s="124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0"/>
    </row>
    <row r="727" spans="1:16" s="1" customFormat="1" ht="19.5" customHeight="1" x14ac:dyDescent="0.25">
      <c r="A727" s="192"/>
      <c r="B727" s="124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0"/>
    </row>
    <row r="728" spans="1:16" s="1" customFormat="1" ht="19.5" customHeight="1" x14ac:dyDescent="0.25">
      <c r="A728" s="192"/>
      <c r="B728" s="124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0"/>
    </row>
    <row r="729" spans="1:16" s="1" customFormat="1" ht="19.5" customHeight="1" x14ac:dyDescent="0.25">
      <c r="A729" s="192"/>
      <c r="B729" s="124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0"/>
    </row>
    <row r="730" spans="1:16" s="1" customFormat="1" ht="19.5" customHeight="1" x14ac:dyDescent="0.25">
      <c r="A730" s="192"/>
      <c r="B730" s="124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20"/>
    </row>
    <row r="731" spans="1:16" s="1" customFormat="1" ht="19.5" customHeight="1" x14ac:dyDescent="0.25">
      <c r="A731" s="192"/>
      <c r="B731" s="124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20"/>
    </row>
    <row r="732" spans="1:16" s="1" customFormat="1" ht="19.5" customHeight="1" x14ac:dyDescent="0.25">
      <c r="A732" s="192"/>
      <c r="B732" s="124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20"/>
    </row>
    <row r="733" spans="1:16" s="1" customFormat="1" ht="19.5" customHeight="1" x14ac:dyDescent="0.25">
      <c r="A733" s="192"/>
      <c r="B733" s="124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19"/>
      <c r="P733" s="120"/>
    </row>
    <row r="734" spans="1:16" s="1" customFormat="1" ht="19.5" customHeight="1" x14ac:dyDescent="0.25">
      <c r="A734" s="192"/>
      <c r="B734" s="124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20"/>
    </row>
    <row r="735" spans="1:16" s="1" customFormat="1" ht="19.5" customHeight="1" x14ac:dyDescent="0.25">
      <c r="A735" s="192"/>
      <c r="B735" s="124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20"/>
    </row>
    <row r="736" spans="1:16" s="1" customFormat="1" ht="19.5" customHeight="1" x14ac:dyDescent="0.25">
      <c r="A736" s="194"/>
      <c r="B736" s="124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0"/>
    </row>
    <row r="737" spans="1:16" s="1" customFormat="1" ht="19.5" customHeight="1" x14ac:dyDescent="0.25">
      <c r="A737" s="194"/>
      <c r="B737" s="124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0"/>
    </row>
    <row r="738" spans="1:16" s="1" customFormat="1" ht="19.5" customHeight="1" x14ac:dyDescent="0.25">
      <c r="A738" s="194"/>
      <c r="B738" s="124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0"/>
    </row>
    <row r="739" spans="1:16" s="1" customFormat="1" ht="19.5" customHeight="1" x14ac:dyDescent="0.25">
      <c r="A739" s="192"/>
      <c r="B739" s="124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0"/>
    </row>
    <row r="740" spans="1:16" s="1" customFormat="1" ht="19.5" customHeight="1" x14ac:dyDescent="0.25">
      <c r="A740" s="192"/>
      <c r="B740" s="124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0"/>
    </row>
    <row r="741" spans="1:16" s="1" customFormat="1" ht="19.5" customHeight="1" x14ac:dyDescent="0.25">
      <c r="A741" s="192"/>
      <c r="B741" s="124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0"/>
    </row>
    <row r="742" spans="1:16" s="1" customFormat="1" ht="19.5" customHeight="1" x14ac:dyDescent="0.25">
      <c r="A742" s="192"/>
      <c r="B742" s="124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20"/>
    </row>
    <row r="743" spans="1:16" s="1" customFormat="1" ht="19.5" customHeight="1" x14ac:dyDescent="0.25">
      <c r="A743" s="192"/>
      <c r="B743" s="124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20"/>
    </row>
    <row r="744" spans="1:16" s="1" customFormat="1" ht="19.5" customHeight="1" x14ac:dyDescent="0.25">
      <c r="A744" s="192"/>
      <c r="B744" s="124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20"/>
    </row>
    <row r="745" spans="1:16" s="1" customFormat="1" ht="19.5" customHeight="1" x14ac:dyDescent="0.25">
      <c r="A745" s="192"/>
      <c r="B745" s="124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19"/>
      <c r="P745" s="120"/>
    </row>
    <row r="746" spans="1:16" s="1" customFormat="1" ht="19.5" customHeight="1" x14ac:dyDescent="0.25">
      <c r="A746" s="192"/>
      <c r="B746" s="124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20"/>
    </row>
    <row r="747" spans="1:16" s="1" customFormat="1" ht="19.5" customHeight="1" x14ac:dyDescent="0.25">
      <c r="A747" s="192"/>
      <c r="B747" s="124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20"/>
    </row>
    <row r="748" spans="1:16" s="1" customFormat="1" ht="19.5" customHeight="1" x14ac:dyDescent="0.25">
      <c r="A748" s="194"/>
      <c r="B748" s="124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0"/>
    </row>
    <row r="749" spans="1:16" s="1" customFormat="1" ht="19.5" customHeight="1" x14ac:dyDescent="0.25">
      <c r="A749" s="194"/>
      <c r="B749" s="124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0"/>
    </row>
    <row r="750" spans="1:16" s="1" customFormat="1" ht="19.5" customHeight="1" x14ac:dyDescent="0.25">
      <c r="A750" s="194"/>
      <c r="B750" s="124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0"/>
    </row>
    <row r="751" spans="1:16" s="1" customFormat="1" ht="19.5" customHeight="1" x14ac:dyDescent="0.25">
      <c r="A751" s="192"/>
      <c r="B751" s="124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0"/>
    </row>
    <row r="752" spans="1:16" s="1" customFormat="1" ht="19.5" customHeight="1" x14ac:dyDescent="0.25">
      <c r="A752" s="192"/>
      <c r="B752" s="124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0"/>
    </row>
    <row r="753" spans="1:16" s="1" customFormat="1" ht="19.5" customHeight="1" x14ac:dyDescent="0.25">
      <c r="A753" s="192"/>
      <c r="B753" s="124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0"/>
    </row>
    <row r="754" spans="1:16" s="1" customFormat="1" ht="19.5" customHeight="1" x14ac:dyDescent="0.25">
      <c r="A754" s="192"/>
      <c r="B754" s="124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20"/>
    </row>
    <row r="755" spans="1:16" s="1" customFormat="1" ht="19.5" customHeight="1" x14ac:dyDescent="0.25">
      <c r="A755" s="192"/>
      <c r="B755" s="124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20"/>
    </row>
    <row r="756" spans="1:16" s="1" customFormat="1" ht="19.5" customHeight="1" x14ac:dyDescent="0.25">
      <c r="A756" s="192"/>
      <c r="B756" s="124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20"/>
    </row>
    <row r="757" spans="1:16" s="1" customFormat="1" ht="19.5" customHeight="1" x14ac:dyDescent="0.25">
      <c r="A757" s="192"/>
      <c r="B757" s="124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19"/>
      <c r="P757" s="120"/>
    </row>
    <row r="758" spans="1:16" s="1" customFormat="1" ht="19.5" customHeight="1" x14ac:dyDescent="0.25">
      <c r="A758" s="192"/>
      <c r="B758" s="124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20"/>
    </row>
    <row r="759" spans="1:16" s="1" customFormat="1" ht="19.5" customHeight="1" x14ac:dyDescent="0.25">
      <c r="A759" s="192"/>
      <c r="B759" s="124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20"/>
    </row>
    <row r="760" spans="1:16" s="1" customFormat="1" ht="19.5" customHeight="1" x14ac:dyDescent="0.25">
      <c r="A760" s="194"/>
      <c r="B760" s="124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0"/>
    </row>
    <row r="761" spans="1:16" s="1" customFormat="1" ht="19.5" customHeight="1" x14ac:dyDescent="0.25">
      <c r="A761" s="194"/>
      <c r="B761" s="124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0"/>
    </row>
    <row r="762" spans="1:16" s="1" customFormat="1" ht="19.5" customHeight="1" x14ac:dyDescent="0.25">
      <c r="A762" s="194"/>
      <c r="B762" s="124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0"/>
    </row>
    <row r="763" spans="1:16" s="1" customFormat="1" ht="19.5" customHeight="1" x14ac:dyDescent="0.25">
      <c r="A763" s="192"/>
      <c r="B763" s="124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0"/>
    </row>
    <row r="764" spans="1:16" s="1" customFormat="1" ht="19.5" customHeight="1" x14ac:dyDescent="0.25">
      <c r="A764" s="192"/>
      <c r="B764" s="124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0"/>
    </row>
    <row r="765" spans="1:16" s="1" customFormat="1" ht="19.5" customHeight="1" x14ac:dyDescent="0.25">
      <c r="A765" s="192"/>
      <c r="B765" s="124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0"/>
    </row>
    <row r="766" spans="1:16" s="1" customFormat="1" ht="19.5" customHeight="1" x14ac:dyDescent="0.25">
      <c r="A766" s="192"/>
      <c r="B766" s="124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20"/>
    </row>
    <row r="767" spans="1:16" s="1" customFormat="1" ht="19.5" customHeight="1" x14ac:dyDescent="0.25">
      <c r="A767" s="192"/>
      <c r="B767" s="124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20"/>
    </row>
    <row r="768" spans="1:16" s="1" customFormat="1" ht="19.5" customHeight="1" x14ac:dyDescent="0.25">
      <c r="A768" s="192"/>
      <c r="B768" s="124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20"/>
    </row>
    <row r="769" spans="1:16" s="1" customFormat="1" ht="19.5" customHeight="1" x14ac:dyDescent="0.25">
      <c r="A769" s="192"/>
      <c r="B769" s="124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19"/>
      <c r="P769" s="120"/>
    </row>
    <row r="770" spans="1:16" s="1" customFormat="1" ht="19.5" customHeight="1" x14ac:dyDescent="0.25">
      <c r="A770" s="192"/>
      <c r="B770" s="124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20"/>
    </row>
    <row r="771" spans="1:16" s="1" customFormat="1" ht="19.5" customHeight="1" x14ac:dyDescent="0.25">
      <c r="A771" s="192"/>
      <c r="B771" s="124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20"/>
    </row>
    <row r="772" spans="1:16" s="1" customFormat="1" ht="19.5" customHeight="1" x14ac:dyDescent="0.25">
      <c r="A772" s="194"/>
      <c r="B772" s="124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0"/>
    </row>
    <row r="773" spans="1:16" s="1" customFormat="1" ht="19.5" customHeight="1" x14ac:dyDescent="0.25">
      <c r="A773" s="194"/>
      <c r="B773" s="124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0"/>
    </row>
    <row r="774" spans="1:16" s="1" customFormat="1" ht="19.5" customHeight="1" x14ac:dyDescent="0.25">
      <c r="A774" s="194"/>
      <c r="B774" s="124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0"/>
    </row>
    <row r="775" spans="1:16" s="1" customFormat="1" ht="19.5" customHeight="1" x14ac:dyDescent="0.25">
      <c r="A775" s="192"/>
      <c r="B775" s="124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0"/>
    </row>
    <row r="776" spans="1:16" s="1" customFormat="1" ht="19.5" customHeight="1" x14ac:dyDescent="0.25">
      <c r="A776" s="192"/>
      <c r="B776" s="124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0"/>
    </row>
    <row r="777" spans="1:16" s="1" customFormat="1" ht="19.5" customHeight="1" x14ac:dyDescent="0.25">
      <c r="A777" s="192"/>
      <c r="B777" s="124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0"/>
    </row>
    <row r="778" spans="1:16" s="1" customFormat="1" ht="19.5" customHeight="1" x14ac:dyDescent="0.25">
      <c r="A778" s="192"/>
      <c r="B778" s="124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20"/>
    </row>
    <row r="779" spans="1:16" s="1" customFormat="1" ht="19.5" customHeight="1" x14ac:dyDescent="0.25">
      <c r="A779" s="192"/>
      <c r="B779" s="124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20"/>
    </row>
    <row r="780" spans="1:16" s="1" customFormat="1" ht="19.5" customHeight="1" x14ac:dyDescent="0.25">
      <c r="A780" s="192"/>
      <c r="B780" s="124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20"/>
    </row>
    <row r="781" spans="1:16" s="1" customFormat="1" ht="19.5" customHeight="1" x14ac:dyDescent="0.25">
      <c r="A781" s="192"/>
      <c r="B781" s="124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19"/>
      <c r="P781" s="120"/>
    </row>
    <row r="782" spans="1:16" s="1" customFormat="1" ht="19.5" customHeight="1" x14ac:dyDescent="0.25">
      <c r="A782" s="192"/>
      <c r="B782" s="124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20"/>
    </row>
    <row r="783" spans="1:16" s="1" customFormat="1" ht="19.5" customHeight="1" x14ac:dyDescent="0.25">
      <c r="A783" s="192"/>
      <c r="B783" s="124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20"/>
    </row>
    <row r="784" spans="1:16" s="1" customFormat="1" ht="19.5" customHeight="1" x14ac:dyDescent="0.25">
      <c r="A784" s="194"/>
      <c r="B784" s="124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0"/>
    </row>
    <row r="785" spans="1:16" s="1" customFormat="1" ht="19.5" customHeight="1" x14ac:dyDescent="0.25">
      <c r="A785" s="194"/>
      <c r="B785" s="124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0"/>
    </row>
    <row r="786" spans="1:16" s="1" customFormat="1" ht="19.5" customHeight="1" x14ac:dyDescent="0.25">
      <c r="A786" s="194"/>
      <c r="B786" s="124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0"/>
    </row>
    <row r="787" spans="1:16" s="1" customFormat="1" ht="19.5" customHeight="1" x14ac:dyDescent="0.25">
      <c r="A787" s="192"/>
      <c r="B787" s="124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0"/>
    </row>
    <row r="788" spans="1:16" s="1" customFormat="1" ht="19.5" customHeight="1" x14ac:dyDescent="0.25">
      <c r="A788" s="192"/>
      <c r="B788" s="124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0"/>
    </row>
    <row r="789" spans="1:16" s="1" customFormat="1" ht="19.5" customHeight="1" x14ac:dyDescent="0.25">
      <c r="A789" s="192"/>
      <c r="B789" s="124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0"/>
    </row>
    <row r="790" spans="1:16" s="1" customFormat="1" ht="19.5" customHeight="1" x14ac:dyDescent="0.25">
      <c r="A790" s="192"/>
      <c r="B790" s="124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20"/>
    </row>
    <row r="791" spans="1:16" s="1" customFormat="1" ht="19.5" customHeight="1" x14ac:dyDescent="0.25">
      <c r="A791" s="192"/>
      <c r="B791" s="124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20"/>
    </row>
    <row r="792" spans="1:16" s="1" customFormat="1" ht="19.5" customHeight="1" x14ac:dyDescent="0.25">
      <c r="A792" s="192"/>
      <c r="B792" s="124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20"/>
    </row>
    <row r="793" spans="1:16" s="1" customFormat="1" ht="19.5" customHeight="1" x14ac:dyDescent="0.25">
      <c r="A793" s="192"/>
      <c r="B793" s="124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19"/>
      <c r="P793" s="120"/>
    </row>
    <row r="794" spans="1:16" s="1" customFormat="1" ht="19.5" customHeight="1" x14ac:dyDescent="0.25">
      <c r="A794" s="192"/>
      <c r="B794" s="124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20"/>
    </row>
    <row r="795" spans="1:16" s="1" customFormat="1" ht="19.5" customHeight="1" x14ac:dyDescent="0.25">
      <c r="A795" s="192"/>
      <c r="B795" s="124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20"/>
    </row>
    <row r="796" spans="1:16" s="1" customFormat="1" ht="19.5" customHeight="1" x14ac:dyDescent="0.25">
      <c r="A796" s="194"/>
      <c r="B796" s="124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0"/>
    </row>
    <row r="797" spans="1:16" s="1" customFormat="1" ht="19.5" customHeight="1" x14ac:dyDescent="0.25">
      <c r="A797" s="194"/>
      <c r="B797" s="124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0"/>
    </row>
    <row r="798" spans="1:16" s="1" customFormat="1" ht="19.5" customHeight="1" x14ac:dyDescent="0.25">
      <c r="A798" s="194"/>
      <c r="B798" s="124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0"/>
    </row>
    <row r="799" spans="1:16" s="1" customFormat="1" ht="19.5" customHeight="1" x14ac:dyDescent="0.25">
      <c r="A799" s="192"/>
      <c r="B799" s="124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0"/>
    </row>
    <row r="800" spans="1:16" s="1" customFormat="1" ht="19.5" customHeight="1" x14ac:dyDescent="0.25">
      <c r="A800" s="192"/>
      <c r="B800" s="124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0"/>
    </row>
    <row r="801" spans="1:16" s="1" customFormat="1" ht="19.5" customHeight="1" x14ac:dyDescent="0.25">
      <c r="A801" s="192"/>
      <c r="B801" s="124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0"/>
    </row>
    <row r="802" spans="1:16" s="1" customFormat="1" ht="19.5" customHeight="1" x14ac:dyDescent="0.25">
      <c r="A802" s="192"/>
      <c r="B802" s="124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20"/>
    </row>
    <row r="803" spans="1:16" s="1" customFormat="1" ht="19.5" customHeight="1" x14ac:dyDescent="0.25">
      <c r="A803" s="192"/>
      <c r="B803" s="124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20"/>
    </row>
    <row r="804" spans="1:16" s="1" customFormat="1" ht="19.5" customHeight="1" x14ac:dyDescent="0.25">
      <c r="A804" s="192"/>
      <c r="B804" s="124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20"/>
    </row>
    <row r="805" spans="1:16" s="1" customFormat="1" ht="19.5" customHeight="1" x14ac:dyDescent="0.25">
      <c r="A805" s="192"/>
      <c r="B805" s="124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19"/>
      <c r="P805" s="120"/>
    </row>
    <row r="806" spans="1:16" s="1" customFormat="1" ht="19.5" customHeight="1" x14ac:dyDescent="0.25">
      <c r="A806" s="192"/>
      <c r="B806" s="124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20"/>
    </row>
    <row r="807" spans="1:16" s="1" customFormat="1" ht="19.5" customHeight="1" x14ac:dyDescent="0.25">
      <c r="A807" s="192"/>
      <c r="B807" s="124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20"/>
    </row>
    <row r="808" spans="1:16" s="1" customFormat="1" ht="19.5" customHeight="1" x14ac:dyDescent="0.25">
      <c r="A808" s="194"/>
      <c r="B808" s="124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0"/>
    </row>
    <row r="809" spans="1:16" s="1" customFormat="1" ht="19.5" customHeight="1" x14ac:dyDescent="0.25">
      <c r="A809" s="194"/>
      <c r="B809" s="124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0"/>
    </row>
    <row r="810" spans="1:16" s="1" customFormat="1" ht="19.5" customHeight="1" x14ac:dyDescent="0.25">
      <c r="A810" s="194"/>
      <c r="B810" s="124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0"/>
    </row>
    <row r="811" spans="1:16" s="1" customFormat="1" ht="19.5" customHeight="1" x14ac:dyDescent="0.25">
      <c r="A811" s="192"/>
      <c r="B811" s="124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0"/>
    </row>
    <row r="812" spans="1:16" s="1" customFormat="1" ht="19.5" customHeight="1" x14ac:dyDescent="0.25">
      <c r="A812" s="192"/>
      <c r="B812" s="124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0"/>
    </row>
    <row r="813" spans="1:16" s="1" customFormat="1" ht="19.5" customHeight="1" x14ac:dyDescent="0.25">
      <c r="A813" s="192"/>
      <c r="B813" s="124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0"/>
    </row>
    <row r="814" spans="1:16" s="1" customFormat="1" ht="19.5" customHeight="1" x14ac:dyDescent="0.25">
      <c r="A814" s="192"/>
      <c r="B814" s="124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20"/>
    </row>
    <row r="815" spans="1:16" s="1" customFormat="1" ht="19.5" customHeight="1" x14ac:dyDescent="0.25">
      <c r="A815" s="192"/>
      <c r="B815" s="124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20"/>
    </row>
    <row r="816" spans="1:16" s="1" customFormat="1" ht="19.5" customHeight="1" x14ac:dyDescent="0.25">
      <c r="A816" s="192"/>
      <c r="B816" s="124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20"/>
    </row>
    <row r="817" spans="1:16" s="1" customFormat="1" ht="19.5" customHeight="1" x14ac:dyDescent="0.25">
      <c r="A817" s="192"/>
      <c r="B817" s="124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19"/>
      <c r="P817" s="120"/>
    </row>
    <row r="818" spans="1:16" s="1" customFormat="1" ht="19.5" customHeight="1" x14ac:dyDescent="0.25">
      <c r="A818" s="192"/>
      <c r="B818" s="124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20"/>
    </row>
    <row r="819" spans="1:16" s="1" customFormat="1" ht="19.5" customHeight="1" x14ac:dyDescent="0.25">
      <c r="A819" s="192"/>
      <c r="B819" s="124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20"/>
    </row>
    <row r="820" spans="1:16" s="1" customFormat="1" ht="19.5" customHeight="1" x14ac:dyDescent="0.25">
      <c r="A820" s="194"/>
      <c r="B820" s="124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0"/>
    </row>
    <row r="821" spans="1:16" s="1" customFormat="1" ht="19.5" customHeight="1" x14ac:dyDescent="0.25">
      <c r="A821" s="194"/>
      <c r="B821" s="124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0"/>
    </row>
    <row r="822" spans="1:16" s="1" customFormat="1" ht="19.5" customHeight="1" x14ac:dyDescent="0.25">
      <c r="A822" s="194"/>
      <c r="B822" s="124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0"/>
    </row>
    <row r="823" spans="1:16" s="1" customFormat="1" ht="19.5" customHeight="1" x14ac:dyDescent="0.25">
      <c r="A823" s="192"/>
      <c r="B823" s="124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0"/>
    </row>
    <row r="824" spans="1:16" s="1" customFormat="1" ht="19.5" customHeight="1" x14ac:dyDescent="0.25">
      <c r="A824" s="192"/>
      <c r="B824" s="124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0"/>
    </row>
    <row r="825" spans="1:16" s="1" customFormat="1" ht="19.5" customHeight="1" x14ac:dyDescent="0.25">
      <c r="A825" s="192"/>
      <c r="B825" s="124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0"/>
    </row>
    <row r="826" spans="1:16" s="1" customFormat="1" ht="19.5" customHeight="1" x14ac:dyDescent="0.25">
      <c r="A826" s="192"/>
      <c r="B826" s="124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20"/>
    </row>
    <row r="827" spans="1:16" s="1" customFormat="1" ht="19.5" customHeight="1" x14ac:dyDescent="0.25">
      <c r="A827" s="192"/>
      <c r="B827" s="124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20"/>
    </row>
    <row r="828" spans="1:16" s="1" customFormat="1" ht="19.5" customHeight="1" x14ac:dyDescent="0.25">
      <c r="A828" s="192"/>
      <c r="B828" s="124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20"/>
    </row>
    <row r="829" spans="1:16" s="1" customFormat="1" ht="19.5" customHeight="1" x14ac:dyDescent="0.25">
      <c r="A829" s="192"/>
      <c r="B829" s="124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19"/>
      <c r="P829" s="120"/>
    </row>
    <row r="830" spans="1:16" s="1" customFormat="1" ht="19.5" customHeight="1" x14ac:dyDescent="0.25">
      <c r="A830" s="192"/>
      <c r="B830" s="124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20"/>
    </row>
    <row r="831" spans="1:16" s="1" customFormat="1" ht="19.5" customHeight="1" x14ac:dyDescent="0.25">
      <c r="A831" s="192"/>
      <c r="B831" s="124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20"/>
    </row>
    <row r="832" spans="1:16" s="1" customFormat="1" ht="19.5" customHeight="1" x14ac:dyDescent="0.25">
      <c r="A832" s="194"/>
      <c r="B832" s="124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0"/>
    </row>
    <row r="833" spans="1:16" s="1" customFormat="1" ht="19.5" customHeight="1" x14ac:dyDescent="0.25">
      <c r="A833" s="194"/>
      <c r="B833" s="124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0"/>
    </row>
    <row r="834" spans="1:16" s="1" customFormat="1" ht="19.5" customHeight="1" x14ac:dyDescent="0.25">
      <c r="A834" s="194"/>
      <c r="B834" s="124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0"/>
    </row>
    <row r="835" spans="1:16" s="1" customFormat="1" ht="19.5" customHeight="1" x14ac:dyDescent="0.25">
      <c r="A835" s="192"/>
      <c r="B835" s="124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0"/>
    </row>
    <row r="836" spans="1:16" s="1" customFormat="1" ht="19.5" customHeight="1" x14ac:dyDescent="0.25">
      <c r="A836" s="192"/>
      <c r="B836" s="124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0"/>
    </row>
    <row r="837" spans="1:16" s="1" customFormat="1" ht="19.5" customHeight="1" x14ac:dyDescent="0.25">
      <c r="A837" s="192"/>
      <c r="B837" s="124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0"/>
    </row>
    <row r="838" spans="1:16" s="1" customFormat="1" ht="19.5" customHeight="1" x14ac:dyDescent="0.25">
      <c r="A838" s="192"/>
      <c r="B838" s="124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20"/>
    </row>
    <row r="839" spans="1:16" s="1" customFormat="1" ht="19.5" customHeight="1" x14ac:dyDescent="0.25">
      <c r="A839" s="192"/>
      <c r="B839" s="124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20"/>
    </row>
    <row r="840" spans="1:16" s="1" customFormat="1" ht="19.5" customHeight="1" x14ac:dyDescent="0.25">
      <c r="A840" s="192"/>
      <c r="B840" s="124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20"/>
    </row>
    <row r="841" spans="1:16" s="1" customFormat="1" ht="19.5" customHeight="1" x14ac:dyDescent="0.25">
      <c r="A841" s="192"/>
      <c r="B841" s="124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19"/>
      <c r="P841" s="120"/>
    </row>
    <row r="842" spans="1:16" s="1" customFormat="1" ht="19.5" customHeight="1" x14ac:dyDescent="0.25">
      <c r="A842" s="192"/>
      <c r="B842" s="124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20"/>
    </row>
    <row r="843" spans="1:16" s="1" customFormat="1" ht="19.5" customHeight="1" x14ac:dyDescent="0.25">
      <c r="A843" s="192"/>
      <c r="B843" s="124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20"/>
    </row>
    <row r="844" spans="1:16" s="1" customFormat="1" ht="19.5" customHeight="1" x14ac:dyDescent="0.25">
      <c r="A844" s="194"/>
      <c r="B844" s="124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0"/>
    </row>
    <row r="845" spans="1:16" s="1" customFormat="1" ht="19.5" customHeight="1" x14ac:dyDescent="0.25">
      <c r="A845" s="194"/>
      <c r="B845" s="124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0"/>
    </row>
    <row r="846" spans="1:16" s="1" customFormat="1" ht="19.5" customHeight="1" x14ac:dyDescent="0.25">
      <c r="A846" s="194"/>
      <c r="B846" s="124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0"/>
    </row>
    <row r="847" spans="1:16" s="1" customFormat="1" ht="19.5" customHeight="1" x14ac:dyDescent="0.25">
      <c r="A847" s="192"/>
      <c r="B847" s="124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0"/>
    </row>
    <row r="848" spans="1:16" s="1" customFormat="1" ht="19.5" customHeight="1" x14ac:dyDescent="0.25">
      <c r="A848" s="192"/>
      <c r="B848" s="124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0"/>
    </row>
    <row r="849" spans="1:16" s="1" customFormat="1" ht="19.5" customHeight="1" x14ac:dyDescent="0.25">
      <c r="A849" s="192"/>
      <c r="B849" s="124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0"/>
    </row>
    <row r="850" spans="1:16" s="1" customFormat="1" ht="19.5" customHeight="1" x14ac:dyDescent="0.25">
      <c r="A850" s="192"/>
      <c r="B850" s="124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20"/>
    </row>
    <row r="851" spans="1:16" s="1" customFormat="1" ht="19.5" customHeight="1" x14ac:dyDescent="0.25">
      <c r="A851" s="192"/>
      <c r="B851" s="124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20"/>
    </row>
    <row r="852" spans="1:16" s="1" customFormat="1" ht="19.5" customHeight="1" x14ac:dyDescent="0.25">
      <c r="A852" s="192"/>
      <c r="B852" s="124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20"/>
    </row>
    <row r="853" spans="1:16" s="1" customFormat="1" ht="19.5" customHeight="1" x14ac:dyDescent="0.25">
      <c r="A853" s="192"/>
      <c r="B853" s="124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19"/>
      <c r="P853" s="120"/>
    </row>
    <row r="854" spans="1:16" s="1" customFormat="1" ht="19.5" customHeight="1" x14ac:dyDescent="0.25">
      <c r="A854" s="192"/>
      <c r="B854" s="124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20"/>
    </row>
    <row r="855" spans="1:16" s="1" customFormat="1" ht="19.5" customHeight="1" x14ac:dyDescent="0.25">
      <c r="A855" s="192"/>
      <c r="B855" s="124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20"/>
    </row>
    <row r="856" spans="1:16" s="1" customFormat="1" ht="19.5" customHeight="1" x14ac:dyDescent="0.25">
      <c r="A856" s="194"/>
      <c r="B856" s="124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0"/>
    </row>
    <row r="857" spans="1:16" s="1" customFormat="1" ht="19.5" customHeight="1" x14ac:dyDescent="0.25">
      <c r="A857" s="194"/>
      <c r="B857" s="124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0"/>
    </row>
    <row r="858" spans="1:16" s="1" customFormat="1" ht="19.5" customHeight="1" x14ac:dyDescent="0.25">
      <c r="A858" s="194"/>
      <c r="B858" s="124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0"/>
    </row>
    <row r="859" spans="1:16" s="1" customFormat="1" ht="19.5" customHeight="1" x14ac:dyDescent="0.25">
      <c r="A859" s="192"/>
      <c r="B859" s="124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0"/>
    </row>
    <row r="860" spans="1:16" s="1" customFormat="1" ht="19.5" customHeight="1" x14ac:dyDescent="0.25">
      <c r="A860" s="192"/>
      <c r="B860" s="124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0"/>
    </row>
    <row r="861" spans="1:16" s="1" customFormat="1" ht="19.5" customHeight="1" x14ac:dyDescent="0.25">
      <c r="A861" s="192"/>
      <c r="B861" s="124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0"/>
    </row>
    <row r="862" spans="1:16" s="1" customFormat="1" ht="19.5" customHeight="1" x14ac:dyDescent="0.25">
      <c r="A862" s="192"/>
      <c r="B862" s="124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20"/>
    </row>
    <row r="863" spans="1:16" s="1" customFormat="1" ht="19.5" customHeight="1" x14ac:dyDescent="0.25">
      <c r="A863" s="192"/>
      <c r="B863" s="124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20"/>
    </row>
    <row r="864" spans="1:16" s="1" customFormat="1" ht="19.5" customHeight="1" x14ac:dyDescent="0.25">
      <c r="A864" s="192"/>
      <c r="B864" s="124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20"/>
    </row>
    <row r="865" spans="1:16" s="1" customFormat="1" ht="19.5" customHeight="1" x14ac:dyDescent="0.25">
      <c r="A865" s="192"/>
      <c r="B865" s="124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19"/>
      <c r="P865" s="120"/>
    </row>
    <row r="866" spans="1:16" s="1" customFormat="1" ht="19.5" customHeight="1" x14ac:dyDescent="0.25">
      <c r="A866" s="192"/>
      <c r="B866" s="124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20"/>
    </row>
    <row r="867" spans="1:16" s="1" customFormat="1" ht="19.5" customHeight="1" x14ac:dyDescent="0.25">
      <c r="A867" s="192"/>
      <c r="B867" s="124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20"/>
    </row>
    <row r="868" spans="1:16" ht="16.5" x14ac:dyDescent="0.25">
      <c r="A868" s="193"/>
      <c r="B868" s="193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0"/>
    </row>
    <row r="869" spans="1:16" x14ac:dyDescent="0.25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</row>
    <row r="870" spans="1:16" x14ac:dyDescent="0.25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</row>
    <row r="871" spans="1:16" x14ac:dyDescent="0.25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</row>
  </sheetData>
  <mergeCells count="288">
    <mergeCell ref="A145:A14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03:A105"/>
    <mergeCell ref="A106:A108"/>
    <mergeCell ref="A109:A111"/>
    <mergeCell ref="A868:B868"/>
    <mergeCell ref="A4:A6"/>
    <mergeCell ref="A100:A102"/>
    <mergeCell ref="A95:B95"/>
    <mergeCell ref="A10:A12"/>
    <mergeCell ref="A7:A9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112:A114"/>
    <mergeCell ref="A115:A117"/>
    <mergeCell ref="A88:A90"/>
    <mergeCell ref="A91:A93"/>
    <mergeCell ref="A70:A72"/>
    <mergeCell ref="A73:A75"/>
    <mergeCell ref="A76:A78"/>
    <mergeCell ref="A79:A81"/>
    <mergeCell ref="A82:A84"/>
    <mergeCell ref="A85:A87"/>
    <mergeCell ref="A52:A54"/>
    <mergeCell ref="A55:A57"/>
    <mergeCell ref="A58:A60"/>
    <mergeCell ref="A61:A63"/>
    <mergeCell ref="A64:A66"/>
    <mergeCell ref="A67:A69"/>
    <mergeCell ref="A166:A168"/>
    <mergeCell ref="A169:A171"/>
    <mergeCell ref="A172:A174"/>
    <mergeCell ref="A175:A177"/>
    <mergeCell ref="A178:A180"/>
    <mergeCell ref="A181:A183"/>
    <mergeCell ref="A148:A150"/>
    <mergeCell ref="A151:A153"/>
    <mergeCell ref="A154:A156"/>
    <mergeCell ref="A157:A159"/>
    <mergeCell ref="A160:A162"/>
    <mergeCell ref="A163:A165"/>
    <mergeCell ref="A202:A204"/>
    <mergeCell ref="A205:A207"/>
    <mergeCell ref="A208:A210"/>
    <mergeCell ref="A211:A213"/>
    <mergeCell ref="A214:A216"/>
    <mergeCell ref="A217:A219"/>
    <mergeCell ref="A184:A186"/>
    <mergeCell ref="A187:A189"/>
    <mergeCell ref="A190:A192"/>
    <mergeCell ref="A193:A195"/>
    <mergeCell ref="A196:A198"/>
    <mergeCell ref="A199:A201"/>
    <mergeCell ref="A238:A240"/>
    <mergeCell ref="A241:A243"/>
    <mergeCell ref="A244:A246"/>
    <mergeCell ref="A247:A249"/>
    <mergeCell ref="A250:A252"/>
    <mergeCell ref="A253:A255"/>
    <mergeCell ref="A220:A222"/>
    <mergeCell ref="A223:A225"/>
    <mergeCell ref="A226:A228"/>
    <mergeCell ref="A229:A231"/>
    <mergeCell ref="A232:A234"/>
    <mergeCell ref="A235:A237"/>
    <mergeCell ref="A274:A276"/>
    <mergeCell ref="A277:A279"/>
    <mergeCell ref="A280:A282"/>
    <mergeCell ref="A283:A285"/>
    <mergeCell ref="A286:A288"/>
    <mergeCell ref="A289:A291"/>
    <mergeCell ref="A256:A258"/>
    <mergeCell ref="A259:A261"/>
    <mergeCell ref="A262:A264"/>
    <mergeCell ref="A265:A267"/>
    <mergeCell ref="A268:A270"/>
    <mergeCell ref="A271:A273"/>
    <mergeCell ref="A310:A312"/>
    <mergeCell ref="A313:A315"/>
    <mergeCell ref="A316:A318"/>
    <mergeCell ref="A319:A321"/>
    <mergeCell ref="A322:A324"/>
    <mergeCell ref="A325:A327"/>
    <mergeCell ref="A292:A294"/>
    <mergeCell ref="A295:A297"/>
    <mergeCell ref="A298:A300"/>
    <mergeCell ref="A301:A303"/>
    <mergeCell ref="A304:A306"/>
    <mergeCell ref="A307:A309"/>
    <mergeCell ref="A346:A348"/>
    <mergeCell ref="A349:A351"/>
    <mergeCell ref="A352:A354"/>
    <mergeCell ref="A355:A357"/>
    <mergeCell ref="A358:A360"/>
    <mergeCell ref="A361:A363"/>
    <mergeCell ref="A328:A330"/>
    <mergeCell ref="A331:A333"/>
    <mergeCell ref="A334:A336"/>
    <mergeCell ref="A337:A339"/>
    <mergeCell ref="A340:A342"/>
    <mergeCell ref="A343:A345"/>
    <mergeCell ref="A382:A384"/>
    <mergeCell ref="A385:A387"/>
    <mergeCell ref="A388:A390"/>
    <mergeCell ref="A391:A393"/>
    <mergeCell ref="A394:A396"/>
    <mergeCell ref="A397:A399"/>
    <mergeCell ref="A364:A366"/>
    <mergeCell ref="A367:A369"/>
    <mergeCell ref="A370:A372"/>
    <mergeCell ref="A373:A375"/>
    <mergeCell ref="A376:A378"/>
    <mergeCell ref="A379:A381"/>
    <mergeCell ref="A418:A420"/>
    <mergeCell ref="A421:A423"/>
    <mergeCell ref="A424:A426"/>
    <mergeCell ref="A427:A429"/>
    <mergeCell ref="A430:A432"/>
    <mergeCell ref="A433:A435"/>
    <mergeCell ref="A400:A402"/>
    <mergeCell ref="A403:A405"/>
    <mergeCell ref="A406:A408"/>
    <mergeCell ref="A409:A411"/>
    <mergeCell ref="A412:A414"/>
    <mergeCell ref="A415:A417"/>
    <mergeCell ref="A454:A456"/>
    <mergeCell ref="A457:A459"/>
    <mergeCell ref="A460:A462"/>
    <mergeCell ref="A463:A465"/>
    <mergeCell ref="A466:A468"/>
    <mergeCell ref="A469:A471"/>
    <mergeCell ref="A436:A438"/>
    <mergeCell ref="A439:A441"/>
    <mergeCell ref="A442:A444"/>
    <mergeCell ref="A445:A447"/>
    <mergeCell ref="A448:A450"/>
    <mergeCell ref="A451:A453"/>
    <mergeCell ref="A490:A492"/>
    <mergeCell ref="A493:A495"/>
    <mergeCell ref="A496:A498"/>
    <mergeCell ref="A499:A501"/>
    <mergeCell ref="A502:A504"/>
    <mergeCell ref="A505:A507"/>
    <mergeCell ref="A472:A474"/>
    <mergeCell ref="A475:A477"/>
    <mergeCell ref="A478:A480"/>
    <mergeCell ref="A481:A483"/>
    <mergeCell ref="A484:A486"/>
    <mergeCell ref="A487:A489"/>
    <mergeCell ref="A526:A528"/>
    <mergeCell ref="A529:A531"/>
    <mergeCell ref="A532:A534"/>
    <mergeCell ref="A535:A537"/>
    <mergeCell ref="A538:A540"/>
    <mergeCell ref="A541:A543"/>
    <mergeCell ref="A508:A510"/>
    <mergeCell ref="A511:A513"/>
    <mergeCell ref="A514:A516"/>
    <mergeCell ref="A517:A519"/>
    <mergeCell ref="A520:A522"/>
    <mergeCell ref="A523:A525"/>
    <mergeCell ref="A562:A564"/>
    <mergeCell ref="A565:A567"/>
    <mergeCell ref="A568:A570"/>
    <mergeCell ref="A571:A573"/>
    <mergeCell ref="A574:A576"/>
    <mergeCell ref="A577:A579"/>
    <mergeCell ref="A544:A546"/>
    <mergeCell ref="A547:A549"/>
    <mergeCell ref="A550:A552"/>
    <mergeCell ref="A553:A555"/>
    <mergeCell ref="A556:A558"/>
    <mergeCell ref="A559:A561"/>
    <mergeCell ref="A598:A600"/>
    <mergeCell ref="A601:A603"/>
    <mergeCell ref="A604:A606"/>
    <mergeCell ref="A607:A609"/>
    <mergeCell ref="A610:A612"/>
    <mergeCell ref="A613:A615"/>
    <mergeCell ref="A580:A582"/>
    <mergeCell ref="A583:A585"/>
    <mergeCell ref="A586:A588"/>
    <mergeCell ref="A589:A591"/>
    <mergeCell ref="A592:A594"/>
    <mergeCell ref="A595:A597"/>
    <mergeCell ref="A634:A636"/>
    <mergeCell ref="A637:A639"/>
    <mergeCell ref="A640:A642"/>
    <mergeCell ref="A643:A645"/>
    <mergeCell ref="A646:A648"/>
    <mergeCell ref="A649:A651"/>
    <mergeCell ref="A616:A618"/>
    <mergeCell ref="A619:A621"/>
    <mergeCell ref="A622:A624"/>
    <mergeCell ref="A625:A627"/>
    <mergeCell ref="A628:A630"/>
    <mergeCell ref="A631:A633"/>
    <mergeCell ref="A670:A672"/>
    <mergeCell ref="A673:A675"/>
    <mergeCell ref="A676:A678"/>
    <mergeCell ref="A679:A681"/>
    <mergeCell ref="A682:A684"/>
    <mergeCell ref="A685:A687"/>
    <mergeCell ref="A652:A654"/>
    <mergeCell ref="A655:A657"/>
    <mergeCell ref="A658:A660"/>
    <mergeCell ref="A661:A663"/>
    <mergeCell ref="A664:A666"/>
    <mergeCell ref="A667:A669"/>
    <mergeCell ref="A706:A708"/>
    <mergeCell ref="A709:A711"/>
    <mergeCell ref="A712:A714"/>
    <mergeCell ref="A715:A717"/>
    <mergeCell ref="A718:A720"/>
    <mergeCell ref="A721:A723"/>
    <mergeCell ref="A688:A690"/>
    <mergeCell ref="A691:A693"/>
    <mergeCell ref="A694:A696"/>
    <mergeCell ref="A697:A699"/>
    <mergeCell ref="A700:A702"/>
    <mergeCell ref="A703:A705"/>
    <mergeCell ref="A742:A744"/>
    <mergeCell ref="A745:A747"/>
    <mergeCell ref="A748:A750"/>
    <mergeCell ref="A751:A753"/>
    <mergeCell ref="A754:A756"/>
    <mergeCell ref="A757:A759"/>
    <mergeCell ref="A724:A726"/>
    <mergeCell ref="A727:A729"/>
    <mergeCell ref="A730:A732"/>
    <mergeCell ref="A733:A735"/>
    <mergeCell ref="A736:A738"/>
    <mergeCell ref="A739:A741"/>
    <mergeCell ref="A778:A780"/>
    <mergeCell ref="A781:A783"/>
    <mergeCell ref="A784:A786"/>
    <mergeCell ref="A787:A789"/>
    <mergeCell ref="A790:A792"/>
    <mergeCell ref="A793:A795"/>
    <mergeCell ref="A760:A762"/>
    <mergeCell ref="A763:A765"/>
    <mergeCell ref="A766:A768"/>
    <mergeCell ref="A769:A771"/>
    <mergeCell ref="A772:A774"/>
    <mergeCell ref="A775:A777"/>
    <mergeCell ref="A814:A816"/>
    <mergeCell ref="A817:A819"/>
    <mergeCell ref="A820:A822"/>
    <mergeCell ref="A823:A825"/>
    <mergeCell ref="A826:A828"/>
    <mergeCell ref="A829:A831"/>
    <mergeCell ref="A796:A798"/>
    <mergeCell ref="A799:A801"/>
    <mergeCell ref="A802:A804"/>
    <mergeCell ref="A805:A807"/>
    <mergeCell ref="A808:A810"/>
    <mergeCell ref="A811:A813"/>
    <mergeCell ref="A850:A852"/>
    <mergeCell ref="A853:A855"/>
    <mergeCell ref="A856:A858"/>
    <mergeCell ref="A859:A861"/>
    <mergeCell ref="A862:A864"/>
    <mergeCell ref="A865:A867"/>
    <mergeCell ref="A832:A834"/>
    <mergeCell ref="A835:A837"/>
    <mergeCell ref="A838:A840"/>
    <mergeCell ref="A841:A843"/>
    <mergeCell ref="A844:A846"/>
    <mergeCell ref="A847:A849"/>
  </mergeCells>
  <pageMargins left="0.7" right="0.7" top="0.75" bottom="0.75" header="0.3" footer="0.3"/>
  <pageSetup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O30"/>
  <sheetViews>
    <sheetView tabSelected="1" zoomScale="82" zoomScaleNormal="82" workbookViewId="0">
      <selection activeCell="B19" sqref="B19"/>
    </sheetView>
  </sheetViews>
  <sheetFormatPr defaultRowHeight="15" x14ac:dyDescent="0.25"/>
  <cols>
    <col min="1" max="1" width="24" customWidth="1"/>
    <col min="2" max="2" width="15.7109375" customWidth="1"/>
    <col min="3" max="3" width="15.140625" customWidth="1"/>
    <col min="4" max="4" width="18.140625" customWidth="1"/>
    <col min="5" max="5" width="16.140625" customWidth="1"/>
    <col min="6" max="6" width="18" customWidth="1"/>
    <col min="7" max="7" width="15.42578125" customWidth="1"/>
    <col min="8" max="8" width="15.5703125" customWidth="1"/>
    <col min="9" max="9" width="15.28515625" customWidth="1"/>
    <col min="10" max="10" width="18.42578125" customWidth="1"/>
    <col min="11" max="11" width="17.42578125" customWidth="1"/>
    <col min="12" max="12" width="18" customWidth="1"/>
    <col min="13" max="13" width="16.42578125" customWidth="1"/>
    <col min="14" max="14" width="18.42578125" customWidth="1"/>
  </cols>
  <sheetData>
    <row r="1" spans="1:15" ht="26.25" x14ac:dyDescent="0.4">
      <c r="A1" s="2" t="s">
        <v>294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18"/>
    </row>
    <row r="2" spans="1:15" s="1" customFormat="1" ht="15.75" x14ac:dyDescent="0.25">
      <c r="A2" s="133" t="s">
        <v>9</v>
      </c>
      <c r="B2" s="133" t="s">
        <v>276</v>
      </c>
      <c r="C2" s="133" t="s">
        <v>277</v>
      </c>
      <c r="D2" s="133" t="s">
        <v>278</v>
      </c>
      <c r="E2" s="133" t="s">
        <v>279</v>
      </c>
      <c r="F2" s="133" t="s">
        <v>280</v>
      </c>
      <c r="G2" s="133" t="s">
        <v>281</v>
      </c>
      <c r="H2" s="133" t="s">
        <v>282</v>
      </c>
      <c r="I2" s="133" t="s">
        <v>283</v>
      </c>
      <c r="J2" s="133" t="s">
        <v>284</v>
      </c>
      <c r="K2" s="133" t="s">
        <v>285</v>
      </c>
      <c r="L2" s="133" t="s">
        <v>286</v>
      </c>
      <c r="M2" s="133" t="s">
        <v>287</v>
      </c>
      <c r="N2" s="133" t="s">
        <v>0</v>
      </c>
      <c r="O2" s="118"/>
    </row>
    <row r="3" spans="1:15" ht="30" customHeight="1" x14ac:dyDescent="0.25">
      <c r="A3" s="133" t="s">
        <v>1</v>
      </c>
      <c r="B3" s="134">
        <f>'Sales Forecast'!C95</f>
        <v>5606500</v>
      </c>
      <c r="C3" s="134">
        <f>'Sales Forecast'!D95</f>
        <v>3422500</v>
      </c>
      <c r="D3" s="134">
        <f>'Sales Forecast'!E95</f>
        <v>5606500</v>
      </c>
      <c r="E3" s="134">
        <f>'Sales Forecast'!F95</f>
        <v>5606500</v>
      </c>
      <c r="F3" s="134">
        <f>'Sales Forecast'!G95</f>
        <v>5376000</v>
      </c>
      <c r="G3" s="134">
        <f>'Sales Forecast'!H95</f>
        <v>6351500</v>
      </c>
      <c r="H3" s="134">
        <f>'Sales Forecast'!I95</f>
        <v>5406000</v>
      </c>
      <c r="I3" s="134">
        <f>'Sales Forecast'!J95</f>
        <v>5376000</v>
      </c>
      <c r="J3" s="134">
        <f>'Sales Forecast'!K95</f>
        <v>6889000</v>
      </c>
      <c r="K3" s="134">
        <f>'Sales Forecast'!L95</f>
        <v>5451000</v>
      </c>
      <c r="L3" s="134">
        <f>'Sales Forecast'!M95</f>
        <v>6889000</v>
      </c>
      <c r="M3" s="134">
        <f>'Sales Forecast'!N95</f>
        <v>5956500</v>
      </c>
      <c r="N3" s="134">
        <f>SUM(B3:M3)</f>
        <v>67937000</v>
      </c>
      <c r="O3" s="118"/>
    </row>
    <row r="4" spans="1:15" ht="30" customHeight="1" x14ac:dyDescent="0.25">
      <c r="A4" s="133" t="s">
        <v>132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>
        <f>SUM(B4:M4)</f>
        <v>0</v>
      </c>
      <c r="O4" s="118"/>
    </row>
    <row r="5" spans="1:15" ht="30" customHeight="1" x14ac:dyDescent="0.25">
      <c r="A5" s="133" t="s">
        <v>133</v>
      </c>
      <c r="B5" s="134">
        <f t="shared" ref="B5:M5" si="0">B3+B4</f>
        <v>5606500</v>
      </c>
      <c r="C5" s="134">
        <f t="shared" si="0"/>
        <v>3422500</v>
      </c>
      <c r="D5" s="134">
        <f t="shared" si="0"/>
        <v>5606500</v>
      </c>
      <c r="E5" s="134">
        <f t="shared" si="0"/>
        <v>5606500</v>
      </c>
      <c r="F5" s="134">
        <f t="shared" si="0"/>
        <v>5376000</v>
      </c>
      <c r="G5" s="134">
        <f t="shared" si="0"/>
        <v>6351500</v>
      </c>
      <c r="H5" s="134">
        <f t="shared" si="0"/>
        <v>5406000</v>
      </c>
      <c r="I5" s="134">
        <f t="shared" si="0"/>
        <v>5376000</v>
      </c>
      <c r="J5" s="134">
        <f t="shared" si="0"/>
        <v>6889000</v>
      </c>
      <c r="K5" s="134">
        <f t="shared" si="0"/>
        <v>5451000</v>
      </c>
      <c r="L5" s="134">
        <f t="shared" si="0"/>
        <v>6889000</v>
      </c>
      <c r="M5" s="134">
        <f t="shared" si="0"/>
        <v>5956500</v>
      </c>
      <c r="N5" s="134">
        <f>SUM(B5:M5)</f>
        <v>67937000</v>
      </c>
      <c r="O5" s="118"/>
    </row>
    <row r="6" spans="1:15" ht="30" customHeight="1" x14ac:dyDescent="0.25">
      <c r="A6" s="133" t="s">
        <v>59</v>
      </c>
      <c r="B6" s="134">
        <f>'Cost Forecast'!C94</f>
        <v>1269550</v>
      </c>
      <c r="C6" s="134">
        <f>'Cost Forecast'!D94</f>
        <v>804950</v>
      </c>
      <c r="D6" s="134">
        <f>'Cost Forecast'!E94</f>
        <v>1269550</v>
      </c>
      <c r="E6" s="134">
        <f>'Cost Forecast'!F94</f>
        <v>1269550</v>
      </c>
      <c r="F6" s="134">
        <f>'Cost Forecast'!G94</f>
        <v>1212900</v>
      </c>
      <c r="G6" s="134">
        <f>'Cost Forecast'!H94</f>
        <v>1428550</v>
      </c>
      <c r="H6" s="134">
        <f>'Cost Forecast'!I94</f>
        <v>1221900</v>
      </c>
      <c r="I6" s="134">
        <f>'Cost Forecast'!J94</f>
        <v>1212900</v>
      </c>
      <c r="J6" s="134">
        <f>'Cost Forecast'!K94</f>
        <v>1598300</v>
      </c>
      <c r="K6" s="134">
        <f>'Cost Forecast'!L94</f>
        <v>1221200</v>
      </c>
      <c r="L6" s="134">
        <f>'Cost Forecast'!M94</f>
        <v>1598300</v>
      </c>
      <c r="M6" s="134">
        <f>'Cost Forecast'!N94</f>
        <v>1389850</v>
      </c>
      <c r="N6" s="134">
        <f t="shared" ref="N6:N19" si="1">SUM(B6:M6)</f>
        <v>15497500</v>
      </c>
      <c r="O6" s="118"/>
    </row>
    <row r="7" spans="1:15" ht="15.75" x14ac:dyDescent="0.25">
      <c r="A7" s="133" t="s">
        <v>3</v>
      </c>
      <c r="B7" s="134">
        <f>B5-B6</f>
        <v>4336950</v>
      </c>
      <c r="C7" s="134">
        <f>C5-C6</f>
        <v>2617550</v>
      </c>
      <c r="D7" s="134">
        <f t="shared" ref="D7:M7" si="2">D5-D6</f>
        <v>4336950</v>
      </c>
      <c r="E7" s="134">
        <f t="shared" si="2"/>
        <v>4336950</v>
      </c>
      <c r="F7" s="134">
        <f t="shared" si="2"/>
        <v>4163100</v>
      </c>
      <c r="G7" s="134">
        <f t="shared" si="2"/>
        <v>4922950</v>
      </c>
      <c r="H7" s="134">
        <f t="shared" si="2"/>
        <v>4184100</v>
      </c>
      <c r="I7" s="134">
        <f t="shared" si="2"/>
        <v>4163100</v>
      </c>
      <c r="J7" s="134">
        <f t="shared" si="2"/>
        <v>5290700</v>
      </c>
      <c r="K7" s="134">
        <f t="shared" si="2"/>
        <v>4229800</v>
      </c>
      <c r="L7" s="134">
        <f t="shared" si="2"/>
        <v>5290700</v>
      </c>
      <c r="M7" s="134">
        <f t="shared" si="2"/>
        <v>4566650</v>
      </c>
      <c r="N7" s="134">
        <f>SUM(B7:M7)</f>
        <v>52439500</v>
      </c>
      <c r="O7" s="118"/>
    </row>
    <row r="8" spans="1:15" ht="30" customHeight="1" x14ac:dyDescent="0.25">
      <c r="A8" s="135" t="s">
        <v>2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>
        <f t="shared" si="1"/>
        <v>0</v>
      </c>
      <c r="O8" s="118"/>
    </row>
    <row r="9" spans="1:15" ht="30" customHeight="1" x14ac:dyDescent="0.25">
      <c r="A9" s="137" t="s">
        <v>18</v>
      </c>
      <c r="B9" s="134">
        <f>'OPERATING EXPENSE'!B16</f>
        <v>316045</v>
      </c>
      <c r="C9" s="134">
        <f>'OPERATING EXPENSE'!C16</f>
        <v>276045</v>
      </c>
      <c r="D9" s="134">
        <f>'OPERATING EXPENSE'!D16</f>
        <v>276045</v>
      </c>
      <c r="E9" s="134">
        <f>'OPERATING EXPENSE'!E16</f>
        <v>276045</v>
      </c>
      <c r="F9" s="134">
        <f>'OPERATING EXPENSE'!F16</f>
        <v>288045</v>
      </c>
      <c r="G9" s="134">
        <f>'OPERATING EXPENSE'!G16</f>
        <v>288045</v>
      </c>
      <c r="H9" s="134">
        <f>'OPERATING EXPENSE'!H16</f>
        <v>288045</v>
      </c>
      <c r="I9" s="134">
        <f>'OPERATING EXPENSE'!I16</f>
        <v>288045</v>
      </c>
      <c r="J9" s="134">
        <f>'OPERATING EXPENSE'!J16</f>
        <v>300645</v>
      </c>
      <c r="K9" s="134">
        <f>'OPERATING EXPENSE'!K16</f>
        <v>300645</v>
      </c>
      <c r="L9" s="134">
        <f>'OPERATING EXPENSE'!L16</f>
        <v>300645</v>
      </c>
      <c r="M9" s="134">
        <f>'OPERATING EXPENSE'!M16</f>
        <v>300645</v>
      </c>
      <c r="N9" s="134">
        <f>SUM(B9:M9)</f>
        <v>3498940</v>
      </c>
      <c r="O9" s="118"/>
    </row>
    <row r="10" spans="1:15" ht="30" customHeight="1" x14ac:dyDescent="0.25">
      <c r="A10" s="138" t="s">
        <v>6</v>
      </c>
      <c r="B10" s="139">
        <f>'LOAN REPAYMENT'!H5*3</f>
        <v>56827.068750000006</v>
      </c>
      <c r="C10" s="139">
        <f>B10</f>
        <v>56827.068750000006</v>
      </c>
      <c r="D10" s="139">
        <f t="shared" ref="D10:E10" si="3">C10</f>
        <v>56827.068750000006</v>
      </c>
      <c r="E10" s="139">
        <f t="shared" si="3"/>
        <v>56827.068750000006</v>
      </c>
      <c r="F10" s="139">
        <f>'LOAN REPAYMENT'!H17*3</f>
        <v>41328.777272727246</v>
      </c>
      <c r="G10" s="139">
        <f>F10</f>
        <v>41328.777272727246</v>
      </c>
      <c r="H10" s="139">
        <f t="shared" ref="H10:I10" si="4">G10</f>
        <v>41328.777272727246</v>
      </c>
      <c r="I10" s="139">
        <f t="shared" si="4"/>
        <v>41328.777272727246</v>
      </c>
      <c r="J10" s="139">
        <f>+'LOAN REPAYMENT'!H29*3</f>
        <v>20664.388636363619</v>
      </c>
      <c r="K10" s="139">
        <f>J10</f>
        <v>20664.388636363619</v>
      </c>
      <c r="L10" s="139">
        <f t="shared" ref="L10:M10" si="5">K10</f>
        <v>20664.388636363619</v>
      </c>
      <c r="M10" s="139">
        <f t="shared" si="5"/>
        <v>20664.388636363619</v>
      </c>
      <c r="N10" s="134">
        <f>SUM(B10:M10)</f>
        <v>475280.93863636337</v>
      </c>
      <c r="O10" s="118"/>
    </row>
    <row r="11" spans="1:15" ht="30" customHeight="1" x14ac:dyDescent="0.25">
      <c r="A11" s="137" t="s">
        <v>5</v>
      </c>
      <c r="B11" s="140">
        <f>'PRE-OPERATING, EQUIPMENT'!O23*3</f>
        <v>89833.333333333343</v>
      </c>
      <c r="C11" s="139">
        <f>B11</f>
        <v>89833.333333333343</v>
      </c>
      <c r="D11" s="139">
        <f t="shared" ref="D11:M11" si="6">C11</f>
        <v>89833.333333333343</v>
      </c>
      <c r="E11" s="139">
        <f t="shared" si="6"/>
        <v>89833.333333333343</v>
      </c>
      <c r="F11" s="139">
        <f t="shared" si="6"/>
        <v>89833.333333333343</v>
      </c>
      <c r="G11" s="139">
        <f t="shared" si="6"/>
        <v>89833.333333333343</v>
      </c>
      <c r="H11" s="139">
        <f t="shared" si="6"/>
        <v>89833.333333333343</v>
      </c>
      <c r="I11" s="139">
        <f t="shared" si="6"/>
        <v>89833.333333333343</v>
      </c>
      <c r="J11" s="139">
        <f t="shared" si="6"/>
        <v>89833.333333333343</v>
      </c>
      <c r="K11" s="139">
        <f t="shared" si="6"/>
        <v>89833.333333333343</v>
      </c>
      <c r="L11" s="139">
        <f t="shared" si="6"/>
        <v>89833.333333333343</v>
      </c>
      <c r="M11" s="139">
        <f t="shared" si="6"/>
        <v>89833.333333333343</v>
      </c>
      <c r="N11" s="134">
        <f t="shared" si="1"/>
        <v>1078000.0000000002</v>
      </c>
      <c r="O11" s="118"/>
    </row>
    <row r="12" spans="1:15" ht="30" customHeight="1" x14ac:dyDescent="0.25">
      <c r="A12" s="137" t="s">
        <v>4</v>
      </c>
      <c r="B12" s="139">
        <f>'PRE-OPERATING, EQUIPMENT'!K29/12</f>
        <v>33333.333333333336</v>
      </c>
      <c r="C12" s="139">
        <f>B12</f>
        <v>33333.333333333336</v>
      </c>
      <c r="D12" s="139">
        <f t="shared" ref="D12:M12" si="7">C12</f>
        <v>33333.333333333336</v>
      </c>
      <c r="E12" s="139">
        <f t="shared" si="7"/>
        <v>33333.333333333336</v>
      </c>
      <c r="F12" s="139">
        <f t="shared" si="7"/>
        <v>33333.333333333336</v>
      </c>
      <c r="G12" s="139">
        <f t="shared" si="7"/>
        <v>33333.333333333336</v>
      </c>
      <c r="H12" s="139">
        <f t="shared" si="7"/>
        <v>33333.333333333336</v>
      </c>
      <c r="I12" s="139">
        <f t="shared" si="7"/>
        <v>33333.333333333336</v>
      </c>
      <c r="J12" s="139">
        <f t="shared" si="7"/>
        <v>33333.333333333336</v>
      </c>
      <c r="K12" s="139">
        <f t="shared" si="7"/>
        <v>33333.333333333336</v>
      </c>
      <c r="L12" s="139">
        <f t="shared" si="7"/>
        <v>33333.333333333336</v>
      </c>
      <c r="M12" s="139">
        <f t="shared" si="7"/>
        <v>33333.333333333336</v>
      </c>
      <c r="N12" s="134">
        <f t="shared" si="1"/>
        <v>399999.99999999994</v>
      </c>
      <c r="O12" s="118"/>
    </row>
    <row r="13" spans="1:15" ht="30" customHeight="1" x14ac:dyDescent="0.25">
      <c r="A13" s="138" t="s">
        <v>134</v>
      </c>
      <c r="B13" s="139">
        <f t="shared" ref="B13:M13" si="8">2%*B3</f>
        <v>112130</v>
      </c>
      <c r="C13" s="139">
        <f t="shared" si="8"/>
        <v>68450</v>
      </c>
      <c r="D13" s="139">
        <f t="shared" si="8"/>
        <v>112130</v>
      </c>
      <c r="E13" s="139">
        <f t="shared" si="8"/>
        <v>112130</v>
      </c>
      <c r="F13" s="139">
        <f t="shared" si="8"/>
        <v>107520</v>
      </c>
      <c r="G13" s="139">
        <f t="shared" si="8"/>
        <v>127030</v>
      </c>
      <c r="H13" s="139">
        <f t="shared" si="8"/>
        <v>108120</v>
      </c>
      <c r="I13" s="139">
        <f t="shared" si="8"/>
        <v>107520</v>
      </c>
      <c r="J13" s="139">
        <f t="shared" si="8"/>
        <v>137780</v>
      </c>
      <c r="K13" s="139">
        <f t="shared" si="8"/>
        <v>109020</v>
      </c>
      <c r="L13" s="139">
        <f t="shared" si="8"/>
        <v>137780</v>
      </c>
      <c r="M13" s="139">
        <f t="shared" si="8"/>
        <v>119130</v>
      </c>
      <c r="N13" s="134">
        <f t="shared" si="1"/>
        <v>1358740</v>
      </c>
      <c r="O13" s="118"/>
    </row>
    <row r="14" spans="1:15" ht="39" customHeight="1" x14ac:dyDescent="0.25">
      <c r="A14" s="138" t="s">
        <v>135</v>
      </c>
      <c r="B14" s="139">
        <v>0</v>
      </c>
      <c r="C14" s="139">
        <v>0</v>
      </c>
      <c r="D14" s="139">
        <v>0</v>
      </c>
      <c r="E14" s="139">
        <f>1%*E3</f>
        <v>56065</v>
      </c>
      <c r="F14" s="139">
        <f t="shared" ref="F14:M14" si="9">1%*F3</f>
        <v>53760</v>
      </c>
      <c r="G14" s="139">
        <f t="shared" si="9"/>
        <v>63515</v>
      </c>
      <c r="H14" s="139">
        <f t="shared" si="9"/>
        <v>54060</v>
      </c>
      <c r="I14" s="139">
        <f t="shared" si="9"/>
        <v>53760</v>
      </c>
      <c r="J14" s="139">
        <f t="shared" si="9"/>
        <v>68890</v>
      </c>
      <c r="K14" s="139">
        <f t="shared" si="9"/>
        <v>54510</v>
      </c>
      <c r="L14" s="139">
        <f t="shared" si="9"/>
        <v>68890</v>
      </c>
      <c r="M14" s="139">
        <f t="shared" si="9"/>
        <v>59565</v>
      </c>
      <c r="N14" s="134">
        <f t="shared" si="1"/>
        <v>533015</v>
      </c>
      <c r="O14" s="118"/>
    </row>
    <row r="15" spans="1:15" ht="30" customHeight="1" x14ac:dyDescent="0.25">
      <c r="A15" s="137" t="s">
        <v>19</v>
      </c>
      <c r="B15" s="141">
        <f>'PRE-OPERATING, EQUIPMENT'!K33/4</f>
        <v>11787.5</v>
      </c>
      <c r="C15" s="141">
        <f>B15</f>
        <v>11787.5</v>
      </c>
      <c r="D15" s="141">
        <f t="shared" ref="D15:M15" si="10">C15</f>
        <v>11787.5</v>
      </c>
      <c r="E15" s="141">
        <f t="shared" si="10"/>
        <v>11787.5</v>
      </c>
      <c r="F15" s="141">
        <f t="shared" si="10"/>
        <v>11787.5</v>
      </c>
      <c r="G15" s="141">
        <f t="shared" si="10"/>
        <v>11787.5</v>
      </c>
      <c r="H15" s="141">
        <f t="shared" si="10"/>
        <v>11787.5</v>
      </c>
      <c r="I15" s="141">
        <f t="shared" si="10"/>
        <v>11787.5</v>
      </c>
      <c r="J15" s="141">
        <f t="shared" si="10"/>
        <v>11787.5</v>
      </c>
      <c r="K15" s="141">
        <f t="shared" si="10"/>
        <v>11787.5</v>
      </c>
      <c r="L15" s="141">
        <f t="shared" si="10"/>
        <v>11787.5</v>
      </c>
      <c r="M15" s="141">
        <f t="shared" si="10"/>
        <v>11787.5</v>
      </c>
      <c r="N15" s="134">
        <f t="shared" si="1"/>
        <v>141450</v>
      </c>
      <c r="O15" s="118"/>
    </row>
    <row r="16" spans="1:15" ht="30" customHeight="1" x14ac:dyDescent="0.25">
      <c r="A16" s="137" t="s">
        <v>25</v>
      </c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34">
        <f t="shared" si="1"/>
        <v>0</v>
      </c>
      <c r="O16" s="118"/>
    </row>
    <row r="17" spans="1:15" ht="30" customHeight="1" x14ac:dyDescent="0.25">
      <c r="A17" s="133" t="s">
        <v>26</v>
      </c>
      <c r="B17" s="134">
        <f>SUM(B9:B16)</f>
        <v>619956.2354166666</v>
      </c>
      <c r="C17" s="134">
        <f t="shared" ref="C17:M17" si="11">SUM(C9:C16)</f>
        <v>536276.2354166666</v>
      </c>
      <c r="D17" s="134">
        <f t="shared" si="11"/>
        <v>579956.2354166666</v>
      </c>
      <c r="E17" s="134">
        <f t="shared" si="11"/>
        <v>636021.2354166666</v>
      </c>
      <c r="F17" s="134">
        <f t="shared" si="11"/>
        <v>625607.94393939385</v>
      </c>
      <c r="G17" s="134">
        <f t="shared" si="11"/>
        <v>654872.94393939385</v>
      </c>
      <c r="H17" s="134">
        <f t="shared" si="11"/>
        <v>626507.94393939385</v>
      </c>
      <c r="I17" s="134">
        <f t="shared" si="11"/>
        <v>625607.94393939385</v>
      </c>
      <c r="J17" s="134">
        <f t="shared" si="11"/>
        <v>662933.55530303018</v>
      </c>
      <c r="K17" s="134">
        <f t="shared" si="11"/>
        <v>619793.55530303018</v>
      </c>
      <c r="L17" s="134">
        <f t="shared" si="11"/>
        <v>662933.55530303018</v>
      </c>
      <c r="M17" s="134">
        <f t="shared" si="11"/>
        <v>634958.55530303018</v>
      </c>
      <c r="N17" s="134">
        <f t="shared" si="1"/>
        <v>7485425.9386363607</v>
      </c>
      <c r="O17" s="118"/>
    </row>
    <row r="18" spans="1:15" ht="31.5" x14ac:dyDescent="0.25">
      <c r="A18" s="133" t="s">
        <v>27</v>
      </c>
      <c r="B18" s="134">
        <f>B7-B17</f>
        <v>3716993.7645833334</v>
      </c>
      <c r="C18" s="134">
        <f t="shared" ref="C18:M18" si="12">C7-C17</f>
        <v>2081273.7645833334</v>
      </c>
      <c r="D18" s="134">
        <f t="shared" si="12"/>
        <v>3756993.7645833334</v>
      </c>
      <c r="E18" s="134">
        <f t="shared" si="12"/>
        <v>3700928.7645833334</v>
      </c>
      <c r="F18" s="134">
        <f t="shared" si="12"/>
        <v>3537492.0560606061</v>
      </c>
      <c r="G18" s="134">
        <f t="shared" si="12"/>
        <v>4268077.0560606066</v>
      </c>
      <c r="H18" s="134">
        <f t="shared" si="12"/>
        <v>3557592.0560606061</v>
      </c>
      <c r="I18" s="134">
        <f t="shared" si="12"/>
        <v>3537492.0560606061</v>
      </c>
      <c r="J18" s="134">
        <f t="shared" si="12"/>
        <v>4627766.4446969703</v>
      </c>
      <c r="K18" s="134">
        <f t="shared" si="12"/>
        <v>3610006.4446969698</v>
      </c>
      <c r="L18" s="134">
        <f t="shared" si="12"/>
        <v>4627766.4446969703</v>
      </c>
      <c r="M18" s="134">
        <f t="shared" si="12"/>
        <v>3931691.4446969698</v>
      </c>
      <c r="N18" s="134">
        <f t="shared" si="1"/>
        <v>44954074.061363637</v>
      </c>
      <c r="O18" s="118"/>
    </row>
    <row r="19" spans="1:15" ht="15.75" x14ac:dyDescent="0.25">
      <c r="A19" s="137" t="s">
        <v>21</v>
      </c>
      <c r="B19" s="182">
        <f>B18*20%</f>
        <v>743398.75291666668</v>
      </c>
      <c r="C19" s="182">
        <f t="shared" ref="C19:M19" si="13">C18*20%</f>
        <v>416254.75291666668</v>
      </c>
      <c r="D19" s="182">
        <f t="shared" si="13"/>
        <v>751398.75291666668</v>
      </c>
      <c r="E19" s="182">
        <f t="shared" si="13"/>
        <v>740185.75291666668</v>
      </c>
      <c r="F19" s="182">
        <f t="shared" si="13"/>
        <v>707498.41121212125</v>
      </c>
      <c r="G19" s="182">
        <f t="shared" si="13"/>
        <v>853615.41121212137</v>
      </c>
      <c r="H19" s="182">
        <f t="shared" si="13"/>
        <v>711518.41121212125</v>
      </c>
      <c r="I19" s="182">
        <f t="shared" si="13"/>
        <v>707498.41121212125</v>
      </c>
      <c r="J19" s="182">
        <f t="shared" si="13"/>
        <v>925553.28893939406</v>
      </c>
      <c r="K19" s="182">
        <f t="shared" si="13"/>
        <v>722001.28893939406</v>
      </c>
      <c r="L19" s="182">
        <f t="shared" si="13"/>
        <v>925553.28893939406</v>
      </c>
      <c r="M19" s="182">
        <f t="shared" si="13"/>
        <v>786338.28893939406</v>
      </c>
      <c r="N19" s="134">
        <f t="shared" si="1"/>
        <v>8990814.8122727275</v>
      </c>
      <c r="O19" s="118"/>
    </row>
    <row r="20" spans="1:15" ht="15.75" x14ac:dyDescent="0.25">
      <c r="A20" s="133" t="s">
        <v>28</v>
      </c>
      <c r="B20" s="134">
        <f>B18-B19</f>
        <v>2973595.0116666667</v>
      </c>
      <c r="C20" s="134">
        <f t="shared" ref="C20:M20" si="14">C18-C19</f>
        <v>1665019.0116666667</v>
      </c>
      <c r="D20" s="134">
        <f t="shared" si="14"/>
        <v>3005595.0116666667</v>
      </c>
      <c r="E20" s="134">
        <f t="shared" si="14"/>
        <v>2960743.0116666667</v>
      </c>
      <c r="F20" s="134">
        <f t="shared" si="14"/>
        <v>2829993.644848485</v>
      </c>
      <c r="G20" s="134">
        <f t="shared" si="14"/>
        <v>3414461.6448484855</v>
      </c>
      <c r="H20" s="134">
        <f t="shared" si="14"/>
        <v>2846073.644848485</v>
      </c>
      <c r="I20" s="134">
        <f t="shared" si="14"/>
        <v>2829993.644848485</v>
      </c>
      <c r="J20" s="134">
        <f t="shared" si="14"/>
        <v>3702213.1557575762</v>
      </c>
      <c r="K20" s="134">
        <f t="shared" si="14"/>
        <v>2888005.1557575758</v>
      </c>
      <c r="L20" s="134">
        <f t="shared" si="14"/>
        <v>3702213.1557575762</v>
      </c>
      <c r="M20" s="134">
        <f t="shared" si="14"/>
        <v>3145353.1557575758</v>
      </c>
      <c r="N20" s="134">
        <f>SUM(B20:M20)</f>
        <v>35963259.24909091</v>
      </c>
      <c r="O20" s="118"/>
    </row>
    <row r="21" spans="1:15" ht="15.75" x14ac:dyDescent="0.25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18"/>
    </row>
    <row r="22" spans="1:15" ht="15.75" x14ac:dyDescent="0.25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18"/>
    </row>
    <row r="23" spans="1:15" x14ac:dyDescent="0.25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</row>
    <row r="24" spans="1:15" x14ac:dyDescent="0.25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</row>
    <row r="25" spans="1:15" x14ac:dyDescent="0.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</row>
    <row r="26" spans="1:15" x14ac:dyDescent="0.2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</row>
    <row r="27" spans="1:15" x14ac:dyDescent="0.25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</row>
    <row r="28" spans="1:15" x14ac:dyDescent="0.25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</row>
    <row r="29" spans="1:15" x14ac:dyDescent="0.2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</row>
    <row r="30" spans="1:15" x14ac:dyDescent="0.2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</row>
  </sheetData>
  <pageMargins left="0.7" right="0.7" top="0.75" bottom="0.75" header="0.3" footer="0.3"/>
  <pageSetup scale="6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O23"/>
  <sheetViews>
    <sheetView zoomScale="61" zoomScaleNormal="61" workbookViewId="0">
      <selection activeCell="O4" sqref="O4"/>
    </sheetView>
  </sheetViews>
  <sheetFormatPr defaultRowHeight="15" x14ac:dyDescent="0.25"/>
  <cols>
    <col min="1" max="1" width="29.7109375" style="1" customWidth="1"/>
    <col min="2" max="2" width="16.85546875" style="1" customWidth="1"/>
    <col min="3" max="4" width="20" style="1" customWidth="1"/>
    <col min="5" max="5" width="19.85546875" style="1" customWidth="1"/>
    <col min="6" max="6" width="19.140625" style="1" customWidth="1"/>
    <col min="7" max="7" width="18" style="1" customWidth="1"/>
    <col min="8" max="8" width="18.140625" style="1" customWidth="1"/>
    <col min="9" max="9" width="22.28515625" style="1" customWidth="1"/>
    <col min="10" max="10" width="21.85546875" style="1" customWidth="1"/>
    <col min="11" max="11" width="18.7109375" style="1" customWidth="1"/>
    <col min="12" max="12" width="19.42578125" style="1" customWidth="1"/>
    <col min="13" max="13" width="20.28515625" style="1" customWidth="1"/>
    <col min="14" max="14" width="20.7109375" style="1" customWidth="1"/>
    <col min="15" max="15" width="14.7109375" style="1" customWidth="1"/>
    <col min="16" max="16384" width="9.140625" style="1"/>
  </cols>
  <sheetData>
    <row r="1" spans="1:15" ht="21" customHeight="1" x14ac:dyDescent="0.25">
      <c r="A1" s="217" t="s">
        <v>295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5" ht="36" customHeight="1" x14ac:dyDescent="0.25">
      <c r="A2" s="219" t="s">
        <v>9</v>
      </c>
      <c r="B2" s="219" t="s">
        <v>10</v>
      </c>
      <c r="C2" s="219">
        <v>1</v>
      </c>
      <c r="D2" s="219">
        <v>2</v>
      </c>
      <c r="E2" s="219">
        <v>3</v>
      </c>
      <c r="F2" s="219">
        <v>4</v>
      </c>
      <c r="G2" s="219">
        <v>5</v>
      </c>
      <c r="H2" s="219">
        <v>6</v>
      </c>
      <c r="I2" s="219">
        <v>7</v>
      </c>
      <c r="J2" s="219">
        <v>8</v>
      </c>
      <c r="K2" s="219">
        <v>9</v>
      </c>
      <c r="L2" s="219">
        <v>10</v>
      </c>
      <c r="M2" s="219">
        <v>11</v>
      </c>
      <c r="N2" s="220">
        <v>12</v>
      </c>
      <c r="O2" s="144"/>
    </row>
    <row r="3" spans="1:15" ht="15.75" x14ac:dyDescent="0.25">
      <c r="A3" s="221" t="s">
        <v>11</v>
      </c>
      <c r="B3" s="222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145"/>
    </row>
    <row r="4" spans="1:15" ht="30.75" customHeight="1" x14ac:dyDescent="0.25">
      <c r="A4" s="219" t="s">
        <v>12</v>
      </c>
      <c r="B4" s="223"/>
      <c r="C4" s="223">
        <f>B20</f>
        <v>-245210</v>
      </c>
      <c r="D4" s="223">
        <f>C20</f>
        <v>2930348.3449999997</v>
      </c>
      <c r="E4" s="223">
        <f>D20</f>
        <v>4524046.3718181811</v>
      </c>
      <c r="F4" s="223">
        <f>E20</f>
        <v>7502000.3986363634</v>
      </c>
      <c r="G4" s="223">
        <f>F20</f>
        <v>10491167.425454546</v>
      </c>
      <c r="H4" s="223">
        <f t="shared" ref="H4:N4" si="0">G20</f>
        <v>13342670.085454546</v>
      </c>
      <c r="I4" s="223">
        <f t="shared" si="0"/>
        <v>16807905.745454546</v>
      </c>
      <c r="J4" s="223">
        <f t="shared" si="0"/>
        <v>19676388.405454546</v>
      </c>
      <c r="K4" s="223">
        <f t="shared" si="0"/>
        <v>22527891.065454546</v>
      </c>
      <c r="L4" s="223">
        <f t="shared" si="0"/>
        <v>26297003.236363638</v>
      </c>
      <c r="M4" s="223">
        <f t="shared" si="0"/>
        <v>29208767.40727273</v>
      </c>
      <c r="N4" s="224">
        <f t="shared" si="0"/>
        <v>32977879.578181818</v>
      </c>
      <c r="O4" s="146"/>
    </row>
    <row r="5" spans="1:15" ht="26.25" customHeight="1" x14ac:dyDescent="0.25">
      <c r="A5" s="219" t="s">
        <v>13</v>
      </c>
      <c r="B5" s="223"/>
      <c r="C5" s="223">
        <f>'Profit and Loss Statement'!B3</f>
        <v>5606500</v>
      </c>
      <c r="D5" s="223">
        <f>'Profit and Loss Statement'!C3</f>
        <v>3422500</v>
      </c>
      <c r="E5" s="223">
        <f>'Profit and Loss Statement'!D3</f>
        <v>5606500</v>
      </c>
      <c r="F5" s="223">
        <f>'Profit and Loss Statement'!E3</f>
        <v>5606500</v>
      </c>
      <c r="G5" s="223">
        <f>'Profit and Loss Statement'!F3</f>
        <v>5376000</v>
      </c>
      <c r="H5" s="223">
        <f>'Profit and Loss Statement'!G3</f>
        <v>6351500</v>
      </c>
      <c r="I5" s="223">
        <f>'Profit and Loss Statement'!H3</f>
        <v>5406000</v>
      </c>
      <c r="J5" s="223">
        <f>'Profit and Loss Statement'!I3</f>
        <v>5376000</v>
      </c>
      <c r="K5" s="223">
        <f>'Profit and Loss Statement'!J3</f>
        <v>6889000</v>
      </c>
      <c r="L5" s="223">
        <f>'Profit and Loss Statement'!K3</f>
        <v>5451000</v>
      </c>
      <c r="M5" s="223">
        <f>'Profit and Loss Statement'!L3</f>
        <v>6889000</v>
      </c>
      <c r="N5" s="224">
        <f>'Profit and Loss Statement'!M3</f>
        <v>5956500</v>
      </c>
      <c r="O5" s="146"/>
    </row>
    <row r="6" spans="1:15" ht="26.25" customHeight="1" x14ac:dyDescent="0.25">
      <c r="A6" s="219" t="s">
        <v>7</v>
      </c>
      <c r="B6" s="223">
        <f>-'LOAN REPAYMENT'!B8</f>
        <v>-280627.5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4"/>
      <c r="O6" s="146"/>
    </row>
    <row r="7" spans="1:15" ht="26.25" customHeight="1" x14ac:dyDescent="0.25">
      <c r="A7" s="219" t="s">
        <v>14</v>
      </c>
      <c r="B7" s="223">
        <f>'LOAN REPAYMENT'!B9</f>
        <v>2525647.5</v>
      </c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4"/>
      <c r="O7" s="146"/>
    </row>
    <row r="8" spans="1:15" ht="26.25" customHeight="1" x14ac:dyDescent="0.25">
      <c r="A8" s="219" t="s">
        <v>15</v>
      </c>
      <c r="B8" s="223">
        <f>SUM(B4:B7)</f>
        <v>2245020</v>
      </c>
      <c r="C8" s="223">
        <f>SUM(C4:C7)</f>
        <v>5361290</v>
      </c>
      <c r="D8" s="223">
        <f t="shared" ref="D8:N8" si="1">SUM(D4:D7)</f>
        <v>6352848.3449999997</v>
      </c>
      <c r="E8" s="223">
        <f t="shared" si="1"/>
        <v>10130546.371818181</v>
      </c>
      <c r="F8" s="223">
        <f t="shared" si="1"/>
        <v>13108500.398636363</v>
      </c>
      <c r="G8" s="223">
        <f t="shared" si="1"/>
        <v>15867167.425454546</v>
      </c>
      <c r="H8" s="223">
        <f t="shared" si="1"/>
        <v>19694170.085454546</v>
      </c>
      <c r="I8" s="223">
        <f t="shared" si="1"/>
        <v>22213905.745454546</v>
      </c>
      <c r="J8" s="223">
        <f t="shared" si="1"/>
        <v>25052388.405454546</v>
      </c>
      <c r="K8" s="223">
        <f t="shared" si="1"/>
        <v>29416891.065454546</v>
      </c>
      <c r="L8" s="223">
        <f t="shared" si="1"/>
        <v>31748003.236363638</v>
      </c>
      <c r="M8" s="223">
        <f t="shared" si="1"/>
        <v>36097767.407272726</v>
      </c>
      <c r="N8" s="224">
        <f t="shared" si="1"/>
        <v>38934379.578181818</v>
      </c>
      <c r="O8" s="146"/>
    </row>
    <row r="9" spans="1:15" ht="15.75" x14ac:dyDescent="0.25">
      <c r="A9" s="221" t="s">
        <v>16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146"/>
    </row>
    <row r="10" spans="1:15" ht="26.25" customHeight="1" x14ac:dyDescent="0.25">
      <c r="A10" s="226" t="s">
        <v>17</v>
      </c>
      <c r="B10" s="223">
        <f>'LOAN REPAYMENT'!B3</f>
        <v>1862740</v>
      </c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4"/>
      <c r="O10" s="146"/>
    </row>
    <row r="11" spans="1:15" ht="31.5" customHeight="1" x14ac:dyDescent="0.25">
      <c r="A11" s="219" t="s">
        <v>299</v>
      </c>
      <c r="B11" s="223">
        <f>'LOAN REPAYMENT'!B4</f>
        <v>627490</v>
      </c>
      <c r="C11" s="223">
        <f>'Profit and Loss Statement'!B6</f>
        <v>1269550</v>
      </c>
      <c r="D11" s="223">
        <f>'Profit and Loss Statement'!C6</f>
        <v>804950</v>
      </c>
      <c r="E11" s="223">
        <f>'Profit and Loss Statement'!D6</f>
        <v>1269550</v>
      </c>
      <c r="F11" s="223">
        <f>'Profit and Loss Statement'!E6</f>
        <v>1269550</v>
      </c>
      <c r="G11" s="223">
        <f>'Profit and Loss Statement'!F6</f>
        <v>1212900</v>
      </c>
      <c r="H11" s="223">
        <f>'Profit and Loss Statement'!G6</f>
        <v>1428550</v>
      </c>
      <c r="I11" s="223">
        <f>'Profit and Loss Statement'!H6</f>
        <v>1221900</v>
      </c>
      <c r="J11" s="223">
        <f>'Profit and Loss Statement'!I6</f>
        <v>1212900</v>
      </c>
      <c r="K11" s="223">
        <f>'Profit and Loss Statement'!J6</f>
        <v>1598300</v>
      </c>
      <c r="L11" s="223">
        <f>'Profit and Loss Statement'!K6</f>
        <v>1221200</v>
      </c>
      <c r="M11" s="223">
        <f>'Profit and Loss Statement'!L6</f>
        <v>1598300</v>
      </c>
      <c r="N11" s="224">
        <f>'Profit and Loss Statement'!M6</f>
        <v>1389850</v>
      </c>
      <c r="O11" s="146"/>
    </row>
    <row r="12" spans="1:15" ht="26.25" customHeight="1" x14ac:dyDescent="0.25">
      <c r="A12" s="226" t="s">
        <v>18</v>
      </c>
      <c r="B12" s="223"/>
      <c r="C12" s="223">
        <f>'Profit and Loss Statement'!B9</f>
        <v>316045</v>
      </c>
      <c r="D12" s="223">
        <f>'Profit and Loss Statement'!C9</f>
        <v>276045</v>
      </c>
      <c r="E12" s="223">
        <f>'Profit and Loss Statement'!D9</f>
        <v>276045</v>
      </c>
      <c r="F12" s="223">
        <f>'Profit and Loss Statement'!E9</f>
        <v>276045</v>
      </c>
      <c r="G12" s="223">
        <f>'Profit and Loss Statement'!F9</f>
        <v>288045</v>
      </c>
      <c r="H12" s="223">
        <f>'Profit and Loss Statement'!G9</f>
        <v>288045</v>
      </c>
      <c r="I12" s="223">
        <f>'Profit and Loss Statement'!H9</f>
        <v>288045</v>
      </c>
      <c r="J12" s="223">
        <f>'Profit and Loss Statement'!I9</f>
        <v>288045</v>
      </c>
      <c r="K12" s="223">
        <f>'Profit and Loss Statement'!J9</f>
        <v>300645</v>
      </c>
      <c r="L12" s="223">
        <f>'Profit and Loss Statement'!K9</f>
        <v>300645</v>
      </c>
      <c r="M12" s="223">
        <f>'Profit and Loss Statement'!L9</f>
        <v>300645</v>
      </c>
      <c r="N12" s="224">
        <f>'Profit and Loss Statement'!M9</f>
        <v>300645</v>
      </c>
      <c r="O12" s="146"/>
    </row>
    <row r="13" spans="1:15" ht="26.25" customHeight="1" x14ac:dyDescent="0.25">
      <c r="A13" s="226" t="s">
        <v>6</v>
      </c>
      <c r="B13" s="223"/>
      <c r="C13" s="223">
        <f>'Profit and Loss Statement'!B10</f>
        <v>56827.068750000006</v>
      </c>
      <c r="D13" s="223">
        <f>'Profit and Loss Statement'!C10</f>
        <v>56827.068750000006</v>
      </c>
      <c r="E13" s="223">
        <f>'Profit and Loss Statement'!D10</f>
        <v>56827.068750000006</v>
      </c>
      <c r="F13" s="223">
        <f>'Profit and Loss Statement'!E10</f>
        <v>56827.068750000006</v>
      </c>
      <c r="G13" s="223">
        <f>'Profit and Loss Statement'!F10</f>
        <v>41328.777272727246</v>
      </c>
      <c r="H13" s="223">
        <f>'Profit and Loss Statement'!G10</f>
        <v>41328.777272727246</v>
      </c>
      <c r="I13" s="223">
        <f>'Profit and Loss Statement'!H10</f>
        <v>41328.777272727246</v>
      </c>
      <c r="J13" s="223">
        <f>'Profit and Loss Statement'!I10</f>
        <v>41328.777272727246</v>
      </c>
      <c r="K13" s="223">
        <f>'Profit and Loss Statement'!J10</f>
        <v>20664.388636363619</v>
      </c>
      <c r="L13" s="223">
        <f>'Profit and Loss Statement'!K10</f>
        <v>20664.388636363619</v>
      </c>
      <c r="M13" s="223">
        <f>'Profit and Loss Statement'!L10</f>
        <v>20664.388636363619</v>
      </c>
      <c r="N13" s="224">
        <f>'Profit and Loss Statement'!M10</f>
        <v>20664.388636363619</v>
      </c>
      <c r="O13" s="146"/>
    </row>
    <row r="14" spans="1:15" ht="26.25" customHeight="1" x14ac:dyDescent="0.25">
      <c r="A14" s="226" t="s">
        <v>8</v>
      </c>
      <c r="B14" s="223"/>
      <c r="C14" s="223">
        <f>'LOAN REPAYMENT'!G5+'LOAN REPAYMENT'!G6+'LOAN REPAYMENT'!G7</f>
        <v>0</v>
      </c>
      <c r="D14" s="223">
        <f>'LOAN REPAYMENT'!G8*3</f>
        <v>229604.31818181818</v>
      </c>
      <c r="E14" s="223">
        <f>D14</f>
        <v>229604.31818181818</v>
      </c>
      <c r="F14" s="223">
        <f t="shared" ref="F14:J14" si="2">E14</f>
        <v>229604.31818181818</v>
      </c>
      <c r="G14" s="223">
        <f t="shared" si="2"/>
        <v>229604.31818181818</v>
      </c>
      <c r="H14" s="223">
        <f t="shared" si="2"/>
        <v>229604.31818181818</v>
      </c>
      <c r="I14" s="223">
        <f t="shared" si="2"/>
        <v>229604.31818181818</v>
      </c>
      <c r="J14" s="223">
        <f t="shared" si="2"/>
        <v>229604.31818181818</v>
      </c>
      <c r="K14" s="223">
        <f>J14</f>
        <v>229604.31818181818</v>
      </c>
      <c r="L14" s="223">
        <f t="shared" ref="L14:N14" si="3">K14</f>
        <v>229604.31818181818</v>
      </c>
      <c r="M14" s="223">
        <f t="shared" si="3"/>
        <v>229604.31818181818</v>
      </c>
      <c r="N14" s="223">
        <f t="shared" si="3"/>
        <v>229604.31818181818</v>
      </c>
      <c r="O14" s="146"/>
    </row>
    <row r="15" spans="1:15" ht="26.25" customHeight="1" x14ac:dyDescent="0.25">
      <c r="A15" s="226" t="s">
        <v>4</v>
      </c>
      <c r="B15" s="227"/>
      <c r="C15" s="227">
        <f>'Profit and Loss Statement'!B12</f>
        <v>33333.333333333336</v>
      </c>
      <c r="D15" s="227">
        <f>'Profit and Loss Statement'!C12</f>
        <v>33333.333333333336</v>
      </c>
      <c r="E15" s="227">
        <f>'Profit and Loss Statement'!D12</f>
        <v>33333.333333333336</v>
      </c>
      <c r="F15" s="227">
        <f>'Profit and Loss Statement'!E12</f>
        <v>33333.333333333336</v>
      </c>
      <c r="G15" s="227">
        <f>'Profit and Loss Statement'!F12</f>
        <v>33333.333333333336</v>
      </c>
      <c r="H15" s="227">
        <f>'Profit and Loss Statement'!G12</f>
        <v>33333.333333333336</v>
      </c>
      <c r="I15" s="227">
        <f>'Profit and Loss Statement'!H12</f>
        <v>33333.333333333336</v>
      </c>
      <c r="J15" s="227">
        <f>'Profit and Loss Statement'!I12</f>
        <v>33333.333333333336</v>
      </c>
      <c r="K15" s="227">
        <f>'Profit and Loss Statement'!J12</f>
        <v>33333.333333333336</v>
      </c>
      <c r="L15" s="227">
        <f>'Profit and Loss Statement'!K12</f>
        <v>33333.333333333336</v>
      </c>
      <c r="M15" s="227">
        <f>'Profit and Loss Statement'!L12</f>
        <v>33333.333333333336</v>
      </c>
      <c r="N15" s="228">
        <f>'Profit and Loss Statement'!M12</f>
        <v>33333.333333333336</v>
      </c>
      <c r="O15" s="146"/>
    </row>
    <row r="16" spans="1:15" ht="26.25" customHeight="1" x14ac:dyDescent="0.25">
      <c r="A16" s="226" t="s">
        <v>19</v>
      </c>
      <c r="B16" s="223"/>
      <c r="C16" s="223">
        <f>'Profit and Loss Statement'!B15</f>
        <v>11787.5</v>
      </c>
      <c r="D16" s="223">
        <f>'Profit and Loss Statement'!C15</f>
        <v>11787.5</v>
      </c>
      <c r="E16" s="223">
        <f>'Profit and Loss Statement'!D15</f>
        <v>11787.5</v>
      </c>
      <c r="F16" s="223">
        <f>'Profit and Loss Statement'!E15</f>
        <v>11787.5</v>
      </c>
      <c r="G16" s="223">
        <f>'Profit and Loss Statement'!F15</f>
        <v>11787.5</v>
      </c>
      <c r="H16" s="223">
        <f>'Profit and Loss Statement'!G15</f>
        <v>11787.5</v>
      </c>
      <c r="I16" s="223">
        <f>'Profit and Loss Statement'!H15</f>
        <v>11787.5</v>
      </c>
      <c r="J16" s="223">
        <f>'Profit and Loss Statement'!I15</f>
        <v>11787.5</v>
      </c>
      <c r="K16" s="223">
        <f>'Profit and Loss Statement'!J15</f>
        <v>11787.5</v>
      </c>
      <c r="L16" s="223">
        <f>'Profit and Loss Statement'!K15</f>
        <v>11787.5</v>
      </c>
      <c r="M16" s="223">
        <f>'Profit and Loss Statement'!L15</f>
        <v>11787.5</v>
      </c>
      <c r="N16" s="224">
        <f>'Profit and Loss Statement'!M15</f>
        <v>11787.5</v>
      </c>
      <c r="O16" s="146"/>
    </row>
    <row r="17" spans="1:15" ht="26.25" customHeight="1" x14ac:dyDescent="0.25">
      <c r="A17" s="226" t="s">
        <v>20</v>
      </c>
      <c r="B17" s="223"/>
      <c r="C17" s="223">
        <f>'Profit and Loss Statement'!B16</f>
        <v>0</v>
      </c>
      <c r="D17" s="223">
        <f>'Profit and Loss Statement'!C16</f>
        <v>0</v>
      </c>
      <c r="E17" s="223">
        <f>'Profit and Loss Statement'!D16</f>
        <v>0</v>
      </c>
      <c r="F17" s="223">
        <f>'Profit and Loss Statement'!E16</f>
        <v>0</v>
      </c>
      <c r="G17" s="223">
        <f>'Profit and Loss Statement'!F16</f>
        <v>0</v>
      </c>
      <c r="H17" s="223">
        <f>'Profit and Loss Statement'!G16</f>
        <v>0</v>
      </c>
      <c r="I17" s="223">
        <f>'Profit and Loss Statement'!H16</f>
        <v>0</v>
      </c>
      <c r="J17" s="223">
        <f>'Profit and Loss Statement'!I16</f>
        <v>0</v>
      </c>
      <c r="K17" s="223">
        <f>'Profit and Loss Statement'!J16</f>
        <v>0</v>
      </c>
      <c r="L17" s="223">
        <f>'Profit and Loss Statement'!K16</f>
        <v>0</v>
      </c>
      <c r="M17" s="223">
        <f>'Profit and Loss Statement'!L16</f>
        <v>0</v>
      </c>
      <c r="N17" s="224">
        <f>'Profit and Loss Statement'!M16</f>
        <v>0</v>
      </c>
      <c r="O17" s="146"/>
    </row>
    <row r="18" spans="1:15" ht="26.25" customHeight="1" x14ac:dyDescent="0.25">
      <c r="A18" s="226" t="s">
        <v>21</v>
      </c>
      <c r="B18" s="223"/>
      <c r="C18" s="223">
        <f>'Profit and Loss Statement'!B19</f>
        <v>743398.75291666668</v>
      </c>
      <c r="D18" s="223">
        <f>'Profit and Loss Statement'!C19</f>
        <v>416254.75291666668</v>
      </c>
      <c r="E18" s="223">
        <f>'Profit and Loss Statement'!D19</f>
        <v>751398.75291666668</v>
      </c>
      <c r="F18" s="223">
        <f>'Profit and Loss Statement'!E19</f>
        <v>740185.75291666668</v>
      </c>
      <c r="G18" s="223">
        <f>'Profit and Loss Statement'!F19</f>
        <v>707498.41121212125</v>
      </c>
      <c r="H18" s="223">
        <f>'Profit and Loss Statement'!G19</f>
        <v>853615.41121212137</v>
      </c>
      <c r="I18" s="223">
        <f>'Profit and Loss Statement'!H19</f>
        <v>711518.41121212125</v>
      </c>
      <c r="J18" s="223">
        <f>'Profit and Loss Statement'!I19</f>
        <v>707498.41121212125</v>
      </c>
      <c r="K18" s="223">
        <f>'Profit and Loss Statement'!J19</f>
        <v>925553.28893939406</v>
      </c>
      <c r="L18" s="223">
        <f>'Profit and Loss Statement'!K19</f>
        <v>722001.28893939406</v>
      </c>
      <c r="M18" s="223">
        <f>'Profit and Loss Statement'!L19</f>
        <v>925553.28893939406</v>
      </c>
      <c r="N18" s="224">
        <f>'Profit and Loss Statement'!M19</f>
        <v>786338.28893939406</v>
      </c>
      <c r="O18" s="146"/>
    </row>
    <row r="19" spans="1:15" ht="26.25" customHeight="1" x14ac:dyDescent="0.25">
      <c r="A19" s="219" t="s">
        <v>22</v>
      </c>
      <c r="B19" s="223">
        <f>SUM(B10:B18)</f>
        <v>2490230</v>
      </c>
      <c r="C19" s="223">
        <f>SUM(C10:C18)</f>
        <v>2430941.6550000003</v>
      </c>
      <c r="D19" s="223">
        <f t="shared" ref="D19:N19" si="4">SUM(D10:D18)</f>
        <v>1828801.9731818181</v>
      </c>
      <c r="E19" s="223">
        <f t="shared" si="4"/>
        <v>2628545.9731818181</v>
      </c>
      <c r="F19" s="223">
        <f t="shared" si="4"/>
        <v>2617332.9731818181</v>
      </c>
      <c r="G19" s="223">
        <f t="shared" si="4"/>
        <v>2524497.34</v>
      </c>
      <c r="H19" s="223">
        <f t="shared" si="4"/>
        <v>2886264.34</v>
      </c>
      <c r="I19" s="223">
        <f t="shared" si="4"/>
        <v>2537517.34</v>
      </c>
      <c r="J19" s="223">
        <f t="shared" si="4"/>
        <v>2524497.34</v>
      </c>
      <c r="K19" s="223">
        <f t="shared" si="4"/>
        <v>3119887.8290909096</v>
      </c>
      <c r="L19" s="223">
        <f t="shared" si="4"/>
        <v>2539235.8290909091</v>
      </c>
      <c r="M19" s="223">
        <f t="shared" si="4"/>
        <v>3119887.8290909096</v>
      </c>
      <c r="N19" s="224">
        <f t="shared" si="4"/>
        <v>2772222.8290909091</v>
      </c>
      <c r="O19" s="146"/>
    </row>
    <row r="20" spans="1:15" ht="30" customHeight="1" x14ac:dyDescent="0.25">
      <c r="A20" s="219" t="s">
        <v>23</v>
      </c>
      <c r="B20" s="223">
        <f>B8-B19</f>
        <v>-245210</v>
      </c>
      <c r="C20" s="223">
        <f>C8-C19</f>
        <v>2930348.3449999997</v>
      </c>
      <c r="D20" s="223">
        <f t="shared" ref="D20:N20" si="5">D8-D19</f>
        <v>4524046.3718181811</v>
      </c>
      <c r="E20" s="223">
        <f t="shared" si="5"/>
        <v>7502000.3986363634</v>
      </c>
      <c r="F20" s="223">
        <f t="shared" si="5"/>
        <v>10491167.425454546</v>
      </c>
      <c r="G20" s="223">
        <f t="shared" si="5"/>
        <v>13342670.085454546</v>
      </c>
      <c r="H20" s="223">
        <f t="shared" si="5"/>
        <v>16807905.745454546</v>
      </c>
      <c r="I20" s="223">
        <f t="shared" si="5"/>
        <v>19676388.405454546</v>
      </c>
      <c r="J20" s="223">
        <f t="shared" si="5"/>
        <v>22527891.065454546</v>
      </c>
      <c r="K20" s="223">
        <f t="shared" si="5"/>
        <v>26297003.236363638</v>
      </c>
      <c r="L20" s="223">
        <f t="shared" si="5"/>
        <v>29208767.40727273</v>
      </c>
      <c r="M20" s="223">
        <f t="shared" si="5"/>
        <v>32977879.578181818</v>
      </c>
      <c r="N20" s="224">
        <f t="shared" si="5"/>
        <v>36162156.74909091</v>
      </c>
      <c r="O20" s="146"/>
    </row>
    <row r="22" spans="1:15" x14ac:dyDescent="0.25">
      <c r="O22" s="7"/>
    </row>
    <row r="23" spans="1:15" ht="26.25" x14ac:dyDescent="0.4">
      <c r="A23" s="2"/>
    </row>
  </sheetData>
  <pageMargins left="0.7" right="0.7" top="0.75" bottom="0.75" header="0.3" footer="0.3"/>
  <pageSetup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O15"/>
  <sheetViews>
    <sheetView topLeftCell="C1" zoomScale="88" zoomScaleNormal="88" workbookViewId="0">
      <selection activeCell="K18" sqref="K18"/>
    </sheetView>
  </sheetViews>
  <sheetFormatPr defaultRowHeight="15" x14ac:dyDescent="0.25"/>
  <cols>
    <col min="1" max="1" width="12.85546875" bestFit="1" customWidth="1"/>
    <col min="2" max="2" width="12.28515625" bestFit="1" customWidth="1"/>
    <col min="3" max="3" width="17.28515625" customWidth="1"/>
    <col min="4" max="4" width="17" customWidth="1"/>
    <col min="5" max="5" width="16.42578125" customWidth="1"/>
    <col min="6" max="6" width="17.5703125" customWidth="1"/>
    <col min="7" max="7" width="15.5703125" customWidth="1"/>
    <col min="8" max="8" width="14.5703125" customWidth="1"/>
    <col min="9" max="9" width="15.140625" customWidth="1"/>
    <col min="10" max="10" width="17.140625" customWidth="1"/>
    <col min="11" max="11" width="15.7109375" customWidth="1"/>
    <col min="12" max="12" width="15.140625" customWidth="1"/>
    <col min="13" max="13" width="15.85546875" customWidth="1"/>
    <col min="14" max="14" width="16.42578125" customWidth="1"/>
    <col min="15" max="15" width="14.85546875" customWidth="1"/>
  </cols>
  <sheetData>
    <row r="1" spans="1:15" ht="20.25" x14ac:dyDescent="0.3">
      <c r="A1" s="19" t="s">
        <v>48</v>
      </c>
      <c r="B1" s="19"/>
      <c r="C1" s="20" t="s">
        <v>58</v>
      </c>
      <c r="D1" s="19"/>
      <c r="E1" s="1"/>
      <c r="F1" s="19"/>
      <c r="G1" s="19"/>
      <c r="H1" s="19"/>
      <c r="I1" s="19"/>
      <c r="J1" s="19"/>
      <c r="K1" s="19"/>
      <c r="L1" s="19"/>
      <c r="M1" s="19"/>
      <c r="N1" s="19"/>
      <c r="O1" s="21"/>
    </row>
    <row r="2" spans="1:15" x14ac:dyDescent="0.25">
      <c r="A2" s="21"/>
      <c r="B2" s="22">
        <v>0</v>
      </c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I2" s="22">
        <v>7</v>
      </c>
      <c r="J2" s="22">
        <v>8</v>
      </c>
      <c r="K2" s="22">
        <v>9</v>
      </c>
      <c r="L2" s="22">
        <v>10</v>
      </c>
      <c r="M2" s="22">
        <v>11</v>
      </c>
      <c r="N2" s="22">
        <v>12</v>
      </c>
      <c r="O2" s="22" t="s">
        <v>24</v>
      </c>
    </row>
    <row r="3" spans="1:15" x14ac:dyDescent="0.25">
      <c r="A3" s="21" t="s">
        <v>49</v>
      </c>
      <c r="B3" s="23">
        <f>'Cash Flow'!B8</f>
        <v>2245020</v>
      </c>
      <c r="C3" s="23">
        <f>'Cash Flow'!C8</f>
        <v>5361290</v>
      </c>
      <c r="D3" s="23">
        <f>'Cash Flow'!D8</f>
        <v>6352848.3449999997</v>
      </c>
      <c r="E3" s="23">
        <f>'Cash Flow'!E8</f>
        <v>10130546.371818181</v>
      </c>
      <c r="F3" s="23">
        <f>'Cash Flow'!F8</f>
        <v>13108500.398636363</v>
      </c>
      <c r="G3" s="23">
        <f>'Cash Flow'!G8</f>
        <v>15867167.425454546</v>
      </c>
      <c r="H3" s="23">
        <f>'Cash Flow'!H8</f>
        <v>19694170.085454546</v>
      </c>
      <c r="I3" s="23">
        <f>'Cash Flow'!I8</f>
        <v>22213905.745454546</v>
      </c>
      <c r="J3" s="23">
        <f>'Cash Flow'!J8</f>
        <v>25052388.405454546</v>
      </c>
      <c r="K3" s="23">
        <f>'Cash Flow'!K8</f>
        <v>29416891.065454546</v>
      </c>
      <c r="L3" s="23">
        <f>'Cash Flow'!L8</f>
        <v>31748003.236363638</v>
      </c>
      <c r="M3" s="23">
        <f>'Cash Flow'!M8</f>
        <v>36097767.407272726</v>
      </c>
      <c r="N3" s="23">
        <f>'Cash Flow'!N8</f>
        <v>38934379.578181818</v>
      </c>
      <c r="O3" s="24">
        <f>SUM(B3:N3)</f>
        <v>256222878.06454545</v>
      </c>
    </row>
    <row r="4" spans="1:15" x14ac:dyDescent="0.25">
      <c r="A4" s="21" t="s">
        <v>50</v>
      </c>
      <c r="B4" s="25"/>
      <c r="C4" s="25">
        <f>C3*0.8</f>
        <v>4289032</v>
      </c>
      <c r="D4" s="25">
        <f t="shared" ref="D4:N4" si="0">D3*0.8</f>
        <v>5082278.676</v>
      </c>
      <c r="E4" s="25">
        <f t="shared" si="0"/>
        <v>8104437.0974545451</v>
      </c>
      <c r="F4" s="25">
        <f t="shared" si="0"/>
        <v>10486800.318909092</v>
      </c>
      <c r="G4" s="25">
        <f t="shared" si="0"/>
        <v>12693733.940363638</v>
      </c>
      <c r="H4" s="25">
        <f t="shared" si="0"/>
        <v>15755336.068363637</v>
      </c>
      <c r="I4" s="25">
        <f t="shared" si="0"/>
        <v>17771124.596363638</v>
      </c>
      <c r="J4" s="25">
        <f t="shared" si="0"/>
        <v>20041910.724363636</v>
      </c>
      <c r="K4" s="25">
        <f t="shared" si="0"/>
        <v>23533512.852363639</v>
      </c>
      <c r="L4" s="25">
        <f t="shared" si="0"/>
        <v>25398402.589090914</v>
      </c>
      <c r="M4" s="25">
        <f t="shared" si="0"/>
        <v>28878213.925818183</v>
      </c>
      <c r="N4" s="25">
        <f t="shared" si="0"/>
        <v>31147503.662545457</v>
      </c>
      <c r="O4" s="26"/>
    </row>
    <row r="5" spans="1:15" x14ac:dyDescent="0.25">
      <c r="A5" s="21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5" x14ac:dyDescent="0.25">
      <c r="A6" s="21" t="s">
        <v>51</v>
      </c>
      <c r="B6" s="27">
        <f>'Cash Flow'!B19</f>
        <v>2490230</v>
      </c>
      <c r="C6" s="23">
        <f>'Cash Flow'!C19</f>
        <v>2430941.6550000003</v>
      </c>
      <c r="D6" s="23">
        <f>'Cash Flow'!D19</f>
        <v>1828801.9731818181</v>
      </c>
      <c r="E6" s="23">
        <f>'Cash Flow'!E19</f>
        <v>2628545.9731818181</v>
      </c>
      <c r="F6" s="23">
        <f>'Cash Flow'!F19</f>
        <v>2617332.9731818181</v>
      </c>
      <c r="G6" s="23">
        <f>'Cash Flow'!G19</f>
        <v>2524497.34</v>
      </c>
      <c r="H6" s="23">
        <f>'Cash Flow'!H19</f>
        <v>2886264.34</v>
      </c>
      <c r="I6" s="23">
        <f>'Cash Flow'!I19</f>
        <v>2537517.34</v>
      </c>
      <c r="J6" s="23">
        <f>'Cash Flow'!J19</f>
        <v>2524497.34</v>
      </c>
      <c r="K6" s="23">
        <f>'Cash Flow'!K19</f>
        <v>3119887.8290909096</v>
      </c>
      <c r="L6" s="23">
        <f>'Cash Flow'!L19</f>
        <v>2539235.8290909091</v>
      </c>
      <c r="M6" s="23">
        <f>'Cash Flow'!M19</f>
        <v>3119887.8290909096</v>
      </c>
      <c r="N6" s="23">
        <f>'Cash Flow'!N19</f>
        <v>2772222.8290909091</v>
      </c>
      <c r="O6" s="27"/>
    </row>
    <row r="7" spans="1:15" x14ac:dyDescent="0.25">
      <c r="A7" s="21" t="s">
        <v>52</v>
      </c>
      <c r="B7" s="28"/>
      <c r="C7" s="26">
        <f>C6*1.15</f>
        <v>2795582.90325</v>
      </c>
      <c r="D7" s="26">
        <f t="shared" ref="D7:N7" si="1">D6*1.15</f>
        <v>2103122.2691590907</v>
      </c>
      <c r="E7" s="26">
        <f t="shared" si="1"/>
        <v>3022827.8691590908</v>
      </c>
      <c r="F7" s="26">
        <f t="shared" si="1"/>
        <v>3009932.9191590906</v>
      </c>
      <c r="G7" s="26">
        <f t="shared" si="1"/>
        <v>2903171.9409999996</v>
      </c>
      <c r="H7" s="26">
        <f t="shared" si="1"/>
        <v>3319203.9909999995</v>
      </c>
      <c r="I7" s="26">
        <f t="shared" si="1"/>
        <v>2918144.9409999996</v>
      </c>
      <c r="J7" s="26">
        <f t="shared" si="1"/>
        <v>2903171.9409999996</v>
      </c>
      <c r="K7" s="26">
        <f t="shared" si="1"/>
        <v>3587871.0034545455</v>
      </c>
      <c r="L7" s="26">
        <f t="shared" si="1"/>
        <v>2920121.2034545452</v>
      </c>
      <c r="M7" s="26">
        <f t="shared" si="1"/>
        <v>3587871.0034545455</v>
      </c>
      <c r="N7" s="26">
        <f t="shared" si="1"/>
        <v>3188056.253454545</v>
      </c>
      <c r="O7" s="26"/>
    </row>
    <row r="8" spans="1:15" x14ac:dyDescent="0.25">
      <c r="A8" s="21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</row>
    <row r="9" spans="1:15" x14ac:dyDescent="0.25">
      <c r="A9" s="21" t="s">
        <v>53</v>
      </c>
      <c r="B9" s="26">
        <f>-B6</f>
        <v>-2490230</v>
      </c>
      <c r="C9" s="26">
        <f>C3-C6</f>
        <v>2930348.3449999997</v>
      </c>
      <c r="D9" s="26">
        <f t="shared" ref="D9:N9" si="2">D3-D6</f>
        <v>4524046.3718181811</v>
      </c>
      <c r="E9" s="26">
        <f t="shared" si="2"/>
        <v>7502000.3986363634</v>
      </c>
      <c r="F9" s="26">
        <f t="shared" si="2"/>
        <v>10491167.425454546</v>
      </c>
      <c r="G9" s="26">
        <f t="shared" si="2"/>
        <v>13342670.085454546</v>
      </c>
      <c r="H9" s="26">
        <f t="shared" si="2"/>
        <v>16807905.745454546</v>
      </c>
      <c r="I9" s="26">
        <f t="shared" si="2"/>
        <v>19676388.405454546</v>
      </c>
      <c r="J9" s="26">
        <f t="shared" si="2"/>
        <v>22527891.065454546</v>
      </c>
      <c r="K9" s="26">
        <f t="shared" si="2"/>
        <v>26297003.236363638</v>
      </c>
      <c r="L9" s="26">
        <f t="shared" si="2"/>
        <v>29208767.40727273</v>
      </c>
      <c r="M9" s="26">
        <f t="shared" si="2"/>
        <v>32977879.578181818</v>
      </c>
      <c r="N9" s="26">
        <f t="shared" si="2"/>
        <v>36162156.74909091</v>
      </c>
      <c r="O9" s="26"/>
    </row>
    <row r="10" spans="1:15" x14ac:dyDescent="0.25">
      <c r="A10" s="21" t="s">
        <v>54</v>
      </c>
      <c r="B10" s="29">
        <f>B9</f>
        <v>-2490230</v>
      </c>
      <c r="C10" s="29">
        <f>C4-C6</f>
        <v>1858090.3449999997</v>
      </c>
      <c r="D10" s="29">
        <f t="shared" ref="D10:N10" si="3">D4-D6</f>
        <v>3253476.7028181818</v>
      </c>
      <c r="E10" s="29">
        <f t="shared" si="3"/>
        <v>5475891.1242727265</v>
      </c>
      <c r="F10" s="29">
        <f t="shared" si="3"/>
        <v>7869467.3457272742</v>
      </c>
      <c r="G10" s="29">
        <f t="shared" si="3"/>
        <v>10169236.600363638</v>
      </c>
      <c r="H10" s="29">
        <f t="shared" si="3"/>
        <v>12869071.728363637</v>
      </c>
      <c r="I10" s="29">
        <f t="shared" si="3"/>
        <v>15233607.256363638</v>
      </c>
      <c r="J10" s="29">
        <f t="shared" si="3"/>
        <v>17517413.384363636</v>
      </c>
      <c r="K10" s="29">
        <f t="shared" si="3"/>
        <v>20413625.02327273</v>
      </c>
      <c r="L10" s="29">
        <f t="shared" si="3"/>
        <v>22859166.760000005</v>
      </c>
      <c r="M10" s="29">
        <f t="shared" si="3"/>
        <v>25758326.096727274</v>
      </c>
      <c r="N10" s="29">
        <f t="shared" si="3"/>
        <v>28375280.833454549</v>
      </c>
      <c r="O10" s="29"/>
    </row>
    <row r="11" spans="1:15" x14ac:dyDescent="0.25">
      <c r="A11" s="21" t="s">
        <v>55</v>
      </c>
      <c r="B11" s="29">
        <f>B10</f>
        <v>-2490230</v>
      </c>
      <c r="C11" s="29">
        <f>C3-C7</f>
        <v>2565707.09675</v>
      </c>
      <c r="D11" s="29">
        <f>D3-D7</f>
        <v>4249726.075840909</v>
      </c>
      <c r="E11" s="29">
        <f t="shared" ref="E11:N11" si="4">E3-E7</f>
        <v>7107718.5026590899</v>
      </c>
      <c r="F11" s="29">
        <f t="shared" si="4"/>
        <v>10098567.479477273</v>
      </c>
      <c r="G11" s="29">
        <f t="shared" si="4"/>
        <v>12963995.484454546</v>
      </c>
      <c r="H11" s="29">
        <f t="shared" si="4"/>
        <v>16374966.094454546</v>
      </c>
      <c r="I11" s="29">
        <f t="shared" si="4"/>
        <v>19295760.804454546</v>
      </c>
      <c r="J11" s="29">
        <f t="shared" si="4"/>
        <v>22149216.464454547</v>
      </c>
      <c r="K11" s="29">
        <f t="shared" si="4"/>
        <v>25829020.061999999</v>
      </c>
      <c r="L11" s="29">
        <f t="shared" si="4"/>
        <v>28827882.032909092</v>
      </c>
      <c r="M11" s="29">
        <f t="shared" si="4"/>
        <v>32509896.403818183</v>
      </c>
      <c r="N11" s="29">
        <f t="shared" si="4"/>
        <v>35746323.324727274</v>
      </c>
      <c r="O11" s="29"/>
    </row>
    <row r="12" spans="1:15" x14ac:dyDescent="0.25">
      <c r="A12" s="2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1:15" x14ac:dyDescent="0.25">
      <c r="A13" s="21"/>
      <c r="B13" s="21"/>
      <c r="C13" s="21"/>
      <c r="D13" s="21"/>
      <c r="E13" s="21" t="s">
        <v>53</v>
      </c>
      <c r="F13" s="21" t="s">
        <v>56</v>
      </c>
      <c r="G13" s="21" t="s">
        <v>57</v>
      </c>
      <c r="H13" s="21"/>
      <c r="I13" s="21"/>
      <c r="J13" s="21"/>
      <c r="K13" s="21"/>
      <c r="L13" s="21"/>
      <c r="M13" s="21"/>
      <c r="N13" s="21"/>
      <c r="O13" s="21"/>
    </row>
    <row r="14" spans="1:15" x14ac:dyDescent="0.25">
      <c r="A14" s="21"/>
      <c r="B14" s="21"/>
      <c r="C14" s="21"/>
      <c r="D14" s="21" t="s">
        <v>45</v>
      </c>
      <c r="E14" s="31">
        <f>NPV(20%,B9:N9)</f>
        <v>43770055.220660478</v>
      </c>
      <c r="F14" s="31">
        <f>NPV(20%,B10:N10)</f>
        <v>32750811.55563017</v>
      </c>
      <c r="G14" s="31">
        <f>NPV(20%,B11:N11)</f>
        <v>42382409.504986815</v>
      </c>
      <c r="H14" s="32"/>
      <c r="I14" s="21"/>
      <c r="J14" s="21"/>
      <c r="K14" s="21"/>
      <c r="L14" s="21"/>
      <c r="M14" s="21"/>
      <c r="N14" s="21"/>
      <c r="O14" s="21"/>
    </row>
    <row r="15" spans="1:15" x14ac:dyDescent="0.25">
      <c r="A15" s="21"/>
      <c r="B15" s="21"/>
      <c r="C15" s="21"/>
      <c r="D15" s="21" t="s">
        <v>44</v>
      </c>
      <c r="E15" s="33">
        <f>IRR(B9:N9,30%)</f>
        <v>1.6812249376792718</v>
      </c>
      <c r="F15" s="33">
        <f>IRR(B10:N10,20%)</f>
        <v>1.2988799631977268</v>
      </c>
      <c r="G15" s="33">
        <f>IRR(B11:N11,40%)</f>
        <v>1.5794178935366205</v>
      </c>
      <c r="H15" s="33"/>
      <c r="I15" s="21"/>
      <c r="J15" s="21"/>
      <c r="K15" s="21"/>
      <c r="L15" s="21"/>
      <c r="M15" s="21"/>
      <c r="N15" s="21"/>
      <c r="O15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9"/>
  <sheetViews>
    <sheetView topLeftCell="A18" workbookViewId="0">
      <selection activeCell="B39" sqref="B39:D39"/>
    </sheetView>
  </sheetViews>
  <sheetFormatPr defaultRowHeight="15" x14ac:dyDescent="0.25"/>
  <cols>
    <col min="1" max="1" width="29.28515625" customWidth="1"/>
    <col min="2" max="2" width="17.42578125" customWidth="1"/>
    <col min="8" max="8" width="18.42578125" customWidth="1"/>
    <col min="9" max="9" width="19.28515625" customWidth="1"/>
  </cols>
  <sheetData>
    <row r="1" spans="1:9" ht="21" x14ac:dyDescent="0.35">
      <c r="A1" s="147"/>
      <c r="B1" s="148"/>
      <c r="C1" s="149" t="s">
        <v>157</v>
      </c>
      <c r="D1" s="149"/>
      <c r="E1" s="148"/>
      <c r="F1" s="148"/>
      <c r="G1" s="148"/>
      <c r="H1" s="148"/>
      <c r="I1" s="150"/>
    </row>
    <row r="2" spans="1:9" x14ac:dyDescent="0.25">
      <c r="A2" s="151"/>
      <c r="B2" s="118"/>
      <c r="C2" s="118"/>
      <c r="D2" s="118"/>
      <c r="E2" s="118"/>
      <c r="F2" s="118"/>
      <c r="G2" s="118"/>
      <c r="H2" s="118"/>
      <c r="I2" s="152"/>
    </row>
    <row r="3" spans="1:9" ht="18.75" x14ac:dyDescent="0.3">
      <c r="A3" s="153" t="s">
        <v>158</v>
      </c>
      <c r="B3" s="118"/>
      <c r="C3" s="204"/>
      <c r="D3" s="205"/>
      <c r="E3" s="205"/>
      <c r="F3" s="205"/>
      <c r="G3" s="205"/>
      <c r="H3" s="205"/>
      <c r="I3" s="206"/>
    </row>
    <row r="4" spans="1:9" ht="15.75" x14ac:dyDescent="0.25">
      <c r="A4" s="153" t="s">
        <v>159</v>
      </c>
      <c r="B4" s="118"/>
      <c r="C4" s="207" t="s">
        <v>272</v>
      </c>
      <c r="D4" s="207"/>
      <c r="E4" s="207"/>
      <c r="F4" s="207"/>
      <c r="G4" s="207"/>
      <c r="H4" s="207"/>
      <c r="I4" s="203"/>
    </row>
    <row r="5" spans="1:9" ht="15.75" x14ac:dyDescent="0.25">
      <c r="A5" s="153" t="s">
        <v>160</v>
      </c>
      <c r="B5" s="118"/>
      <c r="C5" s="207"/>
      <c r="D5" s="207"/>
      <c r="E5" s="207"/>
      <c r="F5" s="207"/>
      <c r="G5" s="207"/>
      <c r="H5" s="207"/>
      <c r="I5" s="203"/>
    </row>
    <row r="6" spans="1:9" ht="15.75" x14ac:dyDescent="0.25">
      <c r="A6" s="153" t="s">
        <v>161</v>
      </c>
      <c r="B6" s="118"/>
      <c r="C6" s="207"/>
      <c r="D6" s="207"/>
      <c r="E6" s="207"/>
      <c r="F6" s="207"/>
      <c r="G6" s="207"/>
      <c r="H6" s="207"/>
      <c r="I6" s="203"/>
    </row>
    <row r="7" spans="1:9" ht="15.75" x14ac:dyDescent="0.25">
      <c r="A7" s="153" t="s">
        <v>162</v>
      </c>
      <c r="B7" s="118"/>
      <c r="C7" s="208"/>
      <c r="D7" s="209"/>
      <c r="E7" s="209"/>
      <c r="F7" s="209"/>
      <c r="G7" s="154"/>
      <c r="H7" s="155" t="s">
        <v>163</v>
      </c>
      <c r="I7" s="156"/>
    </row>
    <row r="8" spans="1:9" ht="15.75" x14ac:dyDescent="0.25">
      <c r="A8" s="153"/>
      <c r="B8" s="118"/>
      <c r="C8" s="118"/>
      <c r="D8" s="118"/>
      <c r="E8" s="118"/>
      <c r="F8" s="118"/>
      <c r="G8" s="118"/>
      <c r="H8" s="118"/>
      <c r="I8" s="152"/>
    </row>
    <row r="9" spans="1:9" x14ac:dyDescent="0.25">
      <c r="A9" s="151"/>
      <c r="B9" s="157" t="s">
        <v>164</v>
      </c>
      <c r="C9" s="158"/>
      <c r="D9" s="155" t="s">
        <v>165</v>
      </c>
      <c r="E9" s="158"/>
      <c r="F9" s="155" t="s">
        <v>166</v>
      </c>
      <c r="G9" s="155"/>
      <c r="H9" s="202"/>
      <c r="I9" s="203"/>
    </row>
    <row r="10" spans="1:9" x14ac:dyDescent="0.25">
      <c r="A10" s="159" t="s">
        <v>167</v>
      </c>
      <c r="B10" s="207"/>
      <c r="C10" s="207"/>
      <c r="D10" s="207"/>
      <c r="E10" s="207"/>
      <c r="F10" s="207"/>
      <c r="G10" s="207"/>
      <c r="H10" s="207"/>
      <c r="I10" s="203"/>
    </row>
    <row r="11" spans="1:9" x14ac:dyDescent="0.25">
      <c r="A11" s="159" t="s">
        <v>168</v>
      </c>
      <c r="B11" s="211"/>
      <c r="C11" s="211"/>
      <c r="D11" s="211"/>
      <c r="E11" s="118"/>
      <c r="F11" s="118"/>
      <c r="G11" s="118"/>
      <c r="H11" s="118"/>
      <c r="I11" s="152"/>
    </row>
    <row r="12" spans="1:9" x14ac:dyDescent="0.25">
      <c r="A12" s="159" t="s">
        <v>169</v>
      </c>
      <c r="B12" s="155"/>
      <c r="C12" s="155"/>
      <c r="D12" s="207"/>
      <c r="E12" s="207"/>
      <c r="F12" s="118"/>
      <c r="G12" s="118"/>
      <c r="H12" s="118"/>
      <c r="I12" s="152"/>
    </row>
    <row r="13" spans="1:9" x14ac:dyDescent="0.25">
      <c r="A13" s="159" t="s">
        <v>170</v>
      </c>
      <c r="B13" s="155"/>
      <c r="C13" s="155"/>
      <c r="D13" s="212"/>
      <c r="E13" s="207"/>
      <c r="F13" s="118"/>
      <c r="G13" s="118"/>
      <c r="H13" s="118"/>
      <c r="I13" s="152"/>
    </row>
    <row r="14" spans="1:9" x14ac:dyDescent="0.25">
      <c r="A14" s="151"/>
      <c r="B14" s="118"/>
      <c r="C14" s="118"/>
      <c r="D14" s="118"/>
      <c r="E14" s="118"/>
      <c r="F14" s="118"/>
      <c r="G14" s="118"/>
      <c r="H14" s="118"/>
      <c r="I14" s="152"/>
    </row>
    <row r="15" spans="1:9" x14ac:dyDescent="0.25">
      <c r="A15" s="159" t="s">
        <v>171</v>
      </c>
      <c r="B15" s="118"/>
      <c r="C15" s="118"/>
      <c r="D15" s="213" t="s">
        <v>273</v>
      </c>
      <c r="E15" s="213"/>
      <c r="F15" s="118"/>
      <c r="G15" s="118"/>
      <c r="H15" s="118"/>
      <c r="I15" s="152"/>
    </row>
    <row r="16" spans="1:9" x14ac:dyDescent="0.25">
      <c r="A16" s="159"/>
      <c r="B16" s="118"/>
      <c r="C16" s="118"/>
      <c r="D16" s="160"/>
      <c r="E16" s="160"/>
      <c r="F16" s="118"/>
      <c r="G16" s="118"/>
      <c r="H16" s="118"/>
      <c r="I16" s="152"/>
    </row>
    <row r="17" spans="1:9" x14ac:dyDescent="0.25">
      <c r="A17" s="159"/>
      <c r="B17" s="118"/>
      <c r="C17" s="118"/>
      <c r="D17" s="160"/>
      <c r="E17" s="160"/>
      <c r="F17" s="118"/>
      <c r="G17" s="118"/>
      <c r="H17" s="118"/>
      <c r="I17" s="152"/>
    </row>
    <row r="18" spans="1:9" ht="21" x14ac:dyDescent="0.35">
      <c r="A18" s="161" t="s">
        <v>172</v>
      </c>
      <c r="B18" s="118"/>
      <c r="C18" s="118"/>
      <c r="D18" s="118"/>
      <c r="E18" s="118"/>
      <c r="F18" s="118"/>
      <c r="G18" s="118"/>
      <c r="H18" s="118"/>
      <c r="I18" s="152"/>
    </row>
    <row r="19" spans="1:9" x14ac:dyDescent="0.25">
      <c r="A19" s="151" t="s">
        <v>275</v>
      </c>
      <c r="B19" s="162">
        <f>'Cash Flow'!B8</f>
        <v>2245020</v>
      </c>
      <c r="C19" s="118"/>
      <c r="D19" s="118" t="s">
        <v>173</v>
      </c>
      <c r="E19" s="118"/>
      <c r="F19" s="118"/>
      <c r="G19" s="118"/>
      <c r="H19" s="163">
        <v>3</v>
      </c>
      <c r="I19" s="152"/>
    </row>
    <row r="20" spans="1:9" x14ac:dyDescent="0.25">
      <c r="A20" s="151" t="s">
        <v>7</v>
      </c>
      <c r="B20" s="162">
        <f>'Cash Flow'!B6</f>
        <v>-280627.5</v>
      </c>
      <c r="C20" s="118"/>
      <c r="D20" s="118"/>
      <c r="E20" s="118"/>
      <c r="F20" s="118"/>
      <c r="G20" s="118"/>
      <c r="H20" s="118"/>
      <c r="I20" s="152"/>
    </row>
    <row r="21" spans="1:9" x14ac:dyDescent="0.25">
      <c r="A21" s="151" t="s">
        <v>174</v>
      </c>
      <c r="B21" s="162">
        <f>'Cash Flow'!B7</f>
        <v>2525647.5</v>
      </c>
      <c r="C21" s="118"/>
      <c r="D21" s="118" t="s">
        <v>175</v>
      </c>
      <c r="E21" s="118"/>
      <c r="F21" s="118"/>
      <c r="G21" s="118"/>
      <c r="H21" s="162">
        <f>'PRE-OPERATING, EQUIPMENT'!M23</f>
        <v>943000</v>
      </c>
      <c r="I21" s="152"/>
    </row>
    <row r="22" spans="1:9" x14ac:dyDescent="0.25">
      <c r="A22" s="151" t="s">
        <v>176</v>
      </c>
      <c r="B22" s="163" t="s">
        <v>274</v>
      </c>
      <c r="C22" s="118"/>
      <c r="D22" s="118" t="s">
        <v>177</v>
      </c>
      <c r="E22" s="118"/>
      <c r="F22" s="118"/>
      <c r="G22" s="118"/>
      <c r="H22" s="162">
        <f>'Cash Flow'!B10</f>
        <v>1862740</v>
      </c>
      <c r="I22" s="152"/>
    </row>
    <row r="23" spans="1:9" x14ac:dyDescent="0.25">
      <c r="A23" s="151" t="s">
        <v>178</v>
      </c>
      <c r="B23" s="163" t="s">
        <v>179</v>
      </c>
      <c r="C23" s="118"/>
      <c r="D23" s="118" t="s">
        <v>180</v>
      </c>
      <c r="E23" s="118"/>
      <c r="F23" s="118"/>
      <c r="G23" s="118"/>
      <c r="H23" s="62"/>
      <c r="I23" s="152"/>
    </row>
    <row r="24" spans="1:9" x14ac:dyDescent="0.25">
      <c r="A24" s="151" t="s">
        <v>181</v>
      </c>
      <c r="B24" s="164">
        <v>0.09</v>
      </c>
      <c r="C24" s="118"/>
      <c r="D24" s="118"/>
      <c r="E24" s="118"/>
      <c r="F24" s="118"/>
      <c r="G24" s="118"/>
      <c r="H24" s="118"/>
      <c r="I24" s="152"/>
    </row>
    <row r="25" spans="1:9" x14ac:dyDescent="0.25">
      <c r="A25" s="151"/>
      <c r="B25" s="118"/>
      <c r="C25" s="118"/>
      <c r="D25" s="118"/>
      <c r="E25" s="118"/>
      <c r="F25" s="118"/>
      <c r="G25" s="118"/>
      <c r="H25" s="118"/>
      <c r="I25" s="152"/>
    </row>
    <row r="26" spans="1:9" x14ac:dyDescent="0.25">
      <c r="A26" s="151"/>
      <c r="B26" s="118"/>
      <c r="C26" s="118"/>
      <c r="D26" s="118"/>
      <c r="E26" s="118"/>
      <c r="F26" s="118"/>
      <c r="G26" s="118"/>
      <c r="H26" s="118"/>
      <c r="I26" s="152"/>
    </row>
    <row r="27" spans="1:9" ht="18.75" x14ac:dyDescent="0.3">
      <c r="A27" s="165" t="s">
        <v>182</v>
      </c>
      <c r="B27" s="118"/>
      <c r="C27" s="118"/>
      <c r="D27" s="118"/>
      <c r="E27" s="118"/>
      <c r="F27" s="118"/>
      <c r="G27" s="118"/>
      <c r="H27" s="118"/>
      <c r="I27" s="152"/>
    </row>
    <row r="28" spans="1:9" x14ac:dyDescent="0.25">
      <c r="A28" s="151" t="s">
        <v>183</v>
      </c>
      <c r="B28" s="166">
        <v>36</v>
      </c>
      <c r="C28" s="118"/>
      <c r="D28" s="118" t="s">
        <v>184</v>
      </c>
      <c r="E28" s="118"/>
      <c r="F28" s="118"/>
      <c r="G28" s="118"/>
      <c r="H28" s="167" t="str">
        <f>IF(B28=12,"Monthly",IF(B28=24,"Bimontly", IF(B28=36,"Quarterly",IF(B28=60,"Semi-annual",""))))</f>
        <v>Quarterly</v>
      </c>
      <c r="I28" s="152"/>
    </row>
    <row r="29" spans="1:9" x14ac:dyDescent="0.25">
      <c r="A29" s="151" t="s">
        <v>185</v>
      </c>
      <c r="B29" s="168">
        <f>'Profit and Loss Statement'!N3</f>
        <v>67937000</v>
      </c>
      <c r="C29" s="118"/>
      <c r="D29" s="118" t="s">
        <v>186</v>
      </c>
      <c r="E29" s="118"/>
      <c r="F29" s="118"/>
      <c r="G29" s="118"/>
      <c r="H29" s="155"/>
      <c r="I29" s="152"/>
    </row>
    <row r="30" spans="1:9" x14ac:dyDescent="0.25">
      <c r="A30" s="151" t="s">
        <v>187</v>
      </c>
      <c r="B30" s="168">
        <f>'Profit and Loss Statement'!N7</f>
        <v>52439500</v>
      </c>
      <c r="C30" s="118"/>
      <c r="D30" s="118"/>
      <c r="E30" s="118"/>
      <c r="F30" s="118"/>
      <c r="G30" s="118"/>
      <c r="H30" s="118"/>
      <c r="I30" s="152"/>
    </row>
    <row r="31" spans="1:9" x14ac:dyDescent="0.25">
      <c r="A31" s="151" t="s">
        <v>188</v>
      </c>
      <c r="B31" s="168">
        <f>'Profit and Loss Statement'!N18</f>
        <v>44954074.061363637</v>
      </c>
      <c r="C31" s="118"/>
      <c r="D31" s="118" t="s">
        <v>45</v>
      </c>
      <c r="E31" s="118"/>
      <c r="F31" s="118"/>
      <c r="G31" s="118"/>
      <c r="H31" s="162">
        <f>'Viability Analysis'!E14</f>
        <v>43770055.220660478</v>
      </c>
      <c r="I31" s="152"/>
    </row>
    <row r="32" spans="1:9" x14ac:dyDescent="0.25">
      <c r="A32" s="151" t="s">
        <v>189</v>
      </c>
      <c r="B32" s="168">
        <f>'Profit and Loss Statement'!N20</f>
        <v>35963259.24909091</v>
      </c>
      <c r="C32" s="118"/>
      <c r="D32" s="118" t="s">
        <v>44</v>
      </c>
      <c r="E32" s="118"/>
      <c r="F32" s="118"/>
      <c r="G32" s="118"/>
      <c r="H32" s="169">
        <f>'Viability Analysis'!E15</f>
        <v>1.6812249376792718</v>
      </c>
      <c r="I32" s="152"/>
    </row>
    <row r="33" spans="1:9" x14ac:dyDescent="0.25">
      <c r="A33" s="151" t="s">
        <v>190</v>
      </c>
      <c r="B33" s="168">
        <f>'Cash Flow'!N20</f>
        <v>36162156.74909091</v>
      </c>
      <c r="C33" s="118"/>
      <c r="D33" s="118" t="s">
        <v>191</v>
      </c>
      <c r="E33" s="118"/>
      <c r="F33" s="118"/>
      <c r="G33" s="118"/>
      <c r="H33" s="180">
        <f>B32/B19*100</f>
        <v>1601.912644390291</v>
      </c>
      <c r="I33" s="152"/>
    </row>
    <row r="34" spans="1:9" x14ac:dyDescent="0.25">
      <c r="A34" s="151"/>
      <c r="B34" s="118"/>
      <c r="C34" s="118"/>
      <c r="D34" s="118"/>
      <c r="E34" s="118"/>
      <c r="F34" s="118"/>
      <c r="G34" s="118"/>
      <c r="H34" s="118"/>
      <c r="I34" s="152"/>
    </row>
    <row r="35" spans="1:9" x14ac:dyDescent="0.25">
      <c r="A35" s="151"/>
      <c r="B35" s="118"/>
      <c r="C35" s="118"/>
      <c r="D35" s="118"/>
      <c r="E35" s="118"/>
      <c r="F35" s="118"/>
      <c r="G35" s="118"/>
      <c r="H35" s="118"/>
      <c r="I35" s="152"/>
    </row>
    <row r="36" spans="1:9" x14ac:dyDescent="0.25">
      <c r="A36" s="151"/>
      <c r="B36" s="118"/>
      <c r="C36" s="118"/>
      <c r="D36" s="118"/>
      <c r="E36" s="118"/>
      <c r="F36" s="118"/>
      <c r="G36" s="118"/>
      <c r="H36" s="118"/>
      <c r="I36" s="152"/>
    </row>
    <row r="37" spans="1:9" x14ac:dyDescent="0.25">
      <c r="A37" s="151" t="s">
        <v>192</v>
      </c>
      <c r="B37" s="170"/>
      <c r="C37" s="118" t="s">
        <v>193</v>
      </c>
      <c r="D37" s="118"/>
      <c r="E37" s="118"/>
      <c r="F37" s="214"/>
      <c r="G37" s="215"/>
      <c r="H37" s="216"/>
      <c r="I37" s="152"/>
    </row>
    <row r="38" spans="1:9" x14ac:dyDescent="0.25">
      <c r="A38" s="171" t="s">
        <v>194</v>
      </c>
      <c r="B38" s="207"/>
      <c r="C38" s="207"/>
      <c r="D38" s="207"/>
      <c r="E38" s="207"/>
      <c r="F38" s="118"/>
      <c r="G38" s="118"/>
      <c r="H38" s="118"/>
      <c r="I38" s="152"/>
    </row>
    <row r="39" spans="1:9" ht="15.75" thickBot="1" x14ac:dyDescent="0.3">
      <c r="A39" s="172" t="s">
        <v>195</v>
      </c>
      <c r="B39" s="210"/>
      <c r="C39" s="210"/>
      <c r="D39" s="210"/>
      <c r="E39" s="173"/>
      <c r="F39" s="173" t="s">
        <v>196</v>
      </c>
      <c r="G39" s="173"/>
      <c r="H39" s="173"/>
      <c r="I39" s="174">
        <v>1</v>
      </c>
    </row>
  </sheetData>
  <mergeCells count="14">
    <mergeCell ref="B38:E38"/>
    <mergeCell ref="B39:D39"/>
    <mergeCell ref="B10:I10"/>
    <mergeCell ref="B11:D11"/>
    <mergeCell ref="D12:E12"/>
    <mergeCell ref="D13:E13"/>
    <mergeCell ref="D15:E15"/>
    <mergeCell ref="F37:H37"/>
    <mergeCell ref="H9:I9"/>
    <mergeCell ref="C3:I3"/>
    <mergeCell ref="C4:I4"/>
    <mergeCell ref="C5:I5"/>
    <mergeCell ref="C6:I6"/>
    <mergeCell ref="C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PRE-OPERATING, EQUIPMENT</vt:lpstr>
      <vt:lpstr>OPERATING EXPENSE</vt:lpstr>
      <vt:lpstr>LOAN REPAYMENT</vt:lpstr>
      <vt:lpstr>PROPOSED PRICING</vt:lpstr>
      <vt:lpstr>Cost Forecast</vt:lpstr>
      <vt:lpstr>Sales Forecast</vt:lpstr>
      <vt:lpstr>Profit and Loss Statement</vt:lpstr>
      <vt:lpstr>Cash Flow</vt:lpstr>
      <vt:lpstr>Viability Analysis</vt:lpstr>
      <vt:lpstr>PROFILE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</dc:creator>
  <cp:lastModifiedBy>Darexkey</cp:lastModifiedBy>
  <cp:lastPrinted>2016-07-05T09:19:37Z</cp:lastPrinted>
  <dcterms:created xsi:type="dcterms:W3CDTF">2009-10-21T07:18:09Z</dcterms:created>
  <dcterms:modified xsi:type="dcterms:W3CDTF">2020-07-02T11:59:28Z</dcterms:modified>
</cp:coreProperties>
</file>