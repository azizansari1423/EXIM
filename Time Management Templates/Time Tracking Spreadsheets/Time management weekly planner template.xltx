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SAID\Desktop\"/>
    </mc:Choice>
  </mc:AlternateContent>
  <bookViews>
    <workbookView xWindow="0" yWindow="0" windowWidth="25200" windowHeight="12570"/>
  </bookViews>
  <sheets>
    <sheet name="Projects Overview" sheetId="1" r:id="rId1"/>
    <sheet name="Task Details" sheetId="2" r:id="rId2"/>
  </sheets>
  <definedNames>
    <definedName name="_xlnm.Print_Titles" localSheetId="0">'Projects Overview'!$3:$3</definedName>
    <definedName name="_xlnm.Print_Titles" localSheetId="1">'Task Details'!$3:$3</definedName>
    <definedName name="ProjectList">Projects[Project]</definedName>
    <definedName name="ProjectStart">Tasks[[#Headers],[Project]]</definedName>
  </definedNames>
  <calcPr calcId="152511"/>
</workbook>
</file>

<file path=xl/calcChain.xml><?xml version="1.0" encoding="utf-8"?>
<calcChain xmlns="http://schemas.openxmlformats.org/spreadsheetml/2006/main">
  <c r="C4" i="1" l="1"/>
  <c r="C5" i="1"/>
  <c r="C6" i="1"/>
  <c r="C7" i="1"/>
  <c r="D4" i="1" l="1"/>
  <c r="D5" i="1"/>
  <c r="D6" i="1"/>
  <c r="D7" i="1"/>
  <c r="E7" i="1" l="1" a="1"/>
  <c r="E7" i="1" s="1"/>
  <c r="F7" i="1" a="1"/>
  <c r="F7" i="1" s="1"/>
  <c r="E4" i="1" l="1" a="1"/>
  <c r="E4" i="1" s="1"/>
  <c r="E5" i="1" a="1"/>
  <c r="E5" i="1" s="1"/>
  <c r="E6" i="1" a="1"/>
  <c r="E6" i="1" s="1"/>
  <c r="F4" i="1" a="1"/>
  <c r="F4" i="1" s="1"/>
  <c r="F5" i="1" a="1"/>
  <c r="F5" i="1" s="1"/>
  <c r="F6" i="1" a="1"/>
  <c r="F6" i="1" s="1"/>
</calcChain>
</file>

<file path=xl/sharedStrings.xml><?xml version="1.0" encoding="utf-8"?>
<sst xmlns="http://schemas.openxmlformats.org/spreadsheetml/2006/main" count="65" uniqueCount="45">
  <si>
    <t>Project</t>
  </si>
  <si>
    <t>Task</t>
  </si>
  <si>
    <t>Done</t>
  </si>
  <si>
    <t>Start</t>
  </si>
  <si>
    <t>End</t>
  </si>
  <si>
    <t>Plan Vacation</t>
  </si>
  <si>
    <t>Study the history and culture of Belize</t>
  </si>
  <si>
    <t>Study resort reviews</t>
  </si>
  <si>
    <t>Get passports for the entire family</t>
  </si>
  <si>
    <t>Consider the rush option…</t>
  </si>
  <si>
    <t>Race is on April 18</t>
  </si>
  <si>
    <t>10 miles a day</t>
  </si>
  <si>
    <t>12 miles a day</t>
  </si>
  <si>
    <t>April 19 through April 30</t>
  </si>
  <si>
    <t>14 miles a day</t>
  </si>
  <si>
    <t>15 miles a day</t>
  </si>
  <si>
    <t>10 mile jogs each day</t>
  </si>
  <si>
    <t>Cross the finish line under 3 hours!</t>
  </si>
  <si>
    <t>Now go to Belize!</t>
  </si>
  <si>
    <t>Surprise birthday party on October 3</t>
  </si>
  <si>
    <t>Order catering</t>
  </si>
  <si>
    <t>Secure the entertainment</t>
  </si>
  <si>
    <t>It was awesome.  She had no idea!</t>
  </si>
  <si>
    <t>We're going to Belize!</t>
  </si>
  <si>
    <t>Projects Overview</t>
  </si>
  <si>
    <t>Task Details</t>
  </si>
  <si>
    <t>Enroll Sara in Swimming Lessons</t>
  </si>
  <si>
    <t>Notes</t>
  </si>
  <si>
    <t xml:space="preserve"> Start</t>
  </si>
  <si>
    <t xml:space="preserve"> End</t>
  </si>
  <si>
    <t>Choose between tropical &amp; temperate</t>
  </si>
  <si>
    <t>Monitor spring air fare rates online</t>
  </si>
  <si>
    <t>Make reservations at resort</t>
  </si>
  <si>
    <t>Inspect course</t>
  </si>
  <si>
    <t>Chose tropical.  Belize here we come!</t>
  </si>
  <si>
    <t>Train for Marathon</t>
  </si>
  <si>
    <t>Travel to marathon</t>
  </si>
  <si>
    <t>Send party invitations</t>
  </si>
  <si>
    <t>Party day!</t>
  </si>
  <si>
    <t>Progress</t>
  </si>
  <si>
    <t>Break my record on April 18</t>
  </si>
  <si>
    <t>Compare local area community center prices</t>
  </si>
  <si>
    <t xml:space="preserve">  </t>
  </si>
  <si>
    <t>Plan Sara's Surprise Party</t>
  </si>
  <si>
    <t xml:space="preserve">Dwonload free 500 contract management templates in excel and word </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</si>
</sst>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9"/>
      <color theme="1" tint="0.34998626667073579"/>
      <name val="Century Gothic"/>
      <family val="2"/>
      <scheme val="minor"/>
    </font>
    <font>
      <sz val="11"/>
      <color theme="1"/>
      <name val="Century Gothic"/>
      <family val="2"/>
      <scheme val="minor"/>
    </font>
    <font>
      <sz val="9"/>
      <color theme="1" tint="0.34998626667073579"/>
      <name val="Century Gothic"/>
      <family val="2"/>
      <scheme val="minor"/>
    </font>
    <font>
      <sz val="10"/>
      <color theme="4"/>
      <name val="Playbill"/>
      <family val="5"/>
    </font>
    <font>
      <b/>
      <sz val="9"/>
      <color theme="4"/>
      <name val="Century Gothic"/>
      <family val="2"/>
      <scheme val="minor"/>
    </font>
    <font>
      <sz val="30"/>
      <color theme="4"/>
      <name val="Century Gothic"/>
      <family val="2"/>
      <scheme val="major"/>
    </font>
    <font>
      <sz val="9"/>
      <color theme="1" tint="0.34998626667073579"/>
      <name val="Century Gothic"/>
      <family val="2"/>
      <scheme val="major"/>
    </font>
    <font>
      <sz val="9"/>
      <color theme="1"/>
      <name val="Century Gothic"/>
      <family val="2"/>
      <scheme val="minor"/>
    </font>
    <font>
      <u/>
      <sz val="9"/>
      <color theme="10"/>
      <name val="Century Gothic"/>
      <family val="2"/>
      <scheme val="minor"/>
    </font>
    <font>
      <b/>
      <u/>
      <sz val="16"/>
      <color theme="10"/>
      <name val="Century Gothic"/>
      <family val="2"/>
    </font>
  </fonts>
  <fills count="2">
    <fill>
      <patternFill patternType="none"/>
    </fill>
    <fill>
      <patternFill patternType="gray125"/>
    </fill>
  </fills>
  <borders count="1">
    <border>
      <left/>
      <right/>
      <top/>
      <bottom/>
      <diagonal/>
    </border>
  </borders>
  <cellStyleXfs count="6">
    <xf numFmtId="0" fontId="0" fillId="0" borderId="0">
      <alignment vertical="center"/>
    </xf>
    <xf numFmtId="9" fontId="1" fillId="0" borderId="0" applyFont="0" applyFill="0" applyBorder="0" applyAlignment="0" applyProtection="0"/>
    <xf numFmtId="0" fontId="5" fillId="0" borderId="0" applyNumberFormat="0" applyFill="0" applyBorder="0" applyAlignment="0" applyProtection="0"/>
    <xf numFmtId="0" fontId="2" fillId="0" borderId="0" applyNumberFormat="0" applyFont="0" applyFill="0" applyBorder="0" applyProtection="0">
      <alignment horizontal="left" indent="1"/>
    </xf>
    <xf numFmtId="0" fontId="3" fillId="0" borderId="0" applyNumberFormat="0" applyFill="0" applyBorder="0" applyProtection="0">
      <alignment horizontal="left" vertical="center"/>
    </xf>
    <xf numFmtId="0" fontId="8" fillId="0" borderId="0" applyNumberFormat="0" applyFill="0" applyBorder="0" applyAlignment="0" applyProtection="0">
      <alignment vertical="center"/>
    </xf>
  </cellStyleXfs>
  <cellXfs count="19">
    <xf numFmtId="0" fontId="0" fillId="0" borderId="0" xfId="0">
      <alignment vertical="center"/>
    </xf>
    <xf numFmtId="0" fontId="5" fillId="0" borderId="0" xfId="2" applyAlignment="1">
      <alignment vertical="center"/>
    </xf>
    <xf numFmtId="0" fontId="0" fillId="0" borderId="0" xfId="3" applyFont="1">
      <alignment horizontal="left" indent="1"/>
    </xf>
    <xf numFmtId="0" fontId="0" fillId="0" borderId="0" xfId="3" applyFont="1" applyFill="1" applyBorder="1">
      <alignment horizontal="left" indent="1"/>
    </xf>
    <xf numFmtId="0" fontId="3" fillId="0" borderId="0" xfId="4">
      <alignment horizontal="left" vertical="center"/>
    </xf>
    <xf numFmtId="9" fontId="4" fillId="0" borderId="0" xfId="1" applyFont="1" applyFill="1" applyBorder="1" applyAlignment="1">
      <alignment vertical="center"/>
    </xf>
    <xf numFmtId="9" fontId="4" fillId="0" borderId="0" xfId="1" applyFont="1" applyAlignment="1">
      <alignment vertical="center"/>
    </xf>
    <xf numFmtId="0" fontId="0" fillId="0" borderId="0" xfId="3" applyFont="1" applyAlignment="1">
      <alignment horizontal="left" indent="1"/>
    </xf>
    <xf numFmtId="14" fontId="0" fillId="0" borderId="0" xfId="0" applyNumberFormat="1" applyFont="1" applyAlignment="1">
      <alignment horizontal="right" indent="1"/>
    </xf>
    <xf numFmtId="0" fontId="0" fillId="0" borderId="0" xfId="0" applyFont="1" applyFill="1" applyBorder="1" applyAlignment="1">
      <alignment horizontal="center"/>
    </xf>
    <xf numFmtId="0" fontId="0" fillId="0" borderId="0" xfId="0" applyFont="1" applyFill="1" applyAlignment="1">
      <alignment horizontal="center"/>
    </xf>
    <xf numFmtId="14" fontId="0" fillId="0" borderId="0" xfId="0" applyNumberFormat="1" applyFont="1" applyFill="1" applyBorder="1" applyAlignment="1">
      <alignment horizontal="right" indent="1"/>
    </xf>
    <xf numFmtId="0" fontId="6" fillId="0" borderId="0" xfId="3" applyFont="1" applyFill="1" applyBorder="1" applyAlignment="1">
      <alignment horizontal="left" vertical="center" indent="1"/>
    </xf>
    <xf numFmtId="0" fontId="6" fillId="0" borderId="0" xfId="0" applyFont="1" applyFill="1" applyBorder="1" applyAlignment="1">
      <alignment horizontal="left" vertical="center" indent="1"/>
    </xf>
    <xf numFmtId="0" fontId="6" fillId="0" borderId="0" xfId="0" applyFont="1" applyAlignment="1">
      <alignment horizontal="left" vertical="center" indent="1"/>
    </xf>
    <xf numFmtId="0" fontId="6" fillId="0" borderId="0" xfId="0" applyFont="1" applyFill="1" applyBorder="1" applyAlignment="1">
      <alignment horizontal="left" vertical="center" indent="2"/>
    </xf>
    <xf numFmtId="0" fontId="6" fillId="0" borderId="0" xfId="3" applyFont="1" applyAlignment="1">
      <alignment horizontal="left" vertical="center" indent="1"/>
    </xf>
    <xf numFmtId="0" fontId="7" fillId="0" borderId="0" xfId="3" applyFont="1" applyAlignment="1">
      <alignment horizontal="left" indent="1"/>
    </xf>
    <xf numFmtId="0" fontId="9" fillId="0" borderId="0" xfId="5" applyFont="1">
      <alignment vertical="center"/>
    </xf>
  </cellXfs>
  <cellStyles count="6">
    <cellStyle name="Chart" xfId="4"/>
    <cellStyle name="Heading 1" xfId="2" builtinId="16" customBuiltin="1"/>
    <cellStyle name="Hyperlink" xfId="5" builtinId="8"/>
    <cellStyle name="Indent" xfId="3"/>
    <cellStyle name="Normal" xfId="0" builtinId="0" customBuiltin="1"/>
    <cellStyle name="Percent" xfId="1" builtinId="5"/>
  </cellStyles>
  <dxfs count="21">
    <dxf>
      <alignment horizontal="left" vertical="bottom" textRotation="0" wrapText="0" indent="1" justifyLastLine="0" shrinkToFit="0" readingOrder="0"/>
    </dxf>
    <dxf>
      <font>
        <b val="0"/>
        <i val="0"/>
        <strike val="0"/>
        <condense val="0"/>
        <extend val="0"/>
        <outline val="0"/>
        <shadow val="0"/>
        <u val="none"/>
        <vertAlign val="baseline"/>
        <sz val="9"/>
        <color theme="1" tint="0.34998626667073579"/>
        <name val="Century Gothic"/>
        <scheme val="minor"/>
      </font>
      <fill>
        <patternFill patternType="none">
          <fgColor indexed="64"/>
          <bgColor indexed="65"/>
        </patternFill>
      </fill>
      <alignment horizontal="center" vertical="bottom" textRotation="0" wrapText="0" indent="0" justifyLastLine="0" shrinkToFit="0" readingOrder="0"/>
    </dxf>
    <dxf>
      <font>
        <color theme="1"/>
      </font>
      <alignment horizontal="left" vertical="bottom" textRotation="0" wrapText="0" indent="1" justifyLastLine="0" shrinkToFit="0" readingOrder="0"/>
    </dxf>
    <dxf>
      <font>
        <b val="0"/>
        <i val="0"/>
        <strike val="0"/>
        <outline val="0"/>
        <shadow val="0"/>
        <u val="none"/>
        <vertAlign val="baseline"/>
        <sz val="9"/>
        <color theme="1"/>
        <name val="Century Gothic"/>
        <scheme val="minor"/>
      </font>
      <alignment horizontal="left" vertical="bottom" textRotation="0" wrapText="0" indent="1" justifyLastLine="0" shrinkToFit="0" readingOrder="0"/>
    </dxf>
    <dxf>
      <numFmt numFmtId="164" formatCode="mm/dd/yyyy"/>
      <alignment horizontal="right" vertical="bottom" textRotation="0" wrapText="0" indent="1" justifyLastLine="0" shrinkToFit="0" readingOrder="0"/>
    </dxf>
    <dxf>
      <numFmt numFmtId="164" formatCode="mm/dd/yyyy"/>
      <alignment horizontal="right" vertical="bottom" textRotation="0" wrapText="0" indent="1" justifyLastLine="0" shrinkToFit="0" readingOrder="0"/>
    </dxf>
    <dxf>
      <font>
        <strike val="0"/>
        <outline val="0"/>
        <shadow val="0"/>
        <u val="none"/>
        <vertAlign val="baseline"/>
        <sz val="9"/>
        <color theme="1" tint="0.34998626667073579"/>
        <name val="Century Gothic"/>
        <scheme val="major"/>
      </font>
      <alignment horizontal="left" vertical="center" textRotation="0" wrapText="0" relativeIndent="-1" justifyLastLine="0" shrinkToFit="0" readingOrder="0"/>
    </dxf>
    <dxf>
      <alignment horizontal="left" vertical="bottom" textRotation="0" wrapText="0" indent="1" justifyLastLine="0" shrinkToFit="0" readingOrder="0"/>
    </dxf>
    <dxf>
      <numFmt numFmtId="0" formatCode="General"/>
      <alignment horizontal="center" vertical="bottom" textRotation="0" wrapText="0" indent="0" justifyLastLine="0" shrinkToFit="0" readingOrder="0"/>
    </dxf>
    <dxf>
      <numFmt numFmtId="164" formatCode="mm/dd/yyyy"/>
      <alignment horizontal="right" vertical="bottom" textRotation="0" wrapText="0" indent="1" justifyLastLine="0" shrinkToFit="0" readingOrder="0"/>
    </dxf>
    <dxf>
      <numFmt numFmtId="0" formatCode="General"/>
      <alignment horizontal="center" vertical="bottom" textRotation="0" wrapText="0" indent="0" justifyLastLine="0" shrinkToFit="0" readingOrder="0"/>
    </dxf>
    <dxf>
      <numFmt numFmtId="164" formatCode="mm/dd/yyyy"/>
      <alignment horizontal="right" vertical="bottom" textRotation="0" wrapText="0" indent="1" justifyLastLine="0" shrinkToFit="0" readingOrder="0"/>
    </dxf>
    <dxf>
      <font>
        <b val="0"/>
        <i val="0"/>
        <strike val="0"/>
        <condense val="0"/>
        <extend val="0"/>
        <outline val="0"/>
        <shadow val="0"/>
        <u val="none"/>
        <vertAlign val="baseline"/>
        <sz val="10"/>
        <color theme="4"/>
        <name val="Playbill"/>
        <scheme val="none"/>
      </font>
      <alignment horizontal="left" vertical="center" textRotation="0" wrapText="0" indent="0" justifyLastLine="0" shrinkToFit="0" readingOrder="0"/>
    </dxf>
    <dxf>
      <numFmt numFmtId="0" formatCode="General"/>
    </dxf>
    <dxf>
      <font>
        <b/>
        <i val="0"/>
        <strike val="0"/>
        <condense val="0"/>
        <extend val="0"/>
        <outline val="0"/>
        <shadow val="0"/>
        <u val="none"/>
        <vertAlign val="baseline"/>
        <sz val="9"/>
        <color theme="4"/>
        <name val="Century Gothic"/>
        <scheme val="minor"/>
      </font>
      <numFmt numFmtId="0" formatCode="General"/>
    </dxf>
    <dxf>
      <font>
        <b/>
        <strike val="0"/>
        <outline val="0"/>
        <shadow val="0"/>
        <u val="none"/>
        <vertAlign val="baseline"/>
        <sz val="9"/>
        <color theme="4"/>
        <name val="Century Gothic"/>
        <scheme val="minor"/>
      </font>
      <numFmt numFmtId="13" formatCode="0%"/>
    </dxf>
    <dxf>
      <alignment horizontal="left" vertical="bottom" textRotation="0" wrapText="0" indent="1" justifyLastLine="0" shrinkToFit="0" readingOrder="0"/>
    </dxf>
    <dxf>
      <font>
        <strike val="0"/>
        <outline val="0"/>
        <shadow val="0"/>
        <u val="none"/>
        <vertAlign val="baseline"/>
        <sz val="9"/>
        <color theme="1" tint="0.34998626667073579"/>
        <name val="Century Gothic"/>
        <scheme val="major"/>
      </font>
      <alignment horizontal="left" vertical="center" textRotation="0" wrapText="0" relativeIndent="-1" justifyLastLine="0" shrinkToFit="0" readingOrder="0"/>
    </dxf>
    <dxf>
      <font>
        <color theme="1"/>
      </font>
    </dxf>
    <dxf>
      <font>
        <b/>
        <i val="0"/>
        <color theme="0"/>
      </font>
      <fill>
        <patternFill>
          <bgColor theme="4"/>
        </patternFill>
      </fill>
      <border diagonalUp="0" diagonalDown="0">
        <left/>
        <right/>
        <top/>
        <bottom/>
        <vertical/>
        <horizontal/>
      </border>
    </dxf>
    <dxf>
      <border diagonalUp="0" diagonalDown="0">
        <left/>
        <right/>
        <top/>
        <bottom style="thin">
          <color theme="0" tint="-0.14996795556505021"/>
        </bottom>
        <vertical/>
        <horizontal style="thin">
          <color theme="0" tint="-0.14996795556505021"/>
        </horizontal>
      </border>
    </dxf>
  </dxfs>
  <tableStyles count="1" defaultTableStyle="TableStyleMedium2" defaultPivotStyle="PivotStyleLight16">
    <tableStyle name="Weekly Planner Tables" pivot="0" count="3">
      <tableStyleElement type="wholeTable" dxfId="20"/>
      <tableStyleElement type="headerRow" dxfId="19"/>
      <tableStyleElement type="firstColumn" dxfId="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hyperlink" Target="#'Task Details'!A1"/></Relationships>
</file>

<file path=xl/drawings/_rels/drawing2.xml.rels><?xml version="1.0" encoding="UTF-8" standalone="yes"?>
<Relationships xmlns="http://schemas.openxmlformats.org/package/2006/relationships"><Relationship Id="rId1" Type="http://schemas.openxmlformats.org/officeDocument/2006/relationships/hyperlink" Target="#'Projects Overview'!A1"/></Relationships>
</file>

<file path=xl/drawings/drawing1.xml><?xml version="1.0" encoding="utf-8"?>
<xdr:wsDr xmlns:xdr="http://schemas.openxmlformats.org/drawingml/2006/spreadsheetDrawing" xmlns:a="http://schemas.openxmlformats.org/drawingml/2006/main">
  <xdr:twoCellAnchor>
    <xdr:from>
      <xdr:col>6</xdr:col>
      <xdr:colOff>1085850</xdr:colOff>
      <xdr:row>0</xdr:row>
      <xdr:rowOff>200025</xdr:rowOff>
    </xdr:from>
    <xdr:to>
      <xdr:col>7</xdr:col>
      <xdr:colOff>9525</xdr:colOff>
      <xdr:row>0</xdr:row>
      <xdr:rowOff>542926</xdr:rowOff>
    </xdr:to>
    <xdr:grpSp>
      <xdr:nvGrpSpPr>
        <xdr:cNvPr id="4" name="Task Details" descr="Click this shape to switch to the Task Details tab." title="Navigation Button - Task Detail">
          <a:hlinkClick xmlns:r="http://schemas.openxmlformats.org/officeDocument/2006/relationships" r:id="rId1" tooltip="Click to view Task Details sheet."/>
        </xdr:cNvPr>
        <xdr:cNvGrpSpPr/>
      </xdr:nvGrpSpPr>
      <xdr:grpSpPr>
        <a:xfrm>
          <a:off x="8010525" y="200025"/>
          <a:ext cx="2476500" cy="342901"/>
          <a:chOff x="2933700" y="6505574"/>
          <a:chExt cx="2476500" cy="342901"/>
        </a:xfrm>
      </xdr:grpSpPr>
      <xdr:sp macro="[0]!Sheet1.ShowTasks" textlink="">
        <xdr:nvSpPr>
          <xdr:cNvPr id="5" name="Freeform 6"/>
          <xdr:cNvSpPr>
            <a:spLocks/>
          </xdr:cNvSpPr>
        </xdr:nvSpPr>
        <xdr:spPr bwMode="auto">
          <a:xfrm>
            <a:off x="5286375" y="6638925"/>
            <a:ext cx="66675" cy="133350"/>
          </a:xfrm>
          <a:custGeom>
            <a:avLst/>
            <a:gdLst>
              <a:gd name="T0" fmla="*/ 0 w 1633"/>
              <a:gd name="T1" fmla="*/ 0 h 3029"/>
              <a:gd name="T2" fmla="*/ 759 w 1633"/>
              <a:gd name="T3" fmla="*/ 0 h 3029"/>
              <a:gd name="T4" fmla="*/ 1633 w 1633"/>
              <a:gd name="T5" fmla="*/ 1514 h 3029"/>
              <a:gd name="T6" fmla="*/ 759 w 1633"/>
              <a:gd name="T7" fmla="*/ 3029 h 3029"/>
              <a:gd name="T8" fmla="*/ 5 w 1633"/>
              <a:gd name="T9" fmla="*/ 3029 h 3029"/>
              <a:gd name="T10" fmla="*/ 884 w 1633"/>
              <a:gd name="T11" fmla="*/ 1514 h 3029"/>
              <a:gd name="T12" fmla="*/ 0 w 1633"/>
              <a:gd name="T13" fmla="*/ 0 h 3029"/>
            </a:gdLst>
            <a:ahLst/>
            <a:cxnLst>
              <a:cxn ang="0">
                <a:pos x="T0" y="T1"/>
              </a:cxn>
              <a:cxn ang="0">
                <a:pos x="T2" y="T3"/>
              </a:cxn>
              <a:cxn ang="0">
                <a:pos x="T4" y="T5"/>
              </a:cxn>
              <a:cxn ang="0">
                <a:pos x="T6" y="T7"/>
              </a:cxn>
              <a:cxn ang="0">
                <a:pos x="T8" y="T9"/>
              </a:cxn>
              <a:cxn ang="0">
                <a:pos x="T10" y="T11"/>
              </a:cxn>
              <a:cxn ang="0">
                <a:pos x="T12" y="T13"/>
              </a:cxn>
            </a:cxnLst>
            <a:rect l="0" t="0" r="r" b="b"/>
            <a:pathLst>
              <a:path w="1633" h="3029">
                <a:moveTo>
                  <a:pt x="0" y="0"/>
                </a:moveTo>
                <a:lnTo>
                  <a:pt x="759" y="0"/>
                </a:lnTo>
                <a:lnTo>
                  <a:pt x="1633" y="1514"/>
                </a:lnTo>
                <a:lnTo>
                  <a:pt x="759" y="3029"/>
                </a:lnTo>
                <a:lnTo>
                  <a:pt x="5" y="3029"/>
                </a:lnTo>
                <a:lnTo>
                  <a:pt x="884" y="1514"/>
                </a:lnTo>
                <a:lnTo>
                  <a:pt x="0" y="0"/>
                </a:lnTo>
                <a:close/>
              </a:path>
            </a:pathLst>
          </a:custGeom>
          <a:solidFill>
            <a:schemeClr val="accent1"/>
          </a:solidFill>
          <a:ln w="0">
            <a:noFill/>
            <a:prstDash val="solid"/>
            <a:round/>
            <a:headEnd/>
            <a:tailEnd/>
          </a:ln>
        </xdr:spPr>
      </xdr:sp>
      <xdr:sp macro="[0]!Sheet1.ShowTasks" textlink="">
        <xdr:nvSpPr>
          <xdr:cNvPr id="6" name="Freeform 7"/>
          <xdr:cNvSpPr>
            <a:spLocks/>
          </xdr:cNvSpPr>
        </xdr:nvSpPr>
        <xdr:spPr bwMode="auto">
          <a:xfrm>
            <a:off x="5343525" y="6638925"/>
            <a:ext cx="66675" cy="133350"/>
          </a:xfrm>
          <a:custGeom>
            <a:avLst/>
            <a:gdLst>
              <a:gd name="T0" fmla="*/ 0 w 1633"/>
              <a:gd name="T1" fmla="*/ 0 h 3029"/>
              <a:gd name="T2" fmla="*/ 759 w 1633"/>
              <a:gd name="T3" fmla="*/ 0 h 3029"/>
              <a:gd name="T4" fmla="*/ 1633 w 1633"/>
              <a:gd name="T5" fmla="*/ 1514 h 3029"/>
              <a:gd name="T6" fmla="*/ 759 w 1633"/>
              <a:gd name="T7" fmla="*/ 3029 h 3029"/>
              <a:gd name="T8" fmla="*/ 5 w 1633"/>
              <a:gd name="T9" fmla="*/ 3029 h 3029"/>
              <a:gd name="T10" fmla="*/ 884 w 1633"/>
              <a:gd name="T11" fmla="*/ 1514 h 3029"/>
              <a:gd name="T12" fmla="*/ 0 w 1633"/>
              <a:gd name="T13" fmla="*/ 0 h 3029"/>
            </a:gdLst>
            <a:ahLst/>
            <a:cxnLst>
              <a:cxn ang="0">
                <a:pos x="T0" y="T1"/>
              </a:cxn>
              <a:cxn ang="0">
                <a:pos x="T2" y="T3"/>
              </a:cxn>
              <a:cxn ang="0">
                <a:pos x="T4" y="T5"/>
              </a:cxn>
              <a:cxn ang="0">
                <a:pos x="T6" y="T7"/>
              </a:cxn>
              <a:cxn ang="0">
                <a:pos x="T8" y="T9"/>
              </a:cxn>
              <a:cxn ang="0">
                <a:pos x="T10" y="T11"/>
              </a:cxn>
              <a:cxn ang="0">
                <a:pos x="T12" y="T13"/>
              </a:cxn>
            </a:cxnLst>
            <a:rect l="0" t="0" r="r" b="b"/>
            <a:pathLst>
              <a:path w="1633" h="3029">
                <a:moveTo>
                  <a:pt x="0" y="0"/>
                </a:moveTo>
                <a:lnTo>
                  <a:pt x="759" y="0"/>
                </a:lnTo>
                <a:lnTo>
                  <a:pt x="1633" y="1514"/>
                </a:lnTo>
                <a:lnTo>
                  <a:pt x="759" y="3029"/>
                </a:lnTo>
                <a:lnTo>
                  <a:pt x="5" y="3029"/>
                </a:lnTo>
                <a:lnTo>
                  <a:pt x="884" y="1514"/>
                </a:lnTo>
                <a:lnTo>
                  <a:pt x="0" y="0"/>
                </a:lnTo>
                <a:close/>
              </a:path>
            </a:pathLst>
          </a:custGeom>
          <a:solidFill>
            <a:schemeClr val="accent1"/>
          </a:solidFill>
          <a:ln w="0">
            <a:noFill/>
            <a:prstDash val="solid"/>
            <a:round/>
            <a:headEnd/>
            <a:tailEnd/>
          </a:ln>
        </xdr:spPr>
      </xdr:sp>
      <xdr:sp macro="[0]!Sheet1.ShowTasks" textlink="">
        <xdr:nvSpPr>
          <xdr:cNvPr id="7" name="TextBox 6" title="Navigation Button Label - Task Detail"/>
          <xdr:cNvSpPr txBox="1"/>
        </xdr:nvSpPr>
        <xdr:spPr>
          <a:xfrm>
            <a:off x="2933700" y="6505574"/>
            <a:ext cx="2381251"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rtlCol="0" anchor="b"/>
          <a:lstStyle/>
          <a:p>
            <a:pPr algn="r"/>
            <a:r>
              <a:rPr lang="en-US" sz="1400">
                <a:ln>
                  <a:noFill/>
                </a:ln>
                <a:solidFill>
                  <a:schemeClr val="accent1"/>
                </a:solidFill>
                <a:latin typeface="+mj-lt"/>
              </a:rPr>
              <a:t>Task Details</a:t>
            </a:r>
            <a:endParaRPr lang="en-US" sz="1400" b="1">
              <a:ln>
                <a:noFill/>
              </a:ln>
              <a:solidFill>
                <a:schemeClr val="accent1"/>
              </a:solidFill>
              <a:latin typeface="+mj-lt"/>
              <a:cs typeface="DokChampa" pitchFamily="34" charset="-34"/>
            </a:endParaRPr>
          </a:p>
        </xdr:txBody>
      </xdr:sp>
    </xdr:grpSp>
    <xdr:clientData fPrintsWithSheet="0"/>
  </xdr:twoCellAnchor>
  <xdr:twoCellAnchor>
    <xdr:from>
      <xdr:col>1</xdr:col>
      <xdr:colOff>212</xdr:colOff>
      <xdr:row>0</xdr:row>
      <xdr:rowOff>619124</xdr:rowOff>
    </xdr:from>
    <xdr:to>
      <xdr:col>3</xdr:col>
      <xdr:colOff>734542</xdr:colOff>
      <xdr:row>2</xdr:row>
      <xdr:rowOff>41855</xdr:rowOff>
    </xdr:to>
    <xdr:sp macro="" textlink="">
      <xdr:nvSpPr>
        <xdr:cNvPr id="8" name="Data Entry Tip" descr="Double-click project to view and enter associated tasks.&#10;&#10;This tip will not print and can be deleted. " title="Data Entry Tip"/>
        <xdr:cNvSpPr>
          <a:spLocks noChangeAspect="1"/>
        </xdr:cNvSpPr>
      </xdr:nvSpPr>
      <xdr:spPr>
        <a:xfrm flipH="1">
          <a:off x="258292" y="619124"/>
          <a:ext cx="3573205" cy="319358"/>
        </a:xfrm>
        <a:custGeom>
          <a:avLst/>
          <a:gdLst>
            <a:gd name="connsiteX0" fmla="*/ 0 w 3108960"/>
            <a:gd name="connsiteY0" fmla="*/ 50801 h 304800"/>
            <a:gd name="connsiteX1" fmla="*/ 50801 w 3108960"/>
            <a:gd name="connsiteY1" fmla="*/ 0 h 304800"/>
            <a:gd name="connsiteX2" fmla="*/ 1813560 w 3108960"/>
            <a:gd name="connsiteY2" fmla="*/ 0 h 304800"/>
            <a:gd name="connsiteX3" fmla="*/ 1813560 w 3108960"/>
            <a:gd name="connsiteY3" fmla="*/ 0 h 304800"/>
            <a:gd name="connsiteX4" fmla="*/ 2590800 w 3108960"/>
            <a:gd name="connsiteY4" fmla="*/ 0 h 304800"/>
            <a:gd name="connsiteX5" fmla="*/ 3058159 w 3108960"/>
            <a:gd name="connsiteY5" fmla="*/ 0 h 304800"/>
            <a:gd name="connsiteX6" fmla="*/ 3108960 w 3108960"/>
            <a:gd name="connsiteY6" fmla="*/ 50801 h 304800"/>
            <a:gd name="connsiteX7" fmla="*/ 3108960 w 3108960"/>
            <a:gd name="connsiteY7" fmla="*/ 177800 h 304800"/>
            <a:gd name="connsiteX8" fmla="*/ 3108960 w 3108960"/>
            <a:gd name="connsiteY8" fmla="*/ 177800 h 304800"/>
            <a:gd name="connsiteX9" fmla="*/ 3108960 w 3108960"/>
            <a:gd name="connsiteY9" fmla="*/ 254000 h 304800"/>
            <a:gd name="connsiteX10" fmla="*/ 3108960 w 3108960"/>
            <a:gd name="connsiteY10" fmla="*/ 253999 h 304800"/>
            <a:gd name="connsiteX11" fmla="*/ 3058159 w 3108960"/>
            <a:gd name="connsiteY11" fmla="*/ 304800 h 304800"/>
            <a:gd name="connsiteX12" fmla="*/ 2590800 w 3108960"/>
            <a:gd name="connsiteY12" fmla="*/ 304800 h 304800"/>
            <a:gd name="connsiteX13" fmla="*/ 2239944 w 3108960"/>
            <a:gd name="connsiteY13" fmla="*/ 426720 h 304800"/>
            <a:gd name="connsiteX14" fmla="*/ 1813560 w 3108960"/>
            <a:gd name="connsiteY14" fmla="*/ 304800 h 304800"/>
            <a:gd name="connsiteX15" fmla="*/ 50801 w 3108960"/>
            <a:gd name="connsiteY15" fmla="*/ 304800 h 304800"/>
            <a:gd name="connsiteX16" fmla="*/ 0 w 3108960"/>
            <a:gd name="connsiteY16" fmla="*/ 253999 h 304800"/>
            <a:gd name="connsiteX17" fmla="*/ 0 w 3108960"/>
            <a:gd name="connsiteY17" fmla="*/ 254000 h 304800"/>
            <a:gd name="connsiteX18" fmla="*/ 0 w 3108960"/>
            <a:gd name="connsiteY18" fmla="*/ 177800 h 304800"/>
            <a:gd name="connsiteX19" fmla="*/ 0 w 3108960"/>
            <a:gd name="connsiteY19" fmla="*/ 177800 h 304800"/>
            <a:gd name="connsiteX20" fmla="*/ 0 w 3108960"/>
            <a:gd name="connsiteY20" fmla="*/ 50801 h 304800"/>
            <a:gd name="connsiteX0" fmla="*/ 0 w 3108960"/>
            <a:gd name="connsiteY0" fmla="*/ 50801 h 426720"/>
            <a:gd name="connsiteX1" fmla="*/ 50801 w 3108960"/>
            <a:gd name="connsiteY1" fmla="*/ 0 h 426720"/>
            <a:gd name="connsiteX2" fmla="*/ 1813560 w 3108960"/>
            <a:gd name="connsiteY2" fmla="*/ 0 h 426720"/>
            <a:gd name="connsiteX3" fmla="*/ 1813560 w 3108960"/>
            <a:gd name="connsiteY3" fmla="*/ 0 h 426720"/>
            <a:gd name="connsiteX4" fmla="*/ 2590800 w 3108960"/>
            <a:gd name="connsiteY4" fmla="*/ 0 h 426720"/>
            <a:gd name="connsiteX5" fmla="*/ 3058159 w 3108960"/>
            <a:gd name="connsiteY5" fmla="*/ 0 h 426720"/>
            <a:gd name="connsiteX6" fmla="*/ 3108960 w 3108960"/>
            <a:gd name="connsiteY6" fmla="*/ 50801 h 426720"/>
            <a:gd name="connsiteX7" fmla="*/ 3108960 w 3108960"/>
            <a:gd name="connsiteY7" fmla="*/ 177800 h 426720"/>
            <a:gd name="connsiteX8" fmla="*/ 3108960 w 3108960"/>
            <a:gd name="connsiteY8" fmla="*/ 177800 h 426720"/>
            <a:gd name="connsiteX9" fmla="*/ 3108960 w 3108960"/>
            <a:gd name="connsiteY9" fmla="*/ 254000 h 426720"/>
            <a:gd name="connsiteX10" fmla="*/ 3108960 w 3108960"/>
            <a:gd name="connsiteY10" fmla="*/ 253999 h 426720"/>
            <a:gd name="connsiteX11" fmla="*/ 3058159 w 3108960"/>
            <a:gd name="connsiteY11" fmla="*/ 304800 h 426720"/>
            <a:gd name="connsiteX12" fmla="*/ 2849880 w 3108960"/>
            <a:gd name="connsiteY12" fmla="*/ 297180 h 426720"/>
            <a:gd name="connsiteX13" fmla="*/ 2239944 w 3108960"/>
            <a:gd name="connsiteY13" fmla="*/ 426720 h 426720"/>
            <a:gd name="connsiteX14" fmla="*/ 1813560 w 3108960"/>
            <a:gd name="connsiteY14" fmla="*/ 304800 h 426720"/>
            <a:gd name="connsiteX15" fmla="*/ 50801 w 3108960"/>
            <a:gd name="connsiteY15" fmla="*/ 304800 h 426720"/>
            <a:gd name="connsiteX16" fmla="*/ 0 w 3108960"/>
            <a:gd name="connsiteY16" fmla="*/ 253999 h 426720"/>
            <a:gd name="connsiteX17" fmla="*/ 0 w 3108960"/>
            <a:gd name="connsiteY17" fmla="*/ 254000 h 426720"/>
            <a:gd name="connsiteX18" fmla="*/ 0 w 3108960"/>
            <a:gd name="connsiteY18" fmla="*/ 177800 h 426720"/>
            <a:gd name="connsiteX19" fmla="*/ 0 w 3108960"/>
            <a:gd name="connsiteY19" fmla="*/ 177800 h 426720"/>
            <a:gd name="connsiteX20" fmla="*/ 0 w 3108960"/>
            <a:gd name="connsiteY20" fmla="*/ 50801 h 426720"/>
            <a:gd name="connsiteX0" fmla="*/ 0 w 3108960"/>
            <a:gd name="connsiteY0" fmla="*/ 50801 h 426720"/>
            <a:gd name="connsiteX1" fmla="*/ 50801 w 3108960"/>
            <a:gd name="connsiteY1" fmla="*/ 0 h 426720"/>
            <a:gd name="connsiteX2" fmla="*/ 1813560 w 3108960"/>
            <a:gd name="connsiteY2" fmla="*/ 0 h 426720"/>
            <a:gd name="connsiteX3" fmla="*/ 1813560 w 3108960"/>
            <a:gd name="connsiteY3" fmla="*/ 0 h 426720"/>
            <a:gd name="connsiteX4" fmla="*/ 2590800 w 3108960"/>
            <a:gd name="connsiteY4" fmla="*/ 0 h 426720"/>
            <a:gd name="connsiteX5" fmla="*/ 3058159 w 3108960"/>
            <a:gd name="connsiteY5" fmla="*/ 0 h 426720"/>
            <a:gd name="connsiteX6" fmla="*/ 3108960 w 3108960"/>
            <a:gd name="connsiteY6" fmla="*/ 50801 h 426720"/>
            <a:gd name="connsiteX7" fmla="*/ 3108960 w 3108960"/>
            <a:gd name="connsiteY7" fmla="*/ 177800 h 426720"/>
            <a:gd name="connsiteX8" fmla="*/ 3108960 w 3108960"/>
            <a:gd name="connsiteY8" fmla="*/ 177800 h 426720"/>
            <a:gd name="connsiteX9" fmla="*/ 3108960 w 3108960"/>
            <a:gd name="connsiteY9" fmla="*/ 254000 h 426720"/>
            <a:gd name="connsiteX10" fmla="*/ 3108960 w 3108960"/>
            <a:gd name="connsiteY10" fmla="*/ 253999 h 426720"/>
            <a:gd name="connsiteX11" fmla="*/ 3058159 w 3108960"/>
            <a:gd name="connsiteY11" fmla="*/ 304800 h 426720"/>
            <a:gd name="connsiteX12" fmla="*/ 2849880 w 3108960"/>
            <a:gd name="connsiteY12" fmla="*/ 297180 h 426720"/>
            <a:gd name="connsiteX13" fmla="*/ 2239944 w 3108960"/>
            <a:gd name="connsiteY13" fmla="*/ 426720 h 426720"/>
            <a:gd name="connsiteX14" fmla="*/ 2293620 w 3108960"/>
            <a:gd name="connsiteY14" fmla="*/ 304800 h 426720"/>
            <a:gd name="connsiteX15" fmla="*/ 50801 w 3108960"/>
            <a:gd name="connsiteY15" fmla="*/ 304800 h 426720"/>
            <a:gd name="connsiteX16" fmla="*/ 0 w 3108960"/>
            <a:gd name="connsiteY16" fmla="*/ 253999 h 426720"/>
            <a:gd name="connsiteX17" fmla="*/ 0 w 3108960"/>
            <a:gd name="connsiteY17" fmla="*/ 254000 h 426720"/>
            <a:gd name="connsiteX18" fmla="*/ 0 w 3108960"/>
            <a:gd name="connsiteY18" fmla="*/ 177800 h 426720"/>
            <a:gd name="connsiteX19" fmla="*/ 0 w 3108960"/>
            <a:gd name="connsiteY19" fmla="*/ 177800 h 426720"/>
            <a:gd name="connsiteX20" fmla="*/ 0 w 3108960"/>
            <a:gd name="connsiteY20" fmla="*/ 50801 h 426720"/>
            <a:gd name="connsiteX0" fmla="*/ 0 w 3108960"/>
            <a:gd name="connsiteY0" fmla="*/ 50801 h 377190"/>
            <a:gd name="connsiteX1" fmla="*/ 50801 w 3108960"/>
            <a:gd name="connsiteY1" fmla="*/ 0 h 377190"/>
            <a:gd name="connsiteX2" fmla="*/ 1813560 w 3108960"/>
            <a:gd name="connsiteY2" fmla="*/ 0 h 377190"/>
            <a:gd name="connsiteX3" fmla="*/ 1813560 w 3108960"/>
            <a:gd name="connsiteY3" fmla="*/ 0 h 377190"/>
            <a:gd name="connsiteX4" fmla="*/ 2590800 w 3108960"/>
            <a:gd name="connsiteY4" fmla="*/ 0 h 377190"/>
            <a:gd name="connsiteX5" fmla="*/ 3058159 w 3108960"/>
            <a:gd name="connsiteY5" fmla="*/ 0 h 377190"/>
            <a:gd name="connsiteX6" fmla="*/ 3108960 w 3108960"/>
            <a:gd name="connsiteY6" fmla="*/ 50801 h 377190"/>
            <a:gd name="connsiteX7" fmla="*/ 3108960 w 3108960"/>
            <a:gd name="connsiteY7" fmla="*/ 177800 h 377190"/>
            <a:gd name="connsiteX8" fmla="*/ 3108960 w 3108960"/>
            <a:gd name="connsiteY8" fmla="*/ 177800 h 377190"/>
            <a:gd name="connsiteX9" fmla="*/ 3108960 w 3108960"/>
            <a:gd name="connsiteY9" fmla="*/ 254000 h 377190"/>
            <a:gd name="connsiteX10" fmla="*/ 3108960 w 3108960"/>
            <a:gd name="connsiteY10" fmla="*/ 253999 h 377190"/>
            <a:gd name="connsiteX11" fmla="*/ 3058159 w 3108960"/>
            <a:gd name="connsiteY11" fmla="*/ 304800 h 377190"/>
            <a:gd name="connsiteX12" fmla="*/ 2849880 w 3108960"/>
            <a:gd name="connsiteY12" fmla="*/ 297180 h 377190"/>
            <a:gd name="connsiteX13" fmla="*/ 2594274 w 3108960"/>
            <a:gd name="connsiteY13" fmla="*/ 377190 h 377190"/>
            <a:gd name="connsiteX14" fmla="*/ 2293620 w 3108960"/>
            <a:gd name="connsiteY14" fmla="*/ 304800 h 377190"/>
            <a:gd name="connsiteX15" fmla="*/ 50801 w 3108960"/>
            <a:gd name="connsiteY15" fmla="*/ 304800 h 377190"/>
            <a:gd name="connsiteX16" fmla="*/ 0 w 3108960"/>
            <a:gd name="connsiteY16" fmla="*/ 253999 h 377190"/>
            <a:gd name="connsiteX17" fmla="*/ 0 w 3108960"/>
            <a:gd name="connsiteY17" fmla="*/ 254000 h 377190"/>
            <a:gd name="connsiteX18" fmla="*/ 0 w 3108960"/>
            <a:gd name="connsiteY18" fmla="*/ 177800 h 377190"/>
            <a:gd name="connsiteX19" fmla="*/ 0 w 3108960"/>
            <a:gd name="connsiteY19" fmla="*/ 177800 h 377190"/>
            <a:gd name="connsiteX20" fmla="*/ 0 w 3108960"/>
            <a:gd name="connsiteY20" fmla="*/ 50801 h 377190"/>
            <a:gd name="connsiteX0" fmla="*/ 0 w 3108960"/>
            <a:gd name="connsiteY0" fmla="*/ 50801 h 377190"/>
            <a:gd name="connsiteX1" fmla="*/ 50801 w 3108960"/>
            <a:gd name="connsiteY1" fmla="*/ 0 h 377190"/>
            <a:gd name="connsiteX2" fmla="*/ 1813560 w 3108960"/>
            <a:gd name="connsiteY2" fmla="*/ 0 h 377190"/>
            <a:gd name="connsiteX3" fmla="*/ 1813560 w 3108960"/>
            <a:gd name="connsiteY3" fmla="*/ 0 h 377190"/>
            <a:gd name="connsiteX4" fmla="*/ 2590800 w 3108960"/>
            <a:gd name="connsiteY4" fmla="*/ 0 h 377190"/>
            <a:gd name="connsiteX5" fmla="*/ 3058159 w 3108960"/>
            <a:gd name="connsiteY5" fmla="*/ 0 h 377190"/>
            <a:gd name="connsiteX6" fmla="*/ 3108960 w 3108960"/>
            <a:gd name="connsiteY6" fmla="*/ 50801 h 377190"/>
            <a:gd name="connsiteX7" fmla="*/ 3108960 w 3108960"/>
            <a:gd name="connsiteY7" fmla="*/ 177800 h 377190"/>
            <a:gd name="connsiteX8" fmla="*/ 3108960 w 3108960"/>
            <a:gd name="connsiteY8" fmla="*/ 177800 h 377190"/>
            <a:gd name="connsiteX9" fmla="*/ 3108960 w 3108960"/>
            <a:gd name="connsiteY9" fmla="*/ 254000 h 377190"/>
            <a:gd name="connsiteX10" fmla="*/ 3108960 w 3108960"/>
            <a:gd name="connsiteY10" fmla="*/ 253999 h 377190"/>
            <a:gd name="connsiteX11" fmla="*/ 3058159 w 3108960"/>
            <a:gd name="connsiteY11" fmla="*/ 304800 h 377190"/>
            <a:gd name="connsiteX12" fmla="*/ 2849880 w 3108960"/>
            <a:gd name="connsiteY12" fmla="*/ 304800 h 377190"/>
            <a:gd name="connsiteX13" fmla="*/ 2594274 w 3108960"/>
            <a:gd name="connsiteY13" fmla="*/ 377190 h 377190"/>
            <a:gd name="connsiteX14" fmla="*/ 2293620 w 3108960"/>
            <a:gd name="connsiteY14" fmla="*/ 304800 h 377190"/>
            <a:gd name="connsiteX15" fmla="*/ 50801 w 3108960"/>
            <a:gd name="connsiteY15" fmla="*/ 304800 h 377190"/>
            <a:gd name="connsiteX16" fmla="*/ 0 w 3108960"/>
            <a:gd name="connsiteY16" fmla="*/ 253999 h 377190"/>
            <a:gd name="connsiteX17" fmla="*/ 0 w 3108960"/>
            <a:gd name="connsiteY17" fmla="*/ 254000 h 377190"/>
            <a:gd name="connsiteX18" fmla="*/ 0 w 3108960"/>
            <a:gd name="connsiteY18" fmla="*/ 177800 h 377190"/>
            <a:gd name="connsiteX19" fmla="*/ 0 w 3108960"/>
            <a:gd name="connsiteY19" fmla="*/ 177800 h 377190"/>
            <a:gd name="connsiteX20" fmla="*/ 0 w 3108960"/>
            <a:gd name="connsiteY20" fmla="*/ 50801 h 377190"/>
            <a:gd name="connsiteX0" fmla="*/ 0 w 3108960"/>
            <a:gd name="connsiteY0" fmla="*/ 50801 h 377190"/>
            <a:gd name="connsiteX1" fmla="*/ 50801 w 3108960"/>
            <a:gd name="connsiteY1" fmla="*/ 0 h 377190"/>
            <a:gd name="connsiteX2" fmla="*/ 1813560 w 3108960"/>
            <a:gd name="connsiteY2" fmla="*/ 0 h 377190"/>
            <a:gd name="connsiteX3" fmla="*/ 1813560 w 3108960"/>
            <a:gd name="connsiteY3" fmla="*/ 0 h 377190"/>
            <a:gd name="connsiteX4" fmla="*/ 2590800 w 3108960"/>
            <a:gd name="connsiteY4" fmla="*/ 0 h 377190"/>
            <a:gd name="connsiteX5" fmla="*/ 3058159 w 3108960"/>
            <a:gd name="connsiteY5" fmla="*/ 0 h 377190"/>
            <a:gd name="connsiteX6" fmla="*/ 3108960 w 3108960"/>
            <a:gd name="connsiteY6" fmla="*/ 50801 h 377190"/>
            <a:gd name="connsiteX7" fmla="*/ 3108960 w 3108960"/>
            <a:gd name="connsiteY7" fmla="*/ 177800 h 377190"/>
            <a:gd name="connsiteX8" fmla="*/ 3108960 w 3108960"/>
            <a:gd name="connsiteY8" fmla="*/ 177800 h 377190"/>
            <a:gd name="connsiteX9" fmla="*/ 3108960 w 3108960"/>
            <a:gd name="connsiteY9" fmla="*/ 254000 h 377190"/>
            <a:gd name="connsiteX10" fmla="*/ 3108960 w 3108960"/>
            <a:gd name="connsiteY10" fmla="*/ 253999 h 377190"/>
            <a:gd name="connsiteX11" fmla="*/ 3058159 w 3108960"/>
            <a:gd name="connsiteY11" fmla="*/ 304800 h 377190"/>
            <a:gd name="connsiteX12" fmla="*/ 2849880 w 3108960"/>
            <a:gd name="connsiteY12" fmla="*/ 304800 h 377190"/>
            <a:gd name="connsiteX13" fmla="*/ 2594274 w 3108960"/>
            <a:gd name="connsiteY13" fmla="*/ 377190 h 377190"/>
            <a:gd name="connsiteX14" fmla="*/ 2517555 w 3108960"/>
            <a:gd name="connsiteY14" fmla="*/ 304800 h 377190"/>
            <a:gd name="connsiteX15" fmla="*/ 50801 w 3108960"/>
            <a:gd name="connsiteY15" fmla="*/ 304800 h 377190"/>
            <a:gd name="connsiteX16" fmla="*/ 0 w 3108960"/>
            <a:gd name="connsiteY16" fmla="*/ 253999 h 377190"/>
            <a:gd name="connsiteX17" fmla="*/ 0 w 3108960"/>
            <a:gd name="connsiteY17" fmla="*/ 254000 h 377190"/>
            <a:gd name="connsiteX18" fmla="*/ 0 w 3108960"/>
            <a:gd name="connsiteY18" fmla="*/ 177800 h 377190"/>
            <a:gd name="connsiteX19" fmla="*/ 0 w 3108960"/>
            <a:gd name="connsiteY19" fmla="*/ 177800 h 377190"/>
            <a:gd name="connsiteX20" fmla="*/ 0 w 3108960"/>
            <a:gd name="connsiteY20" fmla="*/ 50801 h 377190"/>
            <a:gd name="connsiteX0" fmla="*/ 0 w 3108960"/>
            <a:gd name="connsiteY0" fmla="*/ 50801 h 377190"/>
            <a:gd name="connsiteX1" fmla="*/ 50801 w 3108960"/>
            <a:gd name="connsiteY1" fmla="*/ 0 h 377190"/>
            <a:gd name="connsiteX2" fmla="*/ 1813560 w 3108960"/>
            <a:gd name="connsiteY2" fmla="*/ 0 h 377190"/>
            <a:gd name="connsiteX3" fmla="*/ 1813560 w 3108960"/>
            <a:gd name="connsiteY3" fmla="*/ 0 h 377190"/>
            <a:gd name="connsiteX4" fmla="*/ 2590800 w 3108960"/>
            <a:gd name="connsiteY4" fmla="*/ 0 h 377190"/>
            <a:gd name="connsiteX5" fmla="*/ 3058159 w 3108960"/>
            <a:gd name="connsiteY5" fmla="*/ 0 h 377190"/>
            <a:gd name="connsiteX6" fmla="*/ 3108960 w 3108960"/>
            <a:gd name="connsiteY6" fmla="*/ 50801 h 377190"/>
            <a:gd name="connsiteX7" fmla="*/ 3108960 w 3108960"/>
            <a:gd name="connsiteY7" fmla="*/ 177800 h 377190"/>
            <a:gd name="connsiteX8" fmla="*/ 3108960 w 3108960"/>
            <a:gd name="connsiteY8" fmla="*/ 177800 h 377190"/>
            <a:gd name="connsiteX9" fmla="*/ 3108960 w 3108960"/>
            <a:gd name="connsiteY9" fmla="*/ 254000 h 377190"/>
            <a:gd name="connsiteX10" fmla="*/ 3108960 w 3108960"/>
            <a:gd name="connsiteY10" fmla="*/ 253999 h 377190"/>
            <a:gd name="connsiteX11" fmla="*/ 3058159 w 3108960"/>
            <a:gd name="connsiteY11" fmla="*/ 304800 h 377190"/>
            <a:gd name="connsiteX12" fmla="*/ 2730449 w 3108960"/>
            <a:gd name="connsiteY12" fmla="*/ 304800 h 377190"/>
            <a:gd name="connsiteX13" fmla="*/ 2594274 w 3108960"/>
            <a:gd name="connsiteY13" fmla="*/ 377190 h 377190"/>
            <a:gd name="connsiteX14" fmla="*/ 2517555 w 3108960"/>
            <a:gd name="connsiteY14" fmla="*/ 304800 h 377190"/>
            <a:gd name="connsiteX15" fmla="*/ 50801 w 3108960"/>
            <a:gd name="connsiteY15" fmla="*/ 304800 h 377190"/>
            <a:gd name="connsiteX16" fmla="*/ 0 w 3108960"/>
            <a:gd name="connsiteY16" fmla="*/ 253999 h 377190"/>
            <a:gd name="connsiteX17" fmla="*/ 0 w 3108960"/>
            <a:gd name="connsiteY17" fmla="*/ 254000 h 377190"/>
            <a:gd name="connsiteX18" fmla="*/ 0 w 3108960"/>
            <a:gd name="connsiteY18" fmla="*/ 177800 h 377190"/>
            <a:gd name="connsiteX19" fmla="*/ 0 w 3108960"/>
            <a:gd name="connsiteY19" fmla="*/ 177800 h 377190"/>
            <a:gd name="connsiteX20" fmla="*/ 0 w 3108960"/>
            <a:gd name="connsiteY20" fmla="*/ 50801 h 377190"/>
            <a:gd name="connsiteX0" fmla="*/ 0 w 3108960"/>
            <a:gd name="connsiteY0" fmla="*/ 50801 h 381000"/>
            <a:gd name="connsiteX1" fmla="*/ 50801 w 3108960"/>
            <a:gd name="connsiteY1" fmla="*/ 0 h 381000"/>
            <a:gd name="connsiteX2" fmla="*/ 1813560 w 3108960"/>
            <a:gd name="connsiteY2" fmla="*/ 0 h 381000"/>
            <a:gd name="connsiteX3" fmla="*/ 1813560 w 3108960"/>
            <a:gd name="connsiteY3" fmla="*/ 0 h 381000"/>
            <a:gd name="connsiteX4" fmla="*/ 2590800 w 3108960"/>
            <a:gd name="connsiteY4" fmla="*/ 0 h 381000"/>
            <a:gd name="connsiteX5" fmla="*/ 3058159 w 3108960"/>
            <a:gd name="connsiteY5" fmla="*/ 0 h 381000"/>
            <a:gd name="connsiteX6" fmla="*/ 3108960 w 3108960"/>
            <a:gd name="connsiteY6" fmla="*/ 50801 h 381000"/>
            <a:gd name="connsiteX7" fmla="*/ 3108960 w 3108960"/>
            <a:gd name="connsiteY7" fmla="*/ 177800 h 381000"/>
            <a:gd name="connsiteX8" fmla="*/ 3108960 w 3108960"/>
            <a:gd name="connsiteY8" fmla="*/ 177800 h 381000"/>
            <a:gd name="connsiteX9" fmla="*/ 3108960 w 3108960"/>
            <a:gd name="connsiteY9" fmla="*/ 254000 h 381000"/>
            <a:gd name="connsiteX10" fmla="*/ 3108960 w 3108960"/>
            <a:gd name="connsiteY10" fmla="*/ 253999 h 381000"/>
            <a:gd name="connsiteX11" fmla="*/ 3058159 w 3108960"/>
            <a:gd name="connsiteY11" fmla="*/ 304800 h 381000"/>
            <a:gd name="connsiteX12" fmla="*/ 2730449 w 3108960"/>
            <a:gd name="connsiteY12" fmla="*/ 304800 h 381000"/>
            <a:gd name="connsiteX13" fmla="*/ 2616668 w 3108960"/>
            <a:gd name="connsiteY13" fmla="*/ 381000 h 381000"/>
            <a:gd name="connsiteX14" fmla="*/ 2517555 w 3108960"/>
            <a:gd name="connsiteY14" fmla="*/ 304800 h 381000"/>
            <a:gd name="connsiteX15" fmla="*/ 50801 w 3108960"/>
            <a:gd name="connsiteY15" fmla="*/ 304800 h 381000"/>
            <a:gd name="connsiteX16" fmla="*/ 0 w 3108960"/>
            <a:gd name="connsiteY16" fmla="*/ 253999 h 381000"/>
            <a:gd name="connsiteX17" fmla="*/ 0 w 3108960"/>
            <a:gd name="connsiteY17" fmla="*/ 254000 h 381000"/>
            <a:gd name="connsiteX18" fmla="*/ 0 w 3108960"/>
            <a:gd name="connsiteY18" fmla="*/ 177800 h 381000"/>
            <a:gd name="connsiteX19" fmla="*/ 0 w 3108960"/>
            <a:gd name="connsiteY19" fmla="*/ 177800 h 381000"/>
            <a:gd name="connsiteX20" fmla="*/ 0 w 3108960"/>
            <a:gd name="connsiteY20" fmla="*/ 50801 h 381000"/>
            <a:gd name="connsiteX0" fmla="*/ 0 w 3108960"/>
            <a:gd name="connsiteY0" fmla="*/ 50801 h 400050"/>
            <a:gd name="connsiteX1" fmla="*/ 50801 w 3108960"/>
            <a:gd name="connsiteY1" fmla="*/ 0 h 400050"/>
            <a:gd name="connsiteX2" fmla="*/ 1813560 w 3108960"/>
            <a:gd name="connsiteY2" fmla="*/ 0 h 400050"/>
            <a:gd name="connsiteX3" fmla="*/ 1813560 w 3108960"/>
            <a:gd name="connsiteY3" fmla="*/ 0 h 400050"/>
            <a:gd name="connsiteX4" fmla="*/ 2590800 w 3108960"/>
            <a:gd name="connsiteY4" fmla="*/ 0 h 400050"/>
            <a:gd name="connsiteX5" fmla="*/ 3058159 w 3108960"/>
            <a:gd name="connsiteY5" fmla="*/ 0 h 400050"/>
            <a:gd name="connsiteX6" fmla="*/ 3108960 w 3108960"/>
            <a:gd name="connsiteY6" fmla="*/ 50801 h 400050"/>
            <a:gd name="connsiteX7" fmla="*/ 3108960 w 3108960"/>
            <a:gd name="connsiteY7" fmla="*/ 177800 h 400050"/>
            <a:gd name="connsiteX8" fmla="*/ 3108960 w 3108960"/>
            <a:gd name="connsiteY8" fmla="*/ 177800 h 400050"/>
            <a:gd name="connsiteX9" fmla="*/ 3108960 w 3108960"/>
            <a:gd name="connsiteY9" fmla="*/ 254000 h 400050"/>
            <a:gd name="connsiteX10" fmla="*/ 3108960 w 3108960"/>
            <a:gd name="connsiteY10" fmla="*/ 253999 h 400050"/>
            <a:gd name="connsiteX11" fmla="*/ 3058159 w 3108960"/>
            <a:gd name="connsiteY11" fmla="*/ 304800 h 400050"/>
            <a:gd name="connsiteX12" fmla="*/ 2730449 w 3108960"/>
            <a:gd name="connsiteY12" fmla="*/ 304800 h 400050"/>
            <a:gd name="connsiteX13" fmla="*/ 2616668 w 3108960"/>
            <a:gd name="connsiteY13" fmla="*/ 400050 h 400050"/>
            <a:gd name="connsiteX14" fmla="*/ 2517555 w 3108960"/>
            <a:gd name="connsiteY14" fmla="*/ 304800 h 400050"/>
            <a:gd name="connsiteX15" fmla="*/ 50801 w 3108960"/>
            <a:gd name="connsiteY15" fmla="*/ 304800 h 400050"/>
            <a:gd name="connsiteX16" fmla="*/ 0 w 3108960"/>
            <a:gd name="connsiteY16" fmla="*/ 253999 h 400050"/>
            <a:gd name="connsiteX17" fmla="*/ 0 w 3108960"/>
            <a:gd name="connsiteY17" fmla="*/ 254000 h 400050"/>
            <a:gd name="connsiteX18" fmla="*/ 0 w 3108960"/>
            <a:gd name="connsiteY18" fmla="*/ 177800 h 400050"/>
            <a:gd name="connsiteX19" fmla="*/ 0 w 3108960"/>
            <a:gd name="connsiteY19" fmla="*/ 177800 h 400050"/>
            <a:gd name="connsiteX20" fmla="*/ 0 w 3108960"/>
            <a:gd name="connsiteY20" fmla="*/ 50801 h 400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3108960" h="400050">
              <a:moveTo>
                <a:pt x="0" y="50801"/>
              </a:moveTo>
              <a:cubicBezTo>
                <a:pt x="0" y="22744"/>
                <a:pt x="22744" y="0"/>
                <a:pt x="50801" y="0"/>
              </a:cubicBezTo>
              <a:lnTo>
                <a:pt x="1813560" y="0"/>
              </a:lnTo>
              <a:lnTo>
                <a:pt x="1813560" y="0"/>
              </a:lnTo>
              <a:lnTo>
                <a:pt x="2590800" y="0"/>
              </a:lnTo>
              <a:lnTo>
                <a:pt x="3058159" y="0"/>
              </a:lnTo>
              <a:cubicBezTo>
                <a:pt x="3086216" y="0"/>
                <a:pt x="3108960" y="22744"/>
                <a:pt x="3108960" y="50801"/>
              </a:cubicBezTo>
              <a:lnTo>
                <a:pt x="3108960" y="177800"/>
              </a:lnTo>
              <a:lnTo>
                <a:pt x="3108960" y="177800"/>
              </a:lnTo>
              <a:lnTo>
                <a:pt x="3108960" y="254000"/>
              </a:lnTo>
              <a:lnTo>
                <a:pt x="3108960" y="253999"/>
              </a:lnTo>
              <a:cubicBezTo>
                <a:pt x="3108960" y="282056"/>
                <a:pt x="3086216" y="304800"/>
                <a:pt x="3058159" y="304800"/>
              </a:cubicBezTo>
              <a:lnTo>
                <a:pt x="2730449" y="304800"/>
              </a:lnTo>
              <a:lnTo>
                <a:pt x="2616668" y="400050"/>
              </a:lnTo>
              <a:lnTo>
                <a:pt x="2517555" y="304800"/>
              </a:lnTo>
              <a:lnTo>
                <a:pt x="50801" y="304800"/>
              </a:lnTo>
              <a:cubicBezTo>
                <a:pt x="22744" y="304800"/>
                <a:pt x="0" y="282056"/>
                <a:pt x="0" y="253999"/>
              </a:cubicBezTo>
              <a:lnTo>
                <a:pt x="0" y="254000"/>
              </a:lnTo>
              <a:lnTo>
                <a:pt x="0" y="177800"/>
              </a:lnTo>
              <a:lnTo>
                <a:pt x="0" y="177800"/>
              </a:lnTo>
              <a:lnTo>
                <a:pt x="0" y="50801"/>
              </a:lnTo>
              <a:close/>
            </a:path>
          </a:pathLst>
        </a:cu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tIns="91440" bIns="182880" rtlCol="0" anchor="ctr">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en-US" sz="900">
              <a:solidFill>
                <a:schemeClr val="tx1">
                  <a:lumMod val="65000"/>
                  <a:lumOff val="35000"/>
                </a:schemeClr>
              </a:solidFill>
              <a:effectLst/>
              <a:latin typeface="+mn-lt"/>
              <a:ea typeface="+mn-ea"/>
              <a:cs typeface="+mn-cs"/>
            </a:rPr>
            <a:t>TIP: Double-click project to view and enter associated tasks.</a:t>
          </a:r>
        </a:p>
        <a:p>
          <a:pPr algn="l"/>
          <a:endParaRPr lang="en-US" sz="900">
            <a:solidFill>
              <a:schemeClr val="tx1">
                <a:lumMod val="65000"/>
                <a:lumOff val="35000"/>
              </a:schemeClr>
            </a:solidFill>
          </a:endParaRP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6</xdr:col>
      <xdr:colOff>304800</xdr:colOff>
      <xdr:row>0</xdr:row>
      <xdr:rowOff>200025</xdr:rowOff>
    </xdr:from>
    <xdr:to>
      <xdr:col>6</xdr:col>
      <xdr:colOff>2686051</xdr:colOff>
      <xdr:row>0</xdr:row>
      <xdr:rowOff>542926</xdr:rowOff>
    </xdr:to>
    <xdr:grpSp>
      <xdr:nvGrpSpPr>
        <xdr:cNvPr id="14" name="Projects Overview" descr="Click this shape to switch to the Task Details tab." title="Navigation Button - Task Detail">
          <a:hlinkClick xmlns:r="http://schemas.openxmlformats.org/officeDocument/2006/relationships" r:id="rId1" tooltip="Click to view Projects Overview sheet."/>
        </xdr:cNvPr>
        <xdr:cNvGrpSpPr/>
      </xdr:nvGrpSpPr>
      <xdr:grpSpPr>
        <a:xfrm>
          <a:off x="8229600" y="200025"/>
          <a:ext cx="2381251" cy="342901"/>
          <a:chOff x="2933700" y="6505574"/>
          <a:chExt cx="2381251" cy="342901"/>
        </a:xfrm>
      </xdr:grpSpPr>
      <xdr:sp macro="[0]!Sheet2.ShowProjects" textlink="">
        <xdr:nvSpPr>
          <xdr:cNvPr id="15" name="Freeform 6"/>
          <xdr:cNvSpPr>
            <a:spLocks/>
          </xdr:cNvSpPr>
        </xdr:nvSpPr>
        <xdr:spPr bwMode="auto">
          <a:xfrm flipH="1">
            <a:off x="3590925" y="6638925"/>
            <a:ext cx="66675" cy="133350"/>
          </a:xfrm>
          <a:custGeom>
            <a:avLst/>
            <a:gdLst>
              <a:gd name="T0" fmla="*/ 0 w 1633"/>
              <a:gd name="T1" fmla="*/ 0 h 3029"/>
              <a:gd name="T2" fmla="*/ 759 w 1633"/>
              <a:gd name="T3" fmla="*/ 0 h 3029"/>
              <a:gd name="T4" fmla="*/ 1633 w 1633"/>
              <a:gd name="T5" fmla="*/ 1514 h 3029"/>
              <a:gd name="T6" fmla="*/ 759 w 1633"/>
              <a:gd name="T7" fmla="*/ 3029 h 3029"/>
              <a:gd name="T8" fmla="*/ 5 w 1633"/>
              <a:gd name="T9" fmla="*/ 3029 h 3029"/>
              <a:gd name="T10" fmla="*/ 884 w 1633"/>
              <a:gd name="T11" fmla="*/ 1514 h 3029"/>
              <a:gd name="T12" fmla="*/ 0 w 1633"/>
              <a:gd name="T13" fmla="*/ 0 h 3029"/>
            </a:gdLst>
            <a:ahLst/>
            <a:cxnLst>
              <a:cxn ang="0">
                <a:pos x="T0" y="T1"/>
              </a:cxn>
              <a:cxn ang="0">
                <a:pos x="T2" y="T3"/>
              </a:cxn>
              <a:cxn ang="0">
                <a:pos x="T4" y="T5"/>
              </a:cxn>
              <a:cxn ang="0">
                <a:pos x="T6" y="T7"/>
              </a:cxn>
              <a:cxn ang="0">
                <a:pos x="T8" y="T9"/>
              </a:cxn>
              <a:cxn ang="0">
                <a:pos x="T10" y="T11"/>
              </a:cxn>
              <a:cxn ang="0">
                <a:pos x="T12" y="T13"/>
              </a:cxn>
            </a:cxnLst>
            <a:rect l="0" t="0" r="r" b="b"/>
            <a:pathLst>
              <a:path w="1633" h="3029">
                <a:moveTo>
                  <a:pt x="0" y="0"/>
                </a:moveTo>
                <a:lnTo>
                  <a:pt x="759" y="0"/>
                </a:lnTo>
                <a:lnTo>
                  <a:pt x="1633" y="1514"/>
                </a:lnTo>
                <a:lnTo>
                  <a:pt x="759" y="3029"/>
                </a:lnTo>
                <a:lnTo>
                  <a:pt x="5" y="3029"/>
                </a:lnTo>
                <a:lnTo>
                  <a:pt x="884" y="1514"/>
                </a:lnTo>
                <a:lnTo>
                  <a:pt x="0" y="0"/>
                </a:lnTo>
                <a:close/>
              </a:path>
            </a:pathLst>
          </a:custGeom>
          <a:solidFill>
            <a:schemeClr val="accent1"/>
          </a:solidFill>
          <a:ln w="0">
            <a:noFill/>
            <a:prstDash val="solid"/>
            <a:round/>
            <a:headEnd/>
            <a:tailEnd/>
          </a:ln>
        </xdr:spPr>
      </xdr:sp>
      <xdr:sp macro="[0]!Sheet2.ShowProjects" textlink="">
        <xdr:nvSpPr>
          <xdr:cNvPr id="16" name="Freeform 7"/>
          <xdr:cNvSpPr>
            <a:spLocks/>
          </xdr:cNvSpPr>
        </xdr:nvSpPr>
        <xdr:spPr bwMode="auto">
          <a:xfrm flipH="1">
            <a:off x="3648075" y="6638925"/>
            <a:ext cx="66675" cy="133350"/>
          </a:xfrm>
          <a:custGeom>
            <a:avLst/>
            <a:gdLst>
              <a:gd name="T0" fmla="*/ 0 w 1633"/>
              <a:gd name="T1" fmla="*/ 0 h 3029"/>
              <a:gd name="T2" fmla="*/ 759 w 1633"/>
              <a:gd name="T3" fmla="*/ 0 h 3029"/>
              <a:gd name="T4" fmla="*/ 1633 w 1633"/>
              <a:gd name="T5" fmla="*/ 1514 h 3029"/>
              <a:gd name="T6" fmla="*/ 759 w 1633"/>
              <a:gd name="T7" fmla="*/ 3029 h 3029"/>
              <a:gd name="T8" fmla="*/ 5 w 1633"/>
              <a:gd name="T9" fmla="*/ 3029 h 3029"/>
              <a:gd name="T10" fmla="*/ 884 w 1633"/>
              <a:gd name="T11" fmla="*/ 1514 h 3029"/>
              <a:gd name="T12" fmla="*/ 0 w 1633"/>
              <a:gd name="T13" fmla="*/ 0 h 3029"/>
            </a:gdLst>
            <a:ahLst/>
            <a:cxnLst>
              <a:cxn ang="0">
                <a:pos x="T0" y="T1"/>
              </a:cxn>
              <a:cxn ang="0">
                <a:pos x="T2" y="T3"/>
              </a:cxn>
              <a:cxn ang="0">
                <a:pos x="T4" y="T5"/>
              </a:cxn>
              <a:cxn ang="0">
                <a:pos x="T6" y="T7"/>
              </a:cxn>
              <a:cxn ang="0">
                <a:pos x="T8" y="T9"/>
              </a:cxn>
              <a:cxn ang="0">
                <a:pos x="T10" y="T11"/>
              </a:cxn>
              <a:cxn ang="0">
                <a:pos x="T12" y="T13"/>
              </a:cxn>
            </a:cxnLst>
            <a:rect l="0" t="0" r="r" b="b"/>
            <a:pathLst>
              <a:path w="1633" h="3029">
                <a:moveTo>
                  <a:pt x="0" y="0"/>
                </a:moveTo>
                <a:lnTo>
                  <a:pt x="759" y="0"/>
                </a:lnTo>
                <a:lnTo>
                  <a:pt x="1633" y="1514"/>
                </a:lnTo>
                <a:lnTo>
                  <a:pt x="759" y="3029"/>
                </a:lnTo>
                <a:lnTo>
                  <a:pt x="5" y="3029"/>
                </a:lnTo>
                <a:lnTo>
                  <a:pt x="884" y="1514"/>
                </a:lnTo>
                <a:lnTo>
                  <a:pt x="0" y="0"/>
                </a:lnTo>
                <a:close/>
              </a:path>
            </a:pathLst>
          </a:custGeom>
          <a:solidFill>
            <a:schemeClr val="accent1"/>
          </a:solidFill>
          <a:ln w="0">
            <a:noFill/>
            <a:prstDash val="solid"/>
            <a:round/>
            <a:headEnd/>
            <a:tailEnd/>
          </a:ln>
        </xdr:spPr>
      </xdr:sp>
      <xdr:sp macro="[0]!Sheet2.ShowProjects" textlink="">
        <xdr:nvSpPr>
          <xdr:cNvPr id="17" name="TextBox 16" title="Navigation Button Label - Task Detail"/>
          <xdr:cNvSpPr txBox="1"/>
        </xdr:nvSpPr>
        <xdr:spPr>
          <a:xfrm>
            <a:off x="2933700" y="6505574"/>
            <a:ext cx="2381251"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rIns="0" rtlCol="0" anchor="b"/>
          <a:lstStyle/>
          <a:p>
            <a:pPr algn="r"/>
            <a:r>
              <a:rPr lang="en-US" sz="1400">
                <a:ln>
                  <a:noFill/>
                </a:ln>
                <a:solidFill>
                  <a:schemeClr val="accent1"/>
                </a:solidFill>
                <a:latin typeface="+mj-lt"/>
              </a:rPr>
              <a:t>Projects Overview</a:t>
            </a:r>
            <a:endParaRPr lang="en-US" sz="1400" b="1">
              <a:ln>
                <a:noFill/>
              </a:ln>
              <a:solidFill>
                <a:schemeClr val="accent1"/>
              </a:solidFill>
              <a:latin typeface="+mj-lt"/>
              <a:cs typeface="DokChampa" pitchFamily="34" charset="-34"/>
            </a:endParaRPr>
          </a:p>
        </xdr:txBody>
      </xdr:sp>
    </xdr:grpSp>
    <xdr:clientData fPrintsWithSheet="0"/>
  </xdr:twoCellAnchor>
  <xdr:twoCellAnchor>
    <xdr:from>
      <xdr:col>4</xdr:col>
      <xdr:colOff>266699</xdr:colOff>
      <xdr:row>0</xdr:row>
      <xdr:rowOff>609600</xdr:rowOff>
    </xdr:from>
    <xdr:to>
      <xdr:col>6</xdr:col>
      <xdr:colOff>152400</xdr:colOff>
      <xdr:row>2</xdr:row>
      <xdr:rowOff>34290</xdr:rowOff>
    </xdr:to>
    <xdr:sp macro="" textlink="">
      <xdr:nvSpPr>
        <xdr:cNvPr id="2" name="Data Entry Tip" descr="Double-click in Done column when task is complete.&#10;&#10;This tip will not print and can be deleted. " title="Data Entry Tip"/>
        <xdr:cNvSpPr>
          <a:spLocks noChangeAspect="1"/>
        </xdr:cNvSpPr>
      </xdr:nvSpPr>
      <xdr:spPr>
        <a:xfrm>
          <a:off x="4724399" y="609600"/>
          <a:ext cx="3352801" cy="320040"/>
        </a:xfrm>
        <a:custGeom>
          <a:avLst/>
          <a:gdLst>
            <a:gd name="connsiteX0" fmla="*/ 0 w 3108960"/>
            <a:gd name="connsiteY0" fmla="*/ 50801 h 304800"/>
            <a:gd name="connsiteX1" fmla="*/ 50801 w 3108960"/>
            <a:gd name="connsiteY1" fmla="*/ 0 h 304800"/>
            <a:gd name="connsiteX2" fmla="*/ 1813560 w 3108960"/>
            <a:gd name="connsiteY2" fmla="*/ 0 h 304800"/>
            <a:gd name="connsiteX3" fmla="*/ 1813560 w 3108960"/>
            <a:gd name="connsiteY3" fmla="*/ 0 h 304800"/>
            <a:gd name="connsiteX4" fmla="*/ 2590800 w 3108960"/>
            <a:gd name="connsiteY4" fmla="*/ 0 h 304800"/>
            <a:gd name="connsiteX5" fmla="*/ 3058159 w 3108960"/>
            <a:gd name="connsiteY5" fmla="*/ 0 h 304800"/>
            <a:gd name="connsiteX6" fmla="*/ 3108960 w 3108960"/>
            <a:gd name="connsiteY6" fmla="*/ 50801 h 304800"/>
            <a:gd name="connsiteX7" fmla="*/ 3108960 w 3108960"/>
            <a:gd name="connsiteY7" fmla="*/ 177800 h 304800"/>
            <a:gd name="connsiteX8" fmla="*/ 3108960 w 3108960"/>
            <a:gd name="connsiteY8" fmla="*/ 177800 h 304800"/>
            <a:gd name="connsiteX9" fmla="*/ 3108960 w 3108960"/>
            <a:gd name="connsiteY9" fmla="*/ 254000 h 304800"/>
            <a:gd name="connsiteX10" fmla="*/ 3108960 w 3108960"/>
            <a:gd name="connsiteY10" fmla="*/ 253999 h 304800"/>
            <a:gd name="connsiteX11" fmla="*/ 3058159 w 3108960"/>
            <a:gd name="connsiteY11" fmla="*/ 304800 h 304800"/>
            <a:gd name="connsiteX12" fmla="*/ 2590800 w 3108960"/>
            <a:gd name="connsiteY12" fmla="*/ 304800 h 304800"/>
            <a:gd name="connsiteX13" fmla="*/ 2239944 w 3108960"/>
            <a:gd name="connsiteY13" fmla="*/ 426720 h 304800"/>
            <a:gd name="connsiteX14" fmla="*/ 1813560 w 3108960"/>
            <a:gd name="connsiteY14" fmla="*/ 304800 h 304800"/>
            <a:gd name="connsiteX15" fmla="*/ 50801 w 3108960"/>
            <a:gd name="connsiteY15" fmla="*/ 304800 h 304800"/>
            <a:gd name="connsiteX16" fmla="*/ 0 w 3108960"/>
            <a:gd name="connsiteY16" fmla="*/ 253999 h 304800"/>
            <a:gd name="connsiteX17" fmla="*/ 0 w 3108960"/>
            <a:gd name="connsiteY17" fmla="*/ 254000 h 304800"/>
            <a:gd name="connsiteX18" fmla="*/ 0 w 3108960"/>
            <a:gd name="connsiteY18" fmla="*/ 177800 h 304800"/>
            <a:gd name="connsiteX19" fmla="*/ 0 w 3108960"/>
            <a:gd name="connsiteY19" fmla="*/ 177800 h 304800"/>
            <a:gd name="connsiteX20" fmla="*/ 0 w 3108960"/>
            <a:gd name="connsiteY20" fmla="*/ 50801 h 304800"/>
            <a:gd name="connsiteX0" fmla="*/ 0 w 3108960"/>
            <a:gd name="connsiteY0" fmla="*/ 50801 h 426720"/>
            <a:gd name="connsiteX1" fmla="*/ 50801 w 3108960"/>
            <a:gd name="connsiteY1" fmla="*/ 0 h 426720"/>
            <a:gd name="connsiteX2" fmla="*/ 1813560 w 3108960"/>
            <a:gd name="connsiteY2" fmla="*/ 0 h 426720"/>
            <a:gd name="connsiteX3" fmla="*/ 1813560 w 3108960"/>
            <a:gd name="connsiteY3" fmla="*/ 0 h 426720"/>
            <a:gd name="connsiteX4" fmla="*/ 2590800 w 3108960"/>
            <a:gd name="connsiteY4" fmla="*/ 0 h 426720"/>
            <a:gd name="connsiteX5" fmla="*/ 3058159 w 3108960"/>
            <a:gd name="connsiteY5" fmla="*/ 0 h 426720"/>
            <a:gd name="connsiteX6" fmla="*/ 3108960 w 3108960"/>
            <a:gd name="connsiteY6" fmla="*/ 50801 h 426720"/>
            <a:gd name="connsiteX7" fmla="*/ 3108960 w 3108960"/>
            <a:gd name="connsiteY7" fmla="*/ 177800 h 426720"/>
            <a:gd name="connsiteX8" fmla="*/ 3108960 w 3108960"/>
            <a:gd name="connsiteY8" fmla="*/ 177800 h 426720"/>
            <a:gd name="connsiteX9" fmla="*/ 3108960 w 3108960"/>
            <a:gd name="connsiteY9" fmla="*/ 254000 h 426720"/>
            <a:gd name="connsiteX10" fmla="*/ 3108960 w 3108960"/>
            <a:gd name="connsiteY10" fmla="*/ 253999 h 426720"/>
            <a:gd name="connsiteX11" fmla="*/ 3058159 w 3108960"/>
            <a:gd name="connsiteY11" fmla="*/ 304800 h 426720"/>
            <a:gd name="connsiteX12" fmla="*/ 2849880 w 3108960"/>
            <a:gd name="connsiteY12" fmla="*/ 297180 h 426720"/>
            <a:gd name="connsiteX13" fmla="*/ 2239944 w 3108960"/>
            <a:gd name="connsiteY13" fmla="*/ 426720 h 426720"/>
            <a:gd name="connsiteX14" fmla="*/ 1813560 w 3108960"/>
            <a:gd name="connsiteY14" fmla="*/ 304800 h 426720"/>
            <a:gd name="connsiteX15" fmla="*/ 50801 w 3108960"/>
            <a:gd name="connsiteY15" fmla="*/ 304800 h 426720"/>
            <a:gd name="connsiteX16" fmla="*/ 0 w 3108960"/>
            <a:gd name="connsiteY16" fmla="*/ 253999 h 426720"/>
            <a:gd name="connsiteX17" fmla="*/ 0 w 3108960"/>
            <a:gd name="connsiteY17" fmla="*/ 254000 h 426720"/>
            <a:gd name="connsiteX18" fmla="*/ 0 w 3108960"/>
            <a:gd name="connsiteY18" fmla="*/ 177800 h 426720"/>
            <a:gd name="connsiteX19" fmla="*/ 0 w 3108960"/>
            <a:gd name="connsiteY19" fmla="*/ 177800 h 426720"/>
            <a:gd name="connsiteX20" fmla="*/ 0 w 3108960"/>
            <a:gd name="connsiteY20" fmla="*/ 50801 h 426720"/>
            <a:gd name="connsiteX0" fmla="*/ 0 w 3108960"/>
            <a:gd name="connsiteY0" fmla="*/ 50801 h 426720"/>
            <a:gd name="connsiteX1" fmla="*/ 50801 w 3108960"/>
            <a:gd name="connsiteY1" fmla="*/ 0 h 426720"/>
            <a:gd name="connsiteX2" fmla="*/ 1813560 w 3108960"/>
            <a:gd name="connsiteY2" fmla="*/ 0 h 426720"/>
            <a:gd name="connsiteX3" fmla="*/ 1813560 w 3108960"/>
            <a:gd name="connsiteY3" fmla="*/ 0 h 426720"/>
            <a:gd name="connsiteX4" fmla="*/ 2590800 w 3108960"/>
            <a:gd name="connsiteY4" fmla="*/ 0 h 426720"/>
            <a:gd name="connsiteX5" fmla="*/ 3058159 w 3108960"/>
            <a:gd name="connsiteY5" fmla="*/ 0 h 426720"/>
            <a:gd name="connsiteX6" fmla="*/ 3108960 w 3108960"/>
            <a:gd name="connsiteY6" fmla="*/ 50801 h 426720"/>
            <a:gd name="connsiteX7" fmla="*/ 3108960 w 3108960"/>
            <a:gd name="connsiteY7" fmla="*/ 177800 h 426720"/>
            <a:gd name="connsiteX8" fmla="*/ 3108960 w 3108960"/>
            <a:gd name="connsiteY8" fmla="*/ 177800 h 426720"/>
            <a:gd name="connsiteX9" fmla="*/ 3108960 w 3108960"/>
            <a:gd name="connsiteY9" fmla="*/ 254000 h 426720"/>
            <a:gd name="connsiteX10" fmla="*/ 3108960 w 3108960"/>
            <a:gd name="connsiteY10" fmla="*/ 253999 h 426720"/>
            <a:gd name="connsiteX11" fmla="*/ 3058159 w 3108960"/>
            <a:gd name="connsiteY11" fmla="*/ 304800 h 426720"/>
            <a:gd name="connsiteX12" fmla="*/ 2849880 w 3108960"/>
            <a:gd name="connsiteY12" fmla="*/ 297180 h 426720"/>
            <a:gd name="connsiteX13" fmla="*/ 2239944 w 3108960"/>
            <a:gd name="connsiteY13" fmla="*/ 426720 h 426720"/>
            <a:gd name="connsiteX14" fmla="*/ 2293620 w 3108960"/>
            <a:gd name="connsiteY14" fmla="*/ 304800 h 426720"/>
            <a:gd name="connsiteX15" fmla="*/ 50801 w 3108960"/>
            <a:gd name="connsiteY15" fmla="*/ 304800 h 426720"/>
            <a:gd name="connsiteX16" fmla="*/ 0 w 3108960"/>
            <a:gd name="connsiteY16" fmla="*/ 253999 h 426720"/>
            <a:gd name="connsiteX17" fmla="*/ 0 w 3108960"/>
            <a:gd name="connsiteY17" fmla="*/ 254000 h 426720"/>
            <a:gd name="connsiteX18" fmla="*/ 0 w 3108960"/>
            <a:gd name="connsiteY18" fmla="*/ 177800 h 426720"/>
            <a:gd name="connsiteX19" fmla="*/ 0 w 3108960"/>
            <a:gd name="connsiteY19" fmla="*/ 177800 h 426720"/>
            <a:gd name="connsiteX20" fmla="*/ 0 w 3108960"/>
            <a:gd name="connsiteY20" fmla="*/ 50801 h 426720"/>
            <a:gd name="connsiteX0" fmla="*/ 0 w 3108960"/>
            <a:gd name="connsiteY0" fmla="*/ 50801 h 377190"/>
            <a:gd name="connsiteX1" fmla="*/ 50801 w 3108960"/>
            <a:gd name="connsiteY1" fmla="*/ 0 h 377190"/>
            <a:gd name="connsiteX2" fmla="*/ 1813560 w 3108960"/>
            <a:gd name="connsiteY2" fmla="*/ 0 h 377190"/>
            <a:gd name="connsiteX3" fmla="*/ 1813560 w 3108960"/>
            <a:gd name="connsiteY3" fmla="*/ 0 h 377190"/>
            <a:gd name="connsiteX4" fmla="*/ 2590800 w 3108960"/>
            <a:gd name="connsiteY4" fmla="*/ 0 h 377190"/>
            <a:gd name="connsiteX5" fmla="*/ 3058159 w 3108960"/>
            <a:gd name="connsiteY5" fmla="*/ 0 h 377190"/>
            <a:gd name="connsiteX6" fmla="*/ 3108960 w 3108960"/>
            <a:gd name="connsiteY6" fmla="*/ 50801 h 377190"/>
            <a:gd name="connsiteX7" fmla="*/ 3108960 w 3108960"/>
            <a:gd name="connsiteY7" fmla="*/ 177800 h 377190"/>
            <a:gd name="connsiteX8" fmla="*/ 3108960 w 3108960"/>
            <a:gd name="connsiteY8" fmla="*/ 177800 h 377190"/>
            <a:gd name="connsiteX9" fmla="*/ 3108960 w 3108960"/>
            <a:gd name="connsiteY9" fmla="*/ 254000 h 377190"/>
            <a:gd name="connsiteX10" fmla="*/ 3108960 w 3108960"/>
            <a:gd name="connsiteY10" fmla="*/ 253999 h 377190"/>
            <a:gd name="connsiteX11" fmla="*/ 3058159 w 3108960"/>
            <a:gd name="connsiteY11" fmla="*/ 304800 h 377190"/>
            <a:gd name="connsiteX12" fmla="*/ 2849880 w 3108960"/>
            <a:gd name="connsiteY12" fmla="*/ 297180 h 377190"/>
            <a:gd name="connsiteX13" fmla="*/ 2594274 w 3108960"/>
            <a:gd name="connsiteY13" fmla="*/ 377190 h 377190"/>
            <a:gd name="connsiteX14" fmla="*/ 2293620 w 3108960"/>
            <a:gd name="connsiteY14" fmla="*/ 304800 h 377190"/>
            <a:gd name="connsiteX15" fmla="*/ 50801 w 3108960"/>
            <a:gd name="connsiteY15" fmla="*/ 304800 h 377190"/>
            <a:gd name="connsiteX16" fmla="*/ 0 w 3108960"/>
            <a:gd name="connsiteY16" fmla="*/ 253999 h 377190"/>
            <a:gd name="connsiteX17" fmla="*/ 0 w 3108960"/>
            <a:gd name="connsiteY17" fmla="*/ 254000 h 377190"/>
            <a:gd name="connsiteX18" fmla="*/ 0 w 3108960"/>
            <a:gd name="connsiteY18" fmla="*/ 177800 h 377190"/>
            <a:gd name="connsiteX19" fmla="*/ 0 w 3108960"/>
            <a:gd name="connsiteY19" fmla="*/ 177800 h 377190"/>
            <a:gd name="connsiteX20" fmla="*/ 0 w 3108960"/>
            <a:gd name="connsiteY20" fmla="*/ 50801 h 377190"/>
            <a:gd name="connsiteX0" fmla="*/ 0 w 3108960"/>
            <a:gd name="connsiteY0" fmla="*/ 50801 h 377190"/>
            <a:gd name="connsiteX1" fmla="*/ 50801 w 3108960"/>
            <a:gd name="connsiteY1" fmla="*/ 0 h 377190"/>
            <a:gd name="connsiteX2" fmla="*/ 1813560 w 3108960"/>
            <a:gd name="connsiteY2" fmla="*/ 0 h 377190"/>
            <a:gd name="connsiteX3" fmla="*/ 1813560 w 3108960"/>
            <a:gd name="connsiteY3" fmla="*/ 0 h 377190"/>
            <a:gd name="connsiteX4" fmla="*/ 2590800 w 3108960"/>
            <a:gd name="connsiteY4" fmla="*/ 0 h 377190"/>
            <a:gd name="connsiteX5" fmla="*/ 3058159 w 3108960"/>
            <a:gd name="connsiteY5" fmla="*/ 0 h 377190"/>
            <a:gd name="connsiteX6" fmla="*/ 3108960 w 3108960"/>
            <a:gd name="connsiteY6" fmla="*/ 50801 h 377190"/>
            <a:gd name="connsiteX7" fmla="*/ 3108960 w 3108960"/>
            <a:gd name="connsiteY7" fmla="*/ 177800 h 377190"/>
            <a:gd name="connsiteX8" fmla="*/ 3108960 w 3108960"/>
            <a:gd name="connsiteY8" fmla="*/ 177800 h 377190"/>
            <a:gd name="connsiteX9" fmla="*/ 3108960 w 3108960"/>
            <a:gd name="connsiteY9" fmla="*/ 254000 h 377190"/>
            <a:gd name="connsiteX10" fmla="*/ 3108960 w 3108960"/>
            <a:gd name="connsiteY10" fmla="*/ 253999 h 377190"/>
            <a:gd name="connsiteX11" fmla="*/ 3058159 w 3108960"/>
            <a:gd name="connsiteY11" fmla="*/ 304800 h 377190"/>
            <a:gd name="connsiteX12" fmla="*/ 2849880 w 3108960"/>
            <a:gd name="connsiteY12" fmla="*/ 304800 h 377190"/>
            <a:gd name="connsiteX13" fmla="*/ 2594274 w 3108960"/>
            <a:gd name="connsiteY13" fmla="*/ 377190 h 377190"/>
            <a:gd name="connsiteX14" fmla="*/ 2293620 w 3108960"/>
            <a:gd name="connsiteY14" fmla="*/ 304800 h 377190"/>
            <a:gd name="connsiteX15" fmla="*/ 50801 w 3108960"/>
            <a:gd name="connsiteY15" fmla="*/ 304800 h 377190"/>
            <a:gd name="connsiteX16" fmla="*/ 0 w 3108960"/>
            <a:gd name="connsiteY16" fmla="*/ 253999 h 377190"/>
            <a:gd name="connsiteX17" fmla="*/ 0 w 3108960"/>
            <a:gd name="connsiteY17" fmla="*/ 254000 h 377190"/>
            <a:gd name="connsiteX18" fmla="*/ 0 w 3108960"/>
            <a:gd name="connsiteY18" fmla="*/ 177800 h 377190"/>
            <a:gd name="connsiteX19" fmla="*/ 0 w 3108960"/>
            <a:gd name="connsiteY19" fmla="*/ 177800 h 377190"/>
            <a:gd name="connsiteX20" fmla="*/ 0 w 3108960"/>
            <a:gd name="connsiteY20" fmla="*/ 50801 h 377190"/>
            <a:gd name="connsiteX0" fmla="*/ 0 w 3108960"/>
            <a:gd name="connsiteY0" fmla="*/ 50801 h 377190"/>
            <a:gd name="connsiteX1" fmla="*/ 50801 w 3108960"/>
            <a:gd name="connsiteY1" fmla="*/ 0 h 377190"/>
            <a:gd name="connsiteX2" fmla="*/ 1813560 w 3108960"/>
            <a:gd name="connsiteY2" fmla="*/ 0 h 377190"/>
            <a:gd name="connsiteX3" fmla="*/ 1813560 w 3108960"/>
            <a:gd name="connsiteY3" fmla="*/ 0 h 377190"/>
            <a:gd name="connsiteX4" fmla="*/ 2590800 w 3108960"/>
            <a:gd name="connsiteY4" fmla="*/ 0 h 377190"/>
            <a:gd name="connsiteX5" fmla="*/ 3058159 w 3108960"/>
            <a:gd name="connsiteY5" fmla="*/ 0 h 377190"/>
            <a:gd name="connsiteX6" fmla="*/ 3108960 w 3108960"/>
            <a:gd name="connsiteY6" fmla="*/ 50801 h 377190"/>
            <a:gd name="connsiteX7" fmla="*/ 3108960 w 3108960"/>
            <a:gd name="connsiteY7" fmla="*/ 177800 h 377190"/>
            <a:gd name="connsiteX8" fmla="*/ 3108960 w 3108960"/>
            <a:gd name="connsiteY8" fmla="*/ 177800 h 377190"/>
            <a:gd name="connsiteX9" fmla="*/ 3108960 w 3108960"/>
            <a:gd name="connsiteY9" fmla="*/ 254000 h 377190"/>
            <a:gd name="connsiteX10" fmla="*/ 3108960 w 3108960"/>
            <a:gd name="connsiteY10" fmla="*/ 253999 h 377190"/>
            <a:gd name="connsiteX11" fmla="*/ 3058159 w 3108960"/>
            <a:gd name="connsiteY11" fmla="*/ 304800 h 377190"/>
            <a:gd name="connsiteX12" fmla="*/ 2849880 w 3108960"/>
            <a:gd name="connsiteY12" fmla="*/ 304800 h 377190"/>
            <a:gd name="connsiteX13" fmla="*/ 2594274 w 3108960"/>
            <a:gd name="connsiteY13" fmla="*/ 377190 h 377190"/>
            <a:gd name="connsiteX14" fmla="*/ 2517555 w 3108960"/>
            <a:gd name="connsiteY14" fmla="*/ 304800 h 377190"/>
            <a:gd name="connsiteX15" fmla="*/ 50801 w 3108960"/>
            <a:gd name="connsiteY15" fmla="*/ 304800 h 377190"/>
            <a:gd name="connsiteX16" fmla="*/ 0 w 3108960"/>
            <a:gd name="connsiteY16" fmla="*/ 253999 h 377190"/>
            <a:gd name="connsiteX17" fmla="*/ 0 w 3108960"/>
            <a:gd name="connsiteY17" fmla="*/ 254000 h 377190"/>
            <a:gd name="connsiteX18" fmla="*/ 0 w 3108960"/>
            <a:gd name="connsiteY18" fmla="*/ 177800 h 377190"/>
            <a:gd name="connsiteX19" fmla="*/ 0 w 3108960"/>
            <a:gd name="connsiteY19" fmla="*/ 177800 h 377190"/>
            <a:gd name="connsiteX20" fmla="*/ 0 w 3108960"/>
            <a:gd name="connsiteY20" fmla="*/ 50801 h 377190"/>
            <a:gd name="connsiteX0" fmla="*/ 0 w 3108960"/>
            <a:gd name="connsiteY0" fmla="*/ 50801 h 377190"/>
            <a:gd name="connsiteX1" fmla="*/ 50801 w 3108960"/>
            <a:gd name="connsiteY1" fmla="*/ 0 h 377190"/>
            <a:gd name="connsiteX2" fmla="*/ 1813560 w 3108960"/>
            <a:gd name="connsiteY2" fmla="*/ 0 h 377190"/>
            <a:gd name="connsiteX3" fmla="*/ 1813560 w 3108960"/>
            <a:gd name="connsiteY3" fmla="*/ 0 h 377190"/>
            <a:gd name="connsiteX4" fmla="*/ 2590800 w 3108960"/>
            <a:gd name="connsiteY4" fmla="*/ 0 h 377190"/>
            <a:gd name="connsiteX5" fmla="*/ 3058159 w 3108960"/>
            <a:gd name="connsiteY5" fmla="*/ 0 h 377190"/>
            <a:gd name="connsiteX6" fmla="*/ 3108960 w 3108960"/>
            <a:gd name="connsiteY6" fmla="*/ 50801 h 377190"/>
            <a:gd name="connsiteX7" fmla="*/ 3108960 w 3108960"/>
            <a:gd name="connsiteY7" fmla="*/ 177800 h 377190"/>
            <a:gd name="connsiteX8" fmla="*/ 3108960 w 3108960"/>
            <a:gd name="connsiteY8" fmla="*/ 177800 h 377190"/>
            <a:gd name="connsiteX9" fmla="*/ 3108960 w 3108960"/>
            <a:gd name="connsiteY9" fmla="*/ 254000 h 377190"/>
            <a:gd name="connsiteX10" fmla="*/ 3108960 w 3108960"/>
            <a:gd name="connsiteY10" fmla="*/ 253999 h 377190"/>
            <a:gd name="connsiteX11" fmla="*/ 3058159 w 3108960"/>
            <a:gd name="connsiteY11" fmla="*/ 304800 h 377190"/>
            <a:gd name="connsiteX12" fmla="*/ 2730449 w 3108960"/>
            <a:gd name="connsiteY12" fmla="*/ 304800 h 377190"/>
            <a:gd name="connsiteX13" fmla="*/ 2594274 w 3108960"/>
            <a:gd name="connsiteY13" fmla="*/ 377190 h 377190"/>
            <a:gd name="connsiteX14" fmla="*/ 2517555 w 3108960"/>
            <a:gd name="connsiteY14" fmla="*/ 304800 h 377190"/>
            <a:gd name="connsiteX15" fmla="*/ 50801 w 3108960"/>
            <a:gd name="connsiteY15" fmla="*/ 304800 h 377190"/>
            <a:gd name="connsiteX16" fmla="*/ 0 w 3108960"/>
            <a:gd name="connsiteY16" fmla="*/ 253999 h 377190"/>
            <a:gd name="connsiteX17" fmla="*/ 0 w 3108960"/>
            <a:gd name="connsiteY17" fmla="*/ 254000 h 377190"/>
            <a:gd name="connsiteX18" fmla="*/ 0 w 3108960"/>
            <a:gd name="connsiteY18" fmla="*/ 177800 h 377190"/>
            <a:gd name="connsiteX19" fmla="*/ 0 w 3108960"/>
            <a:gd name="connsiteY19" fmla="*/ 177800 h 377190"/>
            <a:gd name="connsiteX20" fmla="*/ 0 w 3108960"/>
            <a:gd name="connsiteY20" fmla="*/ 50801 h 377190"/>
            <a:gd name="connsiteX0" fmla="*/ 0 w 3108960"/>
            <a:gd name="connsiteY0" fmla="*/ 50801 h 381000"/>
            <a:gd name="connsiteX1" fmla="*/ 50801 w 3108960"/>
            <a:gd name="connsiteY1" fmla="*/ 0 h 381000"/>
            <a:gd name="connsiteX2" fmla="*/ 1813560 w 3108960"/>
            <a:gd name="connsiteY2" fmla="*/ 0 h 381000"/>
            <a:gd name="connsiteX3" fmla="*/ 1813560 w 3108960"/>
            <a:gd name="connsiteY3" fmla="*/ 0 h 381000"/>
            <a:gd name="connsiteX4" fmla="*/ 2590800 w 3108960"/>
            <a:gd name="connsiteY4" fmla="*/ 0 h 381000"/>
            <a:gd name="connsiteX5" fmla="*/ 3058159 w 3108960"/>
            <a:gd name="connsiteY5" fmla="*/ 0 h 381000"/>
            <a:gd name="connsiteX6" fmla="*/ 3108960 w 3108960"/>
            <a:gd name="connsiteY6" fmla="*/ 50801 h 381000"/>
            <a:gd name="connsiteX7" fmla="*/ 3108960 w 3108960"/>
            <a:gd name="connsiteY7" fmla="*/ 177800 h 381000"/>
            <a:gd name="connsiteX8" fmla="*/ 3108960 w 3108960"/>
            <a:gd name="connsiteY8" fmla="*/ 177800 h 381000"/>
            <a:gd name="connsiteX9" fmla="*/ 3108960 w 3108960"/>
            <a:gd name="connsiteY9" fmla="*/ 254000 h 381000"/>
            <a:gd name="connsiteX10" fmla="*/ 3108960 w 3108960"/>
            <a:gd name="connsiteY10" fmla="*/ 253999 h 381000"/>
            <a:gd name="connsiteX11" fmla="*/ 3058159 w 3108960"/>
            <a:gd name="connsiteY11" fmla="*/ 304800 h 381000"/>
            <a:gd name="connsiteX12" fmla="*/ 2730449 w 3108960"/>
            <a:gd name="connsiteY12" fmla="*/ 304800 h 381000"/>
            <a:gd name="connsiteX13" fmla="*/ 2616668 w 3108960"/>
            <a:gd name="connsiteY13" fmla="*/ 381000 h 381000"/>
            <a:gd name="connsiteX14" fmla="*/ 2517555 w 3108960"/>
            <a:gd name="connsiteY14" fmla="*/ 304800 h 381000"/>
            <a:gd name="connsiteX15" fmla="*/ 50801 w 3108960"/>
            <a:gd name="connsiteY15" fmla="*/ 304800 h 381000"/>
            <a:gd name="connsiteX16" fmla="*/ 0 w 3108960"/>
            <a:gd name="connsiteY16" fmla="*/ 253999 h 381000"/>
            <a:gd name="connsiteX17" fmla="*/ 0 w 3108960"/>
            <a:gd name="connsiteY17" fmla="*/ 254000 h 381000"/>
            <a:gd name="connsiteX18" fmla="*/ 0 w 3108960"/>
            <a:gd name="connsiteY18" fmla="*/ 177800 h 381000"/>
            <a:gd name="connsiteX19" fmla="*/ 0 w 3108960"/>
            <a:gd name="connsiteY19" fmla="*/ 177800 h 381000"/>
            <a:gd name="connsiteX20" fmla="*/ 0 w 3108960"/>
            <a:gd name="connsiteY20" fmla="*/ 50801 h 381000"/>
            <a:gd name="connsiteX0" fmla="*/ 0 w 3108960"/>
            <a:gd name="connsiteY0" fmla="*/ 50801 h 400050"/>
            <a:gd name="connsiteX1" fmla="*/ 50801 w 3108960"/>
            <a:gd name="connsiteY1" fmla="*/ 0 h 400050"/>
            <a:gd name="connsiteX2" fmla="*/ 1813560 w 3108960"/>
            <a:gd name="connsiteY2" fmla="*/ 0 h 400050"/>
            <a:gd name="connsiteX3" fmla="*/ 1813560 w 3108960"/>
            <a:gd name="connsiteY3" fmla="*/ 0 h 400050"/>
            <a:gd name="connsiteX4" fmla="*/ 2590800 w 3108960"/>
            <a:gd name="connsiteY4" fmla="*/ 0 h 400050"/>
            <a:gd name="connsiteX5" fmla="*/ 3058159 w 3108960"/>
            <a:gd name="connsiteY5" fmla="*/ 0 h 400050"/>
            <a:gd name="connsiteX6" fmla="*/ 3108960 w 3108960"/>
            <a:gd name="connsiteY6" fmla="*/ 50801 h 400050"/>
            <a:gd name="connsiteX7" fmla="*/ 3108960 w 3108960"/>
            <a:gd name="connsiteY7" fmla="*/ 177800 h 400050"/>
            <a:gd name="connsiteX8" fmla="*/ 3108960 w 3108960"/>
            <a:gd name="connsiteY8" fmla="*/ 177800 h 400050"/>
            <a:gd name="connsiteX9" fmla="*/ 3108960 w 3108960"/>
            <a:gd name="connsiteY9" fmla="*/ 254000 h 400050"/>
            <a:gd name="connsiteX10" fmla="*/ 3108960 w 3108960"/>
            <a:gd name="connsiteY10" fmla="*/ 253999 h 400050"/>
            <a:gd name="connsiteX11" fmla="*/ 3058159 w 3108960"/>
            <a:gd name="connsiteY11" fmla="*/ 304800 h 400050"/>
            <a:gd name="connsiteX12" fmla="*/ 2730449 w 3108960"/>
            <a:gd name="connsiteY12" fmla="*/ 304800 h 400050"/>
            <a:gd name="connsiteX13" fmla="*/ 2616668 w 3108960"/>
            <a:gd name="connsiteY13" fmla="*/ 400050 h 400050"/>
            <a:gd name="connsiteX14" fmla="*/ 2517555 w 3108960"/>
            <a:gd name="connsiteY14" fmla="*/ 304800 h 400050"/>
            <a:gd name="connsiteX15" fmla="*/ 50801 w 3108960"/>
            <a:gd name="connsiteY15" fmla="*/ 304800 h 400050"/>
            <a:gd name="connsiteX16" fmla="*/ 0 w 3108960"/>
            <a:gd name="connsiteY16" fmla="*/ 253999 h 400050"/>
            <a:gd name="connsiteX17" fmla="*/ 0 w 3108960"/>
            <a:gd name="connsiteY17" fmla="*/ 254000 h 400050"/>
            <a:gd name="connsiteX18" fmla="*/ 0 w 3108960"/>
            <a:gd name="connsiteY18" fmla="*/ 177800 h 400050"/>
            <a:gd name="connsiteX19" fmla="*/ 0 w 3108960"/>
            <a:gd name="connsiteY19" fmla="*/ 177800 h 400050"/>
            <a:gd name="connsiteX20" fmla="*/ 0 w 3108960"/>
            <a:gd name="connsiteY20" fmla="*/ 50801 h 400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3108960" h="400050">
              <a:moveTo>
                <a:pt x="0" y="50801"/>
              </a:moveTo>
              <a:cubicBezTo>
                <a:pt x="0" y="22744"/>
                <a:pt x="22744" y="0"/>
                <a:pt x="50801" y="0"/>
              </a:cubicBezTo>
              <a:lnTo>
                <a:pt x="1813560" y="0"/>
              </a:lnTo>
              <a:lnTo>
                <a:pt x="1813560" y="0"/>
              </a:lnTo>
              <a:lnTo>
                <a:pt x="2590800" y="0"/>
              </a:lnTo>
              <a:lnTo>
                <a:pt x="3058159" y="0"/>
              </a:lnTo>
              <a:cubicBezTo>
                <a:pt x="3086216" y="0"/>
                <a:pt x="3108960" y="22744"/>
                <a:pt x="3108960" y="50801"/>
              </a:cubicBezTo>
              <a:lnTo>
                <a:pt x="3108960" y="177800"/>
              </a:lnTo>
              <a:lnTo>
                <a:pt x="3108960" y="177800"/>
              </a:lnTo>
              <a:lnTo>
                <a:pt x="3108960" y="254000"/>
              </a:lnTo>
              <a:lnTo>
                <a:pt x="3108960" y="253999"/>
              </a:lnTo>
              <a:cubicBezTo>
                <a:pt x="3108960" y="282056"/>
                <a:pt x="3086216" y="304800"/>
                <a:pt x="3058159" y="304800"/>
              </a:cubicBezTo>
              <a:lnTo>
                <a:pt x="2730449" y="304800"/>
              </a:lnTo>
              <a:lnTo>
                <a:pt x="2616668" y="400050"/>
              </a:lnTo>
              <a:lnTo>
                <a:pt x="2517555" y="304800"/>
              </a:lnTo>
              <a:lnTo>
                <a:pt x="50801" y="304800"/>
              </a:lnTo>
              <a:cubicBezTo>
                <a:pt x="22744" y="304800"/>
                <a:pt x="0" y="282056"/>
                <a:pt x="0" y="253999"/>
              </a:cubicBezTo>
              <a:lnTo>
                <a:pt x="0" y="254000"/>
              </a:lnTo>
              <a:lnTo>
                <a:pt x="0" y="177800"/>
              </a:lnTo>
              <a:lnTo>
                <a:pt x="0" y="177800"/>
              </a:lnTo>
              <a:lnTo>
                <a:pt x="0" y="50801"/>
              </a:lnTo>
              <a:close/>
            </a:path>
          </a:pathLst>
        </a:cu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tIns="91440" bIns="182880" rtlCol="0" anchor="ctr">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en-US" sz="900">
              <a:solidFill>
                <a:schemeClr val="tx1">
                  <a:lumMod val="65000"/>
                  <a:lumOff val="35000"/>
                </a:schemeClr>
              </a:solidFill>
              <a:effectLst/>
              <a:latin typeface="+mn-lt"/>
              <a:ea typeface="+mn-ea"/>
              <a:cs typeface="+mn-cs"/>
            </a:rPr>
            <a:t>TIP: Double-click in Done column when task is complete.</a:t>
          </a:r>
        </a:p>
        <a:p>
          <a:pPr algn="l"/>
          <a:endParaRPr lang="en-US" sz="900">
            <a:solidFill>
              <a:schemeClr val="tx1">
                <a:lumMod val="65000"/>
                <a:lumOff val="35000"/>
              </a:schemeClr>
            </a:solidFill>
          </a:endParaRPr>
        </a:p>
      </xdr:txBody>
    </xdr:sp>
    <xdr:clientData fPrintsWithSheet="0"/>
  </xdr:twoCellAnchor>
</xdr:wsDr>
</file>

<file path=xl/tables/table1.xml><?xml version="1.0" encoding="utf-8"?>
<table xmlns="http://schemas.openxmlformats.org/spreadsheetml/2006/main" id="1" name="Projects" displayName="Projects" ref="B3:G7" headerRowDxfId="17">
  <autoFilter ref="B3:G7"/>
  <tableColumns count="6">
    <tableColumn id="1" name="Project" totalsRowLabel="Total" totalsRowDxfId="16" dataCellStyle="Indent"/>
    <tableColumn id="2" name="  " totalsRowFunction="count" dataDxfId="15" totalsRowDxfId="14" dataCellStyle="Percent">
      <calculatedColumnFormula>IFERROR((SUMIFS(Tasks[Done],Tasks[Project],Projects[[#This Row],[Project]])/COUNTIFS(Tasks[Project],Projects[[#This Row],[Project]]))+0.0001,0.0001)</calculatedColumnFormula>
    </tableColumn>
    <tableColumn id="3" name="Progress" dataDxfId="13" totalsRowDxfId="12" dataCellStyle="Chart">
      <calculatedColumnFormula>REPT("|",Projects[[  ]]*175)</calculatedColumnFormula>
    </tableColumn>
    <tableColumn id="4" name=" Start" dataDxfId="11" totalsRowDxfId="10">
      <calculatedColumnFormula array="1">MIN(IF((Tasks[Project]=Projects[[#This Row],[Project]])*(Tasks[Start]&gt;0),Tasks[Start]))</calculatedColumnFormula>
    </tableColumn>
    <tableColumn id="5" name=" End" dataDxfId="9" totalsRowDxfId="8">
      <calculatedColumnFormula array="1">MAX(IF((Tasks[Project]=Projects[[#This Row],[Project]])*(Tasks[Start]&gt;0),Tasks[[Start]:[End]]))</calculatedColumnFormula>
    </tableColumn>
    <tableColumn id="6" name="Notes" totalsRowFunction="count" totalsRowDxfId="7" dataCellStyle="Indent"/>
  </tableColumns>
  <tableStyleInfo name="Weekly Planner Tables" showFirstColumn="1" showLastColumn="0" showRowStripes="1" showColumnStripes="0"/>
  <extLst>
    <ext xmlns:x14="http://schemas.microsoft.com/office/spreadsheetml/2009/9/main" uri="{504A1905-F514-4f6f-8877-14C23A59335A}">
      <x14:table altText="Projects Overview" altTextSummary="List of project details such as, Project name, percent complete, Start date, End date, and Notes. "/>
    </ext>
  </extLst>
</table>
</file>

<file path=xl/tables/table2.xml><?xml version="1.0" encoding="utf-8"?>
<table xmlns="http://schemas.openxmlformats.org/spreadsheetml/2006/main" id="2" name="Tasks" displayName="Tasks" ref="B3:G21" totalsRowShown="0" headerRowDxfId="6">
  <autoFilter ref="B3:G21"/>
  <tableColumns count="6">
    <tableColumn id="3" name="Start" dataDxfId="5"/>
    <tableColumn id="4" name="End" dataDxfId="4"/>
    <tableColumn id="1" name="Project" dataDxfId="3" dataCellStyle="Indent"/>
    <tableColumn id="2" name="Task" dataDxfId="2" dataCellStyle="Indent"/>
    <tableColumn id="5" name="Done" dataDxfId="1"/>
    <tableColumn id="6" name="Notes" dataDxfId="0" dataCellStyle="Indent"/>
  </tableColumns>
  <tableStyleInfo name="Weekly Planner Tables" showFirstColumn="0" showLastColumn="0" showRowStripes="1" showColumnStripes="0"/>
  <extLst>
    <ext xmlns:x14="http://schemas.microsoft.com/office/spreadsheetml/2009/9/main" uri="{504A1905-F514-4f6f-8877-14C23A59335A}">
      <x14:table altText="Task Details" altTextSummary="List of details for each task such as, Project, Task, Start date, End date, Done, and Notes."/>
    </ext>
  </extLst>
</table>
</file>

<file path=xl/theme/theme1.xml><?xml version="1.0" encoding="utf-8"?>
<a:theme xmlns:a="http://schemas.openxmlformats.org/drawingml/2006/main" name="Office Theme">
  <a:themeElements>
    <a:clrScheme name="Weekly Time Planner">
      <a:dk1>
        <a:srgbClr val="000000"/>
      </a:dk1>
      <a:lt1>
        <a:srgbClr val="FFFFFF"/>
      </a:lt1>
      <a:dk2>
        <a:srgbClr val="000000"/>
      </a:dk2>
      <a:lt2>
        <a:srgbClr val="FFFFFF"/>
      </a:lt2>
      <a:accent1>
        <a:srgbClr val="F47836"/>
      </a:accent1>
      <a:accent2>
        <a:srgbClr val="39ADDC"/>
      </a:accent2>
      <a:accent3>
        <a:srgbClr val="EAAD21"/>
      </a:accent3>
      <a:accent4>
        <a:srgbClr val="895EA7"/>
      </a:accent4>
      <a:accent5>
        <a:srgbClr val="00B15A"/>
      </a:accent5>
      <a:accent6>
        <a:srgbClr val="DB4D75"/>
      </a:accent6>
      <a:hlink>
        <a:srgbClr val="39ADDC"/>
      </a:hlink>
      <a:folHlink>
        <a:srgbClr val="895EA7"/>
      </a:folHlink>
    </a:clrScheme>
    <a:fontScheme name="085_Weekly_Time_Planner">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engineeringmanagement.info/2016/11/contract-templates.html" TargetMode="Externa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pageSetUpPr fitToPage="1"/>
  </sheetPr>
  <dimension ref="B1:G10"/>
  <sheetViews>
    <sheetView showGridLines="0" showZeros="0" tabSelected="1" zoomScaleNormal="100" workbookViewId="0">
      <selection activeCell="D12" sqref="D12"/>
    </sheetView>
  </sheetViews>
  <sheetFormatPr defaultRowHeight="18" customHeight="1" x14ac:dyDescent="0.3"/>
  <cols>
    <col min="1" max="1" width="3.85546875" customWidth="1"/>
    <col min="2" max="2" width="34.28515625" customWidth="1"/>
    <col min="3" max="3" width="8.28515625" customWidth="1"/>
    <col min="4" max="4" width="28.85546875" customWidth="1"/>
    <col min="5" max="6" width="14.28515625" customWidth="1"/>
    <col min="7" max="7" width="53.28515625" customWidth="1"/>
    <col min="8" max="8" width="3.85546875" customWidth="1"/>
  </cols>
  <sheetData>
    <row r="1" spans="2:7" ht="52.5" customHeight="1" x14ac:dyDescent="0.3">
      <c r="B1" s="1" t="s">
        <v>24</v>
      </c>
    </row>
    <row r="3" spans="2:7" ht="18" customHeight="1" x14ac:dyDescent="0.3">
      <c r="B3" s="12" t="s">
        <v>0</v>
      </c>
      <c r="C3" s="13" t="s">
        <v>42</v>
      </c>
      <c r="D3" s="13" t="s">
        <v>39</v>
      </c>
      <c r="E3" s="14" t="s">
        <v>28</v>
      </c>
      <c r="F3" s="14" t="s">
        <v>29</v>
      </c>
      <c r="G3" s="12" t="s">
        <v>27</v>
      </c>
    </row>
    <row r="4" spans="2:7" ht="18" customHeight="1" x14ac:dyDescent="0.3">
      <c r="B4" s="2" t="s">
        <v>5</v>
      </c>
      <c r="C4" s="5">
        <f>IFERROR((SUMIFS(Tasks[Done],Tasks[Project],Projects[[#This Row],[Project]])/COUNTIFS(Tasks[Project],Projects[[#This Row],[Project]]))+0.0001,0.0001)</f>
        <v>0.50009999999999999</v>
      </c>
      <c r="D4" s="4" t="str">
        <f>REPT("|",Projects[[  ]]*175)</f>
        <v>|||||||||||||||||||||||||||||||||||||||||||||||||||||||||||||||||||||||||||||||||||||||</v>
      </c>
      <c r="E4" s="11">
        <f t="array" ref="E4">MIN(IF((Tasks[Project]=Projects[[#This Row],[Project]])*(Tasks[Start]&gt;0),Tasks[Start]))</f>
        <v>40817</v>
      </c>
      <c r="F4" s="11">
        <f t="array" ref="F4">MAX(IF((Tasks[Project]=Projects[[#This Row],[Project]])*(Tasks[Start]&gt;0),Tasks[[Start]:[End]]))</f>
        <v>40908</v>
      </c>
      <c r="G4" s="3" t="s">
        <v>23</v>
      </c>
    </row>
    <row r="5" spans="2:7" ht="18" customHeight="1" x14ac:dyDescent="0.3">
      <c r="B5" s="2" t="s">
        <v>43</v>
      </c>
      <c r="C5" s="5">
        <f>IFERROR((SUMIFS(Tasks[Done],Tasks[Project],Projects[[#This Row],[Project]])/COUNTIFS(Tasks[Project],Projects[[#This Row],[Project]]))+0.0001,0.0001)</f>
        <v>1.0001</v>
      </c>
      <c r="D5" s="4" t="str">
        <f>REPT("|",Projects[[  ]]*175)</f>
        <v>|||||||||||||||||||||||||||||||||||||||||||||||||||||||||||||||||||||||||||||||||||||||||||||||||||||||||||||||||||||||||||||||||||||||||||||||||||||||||||||||||||||||||||||||</v>
      </c>
      <c r="E5" s="11">
        <f t="array" ref="E5">MIN(IF((Tasks[Project]=Projects[[#This Row],[Project]])*(Tasks[Start]&gt;0),Tasks[Start]))</f>
        <v>40796</v>
      </c>
      <c r="F5" s="11">
        <f t="array" ref="F5">MAX(IF((Tasks[Project]=Projects[[#This Row],[Project]])*(Tasks[Start]&gt;0),Tasks[[Start]:[End]]))</f>
        <v>40819</v>
      </c>
      <c r="G5" s="3"/>
    </row>
    <row r="6" spans="2:7" ht="18" customHeight="1" x14ac:dyDescent="0.3">
      <c r="B6" s="2" t="s">
        <v>35</v>
      </c>
      <c r="C6" s="5">
        <f>IFERROR((SUMIFS(Tasks[Done],Tasks[Project],Projects[[#This Row],[Project]])/COUNTIFS(Tasks[Project],Projects[[#This Row],[Project]]))+0.0001,0.0001)</f>
        <v>0.28581428571428569</v>
      </c>
      <c r="D6" s="4" t="str">
        <f>REPT("|",Projects[[  ]]*175)</f>
        <v>||||||||||||||||||||||||||||||||||||||||||||||||||</v>
      </c>
      <c r="E6" s="11">
        <f t="array" ref="E6">MIN(IF((Tasks[Project]=Projects[[#This Row],[Project]])*(Tasks[Start]&gt;0),Tasks[Start]))</f>
        <v>40787</v>
      </c>
      <c r="F6" s="11">
        <f t="array" ref="F6">MAX(IF((Tasks[Project]=Projects[[#This Row],[Project]])*(Tasks[Start]&gt;0),Tasks[[Start]:[End]]))</f>
        <v>41017</v>
      </c>
      <c r="G6" s="3" t="s">
        <v>40</v>
      </c>
    </row>
    <row r="7" spans="2:7" ht="18" customHeight="1" x14ac:dyDescent="0.3">
      <c r="B7" s="2" t="s">
        <v>26</v>
      </c>
      <c r="C7" s="6">
        <f>IFERROR((SUMIFS(Tasks[Done],Tasks[Project],Projects[[#This Row],[Project]])/COUNTIFS(Tasks[Project],Projects[[#This Row],[Project]]))+0.0001,0.0001)</f>
        <v>1E-4</v>
      </c>
      <c r="D7" s="4" t="str">
        <f>REPT("|",Projects[[  ]]*175)</f>
        <v/>
      </c>
      <c r="E7" s="8">
        <f t="array" ref="E7">MIN(IF((Tasks[Project]=Projects[[#This Row],[Project]])*(Tasks[Start]&gt;0),Tasks[Start]))</f>
        <v>40817</v>
      </c>
      <c r="F7" s="8">
        <f t="array" ref="F7">MAX(IF((Tasks[Project]=Projects[[#This Row],[Project]])*(Tasks[Start]&gt;0),Tasks[[Start]:[End]]))</f>
        <v>40831</v>
      </c>
      <c r="G7" s="2"/>
    </row>
    <row r="10" spans="2:7" ht="18" customHeight="1" x14ac:dyDescent="0.3">
      <c r="C10" s="18" t="s">
        <v>44</v>
      </c>
      <c r="D10" s="18"/>
      <c r="E10" s="18"/>
      <c r="F10" s="18"/>
    </row>
  </sheetData>
  <hyperlinks>
    <hyperlink ref="C10:F10" r:id="rId1" display="Dwonload free 500 contract management templates in excel and word "/>
  </hyperlinks>
  <printOptions horizontalCentered="1"/>
  <pageMargins left="0.5" right="0.5" top="0.5" bottom="0.5" header="0.3" footer="0.3"/>
  <pageSetup scale="90" fitToHeight="0" orientation="landscape" r:id="rId2"/>
  <headerFooter>
    <oddFooter>Page &amp;P of &amp;N</oddFooter>
  </headerFooter>
  <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0.499984740745262"/>
    <pageSetUpPr fitToPage="1"/>
  </sheetPr>
  <dimension ref="B1:G21"/>
  <sheetViews>
    <sheetView showGridLines="0" zoomScaleNormal="100" workbookViewId="0"/>
  </sheetViews>
  <sheetFormatPr defaultRowHeight="18" customHeight="1" x14ac:dyDescent="0.3"/>
  <cols>
    <col min="1" max="1" width="3.85546875" customWidth="1"/>
    <col min="2" max="3" width="15" customWidth="1"/>
    <col min="4" max="4" width="33" customWidth="1"/>
    <col min="5" max="5" width="42.140625" bestFit="1" customWidth="1"/>
    <col min="6" max="6" width="9.85546875" customWidth="1"/>
    <col min="7" max="7" width="40.7109375" customWidth="1"/>
    <col min="8" max="8" width="3.85546875" customWidth="1"/>
  </cols>
  <sheetData>
    <row r="1" spans="2:7" ht="52.5" customHeight="1" x14ac:dyDescent="0.3">
      <c r="B1" s="1" t="s">
        <v>25</v>
      </c>
    </row>
    <row r="3" spans="2:7" ht="18" customHeight="1" x14ac:dyDescent="0.3">
      <c r="B3" s="15" t="s">
        <v>3</v>
      </c>
      <c r="C3" s="15" t="s">
        <v>4</v>
      </c>
      <c r="D3" s="16" t="s">
        <v>0</v>
      </c>
      <c r="E3" s="16" t="s">
        <v>1</v>
      </c>
      <c r="F3" s="13" t="s">
        <v>2</v>
      </c>
      <c r="G3" s="16" t="s">
        <v>27</v>
      </c>
    </row>
    <row r="4" spans="2:7" ht="18" customHeight="1" x14ac:dyDescent="0.3">
      <c r="B4" s="8">
        <v>40817</v>
      </c>
      <c r="C4" s="8">
        <v>40831</v>
      </c>
      <c r="D4" s="17" t="s">
        <v>5</v>
      </c>
      <c r="E4" s="7" t="s">
        <v>30</v>
      </c>
      <c r="F4" s="9">
        <v>1</v>
      </c>
      <c r="G4" s="7" t="s">
        <v>34</v>
      </c>
    </row>
    <row r="5" spans="2:7" ht="18" customHeight="1" x14ac:dyDescent="0.3">
      <c r="B5" s="8">
        <v>40831</v>
      </c>
      <c r="C5" s="8">
        <v>40908</v>
      </c>
      <c r="D5" s="17" t="s">
        <v>5</v>
      </c>
      <c r="E5" s="7" t="s">
        <v>31</v>
      </c>
      <c r="F5" s="9"/>
      <c r="G5" s="7"/>
    </row>
    <row r="6" spans="2:7" ht="18" customHeight="1" x14ac:dyDescent="0.3">
      <c r="B6" s="8">
        <v>40831</v>
      </c>
      <c r="C6" s="8"/>
      <c r="D6" s="17" t="s">
        <v>5</v>
      </c>
      <c r="E6" s="7" t="s">
        <v>6</v>
      </c>
      <c r="F6" s="9"/>
      <c r="G6" s="7"/>
    </row>
    <row r="7" spans="2:7" ht="18" customHeight="1" x14ac:dyDescent="0.3">
      <c r="B7" s="8">
        <v>40831</v>
      </c>
      <c r="C7" s="8">
        <v>40836</v>
      </c>
      <c r="D7" s="17" t="s">
        <v>5</v>
      </c>
      <c r="E7" s="7" t="s">
        <v>7</v>
      </c>
      <c r="F7" s="9">
        <v>1</v>
      </c>
      <c r="G7" s="7"/>
    </row>
    <row r="8" spans="2:7" ht="18" customHeight="1" x14ac:dyDescent="0.3">
      <c r="B8" s="8">
        <v>40836</v>
      </c>
      <c r="C8" s="8"/>
      <c r="D8" s="17" t="s">
        <v>5</v>
      </c>
      <c r="E8" s="7" t="s">
        <v>32</v>
      </c>
      <c r="F8" s="9">
        <v>1</v>
      </c>
      <c r="G8" s="7" t="s">
        <v>13</v>
      </c>
    </row>
    <row r="9" spans="2:7" ht="18" customHeight="1" x14ac:dyDescent="0.3">
      <c r="B9" s="8">
        <v>40836</v>
      </c>
      <c r="C9" s="8">
        <v>40862</v>
      </c>
      <c r="D9" s="17" t="s">
        <v>5</v>
      </c>
      <c r="E9" s="7" t="s">
        <v>8</v>
      </c>
      <c r="F9" s="9"/>
      <c r="G9" s="7" t="s">
        <v>9</v>
      </c>
    </row>
    <row r="10" spans="2:7" ht="18" customHeight="1" x14ac:dyDescent="0.3">
      <c r="B10" s="8">
        <v>40787</v>
      </c>
      <c r="C10" s="8">
        <v>40816</v>
      </c>
      <c r="D10" s="17" t="s">
        <v>35</v>
      </c>
      <c r="E10" s="7" t="s">
        <v>11</v>
      </c>
      <c r="F10" s="9">
        <v>1</v>
      </c>
      <c r="G10" s="7" t="s">
        <v>10</v>
      </c>
    </row>
    <row r="11" spans="2:7" ht="18" customHeight="1" x14ac:dyDescent="0.3">
      <c r="B11" s="8">
        <v>40817</v>
      </c>
      <c r="C11" s="8">
        <v>40847</v>
      </c>
      <c r="D11" s="17" t="s">
        <v>35</v>
      </c>
      <c r="E11" s="7" t="s">
        <v>12</v>
      </c>
      <c r="F11" s="9">
        <v>1</v>
      </c>
      <c r="G11" s="7"/>
    </row>
    <row r="12" spans="2:7" ht="18" customHeight="1" x14ac:dyDescent="0.3">
      <c r="B12" s="8">
        <v>40848</v>
      </c>
      <c r="C12" s="8">
        <v>40877</v>
      </c>
      <c r="D12" s="17" t="s">
        <v>35</v>
      </c>
      <c r="E12" s="7" t="s">
        <v>14</v>
      </c>
      <c r="F12" s="9"/>
      <c r="G12" s="7"/>
    </row>
    <row r="13" spans="2:7" ht="18" customHeight="1" x14ac:dyDescent="0.3">
      <c r="B13" s="8">
        <v>40878</v>
      </c>
      <c r="C13" s="8">
        <v>41014</v>
      </c>
      <c r="D13" s="17" t="s">
        <v>35</v>
      </c>
      <c r="E13" s="7" t="s">
        <v>15</v>
      </c>
      <c r="F13" s="9"/>
      <c r="G13" s="7"/>
    </row>
    <row r="14" spans="2:7" ht="18" customHeight="1" x14ac:dyDescent="0.3">
      <c r="B14" s="8">
        <v>41015</v>
      </c>
      <c r="C14" s="8"/>
      <c r="D14" s="17" t="s">
        <v>35</v>
      </c>
      <c r="E14" s="7" t="s">
        <v>36</v>
      </c>
      <c r="F14" s="9"/>
      <c r="G14" s="7"/>
    </row>
    <row r="15" spans="2:7" ht="18" customHeight="1" x14ac:dyDescent="0.3">
      <c r="B15" s="8">
        <v>41015</v>
      </c>
      <c r="C15" s="8">
        <v>41016</v>
      </c>
      <c r="D15" s="17" t="s">
        <v>35</v>
      </c>
      <c r="E15" s="7" t="s">
        <v>33</v>
      </c>
      <c r="F15" s="9"/>
      <c r="G15" s="7" t="s">
        <v>16</v>
      </c>
    </row>
    <row r="16" spans="2:7" ht="18" customHeight="1" x14ac:dyDescent="0.3">
      <c r="B16" s="8">
        <v>41017</v>
      </c>
      <c r="C16" s="8"/>
      <c r="D16" s="17" t="s">
        <v>35</v>
      </c>
      <c r="E16" s="7" t="s">
        <v>17</v>
      </c>
      <c r="F16" s="9"/>
      <c r="G16" s="7" t="s">
        <v>18</v>
      </c>
    </row>
    <row r="17" spans="2:7" ht="18" customHeight="1" x14ac:dyDescent="0.3">
      <c r="B17" s="8">
        <v>40796</v>
      </c>
      <c r="C17" s="8"/>
      <c r="D17" s="17" t="s">
        <v>43</v>
      </c>
      <c r="E17" s="7" t="s">
        <v>37</v>
      </c>
      <c r="F17" s="9">
        <v>1</v>
      </c>
      <c r="G17" s="7" t="s">
        <v>19</v>
      </c>
    </row>
    <row r="18" spans="2:7" ht="18" customHeight="1" x14ac:dyDescent="0.3">
      <c r="B18" s="8">
        <v>40806</v>
      </c>
      <c r="C18" s="8"/>
      <c r="D18" s="17" t="s">
        <v>43</v>
      </c>
      <c r="E18" s="7" t="s">
        <v>20</v>
      </c>
      <c r="F18" s="9">
        <v>1</v>
      </c>
      <c r="G18" s="7"/>
    </row>
    <row r="19" spans="2:7" ht="18" customHeight="1" x14ac:dyDescent="0.3">
      <c r="B19" s="8">
        <v>40808</v>
      </c>
      <c r="C19" s="8"/>
      <c r="D19" s="17" t="s">
        <v>43</v>
      </c>
      <c r="E19" s="7" t="s">
        <v>21</v>
      </c>
      <c r="F19" s="9">
        <v>1</v>
      </c>
      <c r="G19" s="7"/>
    </row>
    <row r="20" spans="2:7" ht="18" customHeight="1" x14ac:dyDescent="0.3">
      <c r="B20" s="8">
        <v>40819</v>
      </c>
      <c r="C20" s="8"/>
      <c r="D20" s="17" t="s">
        <v>43</v>
      </c>
      <c r="E20" s="7" t="s">
        <v>38</v>
      </c>
      <c r="F20" s="9">
        <v>1</v>
      </c>
      <c r="G20" s="7" t="s">
        <v>22</v>
      </c>
    </row>
    <row r="21" spans="2:7" ht="18" customHeight="1" x14ac:dyDescent="0.3">
      <c r="B21" s="8">
        <v>40817</v>
      </c>
      <c r="C21" s="8">
        <v>40831</v>
      </c>
      <c r="D21" s="17" t="s">
        <v>26</v>
      </c>
      <c r="E21" s="7" t="s">
        <v>41</v>
      </c>
      <c r="F21" s="10"/>
      <c r="G21" s="7"/>
    </row>
  </sheetData>
  <dataValidations count="1">
    <dataValidation type="list" errorStyle="warning" allowBlank="1" showInputMessage="1" showErrorMessage="1" errorTitle="Whoops!" error="This project is unknown. You can click Yes and use what you typed anyway but it won't show up in the project overview unless you add it to the list on Projects Overview sheet." sqref="D4:D21">
      <formula1>ProjectList</formula1>
    </dataValidation>
  </dataValidations>
  <printOptions horizontalCentered="1"/>
  <pageMargins left="0.5" right="0.5" top="0.5" bottom="0.5" header="0.3" footer="0.3"/>
  <pageSetup scale="89" fitToHeight="0" orientation="landscape" r:id="rId1"/>
  <headerFooter>
    <oddFooter>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6" id="{CDDC0642-D70E-42D1-A353-7C947DFC3389}">
            <x14:iconSet iconSet="3Symbols2" showValue="0" custom="1">
              <x14:cfvo type="percent">
                <xm:f>0</xm:f>
              </x14:cfvo>
              <x14:cfvo type="num">
                <xm:f>0</xm:f>
              </x14:cfvo>
              <x14:cfvo type="num">
                <xm:f>0</xm:f>
              </x14:cfvo>
              <x14:cfIcon iconSet="NoIcons" iconId="0"/>
              <x14:cfIcon iconSet="NoIcons" iconId="0"/>
              <x14:cfIcon iconSet="3Symbols2" iconId="2"/>
            </x14:iconSet>
          </x14:cfRule>
          <xm:sqref>F4:F21</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E4FEE221-42CE-4499-AA86-34AC294DC78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Projects Overview</vt:lpstr>
      <vt:lpstr>Task Details</vt:lpstr>
      <vt:lpstr>'Projects Overview'!Print_Titles</vt:lpstr>
      <vt:lpstr>'Task Details'!Print_Titles</vt:lpstr>
      <vt:lpstr>ProjectList</vt:lpstr>
      <vt:lpstr>ProjectStart</vt:lpstr>
    </vt:vector>
  </TitlesOfParts>
  <Manager>Yosif Limited</Manager>
  <Company>Yosif Limited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keywords/>
  <cp:lastModifiedBy>Windows User</cp:lastModifiedBy>
  <dcterms:modified xsi:type="dcterms:W3CDTF">2021-07-04T23:16:07Z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TC029300289991</vt:lpwstr>
  </property>
</Properties>
</file>