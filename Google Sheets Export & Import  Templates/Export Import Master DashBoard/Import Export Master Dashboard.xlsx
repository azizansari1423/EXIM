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</sheets>
  <definedNames/>
  <calcPr/>
  <extLst>
    <ext uri="GoogleSheetsCustomDataVersion2">
      <go:sheetsCustomData xmlns:go="http://customooxmlschemas.google.com/" r:id="rId5" roundtripDataChecksum="mu6kEVkIjYX85dtHAx+w7iAymzGAqhMWbdy1OCR5Z2E="/>
    </ext>
  </extLst>
</workbook>
</file>

<file path=xl/sharedStrings.xml><?xml version="1.0" encoding="utf-8"?>
<sst xmlns="http://schemas.openxmlformats.org/spreadsheetml/2006/main" count="42" uniqueCount="26">
  <si>
    <t>Name</t>
  </si>
  <si>
    <t>Market Capitalization in INR Crores</t>
  </si>
  <si>
    <t>P/E Ratio</t>
  </si>
  <si>
    <t>P/ B Ratio</t>
  </si>
  <si>
    <t>Dividend Yield %</t>
  </si>
  <si>
    <t>ROCE %</t>
  </si>
  <si>
    <t>ROA%</t>
  </si>
  <si>
    <t>ROE %</t>
  </si>
  <si>
    <t xml:space="preserve">EPS </t>
  </si>
  <si>
    <t>Price / Sales</t>
  </si>
  <si>
    <t>Price/ FCF</t>
  </si>
  <si>
    <t>Titan Company</t>
  </si>
  <si>
    <t>Rajesh Exports</t>
  </si>
  <si>
    <t>Vaibhav Global</t>
  </si>
  <si>
    <t>Asian Star Co.</t>
  </si>
  <si>
    <t>Thangamayil Jew.</t>
  </si>
  <si>
    <t xml:space="preserve">Average </t>
  </si>
  <si>
    <t>Return on Capital Employed (ROCE%)</t>
  </si>
  <si>
    <t>Price to Earnings Ratio</t>
  </si>
  <si>
    <t>Return on Assets (ROA%)</t>
  </si>
  <si>
    <t>Price to Book Value Ratio</t>
  </si>
  <si>
    <t>Price to Free Cash Flow Ratio</t>
  </si>
  <si>
    <t>Dividend Yield Ratio</t>
  </si>
  <si>
    <t>Earnings Per Share (EPS)</t>
  </si>
  <si>
    <t>Price/Sales (P/S)</t>
  </si>
  <si>
    <t>Return on Equity (ROE)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</si>
</sst>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Calibri"/>
    </font>
    <font>
      <sz val="11.0"/>
      <color theme="1"/>
      <name val="Calibri"/>
    </font>
    <font>
      <b/>
      <sz val="18.0"/>
      <color theme="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002060"/>
        <bgColor rgb="FF002060"/>
      </patternFill>
    </fill>
    <fill>
      <patternFill patternType="solid">
        <fgColor rgb="FFF7CAAC"/>
        <bgColor rgb="FFF7CAAC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2" fillId="3" fontId="2" numFmtId="0" xfId="0" applyAlignment="1" applyBorder="1" applyFill="1" applyFont="1">
      <alignment horizontal="center"/>
    </xf>
    <xf borderId="3" fillId="0" fontId="2" numFmtId="0" xfId="0" applyBorder="1" applyFont="1"/>
    <xf borderId="3" fillId="0" fontId="2" numFmtId="0" xfId="0" applyAlignment="1" applyBorder="1" applyFont="1">
      <alignment horizontal="center"/>
    </xf>
    <xf borderId="2" fillId="3" fontId="2" numFmtId="0" xfId="0" applyBorder="1" applyFont="1"/>
    <xf borderId="4" fillId="0" fontId="2" numFmtId="0" xfId="0" applyBorder="1" applyFont="1"/>
    <xf borderId="4" fillId="0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center"/>
    </xf>
    <xf borderId="0" fillId="0" fontId="2" numFmtId="2" xfId="0" applyFont="1" applyNumberFormat="1"/>
    <xf borderId="5" fillId="3" fontId="3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919685731065149"/>
          <c:y val="0.02442801081069946"/>
          <c:w val="0.9215181819596785"/>
          <c:h val="0.9112039122771479"/>
        </c:manualLayout>
      </c:layout>
      <c:barChart>
        <c:barDir val="col"/>
        <c:ser>
          <c:idx val="0"/>
          <c:order val="0"/>
          <c:tx>
            <c:v>Market Capitalization in INR Crores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Dashboard!$A$2:$A$6</c:f>
            </c:strRef>
          </c:cat>
          <c:val>
            <c:numRef>
              <c:f>Dashboard!$B$2:$B$6</c:f>
              <c:numCache/>
            </c:numRef>
          </c:val>
        </c:ser>
        <c:axId val="2126326521"/>
        <c:axId val="393031183"/>
      </c:barChart>
      <c:lineChart>
        <c:varyColors val="0"/>
        <c:ser>
          <c:idx val="1"/>
          <c:order val="1"/>
          <c:tx>
            <c:v>Average 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Dashboard!$A$2:$A$6</c:f>
            </c:strRef>
          </c:cat>
          <c:val>
            <c:numRef>
              <c:f>Dashboard!$B$10:$B$13</c:f>
              <c:numCache/>
            </c:numRef>
          </c:val>
          <c:smooth val="1"/>
        </c:ser>
        <c:axId val="2126326521"/>
        <c:axId val="393031183"/>
      </c:lineChart>
      <c:catAx>
        <c:axId val="2126326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393031183"/>
      </c:catAx>
      <c:valAx>
        <c:axId val="3930311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212632652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Market Capitalization in INR Crores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Dashboard!$A$2:$A$6</c:f>
            </c:strRef>
          </c:cat>
          <c:val>
            <c:numRef>
              <c:f>Dashboard!$C$2:$C$6</c:f>
              <c:numCache/>
            </c:numRef>
          </c:val>
        </c:ser>
        <c:axId val="810534479"/>
        <c:axId val="1030166214"/>
      </c:barChart>
      <c:lineChart>
        <c:varyColors val="0"/>
        <c:ser>
          <c:idx val="1"/>
          <c:order val="1"/>
          <c:tx>
            <c:v>Average </c:v>
          </c:tx>
          <c:spPr>
            <a:ln cmpd="sng" w="28575">
              <a:solidFill>
                <a:srgbClr val="0070C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Dashboard!$A$2:$A$6</c:f>
            </c:strRef>
          </c:cat>
          <c:val>
            <c:numRef>
              <c:f>Dashboard!$C$9:$C$13</c:f>
              <c:numCache/>
            </c:numRef>
          </c:val>
          <c:smooth val="1"/>
        </c:ser>
        <c:axId val="810534479"/>
        <c:axId val="1030166214"/>
      </c:lineChart>
      <c:catAx>
        <c:axId val="810534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1030166214"/>
      </c:catAx>
      <c:valAx>
        <c:axId val="103016621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81053447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P/ B Ratio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Dashboard!$A$2:$A$6</c:f>
            </c:strRef>
          </c:cat>
          <c:val>
            <c:numRef>
              <c:f>Dashboard!$D$2:$D$6</c:f>
              <c:numCache/>
            </c:numRef>
          </c:val>
        </c:ser>
        <c:axId val="2028930491"/>
        <c:axId val="1703400113"/>
      </c:barChart>
      <c:lineChart>
        <c:varyColors val="0"/>
        <c:ser>
          <c:idx val="1"/>
          <c:order val="1"/>
          <c:tx>
            <c:v>Average 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Dashboard!$A$2:$A$6</c:f>
            </c:strRef>
          </c:cat>
          <c:val>
            <c:numRef>
              <c:f>Dashboard!$D$10:$D$13</c:f>
              <c:numCache/>
            </c:numRef>
          </c:val>
          <c:smooth val="1"/>
        </c:ser>
        <c:axId val="2028930491"/>
        <c:axId val="1703400113"/>
      </c:lineChart>
      <c:catAx>
        <c:axId val="2028930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1703400113"/>
      </c:catAx>
      <c:valAx>
        <c:axId val="170340011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202893049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Dividend Yield %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Dashboard!$A$2:$A$6</c:f>
            </c:strRef>
          </c:cat>
          <c:val>
            <c:numRef>
              <c:f>Dashboard!$E$2:$E$6</c:f>
              <c:numCache/>
            </c:numRef>
          </c:val>
        </c:ser>
        <c:axId val="845558738"/>
        <c:axId val="364356898"/>
      </c:barChart>
      <c:lineChart>
        <c:varyColors val="0"/>
        <c:ser>
          <c:idx val="1"/>
          <c:order val="1"/>
          <c:tx>
            <c:v>Average </c:v>
          </c:tx>
          <c:spPr>
            <a:ln cmpd="sng" w="28575">
              <a:solidFill>
                <a:srgbClr val="0070C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Dashboard!$A$2:$A$6</c:f>
            </c:strRef>
          </c:cat>
          <c:val>
            <c:numRef>
              <c:f>Dashboard!$E$10:$E$13</c:f>
              <c:numCache/>
            </c:numRef>
          </c:val>
          <c:smooth val="1"/>
        </c:ser>
        <c:axId val="845558738"/>
        <c:axId val="364356898"/>
      </c:lineChart>
      <c:catAx>
        <c:axId val="845558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364356898"/>
      </c:catAx>
      <c:valAx>
        <c:axId val="36435689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845558738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ROCE %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Dashboard!$A$2:$A$6</c:f>
            </c:strRef>
          </c:cat>
          <c:val>
            <c:numRef>
              <c:f>Dashboard!$F$2:$F$6</c:f>
              <c:numCache/>
            </c:numRef>
          </c:val>
        </c:ser>
        <c:axId val="914251692"/>
        <c:axId val="1234818618"/>
      </c:barChart>
      <c:lineChart>
        <c:varyColors val="0"/>
        <c:ser>
          <c:idx val="1"/>
          <c:order val="1"/>
          <c:tx>
            <c:v>Average </c:v>
          </c:tx>
          <c:spPr>
            <a:ln cmpd="sng" w="28575">
              <a:solidFill>
                <a:srgbClr val="00206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Dashboard!$A$2:$A$6</c:f>
            </c:strRef>
          </c:cat>
          <c:val>
            <c:numRef>
              <c:f>Dashboard!$F$10:$F$13</c:f>
              <c:numCache/>
            </c:numRef>
          </c:val>
          <c:smooth val="1"/>
        </c:ser>
        <c:axId val="914251692"/>
        <c:axId val="1234818618"/>
      </c:lineChart>
      <c:catAx>
        <c:axId val="914251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1234818618"/>
      </c:catAx>
      <c:valAx>
        <c:axId val="12348186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914251692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ROCE %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Dashboard!$A$2:$A$6</c:f>
            </c:strRef>
          </c:cat>
          <c:val>
            <c:numRef>
              <c:f>Dashboard!$F$2:$F$6</c:f>
              <c:numCache/>
            </c:numRef>
          </c:val>
        </c:ser>
        <c:axId val="1927220212"/>
        <c:axId val="1941148037"/>
      </c:barChart>
      <c:lineChart>
        <c:varyColors val="0"/>
        <c:ser>
          <c:idx val="1"/>
          <c:order val="1"/>
          <c:tx>
            <c:v>Average </c:v>
          </c:tx>
          <c:spPr>
            <a:ln cmpd="sng" w="28575">
              <a:solidFill>
                <a:srgbClr val="00206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Dashboard!$A$2:$A$6</c:f>
            </c:strRef>
          </c:cat>
          <c:val>
            <c:numRef>
              <c:f>Dashboard!$F$10:$F$13</c:f>
              <c:numCache/>
            </c:numRef>
          </c:val>
          <c:smooth val="1"/>
        </c:ser>
        <c:axId val="1927220212"/>
        <c:axId val="1941148037"/>
      </c:lineChart>
      <c:catAx>
        <c:axId val="1927220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1941148037"/>
      </c:catAx>
      <c:valAx>
        <c:axId val="194114803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1927220212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ROE %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Dashboard!$A$2:$A$6</c:f>
            </c:strRef>
          </c:cat>
          <c:val>
            <c:numRef>
              <c:f>Dashboard!$H$2:$H$6</c:f>
              <c:numCache/>
            </c:numRef>
          </c:val>
        </c:ser>
        <c:axId val="1657879556"/>
        <c:axId val="1227800769"/>
      </c:barChart>
      <c:lineChart>
        <c:varyColors val="0"/>
        <c:ser>
          <c:idx val="1"/>
          <c:order val="1"/>
          <c:tx>
            <c:v>Average 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Dashboard!$A$2:$A$6</c:f>
            </c:strRef>
          </c:cat>
          <c:val>
            <c:numRef>
              <c:f>Dashboard!$H$10:$H$13</c:f>
              <c:numCache/>
            </c:numRef>
          </c:val>
          <c:smooth val="1"/>
        </c:ser>
        <c:axId val="1657879556"/>
        <c:axId val="1227800769"/>
      </c:lineChart>
      <c:catAx>
        <c:axId val="1657879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1227800769"/>
      </c:catAx>
      <c:valAx>
        <c:axId val="12278007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1657879556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EPS 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Dashboard!$A$2:$A$6</c:f>
            </c:strRef>
          </c:cat>
          <c:val>
            <c:numRef>
              <c:f>Dashboard!$I$2:$I$6</c:f>
              <c:numCache/>
            </c:numRef>
          </c:val>
        </c:ser>
        <c:axId val="594472480"/>
        <c:axId val="1210412438"/>
      </c:barChart>
      <c:lineChart>
        <c:varyColors val="0"/>
        <c:ser>
          <c:idx val="1"/>
          <c:order val="1"/>
          <c:tx>
            <c:v>Average 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Dashboard!$A$2:$A$6</c:f>
            </c:strRef>
          </c:cat>
          <c:val>
            <c:numRef>
              <c:f>Dashboard!$I$10:$I$13</c:f>
              <c:numCache/>
            </c:numRef>
          </c:val>
          <c:smooth val="1"/>
        </c:ser>
        <c:axId val="594472480"/>
        <c:axId val="1210412438"/>
      </c:lineChart>
      <c:catAx>
        <c:axId val="594472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1210412438"/>
      </c:catAx>
      <c:valAx>
        <c:axId val="121041243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594472480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Price / Sales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Dashboard!$A$2:$A$6</c:f>
            </c:strRef>
          </c:cat>
          <c:val>
            <c:numRef>
              <c:f>Dashboard!$J$2:$J$6</c:f>
              <c:numCache/>
            </c:numRef>
          </c:val>
        </c:ser>
        <c:axId val="532563684"/>
        <c:axId val="869388610"/>
      </c:barChart>
      <c:lineChart>
        <c:varyColors val="0"/>
        <c:ser>
          <c:idx val="1"/>
          <c:order val="1"/>
          <c:tx>
            <c:v>Average 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Dashboard!$A$2:$A$6</c:f>
            </c:strRef>
          </c:cat>
          <c:val>
            <c:numRef>
              <c:f>Dashboard!$J$10:$J$13</c:f>
              <c:numCache/>
            </c:numRef>
          </c:val>
          <c:smooth val="1"/>
        </c:ser>
        <c:axId val="532563684"/>
        <c:axId val="869388610"/>
      </c:lineChart>
      <c:catAx>
        <c:axId val="532563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869388610"/>
      </c:catAx>
      <c:valAx>
        <c:axId val="8693886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532563684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591026722957493"/>
          <c:y val="0.014904814937115004"/>
          <c:w val="0.950831322268777"/>
          <c:h val="0.9012893270546872"/>
        </c:manualLayout>
      </c:layout>
      <c:barChart>
        <c:barDir val="col"/>
        <c:ser>
          <c:idx val="0"/>
          <c:order val="0"/>
          <c:tx>
            <c:v>Price/ FCF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Dashboard!$A$2:$A$6</c:f>
            </c:strRef>
          </c:cat>
          <c:val>
            <c:numRef>
              <c:f>Dashboard!$K$2:$K$6</c:f>
              <c:numCache/>
            </c:numRef>
          </c:val>
        </c:ser>
        <c:axId val="1956349654"/>
        <c:axId val="1623854848"/>
      </c:barChart>
      <c:lineChart>
        <c:varyColors val="0"/>
        <c:ser>
          <c:idx val="1"/>
          <c:order val="1"/>
          <c:tx>
            <c:v>Average 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Dashboard!$A$2:$A$6</c:f>
            </c:strRef>
          </c:cat>
          <c:val>
            <c:numRef>
              <c:f>Dashboard!$K$10:$K$13</c:f>
              <c:numCache/>
            </c:numRef>
          </c:val>
          <c:smooth val="1"/>
        </c:ser>
        <c:axId val="1956349654"/>
        <c:axId val="1623854848"/>
      </c:lineChart>
      <c:catAx>
        <c:axId val="1956349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1623854848"/>
      </c:catAx>
      <c:valAx>
        <c:axId val="1623854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95634965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16</xdr:row>
      <xdr:rowOff>381000</xdr:rowOff>
    </xdr:from>
    <xdr:ext cx="11277600" cy="6267450"/>
    <xdr:graphicFrame>
      <xdr:nvGraphicFramePr>
        <xdr:cNvPr id="77666125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66675</xdr:colOff>
      <xdr:row>55</xdr:row>
      <xdr:rowOff>361950</xdr:rowOff>
    </xdr:from>
    <xdr:ext cx="11258550" cy="6334125"/>
    <xdr:graphicFrame>
      <xdr:nvGraphicFramePr>
        <xdr:cNvPr id="178329052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66675</xdr:colOff>
      <xdr:row>94</xdr:row>
      <xdr:rowOff>428625</xdr:rowOff>
    </xdr:from>
    <xdr:ext cx="11258550" cy="6267450"/>
    <xdr:graphicFrame>
      <xdr:nvGraphicFramePr>
        <xdr:cNvPr id="141303751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66675</xdr:colOff>
      <xdr:row>134</xdr:row>
      <xdr:rowOff>28575</xdr:rowOff>
    </xdr:from>
    <xdr:ext cx="11258550" cy="6267450"/>
    <xdr:graphicFrame>
      <xdr:nvGraphicFramePr>
        <xdr:cNvPr id="213487774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0</xdr:colOff>
      <xdr:row>17</xdr:row>
      <xdr:rowOff>0</xdr:rowOff>
    </xdr:from>
    <xdr:ext cx="11182350" cy="6200775"/>
    <xdr:graphicFrame>
      <xdr:nvGraphicFramePr>
        <xdr:cNvPr id="213914757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0</xdr:colOff>
      <xdr:row>56</xdr:row>
      <xdr:rowOff>9525</xdr:rowOff>
    </xdr:from>
    <xdr:ext cx="11182350" cy="6229350"/>
    <xdr:graphicFrame>
      <xdr:nvGraphicFramePr>
        <xdr:cNvPr id="83868721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12</xdr:col>
      <xdr:colOff>0</xdr:colOff>
      <xdr:row>174</xdr:row>
      <xdr:rowOff>0</xdr:rowOff>
    </xdr:from>
    <xdr:ext cx="11182350" cy="6257925"/>
    <xdr:graphicFrame>
      <xdr:nvGraphicFramePr>
        <xdr:cNvPr id="29125765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13</xdr:col>
      <xdr:colOff>9525</xdr:colOff>
      <xdr:row>134</xdr:row>
      <xdr:rowOff>19050</xdr:rowOff>
    </xdr:from>
    <xdr:ext cx="11001375" cy="6229350"/>
    <xdr:graphicFrame>
      <xdr:nvGraphicFramePr>
        <xdr:cNvPr id="80433641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66675</xdr:colOff>
      <xdr:row>173</xdr:row>
      <xdr:rowOff>323850</xdr:rowOff>
    </xdr:from>
    <xdr:ext cx="11258550" cy="6267450"/>
    <xdr:graphicFrame>
      <xdr:nvGraphicFramePr>
        <xdr:cNvPr id="29372348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13</xdr:col>
      <xdr:colOff>28575</xdr:colOff>
      <xdr:row>94</xdr:row>
      <xdr:rowOff>447675</xdr:rowOff>
    </xdr:from>
    <xdr:ext cx="10963275" cy="6267450"/>
    <xdr:graphicFrame>
      <xdr:nvGraphicFramePr>
        <xdr:cNvPr id="12236812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29"/>
    <col customWidth="1" min="2" max="10" width="15.71"/>
    <col customWidth="1" min="11" max="11" width="13.14"/>
    <col customWidth="1" min="12" max="12" width="5.0"/>
    <col customWidth="1" hidden="1" min="13" max="13" width="2.71"/>
    <col customWidth="1" min="14" max="14" width="16.71"/>
    <col customWidth="1" min="15" max="15" width="17.29"/>
    <col customWidth="1" min="16" max="31" width="8.71"/>
    <col customWidth="1" min="32" max="32" width="6.29"/>
    <col customWidth="1" min="33" max="33" width="4.71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ht="14.25" customHeight="1">
      <c r="A2" s="4" t="s">
        <v>11</v>
      </c>
      <c r="B2" s="5">
        <v>106414.49</v>
      </c>
      <c r="C2" s="5">
        <v>127.91</v>
      </c>
      <c r="D2" s="5">
        <v>15.96</v>
      </c>
      <c r="E2" s="5">
        <v>0.33</v>
      </c>
      <c r="F2" s="5">
        <v>24.26</v>
      </c>
      <c r="G2" s="5">
        <v>15.7</v>
      </c>
      <c r="H2" s="5">
        <v>23.43</v>
      </c>
      <c r="I2" s="5">
        <v>9.51</v>
      </c>
      <c r="J2" s="5">
        <v>5.95</v>
      </c>
      <c r="K2" s="5">
        <v>-5003.89</v>
      </c>
      <c r="AG2" s="6"/>
    </row>
    <row r="3" ht="14.25" customHeight="1">
      <c r="A3" s="4" t="s">
        <v>12</v>
      </c>
      <c r="B3" s="5">
        <v>13490.43</v>
      </c>
      <c r="C3" s="5">
        <v>12.78</v>
      </c>
      <c r="D3" s="5">
        <v>1.28</v>
      </c>
      <c r="E3" s="5">
        <v>0.0</v>
      </c>
      <c r="F3" s="5">
        <v>9.39</v>
      </c>
      <c r="G3" s="5">
        <v>9.34</v>
      </c>
      <c r="H3" s="5">
        <v>12.45</v>
      </c>
      <c r="I3" s="5">
        <v>35.76</v>
      </c>
      <c r="J3" s="5">
        <v>0.07</v>
      </c>
      <c r="K3" s="5">
        <v>11.33</v>
      </c>
      <c r="AG3" s="6"/>
    </row>
    <row r="4" ht="14.25" customHeight="1">
      <c r="A4" s="4" t="s">
        <v>13</v>
      </c>
      <c r="B4" s="5">
        <v>6195.15</v>
      </c>
      <c r="C4" s="5">
        <v>29.91</v>
      </c>
      <c r="D4" s="5">
        <v>8.25</v>
      </c>
      <c r="E4" s="5">
        <v>0.73</v>
      </c>
      <c r="F4" s="5">
        <v>30.85</v>
      </c>
      <c r="G4" s="5">
        <v>23.47</v>
      </c>
      <c r="H4" s="5">
        <v>26.13</v>
      </c>
      <c r="I4" s="5">
        <v>63.75</v>
      </c>
      <c r="J4" s="5">
        <v>2.95</v>
      </c>
      <c r="K4" s="5">
        <v>47.66</v>
      </c>
      <c r="AG4" s="6"/>
    </row>
    <row r="5" ht="14.25" customHeight="1">
      <c r="A5" s="4" t="s">
        <v>14</v>
      </c>
      <c r="B5" s="5">
        <v>987.9</v>
      </c>
      <c r="C5" s="5">
        <v>26.23</v>
      </c>
      <c r="D5" s="5">
        <v>0.85</v>
      </c>
      <c r="E5" s="5">
        <v>0.24</v>
      </c>
      <c r="F5" s="5">
        <v>5.87</v>
      </c>
      <c r="G5" s="5">
        <v>3.74</v>
      </c>
      <c r="H5" s="5">
        <v>6.05</v>
      </c>
      <c r="I5" s="5">
        <v>24.27</v>
      </c>
      <c r="J5" s="5">
        <v>0.41</v>
      </c>
      <c r="K5" s="5">
        <v>5.99</v>
      </c>
      <c r="AG5" s="6"/>
    </row>
    <row r="6" ht="14.25" customHeight="1">
      <c r="A6" s="7" t="s">
        <v>15</v>
      </c>
      <c r="B6" s="8">
        <v>562.11</v>
      </c>
      <c r="C6" s="8">
        <v>21.28</v>
      </c>
      <c r="D6" s="8">
        <v>2.55</v>
      </c>
      <c r="E6" s="8">
        <v>1.22</v>
      </c>
      <c r="F6" s="8">
        <v>21.28</v>
      </c>
      <c r="G6" s="8">
        <v>10.73</v>
      </c>
      <c r="H6" s="8">
        <v>22.09</v>
      </c>
      <c r="I6" s="8">
        <v>18.94</v>
      </c>
      <c r="J6" s="8">
        <v>0.43</v>
      </c>
      <c r="K6" s="8">
        <v>-34.85</v>
      </c>
      <c r="AG6" s="6"/>
    </row>
    <row r="7" ht="14.25" customHeight="1">
      <c r="AG7" s="6"/>
    </row>
    <row r="8" ht="14.25" customHeight="1">
      <c r="A8" s="9" t="s">
        <v>16</v>
      </c>
      <c r="B8" s="9" t="s">
        <v>1</v>
      </c>
      <c r="C8" s="9" t="s">
        <v>2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9</v>
      </c>
      <c r="K8" s="9" t="s">
        <v>10</v>
      </c>
      <c r="AG8" s="6"/>
    </row>
    <row r="9" ht="14.25" customHeight="1">
      <c r="A9" s="10" t="s">
        <v>16</v>
      </c>
      <c r="B9" s="11">
        <f t="shared" ref="B9:K9" si="1">AVERAGE(B2:B6)</f>
        <v>25530.016</v>
      </c>
      <c r="C9" s="11">
        <f t="shared" si="1"/>
        <v>43.622</v>
      </c>
      <c r="D9" s="11">
        <f t="shared" si="1"/>
        <v>5.778</v>
      </c>
      <c r="E9" s="11">
        <f t="shared" si="1"/>
        <v>0.504</v>
      </c>
      <c r="F9" s="11">
        <f t="shared" si="1"/>
        <v>18.33</v>
      </c>
      <c r="G9" s="11">
        <f t="shared" si="1"/>
        <v>12.596</v>
      </c>
      <c r="H9" s="11">
        <f t="shared" si="1"/>
        <v>18.03</v>
      </c>
      <c r="I9" s="11">
        <f t="shared" si="1"/>
        <v>30.446</v>
      </c>
      <c r="J9" s="11">
        <f t="shared" si="1"/>
        <v>1.962</v>
      </c>
      <c r="K9" s="11">
        <f t="shared" si="1"/>
        <v>-994.752</v>
      </c>
      <c r="AG9" s="6"/>
    </row>
    <row r="10" ht="14.25" customHeight="1">
      <c r="A10" s="10" t="s">
        <v>16</v>
      </c>
      <c r="B10" s="11">
        <f t="shared" ref="B10:K10" si="2">B9</f>
        <v>25530.016</v>
      </c>
      <c r="C10" s="11">
        <f t="shared" si="2"/>
        <v>43.622</v>
      </c>
      <c r="D10" s="11">
        <f t="shared" si="2"/>
        <v>5.778</v>
      </c>
      <c r="E10" s="11">
        <f t="shared" si="2"/>
        <v>0.504</v>
      </c>
      <c r="F10" s="11">
        <f t="shared" si="2"/>
        <v>18.33</v>
      </c>
      <c r="G10" s="11">
        <f t="shared" si="2"/>
        <v>12.596</v>
      </c>
      <c r="H10" s="11">
        <f t="shared" si="2"/>
        <v>18.03</v>
      </c>
      <c r="I10" s="11">
        <f t="shared" si="2"/>
        <v>30.446</v>
      </c>
      <c r="J10" s="11">
        <f t="shared" si="2"/>
        <v>1.962</v>
      </c>
      <c r="K10" s="11">
        <f t="shared" si="2"/>
        <v>-994.752</v>
      </c>
      <c r="AG10" s="6"/>
    </row>
    <row r="11" ht="14.25" customHeight="1">
      <c r="A11" s="10" t="s">
        <v>16</v>
      </c>
      <c r="B11" s="11">
        <f t="shared" ref="B11:K11" si="3">B10</f>
        <v>25530.016</v>
      </c>
      <c r="C11" s="11">
        <f t="shared" si="3"/>
        <v>43.622</v>
      </c>
      <c r="D11" s="11">
        <f t="shared" si="3"/>
        <v>5.778</v>
      </c>
      <c r="E11" s="11">
        <f t="shared" si="3"/>
        <v>0.504</v>
      </c>
      <c r="F11" s="11">
        <f t="shared" si="3"/>
        <v>18.33</v>
      </c>
      <c r="G11" s="11">
        <f t="shared" si="3"/>
        <v>12.596</v>
      </c>
      <c r="H11" s="11">
        <f t="shared" si="3"/>
        <v>18.03</v>
      </c>
      <c r="I11" s="11">
        <f t="shared" si="3"/>
        <v>30.446</v>
      </c>
      <c r="J11" s="11">
        <f t="shared" si="3"/>
        <v>1.962</v>
      </c>
      <c r="K11" s="11">
        <f t="shared" si="3"/>
        <v>-994.752</v>
      </c>
      <c r="AG11" s="6"/>
    </row>
    <row r="12" ht="14.25" customHeight="1">
      <c r="A12" s="10" t="s">
        <v>16</v>
      </c>
      <c r="B12" s="11">
        <f t="shared" ref="B12:K12" si="4">B11</f>
        <v>25530.016</v>
      </c>
      <c r="C12" s="11">
        <f t="shared" si="4"/>
        <v>43.622</v>
      </c>
      <c r="D12" s="11">
        <f t="shared" si="4"/>
        <v>5.778</v>
      </c>
      <c r="E12" s="11">
        <f t="shared" si="4"/>
        <v>0.504</v>
      </c>
      <c r="F12" s="11">
        <f t="shared" si="4"/>
        <v>18.33</v>
      </c>
      <c r="G12" s="11">
        <f t="shared" si="4"/>
        <v>12.596</v>
      </c>
      <c r="H12" s="11">
        <f t="shared" si="4"/>
        <v>18.03</v>
      </c>
      <c r="I12" s="11">
        <f t="shared" si="4"/>
        <v>30.446</v>
      </c>
      <c r="J12" s="11">
        <f t="shared" si="4"/>
        <v>1.962</v>
      </c>
      <c r="K12" s="11">
        <f t="shared" si="4"/>
        <v>-994.752</v>
      </c>
      <c r="AG12" s="6"/>
    </row>
    <row r="13" ht="14.25" customHeight="1">
      <c r="A13" s="10" t="s">
        <v>16</v>
      </c>
      <c r="B13" s="11">
        <f t="shared" ref="B13:K13" si="5">B12</f>
        <v>25530.016</v>
      </c>
      <c r="C13" s="11">
        <f t="shared" si="5"/>
        <v>43.622</v>
      </c>
      <c r="D13" s="11">
        <f t="shared" si="5"/>
        <v>5.778</v>
      </c>
      <c r="E13" s="11">
        <f t="shared" si="5"/>
        <v>0.504</v>
      </c>
      <c r="F13" s="11">
        <f t="shared" si="5"/>
        <v>18.33</v>
      </c>
      <c r="G13" s="11">
        <f t="shared" si="5"/>
        <v>12.596</v>
      </c>
      <c r="H13" s="11">
        <f t="shared" si="5"/>
        <v>18.03</v>
      </c>
      <c r="I13" s="11">
        <f t="shared" si="5"/>
        <v>30.446</v>
      </c>
      <c r="J13" s="11">
        <f t="shared" si="5"/>
        <v>1.962</v>
      </c>
      <c r="K13" s="11">
        <f t="shared" si="5"/>
        <v>-994.752</v>
      </c>
      <c r="AG13" s="6"/>
    </row>
    <row r="14" ht="14.25" customHeight="1">
      <c r="B14" s="12"/>
      <c r="AG14" s="6"/>
    </row>
    <row r="15" ht="14.25" customHeight="1">
      <c r="B15" s="12"/>
      <c r="AG15" s="6"/>
    </row>
    <row r="16" ht="14.25" customHeight="1">
      <c r="B16" s="12"/>
      <c r="AG16" s="6"/>
    </row>
    <row r="17" ht="30.0" customHeight="1">
      <c r="A17" s="13" t="s">
        <v>1</v>
      </c>
      <c r="B17" s="14"/>
      <c r="C17" s="14"/>
      <c r="D17" s="14"/>
      <c r="E17" s="14"/>
      <c r="F17" s="14"/>
      <c r="G17" s="14"/>
      <c r="H17" s="14"/>
      <c r="I17" s="14"/>
      <c r="J17" s="14"/>
      <c r="K17" s="15"/>
      <c r="N17" s="13" t="s">
        <v>17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6"/>
      <c r="AG17" s="6"/>
    </row>
    <row r="18" ht="14.25" customHeight="1">
      <c r="AG18" s="6"/>
    </row>
    <row r="19" ht="14.25" customHeight="1">
      <c r="AG19" s="6"/>
    </row>
    <row r="20" ht="14.25" customHeight="1">
      <c r="AG20" s="6"/>
    </row>
    <row r="21" ht="14.25" customHeight="1">
      <c r="AG21" s="6"/>
    </row>
    <row r="22" ht="14.25" customHeight="1">
      <c r="AG22" s="6"/>
    </row>
    <row r="23" ht="14.25" customHeight="1">
      <c r="AG23" s="6"/>
    </row>
    <row r="24" ht="14.25" customHeight="1">
      <c r="AG24" s="6"/>
    </row>
    <row r="25" ht="14.25" customHeight="1">
      <c r="AG25" s="6"/>
    </row>
    <row r="26" ht="14.25" customHeight="1">
      <c r="AG26" s="6"/>
    </row>
    <row r="27" ht="14.25" customHeight="1">
      <c r="AG27" s="6"/>
    </row>
    <row r="28" ht="14.25" customHeight="1">
      <c r="AG28" s="6"/>
    </row>
    <row r="29" ht="14.25" customHeight="1">
      <c r="AG29" s="6"/>
    </row>
    <row r="30" ht="14.25" customHeight="1">
      <c r="AG30" s="6"/>
    </row>
    <row r="31" ht="14.25" customHeight="1">
      <c r="AG31" s="6"/>
    </row>
    <row r="32" ht="14.25" customHeight="1">
      <c r="AG32" s="6"/>
    </row>
    <row r="33" ht="14.25" customHeight="1">
      <c r="AG33" s="6"/>
    </row>
    <row r="34" ht="14.25" customHeight="1">
      <c r="AG34" s="6"/>
    </row>
    <row r="35" ht="14.25" customHeight="1">
      <c r="AG35" s="6"/>
    </row>
    <row r="36" ht="14.25" customHeight="1">
      <c r="AG36" s="6"/>
    </row>
    <row r="37" ht="14.25" customHeight="1">
      <c r="AG37" s="6"/>
    </row>
    <row r="38" ht="14.25" customHeight="1">
      <c r="AG38" s="6"/>
    </row>
    <row r="39" ht="14.25" customHeight="1">
      <c r="AG39" s="6"/>
    </row>
    <row r="40" ht="14.25" customHeight="1">
      <c r="AG40" s="6"/>
    </row>
    <row r="41" ht="14.25" customHeight="1">
      <c r="AG41" s="6"/>
    </row>
    <row r="42" ht="14.25" customHeight="1">
      <c r="AG42" s="6"/>
    </row>
    <row r="43" ht="14.25" customHeight="1">
      <c r="AG43" s="6"/>
    </row>
    <row r="44" ht="14.25" customHeight="1">
      <c r="AG44" s="6"/>
    </row>
    <row r="45" ht="14.25" customHeight="1">
      <c r="AG45" s="6"/>
    </row>
    <row r="46" ht="14.25" customHeight="1">
      <c r="AG46" s="6"/>
    </row>
    <row r="47" ht="14.25" customHeight="1">
      <c r="AG47" s="6"/>
    </row>
    <row r="48" ht="14.25" customHeight="1">
      <c r="AG48" s="6"/>
    </row>
    <row r="49" ht="14.25" customHeight="1">
      <c r="AG49" s="6"/>
    </row>
    <row r="50" ht="14.25" customHeight="1">
      <c r="AG50" s="6"/>
    </row>
    <row r="51" ht="14.25" customHeight="1">
      <c r="AG51" s="6"/>
    </row>
    <row r="52" ht="14.25" customHeight="1">
      <c r="AG52" s="6"/>
    </row>
    <row r="53" ht="14.25" customHeight="1">
      <c r="AG53" s="6"/>
    </row>
    <row r="54" ht="14.25" customHeight="1">
      <c r="AG54" s="6"/>
    </row>
    <row r="55" ht="14.25" customHeight="1">
      <c r="AG55" s="6"/>
    </row>
    <row r="56" ht="33.75" customHeight="1">
      <c r="A56" s="13" t="s">
        <v>18</v>
      </c>
      <c r="B56" s="14"/>
      <c r="C56" s="14"/>
      <c r="D56" s="14"/>
      <c r="E56" s="14"/>
      <c r="F56" s="14"/>
      <c r="G56" s="14"/>
      <c r="H56" s="14"/>
      <c r="I56" s="14"/>
      <c r="J56" s="14"/>
      <c r="K56" s="15"/>
      <c r="N56" s="13" t="s">
        <v>19</v>
      </c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6"/>
      <c r="AG56" s="6"/>
    </row>
    <row r="57" ht="14.25" customHeight="1">
      <c r="AG57" s="6"/>
    </row>
    <row r="58" ht="14.25" customHeight="1">
      <c r="AG58" s="6"/>
    </row>
    <row r="59" ht="14.25" customHeight="1">
      <c r="AG59" s="6"/>
    </row>
    <row r="60" ht="14.25" customHeight="1">
      <c r="AG60" s="6"/>
    </row>
    <row r="61" ht="14.25" customHeight="1">
      <c r="AG61" s="6"/>
    </row>
    <row r="62" ht="14.25" customHeight="1">
      <c r="AG62" s="6"/>
    </row>
    <row r="63" ht="14.25" customHeight="1">
      <c r="AG63" s="6"/>
    </row>
    <row r="64" ht="14.25" customHeight="1">
      <c r="AG64" s="6"/>
    </row>
    <row r="65" ht="14.25" customHeight="1">
      <c r="AG65" s="6"/>
    </row>
    <row r="66" ht="14.25" customHeight="1">
      <c r="AG66" s="6"/>
    </row>
    <row r="67" ht="14.25" customHeight="1">
      <c r="AG67" s="6"/>
    </row>
    <row r="68" ht="14.25" customHeight="1">
      <c r="AG68" s="6"/>
    </row>
    <row r="69" ht="14.25" customHeight="1">
      <c r="AG69" s="6"/>
    </row>
    <row r="70" ht="14.25" customHeight="1">
      <c r="AG70" s="6"/>
    </row>
    <row r="71" ht="14.25" customHeight="1">
      <c r="AG71" s="6"/>
    </row>
    <row r="72" ht="14.25" customHeight="1">
      <c r="AG72" s="6"/>
    </row>
    <row r="73" ht="14.25" customHeight="1">
      <c r="AG73" s="6"/>
    </row>
    <row r="74" ht="14.25" customHeight="1">
      <c r="AG74" s="6"/>
    </row>
    <row r="75" ht="14.25" customHeight="1">
      <c r="AG75" s="6"/>
    </row>
    <row r="76" ht="14.25" customHeight="1">
      <c r="AG76" s="6"/>
    </row>
    <row r="77" ht="14.25" customHeight="1">
      <c r="AG77" s="6"/>
    </row>
    <row r="78" ht="14.25" customHeight="1">
      <c r="AG78" s="6"/>
    </row>
    <row r="79" ht="14.25" customHeight="1">
      <c r="AG79" s="6"/>
    </row>
    <row r="80" ht="14.25" customHeight="1">
      <c r="AG80" s="6"/>
    </row>
    <row r="81" ht="14.25" customHeight="1">
      <c r="AG81" s="6"/>
    </row>
    <row r="82" ht="14.25" customHeight="1">
      <c r="AG82" s="6"/>
    </row>
    <row r="83" ht="14.25" customHeight="1">
      <c r="AG83" s="6"/>
    </row>
    <row r="84" ht="14.25" customHeight="1">
      <c r="AG84" s="6"/>
    </row>
    <row r="85" ht="14.25" customHeight="1">
      <c r="AG85" s="6"/>
    </row>
    <row r="86" ht="14.25" customHeight="1">
      <c r="AG86" s="6"/>
    </row>
    <row r="87" ht="14.25" customHeight="1">
      <c r="AG87" s="6"/>
    </row>
    <row r="88" ht="14.25" customHeight="1">
      <c r="AG88" s="6"/>
    </row>
    <row r="89" ht="14.25" customHeight="1">
      <c r="AG89" s="6"/>
    </row>
    <row r="90" ht="14.25" customHeight="1">
      <c r="AG90" s="6"/>
    </row>
    <row r="91" ht="14.25" customHeight="1">
      <c r="AG91" s="6"/>
    </row>
    <row r="92" ht="14.25" customHeight="1">
      <c r="AG92" s="6"/>
    </row>
    <row r="93" ht="14.25" customHeight="1">
      <c r="AG93" s="6"/>
    </row>
    <row r="94" ht="14.25" customHeight="1">
      <c r="AG94" s="6"/>
    </row>
    <row r="95" ht="36.75" customHeight="1">
      <c r="A95" s="13" t="s">
        <v>20</v>
      </c>
      <c r="B95" s="14"/>
      <c r="C95" s="14"/>
      <c r="D95" s="14"/>
      <c r="E95" s="14"/>
      <c r="F95" s="14"/>
      <c r="G95" s="14"/>
      <c r="H95" s="14"/>
      <c r="I95" s="14"/>
      <c r="J95" s="14"/>
      <c r="K95" s="15"/>
      <c r="N95" s="13" t="s">
        <v>21</v>
      </c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6"/>
      <c r="AG95" s="6"/>
    </row>
    <row r="96" ht="14.25" customHeight="1">
      <c r="AG96" s="6"/>
    </row>
    <row r="97" ht="14.25" customHeight="1">
      <c r="AG97" s="6"/>
    </row>
    <row r="98" ht="14.25" customHeight="1">
      <c r="AG98" s="6"/>
    </row>
    <row r="99" ht="14.25" customHeight="1">
      <c r="AG99" s="6"/>
    </row>
    <row r="100" ht="14.25" customHeight="1">
      <c r="AG100" s="6"/>
    </row>
    <row r="101" ht="14.25" customHeight="1">
      <c r="AG101" s="6"/>
    </row>
    <row r="102" ht="14.25" customHeight="1">
      <c r="AG102" s="6"/>
    </row>
    <row r="103" ht="14.25" customHeight="1">
      <c r="AG103" s="6"/>
    </row>
    <row r="104" ht="14.25" customHeight="1">
      <c r="AG104" s="6"/>
    </row>
    <row r="105" ht="14.25" customHeight="1">
      <c r="AG105" s="6"/>
    </row>
    <row r="106" ht="14.25" customHeight="1">
      <c r="AG106" s="6"/>
    </row>
    <row r="107" ht="14.25" customHeight="1">
      <c r="AG107" s="6"/>
    </row>
    <row r="108" ht="14.25" customHeight="1">
      <c r="AG108" s="6"/>
    </row>
    <row r="109" ht="14.25" customHeight="1">
      <c r="AG109" s="6"/>
    </row>
    <row r="110" ht="14.25" customHeight="1">
      <c r="AG110" s="6"/>
    </row>
    <row r="111" ht="14.25" customHeight="1">
      <c r="AG111" s="6"/>
    </row>
    <row r="112" ht="14.25" customHeight="1">
      <c r="AG112" s="6"/>
    </row>
    <row r="113" ht="14.25" customHeight="1">
      <c r="AG113" s="6"/>
    </row>
    <row r="114" ht="14.25" customHeight="1">
      <c r="AG114" s="6"/>
    </row>
    <row r="115" ht="14.25" customHeight="1">
      <c r="AG115" s="6"/>
    </row>
    <row r="116" ht="14.25" customHeight="1">
      <c r="AG116" s="6"/>
    </row>
    <row r="117" ht="14.25" customHeight="1">
      <c r="AG117" s="6"/>
    </row>
    <row r="118" ht="14.25" customHeight="1">
      <c r="AG118" s="6"/>
    </row>
    <row r="119" ht="14.25" customHeight="1">
      <c r="AG119" s="6"/>
    </row>
    <row r="120" ht="14.25" customHeight="1">
      <c r="AG120" s="6"/>
    </row>
    <row r="121" ht="14.25" customHeight="1">
      <c r="AG121" s="6"/>
    </row>
    <row r="122" ht="14.25" customHeight="1">
      <c r="AG122" s="6"/>
    </row>
    <row r="123" ht="14.25" customHeight="1">
      <c r="AG123" s="6"/>
    </row>
    <row r="124" ht="14.25" customHeight="1">
      <c r="AG124" s="6"/>
    </row>
    <row r="125" ht="14.25" customHeight="1">
      <c r="AG125" s="6"/>
    </row>
    <row r="126" ht="14.25" customHeight="1">
      <c r="AG126" s="6"/>
    </row>
    <row r="127" ht="14.25" customHeight="1">
      <c r="AG127" s="6"/>
    </row>
    <row r="128" ht="14.25" customHeight="1">
      <c r="AG128" s="6"/>
    </row>
    <row r="129" ht="14.25" customHeight="1">
      <c r="AG129" s="6"/>
    </row>
    <row r="130" ht="14.25" customHeight="1">
      <c r="AG130" s="6"/>
    </row>
    <row r="131" ht="14.25" customHeight="1">
      <c r="AG131" s="6"/>
    </row>
    <row r="132" ht="14.25" customHeight="1">
      <c r="AG132" s="6"/>
    </row>
    <row r="133" ht="14.25" customHeight="1">
      <c r="AG133" s="6"/>
    </row>
    <row r="134" ht="27.75" customHeight="1">
      <c r="A134" s="13" t="s">
        <v>22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5"/>
      <c r="N134" s="13" t="s">
        <v>23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6"/>
      <c r="AG134" s="6"/>
    </row>
    <row r="135" ht="14.25" customHeight="1">
      <c r="AG135" s="6"/>
    </row>
    <row r="136" ht="14.25" customHeight="1">
      <c r="AG136" s="6"/>
    </row>
    <row r="137" ht="14.25" customHeight="1">
      <c r="AG137" s="6"/>
    </row>
    <row r="138" ht="14.25" customHeight="1">
      <c r="AG138" s="6"/>
    </row>
    <row r="139" ht="14.25" customHeight="1">
      <c r="AG139" s="6"/>
    </row>
    <row r="140" ht="14.25" customHeight="1">
      <c r="AG140" s="6"/>
    </row>
    <row r="141" ht="14.25" customHeight="1">
      <c r="AG141" s="6"/>
    </row>
    <row r="142" ht="14.25" customHeight="1">
      <c r="AG142" s="6"/>
    </row>
    <row r="143" ht="14.25" customHeight="1">
      <c r="AG143" s="6"/>
    </row>
    <row r="144" ht="14.25" customHeight="1">
      <c r="AG144" s="6"/>
    </row>
    <row r="145" ht="14.25" customHeight="1">
      <c r="AG145" s="6"/>
    </row>
    <row r="146" ht="14.25" customHeight="1">
      <c r="AG146" s="6"/>
    </row>
    <row r="147" ht="14.25" customHeight="1">
      <c r="AG147" s="6"/>
    </row>
    <row r="148" ht="14.25" customHeight="1">
      <c r="AG148" s="6"/>
    </row>
    <row r="149" ht="14.25" customHeight="1">
      <c r="AG149" s="6"/>
    </row>
    <row r="150" ht="14.25" customHeight="1">
      <c r="AG150" s="6"/>
    </row>
    <row r="151" ht="14.25" customHeight="1">
      <c r="AG151" s="6"/>
    </row>
    <row r="152" ht="14.25" customHeight="1">
      <c r="AG152" s="6"/>
    </row>
    <row r="153" ht="14.25" customHeight="1">
      <c r="AG153" s="6"/>
    </row>
    <row r="154" ht="14.25" customHeight="1">
      <c r="AG154" s="6"/>
    </row>
    <row r="155" ht="14.25" customHeight="1">
      <c r="AG155" s="6"/>
    </row>
    <row r="156" ht="14.25" customHeight="1">
      <c r="AG156" s="6"/>
    </row>
    <row r="157" ht="14.25" customHeight="1">
      <c r="AG157" s="6"/>
    </row>
    <row r="158" ht="14.25" customHeight="1">
      <c r="AG158" s="6"/>
    </row>
    <row r="159" ht="14.25" customHeight="1">
      <c r="AG159" s="6"/>
    </row>
    <row r="160" ht="14.25" customHeight="1">
      <c r="AG160" s="6"/>
    </row>
    <row r="161" ht="14.25" customHeight="1">
      <c r="AG161" s="6"/>
    </row>
    <row r="162" ht="14.25" customHeight="1">
      <c r="AG162" s="6"/>
    </row>
    <row r="163" ht="14.25" customHeight="1">
      <c r="AG163" s="6"/>
    </row>
    <row r="164" ht="14.25" customHeight="1">
      <c r="AG164" s="6"/>
    </row>
    <row r="165" ht="14.25" customHeight="1">
      <c r="AG165" s="6"/>
    </row>
    <row r="166" ht="14.25" customHeight="1">
      <c r="AG166" s="6"/>
    </row>
    <row r="167" ht="14.25" customHeight="1">
      <c r="AG167" s="6"/>
    </row>
    <row r="168" ht="14.25" customHeight="1">
      <c r="AG168" s="6"/>
    </row>
    <row r="169" ht="14.25" customHeight="1">
      <c r="AG169" s="6"/>
    </row>
    <row r="170" ht="14.25" customHeight="1">
      <c r="AG170" s="6"/>
    </row>
    <row r="171" ht="14.25" customHeight="1">
      <c r="AG171" s="6"/>
    </row>
    <row r="172" ht="14.25" customHeight="1">
      <c r="AG172" s="6"/>
    </row>
    <row r="173" ht="14.25" customHeight="1">
      <c r="AG173" s="6"/>
    </row>
    <row r="174" ht="27.0" customHeight="1">
      <c r="A174" s="13" t="s">
        <v>24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5"/>
      <c r="N174" s="13" t="s">
        <v>25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6"/>
      <c r="AG174" s="6"/>
    </row>
    <row r="175" ht="14.25" customHeight="1">
      <c r="AG175" s="6"/>
    </row>
    <row r="176" ht="14.25" customHeight="1">
      <c r="AG176" s="6"/>
    </row>
    <row r="177" ht="14.25" customHeight="1">
      <c r="AG177" s="6"/>
    </row>
    <row r="178" ht="14.25" customHeight="1">
      <c r="AG178" s="6"/>
    </row>
    <row r="179" ht="14.25" customHeight="1">
      <c r="AG179" s="6"/>
    </row>
    <row r="180" ht="14.25" customHeight="1">
      <c r="AG180" s="6"/>
    </row>
    <row r="181" ht="14.25" customHeight="1">
      <c r="AG181" s="6"/>
    </row>
    <row r="182" ht="14.25" customHeight="1">
      <c r="AG182" s="6"/>
    </row>
    <row r="183" ht="14.25" customHeight="1">
      <c r="AG183" s="6"/>
    </row>
    <row r="184" ht="14.25" customHeight="1">
      <c r="AG184" s="6"/>
    </row>
    <row r="185" ht="14.25" customHeight="1">
      <c r="AG185" s="6"/>
    </row>
    <row r="186" ht="14.25" customHeight="1">
      <c r="AG186" s="6"/>
    </row>
    <row r="187" ht="14.25" customHeight="1">
      <c r="AG187" s="6"/>
    </row>
    <row r="188" ht="14.25" customHeight="1">
      <c r="AG188" s="6"/>
    </row>
    <row r="189" ht="14.25" customHeight="1">
      <c r="AG189" s="6"/>
    </row>
    <row r="190" ht="14.25" customHeight="1">
      <c r="AG190" s="6"/>
    </row>
    <row r="191" ht="14.25" customHeight="1">
      <c r="AG191" s="6"/>
    </row>
    <row r="192" ht="14.25" customHeight="1">
      <c r="AG192" s="6"/>
    </row>
    <row r="193" ht="14.25" customHeight="1">
      <c r="AG193" s="6"/>
    </row>
    <row r="194" ht="14.25" customHeight="1">
      <c r="AG194" s="6"/>
    </row>
    <row r="195" ht="14.25" customHeight="1">
      <c r="AG195" s="6"/>
    </row>
    <row r="196" ht="14.25" customHeight="1">
      <c r="AG196" s="6"/>
    </row>
    <row r="197" ht="14.25" customHeight="1">
      <c r="AG197" s="6"/>
    </row>
    <row r="198" ht="14.25" customHeight="1">
      <c r="AG198" s="6"/>
    </row>
    <row r="199" ht="14.25" customHeight="1">
      <c r="AG199" s="6"/>
    </row>
    <row r="200" ht="14.25" customHeight="1">
      <c r="AG200" s="6"/>
    </row>
    <row r="201" ht="14.25" customHeight="1">
      <c r="AG201" s="6"/>
    </row>
    <row r="202" ht="14.25" customHeight="1">
      <c r="AG202" s="6"/>
    </row>
    <row r="203" ht="14.25" customHeight="1">
      <c r="AG203" s="6"/>
    </row>
    <row r="204" ht="14.25" customHeight="1">
      <c r="AG204" s="6"/>
    </row>
    <row r="205" ht="14.25" customHeight="1">
      <c r="AG205" s="6"/>
    </row>
    <row r="206" ht="14.25" customHeight="1">
      <c r="AG206" s="6"/>
    </row>
    <row r="207" ht="14.25" customHeight="1">
      <c r="AG207" s="6"/>
    </row>
    <row r="208" ht="14.25" customHeight="1">
      <c r="AG208" s="6"/>
    </row>
    <row r="209" ht="14.25" customHeight="1">
      <c r="AG209" s="6"/>
    </row>
    <row r="210" ht="14.25" customHeight="1">
      <c r="AG210" s="6"/>
    </row>
    <row r="211" ht="14.25" customHeight="1">
      <c r="AG211" s="6"/>
    </row>
    <row r="212" ht="14.25" customHeight="1">
      <c r="AG212" s="6"/>
    </row>
    <row r="213" ht="27.75" customHeight="1">
      <c r="AG213" s="6"/>
    </row>
    <row r="214" customHeight="1">
      <c r="AG214" s="6"/>
    </row>
    <row r="215" ht="14.25" hidden="1" customHeight="1">
      <c r="AG215" s="6"/>
    </row>
    <row r="216" ht="8.25" hidden="1" customHeight="1">
      <c r="AG216" s="6"/>
    </row>
    <row r="217" ht="14.25" hidden="1" customHeight="1">
      <c r="AG217" s="6"/>
    </row>
    <row r="218" ht="14.25" hidden="1" customHeight="1">
      <c r="AG218" s="6"/>
    </row>
    <row r="219" ht="14.25" hidden="1" customHeight="1">
      <c r="AG219" s="6"/>
    </row>
    <row r="220" ht="14.25" customHeight="1">
      <c r="AG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34:K134"/>
    <mergeCell ref="A174:K174"/>
    <mergeCell ref="N174:AD174"/>
    <mergeCell ref="A17:K17"/>
    <mergeCell ref="N17:AD17"/>
    <mergeCell ref="A56:K56"/>
    <mergeCell ref="N56:AD56"/>
    <mergeCell ref="A95:K95"/>
    <mergeCell ref="N95:AD95"/>
    <mergeCell ref="N134:AD13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