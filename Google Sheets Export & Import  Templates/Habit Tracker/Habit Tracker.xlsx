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6dCstrSMIBDQhInrU+RoQbmWIOMUOgg/CefYghqT/Q="/>
    </ext>
  </extLst>
</workbook>
</file>

<file path=xl/sharedStrings.xml><?xml version="1.0" encoding="utf-8"?>
<sst xmlns="http://schemas.openxmlformats.org/spreadsheetml/2006/main" count="59" uniqueCount="42">
  <si>
    <t>START DATE</t>
  </si>
  <si>
    <t>Habit Tracker</t>
  </si>
  <si>
    <t>Tick</t>
  </si>
  <si>
    <t>%</t>
  </si>
  <si>
    <t>Progress</t>
  </si>
  <si>
    <t>HABITS</t>
  </si>
  <si>
    <t>Wakeup at 5 AM</t>
  </si>
  <si>
    <t>x</t>
  </si>
  <si>
    <t>Go for Jogging</t>
  </si>
  <si>
    <t>Do some exercises</t>
  </si>
  <si>
    <t>Get ready for breakfast</t>
  </si>
  <si>
    <t>Get into Office at 9 AM</t>
  </si>
  <si>
    <t>Open TO-DO List</t>
  </si>
  <si>
    <t>Start Hustling</t>
  </si>
  <si>
    <t>Watch a Seminar</t>
  </si>
  <si>
    <t>Journal writing end of the day</t>
  </si>
  <si>
    <t>Work out for 30 minutes</t>
  </si>
  <si>
    <t>Read 30 minutes</t>
  </si>
  <si>
    <t>Take a 45 minutes walk</t>
  </si>
  <si>
    <t>Weekly Habits</t>
  </si>
  <si>
    <t>WEEK 1</t>
  </si>
  <si>
    <t>WEEK 2</t>
  </si>
  <si>
    <t>WEEK 3</t>
  </si>
  <si>
    <t>WEEK 4</t>
  </si>
  <si>
    <t>No Phone</t>
  </si>
  <si>
    <t>Wake up early</t>
  </si>
  <si>
    <t>Done</t>
  </si>
  <si>
    <t>Sleep</t>
  </si>
  <si>
    <t>Going for a jog</t>
  </si>
  <si>
    <t>Two</t>
  </si>
  <si>
    <t>Avoid Cell Phone</t>
  </si>
  <si>
    <t>Mood Tracker</t>
  </si>
  <si>
    <t>Daily  Mood</t>
  </si>
  <si>
    <t>😊</t>
  </si>
  <si>
    <t>😢</t>
  </si>
  <si>
    <t>Sleep Tracker</t>
  </si>
  <si>
    <t>Days</t>
  </si>
  <si>
    <t>Hours</t>
  </si>
  <si>
    <t>Bedtime</t>
  </si>
  <si>
    <t>😃</t>
  </si>
  <si>
    <t>😡</t>
  </si>
  <si>
    <t>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</si>
</sst>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"/>
  </numFmts>
  <fonts count="21">
    <font>
      <sz val="11.0"/>
      <color theme="1"/>
      <name val="Aptos Narrow"/>
      <scheme val="minor"/>
    </font>
    <font>
      <b/>
      <sz val="20.0"/>
      <color rgb="FFFFFFFF"/>
      <name val="Montserrat"/>
    </font>
    <font/>
    <font>
      <b/>
      <sz val="48.0"/>
      <color rgb="FFFFFFFF"/>
      <name val="Montserrat"/>
    </font>
    <font>
      <b/>
      <sz val="48.0"/>
      <color theme="0"/>
      <name val="Montserrat"/>
    </font>
    <font>
      <sz val="11.0"/>
      <color theme="1"/>
      <name val="Aptos Narrow"/>
    </font>
    <font>
      <sz val="14.0"/>
      <color theme="1"/>
      <name val="Aptos Narrow"/>
    </font>
    <font>
      <b/>
      <sz val="22.0"/>
      <color theme="1"/>
      <name val="Arial"/>
    </font>
    <font>
      <sz val="12.0"/>
      <color theme="1"/>
      <name val="Aptos Narrow"/>
    </font>
    <font>
      <sz val="16.0"/>
      <color theme="1"/>
      <name val="Aptos Narrow"/>
    </font>
    <font>
      <b/>
      <sz val="22.0"/>
      <color rgb="FFFFFFFF"/>
      <name val="Montserrat"/>
    </font>
    <font>
      <b/>
      <sz val="14.0"/>
      <color rgb="FFFFFFFF"/>
      <name val="Montserrat"/>
    </font>
    <font>
      <b/>
      <sz val="18.0"/>
      <color theme="1"/>
      <name val="Aptos Narrow"/>
    </font>
    <font>
      <color theme="1"/>
      <name val="Aptos Narrow"/>
      <scheme val="minor"/>
    </font>
    <font>
      <b/>
      <sz val="18.0"/>
      <color rgb="FFFFFFFF"/>
      <name val="Montserrat"/>
    </font>
    <font>
      <b/>
      <sz val="14.0"/>
      <color theme="1"/>
      <name val="Montserrat"/>
    </font>
    <font>
      <b/>
      <sz val="12.0"/>
      <color theme="1"/>
      <name val="Montserrat"/>
    </font>
    <font>
      <sz val="10.0"/>
      <color theme="1"/>
      <name val="Arial"/>
    </font>
    <font>
      <b/>
      <sz val="10.0"/>
      <color rgb="FF473821"/>
      <name val="Montserrat"/>
    </font>
    <font>
      <b/>
      <sz val="10.0"/>
      <color rgb="FF11734B"/>
      <name val="Montserrat"/>
    </font>
    <font>
      <sz val="11.0"/>
      <color theme="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theme="0"/>
        <bgColor theme="0"/>
      </patternFill>
    </fill>
    <fill>
      <patternFill patternType="solid">
        <fgColor rgb="FF8ED873"/>
        <bgColor rgb="FF8ED873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D9EAD3"/>
        <bgColor rgb="FFD9EAD3"/>
      </patternFill>
    </fill>
  </fills>
  <borders count="63">
    <border/>
    <border>
      <left style="thick">
        <color rgb="FF0C743F"/>
      </left>
      <top style="thick">
        <color rgb="FF0C743F"/>
      </top>
      <bottom style="thick">
        <color rgb="FF0C743F"/>
      </bottom>
    </border>
    <border>
      <right style="medium">
        <color rgb="FFFFFFFF"/>
      </right>
      <top style="thick">
        <color rgb="FF0C743F"/>
      </top>
      <bottom style="thick">
        <color rgb="FF0C743F"/>
      </bottom>
    </border>
    <border>
      <left style="medium">
        <color rgb="FFFFFFFF"/>
      </left>
      <top style="thick">
        <color rgb="FF0C743F"/>
      </top>
      <bottom style="thick">
        <color rgb="FF0C743F"/>
      </bottom>
    </border>
    <border>
      <top style="thick">
        <color rgb="FF0C743F"/>
      </top>
      <bottom style="thick">
        <color rgb="FF0C743F"/>
      </bottom>
    </border>
    <border>
      <right style="thick">
        <color rgb="FF0C743F"/>
      </right>
      <top style="thick">
        <color rgb="FF0C743F"/>
      </top>
      <bottom style="thick">
        <color rgb="FF0C743F"/>
      </bottom>
    </border>
    <border>
      <left style="thick">
        <color rgb="FF0C743F"/>
      </left>
      <top style="thick">
        <color rgb="FF0C743F"/>
      </top>
      <bottom style="thin">
        <color rgb="FF000000"/>
      </bottom>
    </border>
    <border>
      <top style="thick">
        <color rgb="FF0C743F"/>
      </top>
      <bottom style="thin">
        <color rgb="FF000000"/>
      </bottom>
    </border>
    <border>
      <right/>
      <top style="thick">
        <color rgb="FF0C743F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C743F"/>
      </left>
      <top style="thick">
        <color rgb="FF0C743F"/>
      </top>
      <bottom/>
    </border>
    <border>
      <top style="thick">
        <color rgb="FF0C743F"/>
      </top>
      <bottom/>
    </border>
    <border>
      <right/>
      <top style="thick">
        <color rgb="FF0C743F"/>
      </top>
      <bottom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theme="0"/>
      </top>
      <bottom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rgb="FF00000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/>
      <top style="thin">
        <color theme="0"/>
      </top>
      <bottom/>
    </border>
    <border>
      <left/>
      <right style="thin">
        <color rgb="FF00000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</border>
    <border>
      <left/>
      <right/>
      <top style="thin">
        <color theme="0"/>
      </top>
      <bottom style="thin">
        <color theme="0"/>
      </bottom>
    </border>
    <border>
      <left/>
      <right/>
      <top/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/>
      <right/>
      <top/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</border>
    <border>
      <top style="thin">
        <color theme="0"/>
      </top>
    </border>
    <border>
      <left style="medium">
        <color rgb="FFFFFFFF"/>
      </left>
      <top style="medium">
        <color rgb="FFFFFFFF"/>
      </top>
      <bottom style="medium">
        <color rgb="FFCCCCCC"/>
      </bottom>
    </border>
    <border>
      <top style="medium">
        <color rgb="FFFFFFFF"/>
      </top>
      <bottom style="medium">
        <color rgb="FFCCCCCC"/>
      </bottom>
    </border>
    <border>
      <right style="medium">
        <color rgb="FFFFFFFF"/>
      </right>
      <top style="medium">
        <color rgb="FFFFFFFF"/>
      </top>
      <bottom style="medium">
        <color rgb="FFCCCCCC"/>
      </bottom>
    </border>
    <border>
      <left style="medium">
        <color rgb="FFFFFFFF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FFFFFF"/>
      </right>
      <top style="medium">
        <color rgb="FFCCCCCC"/>
      </top>
    </border>
    <border>
      <left style="medium">
        <color rgb="FFCCCCCC"/>
      </left>
    </border>
    <border>
      <right style="medium">
        <color rgb="FFFFFFFF"/>
      </right>
    </border>
    <border>
      <left style="medium">
        <color rgb="FFFFFFFF"/>
      </left>
      <top style="medium">
        <color rgb="FFCCCCCC"/>
      </top>
      <bottom style="medium">
        <color rgb="FFFFFFFF"/>
      </bottom>
    </border>
    <border>
      <right style="medium">
        <color rgb="FFCCCCCC"/>
      </right>
      <top style="medium">
        <color rgb="FFCCCCCC"/>
      </top>
      <bottom style="medium">
        <color rgb="FFFFFFFF"/>
      </bottom>
    </border>
    <border>
      <left style="medium">
        <color rgb="FFCCCCCC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2" fontId="1" numFmtId="15" xfId="0" applyAlignment="1" applyBorder="1" applyFont="1" applyNumberForma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shrinkToFit="0" vertical="center" wrapText="1"/>
    </xf>
    <xf borderId="10" fillId="4" fontId="5" numFmtId="0" xfId="0" applyBorder="1" applyFill="1" applyFont="1"/>
    <xf borderId="10" fillId="4" fontId="6" numFmtId="164" xfId="0" applyAlignment="1" applyBorder="1" applyFont="1" applyNumberFormat="1">
      <alignment horizontal="center" vertical="center"/>
    </xf>
    <xf borderId="10" fillId="4" fontId="6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0" fillId="5" fontId="9" numFmtId="0" xfId="0" applyAlignment="1" applyBorder="1" applyFill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2" fontId="11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1" fillId="2" fontId="11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1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0" fillId="0" fontId="5" numFmtId="0" xfId="0" applyFont="1"/>
    <xf borderId="24" fillId="0" fontId="6" numFmtId="0" xfId="0" applyAlignment="1" applyBorder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0" fillId="0" fontId="5" numFmtId="0" xfId="0" applyAlignment="1" applyFont="1">
      <alignment horizontal="center" vertical="center"/>
    </xf>
    <xf borderId="27" fillId="2" fontId="3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9" fillId="0" fontId="2" numFmtId="0" xfId="0" applyBorder="1" applyFont="1"/>
    <xf borderId="30" fillId="4" fontId="5" numFmtId="0" xfId="0" applyBorder="1" applyFont="1"/>
    <xf borderId="31" fillId="4" fontId="6" numFmtId="164" xfId="0" applyAlignment="1" applyBorder="1" applyFont="1" applyNumberFormat="1">
      <alignment horizontal="center" vertical="center"/>
    </xf>
    <xf borderId="32" fillId="4" fontId="6" numFmtId="164" xfId="0" applyAlignment="1" applyBorder="1" applyFont="1" applyNumberFormat="1">
      <alignment horizontal="center" vertical="center"/>
    </xf>
    <xf borderId="33" fillId="4" fontId="6" numFmtId="164" xfId="0" applyAlignment="1" applyBorder="1" applyFont="1" applyNumberFormat="1">
      <alignment horizontal="center" vertical="center"/>
    </xf>
    <xf borderId="34" fillId="4" fontId="6" numFmtId="164" xfId="0" applyAlignment="1" applyBorder="1" applyFont="1" applyNumberFormat="1">
      <alignment horizontal="center" vertical="center"/>
    </xf>
    <xf borderId="35" fillId="4" fontId="6" numFmtId="164" xfId="0" applyAlignment="1" applyBorder="1" applyFont="1" applyNumberFormat="1">
      <alignment horizontal="center" vertical="center"/>
    </xf>
    <xf borderId="30" fillId="4" fontId="6" numFmtId="164" xfId="0" applyAlignment="1" applyBorder="1" applyFont="1" applyNumberFormat="1">
      <alignment horizontal="center" vertical="center"/>
    </xf>
    <xf borderId="36" fillId="4" fontId="6" numFmtId="164" xfId="0" applyAlignment="1" applyBorder="1" applyFont="1" applyNumberFormat="1">
      <alignment horizontal="center" vertical="center"/>
    </xf>
    <xf borderId="37" fillId="4" fontId="6" numFmtId="164" xfId="0" applyAlignment="1" applyBorder="1" applyFont="1" applyNumberFormat="1">
      <alignment horizontal="center" vertical="center"/>
    </xf>
    <xf borderId="33" fillId="4" fontId="6" numFmtId="0" xfId="0" applyAlignment="1" applyBorder="1" applyFont="1">
      <alignment horizontal="center" vertical="center"/>
    </xf>
    <xf borderId="35" fillId="4" fontId="6" numFmtId="0" xfId="0" applyAlignment="1" applyBorder="1" applyFont="1">
      <alignment horizontal="center" vertical="center"/>
    </xf>
    <xf borderId="38" fillId="4" fontId="6" numFmtId="0" xfId="0" applyAlignment="1" applyBorder="1" applyFont="1">
      <alignment horizontal="center" vertical="center"/>
    </xf>
    <xf borderId="39" fillId="0" fontId="5" numFmtId="0" xfId="0" applyBorder="1" applyFont="1"/>
    <xf borderId="35" fillId="4" fontId="7" numFmtId="0" xfId="0" applyAlignment="1" applyBorder="1" applyFont="1">
      <alignment horizontal="center" vertical="center"/>
    </xf>
    <xf borderId="40" fillId="4" fontId="6" numFmtId="164" xfId="0" applyAlignment="1" applyBorder="1" applyFont="1" applyNumberFormat="1">
      <alignment horizontal="center" vertical="center"/>
    </xf>
    <xf borderId="41" fillId="4" fontId="6" numFmtId="164" xfId="0" applyAlignment="1" applyBorder="1" applyFont="1" applyNumberFormat="1">
      <alignment horizontal="center" vertical="center"/>
    </xf>
    <xf borderId="42" fillId="4" fontId="6" numFmtId="164" xfId="0" applyAlignment="1" applyBorder="1" applyFont="1" applyNumberFormat="1">
      <alignment horizontal="center" vertical="center"/>
    </xf>
    <xf borderId="43" fillId="4" fontId="6" numFmtId="164" xfId="0" applyAlignment="1" applyBorder="1" applyFont="1" applyNumberFormat="1">
      <alignment horizontal="center" vertical="center"/>
    </xf>
    <xf borderId="44" fillId="4" fontId="6" numFmtId="164" xfId="0" applyAlignment="1" applyBorder="1" applyFont="1" applyNumberFormat="1">
      <alignment horizontal="center" vertical="center"/>
    </xf>
    <xf borderId="45" fillId="4" fontId="6" numFmtId="164" xfId="0" applyAlignment="1" applyBorder="1" applyFont="1" applyNumberFormat="1">
      <alignment horizontal="center" vertical="center"/>
    </xf>
    <xf borderId="45" fillId="4" fontId="5" numFmtId="0" xfId="0" applyBorder="1" applyFont="1"/>
    <xf borderId="35" fillId="4" fontId="5" numFmtId="0" xfId="0" applyBorder="1" applyFont="1"/>
    <xf borderId="46" fillId="0" fontId="12" numFmtId="0" xfId="0" applyAlignment="1" applyBorder="1" applyFont="1">
      <alignment horizontal="center" vertical="center"/>
    </xf>
    <xf borderId="0" fillId="0" fontId="13" numFmtId="0" xfId="0" applyFont="1"/>
    <xf borderId="47" fillId="2" fontId="14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50" fillId="6" fontId="15" numFmtId="0" xfId="0" applyAlignment="1" applyBorder="1" applyFill="1" applyFont="1">
      <alignment horizontal="center" shrinkToFit="0" wrapText="1"/>
    </xf>
    <xf borderId="51" fillId="0" fontId="2" numFmtId="0" xfId="0" applyBorder="1" applyFont="1"/>
    <xf borderId="52" fillId="6" fontId="16" numFmtId="164" xfId="0" applyAlignment="1" applyBorder="1" applyFont="1" applyNumberFormat="1">
      <alignment horizontal="center" shrinkToFit="0" wrapText="1"/>
    </xf>
    <xf borderId="53" fillId="7" fontId="17" numFmtId="0" xfId="0" applyAlignment="1" applyBorder="1" applyFill="1" applyFont="1">
      <alignment shrinkToFit="0" wrapText="1"/>
    </xf>
    <xf borderId="54" fillId="0" fontId="2" numFmtId="0" xfId="0" applyBorder="1" applyFont="1"/>
    <xf borderId="55" fillId="0" fontId="2" numFmtId="0" xfId="0" applyBorder="1" applyFont="1"/>
    <xf borderId="52" fillId="6" fontId="18" numFmtId="0" xfId="0" applyAlignment="1" applyBorder="1" applyFont="1">
      <alignment horizontal="center"/>
    </xf>
    <xf borderId="52" fillId="6" fontId="19" numFmtId="0" xfId="0" applyAlignment="1" applyBorder="1" applyFont="1">
      <alignment horizontal="center"/>
    </xf>
    <xf borderId="56" fillId="0" fontId="2" numFmtId="0" xfId="0" applyBorder="1" applyFont="1"/>
    <xf borderId="57" fillId="0" fontId="2" numFmtId="0" xfId="0" applyBorder="1" applyFont="1"/>
    <xf borderId="58" fillId="6" fontId="15" numFmtId="0" xfId="0" applyAlignment="1" applyBorder="1" applyFont="1">
      <alignment horizontal="center" shrinkToFit="0" wrapText="1"/>
    </xf>
    <xf borderId="59" fillId="0" fontId="2" numFmtId="0" xfId="0" applyBorder="1" applyFont="1"/>
    <xf borderId="52" fillId="6" fontId="18" numFmtId="1" xfId="0" applyAlignment="1" applyBorder="1" applyFont="1" applyNumberFormat="1">
      <alignment horizontal="center"/>
    </xf>
    <xf borderId="52" fillId="6" fontId="19" numFmtId="2" xfId="0" applyAlignment="1" applyBorder="1" applyFont="1" applyNumberFormat="1">
      <alignment horizontal="center"/>
    </xf>
    <xf borderId="52" fillId="6" fontId="18" numFmtId="2" xfId="0" applyAlignment="1" applyBorder="1" applyFont="1" applyNumberFormat="1">
      <alignment horizontal="center"/>
    </xf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  <xf borderId="9" fillId="3" fontId="20" numFmtId="0" xfId="0" applyBorder="1" applyFont="1"/>
  </cellXfs>
  <cellStyles count="1">
    <cellStyle xfId="0" name="Normal" builtinId="0"/>
  </cellStyles>
  <dxfs count="3">
    <dxf>
      <font>
        <b/>
        <color theme="0"/>
      </font>
      <fill>
        <patternFill patternType="solid">
          <fgColor rgb="FFF1A983"/>
          <bgColor rgb="FFF1A983"/>
        </patternFill>
      </fill>
      <border/>
    </dxf>
    <dxf>
      <font>
        <b/>
        <color theme="1"/>
      </font>
      <fill>
        <patternFill patternType="solid">
          <fgColor rgb="FFFFFFCC"/>
          <bgColor rgb="FFFFFFCC"/>
        </patternFill>
      </fill>
      <border/>
    </dxf>
    <dxf>
      <font>
        <b/>
        <color theme="1"/>
      </font>
      <fill>
        <patternFill patternType="solid">
          <fgColor rgb="FFB3E5A1"/>
          <bgColor rgb="FFB3E5A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88"/>
    <col customWidth="1" min="2" max="32" width="6.63"/>
    <col customWidth="1" min="33" max="34" width="8.63"/>
    <col customWidth="1" min="35" max="35" width="27.0"/>
    <col customWidth="1" min="36" max="42" width="8.63"/>
  </cols>
  <sheetData>
    <row r="1" ht="24.75" customHeight="1"/>
    <row r="2" ht="32.25" customHeight="1">
      <c r="A2" s="1" t="s">
        <v>0</v>
      </c>
      <c r="B2" s="2"/>
      <c r="C2" s="3">
        <v>45474.0</v>
      </c>
      <c r="D2" s="4"/>
      <c r="E2" s="4"/>
      <c r="F2" s="4"/>
      <c r="G2" s="5"/>
    </row>
    <row r="3" ht="24.75" customHeight="1"/>
    <row r="4" ht="61.5" customHeight="1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8"/>
      <c r="AJ4" s="9"/>
    </row>
    <row r="5" ht="24.75" customHeight="1">
      <c r="A5" s="10"/>
      <c r="B5" s="11" t="str">
        <f t="shared" ref="B5:AF5" si="1">TEXT(B6, "ddd")</f>
        <v>Mon</v>
      </c>
      <c r="C5" s="11" t="str">
        <f t="shared" si="1"/>
        <v>Tue</v>
      </c>
      <c r="D5" s="11" t="str">
        <f t="shared" si="1"/>
        <v>Wed</v>
      </c>
      <c r="E5" s="11" t="str">
        <f t="shared" si="1"/>
        <v>Thu</v>
      </c>
      <c r="F5" s="11" t="str">
        <f t="shared" si="1"/>
        <v>Fri</v>
      </c>
      <c r="G5" s="11" t="str">
        <f t="shared" si="1"/>
        <v>Sat</v>
      </c>
      <c r="H5" s="11" t="str">
        <f t="shared" si="1"/>
        <v>Sun</v>
      </c>
      <c r="I5" s="11" t="str">
        <f t="shared" si="1"/>
        <v>Mon</v>
      </c>
      <c r="J5" s="11" t="str">
        <f t="shared" si="1"/>
        <v>Tue</v>
      </c>
      <c r="K5" s="11" t="str">
        <f t="shared" si="1"/>
        <v>Wed</v>
      </c>
      <c r="L5" s="11" t="str">
        <f t="shared" si="1"/>
        <v>Thu</v>
      </c>
      <c r="M5" s="11" t="str">
        <f t="shared" si="1"/>
        <v>Fri</v>
      </c>
      <c r="N5" s="11" t="str">
        <f t="shared" si="1"/>
        <v>Sat</v>
      </c>
      <c r="O5" s="11" t="str">
        <f t="shared" si="1"/>
        <v>Sun</v>
      </c>
      <c r="P5" s="11" t="str">
        <f t="shared" si="1"/>
        <v>Mon</v>
      </c>
      <c r="Q5" s="11" t="str">
        <f t="shared" si="1"/>
        <v>Tue</v>
      </c>
      <c r="R5" s="11" t="str">
        <f t="shared" si="1"/>
        <v>Wed</v>
      </c>
      <c r="S5" s="11" t="str">
        <f t="shared" si="1"/>
        <v>Thu</v>
      </c>
      <c r="T5" s="11" t="str">
        <f t="shared" si="1"/>
        <v>Fri</v>
      </c>
      <c r="U5" s="11" t="str">
        <f t="shared" si="1"/>
        <v>Sat</v>
      </c>
      <c r="V5" s="11" t="str">
        <f t="shared" si="1"/>
        <v>Sun</v>
      </c>
      <c r="W5" s="11" t="str">
        <f t="shared" si="1"/>
        <v>Mon</v>
      </c>
      <c r="X5" s="11" t="str">
        <f t="shared" si="1"/>
        <v>Tue</v>
      </c>
      <c r="Y5" s="11" t="str">
        <f t="shared" si="1"/>
        <v>Wed</v>
      </c>
      <c r="Z5" s="11" t="str">
        <f t="shared" si="1"/>
        <v>Thu</v>
      </c>
      <c r="AA5" s="11" t="str">
        <f t="shared" si="1"/>
        <v>Fri</v>
      </c>
      <c r="AB5" s="11" t="str">
        <f t="shared" si="1"/>
        <v>Sat</v>
      </c>
      <c r="AC5" s="11" t="str">
        <f t="shared" si="1"/>
        <v>Sun</v>
      </c>
      <c r="AD5" s="11" t="str">
        <f t="shared" si="1"/>
        <v>Mon</v>
      </c>
      <c r="AE5" s="11" t="str">
        <f t="shared" si="1"/>
        <v>Tue</v>
      </c>
      <c r="AF5" s="11" t="str">
        <f t="shared" si="1"/>
        <v>Wed</v>
      </c>
      <c r="AG5" s="12" t="s">
        <v>2</v>
      </c>
      <c r="AH5" s="12" t="s">
        <v>3</v>
      </c>
      <c r="AI5" s="12" t="s">
        <v>4</v>
      </c>
    </row>
    <row r="6" ht="24.75" customHeight="1">
      <c r="A6" s="13" t="s">
        <v>5</v>
      </c>
      <c r="B6" s="11">
        <f>C2</f>
        <v>45474</v>
      </c>
      <c r="C6" s="11">
        <f t="shared" ref="C6:AF6" si="2">B6+1</f>
        <v>45475</v>
      </c>
      <c r="D6" s="11">
        <f t="shared" si="2"/>
        <v>45476</v>
      </c>
      <c r="E6" s="11">
        <f t="shared" si="2"/>
        <v>45477</v>
      </c>
      <c r="F6" s="11">
        <f t="shared" si="2"/>
        <v>45478</v>
      </c>
      <c r="G6" s="11">
        <f t="shared" si="2"/>
        <v>45479</v>
      </c>
      <c r="H6" s="11">
        <f t="shared" si="2"/>
        <v>45480</v>
      </c>
      <c r="I6" s="11">
        <f t="shared" si="2"/>
        <v>45481</v>
      </c>
      <c r="J6" s="11">
        <f t="shared" si="2"/>
        <v>45482</v>
      </c>
      <c r="K6" s="11">
        <f t="shared" si="2"/>
        <v>45483</v>
      </c>
      <c r="L6" s="11">
        <f t="shared" si="2"/>
        <v>45484</v>
      </c>
      <c r="M6" s="11">
        <f t="shared" si="2"/>
        <v>45485</v>
      </c>
      <c r="N6" s="11">
        <f t="shared" si="2"/>
        <v>45486</v>
      </c>
      <c r="O6" s="11">
        <f t="shared" si="2"/>
        <v>45487</v>
      </c>
      <c r="P6" s="11">
        <f t="shared" si="2"/>
        <v>45488</v>
      </c>
      <c r="Q6" s="11">
        <f t="shared" si="2"/>
        <v>45489</v>
      </c>
      <c r="R6" s="11">
        <f t="shared" si="2"/>
        <v>45490</v>
      </c>
      <c r="S6" s="11">
        <f t="shared" si="2"/>
        <v>45491</v>
      </c>
      <c r="T6" s="11">
        <f t="shared" si="2"/>
        <v>45492</v>
      </c>
      <c r="U6" s="11">
        <f t="shared" si="2"/>
        <v>45493</v>
      </c>
      <c r="V6" s="11">
        <f t="shared" si="2"/>
        <v>45494</v>
      </c>
      <c r="W6" s="11">
        <f t="shared" si="2"/>
        <v>45495</v>
      </c>
      <c r="X6" s="11">
        <f t="shared" si="2"/>
        <v>45496</v>
      </c>
      <c r="Y6" s="11">
        <f t="shared" si="2"/>
        <v>45497</v>
      </c>
      <c r="Z6" s="11">
        <f t="shared" si="2"/>
        <v>45498</v>
      </c>
      <c r="AA6" s="11">
        <f t="shared" si="2"/>
        <v>45499</v>
      </c>
      <c r="AB6" s="11">
        <f t="shared" si="2"/>
        <v>45500</v>
      </c>
      <c r="AC6" s="11">
        <f t="shared" si="2"/>
        <v>45501</v>
      </c>
      <c r="AD6" s="11">
        <f t="shared" si="2"/>
        <v>45502</v>
      </c>
      <c r="AE6" s="11">
        <f t="shared" si="2"/>
        <v>45503</v>
      </c>
      <c r="AF6" s="11">
        <f t="shared" si="2"/>
        <v>45504</v>
      </c>
      <c r="AG6" s="10"/>
      <c r="AH6" s="10"/>
      <c r="AI6" s="10"/>
    </row>
    <row r="7" ht="24.75" customHeight="1">
      <c r="A7" s="14" t="s">
        <v>6</v>
      </c>
      <c r="B7" s="15" t="s">
        <v>7</v>
      </c>
      <c r="C7" s="15" t="s">
        <v>7</v>
      </c>
      <c r="D7" s="15" t="s">
        <v>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6">
        <f t="shared" ref="AG7:AG26" si="3">COUNTIF(B7:AF7, "x")</f>
        <v>3</v>
      </c>
      <c r="AH7" s="16">
        <f t="shared" ref="AH7:AH26" si="4">(AG7/31)*100</f>
        <v>9.677419355</v>
      </c>
      <c r="AI7" s="16" t="str">
        <f t="shared" ref="AI7:AI26" si="5">IF(A7&lt;&gt;"",ROUND((COUNTIF(B7:AF7,"x")/31)*100,0) &amp; "%","")</f>
        <v>10%</v>
      </c>
    </row>
    <row r="8" ht="24.75" customHeight="1">
      <c r="A8" s="17" t="s">
        <v>8</v>
      </c>
      <c r="B8" s="15"/>
      <c r="C8" s="15"/>
      <c r="D8" s="15" t="s">
        <v>7</v>
      </c>
      <c r="E8" s="15" t="s">
        <v>7</v>
      </c>
      <c r="F8" s="15" t="s">
        <v>7</v>
      </c>
      <c r="G8" s="15" t="s">
        <v>7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6">
        <f t="shared" si="3"/>
        <v>4</v>
      </c>
      <c r="AH8" s="16">
        <f t="shared" si="4"/>
        <v>12.90322581</v>
      </c>
      <c r="AI8" s="16" t="str">
        <f t="shared" si="5"/>
        <v>13%</v>
      </c>
    </row>
    <row r="9" ht="24.75" customHeight="1">
      <c r="A9" s="17" t="s">
        <v>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6">
        <f t="shared" si="3"/>
        <v>0</v>
      </c>
      <c r="AH9" s="16">
        <f t="shared" si="4"/>
        <v>0</v>
      </c>
      <c r="AI9" s="16" t="str">
        <f t="shared" si="5"/>
        <v>0%</v>
      </c>
    </row>
    <row r="10" ht="24.75" customHeight="1">
      <c r="A10" s="17" t="s">
        <v>10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6">
        <f t="shared" si="3"/>
        <v>0</v>
      </c>
      <c r="AH10" s="16">
        <f t="shared" si="4"/>
        <v>0</v>
      </c>
      <c r="AI10" s="16" t="str">
        <f t="shared" si="5"/>
        <v>0%</v>
      </c>
    </row>
    <row r="11" ht="24.75" customHeight="1">
      <c r="A11" s="17" t="s">
        <v>11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6">
        <f t="shared" si="3"/>
        <v>0</v>
      </c>
      <c r="AH11" s="16">
        <f t="shared" si="4"/>
        <v>0</v>
      </c>
      <c r="AI11" s="16" t="str">
        <f t="shared" si="5"/>
        <v>0%</v>
      </c>
    </row>
    <row r="12" ht="24.75" customHeight="1">
      <c r="A12" s="17" t="s">
        <v>12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6">
        <f t="shared" si="3"/>
        <v>0</v>
      </c>
      <c r="AH12" s="16">
        <f t="shared" si="4"/>
        <v>0</v>
      </c>
      <c r="AI12" s="16" t="str">
        <f t="shared" si="5"/>
        <v>0%</v>
      </c>
    </row>
    <row r="13" ht="24.75" customHeight="1">
      <c r="A13" s="17" t="s">
        <v>13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6">
        <f t="shared" si="3"/>
        <v>0</v>
      </c>
      <c r="AH13" s="16">
        <f t="shared" si="4"/>
        <v>0</v>
      </c>
      <c r="AI13" s="16" t="str">
        <f t="shared" si="5"/>
        <v>0%</v>
      </c>
    </row>
    <row r="14" ht="24.75" customHeight="1">
      <c r="A14" s="17" t="s">
        <v>14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6">
        <f t="shared" si="3"/>
        <v>0</v>
      </c>
      <c r="AH14" s="16">
        <f t="shared" si="4"/>
        <v>0</v>
      </c>
      <c r="AI14" s="16" t="str">
        <f t="shared" si="5"/>
        <v>0%</v>
      </c>
    </row>
    <row r="15" ht="24.75" customHeight="1">
      <c r="A15" s="17" t="s">
        <v>15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6">
        <f t="shared" si="3"/>
        <v>0</v>
      </c>
      <c r="AH15" s="16">
        <f t="shared" si="4"/>
        <v>0</v>
      </c>
      <c r="AI15" s="16" t="str">
        <f t="shared" si="5"/>
        <v>0%</v>
      </c>
    </row>
    <row r="16" ht="24.75" customHeight="1">
      <c r="A16" s="17" t="s">
        <v>16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6">
        <f t="shared" si="3"/>
        <v>0</v>
      </c>
      <c r="AH16" s="16">
        <f t="shared" si="4"/>
        <v>0</v>
      </c>
      <c r="AI16" s="16" t="str">
        <f t="shared" si="5"/>
        <v>0%</v>
      </c>
    </row>
    <row r="17" ht="24.75" customHeight="1">
      <c r="A17" s="17" t="s">
        <v>17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6">
        <f t="shared" si="3"/>
        <v>0</v>
      </c>
      <c r="AH17" s="16">
        <f t="shared" si="4"/>
        <v>0</v>
      </c>
      <c r="AI17" s="16" t="str">
        <f t="shared" si="5"/>
        <v>0%</v>
      </c>
    </row>
    <row r="18" ht="24.75" customHeight="1">
      <c r="A18" s="17" t="s">
        <v>18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6">
        <f t="shared" si="3"/>
        <v>0</v>
      </c>
      <c r="AH18" s="16">
        <f t="shared" si="4"/>
        <v>0</v>
      </c>
      <c r="AI18" s="16" t="str">
        <f t="shared" si="5"/>
        <v>0%</v>
      </c>
    </row>
    <row r="19" ht="24.75" customHeight="1">
      <c r="A19" s="17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6">
        <f t="shared" si="3"/>
        <v>0</v>
      </c>
      <c r="AH19" s="16">
        <f t="shared" si="4"/>
        <v>0</v>
      </c>
      <c r="AI19" s="16" t="str">
        <f t="shared" si="5"/>
        <v/>
      </c>
    </row>
    <row r="20" ht="24.75" customHeight="1">
      <c r="A20" s="17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6">
        <f t="shared" si="3"/>
        <v>0</v>
      </c>
      <c r="AH20" s="16">
        <f t="shared" si="4"/>
        <v>0</v>
      </c>
      <c r="AI20" s="16" t="str">
        <f t="shared" si="5"/>
        <v/>
      </c>
    </row>
    <row r="21" ht="24.75" customHeight="1">
      <c r="A21" s="1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6">
        <f t="shared" si="3"/>
        <v>0</v>
      </c>
      <c r="AH21" s="16">
        <f t="shared" si="4"/>
        <v>0</v>
      </c>
      <c r="AI21" s="16" t="str">
        <f t="shared" si="5"/>
        <v/>
      </c>
    </row>
    <row r="22" ht="24.75" customHeight="1">
      <c r="A22" s="1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6">
        <f t="shared" si="3"/>
        <v>0</v>
      </c>
      <c r="AH22" s="16">
        <f t="shared" si="4"/>
        <v>0</v>
      </c>
      <c r="AI22" s="16" t="str">
        <f t="shared" si="5"/>
        <v/>
      </c>
    </row>
    <row r="23" ht="24.75" customHeight="1">
      <c r="A23" s="1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6">
        <f t="shared" si="3"/>
        <v>0</v>
      </c>
      <c r="AH23" s="16">
        <f t="shared" si="4"/>
        <v>0</v>
      </c>
      <c r="AI23" s="16" t="str">
        <f t="shared" si="5"/>
        <v/>
      </c>
    </row>
    <row r="24" ht="24.75" customHeight="1">
      <c r="A24" s="17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6">
        <f t="shared" si="3"/>
        <v>0</v>
      </c>
      <c r="AH24" s="16">
        <f t="shared" si="4"/>
        <v>0</v>
      </c>
      <c r="AI24" s="16" t="str">
        <f t="shared" si="5"/>
        <v/>
      </c>
    </row>
    <row r="25" ht="24.75" customHeight="1">
      <c r="A25" s="17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6">
        <f t="shared" si="3"/>
        <v>0</v>
      </c>
      <c r="AH25" s="16">
        <f t="shared" si="4"/>
        <v>0</v>
      </c>
      <c r="AI25" s="16" t="str">
        <f t="shared" si="5"/>
        <v/>
      </c>
    </row>
    <row r="26" ht="24.75" customHeight="1">
      <c r="A26" s="1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>
        <f t="shared" si="3"/>
        <v>0</v>
      </c>
      <c r="AH26" s="16">
        <f t="shared" si="4"/>
        <v>0</v>
      </c>
      <c r="AI26" s="16" t="str">
        <f t="shared" si="5"/>
        <v/>
      </c>
    </row>
    <row r="27" ht="24.75" customHeight="1"/>
    <row r="28" ht="24.75" customHeight="1"/>
    <row r="29" ht="40.5" customHeight="1">
      <c r="A29" s="18" t="s">
        <v>19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20"/>
    </row>
    <row r="30" ht="24.75" customHeight="1"/>
    <row r="31" ht="24.75" customHeight="1">
      <c r="A31" s="21" t="s">
        <v>20</v>
      </c>
      <c r="B31" s="22"/>
      <c r="C31" s="22"/>
      <c r="D31" s="22"/>
      <c r="E31" s="22"/>
      <c r="F31" s="23"/>
      <c r="H31" s="21" t="s">
        <v>21</v>
      </c>
      <c r="I31" s="22"/>
      <c r="J31" s="22"/>
      <c r="K31" s="22"/>
      <c r="L31" s="22"/>
      <c r="M31" s="22"/>
      <c r="N31" s="22"/>
      <c r="O31" s="22"/>
      <c r="P31" s="22"/>
      <c r="Q31" s="22"/>
      <c r="R31" s="24"/>
      <c r="T31" s="25" t="s">
        <v>22</v>
      </c>
      <c r="U31" s="19"/>
      <c r="V31" s="19"/>
      <c r="W31" s="19"/>
      <c r="X31" s="19"/>
      <c r="Y31" s="19"/>
      <c r="Z31" s="19"/>
      <c r="AA31" s="19"/>
      <c r="AB31" s="19"/>
      <c r="AC31" s="19"/>
      <c r="AD31" s="20"/>
      <c r="AF31" s="25" t="s">
        <v>23</v>
      </c>
      <c r="AG31" s="19"/>
      <c r="AH31" s="19"/>
      <c r="AI31" s="19"/>
      <c r="AJ31" s="19"/>
      <c r="AK31" s="20"/>
    </row>
    <row r="32" ht="24.75" customHeight="1">
      <c r="A32" s="26" t="s">
        <v>24</v>
      </c>
      <c r="B32" s="27"/>
      <c r="C32" s="27"/>
      <c r="D32" s="27"/>
      <c r="E32" s="28"/>
      <c r="F32" s="29" t="s">
        <v>7</v>
      </c>
      <c r="H32" s="30" t="s">
        <v>25</v>
      </c>
      <c r="I32" s="31"/>
      <c r="J32" s="31"/>
      <c r="K32" s="31"/>
      <c r="L32" s="31"/>
      <c r="M32" s="31"/>
      <c r="N32" s="31"/>
      <c r="O32" s="31"/>
      <c r="P32" s="31"/>
      <c r="Q32" s="32"/>
      <c r="R32" s="29" t="s">
        <v>7</v>
      </c>
      <c r="T32" s="30"/>
      <c r="U32" s="31"/>
      <c r="V32" s="31"/>
      <c r="W32" s="31"/>
      <c r="X32" s="31"/>
      <c r="Y32" s="31"/>
      <c r="Z32" s="31"/>
      <c r="AA32" s="31"/>
      <c r="AB32" s="31"/>
      <c r="AC32" s="32"/>
      <c r="AD32" s="29"/>
      <c r="AF32" s="30" t="s">
        <v>26</v>
      </c>
      <c r="AG32" s="31"/>
      <c r="AH32" s="31"/>
      <c r="AI32" s="31"/>
      <c r="AJ32" s="31"/>
      <c r="AK32" s="29"/>
      <c r="AL32" s="33"/>
      <c r="AM32" s="33"/>
      <c r="AN32" s="33"/>
      <c r="AO32" s="33"/>
      <c r="AP32" s="33"/>
    </row>
    <row r="33" ht="24.75" customHeight="1">
      <c r="A33" s="26" t="s">
        <v>27</v>
      </c>
      <c r="B33" s="27"/>
      <c r="C33" s="27"/>
      <c r="D33" s="27"/>
      <c r="E33" s="28"/>
      <c r="F33" s="29" t="s">
        <v>7</v>
      </c>
      <c r="H33" s="30" t="s">
        <v>28</v>
      </c>
      <c r="I33" s="31"/>
      <c r="J33" s="31"/>
      <c r="K33" s="31"/>
      <c r="L33" s="31"/>
      <c r="M33" s="31"/>
      <c r="N33" s="31"/>
      <c r="O33" s="31"/>
      <c r="P33" s="31"/>
      <c r="Q33" s="32"/>
      <c r="R33" s="29" t="s">
        <v>7</v>
      </c>
      <c r="T33" s="30"/>
      <c r="U33" s="31"/>
      <c r="V33" s="31"/>
      <c r="W33" s="31"/>
      <c r="X33" s="31"/>
      <c r="Y33" s="31"/>
      <c r="Z33" s="31"/>
      <c r="AA33" s="31"/>
      <c r="AB33" s="31"/>
      <c r="AC33" s="32"/>
      <c r="AD33" s="29"/>
      <c r="AF33" s="30" t="s">
        <v>29</v>
      </c>
      <c r="AG33" s="31"/>
      <c r="AH33" s="31"/>
      <c r="AI33" s="31"/>
      <c r="AJ33" s="31"/>
      <c r="AK33" s="29"/>
      <c r="AL33" s="33"/>
      <c r="AM33" s="33"/>
      <c r="AN33" s="33"/>
      <c r="AO33" s="33"/>
      <c r="AP33" s="33"/>
    </row>
    <row r="34" ht="24.75" customHeight="1">
      <c r="A34" s="26" t="s">
        <v>30</v>
      </c>
      <c r="B34" s="27"/>
      <c r="C34" s="27"/>
      <c r="D34" s="27"/>
      <c r="E34" s="28"/>
      <c r="F34" s="29" t="s">
        <v>7</v>
      </c>
      <c r="H34" s="30"/>
      <c r="I34" s="31"/>
      <c r="J34" s="31"/>
      <c r="K34" s="31"/>
      <c r="L34" s="31"/>
      <c r="M34" s="31"/>
      <c r="N34" s="31"/>
      <c r="O34" s="31"/>
      <c r="P34" s="31"/>
      <c r="Q34" s="32"/>
      <c r="R34" s="29" t="s">
        <v>7</v>
      </c>
      <c r="T34" s="30"/>
      <c r="U34" s="31"/>
      <c r="V34" s="31"/>
      <c r="W34" s="31"/>
      <c r="X34" s="31"/>
      <c r="Y34" s="31"/>
      <c r="Z34" s="31"/>
      <c r="AA34" s="31"/>
      <c r="AB34" s="31"/>
      <c r="AC34" s="32"/>
      <c r="AD34" s="29"/>
      <c r="AF34" s="30"/>
      <c r="AG34" s="31"/>
      <c r="AH34" s="31"/>
      <c r="AI34" s="31"/>
      <c r="AJ34" s="31"/>
      <c r="AK34" s="29"/>
      <c r="AL34" s="33"/>
      <c r="AM34" s="33"/>
      <c r="AN34" s="33"/>
      <c r="AO34" s="33"/>
      <c r="AP34" s="33"/>
    </row>
    <row r="35" ht="24.75" customHeight="1">
      <c r="A35" s="26"/>
      <c r="B35" s="27"/>
      <c r="C35" s="27"/>
      <c r="D35" s="27"/>
      <c r="E35" s="28"/>
      <c r="F35" s="29" t="s">
        <v>7</v>
      </c>
      <c r="H35" s="30"/>
      <c r="I35" s="31"/>
      <c r="J35" s="31"/>
      <c r="K35" s="31"/>
      <c r="L35" s="31"/>
      <c r="M35" s="31"/>
      <c r="N35" s="31"/>
      <c r="O35" s="31"/>
      <c r="P35" s="31"/>
      <c r="Q35" s="32"/>
      <c r="R35" s="29" t="s">
        <v>7</v>
      </c>
      <c r="T35" s="30"/>
      <c r="U35" s="31"/>
      <c r="V35" s="31"/>
      <c r="W35" s="31"/>
      <c r="X35" s="31"/>
      <c r="Y35" s="31"/>
      <c r="Z35" s="31"/>
      <c r="AA35" s="31"/>
      <c r="AB35" s="31"/>
      <c r="AC35" s="32"/>
      <c r="AD35" s="29"/>
      <c r="AF35" s="30"/>
      <c r="AG35" s="31"/>
      <c r="AH35" s="31"/>
      <c r="AI35" s="31"/>
      <c r="AJ35" s="31"/>
      <c r="AK35" s="29"/>
      <c r="AL35" s="33"/>
      <c r="AM35" s="33"/>
      <c r="AN35" s="33"/>
      <c r="AO35" s="33"/>
      <c r="AP35" s="33"/>
    </row>
    <row r="36" ht="24.75" customHeight="1">
      <c r="A36" s="26"/>
      <c r="B36" s="27"/>
      <c r="C36" s="27"/>
      <c r="D36" s="27"/>
      <c r="E36" s="28"/>
      <c r="F36" s="29"/>
      <c r="H36" s="30"/>
      <c r="I36" s="31"/>
      <c r="J36" s="31"/>
      <c r="K36" s="31"/>
      <c r="L36" s="31"/>
      <c r="M36" s="31"/>
      <c r="N36" s="31"/>
      <c r="O36" s="31"/>
      <c r="P36" s="31"/>
      <c r="Q36" s="32"/>
      <c r="R36" s="29" t="s">
        <v>7</v>
      </c>
      <c r="T36" s="30"/>
      <c r="U36" s="31"/>
      <c r="V36" s="31"/>
      <c r="W36" s="31"/>
      <c r="X36" s="31"/>
      <c r="Y36" s="31"/>
      <c r="Z36" s="31"/>
      <c r="AA36" s="31"/>
      <c r="AB36" s="31"/>
      <c r="AC36" s="32"/>
      <c r="AD36" s="29"/>
      <c r="AF36" s="30"/>
      <c r="AG36" s="31"/>
      <c r="AH36" s="31"/>
      <c r="AI36" s="31"/>
      <c r="AJ36" s="31"/>
      <c r="AK36" s="29"/>
      <c r="AL36" s="33"/>
      <c r="AM36" s="33"/>
      <c r="AN36" s="33"/>
      <c r="AO36" s="33"/>
      <c r="AP36" s="33"/>
    </row>
    <row r="37" ht="24.75" customHeight="1">
      <c r="A37" s="26">
        <f>COUNTA(A32:E36)</f>
        <v>3</v>
      </c>
      <c r="B37" s="27"/>
      <c r="C37" s="27"/>
      <c r="D37" s="27"/>
      <c r="E37" s="28"/>
      <c r="F37" s="29">
        <f>IFERROR(COUNTIF(F32:F36,"x")/A37,0%)</f>
        <v>1.333333333</v>
      </c>
      <c r="H37" s="26">
        <f>COUNTA(H32:Q36)</f>
        <v>2</v>
      </c>
      <c r="I37" s="27"/>
      <c r="J37" s="27"/>
      <c r="K37" s="27"/>
      <c r="L37" s="27"/>
      <c r="M37" s="27"/>
      <c r="N37" s="27"/>
      <c r="O37" s="27"/>
      <c r="P37" s="27"/>
      <c r="Q37" s="28"/>
      <c r="R37" s="29">
        <f>IFERROR(COUNTIF(R32:R36,"x")/H37,0%)</f>
        <v>2.5</v>
      </c>
      <c r="T37" s="34">
        <f>COUNTA(T32:AC36)</f>
        <v>0</v>
      </c>
      <c r="U37" s="35"/>
      <c r="V37" s="35"/>
      <c r="W37" s="35"/>
      <c r="X37" s="35"/>
      <c r="Y37" s="35"/>
      <c r="Z37" s="35"/>
      <c r="AA37" s="35"/>
      <c r="AB37" s="35"/>
      <c r="AC37" s="36"/>
      <c r="AD37" s="29">
        <f>IFERROR(COUNTIF(T32:AC36,"x")/T37,0%)</f>
        <v>0</v>
      </c>
      <c r="AF37" s="26">
        <f>COUNTA(AF32:AJ36)</f>
        <v>2</v>
      </c>
      <c r="AG37" s="27"/>
      <c r="AH37" s="27"/>
      <c r="AI37" s="27"/>
      <c r="AJ37" s="28"/>
      <c r="AK37" s="29" t="str">
        <f>IFERROR(COUNTIF(AF32:AJ36,"x")/ AK37,0%)</f>
        <v>#REF!</v>
      </c>
      <c r="AL37" s="33"/>
      <c r="AM37" s="33"/>
      <c r="AN37" s="33"/>
      <c r="AO37" s="33"/>
      <c r="AP37" s="33"/>
    </row>
    <row r="38" ht="24.75" customHeight="1">
      <c r="A38" s="37"/>
    </row>
    <row r="39" ht="24.75" customHeight="1"/>
    <row r="40" ht="24.75" customHeight="1"/>
    <row r="41" ht="51.75" customHeight="1">
      <c r="A41" s="38" t="s">
        <v>31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40"/>
    </row>
    <row r="42" ht="24.75" customHeight="1">
      <c r="A42" s="41"/>
      <c r="B42" s="42" t="str">
        <f t="shared" ref="B42:AF42" si="6">TEXT(B43, "ddd")</f>
        <v>Mon</v>
      </c>
      <c r="C42" s="42" t="str">
        <f t="shared" si="6"/>
        <v>Tue</v>
      </c>
      <c r="D42" s="43" t="str">
        <f t="shared" si="6"/>
        <v>Wed</v>
      </c>
      <c r="E42" s="43" t="str">
        <f t="shared" si="6"/>
        <v>Thu</v>
      </c>
      <c r="F42" s="44" t="str">
        <f t="shared" si="6"/>
        <v>Fri</v>
      </c>
      <c r="G42" s="45" t="str">
        <f t="shared" si="6"/>
        <v>Sat</v>
      </c>
      <c r="H42" s="42" t="str">
        <f t="shared" si="6"/>
        <v>Sun</v>
      </c>
      <c r="I42" s="43" t="str">
        <f t="shared" si="6"/>
        <v>Mon</v>
      </c>
      <c r="J42" s="43" t="str">
        <f t="shared" si="6"/>
        <v>Tue</v>
      </c>
      <c r="K42" s="43" t="str">
        <f t="shared" si="6"/>
        <v>Wed</v>
      </c>
      <c r="L42" s="43" t="str">
        <f t="shared" si="6"/>
        <v>Thu</v>
      </c>
      <c r="M42" s="44" t="str">
        <f t="shared" si="6"/>
        <v>Fri</v>
      </c>
      <c r="N42" s="46" t="str">
        <f t="shared" si="6"/>
        <v>Sat</v>
      </c>
      <c r="O42" s="47" t="str">
        <f t="shared" si="6"/>
        <v>Sun</v>
      </c>
      <c r="P42" s="43" t="str">
        <f t="shared" si="6"/>
        <v>Mon</v>
      </c>
      <c r="Q42" s="43" t="str">
        <f t="shared" si="6"/>
        <v>Tue</v>
      </c>
      <c r="R42" s="48" t="str">
        <f t="shared" si="6"/>
        <v>Wed</v>
      </c>
      <c r="S42" s="47" t="str">
        <f t="shared" si="6"/>
        <v>Thu</v>
      </c>
      <c r="T42" s="43" t="str">
        <f t="shared" si="6"/>
        <v>Fri</v>
      </c>
      <c r="U42" s="42" t="str">
        <f t="shared" si="6"/>
        <v>Sat</v>
      </c>
      <c r="V42" s="43" t="str">
        <f t="shared" si="6"/>
        <v>Sun</v>
      </c>
      <c r="W42" s="42" t="str">
        <f t="shared" si="6"/>
        <v>Mon</v>
      </c>
      <c r="X42" s="42" t="str">
        <f t="shared" si="6"/>
        <v>Tue</v>
      </c>
      <c r="Y42" s="42" t="str">
        <f t="shared" si="6"/>
        <v>Wed</v>
      </c>
      <c r="Z42" s="43" t="str">
        <f t="shared" si="6"/>
        <v>Thu</v>
      </c>
      <c r="AA42" s="43" t="str">
        <f t="shared" si="6"/>
        <v>Fri</v>
      </c>
      <c r="AB42" s="44" t="str">
        <f t="shared" si="6"/>
        <v>Sat</v>
      </c>
      <c r="AC42" s="46" t="str">
        <f t="shared" si="6"/>
        <v>Sun</v>
      </c>
      <c r="AD42" s="49" t="str">
        <f t="shared" si="6"/>
        <v>Mon</v>
      </c>
      <c r="AE42" s="43" t="str">
        <f t="shared" si="6"/>
        <v>Tue</v>
      </c>
      <c r="AF42" s="43" t="str">
        <f t="shared" si="6"/>
        <v>Wed</v>
      </c>
      <c r="AG42" s="50"/>
      <c r="AH42" s="51"/>
      <c r="AI42" s="52"/>
      <c r="AJ42" s="53"/>
    </row>
    <row r="43" ht="24.75" customHeight="1">
      <c r="A43" s="54"/>
      <c r="B43" s="55">
        <f>B6</f>
        <v>45474</v>
      </c>
      <c r="C43" s="46">
        <f t="shared" ref="C43:AF43" si="7">B43+1</f>
        <v>45475</v>
      </c>
      <c r="D43" s="46">
        <f t="shared" si="7"/>
        <v>45476</v>
      </c>
      <c r="E43" s="46">
        <f t="shared" si="7"/>
        <v>45477</v>
      </c>
      <c r="F43" s="56">
        <f t="shared" si="7"/>
        <v>45478</v>
      </c>
      <c r="G43" s="46">
        <f t="shared" si="7"/>
        <v>45479</v>
      </c>
      <c r="H43" s="57">
        <f t="shared" si="7"/>
        <v>45480</v>
      </c>
      <c r="I43" s="58">
        <f t="shared" si="7"/>
        <v>45481</v>
      </c>
      <c r="J43" s="46">
        <f t="shared" si="7"/>
        <v>45482</v>
      </c>
      <c r="K43" s="46">
        <f t="shared" si="7"/>
        <v>45483</v>
      </c>
      <c r="L43" s="46">
        <f t="shared" si="7"/>
        <v>45484</v>
      </c>
      <c r="M43" s="46">
        <f t="shared" si="7"/>
        <v>45485</v>
      </c>
      <c r="N43" s="46">
        <f t="shared" si="7"/>
        <v>45486</v>
      </c>
      <c r="O43" s="46">
        <f t="shared" si="7"/>
        <v>45487</v>
      </c>
      <c r="P43" s="46">
        <f t="shared" si="7"/>
        <v>45488</v>
      </c>
      <c r="Q43" s="56">
        <f t="shared" si="7"/>
        <v>45489</v>
      </c>
      <c r="R43" s="46">
        <f t="shared" si="7"/>
        <v>45490</v>
      </c>
      <c r="S43" s="46">
        <f t="shared" si="7"/>
        <v>45491</v>
      </c>
      <c r="T43" s="46">
        <f t="shared" si="7"/>
        <v>45492</v>
      </c>
      <c r="U43" s="46">
        <f t="shared" si="7"/>
        <v>45493</v>
      </c>
      <c r="V43" s="46">
        <f t="shared" si="7"/>
        <v>45494</v>
      </c>
      <c r="W43" s="46">
        <f t="shared" si="7"/>
        <v>45495</v>
      </c>
      <c r="X43" s="46">
        <f t="shared" si="7"/>
        <v>45496</v>
      </c>
      <c r="Y43" s="46">
        <f t="shared" si="7"/>
        <v>45497</v>
      </c>
      <c r="Z43" s="56">
        <f t="shared" si="7"/>
        <v>45498</v>
      </c>
      <c r="AA43" s="46">
        <f t="shared" si="7"/>
        <v>45499</v>
      </c>
      <c r="AB43" s="56">
        <f t="shared" si="7"/>
        <v>45500</v>
      </c>
      <c r="AC43" s="46">
        <f t="shared" si="7"/>
        <v>45501</v>
      </c>
      <c r="AD43" s="59">
        <f t="shared" si="7"/>
        <v>45502</v>
      </c>
      <c r="AE43" s="60">
        <f t="shared" si="7"/>
        <v>45503</v>
      </c>
      <c r="AF43" s="60">
        <f t="shared" si="7"/>
        <v>45504</v>
      </c>
      <c r="AG43" s="61"/>
      <c r="AH43" s="61"/>
      <c r="AI43" s="62"/>
      <c r="AJ43" s="53"/>
    </row>
    <row r="44" ht="24.75" customHeight="1">
      <c r="A44" s="63" t="s">
        <v>32</v>
      </c>
      <c r="B44" s="64" t="s">
        <v>33</v>
      </c>
      <c r="C44" s="64" t="s">
        <v>34</v>
      </c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</row>
    <row r="45" ht="24.75" customHeight="1"/>
    <row r="46" ht="24.75" customHeight="1"/>
    <row r="47" ht="24.75" customHeight="1"/>
    <row r="48" ht="24.75" customHeight="1"/>
    <row r="49" ht="27.75" customHeight="1">
      <c r="A49" s="65" t="s">
        <v>35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7"/>
    </row>
    <row r="50" ht="24.75" customHeight="1">
      <c r="A50" s="68" t="s">
        <v>36</v>
      </c>
      <c r="B50" s="69"/>
      <c r="C50" s="70">
        <f>B43</f>
        <v>45474</v>
      </c>
      <c r="D50" s="70">
        <f t="shared" ref="D50:AG50" si="8">C50+1</f>
        <v>45475</v>
      </c>
      <c r="E50" s="70">
        <f t="shared" si="8"/>
        <v>45476</v>
      </c>
      <c r="F50" s="70">
        <f t="shared" si="8"/>
        <v>45477</v>
      </c>
      <c r="G50" s="70">
        <f t="shared" si="8"/>
        <v>45478</v>
      </c>
      <c r="H50" s="70">
        <f t="shared" si="8"/>
        <v>45479</v>
      </c>
      <c r="I50" s="70">
        <f t="shared" si="8"/>
        <v>45480</v>
      </c>
      <c r="J50" s="70">
        <f t="shared" si="8"/>
        <v>45481</v>
      </c>
      <c r="K50" s="70">
        <f t="shared" si="8"/>
        <v>45482</v>
      </c>
      <c r="L50" s="70">
        <f t="shared" si="8"/>
        <v>45483</v>
      </c>
      <c r="M50" s="70">
        <f t="shared" si="8"/>
        <v>45484</v>
      </c>
      <c r="N50" s="70">
        <f t="shared" si="8"/>
        <v>45485</v>
      </c>
      <c r="O50" s="70">
        <f t="shared" si="8"/>
        <v>45486</v>
      </c>
      <c r="P50" s="70">
        <f t="shared" si="8"/>
        <v>45487</v>
      </c>
      <c r="Q50" s="70">
        <f t="shared" si="8"/>
        <v>45488</v>
      </c>
      <c r="R50" s="70">
        <f t="shared" si="8"/>
        <v>45489</v>
      </c>
      <c r="S50" s="70">
        <f t="shared" si="8"/>
        <v>45490</v>
      </c>
      <c r="T50" s="70">
        <f t="shared" si="8"/>
        <v>45491</v>
      </c>
      <c r="U50" s="70">
        <f t="shared" si="8"/>
        <v>45492</v>
      </c>
      <c r="V50" s="70">
        <f t="shared" si="8"/>
        <v>45493</v>
      </c>
      <c r="W50" s="70">
        <f t="shared" si="8"/>
        <v>45494</v>
      </c>
      <c r="X50" s="70">
        <f t="shared" si="8"/>
        <v>45495</v>
      </c>
      <c r="Y50" s="70">
        <f t="shared" si="8"/>
        <v>45496</v>
      </c>
      <c r="Z50" s="70">
        <f t="shared" si="8"/>
        <v>45497</v>
      </c>
      <c r="AA50" s="70">
        <f t="shared" si="8"/>
        <v>45498</v>
      </c>
      <c r="AB50" s="70">
        <f t="shared" si="8"/>
        <v>45499</v>
      </c>
      <c r="AC50" s="70">
        <f t="shared" si="8"/>
        <v>45500</v>
      </c>
      <c r="AD50" s="70">
        <f t="shared" si="8"/>
        <v>45501</v>
      </c>
      <c r="AE50" s="70">
        <f t="shared" si="8"/>
        <v>45502</v>
      </c>
      <c r="AF50" s="70">
        <f t="shared" si="8"/>
        <v>45503</v>
      </c>
      <c r="AG50" s="70">
        <f t="shared" si="8"/>
        <v>45504</v>
      </c>
      <c r="AH50" s="71"/>
      <c r="AI50" s="72"/>
      <c r="AJ50" s="72"/>
      <c r="AK50" s="73"/>
    </row>
    <row r="51" ht="24.75" customHeight="1">
      <c r="A51" s="68" t="s">
        <v>37</v>
      </c>
      <c r="B51" s="69"/>
      <c r="C51" s="74"/>
      <c r="D51" s="75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6"/>
      <c r="AK51" s="77"/>
    </row>
    <row r="52" ht="24.75" customHeight="1">
      <c r="A52" s="78" t="s">
        <v>38</v>
      </c>
      <c r="B52" s="79"/>
      <c r="C52" s="80"/>
      <c r="D52" s="81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3"/>
      <c r="AI52" s="84"/>
      <c r="AJ52" s="84"/>
      <c r="AK52" s="85"/>
    </row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  <row r="1001" ht="24.75" customHeight="1"/>
    <row r="1002" ht="24.75" customHeight="1"/>
    <row r="1003" ht="24.75" customHeight="1"/>
    <row r="1004" ht="24.75" customHeight="1"/>
    <row r="1005" ht="24.75" customHeight="1"/>
    <row r="1006" ht="24.75" customHeight="1"/>
    <row r="1007" ht="24.75" customHeight="1"/>
    <row r="1008" ht="24.75" customHeight="1"/>
    <row r="1009" ht="24.75" customHeight="1"/>
    <row r="1010" ht="24.75" customHeight="1"/>
    <row r="1011" ht="24.75" customHeight="1"/>
    <row r="1012" ht="24.75" customHeight="1"/>
    <row r="1013" ht="24.75" customHeight="1"/>
    <row r="1014" ht="24.75" customHeight="1"/>
    <row r="1015" ht="24.75" customHeight="1"/>
    <row r="1016" ht="24.75" customHeight="1"/>
    <row r="1017" ht="24.75" customHeight="1"/>
    <row r="1018" ht="24.75" customHeight="1"/>
    <row r="1019" ht="24.75" customHeight="1"/>
    <row r="1020" ht="24.75" customHeight="1"/>
    <row r="1021" ht="24.75" customHeight="1"/>
    <row r="1022" ht="24.75" customHeight="1"/>
    <row r="1023" ht="24.75" customHeight="1"/>
    <row r="1024" ht="24.75" customHeight="1"/>
    <row r="1025" ht="24.75" customHeight="1"/>
    <row r="1026" ht="24.75" customHeight="1"/>
    <row r="1027" ht="24.75" customHeight="1"/>
    <row r="1028" ht="24.75" customHeight="1"/>
    <row r="1029" ht="24.75" customHeight="1"/>
    <row r="1030" ht="24.75" customHeight="1"/>
    <row r="1031" ht="24.75" customHeight="1"/>
    <row r="1032" ht="24.75" customHeight="1"/>
    <row r="1033" ht="24.75" customHeight="1"/>
    <row r="1034" ht="24.75" customHeight="1"/>
    <row r="1035" ht="24.75" customHeight="1"/>
    <row r="1036" ht="24.75" customHeight="1"/>
    <row r="1037" ht="24.75" customHeight="1"/>
    <row r="1038" ht="24.75" customHeight="1"/>
    <row r="1039" ht="24.75" customHeight="1"/>
    <row r="1040" ht="24.75" customHeight="1"/>
    <row r="1041" ht="24.75" customHeight="1"/>
    <row r="1042" ht="24.75" customHeight="1"/>
    <row r="1043" ht="24.75" customHeight="1"/>
    <row r="1044" ht="24.75" customHeight="1"/>
    <row r="1045" ht="24.75" customHeight="1"/>
    <row r="1046" ht="24.75" customHeight="1"/>
    <row r="1047" ht="24.75" customHeight="1"/>
    <row r="1048" ht="24.75" customHeight="1"/>
    <row r="1049" ht="24.75" customHeight="1"/>
    <row r="1050" ht="24.75" customHeight="1"/>
    <row r="1051" ht="24.75" customHeight="1"/>
    <row r="1052" ht="24.75" customHeight="1"/>
    <row r="1053" ht="24.75" customHeight="1"/>
    <row r="1054" ht="24.75" customHeight="1"/>
    <row r="1055" ht="24.75" customHeight="1"/>
    <row r="1056" ht="24.75" customHeight="1"/>
    <row r="1057" ht="24.75" customHeight="1"/>
    <row r="1058" ht="24.75" customHeight="1"/>
    <row r="1059" ht="24.75" customHeight="1"/>
    <row r="1060" ht="24.75" customHeight="1"/>
    <row r="1061" ht="24.75" customHeight="1"/>
    <row r="1062" ht="24.75" customHeight="1"/>
    <row r="1063" ht="24.75" customHeight="1"/>
    <row r="1064" ht="24.75" customHeight="1"/>
    <row r="1065" ht="24.75" customHeight="1"/>
    <row r="1066" ht="24.75" customHeight="1"/>
    <row r="1067" ht="24.75" customHeight="1"/>
    <row r="1068" ht="24.75" customHeight="1"/>
    <row r="1069" ht="24.75" customHeight="1"/>
    <row r="1070" ht="24.75" customHeight="1"/>
    <row r="1071" ht="24.75" customHeight="1"/>
    <row r="1072" ht="24.75" customHeight="1"/>
    <row r="1073" ht="24.75" customHeight="1"/>
    <row r="1074" ht="24.75" customHeight="1"/>
    <row r="1075" ht="24.75" customHeight="1"/>
    <row r="1076" ht="24.75" customHeight="1"/>
    <row r="1077" ht="24.75" customHeight="1"/>
    <row r="1078" ht="24.75" customHeight="1"/>
    <row r="1079" ht="24.75" customHeight="1"/>
    <row r="1080" ht="24.75" customHeight="1"/>
    <row r="1081" ht="24.75" customHeight="1"/>
    <row r="1082" ht="24.75" customHeight="1"/>
    <row r="1083" ht="24.75" customHeight="1"/>
    <row r="1084" ht="24.75" customHeight="1"/>
    <row r="1085" ht="24.75" customHeight="1"/>
    <row r="1086" ht="24.75" customHeight="1"/>
    <row r="1087" ht="24.75" customHeight="1"/>
    <row r="1088" ht="24.75" customHeight="1"/>
    <row r="1089" ht="24.75" customHeight="1"/>
    <row r="1090" ht="24.75" customHeight="1"/>
    <row r="1091" ht="24.75" customHeight="1"/>
    <row r="1092" ht="24.75" customHeight="1"/>
    <row r="1093" ht="24.75" customHeight="1"/>
    <row r="1094" ht="24.75" customHeight="1"/>
    <row r="1095" ht="24.75" customHeight="1"/>
    <row r="1096" ht="24.75" customHeight="1"/>
    <row r="1097" ht="24.75" customHeight="1"/>
    <row r="1098" ht="24.75" customHeight="1"/>
    <row r="1099" ht="24.75" customHeight="1"/>
    <row r="1100" ht="24.75" customHeight="1"/>
    <row r="1101" ht="24.75" customHeight="1"/>
    <row r="1102" ht="24.75" customHeight="1"/>
    <row r="1103" ht="24.75" customHeight="1"/>
    <row r="1104" ht="24.75" customHeight="1"/>
    <row r="1105" ht="24.75" customHeight="1"/>
    <row r="1106" ht="24.75" customHeight="1"/>
    <row r="1107" ht="24.75" customHeight="1"/>
    <row r="1108" ht="24.75" customHeight="1"/>
    <row r="1109" ht="24.75" customHeight="1"/>
    <row r="1110" ht="24.75" customHeight="1"/>
    <row r="1111" ht="24.75" customHeight="1"/>
    <row r="1112" ht="24.75" customHeight="1"/>
    <row r="1113" ht="24.75" customHeight="1"/>
    <row r="1114" ht="24.75" customHeight="1"/>
    <row r="1115" ht="24.75" customHeight="1"/>
    <row r="1116" ht="24.75" customHeight="1"/>
    <row r="1117" ht="24.75" customHeight="1"/>
    <row r="1118" ht="24.75" customHeight="1"/>
    <row r="1119" ht="24.75" customHeight="1"/>
    <row r="1120" ht="24.75" customHeight="1"/>
    <row r="1121" ht="24.75" customHeight="1"/>
    <row r="1122" ht="24.75" customHeight="1"/>
    <row r="1123" ht="24.75" customHeight="1"/>
    <row r="1124" ht="24.75" customHeight="1"/>
    <row r="1125" ht="24.75" customHeight="1"/>
    <row r="1126" ht="24.75" customHeight="1"/>
    <row r="1127" ht="24.75" customHeight="1"/>
    <row r="1128" ht="24.75" customHeight="1"/>
    <row r="1129" ht="24.75" customHeight="1"/>
    <row r="1130" ht="24.75" customHeight="1"/>
    <row r="1131" ht="24.75" customHeight="1"/>
    <row r="1132" ht="24.75" customHeight="1"/>
    <row r="1133" ht="24.75" customHeight="1"/>
    <row r="1134" ht="24.75" customHeight="1"/>
    <row r="1135" ht="24.75" customHeight="1"/>
    <row r="1136" ht="24.75" customHeight="1"/>
    <row r="1137" ht="24.75" customHeight="1"/>
    <row r="1138" ht="24.75" customHeight="1"/>
    <row r="1139" ht="24.75" customHeight="1"/>
    <row r="1140" ht="24.75" customHeight="1"/>
    <row r="1141" ht="24.75" customHeight="1"/>
    <row r="1142" ht="24.75" customHeight="1"/>
    <row r="1143" ht="24.75" customHeight="1"/>
    <row r="1144" ht="24.75" customHeight="1"/>
    <row r="1145" ht="24.75" customHeight="1"/>
    <row r="1146" ht="24.75" customHeight="1"/>
    <row r="1147" ht="24.75" customHeight="1"/>
    <row r="1148" ht="24.75" customHeight="1"/>
    <row r="1149" ht="24.75" customHeight="1"/>
    <row r="1150" ht="24.75" customHeight="1"/>
    <row r="1151" ht="24.75" customHeight="1"/>
    <row r="1152" ht="24.75" customHeight="1"/>
    <row r="1153" ht="24.75" customHeight="1"/>
    <row r="1154" ht="24.75" customHeight="1"/>
    <row r="1155" ht="24.75" customHeight="1"/>
    <row r="1156" ht="24.75" customHeight="1"/>
    <row r="1157" ht="24.75" customHeight="1"/>
    <row r="1158" ht="24.75" customHeight="1"/>
    <row r="1159" ht="24.75" customHeight="1"/>
    <row r="1160" ht="24.75" customHeight="1"/>
    <row r="1161" ht="24.75" customHeight="1"/>
    <row r="1162" ht="24.75" customHeight="1"/>
    <row r="1163" ht="24.75" customHeight="1"/>
    <row r="1164" ht="24.75" customHeight="1"/>
    <row r="1165" ht="24.75" customHeight="1"/>
    <row r="1166" ht="24.75" customHeight="1"/>
    <row r="1167" ht="24.75" customHeight="1"/>
    <row r="1168" ht="24.75" customHeight="1"/>
    <row r="1169" ht="24.75" customHeight="1"/>
    <row r="1170" ht="24.75" customHeight="1"/>
    <row r="1171" ht="24.75" customHeight="1"/>
    <row r="1172" ht="24.75" customHeight="1"/>
    <row r="1173" ht="24.75" customHeight="1"/>
    <row r="1174" ht="24.75" customHeight="1"/>
    <row r="1175" ht="24.75" customHeight="1"/>
    <row r="1176" ht="24.75" customHeight="1"/>
    <row r="1177" ht="24.75" customHeight="1"/>
    <row r="1178" ht="24.75" customHeight="1"/>
    <row r="1179" ht="24.75" customHeight="1"/>
    <row r="1180" ht="24.75" customHeight="1"/>
    <row r="1181" ht="24.75" customHeight="1"/>
    <row r="1182" ht="24.75" customHeight="1"/>
    <row r="1183" ht="24.75" customHeight="1">
      <c r="B1183" s="86" t="s">
        <v>39</v>
      </c>
      <c r="C1183" s="86" t="s">
        <v>33</v>
      </c>
      <c r="D1183" s="86" t="s">
        <v>34</v>
      </c>
      <c r="E1183" s="86" t="s">
        <v>40</v>
      </c>
      <c r="F1183" s="86" t="s">
        <v>41</v>
      </c>
    </row>
    <row r="1184" ht="24.75" customHeight="1">
      <c r="B1184" s="86">
        <v>1.0</v>
      </c>
      <c r="C1184" s="86">
        <v>2.0</v>
      </c>
      <c r="D1184" s="86">
        <v>3.0</v>
      </c>
      <c r="E1184" s="86">
        <v>4.0</v>
      </c>
      <c r="F1184" s="86">
        <v>5.0</v>
      </c>
      <c r="G1184" s="86">
        <v>6.0</v>
      </c>
      <c r="H1184" s="86">
        <v>7.0</v>
      </c>
      <c r="I1184" s="86">
        <v>8.0</v>
      </c>
      <c r="J1184" s="86">
        <v>9.0</v>
      </c>
      <c r="K1184" s="86">
        <v>10.0</v>
      </c>
    </row>
  </sheetData>
  <mergeCells count="39">
    <mergeCell ref="A2:B2"/>
    <mergeCell ref="C2:G2"/>
    <mergeCell ref="A4:AI4"/>
    <mergeCell ref="A29:AK29"/>
    <mergeCell ref="A31:F31"/>
    <mergeCell ref="AF31:AK31"/>
    <mergeCell ref="H31:R31"/>
    <mergeCell ref="T31:AD31"/>
    <mergeCell ref="A32:E32"/>
    <mergeCell ref="H32:Q32"/>
    <mergeCell ref="AF32:AJ32"/>
    <mergeCell ref="H33:Q33"/>
    <mergeCell ref="AF33:AJ33"/>
    <mergeCell ref="H36:Q36"/>
    <mergeCell ref="H37:Q37"/>
    <mergeCell ref="A33:E33"/>
    <mergeCell ref="A34:E34"/>
    <mergeCell ref="H34:Q34"/>
    <mergeCell ref="A35:E35"/>
    <mergeCell ref="H35:Q35"/>
    <mergeCell ref="A36:E36"/>
    <mergeCell ref="A37:E37"/>
    <mergeCell ref="A38:E38"/>
    <mergeCell ref="T32:AC32"/>
    <mergeCell ref="T33:AC33"/>
    <mergeCell ref="T34:AC34"/>
    <mergeCell ref="AF34:AJ34"/>
    <mergeCell ref="T35:AC35"/>
    <mergeCell ref="AF35:AJ35"/>
    <mergeCell ref="AF36:AJ36"/>
    <mergeCell ref="A51:B51"/>
    <mergeCell ref="A52:B52"/>
    <mergeCell ref="T36:AC36"/>
    <mergeCell ref="T37:AC37"/>
    <mergeCell ref="AF37:AJ37"/>
    <mergeCell ref="A41:AI41"/>
    <mergeCell ref="A49:AK49"/>
    <mergeCell ref="A50:B50"/>
    <mergeCell ref="AH50:AK52"/>
  </mergeCells>
  <conditionalFormatting sqref="C51:AG52">
    <cfRule type="cellIs" dxfId="0" priority="1" operator="between">
      <formula>9</formula>
      <formula>10</formula>
    </cfRule>
  </conditionalFormatting>
  <conditionalFormatting sqref="C51:AG52">
    <cfRule type="cellIs" dxfId="1" priority="2" operator="between">
      <formula>5</formula>
      <formula>6</formula>
    </cfRule>
  </conditionalFormatting>
  <conditionalFormatting sqref="C51:AG52">
    <cfRule type="cellIs" dxfId="0" priority="3" operator="between">
      <formula>1</formula>
      <formula>4</formula>
    </cfRule>
  </conditionalFormatting>
  <conditionalFormatting sqref="C51:AG52">
    <cfRule type="cellIs" dxfId="2" priority="4" operator="between">
      <formula>7</formula>
      <formula>8</formula>
    </cfRule>
  </conditionalFormatting>
  <dataValidations>
    <dataValidation type="list" allowBlank="1" showErrorMessage="1" sqref="B44:AF44">
      <formula1>$B$1183:$F$1183</formula1>
    </dataValidation>
    <dataValidation type="list" allowBlank="1" showErrorMessage="1" sqref="C51:AG51">
      <formula1>$B$1184:$K$1184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2024-07-13T14:35:20Z</dcterms:created>
  <dc:creator>Shafaque Haider</dc:creator>
</cp:coreProperties>
</file>