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eclaration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Lists" sheetId="5" state="hidden" r:id="rId5"/>
    <sheet xmlns:r="http://schemas.openxmlformats.org/officeDocument/2006/relationships" name="Summary" sheetId="6" state="visible" r:id="rId6"/>
    <sheet xmlns:r="http://schemas.openxmlformats.org/officeDocument/2006/relationships" name="Translations" sheetId="7" state="hidden" r:id="rId7"/>
  </sheets>
  <definedNames>
    <definedName name="CountryList">'Lists'!$B$1:$AG$1</definedName>
    <definedName name="CountryISO">'Lists'!$B$2:$AG$2</definedName>
    <definedName name="Incoterms">'Lists'!$B$4:$AG$4</definedName>
    <definedName name="TransportMode">'Lists'!$B$5:$AG$5</definedName>
    <definedName name="Currency">'Lists'!$B$6:$AG$6</definedName>
    <definedName name="Units">'Lists'!$B$7:$AG$7</definedName>
    <definedName name="ProcedureCode">'Lists'!$B$8:$AG$8</definedName>
    <definedName name="LangCodes">'Lists'!$B$10:$AG$10</definedName>
    <definedName name="VATTypeList">'Lists'!$B$198:$AG$198</definedName>
    <definedName name="CountryLang_Country">'Lists'!$A$13:$A$45</definedName>
    <definedName name="CountryLang_Code">'Lists'!$B$13:$B$45</definedName>
    <definedName name="VAT_Country">'Lists'!$A$202:$A$233</definedName>
    <definedName name="VAT_Standard">'Lists'!$B$202:$B$233</definedName>
    <definedName name="VAT_Reduced1">'Lists'!$C$202:$C$233</definedName>
    <definedName name="VAT_Reduced2">'Lists'!$D$202:$D$233</definedName>
    <definedName name="_xlnm.Print_Area" localSheetId="2">'Declaration'!$A$1:$H$40</definedName>
    <definedName name="_xlnm.Print_Area" localSheetId="3">'Items'!$A$1:$W$60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sz val="12"/>
    </font>
    <font>
      <b val="1"/>
      <sz val="11"/>
    </font>
    <font>
      <b val="1"/>
      <sz val="10"/>
    </font>
    <font/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3">
    <border>
      <left/>
      <right/>
      <top/>
      <bottom/>
      <diagonal/>
    </border>
    <border/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9">
    <xf numFmtId="0" fontId="0" fillId="0" borderId="0"/>
    <xf numFmtId="0" fontId="1" fillId="0" borderId="1" applyAlignment="1">
      <alignment horizontal="left" vertical="center"/>
    </xf>
    <xf numFmtId="0" fontId="2" fillId="0" borderId="1" applyAlignment="1">
      <alignment horizontal="left" vertical="center"/>
    </xf>
    <xf numFmtId="0" fontId="3" fillId="2" borderId="2" applyAlignment="1">
      <alignment horizontal="center" vertical="center" wrapText="1"/>
    </xf>
    <xf numFmtId="0" fontId="4" fillId="0" borderId="1" applyAlignment="1">
      <alignment horizontal="right" vertical="center"/>
    </xf>
    <xf numFmtId="0" fontId="5" fillId="0" borderId="1" applyAlignment="1">
      <alignment horizontal="left" vertical="center"/>
    </xf>
    <xf numFmtId="2" fontId="5" fillId="0" borderId="1" applyAlignment="1">
      <alignment horizontal="right" vertical="center"/>
    </xf>
    <xf numFmtId="4" fontId="5" fillId="0" borderId="1" applyAlignment="1">
      <alignment horizontal="right" vertical="center"/>
    </xf>
    <xf numFmtId="10" fontId="5" fillId="0" borderId="1" applyAlignment="1">
      <alignment horizontal="right"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2" fillId="0" borderId="1" applyAlignment="1" pivotButton="0" quotePrefix="0" xfId="2">
      <alignment horizontal="left" vertical="center"/>
    </xf>
    <xf numFmtId="0" fontId="3" fillId="2" borderId="2" applyAlignment="1" pivotButton="0" quotePrefix="0" xfId="3">
      <alignment horizontal="center" vertical="center" wrapText="1"/>
    </xf>
    <xf numFmtId="0" fontId="5" fillId="0" borderId="1" applyAlignment="1" pivotButton="0" quotePrefix="0" xfId="5">
      <alignment horizontal="left" vertical="center"/>
    </xf>
    <xf numFmtId="0" fontId="4" fillId="0" borderId="1" applyAlignment="1" pivotButton="0" quotePrefix="0" xfId="4">
      <alignment horizontal="right" vertical="center"/>
    </xf>
    <xf numFmtId="2" fontId="5" fillId="0" borderId="1" applyAlignment="1" pivotButton="0" quotePrefix="0" xfId="6">
      <alignment horizontal="right" vertical="center"/>
    </xf>
  </cellXfs>
  <cellStyles count="9">
    <cellStyle name="Normal" xfId="0" builtinId="0" hidden="0"/>
    <cellStyle name="titleStyle" xfId="1" hidden="0"/>
    <cellStyle name="subtitleStyle" xfId="2" hidden="0"/>
    <cellStyle name="headerStyle" xfId="3" hidden="0"/>
    <cellStyle name="labelStyle" xfId="4" hidden="0"/>
    <cellStyle name="cellStyle" xfId="5" hidden="0"/>
    <cellStyle name="num2Style" xfId="6" hidden="0"/>
    <cellStyle name="currencyStyle" xfId="7" hidden="0"/>
    <cellStyle name="percentStyle" xfId="8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EU Customs Declaration — Master Template (Import/Export)</t>
        </is>
      </c>
    </row>
    <row r="3">
      <c r="A3" s="2" t="inlineStr">
        <is>
          <t>One file for all EU countries + UK/NO/CH/IS/LI with auto VAT, localization, and print-ready pages.</t>
        </is>
      </c>
    </row>
    <row r="5">
      <c r="A5" s="3" t="inlineStr">
        <is>
          <t>Highlights</t>
        </is>
      </c>
    </row>
    <row r="6">
      <c r="A6" s="4" t="inlineStr">
        <is>
          <t>• Country selector (auto language EN/EE/DE/FR based on country)</t>
        </is>
      </c>
    </row>
    <row r="7">
      <c r="A7" s="4" t="inlineStr">
        <is>
          <t>• Import / Export selector (SAD-style fields)</t>
        </is>
      </c>
    </row>
    <row r="8">
      <c r="A8" s="4" t="inlineStr">
        <is>
          <t>• Items with duty/VAT/total auto-calculation</t>
        </is>
      </c>
    </row>
    <row r="9">
      <c r="A9" s="4" t="inlineStr">
        <is>
          <t>• Default VAT: Standard + Reduced1 + Reduced2 (editable)</t>
        </is>
      </c>
    </row>
    <row r="10">
      <c r="A10" s="4" t="inlineStr">
        <is>
          <t>• Per-line VAT Type (Standard/Reduced/Manual)</t>
        </is>
      </c>
    </row>
    <row r="11">
      <c r="A11" s="4" t="inlineStr">
        <is>
          <t>• Professional formatting + print to PDF (macro module included)</t>
        </is>
      </c>
    </row>
  </sheetData>
  <mergeCells count="2">
    <mergeCell ref="A1:H1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EU Customs Declaration Master Template (Import/Export)</t>
        </is>
      </c>
    </row>
    <row r="2">
      <c r="A2" t="inlineStr">
        <is>
          <t>Version: 2025-08-17 • Author: Imprint • Languages: EN/EE/DE/FR</t>
        </is>
      </c>
    </row>
    <row r="4">
      <c r="A4" t="inlineStr">
        <is>
          <t>Pick Country and Flow on 'Declaration'. Items on 'Items'. Totals on 'Summary'. Default VAT loads by Country. You can localize labels by editing 'Translations' and language mapping on 'Lists'.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>
      <c r="A1" s="1" t="inlineStr">
        <is>
          <t>Customs Declaration (SAD-style) — Master</t>
        </is>
      </c>
      <c r="H1" t="inlineStr">
        <is>
          <t>Country</t>
        </is>
      </c>
      <c r="I1">
        <f>B3</f>
        <v/>
      </c>
    </row>
    <row r="2">
      <c r="H2" t="inlineStr">
        <is>
          <t>Flow</t>
        </is>
      </c>
      <c r="I2">
        <f>B4</f>
        <v/>
      </c>
    </row>
    <row r="3">
      <c r="A3" s="5">
        <f>INDEX(Translations!$B:$E, MATCH("Select Country", Translations!$A:$A, 0), MATCH($I$3, Lists!$B$10:$E$10, 0))</f>
        <v/>
      </c>
      <c r="B3" t="inlineStr"/>
      <c r="H3" t="inlineStr">
        <is>
          <t>Language</t>
        </is>
      </c>
      <c r="I3">
        <f>IFERROR(XLOOKUP(B3, CountryLang_Country, CountryLang_Code), "EN")</f>
        <v/>
      </c>
    </row>
    <row r="4">
      <c r="A4" s="5">
        <f>INDEX(Translations!$B:$E, MATCH("Select Flow", Translations!$A:$A, 0), MATCH($I$3, Lists!$B$10:$E$10, 0))</f>
        <v/>
      </c>
      <c r="B4" t="inlineStr"/>
    </row>
    <row r="6">
      <c r="A6" s="5">
        <f>INDEX(Translations!$B:$E, MATCH("Declarant (Company Name)", Translations!$A:$A, 0), MATCH($I$3, Lists!$B$10:$E$10, 0))</f>
        <v/>
      </c>
      <c r="B6" s="4" t="n"/>
    </row>
    <row r="7">
      <c r="A7" s="5">
        <f>INDEX(Translations!$B:$E, MATCH("Registry code / EORI / VAT", Translations!$A:$A, 0), MATCH($I$3, Lists!$B$10:$E$10, 0))</f>
        <v/>
      </c>
      <c r="B7" s="4" t="n"/>
    </row>
    <row r="8">
      <c r="A8" s="5">
        <f>INDEX(Translations!$B:$E, MATCH("Address", Translations!$A:$A, 0), MATCH($I$3, Lists!$B$10:$E$10, 0))</f>
        <v/>
      </c>
      <c r="B8" s="4" t="n"/>
    </row>
    <row r="9">
      <c r="A9" s="5">
        <f>INDEX(Translations!$B:$E, MATCH("Contact person", Translations!$A:$A, 0), MATCH($I$3, Lists!$B$10:$E$10, 0))</f>
        <v/>
      </c>
      <c r="B9" s="4" t="n"/>
    </row>
    <row r="10">
      <c r="A10" s="5">
        <f>INDEX(Translations!$B:$E, MATCH("Contact email", Translations!$A:$A, 0), MATCH($I$3, Lists!$B$10:$E$10, 0))</f>
        <v/>
      </c>
      <c r="B10" s="4" t="n"/>
    </row>
    <row r="11">
      <c r="A11" s="5">
        <f>INDEX(Translations!$B:$E, MATCH("Contact phone", Translations!$A:$A, 0), MATCH($I$3, Lists!$B$10:$E$10, 0))</f>
        <v/>
      </c>
      <c r="B11" s="4" t="n"/>
    </row>
    <row r="13">
      <c r="A13" s="5">
        <f>INDEX(Translations!$B:$E, MATCH("Consignor (Seller / Exporter)", Translations!$A:$A, 0), MATCH($I$3, Lists!$B$10:$E$10, 0))</f>
        <v/>
      </c>
      <c r="B13" s="4" t="n"/>
    </row>
    <row r="14">
      <c r="A14" s="5">
        <f>INDEX(Translations!$B:$E, MATCH("Consignee (Buyer / Importer)", Translations!$A:$A, 0), MATCH($I$3, Lists!$B$10:$E$10, 0))</f>
        <v/>
      </c>
      <c r="B14" s="4" t="n"/>
    </row>
    <row r="15">
      <c r="A15" s="5">
        <f>INDEX(Translations!$B:$E, MATCH("Consignor VAT/EORI", Translations!$A:$A, 0), MATCH($I$3, Lists!$B$10:$E$10, 0))</f>
        <v/>
      </c>
      <c r="B15" s="4" t="n"/>
    </row>
    <row r="16">
      <c r="A16" s="5">
        <f>INDEX(Translations!$B:$E, MATCH("Consignee VAT/EORI", Translations!$A:$A, 0), MATCH($I$3, Lists!$B$10:$E$10, 0))</f>
        <v/>
      </c>
      <c r="B16" s="4" t="n"/>
    </row>
    <row r="18">
      <c r="A18" s="1">
        <f>INDEX(Translations!$B:$E, MATCH("Shipment &amp; Procedure", Translations!$A:$A, 0), MATCH($I$3, Lists!$B$10:$E$10, 0))</f>
        <v/>
      </c>
    </row>
    <row r="20">
      <c r="A20">
        <f>INDEX(Translations!$B:$E, MATCH("Procedure code", Translations!$A:$A, 0), MATCH($I$3, Lists!$B$10:$E$10, 0))</f>
        <v/>
      </c>
      <c r="B20" s="4" t="n"/>
    </row>
    <row r="21">
      <c r="A21">
        <f>INDEX(Translations!$B:$E, MATCH("Incoterms", Translations!$A:$A, 0), MATCH($I$3, Lists!$B$10:$E$10, 0))</f>
        <v/>
      </c>
      <c r="B21" s="4" t="n"/>
    </row>
    <row r="22">
      <c r="A22">
        <f>INDEX(Translations!$B:$E, MATCH("Country of dispatch/destination (ISO)", Translations!$A:$A, 0), MATCH($I$3, Lists!$B$10:$E$10, 0))</f>
        <v/>
      </c>
      <c r="B22" s="4" t="n"/>
    </row>
    <row r="23">
      <c r="A23">
        <f>INDEX(Translations!$B:$E, MATCH("Mode of transport at border", Translations!$A:$A, 0), MATCH($I$3, Lists!$B$10:$E$10, 0))</f>
        <v/>
      </c>
      <c r="B23" s="4" t="n"/>
    </row>
    <row r="24">
      <c r="A24">
        <f>INDEX(Translations!$B:$E, MATCH("Border crossing point / Vehicle No.", Translations!$A:$A, 0), MATCH($I$3, Lists!$B$10:$E$10, 0))</f>
        <v/>
      </c>
      <c r="B24" s="4" t="n"/>
    </row>
    <row r="25">
      <c r="A25">
        <f>INDEX(Translations!$B:$E, MATCH("Invoice number / date", Translations!$A:$A, 0), MATCH($I$3, Lists!$B$10:$E$10, 0))</f>
        <v/>
      </c>
      <c r="B25" s="4" t="n"/>
    </row>
    <row r="26">
      <c r="A26">
        <f>INDEX(Translations!$B:$E, MATCH("Reference / Order No.", Translations!$A:$A, 0), MATCH($I$3, Lists!$B$10:$E$10, 0))</f>
        <v/>
      </c>
      <c r="B26" s="4" t="n"/>
    </row>
    <row r="28">
      <c r="A28">
        <f>INDEX(Translations!$B:$E, MATCH("Totals (from Items)", Translations!$A:$A, 0), MATCH($I$3, Lists!$B$10:$E$10, 0))</f>
        <v/>
      </c>
    </row>
    <row r="30">
      <c r="A30">
        <f>INDEX(Translations!$B:$E, MATCH("Customs Value (EUR)", Translations!$A:$A, 0), MATCH($I$3, Lists!$B$10:$E$10, 0))</f>
        <v/>
      </c>
      <c r="B30">
        <f>Summary!B6</f>
        <v/>
      </c>
    </row>
    <row r="31">
      <c r="A31">
        <f>INDEX(Translations!$B:$E, MATCH("Duty (EUR)", Translations!$A:$A, 0), MATCH($I$3, Lists!$B$10:$E$10, 0))</f>
        <v/>
      </c>
      <c r="B31">
        <f>Summary!B7</f>
        <v/>
      </c>
    </row>
    <row r="32">
      <c r="A32">
        <f>INDEX(Translations!$B:$E, MATCH("VAT (EUR)", Translations!$A:$A, 0), MATCH($I$3, Lists!$B$10:$E$10, 0))</f>
        <v/>
      </c>
      <c r="B32">
        <f>Summary!B8</f>
        <v/>
      </c>
    </row>
    <row r="33">
      <c r="A33">
        <f>INDEX(Translations!$B:$E, MATCH("Total Taxes (EUR)", Translations!$A:$A, 0), MATCH($I$3, Lists!$B$10:$E$10, 0))</f>
        <v/>
      </c>
      <c r="B33">
        <f>Summary!B9</f>
        <v/>
      </c>
    </row>
    <row r="34">
      <c r="A34">
        <f>INDEX(Translations!$B:$E, MATCH("Grand Total (EUR)", Translations!$A:$A, 0), MATCH($I$3, Lists!$B$10:$E$10, 0))</f>
        <v/>
      </c>
      <c r="B34">
        <f>Summary!B10</f>
        <v/>
      </c>
    </row>
  </sheetData>
  <mergeCells count="17">
    <mergeCell ref="B6:G6"/>
    <mergeCell ref="B7:G7"/>
    <mergeCell ref="B8:G8"/>
    <mergeCell ref="B9:G9"/>
    <mergeCell ref="B10:G10"/>
    <mergeCell ref="B11:G11"/>
    <mergeCell ref="B13:G13"/>
    <mergeCell ref="B14:G14"/>
    <mergeCell ref="B15:G15"/>
    <mergeCell ref="B16:G16"/>
    <mergeCell ref="B20:D20"/>
    <mergeCell ref="B21:D21"/>
    <mergeCell ref="B22:D22"/>
    <mergeCell ref="B23:D23"/>
    <mergeCell ref="B24:D24"/>
    <mergeCell ref="B25:D25"/>
    <mergeCell ref="B26:D26"/>
  </mergeCells>
  <dataValidations count="6">
    <dataValidation sqref="B3" showErrorMessage="1" showInputMessage="1" allowBlank="0" type="list">
      <formula1>=CountryList</formula1>
    </dataValidation>
    <dataValidation sqref="B4" showErrorMessage="1" showInputMessage="1" allowBlank="0" type="list">
      <formula1>"Import,Export"</formula1>
    </dataValidation>
    <dataValidation sqref="B20" showErrorMessage="1" showInputMessage="1" allowBlank="0" type="list">
      <formula1>=ProcedureCode</formula1>
    </dataValidation>
    <dataValidation sqref="B21" showErrorMessage="1" showInputMessage="1" allowBlank="0" type="list">
      <formula1>=Incoterms</formula1>
    </dataValidation>
    <dataValidation sqref="B22" showErrorMessage="1" showInputMessage="1" allowBlank="0" type="list">
      <formula1>=CountryISO</formula1>
    </dataValidation>
    <dataValidation sqref="B23" showErrorMessage="1" showInputMessage="1" allowBlank="0" type="list">
      <formula1>=TransportMode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10" customWidth="1" min="4" max="4"/>
    <col width="10" customWidth="1" min="5" max="5"/>
    <col width="8" customWidth="1" min="6" max="6"/>
    <col width="14" customWidth="1" min="7" max="7"/>
    <col width="16" customWidth="1" min="8" max="8"/>
    <col width="10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8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8" customWidth="1" min="23" max="23"/>
  </cols>
  <sheetData>
    <row r="1">
      <c r="A1" s="3" t="inlineStr">
        <is>
          <t>Line</t>
        </is>
      </c>
      <c r="B1" s="3" t="inlineStr">
        <is>
          <t>HS Code</t>
        </is>
      </c>
      <c r="C1" s="3" t="inlineStr">
        <is>
          <t>Description of goods</t>
        </is>
      </c>
      <c r="D1" s="3" t="inlineStr">
        <is>
          <t>Origin (ISO)</t>
        </is>
      </c>
      <c r="E1" s="3" t="inlineStr">
        <is>
          <t>Qty</t>
        </is>
      </c>
      <c r="F1" s="3" t="inlineStr">
        <is>
          <t>Unit</t>
        </is>
      </c>
      <c r="G1" s="3" t="inlineStr">
        <is>
          <t>Net Weight (kg)</t>
        </is>
      </c>
      <c r="H1" s="3" t="inlineStr">
        <is>
          <t>Gross Weight (kg)</t>
        </is>
      </c>
      <c r="I1" s="3" t="inlineStr">
        <is>
          <t>Currency</t>
        </is>
      </c>
      <c r="J1" s="3" t="inlineStr">
        <is>
          <t>Unit Price</t>
        </is>
      </c>
      <c r="K1" s="3" t="inlineStr">
        <is>
          <t>Line Value (Currency)</t>
        </is>
      </c>
      <c r="L1" s="3" t="inlineStr">
        <is>
          <t>Freight</t>
        </is>
      </c>
      <c r="M1" s="3" t="inlineStr">
        <is>
          <t>Insurance</t>
        </is>
      </c>
      <c r="N1" s="3" t="inlineStr">
        <is>
          <t>Other Costs</t>
        </is>
      </c>
      <c r="O1" s="3" t="inlineStr">
        <is>
          <t>Customs Value (EUR)</t>
        </is>
      </c>
      <c r="P1" s="3" t="inlineStr">
        <is>
          <t>Duty Rate (%)</t>
        </is>
      </c>
      <c r="Q1" s="3" t="inlineStr">
        <is>
          <t>Duty (EUR)</t>
        </is>
      </c>
      <c r="R1" s="3" t="inlineStr">
        <is>
          <t>VAT Type</t>
        </is>
      </c>
      <c r="S1" s="3" t="inlineStr">
        <is>
          <t>Manual VAT (%)</t>
        </is>
      </c>
      <c r="T1" s="3" t="inlineStr">
        <is>
          <t>VAT Rate (%)</t>
        </is>
      </c>
      <c r="U1" s="3" t="inlineStr">
        <is>
          <t>VAT (EUR)</t>
        </is>
      </c>
      <c r="V1" s="3" t="inlineStr">
        <is>
          <t>Total Taxes (EUR)</t>
        </is>
      </c>
      <c r="W1" s="3" t="inlineStr">
        <is>
          <t>Line Total (EUR)</t>
        </is>
      </c>
    </row>
    <row r="2">
      <c r="A2" s="4" t="n">
        <v>1</v>
      </c>
      <c r="K2" s="6">
        <f>IFERROR(E2*J2,0)</f>
        <v/>
      </c>
      <c r="O2" s="6">
        <f>SUM(L2:N2)+IF(I2="EUR",K2,K2)</f>
        <v/>
      </c>
      <c r="Q2" s="6">
        <f>IFERROR(O2*P2/100,0)</f>
        <v/>
      </c>
      <c r="R2" t="inlineStr">
        <is>
          <t>Standard</t>
        </is>
      </c>
      <c r="T2" s="6">
        <f>IF(R2="Manual", IFERROR(S2, Summary!B5), IF(R2="Reduced1", Summary!C5, IF(R2="Reduced2", Summary!D5, Summary!B5)))</f>
        <v/>
      </c>
      <c r="U2" s="6">
        <f>IFERROR((O2+Q2)*T2/100,0)</f>
        <v/>
      </c>
      <c r="V2" s="6">
        <f>Q2+U2</f>
        <v/>
      </c>
      <c r="W2" s="6">
        <f>O2+V2</f>
        <v/>
      </c>
    </row>
    <row r="3">
      <c r="A3" s="4" t="n">
        <v>2</v>
      </c>
      <c r="K3" s="6">
        <f>IFERROR(E3*J3,0)</f>
        <v/>
      </c>
      <c r="O3" s="6">
        <f>SUM(L3:N3)+IF(I3="EUR",K3,K3)</f>
        <v/>
      </c>
      <c r="Q3" s="6">
        <f>IFERROR(O3*P3/100,0)</f>
        <v/>
      </c>
      <c r="R3" t="inlineStr">
        <is>
          <t>Standard</t>
        </is>
      </c>
      <c r="T3" s="6">
        <f>IF(R3="Manual", IFERROR(S3, Summary!B5), IF(R3="Reduced1", Summary!C5, IF(R3="Reduced2", Summary!D5, Summary!B5)))</f>
        <v/>
      </c>
      <c r="U3" s="6">
        <f>IFERROR((O3+Q3)*T3/100,0)</f>
        <v/>
      </c>
      <c r="V3" s="6">
        <f>Q3+U3</f>
        <v/>
      </c>
      <c r="W3" s="6">
        <f>O3+V3</f>
        <v/>
      </c>
    </row>
    <row r="4">
      <c r="A4" s="4" t="n">
        <v>3</v>
      </c>
      <c r="K4" s="6">
        <f>IFERROR(E4*J4,0)</f>
        <v/>
      </c>
      <c r="O4" s="6">
        <f>SUM(L4:N4)+IF(I4="EUR",K4,K4)</f>
        <v/>
      </c>
      <c r="Q4" s="6">
        <f>IFERROR(O4*P4/100,0)</f>
        <v/>
      </c>
      <c r="R4" t="inlineStr">
        <is>
          <t>Standard</t>
        </is>
      </c>
      <c r="T4" s="6">
        <f>IF(R4="Manual", IFERROR(S4, Summary!B5), IF(R4="Reduced1", Summary!C5, IF(R4="Reduced2", Summary!D5, Summary!B5)))</f>
        <v/>
      </c>
      <c r="U4" s="6">
        <f>IFERROR((O4+Q4)*T4/100,0)</f>
        <v/>
      </c>
      <c r="V4" s="6">
        <f>Q4+U4</f>
        <v/>
      </c>
      <c r="W4" s="6">
        <f>O4+V4</f>
        <v/>
      </c>
    </row>
    <row r="5">
      <c r="A5" s="4" t="n">
        <v>4</v>
      </c>
      <c r="K5" s="6">
        <f>IFERROR(E5*J5,0)</f>
        <v/>
      </c>
      <c r="O5" s="6">
        <f>SUM(L5:N5)+IF(I5="EUR",K5,K5)</f>
        <v/>
      </c>
      <c r="Q5" s="6">
        <f>IFERROR(O5*P5/100,0)</f>
        <v/>
      </c>
      <c r="R5" t="inlineStr">
        <is>
          <t>Standard</t>
        </is>
      </c>
      <c r="T5" s="6">
        <f>IF(R5="Manual", IFERROR(S5, Summary!B5), IF(R5="Reduced1", Summary!C5, IF(R5="Reduced2", Summary!D5, Summary!B5)))</f>
        <v/>
      </c>
      <c r="U5" s="6">
        <f>IFERROR((O5+Q5)*T5/100,0)</f>
        <v/>
      </c>
      <c r="V5" s="6">
        <f>Q5+U5</f>
        <v/>
      </c>
      <c r="W5" s="6">
        <f>O5+V5</f>
        <v/>
      </c>
    </row>
    <row r="6">
      <c r="A6" s="4" t="n">
        <v>5</v>
      </c>
      <c r="K6" s="6">
        <f>IFERROR(E6*J6,0)</f>
        <v/>
      </c>
      <c r="O6" s="6">
        <f>SUM(L6:N6)+IF(I6="EUR",K6,K6)</f>
        <v/>
      </c>
      <c r="Q6" s="6">
        <f>IFERROR(O6*P6/100,0)</f>
        <v/>
      </c>
      <c r="R6" t="inlineStr">
        <is>
          <t>Standard</t>
        </is>
      </c>
      <c r="T6" s="6">
        <f>IF(R6="Manual", IFERROR(S6, Summary!B5), IF(R6="Reduced1", Summary!C5, IF(R6="Reduced2", Summary!D5, Summary!B5)))</f>
        <v/>
      </c>
      <c r="U6" s="6">
        <f>IFERROR((O6+Q6)*T6/100,0)</f>
        <v/>
      </c>
      <c r="V6" s="6">
        <f>Q6+U6</f>
        <v/>
      </c>
      <c r="W6" s="6">
        <f>O6+V6</f>
        <v/>
      </c>
    </row>
    <row r="7">
      <c r="A7" s="4" t="n">
        <v>6</v>
      </c>
      <c r="K7" s="6">
        <f>IFERROR(E7*J7,0)</f>
        <v/>
      </c>
      <c r="O7" s="6">
        <f>SUM(L7:N7)+IF(I7="EUR",K7,K7)</f>
        <v/>
      </c>
      <c r="Q7" s="6">
        <f>IFERROR(O7*P7/100,0)</f>
        <v/>
      </c>
      <c r="R7" t="inlineStr">
        <is>
          <t>Standard</t>
        </is>
      </c>
      <c r="T7" s="6">
        <f>IF(R7="Manual", IFERROR(S7, Summary!B5), IF(R7="Reduced1", Summary!C5, IF(R7="Reduced2", Summary!D5, Summary!B5)))</f>
        <v/>
      </c>
      <c r="U7" s="6">
        <f>IFERROR((O7+Q7)*T7/100,0)</f>
        <v/>
      </c>
      <c r="V7" s="6">
        <f>Q7+U7</f>
        <v/>
      </c>
      <c r="W7" s="6">
        <f>O7+V7</f>
        <v/>
      </c>
    </row>
    <row r="8">
      <c r="A8" s="4" t="n">
        <v>7</v>
      </c>
      <c r="K8" s="6">
        <f>IFERROR(E8*J8,0)</f>
        <v/>
      </c>
      <c r="O8" s="6">
        <f>SUM(L8:N8)+IF(I8="EUR",K8,K8)</f>
        <v/>
      </c>
      <c r="Q8" s="6">
        <f>IFERROR(O8*P8/100,0)</f>
        <v/>
      </c>
      <c r="R8" t="inlineStr">
        <is>
          <t>Standard</t>
        </is>
      </c>
      <c r="T8" s="6">
        <f>IF(R8="Manual", IFERROR(S8, Summary!B5), IF(R8="Reduced1", Summary!C5, IF(R8="Reduced2", Summary!D5, Summary!B5)))</f>
        <v/>
      </c>
      <c r="U8" s="6">
        <f>IFERROR((O8+Q8)*T8/100,0)</f>
        <v/>
      </c>
      <c r="V8" s="6">
        <f>Q8+U8</f>
        <v/>
      </c>
      <c r="W8" s="6">
        <f>O8+V8</f>
        <v/>
      </c>
    </row>
    <row r="9">
      <c r="A9" s="4" t="n">
        <v>8</v>
      </c>
      <c r="K9" s="6">
        <f>IFERROR(E9*J9,0)</f>
        <v/>
      </c>
      <c r="O9" s="6">
        <f>SUM(L9:N9)+IF(I9="EUR",K9,K9)</f>
        <v/>
      </c>
      <c r="Q9" s="6">
        <f>IFERROR(O9*P9/100,0)</f>
        <v/>
      </c>
      <c r="R9" t="inlineStr">
        <is>
          <t>Standard</t>
        </is>
      </c>
      <c r="T9" s="6">
        <f>IF(R9="Manual", IFERROR(S9, Summary!B5), IF(R9="Reduced1", Summary!C5, IF(R9="Reduced2", Summary!D5, Summary!B5)))</f>
        <v/>
      </c>
      <c r="U9" s="6">
        <f>IFERROR((O9+Q9)*T9/100,0)</f>
        <v/>
      </c>
      <c r="V9" s="6">
        <f>Q9+U9</f>
        <v/>
      </c>
      <c r="W9" s="6">
        <f>O9+V9</f>
        <v/>
      </c>
    </row>
    <row r="10">
      <c r="A10" s="4" t="n">
        <v>9</v>
      </c>
      <c r="K10" s="6">
        <f>IFERROR(E10*J10,0)</f>
        <v/>
      </c>
      <c r="O10" s="6">
        <f>SUM(L10:N10)+IF(I10="EUR",K10,K10)</f>
        <v/>
      </c>
      <c r="Q10" s="6">
        <f>IFERROR(O10*P10/100,0)</f>
        <v/>
      </c>
      <c r="R10" t="inlineStr">
        <is>
          <t>Standard</t>
        </is>
      </c>
      <c r="T10" s="6">
        <f>IF(R10="Manual", IFERROR(S10, Summary!B5), IF(R10="Reduced1", Summary!C5, IF(R10="Reduced2", Summary!D5, Summary!B5)))</f>
        <v/>
      </c>
      <c r="U10" s="6">
        <f>IFERROR((O10+Q10)*T10/100,0)</f>
        <v/>
      </c>
      <c r="V10" s="6">
        <f>Q10+U10</f>
        <v/>
      </c>
      <c r="W10" s="6">
        <f>O10+V10</f>
        <v/>
      </c>
    </row>
    <row r="11">
      <c r="A11" s="4" t="n">
        <v>10</v>
      </c>
      <c r="K11" s="6">
        <f>IFERROR(E11*J11,0)</f>
        <v/>
      </c>
      <c r="O11" s="6">
        <f>SUM(L11:N11)+IF(I11="EUR",K11,K11)</f>
        <v/>
      </c>
      <c r="Q11" s="6">
        <f>IFERROR(O11*P11/100,0)</f>
        <v/>
      </c>
      <c r="R11" t="inlineStr">
        <is>
          <t>Standard</t>
        </is>
      </c>
      <c r="T11" s="6">
        <f>IF(R11="Manual", IFERROR(S11, Summary!B5), IF(R11="Reduced1", Summary!C5, IF(R11="Reduced2", Summary!D5, Summary!B5)))</f>
        <v/>
      </c>
      <c r="U11" s="6">
        <f>IFERROR((O11+Q11)*T11/100,0)</f>
        <v/>
      </c>
      <c r="V11" s="6">
        <f>Q11+U11</f>
        <v/>
      </c>
      <c r="W11" s="6">
        <f>O11+V11</f>
        <v/>
      </c>
    </row>
    <row r="12">
      <c r="A12" s="4" t="n">
        <v>11</v>
      </c>
      <c r="K12" s="6">
        <f>IFERROR(E12*J12,0)</f>
        <v/>
      </c>
      <c r="O12" s="6">
        <f>SUM(L12:N12)+IF(I12="EUR",K12,K12)</f>
        <v/>
      </c>
      <c r="Q12" s="6">
        <f>IFERROR(O12*P12/100,0)</f>
        <v/>
      </c>
      <c r="R12" t="inlineStr">
        <is>
          <t>Standard</t>
        </is>
      </c>
      <c r="T12" s="6">
        <f>IF(R12="Manual", IFERROR(S12, Summary!B5), IF(R12="Reduced1", Summary!C5, IF(R12="Reduced2", Summary!D5, Summary!B5)))</f>
        <v/>
      </c>
      <c r="U12" s="6">
        <f>IFERROR((O12+Q12)*T12/100,0)</f>
        <v/>
      </c>
      <c r="V12" s="6">
        <f>Q12+U12</f>
        <v/>
      </c>
      <c r="W12" s="6">
        <f>O12+V12</f>
        <v/>
      </c>
    </row>
    <row r="13">
      <c r="A13" s="4" t="n">
        <v>12</v>
      </c>
      <c r="K13" s="6">
        <f>IFERROR(E13*J13,0)</f>
        <v/>
      </c>
      <c r="O13" s="6">
        <f>SUM(L13:N13)+IF(I13="EUR",K13,K13)</f>
        <v/>
      </c>
      <c r="Q13" s="6">
        <f>IFERROR(O13*P13/100,0)</f>
        <v/>
      </c>
      <c r="R13" t="inlineStr">
        <is>
          <t>Standard</t>
        </is>
      </c>
      <c r="T13" s="6">
        <f>IF(R13="Manual", IFERROR(S13, Summary!B5), IF(R13="Reduced1", Summary!C5, IF(R13="Reduced2", Summary!D5, Summary!B5)))</f>
        <v/>
      </c>
      <c r="U13" s="6">
        <f>IFERROR((O13+Q13)*T13/100,0)</f>
        <v/>
      </c>
      <c r="V13" s="6">
        <f>Q13+U13</f>
        <v/>
      </c>
      <c r="W13" s="6">
        <f>O13+V13</f>
        <v/>
      </c>
    </row>
    <row r="14">
      <c r="A14" s="4" t="n">
        <v>13</v>
      </c>
      <c r="K14" s="6">
        <f>IFERROR(E14*J14,0)</f>
        <v/>
      </c>
      <c r="O14" s="6">
        <f>SUM(L14:N14)+IF(I14="EUR",K14,K14)</f>
        <v/>
      </c>
      <c r="Q14" s="6">
        <f>IFERROR(O14*P14/100,0)</f>
        <v/>
      </c>
      <c r="R14" t="inlineStr">
        <is>
          <t>Standard</t>
        </is>
      </c>
      <c r="T14" s="6">
        <f>IF(R14="Manual", IFERROR(S14, Summary!B5), IF(R14="Reduced1", Summary!C5, IF(R14="Reduced2", Summary!D5, Summary!B5)))</f>
        <v/>
      </c>
      <c r="U14" s="6">
        <f>IFERROR((O14+Q14)*T14/100,0)</f>
        <v/>
      </c>
      <c r="V14" s="6">
        <f>Q14+U14</f>
        <v/>
      </c>
      <c r="W14" s="6">
        <f>O14+V14</f>
        <v/>
      </c>
    </row>
    <row r="15">
      <c r="A15" s="4" t="n">
        <v>14</v>
      </c>
      <c r="K15" s="6">
        <f>IFERROR(E15*J15,0)</f>
        <v/>
      </c>
      <c r="O15" s="6">
        <f>SUM(L15:N15)+IF(I15="EUR",K15,K15)</f>
        <v/>
      </c>
      <c r="Q15" s="6">
        <f>IFERROR(O15*P15/100,0)</f>
        <v/>
      </c>
      <c r="R15" t="inlineStr">
        <is>
          <t>Standard</t>
        </is>
      </c>
      <c r="T15" s="6">
        <f>IF(R15="Manual", IFERROR(S15, Summary!B5), IF(R15="Reduced1", Summary!C5, IF(R15="Reduced2", Summary!D5, Summary!B5)))</f>
        <v/>
      </c>
      <c r="U15" s="6">
        <f>IFERROR((O15+Q15)*T15/100,0)</f>
        <v/>
      </c>
      <c r="V15" s="6">
        <f>Q15+U15</f>
        <v/>
      </c>
      <c r="W15" s="6">
        <f>O15+V15</f>
        <v/>
      </c>
    </row>
    <row r="16">
      <c r="A16" s="4" t="n">
        <v>15</v>
      </c>
      <c r="K16" s="6">
        <f>IFERROR(E16*J16,0)</f>
        <v/>
      </c>
      <c r="O16" s="6">
        <f>SUM(L16:N16)+IF(I16="EUR",K16,K16)</f>
        <v/>
      </c>
      <c r="Q16" s="6">
        <f>IFERROR(O16*P16/100,0)</f>
        <v/>
      </c>
      <c r="R16" t="inlineStr">
        <is>
          <t>Standard</t>
        </is>
      </c>
      <c r="T16" s="6">
        <f>IF(R16="Manual", IFERROR(S16, Summary!B5), IF(R16="Reduced1", Summary!C5, IF(R16="Reduced2", Summary!D5, Summary!B5)))</f>
        <v/>
      </c>
      <c r="U16" s="6">
        <f>IFERROR((O16+Q16)*T16/100,0)</f>
        <v/>
      </c>
      <c r="V16" s="6">
        <f>Q16+U16</f>
        <v/>
      </c>
      <c r="W16" s="6">
        <f>O16+V16</f>
        <v/>
      </c>
    </row>
    <row r="17">
      <c r="A17" s="4" t="n">
        <v>16</v>
      </c>
      <c r="K17" s="6">
        <f>IFERROR(E17*J17,0)</f>
        <v/>
      </c>
      <c r="O17" s="6">
        <f>SUM(L17:N17)+IF(I17="EUR",K17,K17)</f>
        <v/>
      </c>
      <c r="Q17" s="6">
        <f>IFERROR(O17*P17/100,0)</f>
        <v/>
      </c>
      <c r="R17" t="inlineStr">
        <is>
          <t>Standard</t>
        </is>
      </c>
      <c r="T17" s="6">
        <f>IF(R17="Manual", IFERROR(S17, Summary!B5), IF(R17="Reduced1", Summary!C5, IF(R17="Reduced2", Summary!D5, Summary!B5)))</f>
        <v/>
      </c>
      <c r="U17" s="6">
        <f>IFERROR((O17+Q17)*T17/100,0)</f>
        <v/>
      </c>
      <c r="V17" s="6">
        <f>Q17+U17</f>
        <v/>
      </c>
      <c r="W17" s="6">
        <f>O17+V17</f>
        <v/>
      </c>
    </row>
    <row r="18">
      <c r="A18" s="4" t="n">
        <v>17</v>
      </c>
      <c r="K18" s="6">
        <f>IFERROR(E18*J18,0)</f>
        <v/>
      </c>
      <c r="O18" s="6">
        <f>SUM(L18:N18)+IF(I18="EUR",K18,K18)</f>
        <v/>
      </c>
      <c r="Q18" s="6">
        <f>IFERROR(O18*P18/100,0)</f>
        <v/>
      </c>
      <c r="R18" t="inlineStr">
        <is>
          <t>Standard</t>
        </is>
      </c>
      <c r="T18" s="6">
        <f>IF(R18="Manual", IFERROR(S18, Summary!B5), IF(R18="Reduced1", Summary!C5, IF(R18="Reduced2", Summary!D5, Summary!B5)))</f>
        <v/>
      </c>
      <c r="U18" s="6">
        <f>IFERROR((O18+Q18)*T18/100,0)</f>
        <v/>
      </c>
      <c r="V18" s="6">
        <f>Q18+U18</f>
        <v/>
      </c>
      <c r="W18" s="6">
        <f>O18+V18</f>
        <v/>
      </c>
    </row>
    <row r="19">
      <c r="A19" s="4" t="n">
        <v>18</v>
      </c>
      <c r="K19" s="6">
        <f>IFERROR(E19*J19,0)</f>
        <v/>
      </c>
      <c r="O19" s="6">
        <f>SUM(L19:N19)+IF(I19="EUR",K19,K19)</f>
        <v/>
      </c>
      <c r="Q19" s="6">
        <f>IFERROR(O19*P19/100,0)</f>
        <v/>
      </c>
      <c r="R19" t="inlineStr">
        <is>
          <t>Standard</t>
        </is>
      </c>
      <c r="T19" s="6">
        <f>IF(R19="Manual", IFERROR(S19, Summary!B5), IF(R19="Reduced1", Summary!C5, IF(R19="Reduced2", Summary!D5, Summary!B5)))</f>
        <v/>
      </c>
      <c r="U19" s="6">
        <f>IFERROR((O19+Q19)*T19/100,0)</f>
        <v/>
      </c>
      <c r="V19" s="6">
        <f>Q19+U19</f>
        <v/>
      </c>
      <c r="W19" s="6">
        <f>O19+V19</f>
        <v/>
      </c>
    </row>
    <row r="20">
      <c r="A20" s="4" t="n">
        <v>19</v>
      </c>
      <c r="K20" s="6">
        <f>IFERROR(E20*J20,0)</f>
        <v/>
      </c>
      <c r="O20" s="6">
        <f>SUM(L20:N20)+IF(I20="EUR",K20,K20)</f>
        <v/>
      </c>
      <c r="Q20" s="6">
        <f>IFERROR(O20*P20/100,0)</f>
        <v/>
      </c>
      <c r="R20" t="inlineStr">
        <is>
          <t>Standard</t>
        </is>
      </c>
      <c r="T20" s="6">
        <f>IF(R20="Manual", IFERROR(S20, Summary!B5), IF(R20="Reduced1", Summary!C5, IF(R20="Reduced2", Summary!D5, Summary!B5)))</f>
        <v/>
      </c>
      <c r="U20" s="6">
        <f>IFERROR((O20+Q20)*T20/100,0)</f>
        <v/>
      </c>
      <c r="V20" s="6">
        <f>Q20+U20</f>
        <v/>
      </c>
      <c r="W20" s="6">
        <f>O20+V20</f>
        <v/>
      </c>
    </row>
    <row r="21">
      <c r="A21" s="4" t="n">
        <v>20</v>
      </c>
      <c r="K21" s="6">
        <f>IFERROR(E21*J21,0)</f>
        <v/>
      </c>
      <c r="O21" s="6">
        <f>SUM(L21:N21)+IF(I21="EUR",K21,K21)</f>
        <v/>
      </c>
      <c r="Q21" s="6">
        <f>IFERROR(O21*P21/100,0)</f>
        <v/>
      </c>
      <c r="R21" t="inlineStr">
        <is>
          <t>Standard</t>
        </is>
      </c>
      <c r="T21" s="6">
        <f>IF(R21="Manual", IFERROR(S21, Summary!B5), IF(R21="Reduced1", Summary!C5, IF(R21="Reduced2", Summary!D5, Summary!B5)))</f>
        <v/>
      </c>
      <c r="U21" s="6">
        <f>IFERROR((O21+Q21)*T21/100,0)</f>
        <v/>
      </c>
      <c r="V21" s="6">
        <f>Q21+U21</f>
        <v/>
      </c>
      <c r="W21" s="6">
        <f>O21+V21</f>
        <v/>
      </c>
    </row>
    <row r="22">
      <c r="A22" s="4" t="n">
        <v>21</v>
      </c>
      <c r="K22" s="6">
        <f>IFERROR(E22*J22,0)</f>
        <v/>
      </c>
      <c r="O22" s="6">
        <f>SUM(L22:N22)+IF(I22="EUR",K22,K22)</f>
        <v/>
      </c>
      <c r="Q22" s="6">
        <f>IFERROR(O22*P22/100,0)</f>
        <v/>
      </c>
      <c r="R22" t="inlineStr">
        <is>
          <t>Standard</t>
        </is>
      </c>
      <c r="T22" s="6">
        <f>IF(R22="Manual", IFERROR(S22, Summary!B5), IF(R22="Reduced1", Summary!C5, IF(R22="Reduced2", Summary!D5, Summary!B5)))</f>
        <v/>
      </c>
      <c r="U22" s="6">
        <f>IFERROR((O22+Q22)*T22/100,0)</f>
        <v/>
      </c>
      <c r="V22" s="6">
        <f>Q22+U22</f>
        <v/>
      </c>
      <c r="W22" s="6">
        <f>O22+V22</f>
        <v/>
      </c>
    </row>
    <row r="23">
      <c r="A23" s="4" t="n">
        <v>22</v>
      </c>
      <c r="K23" s="6">
        <f>IFERROR(E23*J23,0)</f>
        <v/>
      </c>
      <c r="O23" s="6">
        <f>SUM(L23:N23)+IF(I23="EUR",K23,K23)</f>
        <v/>
      </c>
      <c r="Q23" s="6">
        <f>IFERROR(O23*P23/100,0)</f>
        <v/>
      </c>
      <c r="R23" t="inlineStr">
        <is>
          <t>Standard</t>
        </is>
      </c>
      <c r="T23" s="6">
        <f>IF(R23="Manual", IFERROR(S23, Summary!B5), IF(R23="Reduced1", Summary!C5, IF(R23="Reduced2", Summary!D5, Summary!B5)))</f>
        <v/>
      </c>
      <c r="U23" s="6">
        <f>IFERROR((O23+Q23)*T23/100,0)</f>
        <v/>
      </c>
      <c r="V23" s="6">
        <f>Q23+U23</f>
        <v/>
      </c>
      <c r="W23" s="6">
        <f>O23+V23</f>
        <v/>
      </c>
    </row>
    <row r="24">
      <c r="A24" s="4" t="n">
        <v>23</v>
      </c>
      <c r="K24" s="6">
        <f>IFERROR(E24*J24,0)</f>
        <v/>
      </c>
      <c r="O24" s="6">
        <f>SUM(L24:N24)+IF(I24="EUR",K24,K24)</f>
        <v/>
      </c>
      <c r="Q24" s="6">
        <f>IFERROR(O24*P24/100,0)</f>
        <v/>
      </c>
      <c r="R24" t="inlineStr">
        <is>
          <t>Standard</t>
        </is>
      </c>
      <c r="T24" s="6">
        <f>IF(R24="Manual", IFERROR(S24, Summary!B5), IF(R24="Reduced1", Summary!C5, IF(R24="Reduced2", Summary!D5, Summary!B5)))</f>
        <v/>
      </c>
      <c r="U24" s="6">
        <f>IFERROR((O24+Q24)*T24/100,0)</f>
        <v/>
      </c>
      <c r="V24" s="6">
        <f>Q24+U24</f>
        <v/>
      </c>
      <c r="W24" s="6">
        <f>O24+V24</f>
        <v/>
      </c>
    </row>
    <row r="25">
      <c r="A25" s="4" t="n">
        <v>24</v>
      </c>
      <c r="K25" s="6">
        <f>IFERROR(E25*J25,0)</f>
        <v/>
      </c>
      <c r="O25" s="6">
        <f>SUM(L25:N25)+IF(I25="EUR",K25,K25)</f>
        <v/>
      </c>
      <c r="Q25" s="6">
        <f>IFERROR(O25*P25/100,0)</f>
        <v/>
      </c>
      <c r="R25" t="inlineStr">
        <is>
          <t>Standard</t>
        </is>
      </c>
      <c r="T25" s="6">
        <f>IF(R25="Manual", IFERROR(S25, Summary!B5), IF(R25="Reduced1", Summary!C5, IF(R25="Reduced2", Summary!D5, Summary!B5)))</f>
        <v/>
      </c>
      <c r="U25" s="6">
        <f>IFERROR((O25+Q25)*T25/100,0)</f>
        <v/>
      </c>
      <c r="V25" s="6">
        <f>Q25+U25</f>
        <v/>
      </c>
      <c r="W25" s="6">
        <f>O25+V25</f>
        <v/>
      </c>
    </row>
    <row r="26">
      <c r="A26" s="4" t="n">
        <v>25</v>
      </c>
      <c r="K26" s="6">
        <f>IFERROR(E26*J26,0)</f>
        <v/>
      </c>
      <c r="O26" s="6">
        <f>SUM(L26:N26)+IF(I26="EUR",K26,K26)</f>
        <v/>
      </c>
      <c r="Q26" s="6">
        <f>IFERROR(O26*P26/100,0)</f>
        <v/>
      </c>
      <c r="R26" t="inlineStr">
        <is>
          <t>Standard</t>
        </is>
      </c>
      <c r="T26" s="6">
        <f>IF(R26="Manual", IFERROR(S26, Summary!B5), IF(R26="Reduced1", Summary!C5, IF(R26="Reduced2", Summary!D5, Summary!B5)))</f>
        <v/>
      </c>
      <c r="U26" s="6">
        <f>IFERROR((O26+Q26)*T26/100,0)</f>
        <v/>
      </c>
      <c r="V26" s="6">
        <f>Q26+U26</f>
        <v/>
      </c>
      <c r="W26" s="6">
        <f>O26+V26</f>
        <v/>
      </c>
    </row>
    <row r="27">
      <c r="A27" s="4" t="n">
        <v>26</v>
      </c>
      <c r="K27" s="6">
        <f>IFERROR(E27*J27,0)</f>
        <v/>
      </c>
      <c r="O27" s="6">
        <f>SUM(L27:N27)+IF(I27="EUR",K27,K27)</f>
        <v/>
      </c>
      <c r="Q27" s="6">
        <f>IFERROR(O27*P27/100,0)</f>
        <v/>
      </c>
      <c r="R27" t="inlineStr">
        <is>
          <t>Standard</t>
        </is>
      </c>
      <c r="T27" s="6">
        <f>IF(R27="Manual", IFERROR(S27, Summary!B5), IF(R27="Reduced1", Summary!C5, IF(R27="Reduced2", Summary!D5, Summary!B5)))</f>
        <v/>
      </c>
      <c r="U27" s="6">
        <f>IFERROR((O27+Q27)*T27/100,0)</f>
        <v/>
      </c>
      <c r="V27" s="6">
        <f>Q27+U27</f>
        <v/>
      </c>
      <c r="W27" s="6">
        <f>O27+V27</f>
        <v/>
      </c>
    </row>
    <row r="28">
      <c r="A28" s="4" t="n">
        <v>27</v>
      </c>
      <c r="K28" s="6">
        <f>IFERROR(E28*J28,0)</f>
        <v/>
      </c>
      <c r="O28" s="6">
        <f>SUM(L28:N28)+IF(I28="EUR",K28,K28)</f>
        <v/>
      </c>
      <c r="Q28" s="6">
        <f>IFERROR(O28*P28/100,0)</f>
        <v/>
      </c>
      <c r="R28" t="inlineStr">
        <is>
          <t>Standard</t>
        </is>
      </c>
      <c r="T28" s="6">
        <f>IF(R28="Manual", IFERROR(S28, Summary!B5), IF(R28="Reduced1", Summary!C5, IF(R28="Reduced2", Summary!D5, Summary!B5)))</f>
        <v/>
      </c>
      <c r="U28" s="6">
        <f>IFERROR((O28+Q28)*T28/100,0)</f>
        <v/>
      </c>
      <c r="V28" s="6">
        <f>Q28+U28</f>
        <v/>
      </c>
      <c r="W28" s="6">
        <f>O28+V28</f>
        <v/>
      </c>
    </row>
    <row r="29">
      <c r="A29" s="4" t="n">
        <v>28</v>
      </c>
      <c r="K29" s="6">
        <f>IFERROR(E29*J29,0)</f>
        <v/>
      </c>
      <c r="O29" s="6">
        <f>SUM(L29:N29)+IF(I29="EUR",K29,K29)</f>
        <v/>
      </c>
      <c r="Q29" s="6">
        <f>IFERROR(O29*P29/100,0)</f>
        <v/>
      </c>
      <c r="R29" t="inlineStr">
        <is>
          <t>Standard</t>
        </is>
      </c>
      <c r="T29" s="6">
        <f>IF(R29="Manual", IFERROR(S29, Summary!B5), IF(R29="Reduced1", Summary!C5, IF(R29="Reduced2", Summary!D5, Summary!B5)))</f>
        <v/>
      </c>
      <c r="U29" s="6">
        <f>IFERROR((O29+Q29)*T29/100,0)</f>
        <v/>
      </c>
      <c r="V29" s="6">
        <f>Q29+U29</f>
        <v/>
      </c>
      <c r="W29" s="6">
        <f>O29+V29</f>
        <v/>
      </c>
    </row>
    <row r="30">
      <c r="A30" s="4" t="n">
        <v>29</v>
      </c>
      <c r="K30" s="6">
        <f>IFERROR(E30*J30,0)</f>
        <v/>
      </c>
      <c r="O30" s="6">
        <f>SUM(L30:N30)+IF(I30="EUR",K30,K30)</f>
        <v/>
      </c>
      <c r="Q30" s="6">
        <f>IFERROR(O30*P30/100,0)</f>
        <v/>
      </c>
      <c r="R30" t="inlineStr">
        <is>
          <t>Standard</t>
        </is>
      </c>
      <c r="T30" s="6">
        <f>IF(R30="Manual", IFERROR(S30, Summary!B5), IF(R30="Reduced1", Summary!C5, IF(R30="Reduced2", Summary!D5, Summary!B5)))</f>
        <v/>
      </c>
      <c r="U30" s="6">
        <f>IFERROR((O30+Q30)*T30/100,0)</f>
        <v/>
      </c>
      <c r="V30" s="6">
        <f>Q30+U30</f>
        <v/>
      </c>
      <c r="W30" s="6">
        <f>O30+V30</f>
        <v/>
      </c>
    </row>
    <row r="31">
      <c r="A31" s="4" t="n">
        <v>30</v>
      </c>
      <c r="K31" s="6">
        <f>IFERROR(E31*J31,0)</f>
        <v/>
      </c>
      <c r="O31" s="6">
        <f>SUM(L31:N31)+IF(I31="EUR",K31,K31)</f>
        <v/>
      </c>
      <c r="Q31" s="6">
        <f>IFERROR(O31*P31/100,0)</f>
        <v/>
      </c>
      <c r="R31" t="inlineStr">
        <is>
          <t>Standard</t>
        </is>
      </c>
      <c r="T31" s="6">
        <f>IF(R31="Manual", IFERROR(S31, Summary!B5), IF(R31="Reduced1", Summary!C5, IF(R31="Reduced2", Summary!D5, Summary!B5)))</f>
        <v/>
      </c>
      <c r="U31" s="6">
        <f>IFERROR((O31+Q31)*T31/100,0)</f>
        <v/>
      </c>
      <c r="V31" s="6">
        <f>Q31+U31</f>
        <v/>
      </c>
      <c r="W31" s="6">
        <f>O31+V31</f>
        <v/>
      </c>
    </row>
    <row r="32">
      <c r="A32" s="4" t="n">
        <v>31</v>
      </c>
      <c r="K32" s="6">
        <f>IFERROR(E32*J32,0)</f>
        <v/>
      </c>
      <c r="O32" s="6">
        <f>SUM(L32:N32)+IF(I32="EUR",K32,K32)</f>
        <v/>
      </c>
      <c r="Q32" s="6">
        <f>IFERROR(O32*P32/100,0)</f>
        <v/>
      </c>
      <c r="R32" t="inlineStr">
        <is>
          <t>Standard</t>
        </is>
      </c>
      <c r="T32" s="6">
        <f>IF(R32="Manual", IFERROR(S32, Summary!B5), IF(R32="Reduced1", Summary!C5, IF(R32="Reduced2", Summary!D5, Summary!B5)))</f>
        <v/>
      </c>
      <c r="U32" s="6">
        <f>IFERROR((O32+Q32)*T32/100,0)</f>
        <v/>
      </c>
      <c r="V32" s="6">
        <f>Q32+U32</f>
        <v/>
      </c>
      <c r="W32" s="6">
        <f>O32+V32</f>
        <v/>
      </c>
    </row>
    <row r="33">
      <c r="A33" s="4" t="n">
        <v>32</v>
      </c>
      <c r="K33" s="6">
        <f>IFERROR(E33*J33,0)</f>
        <v/>
      </c>
      <c r="O33" s="6">
        <f>SUM(L33:N33)+IF(I33="EUR",K33,K33)</f>
        <v/>
      </c>
      <c r="Q33" s="6">
        <f>IFERROR(O33*P33/100,0)</f>
        <v/>
      </c>
      <c r="R33" t="inlineStr">
        <is>
          <t>Standard</t>
        </is>
      </c>
      <c r="T33" s="6">
        <f>IF(R33="Manual", IFERROR(S33, Summary!B5), IF(R33="Reduced1", Summary!C5, IF(R33="Reduced2", Summary!D5, Summary!B5)))</f>
        <v/>
      </c>
      <c r="U33" s="6">
        <f>IFERROR((O33+Q33)*T33/100,0)</f>
        <v/>
      </c>
      <c r="V33" s="6">
        <f>Q33+U33</f>
        <v/>
      </c>
      <c r="W33" s="6">
        <f>O33+V33</f>
        <v/>
      </c>
    </row>
    <row r="34">
      <c r="A34" s="4" t="n">
        <v>33</v>
      </c>
      <c r="K34" s="6">
        <f>IFERROR(E34*J34,0)</f>
        <v/>
      </c>
      <c r="O34" s="6">
        <f>SUM(L34:N34)+IF(I34="EUR",K34,K34)</f>
        <v/>
      </c>
      <c r="Q34" s="6">
        <f>IFERROR(O34*P34/100,0)</f>
        <v/>
      </c>
      <c r="R34" t="inlineStr">
        <is>
          <t>Standard</t>
        </is>
      </c>
      <c r="T34" s="6">
        <f>IF(R34="Manual", IFERROR(S34, Summary!B5), IF(R34="Reduced1", Summary!C5, IF(R34="Reduced2", Summary!D5, Summary!B5)))</f>
        <v/>
      </c>
      <c r="U34" s="6">
        <f>IFERROR((O34+Q34)*T34/100,0)</f>
        <v/>
      </c>
      <c r="V34" s="6">
        <f>Q34+U34</f>
        <v/>
      </c>
      <c r="W34" s="6">
        <f>O34+V34</f>
        <v/>
      </c>
    </row>
    <row r="35">
      <c r="A35" s="4" t="n">
        <v>34</v>
      </c>
      <c r="K35" s="6">
        <f>IFERROR(E35*J35,0)</f>
        <v/>
      </c>
      <c r="O35" s="6">
        <f>SUM(L35:N35)+IF(I35="EUR",K35,K35)</f>
        <v/>
      </c>
      <c r="Q35" s="6">
        <f>IFERROR(O35*P35/100,0)</f>
        <v/>
      </c>
      <c r="R35" t="inlineStr">
        <is>
          <t>Standard</t>
        </is>
      </c>
      <c r="T35" s="6">
        <f>IF(R35="Manual", IFERROR(S35, Summary!B5), IF(R35="Reduced1", Summary!C5, IF(R35="Reduced2", Summary!D5, Summary!B5)))</f>
        <v/>
      </c>
      <c r="U35" s="6">
        <f>IFERROR((O35+Q35)*T35/100,0)</f>
        <v/>
      </c>
      <c r="V35" s="6">
        <f>Q35+U35</f>
        <v/>
      </c>
      <c r="W35" s="6">
        <f>O35+V35</f>
        <v/>
      </c>
    </row>
    <row r="36">
      <c r="A36" s="4" t="n">
        <v>35</v>
      </c>
      <c r="K36" s="6">
        <f>IFERROR(E36*J36,0)</f>
        <v/>
      </c>
      <c r="O36" s="6">
        <f>SUM(L36:N36)+IF(I36="EUR",K36,K36)</f>
        <v/>
      </c>
      <c r="Q36" s="6">
        <f>IFERROR(O36*P36/100,0)</f>
        <v/>
      </c>
      <c r="R36" t="inlineStr">
        <is>
          <t>Standard</t>
        </is>
      </c>
      <c r="T36" s="6">
        <f>IF(R36="Manual", IFERROR(S36, Summary!B5), IF(R36="Reduced1", Summary!C5, IF(R36="Reduced2", Summary!D5, Summary!B5)))</f>
        <v/>
      </c>
      <c r="U36" s="6">
        <f>IFERROR((O36+Q36)*T36/100,0)</f>
        <v/>
      </c>
      <c r="V36" s="6">
        <f>Q36+U36</f>
        <v/>
      </c>
      <c r="W36" s="6">
        <f>O36+V36</f>
        <v/>
      </c>
    </row>
    <row r="37">
      <c r="A37" s="4" t="n">
        <v>36</v>
      </c>
      <c r="K37" s="6">
        <f>IFERROR(E37*J37,0)</f>
        <v/>
      </c>
      <c r="O37" s="6">
        <f>SUM(L37:N37)+IF(I37="EUR",K37,K37)</f>
        <v/>
      </c>
      <c r="Q37" s="6">
        <f>IFERROR(O37*P37/100,0)</f>
        <v/>
      </c>
      <c r="R37" t="inlineStr">
        <is>
          <t>Standard</t>
        </is>
      </c>
      <c r="T37" s="6">
        <f>IF(R37="Manual", IFERROR(S37, Summary!B5), IF(R37="Reduced1", Summary!C5, IF(R37="Reduced2", Summary!D5, Summary!B5)))</f>
        <v/>
      </c>
      <c r="U37" s="6">
        <f>IFERROR((O37+Q37)*T37/100,0)</f>
        <v/>
      </c>
      <c r="V37" s="6">
        <f>Q37+U37</f>
        <v/>
      </c>
      <c r="W37" s="6">
        <f>O37+V37</f>
        <v/>
      </c>
    </row>
    <row r="38">
      <c r="A38" s="4" t="n">
        <v>37</v>
      </c>
      <c r="K38" s="6">
        <f>IFERROR(E38*J38,0)</f>
        <v/>
      </c>
      <c r="O38" s="6">
        <f>SUM(L38:N38)+IF(I38="EUR",K38,K38)</f>
        <v/>
      </c>
      <c r="Q38" s="6">
        <f>IFERROR(O38*P38/100,0)</f>
        <v/>
      </c>
      <c r="R38" t="inlineStr">
        <is>
          <t>Standard</t>
        </is>
      </c>
      <c r="T38" s="6">
        <f>IF(R38="Manual", IFERROR(S38, Summary!B5), IF(R38="Reduced1", Summary!C5, IF(R38="Reduced2", Summary!D5, Summary!B5)))</f>
        <v/>
      </c>
      <c r="U38" s="6">
        <f>IFERROR((O38+Q38)*T38/100,0)</f>
        <v/>
      </c>
      <c r="V38" s="6">
        <f>Q38+U38</f>
        <v/>
      </c>
      <c r="W38" s="6">
        <f>O38+V38</f>
        <v/>
      </c>
    </row>
    <row r="39">
      <c r="A39" s="4" t="n">
        <v>38</v>
      </c>
      <c r="K39" s="6">
        <f>IFERROR(E39*J39,0)</f>
        <v/>
      </c>
      <c r="O39" s="6">
        <f>SUM(L39:N39)+IF(I39="EUR",K39,K39)</f>
        <v/>
      </c>
      <c r="Q39" s="6">
        <f>IFERROR(O39*P39/100,0)</f>
        <v/>
      </c>
      <c r="R39" t="inlineStr">
        <is>
          <t>Standard</t>
        </is>
      </c>
      <c r="T39" s="6">
        <f>IF(R39="Manual", IFERROR(S39, Summary!B5), IF(R39="Reduced1", Summary!C5, IF(R39="Reduced2", Summary!D5, Summary!B5)))</f>
        <v/>
      </c>
      <c r="U39" s="6">
        <f>IFERROR((O39+Q39)*T39/100,0)</f>
        <v/>
      </c>
      <c r="V39" s="6">
        <f>Q39+U39</f>
        <v/>
      </c>
      <c r="W39" s="6">
        <f>O39+V39</f>
        <v/>
      </c>
    </row>
    <row r="40">
      <c r="A40" s="4" t="n">
        <v>39</v>
      </c>
      <c r="K40" s="6">
        <f>IFERROR(E40*J40,0)</f>
        <v/>
      </c>
      <c r="O40" s="6">
        <f>SUM(L40:N40)+IF(I40="EUR",K40,K40)</f>
        <v/>
      </c>
      <c r="Q40" s="6">
        <f>IFERROR(O40*P40/100,0)</f>
        <v/>
      </c>
      <c r="R40" t="inlineStr">
        <is>
          <t>Standard</t>
        </is>
      </c>
      <c r="T40" s="6">
        <f>IF(R40="Manual", IFERROR(S40, Summary!B5), IF(R40="Reduced1", Summary!C5, IF(R40="Reduced2", Summary!D5, Summary!B5)))</f>
        <v/>
      </c>
      <c r="U40" s="6">
        <f>IFERROR((O40+Q40)*T40/100,0)</f>
        <v/>
      </c>
      <c r="V40" s="6">
        <f>Q40+U40</f>
        <v/>
      </c>
      <c r="W40" s="6">
        <f>O40+V40</f>
        <v/>
      </c>
    </row>
    <row r="41">
      <c r="A41" s="4" t="n">
        <v>40</v>
      </c>
      <c r="K41" s="6">
        <f>IFERROR(E41*J41,0)</f>
        <v/>
      </c>
      <c r="O41" s="6">
        <f>SUM(L41:N41)+IF(I41="EUR",K41,K41)</f>
        <v/>
      </c>
      <c r="Q41" s="6">
        <f>IFERROR(O41*P41/100,0)</f>
        <v/>
      </c>
      <c r="R41" t="inlineStr">
        <is>
          <t>Standard</t>
        </is>
      </c>
      <c r="T41" s="6">
        <f>IF(R41="Manual", IFERROR(S41, Summary!B5), IF(R41="Reduced1", Summary!C5, IF(R41="Reduced2", Summary!D5, Summary!B5)))</f>
        <v/>
      </c>
      <c r="U41" s="6">
        <f>IFERROR((O41+Q41)*T41/100,0)</f>
        <v/>
      </c>
      <c r="V41" s="6">
        <f>Q41+U41</f>
        <v/>
      </c>
      <c r="W41" s="6">
        <f>O41+V41</f>
        <v/>
      </c>
    </row>
    <row r="42">
      <c r="A42" s="4" t="n">
        <v>41</v>
      </c>
      <c r="K42" s="6">
        <f>IFERROR(E42*J42,0)</f>
        <v/>
      </c>
      <c r="O42" s="6">
        <f>SUM(L42:N42)+IF(I42="EUR",K42,K42)</f>
        <v/>
      </c>
      <c r="Q42" s="6">
        <f>IFERROR(O42*P42/100,0)</f>
        <v/>
      </c>
      <c r="R42" t="inlineStr">
        <is>
          <t>Standard</t>
        </is>
      </c>
      <c r="T42" s="6">
        <f>IF(R42="Manual", IFERROR(S42, Summary!B5), IF(R42="Reduced1", Summary!C5, IF(R42="Reduced2", Summary!D5, Summary!B5)))</f>
        <v/>
      </c>
      <c r="U42" s="6">
        <f>IFERROR((O42+Q42)*T42/100,0)</f>
        <v/>
      </c>
      <c r="V42" s="6">
        <f>Q42+U42</f>
        <v/>
      </c>
      <c r="W42" s="6">
        <f>O42+V42</f>
        <v/>
      </c>
    </row>
    <row r="43">
      <c r="A43" s="4" t="n">
        <v>42</v>
      </c>
      <c r="K43" s="6">
        <f>IFERROR(E43*J43,0)</f>
        <v/>
      </c>
      <c r="O43" s="6">
        <f>SUM(L43:N43)+IF(I43="EUR",K43,K43)</f>
        <v/>
      </c>
      <c r="Q43" s="6">
        <f>IFERROR(O43*P43/100,0)</f>
        <v/>
      </c>
      <c r="R43" t="inlineStr">
        <is>
          <t>Standard</t>
        </is>
      </c>
      <c r="T43" s="6">
        <f>IF(R43="Manual", IFERROR(S43, Summary!B5), IF(R43="Reduced1", Summary!C5, IF(R43="Reduced2", Summary!D5, Summary!B5)))</f>
        <v/>
      </c>
      <c r="U43" s="6">
        <f>IFERROR((O43+Q43)*T43/100,0)</f>
        <v/>
      </c>
      <c r="V43" s="6">
        <f>Q43+U43</f>
        <v/>
      </c>
      <c r="W43" s="6">
        <f>O43+V43</f>
        <v/>
      </c>
    </row>
    <row r="44">
      <c r="A44" s="4" t="n">
        <v>43</v>
      </c>
      <c r="K44" s="6">
        <f>IFERROR(E44*J44,0)</f>
        <v/>
      </c>
      <c r="O44" s="6">
        <f>SUM(L44:N44)+IF(I44="EUR",K44,K44)</f>
        <v/>
      </c>
      <c r="Q44" s="6">
        <f>IFERROR(O44*P44/100,0)</f>
        <v/>
      </c>
      <c r="R44" t="inlineStr">
        <is>
          <t>Standard</t>
        </is>
      </c>
      <c r="T44" s="6">
        <f>IF(R44="Manual", IFERROR(S44, Summary!B5), IF(R44="Reduced1", Summary!C5, IF(R44="Reduced2", Summary!D5, Summary!B5)))</f>
        <v/>
      </c>
      <c r="U44" s="6">
        <f>IFERROR((O44+Q44)*T44/100,0)</f>
        <v/>
      </c>
      <c r="V44" s="6">
        <f>Q44+U44</f>
        <v/>
      </c>
      <c r="W44" s="6">
        <f>O44+V44</f>
        <v/>
      </c>
    </row>
    <row r="45">
      <c r="A45" s="4" t="n">
        <v>44</v>
      </c>
      <c r="K45" s="6">
        <f>IFERROR(E45*J45,0)</f>
        <v/>
      </c>
      <c r="O45" s="6">
        <f>SUM(L45:N45)+IF(I45="EUR",K45,K45)</f>
        <v/>
      </c>
      <c r="Q45" s="6">
        <f>IFERROR(O45*P45/100,0)</f>
        <v/>
      </c>
      <c r="R45" t="inlineStr">
        <is>
          <t>Standard</t>
        </is>
      </c>
      <c r="T45" s="6">
        <f>IF(R45="Manual", IFERROR(S45, Summary!B5), IF(R45="Reduced1", Summary!C5, IF(R45="Reduced2", Summary!D5, Summary!B5)))</f>
        <v/>
      </c>
      <c r="U45" s="6">
        <f>IFERROR((O45+Q45)*T45/100,0)</f>
        <v/>
      </c>
      <c r="V45" s="6">
        <f>Q45+U45</f>
        <v/>
      </c>
      <c r="W45" s="6">
        <f>O45+V45</f>
        <v/>
      </c>
    </row>
    <row r="46">
      <c r="A46" s="4" t="n">
        <v>45</v>
      </c>
      <c r="K46" s="6">
        <f>IFERROR(E46*J46,0)</f>
        <v/>
      </c>
      <c r="O46" s="6">
        <f>SUM(L46:N46)+IF(I46="EUR",K46,K46)</f>
        <v/>
      </c>
      <c r="Q46" s="6">
        <f>IFERROR(O46*P46/100,0)</f>
        <v/>
      </c>
      <c r="R46" t="inlineStr">
        <is>
          <t>Standard</t>
        </is>
      </c>
      <c r="T46" s="6">
        <f>IF(R46="Manual", IFERROR(S46, Summary!B5), IF(R46="Reduced1", Summary!C5, IF(R46="Reduced2", Summary!D5, Summary!B5)))</f>
        <v/>
      </c>
      <c r="U46" s="6">
        <f>IFERROR((O46+Q46)*T46/100,0)</f>
        <v/>
      </c>
      <c r="V46" s="6">
        <f>Q46+U46</f>
        <v/>
      </c>
      <c r="W46" s="6">
        <f>O46+V46</f>
        <v/>
      </c>
    </row>
    <row r="47">
      <c r="A47" s="4" t="n">
        <v>46</v>
      </c>
      <c r="K47" s="6">
        <f>IFERROR(E47*J47,0)</f>
        <v/>
      </c>
      <c r="O47" s="6">
        <f>SUM(L47:N47)+IF(I47="EUR",K47,K47)</f>
        <v/>
      </c>
      <c r="Q47" s="6">
        <f>IFERROR(O47*P47/100,0)</f>
        <v/>
      </c>
      <c r="R47" t="inlineStr">
        <is>
          <t>Standard</t>
        </is>
      </c>
      <c r="T47" s="6">
        <f>IF(R47="Manual", IFERROR(S47, Summary!B5), IF(R47="Reduced1", Summary!C5, IF(R47="Reduced2", Summary!D5, Summary!B5)))</f>
        <v/>
      </c>
      <c r="U47" s="6">
        <f>IFERROR((O47+Q47)*T47/100,0)</f>
        <v/>
      </c>
      <c r="V47" s="6">
        <f>Q47+U47</f>
        <v/>
      </c>
      <c r="W47" s="6">
        <f>O47+V47</f>
        <v/>
      </c>
    </row>
    <row r="48">
      <c r="A48" s="4" t="n">
        <v>47</v>
      </c>
      <c r="K48" s="6">
        <f>IFERROR(E48*J48,0)</f>
        <v/>
      </c>
      <c r="O48" s="6">
        <f>SUM(L48:N48)+IF(I48="EUR",K48,K48)</f>
        <v/>
      </c>
      <c r="Q48" s="6">
        <f>IFERROR(O48*P48/100,0)</f>
        <v/>
      </c>
      <c r="R48" t="inlineStr">
        <is>
          <t>Standard</t>
        </is>
      </c>
      <c r="T48" s="6">
        <f>IF(R48="Manual", IFERROR(S48, Summary!B5), IF(R48="Reduced1", Summary!C5, IF(R48="Reduced2", Summary!D5, Summary!B5)))</f>
        <v/>
      </c>
      <c r="U48" s="6">
        <f>IFERROR((O48+Q48)*T48/100,0)</f>
        <v/>
      </c>
      <c r="V48" s="6">
        <f>Q48+U48</f>
        <v/>
      </c>
      <c r="W48" s="6">
        <f>O48+V48</f>
        <v/>
      </c>
    </row>
    <row r="49">
      <c r="A49" s="4" t="n">
        <v>48</v>
      </c>
      <c r="K49" s="6">
        <f>IFERROR(E49*J49,0)</f>
        <v/>
      </c>
      <c r="O49" s="6">
        <f>SUM(L49:N49)+IF(I49="EUR",K49,K49)</f>
        <v/>
      </c>
      <c r="Q49" s="6">
        <f>IFERROR(O49*P49/100,0)</f>
        <v/>
      </c>
      <c r="R49" t="inlineStr">
        <is>
          <t>Standard</t>
        </is>
      </c>
      <c r="T49" s="6">
        <f>IF(R49="Manual", IFERROR(S49, Summary!B5), IF(R49="Reduced1", Summary!C5, IF(R49="Reduced2", Summary!D5, Summary!B5)))</f>
        <v/>
      </c>
      <c r="U49" s="6">
        <f>IFERROR((O49+Q49)*T49/100,0)</f>
        <v/>
      </c>
      <c r="V49" s="6">
        <f>Q49+U49</f>
        <v/>
      </c>
      <c r="W49" s="6">
        <f>O49+V49</f>
        <v/>
      </c>
    </row>
    <row r="50">
      <c r="A50" s="4" t="n">
        <v>49</v>
      </c>
      <c r="K50" s="6">
        <f>IFERROR(E50*J50,0)</f>
        <v/>
      </c>
      <c r="O50" s="6">
        <f>SUM(L50:N50)+IF(I50="EUR",K50,K50)</f>
        <v/>
      </c>
      <c r="Q50" s="6">
        <f>IFERROR(O50*P50/100,0)</f>
        <v/>
      </c>
      <c r="R50" t="inlineStr">
        <is>
          <t>Standard</t>
        </is>
      </c>
      <c r="T50" s="6">
        <f>IF(R50="Manual", IFERROR(S50, Summary!B5), IF(R50="Reduced1", Summary!C5, IF(R50="Reduced2", Summary!D5, Summary!B5)))</f>
        <v/>
      </c>
      <c r="U50" s="6">
        <f>IFERROR((O50+Q50)*T50/100,0)</f>
        <v/>
      </c>
      <c r="V50" s="6">
        <f>Q50+U50</f>
        <v/>
      </c>
      <c r="W50" s="6">
        <f>O50+V50</f>
        <v/>
      </c>
    </row>
    <row r="51">
      <c r="A51" s="4" t="n">
        <v>50</v>
      </c>
      <c r="K51" s="6">
        <f>IFERROR(E51*J51,0)</f>
        <v/>
      </c>
      <c r="O51" s="6">
        <f>SUM(L51:N51)+IF(I51="EUR",K51,K51)</f>
        <v/>
      </c>
      <c r="Q51" s="6">
        <f>IFERROR(O51*P51/100,0)</f>
        <v/>
      </c>
      <c r="R51" t="inlineStr">
        <is>
          <t>Standard</t>
        </is>
      </c>
      <c r="T51" s="6">
        <f>IF(R51="Manual", IFERROR(S51, Summary!B5), IF(R51="Reduced1", Summary!C5, IF(R51="Reduced2", Summary!D5, Summary!B5)))</f>
        <v/>
      </c>
      <c r="U51" s="6">
        <f>IFERROR((O51+Q51)*T51/100,0)</f>
        <v/>
      </c>
      <c r="V51" s="6">
        <f>Q51+U51</f>
        <v/>
      </c>
      <c r="W51" s="6">
        <f>O51+V51</f>
        <v/>
      </c>
    </row>
    <row r="52">
      <c r="A52" s="4" t="n">
        <v>51</v>
      </c>
      <c r="K52" s="6">
        <f>IFERROR(E52*J52,0)</f>
        <v/>
      </c>
      <c r="O52" s="6">
        <f>SUM(L52:N52)+IF(I52="EUR",K52,K52)</f>
        <v/>
      </c>
      <c r="Q52" s="6">
        <f>IFERROR(O52*P52/100,0)</f>
        <v/>
      </c>
      <c r="R52" t="inlineStr">
        <is>
          <t>Standard</t>
        </is>
      </c>
      <c r="T52" s="6">
        <f>IF(R52="Manual", IFERROR(S52, Summary!B5), IF(R52="Reduced1", Summary!C5, IF(R52="Reduced2", Summary!D5, Summary!B5)))</f>
        <v/>
      </c>
      <c r="U52" s="6">
        <f>IFERROR((O52+Q52)*T52/100,0)</f>
        <v/>
      </c>
      <c r="V52" s="6">
        <f>Q52+U52</f>
        <v/>
      </c>
      <c r="W52" s="6">
        <f>O52+V52</f>
        <v/>
      </c>
    </row>
    <row r="53">
      <c r="A53" s="4" t="n">
        <v>52</v>
      </c>
      <c r="K53" s="6">
        <f>IFERROR(E53*J53,0)</f>
        <v/>
      </c>
      <c r="O53" s="6">
        <f>SUM(L53:N53)+IF(I53="EUR",K53,K53)</f>
        <v/>
      </c>
      <c r="Q53" s="6">
        <f>IFERROR(O53*P53/100,0)</f>
        <v/>
      </c>
      <c r="R53" t="inlineStr">
        <is>
          <t>Standard</t>
        </is>
      </c>
      <c r="T53" s="6">
        <f>IF(R53="Manual", IFERROR(S53, Summary!B5), IF(R53="Reduced1", Summary!C5, IF(R53="Reduced2", Summary!D5, Summary!B5)))</f>
        <v/>
      </c>
      <c r="U53" s="6">
        <f>IFERROR((O53+Q53)*T53/100,0)</f>
        <v/>
      </c>
      <c r="V53" s="6">
        <f>Q53+U53</f>
        <v/>
      </c>
      <c r="W53" s="6">
        <f>O53+V53</f>
        <v/>
      </c>
    </row>
    <row r="54">
      <c r="A54" s="4" t="n">
        <v>53</v>
      </c>
      <c r="K54" s="6">
        <f>IFERROR(E54*J54,0)</f>
        <v/>
      </c>
      <c r="O54" s="6">
        <f>SUM(L54:N54)+IF(I54="EUR",K54,K54)</f>
        <v/>
      </c>
      <c r="Q54" s="6">
        <f>IFERROR(O54*P54/100,0)</f>
        <v/>
      </c>
      <c r="R54" t="inlineStr">
        <is>
          <t>Standard</t>
        </is>
      </c>
      <c r="T54" s="6">
        <f>IF(R54="Manual", IFERROR(S54, Summary!B5), IF(R54="Reduced1", Summary!C5, IF(R54="Reduced2", Summary!D5, Summary!B5)))</f>
        <v/>
      </c>
      <c r="U54" s="6">
        <f>IFERROR((O54+Q54)*T54/100,0)</f>
        <v/>
      </c>
      <c r="V54" s="6">
        <f>Q54+U54</f>
        <v/>
      </c>
      <c r="W54" s="6">
        <f>O54+V54</f>
        <v/>
      </c>
    </row>
    <row r="55">
      <c r="A55" s="4" t="n">
        <v>54</v>
      </c>
      <c r="K55" s="6">
        <f>IFERROR(E55*J55,0)</f>
        <v/>
      </c>
      <c r="O55" s="6">
        <f>SUM(L55:N55)+IF(I55="EUR",K55,K55)</f>
        <v/>
      </c>
      <c r="Q55" s="6">
        <f>IFERROR(O55*P55/100,0)</f>
        <v/>
      </c>
      <c r="R55" t="inlineStr">
        <is>
          <t>Standard</t>
        </is>
      </c>
      <c r="T55" s="6">
        <f>IF(R55="Manual", IFERROR(S55, Summary!B5), IF(R55="Reduced1", Summary!C5, IF(R55="Reduced2", Summary!D5, Summary!B5)))</f>
        <v/>
      </c>
      <c r="U55" s="6">
        <f>IFERROR((O55+Q55)*T55/100,0)</f>
        <v/>
      </c>
      <c r="V55" s="6">
        <f>Q55+U55</f>
        <v/>
      </c>
      <c r="W55" s="6">
        <f>O55+V55</f>
        <v/>
      </c>
    </row>
    <row r="56">
      <c r="A56" s="4" t="n">
        <v>55</v>
      </c>
      <c r="K56" s="6">
        <f>IFERROR(E56*J56,0)</f>
        <v/>
      </c>
      <c r="O56" s="6">
        <f>SUM(L56:N56)+IF(I56="EUR",K56,K56)</f>
        <v/>
      </c>
      <c r="Q56" s="6">
        <f>IFERROR(O56*P56/100,0)</f>
        <v/>
      </c>
      <c r="R56" t="inlineStr">
        <is>
          <t>Standard</t>
        </is>
      </c>
      <c r="T56" s="6">
        <f>IF(R56="Manual", IFERROR(S56, Summary!B5), IF(R56="Reduced1", Summary!C5, IF(R56="Reduced2", Summary!D5, Summary!B5)))</f>
        <v/>
      </c>
      <c r="U56" s="6">
        <f>IFERROR((O56+Q56)*T56/100,0)</f>
        <v/>
      </c>
      <c r="V56" s="6">
        <f>Q56+U56</f>
        <v/>
      </c>
      <c r="W56" s="6">
        <f>O56+V56</f>
        <v/>
      </c>
    </row>
    <row r="57">
      <c r="A57" s="4" t="n">
        <v>56</v>
      </c>
      <c r="K57" s="6">
        <f>IFERROR(E57*J57,0)</f>
        <v/>
      </c>
      <c r="O57" s="6">
        <f>SUM(L57:N57)+IF(I57="EUR",K57,K57)</f>
        <v/>
      </c>
      <c r="Q57" s="6">
        <f>IFERROR(O57*P57/100,0)</f>
        <v/>
      </c>
      <c r="R57" t="inlineStr">
        <is>
          <t>Standard</t>
        </is>
      </c>
      <c r="T57" s="6">
        <f>IF(R57="Manual", IFERROR(S57, Summary!B5), IF(R57="Reduced1", Summary!C5, IF(R57="Reduced2", Summary!D5, Summary!B5)))</f>
        <v/>
      </c>
      <c r="U57" s="6">
        <f>IFERROR((O57+Q57)*T57/100,0)</f>
        <v/>
      </c>
      <c r="V57" s="6">
        <f>Q57+U57</f>
        <v/>
      </c>
      <c r="W57" s="6">
        <f>O57+V57</f>
        <v/>
      </c>
    </row>
    <row r="58">
      <c r="A58" s="4" t="n">
        <v>57</v>
      </c>
      <c r="K58" s="6">
        <f>IFERROR(E58*J58,0)</f>
        <v/>
      </c>
      <c r="O58" s="6">
        <f>SUM(L58:N58)+IF(I58="EUR",K58,K58)</f>
        <v/>
      </c>
      <c r="Q58" s="6">
        <f>IFERROR(O58*P58/100,0)</f>
        <v/>
      </c>
      <c r="R58" t="inlineStr">
        <is>
          <t>Standard</t>
        </is>
      </c>
      <c r="T58" s="6">
        <f>IF(R58="Manual", IFERROR(S58, Summary!B5), IF(R58="Reduced1", Summary!C5, IF(R58="Reduced2", Summary!D5, Summary!B5)))</f>
        <v/>
      </c>
      <c r="U58" s="6">
        <f>IFERROR((O58+Q58)*T58/100,0)</f>
        <v/>
      </c>
      <c r="V58" s="6">
        <f>Q58+U58</f>
        <v/>
      </c>
      <c r="W58" s="6">
        <f>O58+V58</f>
        <v/>
      </c>
    </row>
    <row r="59">
      <c r="A59" s="4" t="n">
        <v>58</v>
      </c>
      <c r="K59" s="6">
        <f>IFERROR(E59*J59,0)</f>
        <v/>
      </c>
      <c r="O59" s="6">
        <f>SUM(L59:N59)+IF(I59="EUR",K59,K59)</f>
        <v/>
      </c>
      <c r="Q59" s="6">
        <f>IFERROR(O59*P59/100,0)</f>
        <v/>
      </c>
      <c r="R59" t="inlineStr">
        <is>
          <t>Standard</t>
        </is>
      </c>
      <c r="T59" s="6">
        <f>IF(R59="Manual", IFERROR(S59, Summary!B5), IF(R59="Reduced1", Summary!C5, IF(R59="Reduced2", Summary!D5, Summary!B5)))</f>
        <v/>
      </c>
      <c r="U59" s="6">
        <f>IFERROR((O59+Q59)*T59/100,0)</f>
        <v/>
      </c>
      <c r="V59" s="6">
        <f>Q59+U59</f>
        <v/>
      </c>
      <c r="W59" s="6">
        <f>O59+V59</f>
        <v/>
      </c>
    </row>
    <row r="60">
      <c r="A60" s="4" t="n">
        <v>59</v>
      </c>
      <c r="K60" s="6">
        <f>IFERROR(E60*J60,0)</f>
        <v/>
      </c>
      <c r="O60" s="6">
        <f>SUM(L60:N60)+IF(I60="EUR",K60,K60)</f>
        <v/>
      </c>
      <c r="Q60" s="6">
        <f>IFERROR(O60*P60/100,0)</f>
        <v/>
      </c>
      <c r="R60" t="inlineStr">
        <is>
          <t>Standard</t>
        </is>
      </c>
      <c r="T60" s="6">
        <f>IF(R60="Manual", IFERROR(S60, Summary!B5), IF(R60="Reduced1", Summary!C5, IF(R60="Reduced2", Summary!D5, Summary!B5)))</f>
        <v/>
      </c>
      <c r="U60" s="6">
        <f>IFERROR((O60+Q60)*T60/100,0)</f>
        <v/>
      </c>
      <c r="V60" s="6">
        <f>Q60+U60</f>
        <v/>
      </c>
      <c r="W60" s="6">
        <f>O60+V60</f>
        <v/>
      </c>
    </row>
    <row r="61">
      <c r="A61" s="4" t="n">
        <v>60</v>
      </c>
      <c r="K61" s="6">
        <f>IFERROR(E61*J61,0)</f>
        <v/>
      </c>
      <c r="O61" s="6">
        <f>SUM(L61:N61)+IF(I61="EUR",K61,K61)</f>
        <v/>
      </c>
      <c r="Q61" s="6">
        <f>IFERROR(O61*P61/100,0)</f>
        <v/>
      </c>
      <c r="R61" t="inlineStr">
        <is>
          <t>Standard</t>
        </is>
      </c>
      <c r="T61" s="6">
        <f>IF(R61="Manual", IFERROR(S61, Summary!B5), IF(R61="Reduced1", Summary!C5, IF(R61="Reduced2", Summary!D5, Summary!B5)))</f>
        <v/>
      </c>
      <c r="U61" s="6">
        <f>IFERROR((O61+Q61)*T61/100,0)</f>
        <v/>
      </c>
      <c r="V61" s="6">
        <f>Q61+U61</f>
        <v/>
      </c>
      <c r="W61" s="6">
        <f>O61+V61</f>
        <v/>
      </c>
    </row>
    <row r="62">
      <c r="A62" s="4" t="n">
        <v>61</v>
      </c>
      <c r="K62" s="6">
        <f>IFERROR(E62*J62,0)</f>
        <v/>
      </c>
      <c r="O62" s="6">
        <f>SUM(L62:N62)+IF(I62="EUR",K62,K62)</f>
        <v/>
      </c>
      <c r="Q62" s="6">
        <f>IFERROR(O62*P62/100,0)</f>
        <v/>
      </c>
      <c r="R62" t="inlineStr">
        <is>
          <t>Standard</t>
        </is>
      </c>
      <c r="T62" s="6">
        <f>IF(R62="Manual", IFERROR(S62, Summary!B5), IF(R62="Reduced1", Summary!C5, IF(R62="Reduced2", Summary!D5, Summary!B5)))</f>
        <v/>
      </c>
      <c r="U62" s="6">
        <f>IFERROR((O62+Q62)*T62/100,0)</f>
        <v/>
      </c>
      <c r="V62" s="6">
        <f>Q62+U62</f>
        <v/>
      </c>
      <c r="W62" s="6">
        <f>O62+V62</f>
        <v/>
      </c>
    </row>
    <row r="63">
      <c r="A63" s="4" t="n">
        <v>62</v>
      </c>
      <c r="K63" s="6">
        <f>IFERROR(E63*J63,0)</f>
        <v/>
      </c>
      <c r="O63" s="6">
        <f>SUM(L63:N63)+IF(I63="EUR",K63,K63)</f>
        <v/>
      </c>
      <c r="Q63" s="6">
        <f>IFERROR(O63*P63/100,0)</f>
        <v/>
      </c>
      <c r="R63" t="inlineStr">
        <is>
          <t>Standard</t>
        </is>
      </c>
      <c r="T63" s="6">
        <f>IF(R63="Manual", IFERROR(S63, Summary!B5), IF(R63="Reduced1", Summary!C5, IF(R63="Reduced2", Summary!D5, Summary!B5)))</f>
        <v/>
      </c>
      <c r="U63" s="6">
        <f>IFERROR((O63+Q63)*T63/100,0)</f>
        <v/>
      </c>
      <c r="V63" s="6">
        <f>Q63+U63</f>
        <v/>
      </c>
      <c r="W63" s="6">
        <f>O63+V63</f>
        <v/>
      </c>
    </row>
    <row r="64">
      <c r="A64" s="4" t="n">
        <v>63</v>
      </c>
      <c r="K64" s="6">
        <f>IFERROR(E64*J64,0)</f>
        <v/>
      </c>
      <c r="O64" s="6">
        <f>SUM(L64:N64)+IF(I64="EUR",K64,K64)</f>
        <v/>
      </c>
      <c r="Q64" s="6">
        <f>IFERROR(O64*P64/100,0)</f>
        <v/>
      </c>
      <c r="R64" t="inlineStr">
        <is>
          <t>Standard</t>
        </is>
      </c>
      <c r="T64" s="6">
        <f>IF(R64="Manual", IFERROR(S64, Summary!B5), IF(R64="Reduced1", Summary!C5, IF(R64="Reduced2", Summary!D5, Summary!B5)))</f>
        <v/>
      </c>
      <c r="U64" s="6">
        <f>IFERROR((O64+Q64)*T64/100,0)</f>
        <v/>
      </c>
      <c r="V64" s="6">
        <f>Q64+U64</f>
        <v/>
      </c>
      <c r="W64" s="6">
        <f>O64+V64</f>
        <v/>
      </c>
    </row>
    <row r="65">
      <c r="A65" s="4" t="n">
        <v>64</v>
      </c>
      <c r="K65" s="6">
        <f>IFERROR(E65*J65,0)</f>
        <v/>
      </c>
      <c r="O65" s="6">
        <f>SUM(L65:N65)+IF(I65="EUR",K65,K65)</f>
        <v/>
      </c>
      <c r="Q65" s="6">
        <f>IFERROR(O65*P65/100,0)</f>
        <v/>
      </c>
      <c r="R65" t="inlineStr">
        <is>
          <t>Standard</t>
        </is>
      </c>
      <c r="T65" s="6">
        <f>IF(R65="Manual", IFERROR(S65, Summary!B5), IF(R65="Reduced1", Summary!C5, IF(R65="Reduced2", Summary!D5, Summary!B5)))</f>
        <v/>
      </c>
      <c r="U65" s="6">
        <f>IFERROR((O65+Q65)*T65/100,0)</f>
        <v/>
      </c>
      <c r="V65" s="6">
        <f>Q65+U65</f>
        <v/>
      </c>
      <c r="W65" s="6">
        <f>O65+V65</f>
        <v/>
      </c>
    </row>
    <row r="66">
      <c r="A66" s="4" t="n">
        <v>65</v>
      </c>
      <c r="K66" s="6">
        <f>IFERROR(E66*J66,0)</f>
        <v/>
      </c>
      <c r="O66" s="6">
        <f>SUM(L66:N66)+IF(I66="EUR",K66,K66)</f>
        <v/>
      </c>
      <c r="Q66" s="6">
        <f>IFERROR(O66*P66/100,0)</f>
        <v/>
      </c>
      <c r="R66" t="inlineStr">
        <is>
          <t>Standard</t>
        </is>
      </c>
      <c r="T66" s="6">
        <f>IF(R66="Manual", IFERROR(S66, Summary!B5), IF(R66="Reduced1", Summary!C5, IF(R66="Reduced2", Summary!D5, Summary!B5)))</f>
        <v/>
      </c>
      <c r="U66" s="6">
        <f>IFERROR((O66+Q66)*T66/100,0)</f>
        <v/>
      </c>
      <c r="V66" s="6">
        <f>Q66+U66</f>
        <v/>
      </c>
      <c r="W66" s="6">
        <f>O66+V66</f>
        <v/>
      </c>
    </row>
    <row r="67">
      <c r="A67" s="4" t="n">
        <v>66</v>
      </c>
      <c r="K67" s="6">
        <f>IFERROR(E67*J67,0)</f>
        <v/>
      </c>
      <c r="O67" s="6">
        <f>SUM(L67:N67)+IF(I67="EUR",K67,K67)</f>
        <v/>
      </c>
      <c r="Q67" s="6">
        <f>IFERROR(O67*P67/100,0)</f>
        <v/>
      </c>
      <c r="R67" t="inlineStr">
        <is>
          <t>Standard</t>
        </is>
      </c>
      <c r="T67" s="6">
        <f>IF(R67="Manual", IFERROR(S67, Summary!B5), IF(R67="Reduced1", Summary!C5, IF(R67="Reduced2", Summary!D5, Summary!B5)))</f>
        <v/>
      </c>
      <c r="U67" s="6">
        <f>IFERROR((O67+Q67)*T67/100,0)</f>
        <v/>
      </c>
      <c r="V67" s="6">
        <f>Q67+U67</f>
        <v/>
      </c>
      <c r="W67" s="6">
        <f>O67+V67</f>
        <v/>
      </c>
    </row>
    <row r="68">
      <c r="A68" s="4" t="n">
        <v>67</v>
      </c>
      <c r="K68" s="6">
        <f>IFERROR(E68*J68,0)</f>
        <v/>
      </c>
      <c r="O68" s="6">
        <f>SUM(L68:N68)+IF(I68="EUR",K68,K68)</f>
        <v/>
      </c>
      <c r="Q68" s="6">
        <f>IFERROR(O68*P68/100,0)</f>
        <v/>
      </c>
      <c r="R68" t="inlineStr">
        <is>
          <t>Standard</t>
        </is>
      </c>
      <c r="T68" s="6">
        <f>IF(R68="Manual", IFERROR(S68, Summary!B5), IF(R68="Reduced1", Summary!C5, IF(R68="Reduced2", Summary!D5, Summary!B5)))</f>
        <v/>
      </c>
      <c r="U68" s="6">
        <f>IFERROR((O68+Q68)*T68/100,0)</f>
        <v/>
      </c>
      <c r="V68" s="6">
        <f>Q68+U68</f>
        <v/>
      </c>
      <c r="W68" s="6">
        <f>O68+V68</f>
        <v/>
      </c>
    </row>
    <row r="69">
      <c r="A69" s="4" t="n">
        <v>68</v>
      </c>
      <c r="K69" s="6">
        <f>IFERROR(E69*J69,0)</f>
        <v/>
      </c>
      <c r="O69" s="6">
        <f>SUM(L69:N69)+IF(I69="EUR",K69,K69)</f>
        <v/>
      </c>
      <c r="Q69" s="6">
        <f>IFERROR(O69*P69/100,0)</f>
        <v/>
      </c>
      <c r="R69" t="inlineStr">
        <is>
          <t>Standard</t>
        </is>
      </c>
      <c r="T69" s="6">
        <f>IF(R69="Manual", IFERROR(S69, Summary!B5), IF(R69="Reduced1", Summary!C5, IF(R69="Reduced2", Summary!D5, Summary!B5)))</f>
        <v/>
      </c>
      <c r="U69" s="6">
        <f>IFERROR((O69+Q69)*T69/100,0)</f>
        <v/>
      </c>
      <c r="V69" s="6">
        <f>Q69+U69</f>
        <v/>
      </c>
      <c r="W69" s="6">
        <f>O69+V69</f>
        <v/>
      </c>
    </row>
    <row r="70">
      <c r="A70" s="4" t="n">
        <v>69</v>
      </c>
      <c r="K70" s="6">
        <f>IFERROR(E70*J70,0)</f>
        <v/>
      </c>
      <c r="O70" s="6">
        <f>SUM(L70:N70)+IF(I70="EUR",K70,K70)</f>
        <v/>
      </c>
      <c r="Q70" s="6">
        <f>IFERROR(O70*P70/100,0)</f>
        <v/>
      </c>
      <c r="R70" t="inlineStr">
        <is>
          <t>Standard</t>
        </is>
      </c>
      <c r="T70" s="6">
        <f>IF(R70="Manual", IFERROR(S70, Summary!B5), IF(R70="Reduced1", Summary!C5, IF(R70="Reduced2", Summary!D5, Summary!B5)))</f>
        <v/>
      </c>
      <c r="U70" s="6">
        <f>IFERROR((O70+Q70)*T70/100,0)</f>
        <v/>
      </c>
      <c r="V70" s="6">
        <f>Q70+U70</f>
        <v/>
      </c>
      <c r="W70" s="6">
        <f>O70+V70</f>
        <v/>
      </c>
    </row>
    <row r="71">
      <c r="A71" s="4" t="n">
        <v>70</v>
      </c>
      <c r="K71" s="6">
        <f>IFERROR(E71*J71,0)</f>
        <v/>
      </c>
      <c r="O71" s="6">
        <f>SUM(L71:N71)+IF(I71="EUR",K71,K71)</f>
        <v/>
      </c>
      <c r="Q71" s="6">
        <f>IFERROR(O71*P71/100,0)</f>
        <v/>
      </c>
      <c r="R71" t="inlineStr">
        <is>
          <t>Standard</t>
        </is>
      </c>
      <c r="T71" s="6">
        <f>IF(R71="Manual", IFERROR(S71, Summary!B5), IF(R71="Reduced1", Summary!C5, IF(R71="Reduced2", Summary!D5, Summary!B5)))</f>
        <v/>
      </c>
      <c r="U71" s="6">
        <f>IFERROR((O71+Q71)*T71/100,0)</f>
        <v/>
      </c>
      <c r="V71" s="6">
        <f>Q71+U71</f>
        <v/>
      </c>
      <c r="W71" s="6">
        <f>O71+V71</f>
        <v/>
      </c>
    </row>
    <row r="72">
      <c r="A72" s="4" t="n">
        <v>71</v>
      </c>
      <c r="K72" s="6">
        <f>IFERROR(E72*J72,0)</f>
        <v/>
      </c>
      <c r="O72" s="6">
        <f>SUM(L72:N72)+IF(I72="EUR",K72,K72)</f>
        <v/>
      </c>
      <c r="Q72" s="6">
        <f>IFERROR(O72*P72/100,0)</f>
        <v/>
      </c>
      <c r="R72" t="inlineStr">
        <is>
          <t>Standard</t>
        </is>
      </c>
      <c r="T72" s="6">
        <f>IF(R72="Manual", IFERROR(S72, Summary!B5), IF(R72="Reduced1", Summary!C5, IF(R72="Reduced2", Summary!D5, Summary!B5)))</f>
        <v/>
      </c>
      <c r="U72" s="6">
        <f>IFERROR((O72+Q72)*T72/100,0)</f>
        <v/>
      </c>
      <c r="V72" s="6">
        <f>Q72+U72</f>
        <v/>
      </c>
      <c r="W72" s="6">
        <f>O72+V72</f>
        <v/>
      </c>
    </row>
    <row r="73">
      <c r="A73" s="4" t="n">
        <v>72</v>
      </c>
      <c r="K73" s="6">
        <f>IFERROR(E73*J73,0)</f>
        <v/>
      </c>
      <c r="O73" s="6">
        <f>SUM(L73:N73)+IF(I73="EUR",K73,K73)</f>
        <v/>
      </c>
      <c r="Q73" s="6">
        <f>IFERROR(O73*P73/100,0)</f>
        <v/>
      </c>
      <c r="R73" t="inlineStr">
        <is>
          <t>Standard</t>
        </is>
      </c>
      <c r="T73" s="6">
        <f>IF(R73="Manual", IFERROR(S73, Summary!B5), IF(R73="Reduced1", Summary!C5, IF(R73="Reduced2", Summary!D5, Summary!B5)))</f>
        <v/>
      </c>
      <c r="U73" s="6">
        <f>IFERROR((O73+Q73)*T73/100,0)</f>
        <v/>
      </c>
      <c r="V73" s="6">
        <f>Q73+U73</f>
        <v/>
      </c>
      <c r="W73" s="6">
        <f>O73+V73</f>
        <v/>
      </c>
    </row>
    <row r="74">
      <c r="A74" s="4" t="n">
        <v>73</v>
      </c>
      <c r="K74" s="6">
        <f>IFERROR(E74*J74,0)</f>
        <v/>
      </c>
      <c r="O74" s="6">
        <f>SUM(L74:N74)+IF(I74="EUR",K74,K74)</f>
        <v/>
      </c>
      <c r="Q74" s="6">
        <f>IFERROR(O74*P74/100,0)</f>
        <v/>
      </c>
      <c r="R74" t="inlineStr">
        <is>
          <t>Standard</t>
        </is>
      </c>
      <c r="T74" s="6">
        <f>IF(R74="Manual", IFERROR(S74, Summary!B5), IF(R74="Reduced1", Summary!C5, IF(R74="Reduced2", Summary!D5, Summary!B5)))</f>
        <v/>
      </c>
      <c r="U74" s="6">
        <f>IFERROR((O74+Q74)*T74/100,0)</f>
        <v/>
      </c>
      <c r="V74" s="6">
        <f>Q74+U74</f>
        <v/>
      </c>
      <c r="W74" s="6">
        <f>O74+V74</f>
        <v/>
      </c>
    </row>
    <row r="75">
      <c r="A75" s="4" t="n">
        <v>74</v>
      </c>
      <c r="K75" s="6">
        <f>IFERROR(E75*J75,0)</f>
        <v/>
      </c>
      <c r="O75" s="6">
        <f>SUM(L75:N75)+IF(I75="EUR",K75,K75)</f>
        <v/>
      </c>
      <c r="Q75" s="6">
        <f>IFERROR(O75*P75/100,0)</f>
        <v/>
      </c>
      <c r="R75" t="inlineStr">
        <is>
          <t>Standard</t>
        </is>
      </c>
      <c r="T75" s="6">
        <f>IF(R75="Manual", IFERROR(S75, Summary!B5), IF(R75="Reduced1", Summary!C5, IF(R75="Reduced2", Summary!D5, Summary!B5)))</f>
        <v/>
      </c>
      <c r="U75" s="6">
        <f>IFERROR((O75+Q75)*T75/100,0)</f>
        <v/>
      </c>
      <c r="V75" s="6">
        <f>Q75+U75</f>
        <v/>
      </c>
      <c r="W75" s="6">
        <f>O75+V75</f>
        <v/>
      </c>
    </row>
    <row r="76">
      <c r="A76" s="4" t="n">
        <v>75</v>
      </c>
      <c r="K76" s="6">
        <f>IFERROR(E76*J76,0)</f>
        <v/>
      </c>
      <c r="O76" s="6">
        <f>SUM(L76:N76)+IF(I76="EUR",K76,K76)</f>
        <v/>
      </c>
      <c r="Q76" s="6">
        <f>IFERROR(O76*P76/100,0)</f>
        <v/>
      </c>
      <c r="R76" t="inlineStr">
        <is>
          <t>Standard</t>
        </is>
      </c>
      <c r="T76" s="6">
        <f>IF(R76="Manual", IFERROR(S76, Summary!B5), IF(R76="Reduced1", Summary!C5, IF(R76="Reduced2", Summary!D5, Summary!B5)))</f>
        <v/>
      </c>
      <c r="U76" s="6">
        <f>IFERROR((O76+Q76)*T76/100,0)</f>
        <v/>
      </c>
      <c r="V76" s="6">
        <f>Q76+U76</f>
        <v/>
      </c>
      <c r="W76" s="6">
        <f>O76+V76</f>
        <v/>
      </c>
    </row>
    <row r="77">
      <c r="A77" s="4" t="n">
        <v>76</v>
      </c>
      <c r="K77" s="6">
        <f>IFERROR(E77*J77,0)</f>
        <v/>
      </c>
      <c r="O77" s="6">
        <f>SUM(L77:N77)+IF(I77="EUR",K77,K77)</f>
        <v/>
      </c>
      <c r="Q77" s="6">
        <f>IFERROR(O77*P77/100,0)</f>
        <v/>
      </c>
      <c r="R77" t="inlineStr">
        <is>
          <t>Standard</t>
        </is>
      </c>
      <c r="T77" s="6">
        <f>IF(R77="Manual", IFERROR(S77, Summary!B5), IF(R77="Reduced1", Summary!C5, IF(R77="Reduced2", Summary!D5, Summary!B5)))</f>
        <v/>
      </c>
      <c r="U77" s="6">
        <f>IFERROR((O77+Q77)*T77/100,0)</f>
        <v/>
      </c>
      <c r="V77" s="6">
        <f>Q77+U77</f>
        <v/>
      </c>
      <c r="W77" s="6">
        <f>O77+V77</f>
        <v/>
      </c>
    </row>
    <row r="78">
      <c r="A78" s="4" t="n">
        <v>77</v>
      </c>
      <c r="K78" s="6">
        <f>IFERROR(E78*J78,0)</f>
        <v/>
      </c>
      <c r="O78" s="6">
        <f>SUM(L78:N78)+IF(I78="EUR",K78,K78)</f>
        <v/>
      </c>
      <c r="Q78" s="6">
        <f>IFERROR(O78*P78/100,0)</f>
        <v/>
      </c>
      <c r="R78" t="inlineStr">
        <is>
          <t>Standard</t>
        </is>
      </c>
      <c r="T78" s="6">
        <f>IF(R78="Manual", IFERROR(S78, Summary!B5), IF(R78="Reduced1", Summary!C5, IF(R78="Reduced2", Summary!D5, Summary!B5)))</f>
        <v/>
      </c>
      <c r="U78" s="6">
        <f>IFERROR((O78+Q78)*T78/100,0)</f>
        <v/>
      </c>
      <c r="V78" s="6">
        <f>Q78+U78</f>
        <v/>
      </c>
      <c r="W78" s="6">
        <f>O78+V78</f>
        <v/>
      </c>
    </row>
    <row r="79">
      <c r="A79" s="4" t="n">
        <v>78</v>
      </c>
      <c r="K79" s="6">
        <f>IFERROR(E79*J79,0)</f>
        <v/>
      </c>
      <c r="O79" s="6">
        <f>SUM(L79:N79)+IF(I79="EUR",K79,K79)</f>
        <v/>
      </c>
      <c r="Q79" s="6">
        <f>IFERROR(O79*P79/100,0)</f>
        <v/>
      </c>
      <c r="R79" t="inlineStr">
        <is>
          <t>Standard</t>
        </is>
      </c>
      <c r="T79" s="6">
        <f>IF(R79="Manual", IFERROR(S79, Summary!B5), IF(R79="Reduced1", Summary!C5, IF(R79="Reduced2", Summary!D5, Summary!B5)))</f>
        <v/>
      </c>
      <c r="U79" s="6">
        <f>IFERROR((O79+Q79)*T79/100,0)</f>
        <v/>
      </c>
      <c r="V79" s="6">
        <f>Q79+U79</f>
        <v/>
      </c>
      <c r="W79" s="6">
        <f>O79+V79</f>
        <v/>
      </c>
    </row>
    <row r="80">
      <c r="A80" s="4" t="n">
        <v>79</v>
      </c>
      <c r="K80" s="6">
        <f>IFERROR(E80*J80,0)</f>
        <v/>
      </c>
      <c r="O80" s="6">
        <f>SUM(L80:N80)+IF(I80="EUR",K80,K80)</f>
        <v/>
      </c>
      <c r="Q80" s="6">
        <f>IFERROR(O80*P80/100,0)</f>
        <v/>
      </c>
      <c r="R80" t="inlineStr">
        <is>
          <t>Standard</t>
        </is>
      </c>
      <c r="T80" s="6">
        <f>IF(R80="Manual", IFERROR(S80, Summary!B5), IF(R80="Reduced1", Summary!C5, IF(R80="Reduced2", Summary!D5, Summary!B5)))</f>
        <v/>
      </c>
      <c r="U80" s="6">
        <f>IFERROR((O80+Q80)*T80/100,0)</f>
        <v/>
      </c>
      <c r="V80" s="6">
        <f>Q80+U80</f>
        <v/>
      </c>
      <c r="W80" s="6">
        <f>O80+V80</f>
        <v/>
      </c>
    </row>
    <row r="81">
      <c r="A81" s="4" t="n">
        <v>80</v>
      </c>
      <c r="K81" s="6">
        <f>IFERROR(E81*J81,0)</f>
        <v/>
      </c>
      <c r="O81" s="6">
        <f>SUM(L81:N81)+IF(I81="EUR",K81,K81)</f>
        <v/>
      </c>
      <c r="Q81" s="6">
        <f>IFERROR(O81*P81/100,0)</f>
        <v/>
      </c>
      <c r="R81" t="inlineStr">
        <is>
          <t>Standard</t>
        </is>
      </c>
      <c r="T81" s="6">
        <f>IF(R81="Manual", IFERROR(S81, Summary!B5), IF(R81="Reduced1", Summary!C5, IF(R81="Reduced2", Summary!D5, Summary!B5)))</f>
        <v/>
      </c>
      <c r="U81" s="6">
        <f>IFERROR((O81+Q81)*T81/100,0)</f>
        <v/>
      </c>
      <c r="V81" s="6">
        <f>Q81+U81</f>
        <v/>
      </c>
      <c r="W81" s="6">
        <f>O81+V81</f>
        <v/>
      </c>
    </row>
    <row r="82">
      <c r="A82" s="4" t="n">
        <v>81</v>
      </c>
      <c r="K82" s="6">
        <f>IFERROR(E82*J82,0)</f>
        <v/>
      </c>
      <c r="O82" s="6">
        <f>SUM(L82:N82)+IF(I82="EUR",K82,K82)</f>
        <v/>
      </c>
      <c r="Q82" s="6">
        <f>IFERROR(O82*P82/100,0)</f>
        <v/>
      </c>
      <c r="R82" t="inlineStr">
        <is>
          <t>Standard</t>
        </is>
      </c>
      <c r="T82" s="6">
        <f>IF(R82="Manual", IFERROR(S82, Summary!B5), IF(R82="Reduced1", Summary!C5, IF(R82="Reduced2", Summary!D5, Summary!B5)))</f>
        <v/>
      </c>
      <c r="U82" s="6">
        <f>IFERROR((O82+Q82)*T82/100,0)</f>
        <v/>
      </c>
      <c r="V82" s="6">
        <f>Q82+U82</f>
        <v/>
      </c>
      <c r="W82" s="6">
        <f>O82+V82</f>
        <v/>
      </c>
    </row>
    <row r="83">
      <c r="A83" s="4" t="n">
        <v>82</v>
      </c>
      <c r="K83" s="6">
        <f>IFERROR(E83*J83,0)</f>
        <v/>
      </c>
      <c r="O83" s="6">
        <f>SUM(L83:N83)+IF(I83="EUR",K83,K83)</f>
        <v/>
      </c>
      <c r="Q83" s="6">
        <f>IFERROR(O83*P83/100,0)</f>
        <v/>
      </c>
      <c r="R83" t="inlineStr">
        <is>
          <t>Standard</t>
        </is>
      </c>
      <c r="T83" s="6">
        <f>IF(R83="Manual", IFERROR(S83, Summary!B5), IF(R83="Reduced1", Summary!C5, IF(R83="Reduced2", Summary!D5, Summary!B5)))</f>
        <v/>
      </c>
      <c r="U83" s="6">
        <f>IFERROR((O83+Q83)*T83/100,0)</f>
        <v/>
      </c>
      <c r="V83" s="6">
        <f>Q83+U83</f>
        <v/>
      </c>
      <c r="W83" s="6">
        <f>O83+V83</f>
        <v/>
      </c>
    </row>
    <row r="84">
      <c r="A84" s="4" t="n">
        <v>83</v>
      </c>
      <c r="K84" s="6">
        <f>IFERROR(E84*J84,0)</f>
        <v/>
      </c>
      <c r="O84" s="6">
        <f>SUM(L84:N84)+IF(I84="EUR",K84,K84)</f>
        <v/>
      </c>
      <c r="Q84" s="6">
        <f>IFERROR(O84*P84/100,0)</f>
        <v/>
      </c>
      <c r="R84" t="inlineStr">
        <is>
          <t>Standard</t>
        </is>
      </c>
      <c r="T84" s="6">
        <f>IF(R84="Manual", IFERROR(S84, Summary!B5), IF(R84="Reduced1", Summary!C5, IF(R84="Reduced2", Summary!D5, Summary!B5)))</f>
        <v/>
      </c>
      <c r="U84" s="6">
        <f>IFERROR((O84+Q84)*T84/100,0)</f>
        <v/>
      </c>
      <c r="V84" s="6">
        <f>Q84+U84</f>
        <v/>
      </c>
      <c r="W84" s="6">
        <f>O84+V84</f>
        <v/>
      </c>
    </row>
    <row r="85">
      <c r="A85" s="4" t="n">
        <v>84</v>
      </c>
      <c r="K85" s="6">
        <f>IFERROR(E85*J85,0)</f>
        <v/>
      </c>
      <c r="O85" s="6">
        <f>SUM(L85:N85)+IF(I85="EUR",K85,K85)</f>
        <v/>
      </c>
      <c r="Q85" s="6">
        <f>IFERROR(O85*P85/100,0)</f>
        <v/>
      </c>
      <c r="R85" t="inlineStr">
        <is>
          <t>Standard</t>
        </is>
      </c>
      <c r="T85" s="6">
        <f>IF(R85="Manual", IFERROR(S85, Summary!B5), IF(R85="Reduced1", Summary!C5, IF(R85="Reduced2", Summary!D5, Summary!B5)))</f>
        <v/>
      </c>
      <c r="U85" s="6">
        <f>IFERROR((O85+Q85)*T85/100,0)</f>
        <v/>
      </c>
      <c r="V85" s="6">
        <f>Q85+U85</f>
        <v/>
      </c>
      <c r="W85" s="6">
        <f>O85+V85</f>
        <v/>
      </c>
    </row>
    <row r="86">
      <c r="A86" s="4" t="n">
        <v>85</v>
      </c>
      <c r="K86" s="6">
        <f>IFERROR(E86*J86,0)</f>
        <v/>
      </c>
      <c r="O86" s="6">
        <f>SUM(L86:N86)+IF(I86="EUR",K86,K86)</f>
        <v/>
      </c>
      <c r="Q86" s="6">
        <f>IFERROR(O86*P86/100,0)</f>
        <v/>
      </c>
      <c r="R86" t="inlineStr">
        <is>
          <t>Standard</t>
        </is>
      </c>
      <c r="T86" s="6">
        <f>IF(R86="Manual", IFERROR(S86, Summary!B5), IF(R86="Reduced1", Summary!C5, IF(R86="Reduced2", Summary!D5, Summary!B5)))</f>
        <v/>
      </c>
      <c r="U86" s="6">
        <f>IFERROR((O86+Q86)*T86/100,0)</f>
        <v/>
      </c>
      <c r="V86" s="6">
        <f>Q86+U86</f>
        <v/>
      </c>
      <c r="W86" s="6">
        <f>O86+V86</f>
        <v/>
      </c>
    </row>
    <row r="87">
      <c r="A87" s="4" t="n">
        <v>86</v>
      </c>
      <c r="K87" s="6">
        <f>IFERROR(E87*J87,0)</f>
        <v/>
      </c>
      <c r="O87" s="6">
        <f>SUM(L87:N87)+IF(I87="EUR",K87,K87)</f>
        <v/>
      </c>
      <c r="Q87" s="6">
        <f>IFERROR(O87*P87/100,0)</f>
        <v/>
      </c>
      <c r="R87" t="inlineStr">
        <is>
          <t>Standard</t>
        </is>
      </c>
      <c r="T87" s="6">
        <f>IF(R87="Manual", IFERROR(S87, Summary!B5), IF(R87="Reduced1", Summary!C5, IF(R87="Reduced2", Summary!D5, Summary!B5)))</f>
        <v/>
      </c>
      <c r="U87" s="6">
        <f>IFERROR((O87+Q87)*T87/100,0)</f>
        <v/>
      </c>
      <c r="V87" s="6">
        <f>Q87+U87</f>
        <v/>
      </c>
      <c r="W87" s="6">
        <f>O87+V87</f>
        <v/>
      </c>
    </row>
    <row r="88">
      <c r="A88" s="4" t="n">
        <v>87</v>
      </c>
      <c r="K88" s="6">
        <f>IFERROR(E88*J88,0)</f>
        <v/>
      </c>
      <c r="O88" s="6">
        <f>SUM(L88:N88)+IF(I88="EUR",K88,K88)</f>
        <v/>
      </c>
      <c r="Q88" s="6">
        <f>IFERROR(O88*P88/100,0)</f>
        <v/>
      </c>
      <c r="R88" t="inlineStr">
        <is>
          <t>Standard</t>
        </is>
      </c>
      <c r="T88" s="6">
        <f>IF(R88="Manual", IFERROR(S88, Summary!B5), IF(R88="Reduced1", Summary!C5, IF(R88="Reduced2", Summary!D5, Summary!B5)))</f>
        <v/>
      </c>
      <c r="U88" s="6">
        <f>IFERROR((O88+Q88)*T88/100,0)</f>
        <v/>
      </c>
      <c r="V88" s="6">
        <f>Q88+U88</f>
        <v/>
      </c>
      <c r="W88" s="6">
        <f>O88+V88</f>
        <v/>
      </c>
    </row>
    <row r="89">
      <c r="A89" s="4" t="n">
        <v>88</v>
      </c>
      <c r="K89" s="6">
        <f>IFERROR(E89*J89,0)</f>
        <v/>
      </c>
      <c r="O89" s="6">
        <f>SUM(L89:N89)+IF(I89="EUR",K89,K89)</f>
        <v/>
      </c>
      <c r="Q89" s="6">
        <f>IFERROR(O89*P89/100,0)</f>
        <v/>
      </c>
      <c r="R89" t="inlineStr">
        <is>
          <t>Standard</t>
        </is>
      </c>
      <c r="T89" s="6">
        <f>IF(R89="Manual", IFERROR(S89, Summary!B5), IF(R89="Reduced1", Summary!C5, IF(R89="Reduced2", Summary!D5, Summary!B5)))</f>
        <v/>
      </c>
      <c r="U89" s="6">
        <f>IFERROR((O89+Q89)*T89/100,0)</f>
        <v/>
      </c>
      <c r="V89" s="6">
        <f>Q89+U89</f>
        <v/>
      </c>
      <c r="W89" s="6">
        <f>O89+V89</f>
        <v/>
      </c>
    </row>
    <row r="90">
      <c r="A90" s="4" t="n">
        <v>89</v>
      </c>
      <c r="K90" s="6">
        <f>IFERROR(E90*J90,0)</f>
        <v/>
      </c>
      <c r="O90" s="6">
        <f>SUM(L90:N90)+IF(I90="EUR",K90,K90)</f>
        <v/>
      </c>
      <c r="Q90" s="6">
        <f>IFERROR(O90*P90/100,0)</f>
        <v/>
      </c>
      <c r="R90" t="inlineStr">
        <is>
          <t>Standard</t>
        </is>
      </c>
      <c r="T90" s="6">
        <f>IF(R90="Manual", IFERROR(S90, Summary!B5), IF(R90="Reduced1", Summary!C5, IF(R90="Reduced2", Summary!D5, Summary!B5)))</f>
        <v/>
      </c>
      <c r="U90" s="6">
        <f>IFERROR((O90+Q90)*T90/100,0)</f>
        <v/>
      </c>
      <c r="V90" s="6">
        <f>Q90+U90</f>
        <v/>
      </c>
      <c r="W90" s="6">
        <f>O90+V90</f>
        <v/>
      </c>
    </row>
    <row r="91">
      <c r="A91" s="4" t="n">
        <v>90</v>
      </c>
      <c r="K91" s="6">
        <f>IFERROR(E91*J91,0)</f>
        <v/>
      </c>
      <c r="O91" s="6">
        <f>SUM(L91:N91)+IF(I91="EUR",K91,K91)</f>
        <v/>
      </c>
      <c r="Q91" s="6">
        <f>IFERROR(O91*P91/100,0)</f>
        <v/>
      </c>
      <c r="R91" t="inlineStr">
        <is>
          <t>Standard</t>
        </is>
      </c>
      <c r="T91" s="6">
        <f>IF(R91="Manual", IFERROR(S91, Summary!B5), IF(R91="Reduced1", Summary!C5, IF(R91="Reduced2", Summary!D5, Summary!B5)))</f>
        <v/>
      </c>
      <c r="U91" s="6">
        <f>IFERROR((O91+Q91)*T91/100,0)</f>
        <v/>
      </c>
      <c r="V91" s="6">
        <f>Q91+U91</f>
        <v/>
      </c>
      <c r="W91" s="6">
        <f>O91+V91</f>
        <v/>
      </c>
    </row>
    <row r="92">
      <c r="A92" s="4" t="n">
        <v>91</v>
      </c>
      <c r="K92" s="6">
        <f>IFERROR(E92*J92,0)</f>
        <v/>
      </c>
      <c r="O92" s="6">
        <f>SUM(L92:N92)+IF(I92="EUR",K92,K92)</f>
        <v/>
      </c>
      <c r="Q92" s="6">
        <f>IFERROR(O92*P92/100,0)</f>
        <v/>
      </c>
      <c r="R92" t="inlineStr">
        <is>
          <t>Standard</t>
        </is>
      </c>
      <c r="T92" s="6">
        <f>IF(R92="Manual", IFERROR(S92, Summary!B5), IF(R92="Reduced1", Summary!C5, IF(R92="Reduced2", Summary!D5, Summary!B5)))</f>
        <v/>
      </c>
      <c r="U92" s="6">
        <f>IFERROR((O92+Q92)*T92/100,0)</f>
        <v/>
      </c>
      <c r="V92" s="6">
        <f>Q92+U92</f>
        <v/>
      </c>
      <c r="W92" s="6">
        <f>O92+V92</f>
        <v/>
      </c>
    </row>
    <row r="93">
      <c r="A93" s="4" t="n">
        <v>92</v>
      </c>
      <c r="K93" s="6">
        <f>IFERROR(E93*J93,0)</f>
        <v/>
      </c>
      <c r="O93" s="6">
        <f>SUM(L93:N93)+IF(I93="EUR",K93,K93)</f>
        <v/>
      </c>
      <c r="Q93" s="6">
        <f>IFERROR(O93*P93/100,0)</f>
        <v/>
      </c>
      <c r="R93" t="inlineStr">
        <is>
          <t>Standard</t>
        </is>
      </c>
      <c r="T93" s="6">
        <f>IF(R93="Manual", IFERROR(S93, Summary!B5), IF(R93="Reduced1", Summary!C5, IF(R93="Reduced2", Summary!D5, Summary!B5)))</f>
        <v/>
      </c>
      <c r="U93" s="6">
        <f>IFERROR((O93+Q93)*T93/100,0)</f>
        <v/>
      </c>
      <c r="V93" s="6">
        <f>Q93+U93</f>
        <v/>
      </c>
      <c r="W93" s="6">
        <f>O93+V93</f>
        <v/>
      </c>
    </row>
    <row r="94">
      <c r="A94" s="4" t="n">
        <v>93</v>
      </c>
      <c r="K94" s="6">
        <f>IFERROR(E94*J94,0)</f>
        <v/>
      </c>
      <c r="O94" s="6">
        <f>SUM(L94:N94)+IF(I94="EUR",K94,K94)</f>
        <v/>
      </c>
      <c r="Q94" s="6">
        <f>IFERROR(O94*P94/100,0)</f>
        <v/>
      </c>
      <c r="R94" t="inlineStr">
        <is>
          <t>Standard</t>
        </is>
      </c>
      <c r="T94" s="6">
        <f>IF(R94="Manual", IFERROR(S94, Summary!B5), IF(R94="Reduced1", Summary!C5, IF(R94="Reduced2", Summary!D5, Summary!B5)))</f>
        <v/>
      </c>
      <c r="U94" s="6">
        <f>IFERROR((O94+Q94)*T94/100,0)</f>
        <v/>
      </c>
      <c r="V94" s="6">
        <f>Q94+U94</f>
        <v/>
      </c>
      <c r="W94" s="6">
        <f>O94+V94</f>
        <v/>
      </c>
    </row>
    <row r="95">
      <c r="A95" s="4" t="n">
        <v>94</v>
      </c>
      <c r="K95" s="6">
        <f>IFERROR(E95*J95,0)</f>
        <v/>
      </c>
      <c r="O95" s="6">
        <f>SUM(L95:N95)+IF(I95="EUR",K95,K95)</f>
        <v/>
      </c>
      <c r="Q95" s="6">
        <f>IFERROR(O95*P95/100,0)</f>
        <v/>
      </c>
      <c r="R95" t="inlineStr">
        <is>
          <t>Standard</t>
        </is>
      </c>
      <c r="T95" s="6">
        <f>IF(R95="Manual", IFERROR(S95, Summary!B5), IF(R95="Reduced1", Summary!C5, IF(R95="Reduced2", Summary!D5, Summary!B5)))</f>
        <v/>
      </c>
      <c r="U95" s="6">
        <f>IFERROR((O95+Q95)*T95/100,0)</f>
        <v/>
      </c>
      <c r="V95" s="6">
        <f>Q95+U95</f>
        <v/>
      </c>
      <c r="W95" s="6">
        <f>O95+V95</f>
        <v/>
      </c>
    </row>
    <row r="96">
      <c r="A96" s="4" t="n">
        <v>95</v>
      </c>
      <c r="K96" s="6">
        <f>IFERROR(E96*J96,0)</f>
        <v/>
      </c>
      <c r="O96" s="6">
        <f>SUM(L96:N96)+IF(I96="EUR",K96,K96)</f>
        <v/>
      </c>
      <c r="Q96" s="6">
        <f>IFERROR(O96*P96/100,0)</f>
        <v/>
      </c>
      <c r="R96" t="inlineStr">
        <is>
          <t>Standard</t>
        </is>
      </c>
      <c r="T96" s="6">
        <f>IF(R96="Manual", IFERROR(S96, Summary!B5), IF(R96="Reduced1", Summary!C5, IF(R96="Reduced2", Summary!D5, Summary!B5)))</f>
        <v/>
      </c>
      <c r="U96" s="6">
        <f>IFERROR((O96+Q96)*T96/100,0)</f>
        <v/>
      </c>
      <c r="V96" s="6">
        <f>Q96+U96</f>
        <v/>
      </c>
      <c r="W96" s="6">
        <f>O96+V96</f>
        <v/>
      </c>
    </row>
    <row r="97">
      <c r="A97" s="4" t="n">
        <v>96</v>
      </c>
      <c r="K97" s="6">
        <f>IFERROR(E97*J97,0)</f>
        <v/>
      </c>
      <c r="O97" s="6">
        <f>SUM(L97:N97)+IF(I97="EUR",K97,K97)</f>
        <v/>
      </c>
      <c r="Q97" s="6">
        <f>IFERROR(O97*P97/100,0)</f>
        <v/>
      </c>
      <c r="R97" t="inlineStr">
        <is>
          <t>Standard</t>
        </is>
      </c>
      <c r="T97" s="6">
        <f>IF(R97="Manual", IFERROR(S97, Summary!B5), IF(R97="Reduced1", Summary!C5, IF(R97="Reduced2", Summary!D5, Summary!B5)))</f>
        <v/>
      </c>
      <c r="U97" s="6">
        <f>IFERROR((O97+Q97)*T97/100,0)</f>
        <v/>
      </c>
      <c r="V97" s="6">
        <f>Q97+U97</f>
        <v/>
      </c>
      <c r="W97" s="6">
        <f>O97+V97</f>
        <v/>
      </c>
    </row>
    <row r="98">
      <c r="A98" s="4" t="n">
        <v>97</v>
      </c>
      <c r="K98" s="6">
        <f>IFERROR(E98*J98,0)</f>
        <v/>
      </c>
      <c r="O98" s="6">
        <f>SUM(L98:N98)+IF(I98="EUR",K98,K98)</f>
        <v/>
      </c>
      <c r="Q98" s="6">
        <f>IFERROR(O98*P98/100,0)</f>
        <v/>
      </c>
      <c r="R98" t="inlineStr">
        <is>
          <t>Standard</t>
        </is>
      </c>
      <c r="T98" s="6">
        <f>IF(R98="Manual", IFERROR(S98, Summary!B5), IF(R98="Reduced1", Summary!C5, IF(R98="Reduced2", Summary!D5, Summary!B5)))</f>
        <v/>
      </c>
      <c r="U98" s="6">
        <f>IFERROR((O98+Q98)*T98/100,0)</f>
        <v/>
      </c>
      <c r="V98" s="6">
        <f>Q98+U98</f>
        <v/>
      </c>
      <c r="W98" s="6">
        <f>O98+V98</f>
        <v/>
      </c>
    </row>
    <row r="99">
      <c r="A99" s="4" t="n">
        <v>98</v>
      </c>
      <c r="K99" s="6">
        <f>IFERROR(E99*J99,0)</f>
        <v/>
      </c>
      <c r="O99" s="6">
        <f>SUM(L99:N99)+IF(I99="EUR",K99,K99)</f>
        <v/>
      </c>
      <c r="Q99" s="6">
        <f>IFERROR(O99*P99/100,0)</f>
        <v/>
      </c>
      <c r="R99" t="inlineStr">
        <is>
          <t>Standard</t>
        </is>
      </c>
      <c r="T99" s="6">
        <f>IF(R99="Manual", IFERROR(S99, Summary!B5), IF(R99="Reduced1", Summary!C5, IF(R99="Reduced2", Summary!D5, Summary!B5)))</f>
        <v/>
      </c>
      <c r="U99" s="6">
        <f>IFERROR((O99+Q99)*T99/100,0)</f>
        <v/>
      </c>
      <c r="V99" s="6">
        <f>Q99+U99</f>
        <v/>
      </c>
      <c r="W99" s="6">
        <f>O99+V99</f>
        <v/>
      </c>
    </row>
    <row r="100">
      <c r="A100" s="4" t="n">
        <v>99</v>
      </c>
      <c r="K100" s="6">
        <f>IFERROR(E100*J100,0)</f>
        <v/>
      </c>
      <c r="O100" s="6">
        <f>SUM(L100:N100)+IF(I100="EUR",K100,K100)</f>
        <v/>
      </c>
      <c r="Q100" s="6">
        <f>IFERROR(O100*P100/100,0)</f>
        <v/>
      </c>
      <c r="R100" t="inlineStr">
        <is>
          <t>Standard</t>
        </is>
      </c>
      <c r="T100" s="6">
        <f>IF(R100="Manual", IFERROR(S100, Summary!B5), IF(R100="Reduced1", Summary!C5, IF(R100="Reduced2", Summary!D5, Summary!B5)))</f>
        <v/>
      </c>
      <c r="U100" s="6">
        <f>IFERROR((O100+Q100)*T100/100,0)</f>
        <v/>
      </c>
      <c r="V100" s="6">
        <f>Q100+U100</f>
        <v/>
      </c>
      <c r="W100" s="6">
        <f>O100+V100</f>
        <v/>
      </c>
    </row>
    <row r="101">
      <c r="A101" s="4" t="n">
        <v>100</v>
      </c>
      <c r="K101" s="6">
        <f>IFERROR(E101*J101,0)</f>
        <v/>
      </c>
      <c r="O101" s="6">
        <f>SUM(L101:N101)+IF(I101="EUR",K101,K101)</f>
        <v/>
      </c>
      <c r="Q101" s="6">
        <f>IFERROR(O101*P101/100,0)</f>
        <v/>
      </c>
      <c r="R101" t="inlineStr">
        <is>
          <t>Standard</t>
        </is>
      </c>
      <c r="T101" s="6">
        <f>IF(R101="Manual", IFERROR(S101, Summary!B5), IF(R101="Reduced1", Summary!C5, IF(R101="Reduced2", Summary!D5, Summary!B5)))</f>
        <v/>
      </c>
      <c r="U101" s="6">
        <f>IFERROR((O101+Q101)*T101/100,0)</f>
        <v/>
      </c>
      <c r="V101" s="6">
        <f>Q101+U101</f>
        <v/>
      </c>
      <c r="W101" s="6">
        <f>O101+V101</f>
        <v/>
      </c>
    </row>
    <row r="102">
      <c r="A102" s="4" t="n">
        <v>101</v>
      </c>
      <c r="K102" s="6">
        <f>IFERROR(E102*J102,0)</f>
        <v/>
      </c>
      <c r="O102" s="6">
        <f>SUM(L102:N102)+IF(I102="EUR",K102,K102)</f>
        <v/>
      </c>
      <c r="Q102" s="6">
        <f>IFERROR(O102*P102/100,0)</f>
        <v/>
      </c>
      <c r="R102" t="inlineStr">
        <is>
          <t>Standard</t>
        </is>
      </c>
      <c r="T102" s="6">
        <f>IF(R102="Manual", IFERROR(S102, Summary!B5), IF(R102="Reduced1", Summary!C5, IF(R102="Reduced2", Summary!D5, Summary!B5)))</f>
        <v/>
      </c>
      <c r="U102" s="6">
        <f>IFERROR((O102+Q102)*T102/100,0)</f>
        <v/>
      </c>
      <c r="V102" s="6">
        <f>Q102+U102</f>
        <v/>
      </c>
      <c r="W102" s="6">
        <f>O102+V102</f>
        <v/>
      </c>
    </row>
    <row r="103">
      <c r="A103" s="4" t="n">
        <v>102</v>
      </c>
      <c r="K103" s="6">
        <f>IFERROR(E103*J103,0)</f>
        <v/>
      </c>
      <c r="O103" s="6">
        <f>SUM(L103:N103)+IF(I103="EUR",K103,K103)</f>
        <v/>
      </c>
      <c r="Q103" s="6">
        <f>IFERROR(O103*P103/100,0)</f>
        <v/>
      </c>
      <c r="R103" t="inlineStr">
        <is>
          <t>Standard</t>
        </is>
      </c>
      <c r="T103" s="6">
        <f>IF(R103="Manual", IFERROR(S103, Summary!B5), IF(R103="Reduced1", Summary!C5, IF(R103="Reduced2", Summary!D5, Summary!B5)))</f>
        <v/>
      </c>
      <c r="U103" s="6">
        <f>IFERROR((O103+Q103)*T103/100,0)</f>
        <v/>
      </c>
      <c r="V103" s="6">
        <f>Q103+U103</f>
        <v/>
      </c>
      <c r="W103" s="6">
        <f>O103+V103</f>
        <v/>
      </c>
    </row>
    <row r="104">
      <c r="A104" s="4" t="n">
        <v>103</v>
      </c>
      <c r="K104" s="6">
        <f>IFERROR(E104*J104,0)</f>
        <v/>
      </c>
      <c r="O104" s="6">
        <f>SUM(L104:N104)+IF(I104="EUR",K104,K104)</f>
        <v/>
      </c>
      <c r="Q104" s="6">
        <f>IFERROR(O104*P104/100,0)</f>
        <v/>
      </c>
      <c r="R104" t="inlineStr">
        <is>
          <t>Standard</t>
        </is>
      </c>
      <c r="T104" s="6">
        <f>IF(R104="Manual", IFERROR(S104, Summary!B5), IF(R104="Reduced1", Summary!C5, IF(R104="Reduced2", Summary!D5, Summary!B5)))</f>
        <v/>
      </c>
      <c r="U104" s="6">
        <f>IFERROR((O104+Q104)*T104/100,0)</f>
        <v/>
      </c>
      <c r="V104" s="6">
        <f>Q104+U104</f>
        <v/>
      </c>
      <c r="W104" s="6">
        <f>O104+V104</f>
        <v/>
      </c>
    </row>
    <row r="105">
      <c r="A105" s="4" t="n">
        <v>104</v>
      </c>
      <c r="K105" s="6">
        <f>IFERROR(E105*J105,0)</f>
        <v/>
      </c>
      <c r="O105" s="6">
        <f>SUM(L105:N105)+IF(I105="EUR",K105,K105)</f>
        <v/>
      </c>
      <c r="Q105" s="6">
        <f>IFERROR(O105*P105/100,0)</f>
        <v/>
      </c>
      <c r="R105" t="inlineStr">
        <is>
          <t>Standard</t>
        </is>
      </c>
      <c r="T105" s="6">
        <f>IF(R105="Manual", IFERROR(S105, Summary!B5), IF(R105="Reduced1", Summary!C5, IF(R105="Reduced2", Summary!D5, Summary!B5)))</f>
        <v/>
      </c>
      <c r="U105" s="6">
        <f>IFERROR((O105+Q105)*T105/100,0)</f>
        <v/>
      </c>
      <c r="V105" s="6">
        <f>Q105+U105</f>
        <v/>
      </c>
      <c r="W105" s="6">
        <f>O105+V105</f>
        <v/>
      </c>
    </row>
    <row r="106">
      <c r="A106" s="4" t="n">
        <v>105</v>
      </c>
      <c r="K106" s="6">
        <f>IFERROR(E106*J106,0)</f>
        <v/>
      </c>
      <c r="O106" s="6">
        <f>SUM(L106:N106)+IF(I106="EUR",K106,K106)</f>
        <v/>
      </c>
      <c r="Q106" s="6">
        <f>IFERROR(O106*P106/100,0)</f>
        <v/>
      </c>
      <c r="R106" t="inlineStr">
        <is>
          <t>Standard</t>
        </is>
      </c>
      <c r="T106" s="6">
        <f>IF(R106="Manual", IFERROR(S106, Summary!B5), IF(R106="Reduced1", Summary!C5, IF(R106="Reduced2", Summary!D5, Summary!B5)))</f>
        <v/>
      </c>
      <c r="U106" s="6">
        <f>IFERROR((O106+Q106)*T106/100,0)</f>
        <v/>
      </c>
      <c r="V106" s="6">
        <f>Q106+U106</f>
        <v/>
      </c>
      <c r="W106" s="6">
        <f>O106+V106</f>
        <v/>
      </c>
    </row>
    <row r="107">
      <c r="A107" s="4" t="n">
        <v>106</v>
      </c>
      <c r="K107" s="6">
        <f>IFERROR(E107*J107,0)</f>
        <v/>
      </c>
      <c r="O107" s="6">
        <f>SUM(L107:N107)+IF(I107="EUR",K107,K107)</f>
        <v/>
      </c>
      <c r="Q107" s="6">
        <f>IFERROR(O107*P107/100,0)</f>
        <v/>
      </c>
      <c r="R107" t="inlineStr">
        <is>
          <t>Standard</t>
        </is>
      </c>
      <c r="T107" s="6">
        <f>IF(R107="Manual", IFERROR(S107, Summary!B5), IF(R107="Reduced1", Summary!C5, IF(R107="Reduced2", Summary!D5, Summary!B5)))</f>
        <v/>
      </c>
      <c r="U107" s="6">
        <f>IFERROR((O107+Q107)*T107/100,0)</f>
        <v/>
      </c>
      <c r="V107" s="6">
        <f>Q107+U107</f>
        <v/>
      </c>
      <c r="W107" s="6">
        <f>O107+V107</f>
        <v/>
      </c>
    </row>
    <row r="108">
      <c r="A108" s="4" t="n">
        <v>107</v>
      </c>
      <c r="K108" s="6">
        <f>IFERROR(E108*J108,0)</f>
        <v/>
      </c>
      <c r="O108" s="6">
        <f>SUM(L108:N108)+IF(I108="EUR",K108,K108)</f>
        <v/>
      </c>
      <c r="Q108" s="6">
        <f>IFERROR(O108*P108/100,0)</f>
        <v/>
      </c>
      <c r="R108" t="inlineStr">
        <is>
          <t>Standard</t>
        </is>
      </c>
      <c r="T108" s="6">
        <f>IF(R108="Manual", IFERROR(S108, Summary!B5), IF(R108="Reduced1", Summary!C5, IF(R108="Reduced2", Summary!D5, Summary!B5)))</f>
        <v/>
      </c>
      <c r="U108" s="6">
        <f>IFERROR((O108+Q108)*T108/100,0)</f>
        <v/>
      </c>
      <c r="V108" s="6">
        <f>Q108+U108</f>
        <v/>
      </c>
      <c r="W108" s="6">
        <f>O108+V108</f>
        <v/>
      </c>
    </row>
    <row r="109">
      <c r="A109" s="4" t="n">
        <v>108</v>
      </c>
      <c r="K109" s="6">
        <f>IFERROR(E109*J109,0)</f>
        <v/>
      </c>
      <c r="O109" s="6">
        <f>SUM(L109:N109)+IF(I109="EUR",K109,K109)</f>
        <v/>
      </c>
      <c r="Q109" s="6">
        <f>IFERROR(O109*P109/100,0)</f>
        <v/>
      </c>
      <c r="R109" t="inlineStr">
        <is>
          <t>Standard</t>
        </is>
      </c>
      <c r="T109" s="6">
        <f>IF(R109="Manual", IFERROR(S109, Summary!B5), IF(R109="Reduced1", Summary!C5, IF(R109="Reduced2", Summary!D5, Summary!B5)))</f>
        <v/>
      </c>
      <c r="U109" s="6">
        <f>IFERROR((O109+Q109)*T109/100,0)</f>
        <v/>
      </c>
      <c r="V109" s="6">
        <f>Q109+U109</f>
        <v/>
      </c>
      <c r="W109" s="6">
        <f>O109+V109</f>
        <v/>
      </c>
    </row>
    <row r="110">
      <c r="A110" s="4" t="n">
        <v>109</v>
      </c>
      <c r="K110" s="6">
        <f>IFERROR(E110*J110,0)</f>
        <v/>
      </c>
      <c r="O110" s="6">
        <f>SUM(L110:N110)+IF(I110="EUR",K110,K110)</f>
        <v/>
      </c>
      <c r="Q110" s="6">
        <f>IFERROR(O110*P110/100,0)</f>
        <v/>
      </c>
      <c r="R110" t="inlineStr">
        <is>
          <t>Standard</t>
        </is>
      </c>
      <c r="T110" s="6">
        <f>IF(R110="Manual", IFERROR(S110, Summary!B5), IF(R110="Reduced1", Summary!C5, IF(R110="Reduced2", Summary!D5, Summary!B5)))</f>
        <v/>
      </c>
      <c r="U110" s="6">
        <f>IFERROR((O110+Q110)*T110/100,0)</f>
        <v/>
      </c>
      <c r="V110" s="6">
        <f>Q110+U110</f>
        <v/>
      </c>
      <c r="W110" s="6">
        <f>O110+V110</f>
        <v/>
      </c>
    </row>
    <row r="111">
      <c r="A111" s="4" t="n">
        <v>110</v>
      </c>
      <c r="K111" s="6">
        <f>IFERROR(E111*J111,0)</f>
        <v/>
      </c>
      <c r="O111" s="6">
        <f>SUM(L111:N111)+IF(I111="EUR",K111,K111)</f>
        <v/>
      </c>
      <c r="Q111" s="6">
        <f>IFERROR(O111*P111/100,0)</f>
        <v/>
      </c>
      <c r="R111" t="inlineStr">
        <is>
          <t>Standard</t>
        </is>
      </c>
      <c r="T111" s="6">
        <f>IF(R111="Manual", IFERROR(S111, Summary!B5), IF(R111="Reduced1", Summary!C5, IF(R111="Reduced2", Summary!D5, Summary!B5)))</f>
        <v/>
      </c>
      <c r="U111" s="6">
        <f>IFERROR((O111+Q111)*T111/100,0)</f>
        <v/>
      </c>
      <c r="V111" s="6">
        <f>Q111+U111</f>
        <v/>
      </c>
      <c r="W111" s="6">
        <f>O111+V111</f>
        <v/>
      </c>
    </row>
    <row r="112">
      <c r="A112" s="4" t="n">
        <v>111</v>
      </c>
      <c r="K112" s="6">
        <f>IFERROR(E112*J112,0)</f>
        <v/>
      </c>
      <c r="O112" s="6">
        <f>SUM(L112:N112)+IF(I112="EUR",K112,K112)</f>
        <v/>
      </c>
      <c r="Q112" s="6">
        <f>IFERROR(O112*P112/100,0)</f>
        <v/>
      </c>
      <c r="R112" t="inlineStr">
        <is>
          <t>Standard</t>
        </is>
      </c>
      <c r="T112" s="6">
        <f>IF(R112="Manual", IFERROR(S112, Summary!B5), IF(R112="Reduced1", Summary!C5, IF(R112="Reduced2", Summary!D5, Summary!B5)))</f>
        <v/>
      </c>
      <c r="U112" s="6">
        <f>IFERROR((O112+Q112)*T112/100,0)</f>
        <v/>
      </c>
      <c r="V112" s="6">
        <f>Q112+U112</f>
        <v/>
      </c>
      <c r="W112" s="6">
        <f>O112+V112</f>
        <v/>
      </c>
    </row>
    <row r="113">
      <c r="A113" s="4" t="n">
        <v>112</v>
      </c>
      <c r="K113" s="6">
        <f>IFERROR(E113*J113,0)</f>
        <v/>
      </c>
      <c r="O113" s="6">
        <f>SUM(L113:N113)+IF(I113="EUR",K113,K113)</f>
        <v/>
      </c>
      <c r="Q113" s="6">
        <f>IFERROR(O113*P113/100,0)</f>
        <v/>
      </c>
      <c r="R113" t="inlineStr">
        <is>
          <t>Standard</t>
        </is>
      </c>
      <c r="T113" s="6">
        <f>IF(R113="Manual", IFERROR(S113, Summary!B5), IF(R113="Reduced1", Summary!C5, IF(R113="Reduced2", Summary!D5, Summary!B5)))</f>
        <v/>
      </c>
      <c r="U113" s="6">
        <f>IFERROR((O113+Q113)*T113/100,0)</f>
        <v/>
      </c>
      <c r="V113" s="6">
        <f>Q113+U113</f>
        <v/>
      </c>
      <c r="W113" s="6">
        <f>O113+V113</f>
        <v/>
      </c>
    </row>
    <row r="114">
      <c r="A114" s="4" t="n">
        <v>113</v>
      </c>
      <c r="K114" s="6">
        <f>IFERROR(E114*J114,0)</f>
        <v/>
      </c>
      <c r="O114" s="6">
        <f>SUM(L114:N114)+IF(I114="EUR",K114,K114)</f>
        <v/>
      </c>
      <c r="Q114" s="6">
        <f>IFERROR(O114*P114/100,0)</f>
        <v/>
      </c>
      <c r="R114" t="inlineStr">
        <is>
          <t>Standard</t>
        </is>
      </c>
      <c r="T114" s="6">
        <f>IF(R114="Manual", IFERROR(S114, Summary!B5), IF(R114="Reduced1", Summary!C5, IF(R114="Reduced2", Summary!D5, Summary!B5)))</f>
        <v/>
      </c>
      <c r="U114" s="6">
        <f>IFERROR((O114+Q114)*T114/100,0)</f>
        <v/>
      </c>
      <c r="V114" s="6">
        <f>Q114+U114</f>
        <v/>
      </c>
      <c r="W114" s="6">
        <f>O114+V114</f>
        <v/>
      </c>
    </row>
    <row r="115">
      <c r="A115" s="4" t="n">
        <v>114</v>
      </c>
      <c r="K115" s="6">
        <f>IFERROR(E115*J115,0)</f>
        <v/>
      </c>
      <c r="O115" s="6">
        <f>SUM(L115:N115)+IF(I115="EUR",K115,K115)</f>
        <v/>
      </c>
      <c r="Q115" s="6">
        <f>IFERROR(O115*P115/100,0)</f>
        <v/>
      </c>
      <c r="R115" t="inlineStr">
        <is>
          <t>Standard</t>
        </is>
      </c>
      <c r="T115" s="6">
        <f>IF(R115="Manual", IFERROR(S115, Summary!B5), IF(R115="Reduced1", Summary!C5, IF(R115="Reduced2", Summary!D5, Summary!B5)))</f>
        <v/>
      </c>
      <c r="U115" s="6">
        <f>IFERROR((O115+Q115)*T115/100,0)</f>
        <v/>
      </c>
      <c r="V115" s="6">
        <f>Q115+U115</f>
        <v/>
      </c>
      <c r="W115" s="6">
        <f>O115+V115</f>
        <v/>
      </c>
    </row>
    <row r="116">
      <c r="A116" s="4" t="n">
        <v>115</v>
      </c>
      <c r="K116" s="6">
        <f>IFERROR(E116*J116,0)</f>
        <v/>
      </c>
      <c r="O116" s="6">
        <f>SUM(L116:N116)+IF(I116="EUR",K116,K116)</f>
        <v/>
      </c>
      <c r="Q116" s="6">
        <f>IFERROR(O116*P116/100,0)</f>
        <v/>
      </c>
      <c r="R116" t="inlineStr">
        <is>
          <t>Standard</t>
        </is>
      </c>
      <c r="T116" s="6">
        <f>IF(R116="Manual", IFERROR(S116, Summary!B5), IF(R116="Reduced1", Summary!C5, IF(R116="Reduced2", Summary!D5, Summary!B5)))</f>
        <v/>
      </c>
      <c r="U116" s="6">
        <f>IFERROR((O116+Q116)*T116/100,0)</f>
        <v/>
      </c>
      <c r="V116" s="6">
        <f>Q116+U116</f>
        <v/>
      </c>
      <c r="W116" s="6">
        <f>O116+V116</f>
        <v/>
      </c>
    </row>
    <row r="117">
      <c r="A117" s="4" t="n">
        <v>116</v>
      </c>
      <c r="K117" s="6">
        <f>IFERROR(E117*J117,0)</f>
        <v/>
      </c>
      <c r="O117" s="6">
        <f>SUM(L117:N117)+IF(I117="EUR",K117,K117)</f>
        <v/>
      </c>
      <c r="Q117" s="6">
        <f>IFERROR(O117*P117/100,0)</f>
        <v/>
      </c>
      <c r="R117" t="inlineStr">
        <is>
          <t>Standard</t>
        </is>
      </c>
      <c r="T117" s="6">
        <f>IF(R117="Manual", IFERROR(S117, Summary!B5), IF(R117="Reduced1", Summary!C5, IF(R117="Reduced2", Summary!D5, Summary!B5)))</f>
        <v/>
      </c>
      <c r="U117" s="6">
        <f>IFERROR((O117+Q117)*T117/100,0)</f>
        <v/>
      </c>
      <c r="V117" s="6">
        <f>Q117+U117</f>
        <v/>
      </c>
      <c r="W117" s="6">
        <f>O117+V117</f>
        <v/>
      </c>
    </row>
    <row r="118">
      <c r="A118" s="4" t="n">
        <v>117</v>
      </c>
      <c r="K118" s="6">
        <f>IFERROR(E118*J118,0)</f>
        <v/>
      </c>
      <c r="O118" s="6">
        <f>SUM(L118:N118)+IF(I118="EUR",K118,K118)</f>
        <v/>
      </c>
      <c r="Q118" s="6">
        <f>IFERROR(O118*P118/100,0)</f>
        <v/>
      </c>
      <c r="R118" t="inlineStr">
        <is>
          <t>Standard</t>
        </is>
      </c>
      <c r="T118" s="6">
        <f>IF(R118="Manual", IFERROR(S118, Summary!B5), IF(R118="Reduced1", Summary!C5, IF(R118="Reduced2", Summary!D5, Summary!B5)))</f>
        <v/>
      </c>
      <c r="U118" s="6">
        <f>IFERROR((O118+Q118)*T118/100,0)</f>
        <v/>
      </c>
      <c r="V118" s="6">
        <f>Q118+U118</f>
        <v/>
      </c>
      <c r="W118" s="6">
        <f>O118+V118</f>
        <v/>
      </c>
    </row>
    <row r="119">
      <c r="A119" s="4" t="n">
        <v>118</v>
      </c>
      <c r="K119" s="6">
        <f>IFERROR(E119*J119,0)</f>
        <v/>
      </c>
      <c r="O119" s="6">
        <f>SUM(L119:N119)+IF(I119="EUR",K119,K119)</f>
        <v/>
      </c>
      <c r="Q119" s="6">
        <f>IFERROR(O119*P119/100,0)</f>
        <v/>
      </c>
      <c r="R119" t="inlineStr">
        <is>
          <t>Standard</t>
        </is>
      </c>
      <c r="T119" s="6">
        <f>IF(R119="Manual", IFERROR(S119, Summary!B5), IF(R119="Reduced1", Summary!C5, IF(R119="Reduced2", Summary!D5, Summary!B5)))</f>
        <v/>
      </c>
      <c r="U119" s="6">
        <f>IFERROR((O119+Q119)*T119/100,0)</f>
        <v/>
      </c>
      <c r="V119" s="6">
        <f>Q119+U119</f>
        <v/>
      </c>
      <c r="W119" s="6">
        <f>O119+V119</f>
        <v/>
      </c>
    </row>
    <row r="120">
      <c r="A120" s="4" t="n">
        <v>119</v>
      </c>
      <c r="K120" s="6">
        <f>IFERROR(E120*J120,0)</f>
        <v/>
      </c>
      <c r="O120" s="6">
        <f>SUM(L120:N120)+IF(I120="EUR",K120,K120)</f>
        <v/>
      </c>
      <c r="Q120" s="6">
        <f>IFERROR(O120*P120/100,0)</f>
        <v/>
      </c>
      <c r="R120" t="inlineStr">
        <is>
          <t>Standard</t>
        </is>
      </c>
      <c r="T120" s="6">
        <f>IF(R120="Manual", IFERROR(S120, Summary!B5), IF(R120="Reduced1", Summary!C5, IF(R120="Reduced2", Summary!D5, Summary!B5)))</f>
        <v/>
      </c>
      <c r="U120" s="6">
        <f>IFERROR((O120+Q120)*T120/100,0)</f>
        <v/>
      </c>
      <c r="V120" s="6">
        <f>Q120+U120</f>
        <v/>
      </c>
      <c r="W120" s="6">
        <f>O120+V120</f>
        <v/>
      </c>
    </row>
    <row r="121">
      <c r="A121" s="4" t="n">
        <v>120</v>
      </c>
      <c r="K121" s="6">
        <f>IFERROR(E121*J121,0)</f>
        <v/>
      </c>
      <c r="O121" s="6">
        <f>SUM(L121:N121)+IF(I121="EUR",K121,K121)</f>
        <v/>
      </c>
      <c r="Q121" s="6">
        <f>IFERROR(O121*P121/100,0)</f>
        <v/>
      </c>
      <c r="R121" t="inlineStr">
        <is>
          <t>Standard</t>
        </is>
      </c>
      <c r="T121" s="6">
        <f>IF(R121="Manual", IFERROR(S121, Summary!B5), IF(R121="Reduced1", Summary!C5, IF(R121="Reduced2", Summary!D5, Summary!B5)))</f>
        <v/>
      </c>
      <c r="U121" s="6">
        <f>IFERROR((O121+Q121)*T121/100,0)</f>
        <v/>
      </c>
      <c r="V121" s="6">
        <f>Q121+U121</f>
        <v/>
      </c>
      <c r="W121" s="6">
        <f>O121+V121</f>
        <v/>
      </c>
    </row>
    <row r="122">
      <c r="A122" s="4" t="n">
        <v>121</v>
      </c>
      <c r="K122" s="6">
        <f>IFERROR(E122*J122,0)</f>
        <v/>
      </c>
      <c r="O122" s="6">
        <f>SUM(L122:N122)+IF(I122="EUR",K122,K122)</f>
        <v/>
      </c>
      <c r="Q122" s="6">
        <f>IFERROR(O122*P122/100,0)</f>
        <v/>
      </c>
      <c r="R122" t="inlineStr">
        <is>
          <t>Standard</t>
        </is>
      </c>
      <c r="T122" s="6">
        <f>IF(R122="Manual", IFERROR(S122, Summary!B5), IF(R122="Reduced1", Summary!C5, IF(R122="Reduced2", Summary!D5, Summary!B5)))</f>
        <v/>
      </c>
      <c r="U122" s="6">
        <f>IFERROR((O122+Q122)*T122/100,0)</f>
        <v/>
      </c>
      <c r="V122" s="6">
        <f>Q122+U122</f>
        <v/>
      </c>
      <c r="W122" s="6">
        <f>O122+V122</f>
        <v/>
      </c>
    </row>
    <row r="123">
      <c r="A123" s="4" t="n">
        <v>122</v>
      </c>
      <c r="K123" s="6">
        <f>IFERROR(E123*J123,0)</f>
        <v/>
      </c>
      <c r="O123" s="6">
        <f>SUM(L123:N123)+IF(I123="EUR",K123,K123)</f>
        <v/>
      </c>
      <c r="Q123" s="6">
        <f>IFERROR(O123*P123/100,0)</f>
        <v/>
      </c>
      <c r="R123" t="inlineStr">
        <is>
          <t>Standard</t>
        </is>
      </c>
      <c r="T123" s="6">
        <f>IF(R123="Manual", IFERROR(S123, Summary!B5), IF(R123="Reduced1", Summary!C5, IF(R123="Reduced2", Summary!D5, Summary!B5)))</f>
        <v/>
      </c>
      <c r="U123" s="6">
        <f>IFERROR((O123+Q123)*T123/100,0)</f>
        <v/>
      </c>
      <c r="V123" s="6">
        <f>Q123+U123</f>
        <v/>
      </c>
      <c r="W123" s="6">
        <f>O123+V123</f>
        <v/>
      </c>
    </row>
    <row r="124">
      <c r="A124" s="4" t="n">
        <v>123</v>
      </c>
      <c r="K124" s="6">
        <f>IFERROR(E124*J124,0)</f>
        <v/>
      </c>
      <c r="O124" s="6">
        <f>SUM(L124:N124)+IF(I124="EUR",K124,K124)</f>
        <v/>
      </c>
      <c r="Q124" s="6">
        <f>IFERROR(O124*P124/100,0)</f>
        <v/>
      </c>
      <c r="R124" t="inlineStr">
        <is>
          <t>Standard</t>
        </is>
      </c>
      <c r="T124" s="6">
        <f>IF(R124="Manual", IFERROR(S124, Summary!B5), IF(R124="Reduced1", Summary!C5, IF(R124="Reduced2", Summary!D5, Summary!B5)))</f>
        <v/>
      </c>
      <c r="U124" s="6">
        <f>IFERROR((O124+Q124)*T124/100,0)</f>
        <v/>
      </c>
      <c r="V124" s="6">
        <f>Q124+U124</f>
        <v/>
      </c>
      <c r="W124" s="6">
        <f>O124+V124</f>
        <v/>
      </c>
    </row>
    <row r="125">
      <c r="A125" s="4" t="n">
        <v>124</v>
      </c>
      <c r="K125" s="6">
        <f>IFERROR(E125*J125,0)</f>
        <v/>
      </c>
      <c r="O125" s="6">
        <f>SUM(L125:N125)+IF(I125="EUR",K125,K125)</f>
        <v/>
      </c>
      <c r="Q125" s="6">
        <f>IFERROR(O125*P125/100,0)</f>
        <v/>
      </c>
      <c r="R125" t="inlineStr">
        <is>
          <t>Standard</t>
        </is>
      </c>
      <c r="T125" s="6">
        <f>IF(R125="Manual", IFERROR(S125, Summary!B5), IF(R125="Reduced1", Summary!C5, IF(R125="Reduced2", Summary!D5, Summary!B5)))</f>
        <v/>
      </c>
      <c r="U125" s="6">
        <f>IFERROR((O125+Q125)*T125/100,0)</f>
        <v/>
      </c>
      <c r="V125" s="6">
        <f>Q125+U125</f>
        <v/>
      </c>
      <c r="W125" s="6">
        <f>O125+V125</f>
        <v/>
      </c>
    </row>
    <row r="126">
      <c r="A126" s="4" t="n">
        <v>125</v>
      </c>
      <c r="K126" s="6">
        <f>IFERROR(E126*J126,0)</f>
        <v/>
      </c>
      <c r="O126" s="6">
        <f>SUM(L126:N126)+IF(I126="EUR",K126,K126)</f>
        <v/>
      </c>
      <c r="Q126" s="6">
        <f>IFERROR(O126*P126/100,0)</f>
        <v/>
      </c>
      <c r="R126" t="inlineStr">
        <is>
          <t>Standard</t>
        </is>
      </c>
      <c r="T126" s="6">
        <f>IF(R126="Manual", IFERROR(S126, Summary!B5), IF(R126="Reduced1", Summary!C5, IF(R126="Reduced2", Summary!D5, Summary!B5)))</f>
        <v/>
      </c>
      <c r="U126" s="6">
        <f>IFERROR((O126+Q126)*T126/100,0)</f>
        <v/>
      </c>
      <c r="V126" s="6">
        <f>Q126+U126</f>
        <v/>
      </c>
      <c r="W126" s="6">
        <f>O126+V126</f>
        <v/>
      </c>
    </row>
    <row r="127">
      <c r="A127" s="4" t="n">
        <v>126</v>
      </c>
      <c r="K127" s="6">
        <f>IFERROR(E127*J127,0)</f>
        <v/>
      </c>
      <c r="O127" s="6">
        <f>SUM(L127:N127)+IF(I127="EUR",K127,K127)</f>
        <v/>
      </c>
      <c r="Q127" s="6">
        <f>IFERROR(O127*P127/100,0)</f>
        <v/>
      </c>
      <c r="R127" t="inlineStr">
        <is>
          <t>Standard</t>
        </is>
      </c>
      <c r="T127" s="6">
        <f>IF(R127="Manual", IFERROR(S127, Summary!B5), IF(R127="Reduced1", Summary!C5, IF(R127="Reduced2", Summary!D5, Summary!B5)))</f>
        <v/>
      </c>
      <c r="U127" s="6">
        <f>IFERROR((O127+Q127)*T127/100,0)</f>
        <v/>
      </c>
      <c r="V127" s="6">
        <f>Q127+U127</f>
        <v/>
      </c>
      <c r="W127" s="6">
        <f>O127+V127</f>
        <v/>
      </c>
    </row>
    <row r="128">
      <c r="A128" s="4" t="n">
        <v>127</v>
      </c>
      <c r="K128" s="6">
        <f>IFERROR(E128*J128,0)</f>
        <v/>
      </c>
      <c r="O128" s="6">
        <f>SUM(L128:N128)+IF(I128="EUR",K128,K128)</f>
        <v/>
      </c>
      <c r="Q128" s="6">
        <f>IFERROR(O128*P128/100,0)</f>
        <v/>
      </c>
      <c r="R128" t="inlineStr">
        <is>
          <t>Standard</t>
        </is>
      </c>
      <c r="T128" s="6">
        <f>IF(R128="Manual", IFERROR(S128, Summary!B5), IF(R128="Reduced1", Summary!C5, IF(R128="Reduced2", Summary!D5, Summary!B5)))</f>
        <v/>
      </c>
      <c r="U128" s="6">
        <f>IFERROR((O128+Q128)*T128/100,0)</f>
        <v/>
      </c>
      <c r="V128" s="6">
        <f>Q128+U128</f>
        <v/>
      </c>
      <c r="W128" s="6">
        <f>O128+V128</f>
        <v/>
      </c>
    </row>
    <row r="129">
      <c r="A129" s="4" t="n">
        <v>128</v>
      </c>
      <c r="K129" s="6">
        <f>IFERROR(E129*J129,0)</f>
        <v/>
      </c>
      <c r="O129" s="6">
        <f>SUM(L129:N129)+IF(I129="EUR",K129,K129)</f>
        <v/>
      </c>
      <c r="Q129" s="6">
        <f>IFERROR(O129*P129/100,0)</f>
        <v/>
      </c>
      <c r="R129" t="inlineStr">
        <is>
          <t>Standard</t>
        </is>
      </c>
      <c r="T129" s="6">
        <f>IF(R129="Manual", IFERROR(S129, Summary!B5), IF(R129="Reduced1", Summary!C5, IF(R129="Reduced2", Summary!D5, Summary!B5)))</f>
        <v/>
      </c>
      <c r="U129" s="6">
        <f>IFERROR((O129+Q129)*T129/100,0)</f>
        <v/>
      </c>
      <c r="V129" s="6">
        <f>Q129+U129</f>
        <v/>
      </c>
      <c r="W129" s="6">
        <f>O129+V129</f>
        <v/>
      </c>
    </row>
    <row r="130">
      <c r="A130" s="4" t="n">
        <v>129</v>
      </c>
      <c r="K130" s="6">
        <f>IFERROR(E130*J130,0)</f>
        <v/>
      </c>
      <c r="O130" s="6">
        <f>SUM(L130:N130)+IF(I130="EUR",K130,K130)</f>
        <v/>
      </c>
      <c r="Q130" s="6">
        <f>IFERROR(O130*P130/100,0)</f>
        <v/>
      </c>
      <c r="R130" t="inlineStr">
        <is>
          <t>Standard</t>
        </is>
      </c>
      <c r="T130" s="6">
        <f>IF(R130="Manual", IFERROR(S130, Summary!B5), IF(R130="Reduced1", Summary!C5, IF(R130="Reduced2", Summary!D5, Summary!B5)))</f>
        <v/>
      </c>
      <c r="U130" s="6">
        <f>IFERROR((O130+Q130)*T130/100,0)</f>
        <v/>
      </c>
      <c r="V130" s="6">
        <f>Q130+U130</f>
        <v/>
      </c>
      <c r="W130" s="6">
        <f>O130+V130</f>
        <v/>
      </c>
    </row>
    <row r="131">
      <c r="A131" s="4" t="n">
        <v>130</v>
      </c>
      <c r="K131" s="6">
        <f>IFERROR(E131*J131,0)</f>
        <v/>
      </c>
      <c r="O131" s="6">
        <f>SUM(L131:N131)+IF(I131="EUR",K131,K131)</f>
        <v/>
      </c>
      <c r="Q131" s="6">
        <f>IFERROR(O131*P131/100,0)</f>
        <v/>
      </c>
      <c r="R131" t="inlineStr">
        <is>
          <t>Standard</t>
        </is>
      </c>
      <c r="T131" s="6">
        <f>IF(R131="Manual", IFERROR(S131, Summary!B5), IF(R131="Reduced1", Summary!C5, IF(R131="Reduced2", Summary!D5, Summary!B5)))</f>
        <v/>
      </c>
      <c r="U131" s="6">
        <f>IFERROR((O131+Q131)*T131/100,0)</f>
        <v/>
      </c>
      <c r="V131" s="6">
        <f>Q131+U131</f>
        <v/>
      </c>
      <c r="W131" s="6">
        <f>O131+V131</f>
        <v/>
      </c>
    </row>
    <row r="132">
      <c r="A132" s="4" t="n">
        <v>131</v>
      </c>
      <c r="K132" s="6">
        <f>IFERROR(E132*J132,0)</f>
        <v/>
      </c>
      <c r="O132" s="6">
        <f>SUM(L132:N132)+IF(I132="EUR",K132,K132)</f>
        <v/>
      </c>
      <c r="Q132" s="6">
        <f>IFERROR(O132*P132/100,0)</f>
        <v/>
      </c>
      <c r="R132" t="inlineStr">
        <is>
          <t>Standard</t>
        </is>
      </c>
      <c r="T132" s="6">
        <f>IF(R132="Manual", IFERROR(S132, Summary!B5), IF(R132="Reduced1", Summary!C5, IF(R132="Reduced2", Summary!D5, Summary!B5)))</f>
        <v/>
      </c>
      <c r="U132" s="6">
        <f>IFERROR((O132+Q132)*T132/100,0)</f>
        <v/>
      </c>
      <c r="V132" s="6">
        <f>Q132+U132</f>
        <v/>
      </c>
      <c r="W132" s="6">
        <f>O132+V132</f>
        <v/>
      </c>
    </row>
    <row r="133">
      <c r="A133" s="4" t="n">
        <v>132</v>
      </c>
      <c r="K133" s="6">
        <f>IFERROR(E133*J133,0)</f>
        <v/>
      </c>
      <c r="O133" s="6">
        <f>SUM(L133:N133)+IF(I133="EUR",K133,K133)</f>
        <v/>
      </c>
      <c r="Q133" s="6">
        <f>IFERROR(O133*P133/100,0)</f>
        <v/>
      </c>
      <c r="R133" t="inlineStr">
        <is>
          <t>Standard</t>
        </is>
      </c>
      <c r="T133" s="6">
        <f>IF(R133="Manual", IFERROR(S133, Summary!B5), IF(R133="Reduced1", Summary!C5, IF(R133="Reduced2", Summary!D5, Summary!B5)))</f>
        <v/>
      </c>
      <c r="U133" s="6">
        <f>IFERROR((O133+Q133)*T133/100,0)</f>
        <v/>
      </c>
      <c r="V133" s="6">
        <f>Q133+U133</f>
        <v/>
      </c>
      <c r="W133" s="6">
        <f>O133+V133</f>
        <v/>
      </c>
    </row>
    <row r="134">
      <c r="A134" s="4" t="n">
        <v>133</v>
      </c>
      <c r="K134" s="6">
        <f>IFERROR(E134*J134,0)</f>
        <v/>
      </c>
      <c r="O134" s="6">
        <f>SUM(L134:N134)+IF(I134="EUR",K134,K134)</f>
        <v/>
      </c>
      <c r="Q134" s="6">
        <f>IFERROR(O134*P134/100,0)</f>
        <v/>
      </c>
      <c r="R134" t="inlineStr">
        <is>
          <t>Standard</t>
        </is>
      </c>
      <c r="T134" s="6">
        <f>IF(R134="Manual", IFERROR(S134, Summary!B5), IF(R134="Reduced1", Summary!C5, IF(R134="Reduced2", Summary!D5, Summary!B5)))</f>
        <v/>
      </c>
      <c r="U134" s="6">
        <f>IFERROR((O134+Q134)*T134/100,0)</f>
        <v/>
      </c>
      <c r="V134" s="6">
        <f>Q134+U134</f>
        <v/>
      </c>
      <c r="W134" s="6">
        <f>O134+V134</f>
        <v/>
      </c>
    </row>
    <row r="135">
      <c r="A135" s="4" t="n">
        <v>134</v>
      </c>
      <c r="K135" s="6">
        <f>IFERROR(E135*J135,0)</f>
        <v/>
      </c>
      <c r="O135" s="6">
        <f>SUM(L135:N135)+IF(I135="EUR",K135,K135)</f>
        <v/>
      </c>
      <c r="Q135" s="6">
        <f>IFERROR(O135*P135/100,0)</f>
        <v/>
      </c>
      <c r="R135" t="inlineStr">
        <is>
          <t>Standard</t>
        </is>
      </c>
      <c r="T135" s="6">
        <f>IF(R135="Manual", IFERROR(S135, Summary!B5), IF(R135="Reduced1", Summary!C5, IF(R135="Reduced2", Summary!D5, Summary!B5)))</f>
        <v/>
      </c>
      <c r="U135" s="6">
        <f>IFERROR((O135+Q135)*T135/100,0)</f>
        <v/>
      </c>
      <c r="V135" s="6">
        <f>Q135+U135</f>
        <v/>
      </c>
      <c r="W135" s="6">
        <f>O135+V135</f>
        <v/>
      </c>
    </row>
    <row r="136">
      <c r="A136" s="4" t="n">
        <v>135</v>
      </c>
      <c r="K136" s="6">
        <f>IFERROR(E136*J136,0)</f>
        <v/>
      </c>
      <c r="O136" s="6">
        <f>SUM(L136:N136)+IF(I136="EUR",K136,K136)</f>
        <v/>
      </c>
      <c r="Q136" s="6">
        <f>IFERROR(O136*P136/100,0)</f>
        <v/>
      </c>
      <c r="R136" t="inlineStr">
        <is>
          <t>Standard</t>
        </is>
      </c>
      <c r="T136" s="6">
        <f>IF(R136="Manual", IFERROR(S136, Summary!B5), IF(R136="Reduced1", Summary!C5, IF(R136="Reduced2", Summary!D5, Summary!B5)))</f>
        <v/>
      </c>
      <c r="U136" s="6">
        <f>IFERROR((O136+Q136)*T136/100,0)</f>
        <v/>
      </c>
      <c r="V136" s="6">
        <f>Q136+U136</f>
        <v/>
      </c>
      <c r="W136" s="6">
        <f>O136+V136</f>
        <v/>
      </c>
    </row>
    <row r="137">
      <c r="A137" s="4" t="n">
        <v>136</v>
      </c>
      <c r="K137" s="6">
        <f>IFERROR(E137*J137,0)</f>
        <v/>
      </c>
      <c r="O137" s="6">
        <f>SUM(L137:N137)+IF(I137="EUR",K137,K137)</f>
        <v/>
      </c>
      <c r="Q137" s="6">
        <f>IFERROR(O137*P137/100,0)</f>
        <v/>
      </c>
      <c r="R137" t="inlineStr">
        <is>
          <t>Standard</t>
        </is>
      </c>
      <c r="T137" s="6">
        <f>IF(R137="Manual", IFERROR(S137, Summary!B5), IF(R137="Reduced1", Summary!C5, IF(R137="Reduced2", Summary!D5, Summary!B5)))</f>
        <v/>
      </c>
      <c r="U137" s="6">
        <f>IFERROR((O137+Q137)*T137/100,0)</f>
        <v/>
      </c>
      <c r="V137" s="6">
        <f>Q137+U137</f>
        <v/>
      </c>
      <c r="W137" s="6">
        <f>O137+V137</f>
        <v/>
      </c>
    </row>
    <row r="138">
      <c r="A138" s="4" t="n">
        <v>137</v>
      </c>
      <c r="K138" s="6">
        <f>IFERROR(E138*J138,0)</f>
        <v/>
      </c>
      <c r="O138" s="6">
        <f>SUM(L138:N138)+IF(I138="EUR",K138,K138)</f>
        <v/>
      </c>
      <c r="Q138" s="6">
        <f>IFERROR(O138*P138/100,0)</f>
        <v/>
      </c>
      <c r="R138" t="inlineStr">
        <is>
          <t>Standard</t>
        </is>
      </c>
      <c r="T138" s="6">
        <f>IF(R138="Manual", IFERROR(S138, Summary!B5), IF(R138="Reduced1", Summary!C5, IF(R138="Reduced2", Summary!D5, Summary!B5)))</f>
        <v/>
      </c>
      <c r="U138" s="6">
        <f>IFERROR((O138+Q138)*T138/100,0)</f>
        <v/>
      </c>
      <c r="V138" s="6">
        <f>Q138+U138</f>
        <v/>
      </c>
      <c r="W138" s="6">
        <f>O138+V138</f>
        <v/>
      </c>
    </row>
    <row r="139">
      <c r="A139" s="4" t="n">
        <v>138</v>
      </c>
      <c r="K139" s="6">
        <f>IFERROR(E139*J139,0)</f>
        <v/>
      </c>
      <c r="O139" s="6">
        <f>SUM(L139:N139)+IF(I139="EUR",K139,K139)</f>
        <v/>
      </c>
      <c r="Q139" s="6">
        <f>IFERROR(O139*P139/100,0)</f>
        <v/>
      </c>
      <c r="R139" t="inlineStr">
        <is>
          <t>Standard</t>
        </is>
      </c>
      <c r="T139" s="6">
        <f>IF(R139="Manual", IFERROR(S139, Summary!B5), IF(R139="Reduced1", Summary!C5, IF(R139="Reduced2", Summary!D5, Summary!B5)))</f>
        <v/>
      </c>
      <c r="U139" s="6">
        <f>IFERROR((O139+Q139)*T139/100,0)</f>
        <v/>
      </c>
      <c r="V139" s="6">
        <f>Q139+U139</f>
        <v/>
      </c>
      <c r="W139" s="6">
        <f>O139+V139</f>
        <v/>
      </c>
    </row>
    <row r="140">
      <c r="A140" s="4" t="n">
        <v>139</v>
      </c>
      <c r="K140" s="6">
        <f>IFERROR(E140*J140,0)</f>
        <v/>
      </c>
      <c r="O140" s="6">
        <f>SUM(L140:N140)+IF(I140="EUR",K140,K140)</f>
        <v/>
      </c>
      <c r="Q140" s="6">
        <f>IFERROR(O140*P140/100,0)</f>
        <v/>
      </c>
      <c r="R140" t="inlineStr">
        <is>
          <t>Standard</t>
        </is>
      </c>
      <c r="T140" s="6">
        <f>IF(R140="Manual", IFERROR(S140, Summary!B5), IF(R140="Reduced1", Summary!C5, IF(R140="Reduced2", Summary!D5, Summary!B5)))</f>
        <v/>
      </c>
      <c r="U140" s="6">
        <f>IFERROR((O140+Q140)*T140/100,0)</f>
        <v/>
      </c>
      <c r="V140" s="6">
        <f>Q140+U140</f>
        <v/>
      </c>
      <c r="W140" s="6">
        <f>O140+V140</f>
        <v/>
      </c>
    </row>
    <row r="141">
      <c r="A141" s="4" t="n">
        <v>140</v>
      </c>
      <c r="K141" s="6">
        <f>IFERROR(E141*J141,0)</f>
        <v/>
      </c>
      <c r="O141" s="6">
        <f>SUM(L141:N141)+IF(I141="EUR",K141,K141)</f>
        <v/>
      </c>
      <c r="Q141" s="6">
        <f>IFERROR(O141*P141/100,0)</f>
        <v/>
      </c>
      <c r="R141" t="inlineStr">
        <is>
          <t>Standard</t>
        </is>
      </c>
      <c r="T141" s="6">
        <f>IF(R141="Manual", IFERROR(S141, Summary!B5), IF(R141="Reduced1", Summary!C5, IF(R141="Reduced2", Summary!D5, Summary!B5)))</f>
        <v/>
      </c>
      <c r="U141" s="6">
        <f>IFERROR((O141+Q141)*T141/100,0)</f>
        <v/>
      </c>
      <c r="V141" s="6">
        <f>Q141+U141</f>
        <v/>
      </c>
      <c r="W141" s="6">
        <f>O141+V141</f>
        <v/>
      </c>
    </row>
    <row r="142">
      <c r="A142" s="4" t="n">
        <v>141</v>
      </c>
      <c r="K142" s="6">
        <f>IFERROR(E142*J142,0)</f>
        <v/>
      </c>
      <c r="O142" s="6">
        <f>SUM(L142:N142)+IF(I142="EUR",K142,K142)</f>
        <v/>
      </c>
      <c r="Q142" s="6">
        <f>IFERROR(O142*P142/100,0)</f>
        <v/>
      </c>
      <c r="R142" t="inlineStr">
        <is>
          <t>Standard</t>
        </is>
      </c>
      <c r="T142" s="6">
        <f>IF(R142="Manual", IFERROR(S142, Summary!B5), IF(R142="Reduced1", Summary!C5, IF(R142="Reduced2", Summary!D5, Summary!B5)))</f>
        <v/>
      </c>
      <c r="U142" s="6">
        <f>IFERROR((O142+Q142)*T142/100,0)</f>
        <v/>
      </c>
      <c r="V142" s="6">
        <f>Q142+U142</f>
        <v/>
      </c>
      <c r="W142" s="6">
        <f>O142+V142</f>
        <v/>
      </c>
    </row>
    <row r="143">
      <c r="A143" s="4" t="n">
        <v>142</v>
      </c>
      <c r="K143" s="6">
        <f>IFERROR(E143*J143,0)</f>
        <v/>
      </c>
      <c r="O143" s="6">
        <f>SUM(L143:N143)+IF(I143="EUR",K143,K143)</f>
        <v/>
      </c>
      <c r="Q143" s="6">
        <f>IFERROR(O143*P143/100,0)</f>
        <v/>
      </c>
      <c r="R143" t="inlineStr">
        <is>
          <t>Standard</t>
        </is>
      </c>
      <c r="T143" s="6">
        <f>IF(R143="Manual", IFERROR(S143, Summary!B5), IF(R143="Reduced1", Summary!C5, IF(R143="Reduced2", Summary!D5, Summary!B5)))</f>
        <v/>
      </c>
      <c r="U143" s="6">
        <f>IFERROR((O143+Q143)*T143/100,0)</f>
        <v/>
      </c>
      <c r="V143" s="6">
        <f>Q143+U143</f>
        <v/>
      </c>
      <c r="W143" s="6">
        <f>O143+V143</f>
        <v/>
      </c>
    </row>
    <row r="144">
      <c r="A144" s="4" t="n">
        <v>143</v>
      </c>
      <c r="K144" s="6">
        <f>IFERROR(E144*J144,0)</f>
        <v/>
      </c>
      <c r="O144" s="6">
        <f>SUM(L144:N144)+IF(I144="EUR",K144,K144)</f>
        <v/>
      </c>
      <c r="Q144" s="6">
        <f>IFERROR(O144*P144/100,0)</f>
        <v/>
      </c>
      <c r="R144" t="inlineStr">
        <is>
          <t>Standard</t>
        </is>
      </c>
      <c r="T144" s="6">
        <f>IF(R144="Manual", IFERROR(S144, Summary!B5), IF(R144="Reduced1", Summary!C5, IF(R144="Reduced2", Summary!D5, Summary!B5)))</f>
        <v/>
      </c>
      <c r="U144" s="6">
        <f>IFERROR((O144+Q144)*T144/100,0)</f>
        <v/>
      </c>
      <c r="V144" s="6">
        <f>Q144+U144</f>
        <v/>
      </c>
      <c r="W144" s="6">
        <f>O144+V144</f>
        <v/>
      </c>
    </row>
    <row r="145">
      <c r="A145" s="4" t="n">
        <v>144</v>
      </c>
      <c r="K145" s="6">
        <f>IFERROR(E145*J145,0)</f>
        <v/>
      </c>
      <c r="O145" s="6">
        <f>SUM(L145:N145)+IF(I145="EUR",K145,K145)</f>
        <v/>
      </c>
      <c r="Q145" s="6">
        <f>IFERROR(O145*P145/100,0)</f>
        <v/>
      </c>
      <c r="R145" t="inlineStr">
        <is>
          <t>Standard</t>
        </is>
      </c>
      <c r="T145" s="6">
        <f>IF(R145="Manual", IFERROR(S145, Summary!B5), IF(R145="Reduced1", Summary!C5, IF(R145="Reduced2", Summary!D5, Summary!B5)))</f>
        <v/>
      </c>
      <c r="U145" s="6">
        <f>IFERROR((O145+Q145)*T145/100,0)</f>
        <v/>
      </c>
      <c r="V145" s="6">
        <f>Q145+U145</f>
        <v/>
      </c>
      <c r="W145" s="6">
        <f>O145+V145</f>
        <v/>
      </c>
    </row>
    <row r="146">
      <c r="A146" s="4" t="n">
        <v>145</v>
      </c>
      <c r="K146" s="6">
        <f>IFERROR(E146*J146,0)</f>
        <v/>
      </c>
      <c r="O146" s="6">
        <f>SUM(L146:N146)+IF(I146="EUR",K146,K146)</f>
        <v/>
      </c>
      <c r="Q146" s="6">
        <f>IFERROR(O146*P146/100,0)</f>
        <v/>
      </c>
      <c r="R146" t="inlineStr">
        <is>
          <t>Standard</t>
        </is>
      </c>
      <c r="T146" s="6">
        <f>IF(R146="Manual", IFERROR(S146, Summary!B5), IF(R146="Reduced1", Summary!C5, IF(R146="Reduced2", Summary!D5, Summary!B5)))</f>
        <v/>
      </c>
      <c r="U146" s="6">
        <f>IFERROR((O146+Q146)*T146/100,0)</f>
        <v/>
      </c>
      <c r="V146" s="6">
        <f>Q146+U146</f>
        <v/>
      </c>
      <c r="W146" s="6">
        <f>O146+V146</f>
        <v/>
      </c>
    </row>
    <row r="147">
      <c r="A147" s="4" t="n">
        <v>146</v>
      </c>
      <c r="K147" s="6">
        <f>IFERROR(E147*J147,0)</f>
        <v/>
      </c>
      <c r="O147" s="6">
        <f>SUM(L147:N147)+IF(I147="EUR",K147,K147)</f>
        <v/>
      </c>
      <c r="Q147" s="6">
        <f>IFERROR(O147*P147/100,0)</f>
        <v/>
      </c>
      <c r="R147" t="inlineStr">
        <is>
          <t>Standard</t>
        </is>
      </c>
      <c r="T147" s="6">
        <f>IF(R147="Manual", IFERROR(S147, Summary!B5), IF(R147="Reduced1", Summary!C5, IF(R147="Reduced2", Summary!D5, Summary!B5)))</f>
        <v/>
      </c>
      <c r="U147" s="6">
        <f>IFERROR((O147+Q147)*T147/100,0)</f>
        <v/>
      </c>
      <c r="V147" s="6">
        <f>Q147+U147</f>
        <v/>
      </c>
      <c r="W147" s="6">
        <f>O147+V147</f>
        <v/>
      </c>
    </row>
    <row r="148">
      <c r="A148" s="4" t="n">
        <v>147</v>
      </c>
      <c r="K148" s="6">
        <f>IFERROR(E148*J148,0)</f>
        <v/>
      </c>
      <c r="O148" s="6">
        <f>SUM(L148:N148)+IF(I148="EUR",K148,K148)</f>
        <v/>
      </c>
      <c r="Q148" s="6">
        <f>IFERROR(O148*P148/100,0)</f>
        <v/>
      </c>
      <c r="R148" t="inlineStr">
        <is>
          <t>Standard</t>
        </is>
      </c>
      <c r="T148" s="6">
        <f>IF(R148="Manual", IFERROR(S148, Summary!B5), IF(R148="Reduced1", Summary!C5, IF(R148="Reduced2", Summary!D5, Summary!B5)))</f>
        <v/>
      </c>
      <c r="U148" s="6">
        <f>IFERROR((O148+Q148)*T148/100,0)</f>
        <v/>
      </c>
      <c r="V148" s="6">
        <f>Q148+U148</f>
        <v/>
      </c>
      <c r="W148" s="6">
        <f>O148+V148</f>
        <v/>
      </c>
    </row>
    <row r="149">
      <c r="A149" s="4" t="n">
        <v>148</v>
      </c>
      <c r="K149" s="6">
        <f>IFERROR(E149*J149,0)</f>
        <v/>
      </c>
      <c r="O149" s="6">
        <f>SUM(L149:N149)+IF(I149="EUR",K149,K149)</f>
        <v/>
      </c>
      <c r="Q149" s="6">
        <f>IFERROR(O149*P149/100,0)</f>
        <v/>
      </c>
      <c r="R149" t="inlineStr">
        <is>
          <t>Standard</t>
        </is>
      </c>
      <c r="T149" s="6">
        <f>IF(R149="Manual", IFERROR(S149, Summary!B5), IF(R149="Reduced1", Summary!C5, IF(R149="Reduced2", Summary!D5, Summary!B5)))</f>
        <v/>
      </c>
      <c r="U149" s="6">
        <f>IFERROR((O149+Q149)*T149/100,0)</f>
        <v/>
      </c>
      <c r="V149" s="6">
        <f>Q149+U149</f>
        <v/>
      </c>
      <c r="W149" s="6">
        <f>O149+V149</f>
        <v/>
      </c>
    </row>
    <row r="150">
      <c r="A150" s="4" t="n">
        <v>149</v>
      </c>
      <c r="K150" s="6">
        <f>IFERROR(E150*J150,0)</f>
        <v/>
      </c>
      <c r="O150" s="6">
        <f>SUM(L150:N150)+IF(I150="EUR",K150,K150)</f>
        <v/>
      </c>
      <c r="Q150" s="6">
        <f>IFERROR(O150*P150/100,0)</f>
        <v/>
      </c>
      <c r="R150" t="inlineStr">
        <is>
          <t>Standard</t>
        </is>
      </c>
      <c r="T150" s="6">
        <f>IF(R150="Manual", IFERROR(S150, Summary!B5), IF(R150="Reduced1", Summary!C5, IF(R150="Reduced2", Summary!D5, Summary!B5)))</f>
        <v/>
      </c>
      <c r="U150" s="6">
        <f>IFERROR((O150+Q150)*T150/100,0)</f>
        <v/>
      </c>
      <c r="V150" s="6">
        <f>Q150+U150</f>
        <v/>
      </c>
      <c r="W150" s="6">
        <f>O150+V150</f>
        <v/>
      </c>
    </row>
    <row r="151">
      <c r="A151" s="4" t="n">
        <v>150</v>
      </c>
      <c r="K151" s="6">
        <f>IFERROR(E151*J151,0)</f>
        <v/>
      </c>
      <c r="O151" s="6">
        <f>SUM(L151:N151)+IF(I151="EUR",K151,K151)</f>
        <v/>
      </c>
      <c r="Q151" s="6">
        <f>IFERROR(O151*P151/100,0)</f>
        <v/>
      </c>
      <c r="R151" t="inlineStr">
        <is>
          <t>Standard</t>
        </is>
      </c>
      <c r="T151" s="6">
        <f>IF(R151="Manual", IFERROR(S151, Summary!B5), IF(R151="Reduced1", Summary!C5, IF(R151="Reduced2", Summary!D5, Summary!B5)))</f>
        <v/>
      </c>
      <c r="U151" s="6">
        <f>IFERROR((O151+Q151)*T151/100,0)</f>
        <v/>
      </c>
      <c r="V151" s="6">
        <f>Q151+U151</f>
        <v/>
      </c>
      <c r="W151" s="6">
        <f>O151+V151</f>
        <v/>
      </c>
    </row>
    <row r="152">
      <c r="A152" s="4" t="n">
        <v>151</v>
      </c>
      <c r="K152" s="6">
        <f>IFERROR(E152*J152,0)</f>
        <v/>
      </c>
      <c r="O152" s="6">
        <f>SUM(L152:N152)+IF(I152="EUR",K152,K152)</f>
        <v/>
      </c>
      <c r="Q152" s="6">
        <f>IFERROR(O152*P152/100,0)</f>
        <v/>
      </c>
      <c r="R152" t="inlineStr">
        <is>
          <t>Standard</t>
        </is>
      </c>
      <c r="T152" s="6">
        <f>IF(R152="Manual", IFERROR(S152, Summary!B5), IF(R152="Reduced1", Summary!C5, IF(R152="Reduced2", Summary!D5, Summary!B5)))</f>
        <v/>
      </c>
      <c r="U152" s="6">
        <f>IFERROR((O152+Q152)*T152/100,0)</f>
        <v/>
      </c>
      <c r="V152" s="6">
        <f>Q152+U152</f>
        <v/>
      </c>
      <c r="W152" s="6">
        <f>O152+V152</f>
        <v/>
      </c>
    </row>
    <row r="153">
      <c r="A153" s="4" t="n">
        <v>152</v>
      </c>
      <c r="K153" s="6">
        <f>IFERROR(E153*J153,0)</f>
        <v/>
      </c>
      <c r="O153" s="6">
        <f>SUM(L153:N153)+IF(I153="EUR",K153,K153)</f>
        <v/>
      </c>
      <c r="Q153" s="6">
        <f>IFERROR(O153*P153/100,0)</f>
        <v/>
      </c>
      <c r="R153" t="inlineStr">
        <is>
          <t>Standard</t>
        </is>
      </c>
      <c r="T153" s="6">
        <f>IF(R153="Manual", IFERROR(S153, Summary!B5), IF(R153="Reduced1", Summary!C5, IF(R153="Reduced2", Summary!D5, Summary!B5)))</f>
        <v/>
      </c>
      <c r="U153" s="6">
        <f>IFERROR((O153+Q153)*T153/100,0)</f>
        <v/>
      </c>
      <c r="V153" s="6">
        <f>Q153+U153</f>
        <v/>
      </c>
      <c r="W153" s="6">
        <f>O153+V153</f>
        <v/>
      </c>
    </row>
    <row r="154">
      <c r="A154" s="4" t="n">
        <v>153</v>
      </c>
      <c r="K154" s="6">
        <f>IFERROR(E154*J154,0)</f>
        <v/>
      </c>
      <c r="O154" s="6">
        <f>SUM(L154:N154)+IF(I154="EUR",K154,K154)</f>
        <v/>
      </c>
      <c r="Q154" s="6">
        <f>IFERROR(O154*P154/100,0)</f>
        <v/>
      </c>
      <c r="R154" t="inlineStr">
        <is>
          <t>Standard</t>
        </is>
      </c>
      <c r="T154" s="6">
        <f>IF(R154="Manual", IFERROR(S154, Summary!B5), IF(R154="Reduced1", Summary!C5, IF(R154="Reduced2", Summary!D5, Summary!B5)))</f>
        <v/>
      </c>
      <c r="U154" s="6">
        <f>IFERROR((O154+Q154)*T154/100,0)</f>
        <v/>
      </c>
      <c r="V154" s="6">
        <f>Q154+U154</f>
        <v/>
      </c>
      <c r="W154" s="6">
        <f>O154+V154</f>
        <v/>
      </c>
    </row>
    <row r="155">
      <c r="A155" s="4" t="n">
        <v>154</v>
      </c>
      <c r="K155" s="6">
        <f>IFERROR(E155*J155,0)</f>
        <v/>
      </c>
      <c r="O155" s="6">
        <f>SUM(L155:N155)+IF(I155="EUR",K155,K155)</f>
        <v/>
      </c>
      <c r="Q155" s="6">
        <f>IFERROR(O155*P155/100,0)</f>
        <v/>
      </c>
      <c r="R155" t="inlineStr">
        <is>
          <t>Standard</t>
        </is>
      </c>
      <c r="T155" s="6">
        <f>IF(R155="Manual", IFERROR(S155, Summary!B5), IF(R155="Reduced1", Summary!C5, IF(R155="Reduced2", Summary!D5, Summary!B5)))</f>
        <v/>
      </c>
      <c r="U155" s="6">
        <f>IFERROR((O155+Q155)*T155/100,0)</f>
        <v/>
      </c>
      <c r="V155" s="6">
        <f>Q155+U155</f>
        <v/>
      </c>
      <c r="W155" s="6">
        <f>O155+V155</f>
        <v/>
      </c>
    </row>
    <row r="156">
      <c r="A156" s="4" t="n">
        <v>155</v>
      </c>
      <c r="K156" s="6">
        <f>IFERROR(E156*J156,0)</f>
        <v/>
      </c>
      <c r="O156" s="6">
        <f>SUM(L156:N156)+IF(I156="EUR",K156,K156)</f>
        <v/>
      </c>
      <c r="Q156" s="6">
        <f>IFERROR(O156*P156/100,0)</f>
        <v/>
      </c>
      <c r="R156" t="inlineStr">
        <is>
          <t>Standard</t>
        </is>
      </c>
      <c r="T156" s="6">
        <f>IF(R156="Manual", IFERROR(S156, Summary!B5), IF(R156="Reduced1", Summary!C5, IF(R156="Reduced2", Summary!D5, Summary!B5)))</f>
        <v/>
      </c>
      <c r="U156" s="6">
        <f>IFERROR((O156+Q156)*T156/100,0)</f>
        <v/>
      </c>
      <c r="V156" s="6">
        <f>Q156+U156</f>
        <v/>
      </c>
      <c r="W156" s="6">
        <f>O156+V156</f>
        <v/>
      </c>
    </row>
    <row r="157">
      <c r="A157" s="4" t="n">
        <v>156</v>
      </c>
      <c r="K157" s="6">
        <f>IFERROR(E157*J157,0)</f>
        <v/>
      </c>
      <c r="O157" s="6">
        <f>SUM(L157:N157)+IF(I157="EUR",K157,K157)</f>
        <v/>
      </c>
      <c r="Q157" s="6">
        <f>IFERROR(O157*P157/100,0)</f>
        <v/>
      </c>
      <c r="R157" t="inlineStr">
        <is>
          <t>Standard</t>
        </is>
      </c>
      <c r="T157" s="6">
        <f>IF(R157="Manual", IFERROR(S157, Summary!B5), IF(R157="Reduced1", Summary!C5, IF(R157="Reduced2", Summary!D5, Summary!B5)))</f>
        <v/>
      </c>
      <c r="U157" s="6">
        <f>IFERROR((O157+Q157)*T157/100,0)</f>
        <v/>
      </c>
      <c r="V157" s="6">
        <f>Q157+U157</f>
        <v/>
      </c>
      <c r="W157" s="6">
        <f>O157+V157</f>
        <v/>
      </c>
    </row>
    <row r="158">
      <c r="A158" s="4" t="n">
        <v>157</v>
      </c>
      <c r="K158" s="6">
        <f>IFERROR(E158*J158,0)</f>
        <v/>
      </c>
      <c r="O158" s="6">
        <f>SUM(L158:N158)+IF(I158="EUR",K158,K158)</f>
        <v/>
      </c>
      <c r="Q158" s="6">
        <f>IFERROR(O158*P158/100,0)</f>
        <v/>
      </c>
      <c r="R158" t="inlineStr">
        <is>
          <t>Standard</t>
        </is>
      </c>
      <c r="T158" s="6">
        <f>IF(R158="Manual", IFERROR(S158, Summary!B5), IF(R158="Reduced1", Summary!C5, IF(R158="Reduced2", Summary!D5, Summary!B5)))</f>
        <v/>
      </c>
      <c r="U158" s="6">
        <f>IFERROR((O158+Q158)*T158/100,0)</f>
        <v/>
      </c>
      <c r="V158" s="6">
        <f>Q158+U158</f>
        <v/>
      </c>
      <c r="W158" s="6">
        <f>O158+V158</f>
        <v/>
      </c>
    </row>
    <row r="159">
      <c r="A159" s="4" t="n">
        <v>158</v>
      </c>
      <c r="K159" s="6">
        <f>IFERROR(E159*J159,0)</f>
        <v/>
      </c>
      <c r="O159" s="6">
        <f>SUM(L159:N159)+IF(I159="EUR",K159,K159)</f>
        <v/>
      </c>
      <c r="Q159" s="6">
        <f>IFERROR(O159*P159/100,0)</f>
        <v/>
      </c>
      <c r="R159" t="inlineStr">
        <is>
          <t>Standard</t>
        </is>
      </c>
      <c r="T159" s="6">
        <f>IF(R159="Manual", IFERROR(S159, Summary!B5), IF(R159="Reduced1", Summary!C5, IF(R159="Reduced2", Summary!D5, Summary!B5)))</f>
        <v/>
      </c>
      <c r="U159" s="6">
        <f>IFERROR((O159+Q159)*T159/100,0)</f>
        <v/>
      </c>
      <c r="V159" s="6">
        <f>Q159+U159</f>
        <v/>
      </c>
      <c r="W159" s="6">
        <f>O159+V159</f>
        <v/>
      </c>
    </row>
    <row r="160">
      <c r="A160" s="4" t="n">
        <v>159</v>
      </c>
      <c r="K160" s="6">
        <f>IFERROR(E160*J160,0)</f>
        <v/>
      </c>
      <c r="O160" s="6">
        <f>SUM(L160:N160)+IF(I160="EUR",K160,K160)</f>
        <v/>
      </c>
      <c r="Q160" s="6">
        <f>IFERROR(O160*P160/100,0)</f>
        <v/>
      </c>
      <c r="R160" t="inlineStr">
        <is>
          <t>Standard</t>
        </is>
      </c>
      <c r="T160" s="6">
        <f>IF(R160="Manual", IFERROR(S160, Summary!B5), IF(R160="Reduced1", Summary!C5, IF(R160="Reduced2", Summary!D5, Summary!B5)))</f>
        <v/>
      </c>
      <c r="U160" s="6">
        <f>IFERROR((O160+Q160)*T160/100,0)</f>
        <v/>
      </c>
      <c r="V160" s="6">
        <f>Q160+U160</f>
        <v/>
      </c>
      <c r="W160" s="6">
        <f>O160+V160</f>
        <v/>
      </c>
    </row>
    <row r="161">
      <c r="A161" s="4" t="n">
        <v>160</v>
      </c>
      <c r="K161" s="6">
        <f>IFERROR(E161*J161,0)</f>
        <v/>
      </c>
      <c r="O161" s="6">
        <f>SUM(L161:N161)+IF(I161="EUR",K161,K161)</f>
        <v/>
      </c>
      <c r="Q161" s="6">
        <f>IFERROR(O161*P161/100,0)</f>
        <v/>
      </c>
      <c r="R161" t="inlineStr">
        <is>
          <t>Standard</t>
        </is>
      </c>
      <c r="T161" s="6">
        <f>IF(R161="Manual", IFERROR(S161, Summary!B5), IF(R161="Reduced1", Summary!C5, IF(R161="Reduced2", Summary!D5, Summary!B5)))</f>
        <v/>
      </c>
      <c r="U161" s="6">
        <f>IFERROR((O161+Q161)*T161/100,0)</f>
        <v/>
      </c>
      <c r="V161" s="6">
        <f>Q161+U161</f>
        <v/>
      </c>
      <c r="W161" s="6">
        <f>O161+V161</f>
        <v/>
      </c>
    </row>
    <row r="162">
      <c r="A162" s="4" t="n">
        <v>161</v>
      </c>
      <c r="K162" s="6">
        <f>IFERROR(E162*J162,0)</f>
        <v/>
      </c>
      <c r="O162" s="6">
        <f>SUM(L162:N162)+IF(I162="EUR",K162,K162)</f>
        <v/>
      </c>
      <c r="Q162" s="6">
        <f>IFERROR(O162*P162/100,0)</f>
        <v/>
      </c>
      <c r="R162" t="inlineStr">
        <is>
          <t>Standard</t>
        </is>
      </c>
      <c r="T162" s="6">
        <f>IF(R162="Manual", IFERROR(S162, Summary!B5), IF(R162="Reduced1", Summary!C5, IF(R162="Reduced2", Summary!D5, Summary!B5)))</f>
        <v/>
      </c>
      <c r="U162" s="6">
        <f>IFERROR((O162+Q162)*T162/100,0)</f>
        <v/>
      </c>
      <c r="V162" s="6">
        <f>Q162+U162</f>
        <v/>
      </c>
      <c r="W162" s="6">
        <f>O162+V162</f>
        <v/>
      </c>
    </row>
    <row r="163">
      <c r="A163" s="4" t="n">
        <v>162</v>
      </c>
      <c r="K163" s="6">
        <f>IFERROR(E163*J163,0)</f>
        <v/>
      </c>
      <c r="O163" s="6">
        <f>SUM(L163:N163)+IF(I163="EUR",K163,K163)</f>
        <v/>
      </c>
      <c r="Q163" s="6">
        <f>IFERROR(O163*P163/100,0)</f>
        <v/>
      </c>
      <c r="R163" t="inlineStr">
        <is>
          <t>Standard</t>
        </is>
      </c>
      <c r="T163" s="6">
        <f>IF(R163="Manual", IFERROR(S163, Summary!B5), IF(R163="Reduced1", Summary!C5, IF(R163="Reduced2", Summary!D5, Summary!B5)))</f>
        <v/>
      </c>
      <c r="U163" s="6">
        <f>IFERROR((O163+Q163)*T163/100,0)</f>
        <v/>
      </c>
      <c r="V163" s="6">
        <f>Q163+U163</f>
        <v/>
      </c>
      <c r="W163" s="6">
        <f>O163+V163</f>
        <v/>
      </c>
    </row>
    <row r="164">
      <c r="A164" s="4" t="n">
        <v>163</v>
      </c>
      <c r="K164" s="6">
        <f>IFERROR(E164*J164,0)</f>
        <v/>
      </c>
      <c r="O164" s="6">
        <f>SUM(L164:N164)+IF(I164="EUR",K164,K164)</f>
        <v/>
      </c>
      <c r="Q164" s="6">
        <f>IFERROR(O164*P164/100,0)</f>
        <v/>
      </c>
      <c r="R164" t="inlineStr">
        <is>
          <t>Standard</t>
        </is>
      </c>
      <c r="T164" s="6">
        <f>IF(R164="Manual", IFERROR(S164, Summary!B5), IF(R164="Reduced1", Summary!C5, IF(R164="Reduced2", Summary!D5, Summary!B5)))</f>
        <v/>
      </c>
      <c r="U164" s="6">
        <f>IFERROR((O164+Q164)*T164/100,0)</f>
        <v/>
      </c>
      <c r="V164" s="6">
        <f>Q164+U164</f>
        <v/>
      </c>
      <c r="W164" s="6">
        <f>O164+V164</f>
        <v/>
      </c>
    </row>
    <row r="165">
      <c r="A165" s="4" t="n">
        <v>164</v>
      </c>
      <c r="K165" s="6">
        <f>IFERROR(E165*J165,0)</f>
        <v/>
      </c>
      <c r="O165" s="6">
        <f>SUM(L165:N165)+IF(I165="EUR",K165,K165)</f>
        <v/>
      </c>
      <c r="Q165" s="6">
        <f>IFERROR(O165*P165/100,0)</f>
        <v/>
      </c>
      <c r="R165" t="inlineStr">
        <is>
          <t>Standard</t>
        </is>
      </c>
      <c r="T165" s="6">
        <f>IF(R165="Manual", IFERROR(S165, Summary!B5), IF(R165="Reduced1", Summary!C5, IF(R165="Reduced2", Summary!D5, Summary!B5)))</f>
        <v/>
      </c>
      <c r="U165" s="6">
        <f>IFERROR((O165+Q165)*T165/100,0)</f>
        <v/>
      </c>
      <c r="V165" s="6">
        <f>Q165+U165</f>
        <v/>
      </c>
      <c r="W165" s="6">
        <f>O165+V165</f>
        <v/>
      </c>
    </row>
    <row r="166">
      <c r="A166" s="4" t="n">
        <v>165</v>
      </c>
      <c r="K166" s="6">
        <f>IFERROR(E166*J166,0)</f>
        <v/>
      </c>
      <c r="O166" s="6">
        <f>SUM(L166:N166)+IF(I166="EUR",K166,K166)</f>
        <v/>
      </c>
      <c r="Q166" s="6">
        <f>IFERROR(O166*P166/100,0)</f>
        <v/>
      </c>
      <c r="R166" t="inlineStr">
        <is>
          <t>Standard</t>
        </is>
      </c>
      <c r="T166" s="6">
        <f>IF(R166="Manual", IFERROR(S166, Summary!B5), IF(R166="Reduced1", Summary!C5, IF(R166="Reduced2", Summary!D5, Summary!B5)))</f>
        <v/>
      </c>
      <c r="U166" s="6">
        <f>IFERROR((O166+Q166)*T166/100,0)</f>
        <v/>
      </c>
      <c r="V166" s="6">
        <f>Q166+U166</f>
        <v/>
      </c>
      <c r="W166" s="6">
        <f>O166+V166</f>
        <v/>
      </c>
    </row>
    <row r="167">
      <c r="A167" s="4" t="n">
        <v>166</v>
      </c>
      <c r="K167" s="6">
        <f>IFERROR(E167*J167,0)</f>
        <v/>
      </c>
      <c r="O167" s="6">
        <f>SUM(L167:N167)+IF(I167="EUR",K167,K167)</f>
        <v/>
      </c>
      <c r="Q167" s="6">
        <f>IFERROR(O167*P167/100,0)</f>
        <v/>
      </c>
      <c r="R167" t="inlineStr">
        <is>
          <t>Standard</t>
        </is>
      </c>
      <c r="T167" s="6">
        <f>IF(R167="Manual", IFERROR(S167, Summary!B5), IF(R167="Reduced1", Summary!C5, IF(R167="Reduced2", Summary!D5, Summary!B5)))</f>
        <v/>
      </c>
      <c r="U167" s="6">
        <f>IFERROR((O167+Q167)*T167/100,0)</f>
        <v/>
      </c>
      <c r="V167" s="6">
        <f>Q167+U167</f>
        <v/>
      </c>
      <c r="W167" s="6">
        <f>O167+V167</f>
        <v/>
      </c>
    </row>
    <row r="168">
      <c r="A168" s="4" t="n">
        <v>167</v>
      </c>
      <c r="K168" s="6">
        <f>IFERROR(E168*J168,0)</f>
        <v/>
      </c>
      <c r="O168" s="6">
        <f>SUM(L168:N168)+IF(I168="EUR",K168,K168)</f>
        <v/>
      </c>
      <c r="Q168" s="6">
        <f>IFERROR(O168*P168/100,0)</f>
        <v/>
      </c>
      <c r="R168" t="inlineStr">
        <is>
          <t>Standard</t>
        </is>
      </c>
      <c r="T168" s="6">
        <f>IF(R168="Manual", IFERROR(S168, Summary!B5), IF(R168="Reduced1", Summary!C5, IF(R168="Reduced2", Summary!D5, Summary!B5)))</f>
        <v/>
      </c>
      <c r="U168" s="6">
        <f>IFERROR((O168+Q168)*T168/100,0)</f>
        <v/>
      </c>
      <c r="V168" s="6">
        <f>Q168+U168</f>
        <v/>
      </c>
      <c r="W168" s="6">
        <f>O168+V168</f>
        <v/>
      </c>
    </row>
    <row r="169">
      <c r="A169" s="4" t="n">
        <v>168</v>
      </c>
      <c r="K169" s="6">
        <f>IFERROR(E169*J169,0)</f>
        <v/>
      </c>
      <c r="O169" s="6">
        <f>SUM(L169:N169)+IF(I169="EUR",K169,K169)</f>
        <v/>
      </c>
      <c r="Q169" s="6">
        <f>IFERROR(O169*P169/100,0)</f>
        <v/>
      </c>
      <c r="R169" t="inlineStr">
        <is>
          <t>Standard</t>
        </is>
      </c>
      <c r="T169" s="6">
        <f>IF(R169="Manual", IFERROR(S169, Summary!B5), IF(R169="Reduced1", Summary!C5, IF(R169="Reduced2", Summary!D5, Summary!B5)))</f>
        <v/>
      </c>
      <c r="U169" s="6">
        <f>IFERROR((O169+Q169)*T169/100,0)</f>
        <v/>
      </c>
      <c r="V169" s="6">
        <f>Q169+U169</f>
        <v/>
      </c>
      <c r="W169" s="6">
        <f>O169+V169</f>
        <v/>
      </c>
    </row>
    <row r="170">
      <c r="A170" s="4" t="n">
        <v>169</v>
      </c>
      <c r="K170" s="6">
        <f>IFERROR(E170*J170,0)</f>
        <v/>
      </c>
      <c r="O170" s="6">
        <f>SUM(L170:N170)+IF(I170="EUR",K170,K170)</f>
        <v/>
      </c>
      <c r="Q170" s="6">
        <f>IFERROR(O170*P170/100,0)</f>
        <v/>
      </c>
      <c r="R170" t="inlineStr">
        <is>
          <t>Standard</t>
        </is>
      </c>
      <c r="T170" s="6">
        <f>IF(R170="Manual", IFERROR(S170, Summary!B5), IF(R170="Reduced1", Summary!C5, IF(R170="Reduced2", Summary!D5, Summary!B5)))</f>
        <v/>
      </c>
      <c r="U170" s="6">
        <f>IFERROR((O170+Q170)*T170/100,0)</f>
        <v/>
      </c>
      <c r="V170" s="6">
        <f>Q170+U170</f>
        <v/>
      </c>
      <c r="W170" s="6">
        <f>O170+V170</f>
        <v/>
      </c>
    </row>
    <row r="171">
      <c r="A171" s="4" t="n">
        <v>170</v>
      </c>
      <c r="K171" s="6">
        <f>IFERROR(E171*J171,0)</f>
        <v/>
      </c>
      <c r="O171" s="6">
        <f>SUM(L171:N171)+IF(I171="EUR",K171,K171)</f>
        <v/>
      </c>
      <c r="Q171" s="6">
        <f>IFERROR(O171*P171/100,0)</f>
        <v/>
      </c>
      <c r="R171" t="inlineStr">
        <is>
          <t>Standard</t>
        </is>
      </c>
      <c r="T171" s="6">
        <f>IF(R171="Manual", IFERROR(S171, Summary!B5), IF(R171="Reduced1", Summary!C5, IF(R171="Reduced2", Summary!D5, Summary!B5)))</f>
        <v/>
      </c>
      <c r="U171" s="6">
        <f>IFERROR((O171+Q171)*T171/100,0)</f>
        <v/>
      </c>
      <c r="V171" s="6">
        <f>Q171+U171</f>
        <v/>
      </c>
      <c r="W171" s="6">
        <f>O171+V171</f>
        <v/>
      </c>
    </row>
    <row r="172">
      <c r="A172" s="4" t="n">
        <v>171</v>
      </c>
      <c r="K172" s="6">
        <f>IFERROR(E172*J172,0)</f>
        <v/>
      </c>
      <c r="O172" s="6">
        <f>SUM(L172:N172)+IF(I172="EUR",K172,K172)</f>
        <v/>
      </c>
      <c r="Q172" s="6">
        <f>IFERROR(O172*P172/100,0)</f>
        <v/>
      </c>
      <c r="R172" t="inlineStr">
        <is>
          <t>Standard</t>
        </is>
      </c>
      <c r="T172" s="6">
        <f>IF(R172="Manual", IFERROR(S172, Summary!B5), IF(R172="Reduced1", Summary!C5, IF(R172="Reduced2", Summary!D5, Summary!B5)))</f>
        <v/>
      </c>
      <c r="U172" s="6">
        <f>IFERROR((O172+Q172)*T172/100,0)</f>
        <v/>
      </c>
      <c r="V172" s="6">
        <f>Q172+U172</f>
        <v/>
      </c>
      <c r="W172" s="6">
        <f>O172+V172</f>
        <v/>
      </c>
    </row>
    <row r="173">
      <c r="A173" s="4" t="n">
        <v>172</v>
      </c>
      <c r="K173" s="6">
        <f>IFERROR(E173*J173,0)</f>
        <v/>
      </c>
      <c r="O173" s="6">
        <f>SUM(L173:N173)+IF(I173="EUR",K173,K173)</f>
        <v/>
      </c>
      <c r="Q173" s="6">
        <f>IFERROR(O173*P173/100,0)</f>
        <v/>
      </c>
      <c r="R173" t="inlineStr">
        <is>
          <t>Standard</t>
        </is>
      </c>
      <c r="T173" s="6">
        <f>IF(R173="Manual", IFERROR(S173, Summary!B5), IF(R173="Reduced1", Summary!C5, IF(R173="Reduced2", Summary!D5, Summary!B5)))</f>
        <v/>
      </c>
      <c r="U173" s="6">
        <f>IFERROR((O173+Q173)*T173/100,0)</f>
        <v/>
      </c>
      <c r="V173" s="6">
        <f>Q173+U173</f>
        <v/>
      </c>
      <c r="W173" s="6">
        <f>O173+V173</f>
        <v/>
      </c>
    </row>
    <row r="174">
      <c r="A174" s="4" t="n">
        <v>173</v>
      </c>
      <c r="K174" s="6">
        <f>IFERROR(E174*J174,0)</f>
        <v/>
      </c>
      <c r="O174" s="6">
        <f>SUM(L174:N174)+IF(I174="EUR",K174,K174)</f>
        <v/>
      </c>
      <c r="Q174" s="6">
        <f>IFERROR(O174*P174/100,0)</f>
        <v/>
      </c>
      <c r="R174" t="inlineStr">
        <is>
          <t>Standard</t>
        </is>
      </c>
      <c r="T174" s="6">
        <f>IF(R174="Manual", IFERROR(S174, Summary!B5), IF(R174="Reduced1", Summary!C5, IF(R174="Reduced2", Summary!D5, Summary!B5)))</f>
        <v/>
      </c>
      <c r="U174" s="6">
        <f>IFERROR((O174+Q174)*T174/100,0)</f>
        <v/>
      </c>
      <c r="V174" s="6">
        <f>Q174+U174</f>
        <v/>
      </c>
      <c r="W174" s="6">
        <f>O174+V174</f>
        <v/>
      </c>
    </row>
    <row r="175">
      <c r="A175" s="4" t="n">
        <v>174</v>
      </c>
      <c r="K175" s="6">
        <f>IFERROR(E175*J175,0)</f>
        <v/>
      </c>
      <c r="O175" s="6">
        <f>SUM(L175:N175)+IF(I175="EUR",K175,K175)</f>
        <v/>
      </c>
      <c r="Q175" s="6">
        <f>IFERROR(O175*P175/100,0)</f>
        <v/>
      </c>
      <c r="R175" t="inlineStr">
        <is>
          <t>Standard</t>
        </is>
      </c>
      <c r="T175" s="6">
        <f>IF(R175="Manual", IFERROR(S175, Summary!B5), IF(R175="Reduced1", Summary!C5, IF(R175="Reduced2", Summary!D5, Summary!B5)))</f>
        <v/>
      </c>
      <c r="U175" s="6">
        <f>IFERROR((O175+Q175)*T175/100,0)</f>
        <v/>
      </c>
      <c r="V175" s="6">
        <f>Q175+U175</f>
        <v/>
      </c>
      <c r="W175" s="6">
        <f>O175+V175</f>
        <v/>
      </c>
    </row>
    <row r="176">
      <c r="A176" s="4" t="n">
        <v>175</v>
      </c>
      <c r="K176" s="6">
        <f>IFERROR(E176*J176,0)</f>
        <v/>
      </c>
      <c r="O176" s="6">
        <f>SUM(L176:N176)+IF(I176="EUR",K176,K176)</f>
        <v/>
      </c>
      <c r="Q176" s="6">
        <f>IFERROR(O176*P176/100,0)</f>
        <v/>
      </c>
      <c r="R176" t="inlineStr">
        <is>
          <t>Standard</t>
        </is>
      </c>
      <c r="T176" s="6">
        <f>IF(R176="Manual", IFERROR(S176, Summary!B5), IF(R176="Reduced1", Summary!C5, IF(R176="Reduced2", Summary!D5, Summary!B5)))</f>
        <v/>
      </c>
      <c r="U176" s="6">
        <f>IFERROR((O176+Q176)*T176/100,0)</f>
        <v/>
      </c>
      <c r="V176" s="6">
        <f>Q176+U176</f>
        <v/>
      </c>
      <c r="W176" s="6">
        <f>O176+V176</f>
        <v/>
      </c>
    </row>
    <row r="177">
      <c r="A177" s="4" t="n">
        <v>176</v>
      </c>
      <c r="K177" s="6">
        <f>IFERROR(E177*J177,0)</f>
        <v/>
      </c>
      <c r="O177" s="6">
        <f>SUM(L177:N177)+IF(I177="EUR",K177,K177)</f>
        <v/>
      </c>
      <c r="Q177" s="6">
        <f>IFERROR(O177*P177/100,0)</f>
        <v/>
      </c>
      <c r="R177" t="inlineStr">
        <is>
          <t>Standard</t>
        </is>
      </c>
      <c r="T177" s="6">
        <f>IF(R177="Manual", IFERROR(S177, Summary!B5), IF(R177="Reduced1", Summary!C5, IF(R177="Reduced2", Summary!D5, Summary!B5)))</f>
        <v/>
      </c>
      <c r="U177" s="6">
        <f>IFERROR((O177+Q177)*T177/100,0)</f>
        <v/>
      </c>
      <c r="V177" s="6">
        <f>Q177+U177</f>
        <v/>
      </c>
      <c r="W177" s="6">
        <f>O177+V177</f>
        <v/>
      </c>
    </row>
    <row r="178">
      <c r="A178" s="4" t="n">
        <v>177</v>
      </c>
      <c r="K178" s="6">
        <f>IFERROR(E178*J178,0)</f>
        <v/>
      </c>
      <c r="O178" s="6">
        <f>SUM(L178:N178)+IF(I178="EUR",K178,K178)</f>
        <v/>
      </c>
      <c r="Q178" s="6">
        <f>IFERROR(O178*P178/100,0)</f>
        <v/>
      </c>
      <c r="R178" t="inlineStr">
        <is>
          <t>Standard</t>
        </is>
      </c>
      <c r="T178" s="6">
        <f>IF(R178="Manual", IFERROR(S178, Summary!B5), IF(R178="Reduced1", Summary!C5, IF(R178="Reduced2", Summary!D5, Summary!B5)))</f>
        <v/>
      </c>
      <c r="U178" s="6">
        <f>IFERROR((O178+Q178)*T178/100,0)</f>
        <v/>
      </c>
      <c r="V178" s="6">
        <f>Q178+U178</f>
        <v/>
      </c>
      <c r="W178" s="6">
        <f>O178+V178</f>
        <v/>
      </c>
    </row>
    <row r="179">
      <c r="A179" s="4" t="n">
        <v>178</v>
      </c>
      <c r="K179" s="6">
        <f>IFERROR(E179*J179,0)</f>
        <v/>
      </c>
      <c r="O179" s="6">
        <f>SUM(L179:N179)+IF(I179="EUR",K179,K179)</f>
        <v/>
      </c>
      <c r="Q179" s="6">
        <f>IFERROR(O179*P179/100,0)</f>
        <v/>
      </c>
      <c r="R179" t="inlineStr">
        <is>
          <t>Standard</t>
        </is>
      </c>
      <c r="T179" s="6">
        <f>IF(R179="Manual", IFERROR(S179, Summary!B5), IF(R179="Reduced1", Summary!C5, IF(R179="Reduced2", Summary!D5, Summary!B5)))</f>
        <v/>
      </c>
      <c r="U179" s="6">
        <f>IFERROR((O179+Q179)*T179/100,0)</f>
        <v/>
      </c>
      <c r="V179" s="6">
        <f>Q179+U179</f>
        <v/>
      </c>
      <c r="W179" s="6">
        <f>O179+V179</f>
        <v/>
      </c>
    </row>
    <row r="180">
      <c r="A180" s="4" t="n">
        <v>179</v>
      </c>
      <c r="K180" s="6">
        <f>IFERROR(E180*J180,0)</f>
        <v/>
      </c>
      <c r="O180" s="6">
        <f>SUM(L180:N180)+IF(I180="EUR",K180,K180)</f>
        <v/>
      </c>
      <c r="Q180" s="6">
        <f>IFERROR(O180*P180/100,0)</f>
        <v/>
      </c>
      <c r="R180" t="inlineStr">
        <is>
          <t>Standard</t>
        </is>
      </c>
      <c r="T180" s="6">
        <f>IF(R180="Manual", IFERROR(S180, Summary!B5), IF(R180="Reduced1", Summary!C5, IF(R180="Reduced2", Summary!D5, Summary!B5)))</f>
        <v/>
      </c>
      <c r="U180" s="6">
        <f>IFERROR((O180+Q180)*T180/100,0)</f>
        <v/>
      </c>
      <c r="V180" s="6">
        <f>Q180+U180</f>
        <v/>
      </c>
      <c r="W180" s="6">
        <f>O180+V180</f>
        <v/>
      </c>
    </row>
    <row r="181">
      <c r="A181" s="4" t="n">
        <v>180</v>
      </c>
      <c r="K181" s="6">
        <f>IFERROR(E181*J181,0)</f>
        <v/>
      </c>
      <c r="O181" s="6">
        <f>SUM(L181:N181)+IF(I181="EUR",K181,K181)</f>
        <v/>
      </c>
      <c r="Q181" s="6">
        <f>IFERROR(O181*P181/100,0)</f>
        <v/>
      </c>
      <c r="R181" t="inlineStr">
        <is>
          <t>Standard</t>
        </is>
      </c>
      <c r="T181" s="6">
        <f>IF(R181="Manual", IFERROR(S181, Summary!B5), IF(R181="Reduced1", Summary!C5, IF(R181="Reduced2", Summary!D5, Summary!B5)))</f>
        <v/>
      </c>
      <c r="U181" s="6">
        <f>IFERROR((O181+Q181)*T181/100,0)</f>
        <v/>
      </c>
      <c r="V181" s="6">
        <f>Q181+U181</f>
        <v/>
      </c>
      <c r="W181" s="6">
        <f>O181+V181</f>
        <v/>
      </c>
    </row>
    <row r="182">
      <c r="A182" s="4" t="n">
        <v>181</v>
      </c>
      <c r="K182" s="6">
        <f>IFERROR(E182*J182,0)</f>
        <v/>
      </c>
      <c r="O182" s="6">
        <f>SUM(L182:N182)+IF(I182="EUR",K182,K182)</f>
        <v/>
      </c>
      <c r="Q182" s="6">
        <f>IFERROR(O182*P182/100,0)</f>
        <v/>
      </c>
      <c r="R182" t="inlineStr">
        <is>
          <t>Standard</t>
        </is>
      </c>
      <c r="T182" s="6">
        <f>IF(R182="Manual", IFERROR(S182, Summary!B5), IF(R182="Reduced1", Summary!C5, IF(R182="Reduced2", Summary!D5, Summary!B5)))</f>
        <v/>
      </c>
      <c r="U182" s="6">
        <f>IFERROR((O182+Q182)*T182/100,0)</f>
        <v/>
      </c>
      <c r="V182" s="6">
        <f>Q182+U182</f>
        <v/>
      </c>
      <c r="W182" s="6">
        <f>O182+V182</f>
        <v/>
      </c>
    </row>
    <row r="183">
      <c r="A183" s="4" t="n">
        <v>182</v>
      </c>
      <c r="K183" s="6">
        <f>IFERROR(E183*J183,0)</f>
        <v/>
      </c>
      <c r="O183" s="6">
        <f>SUM(L183:N183)+IF(I183="EUR",K183,K183)</f>
        <v/>
      </c>
      <c r="Q183" s="6">
        <f>IFERROR(O183*P183/100,0)</f>
        <v/>
      </c>
      <c r="R183" t="inlineStr">
        <is>
          <t>Standard</t>
        </is>
      </c>
      <c r="T183" s="6">
        <f>IF(R183="Manual", IFERROR(S183, Summary!B5), IF(R183="Reduced1", Summary!C5, IF(R183="Reduced2", Summary!D5, Summary!B5)))</f>
        <v/>
      </c>
      <c r="U183" s="6">
        <f>IFERROR((O183+Q183)*T183/100,0)</f>
        <v/>
      </c>
      <c r="V183" s="6">
        <f>Q183+U183</f>
        <v/>
      </c>
      <c r="W183" s="6">
        <f>O183+V183</f>
        <v/>
      </c>
    </row>
    <row r="184">
      <c r="A184" s="4" t="n">
        <v>183</v>
      </c>
      <c r="K184" s="6">
        <f>IFERROR(E184*J184,0)</f>
        <v/>
      </c>
      <c r="O184" s="6">
        <f>SUM(L184:N184)+IF(I184="EUR",K184,K184)</f>
        <v/>
      </c>
      <c r="Q184" s="6">
        <f>IFERROR(O184*P184/100,0)</f>
        <v/>
      </c>
      <c r="R184" t="inlineStr">
        <is>
          <t>Standard</t>
        </is>
      </c>
      <c r="T184" s="6">
        <f>IF(R184="Manual", IFERROR(S184, Summary!B5), IF(R184="Reduced1", Summary!C5, IF(R184="Reduced2", Summary!D5, Summary!B5)))</f>
        <v/>
      </c>
      <c r="U184" s="6">
        <f>IFERROR((O184+Q184)*T184/100,0)</f>
        <v/>
      </c>
      <c r="V184" s="6">
        <f>Q184+U184</f>
        <v/>
      </c>
      <c r="W184" s="6">
        <f>O184+V184</f>
        <v/>
      </c>
    </row>
    <row r="185">
      <c r="A185" s="4" t="n">
        <v>184</v>
      </c>
      <c r="K185" s="6">
        <f>IFERROR(E185*J185,0)</f>
        <v/>
      </c>
      <c r="O185" s="6">
        <f>SUM(L185:N185)+IF(I185="EUR",K185,K185)</f>
        <v/>
      </c>
      <c r="Q185" s="6">
        <f>IFERROR(O185*P185/100,0)</f>
        <v/>
      </c>
      <c r="R185" t="inlineStr">
        <is>
          <t>Standard</t>
        </is>
      </c>
      <c r="T185" s="6">
        <f>IF(R185="Manual", IFERROR(S185, Summary!B5), IF(R185="Reduced1", Summary!C5, IF(R185="Reduced2", Summary!D5, Summary!B5)))</f>
        <v/>
      </c>
      <c r="U185" s="6">
        <f>IFERROR((O185+Q185)*T185/100,0)</f>
        <v/>
      </c>
      <c r="V185" s="6">
        <f>Q185+U185</f>
        <v/>
      </c>
      <c r="W185" s="6">
        <f>O185+V185</f>
        <v/>
      </c>
    </row>
    <row r="186">
      <c r="A186" s="4" t="n">
        <v>185</v>
      </c>
      <c r="K186" s="6">
        <f>IFERROR(E186*J186,0)</f>
        <v/>
      </c>
      <c r="O186" s="6">
        <f>SUM(L186:N186)+IF(I186="EUR",K186,K186)</f>
        <v/>
      </c>
      <c r="Q186" s="6">
        <f>IFERROR(O186*P186/100,0)</f>
        <v/>
      </c>
      <c r="R186" t="inlineStr">
        <is>
          <t>Standard</t>
        </is>
      </c>
      <c r="T186" s="6">
        <f>IF(R186="Manual", IFERROR(S186, Summary!B5), IF(R186="Reduced1", Summary!C5, IF(R186="Reduced2", Summary!D5, Summary!B5)))</f>
        <v/>
      </c>
      <c r="U186" s="6">
        <f>IFERROR((O186+Q186)*T186/100,0)</f>
        <v/>
      </c>
      <c r="V186" s="6">
        <f>Q186+U186</f>
        <v/>
      </c>
      <c r="W186" s="6">
        <f>O186+V186</f>
        <v/>
      </c>
    </row>
    <row r="187">
      <c r="A187" s="4" t="n">
        <v>186</v>
      </c>
      <c r="K187" s="6">
        <f>IFERROR(E187*J187,0)</f>
        <v/>
      </c>
      <c r="O187" s="6">
        <f>SUM(L187:N187)+IF(I187="EUR",K187,K187)</f>
        <v/>
      </c>
      <c r="Q187" s="6">
        <f>IFERROR(O187*P187/100,0)</f>
        <v/>
      </c>
      <c r="R187" t="inlineStr">
        <is>
          <t>Standard</t>
        </is>
      </c>
      <c r="T187" s="6">
        <f>IF(R187="Manual", IFERROR(S187, Summary!B5), IF(R187="Reduced1", Summary!C5, IF(R187="Reduced2", Summary!D5, Summary!B5)))</f>
        <v/>
      </c>
      <c r="U187" s="6">
        <f>IFERROR((O187+Q187)*T187/100,0)</f>
        <v/>
      </c>
      <c r="V187" s="6">
        <f>Q187+U187</f>
        <v/>
      </c>
      <c r="W187" s="6">
        <f>O187+V187</f>
        <v/>
      </c>
    </row>
    <row r="188">
      <c r="A188" s="4" t="n">
        <v>187</v>
      </c>
      <c r="K188" s="6">
        <f>IFERROR(E188*J188,0)</f>
        <v/>
      </c>
      <c r="O188" s="6">
        <f>SUM(L188:N188)+IF(I188="EUR",K188,K188)</f>
        <v/>
      </c>
      <c r="Q188" s="6">
        <f>IFERROR(O188*P188/100,0)</f>
        <v/>
      </c>
      <c r="R188" t="inlineStr">
        <is>
          <t>Standard</t>
        </is>
      </c>
      <c r="T188" s="6">
        <f>IF(R188="Manual", IFERROR(S188, Summary!B5), IF(R188="Reduced1", Summary!C5, IF(R188="Reduced2", Summary!D5, Summary!B5)))</f>
        <v/>
      </c>
      <c r="U188" s="6">
        <f>IFERROR((O188+Q188)*T188/100,0)</f>
        <v/>
      </c>
      <c r="V188" s="6">
        <f>Q188+U188</f>
        <v/>
      </c>
      <c r="W188" s="6">
        <f>O188+V188</f>
        <v/>
      </c>
    </row>
    <row r="189">
      <c r="A189" s="4" t="n">
        <v>188</v>
      </c>
      <c r="K189" s="6">
        <f>IFERROR(E189*J189,0)</f>
        <v/>
      </c>
      <c r="O189" s="6">
        <f>SUM(L189:N189)+IF(I189="EUR",K189,K189)</f>
        <v/>
      </c>
      <c r="Q189" s="6">
        <f>IFERROR(O189*P189/100,0)</f>
        <v/>
      </c>
      <c r="R189" t="inlineStr">
        <is>
          <t>Standard</t>
        </is>
      </c>
      <c r="T189" s="6">
        <f>IF(R189="Manual", IFERROR(S189, Summary!B5), IF(R189="Reduced1", Summary!C5, IF(R189="Reduced2", Summary!D5, Summary!B5)))</f>
        <v/>
      </c>
      <c r="U189" s="6">
        <f>IFERROR((O189+Q189)*T189/100,0)</f>
        <v/>
      </c>
      <c r="V189" s="6">
        <f>Q189+U189</f>
        <v/>
      </c>
      <c r="W189" s="6">
        <f>O189+V189</f>
        <v/>
      </c>
    </row>
    <row r="190">
      <c r="A190" s="4" t="n">
        <v>189</v>
      </c>
      <c r="K190" s="6">
        <f>IFERROR(E190*J190,0)</f>
        <v/>
      </c>
      <c r="O190" s="6">
        <f>SUM(L190:N190)+IF(I190="EUR",K190,K190)</f>
        <v/>
      </c>
      <c r="Q190" s="6">
        <f>IFERROR(O190*P190/100,0)</f>
        <v/>
      </c>
      <c r="R190" t="inlineStr">
        <is>
          <t>Standard</t>
        </is>
      </c>
      <c r="T190" s="6">
        <f>IF(R190="Manual", IFERROR(S190, Summary!B5), IF(R190="Reduced1", Summary!C5, IF(R190="Reduced2", Summary!D5, Summary!B5)))</f>
        <v/>
      </c>
      <c r="U190" s="6">
        <f>IFERROR((O190+Q190)*T190/100,0)</f>
        <v/>
      </c>
      <c r="V190" s="6">
        <f>Q190+U190</f>
        <v/>
      </c>
      <c r="W190" s="6">
        <f>O190+V190</f>
        <v/>
      </c>
    </row>
    <row r="191">
      <c r="A191" s="4" t="n">
        <v>190</v>
      </c>
      <c r="K191" s="6">
        <f>IFERROR(E191*J191,0)</f>
        <v/>
      </c>
      <c r="O191" s="6">
        <f>SUM(L191:N191)+IF(I191="EUR",K191,K191)</f>
        <v/>
      </c>
      <c r="Q191" s="6">
        <f>IFERROR(O191*P191/100,0)</f>
        <v/>
      </c>
      <c r="R191" t="inlineStr">
        <is>
          <t>Standard</t>
        </is>
      </c>
      <c r="T191" s="6">
        <f>IF(R191="Manual", IFERROR(S191, Summary!B5), IF(R191="Reduced1", Summary!C5, IF(R191="Reduced2", Summary!D5, Summary!B5)))</f>
        <v/>
      </c>
      <c r="U191" s="6">
        <f>IFERROR((O191+Q191)*T191/100,0)</f>
        <v/>
      </c>
      <c r="V191" s="6">
        <f>Q191+U191</f>
        <v/>
      </c>
      <c r="W191" s="6">
        <f>O191+V191</f>
        <v/>
      </c>
    </row>
    <row r="192">
      <c r="A192" s="4" t="n">
        <v>191</v>
      </c>
      <c r="K192" s="6">
        <f>IFERROR(E192*J192,0)</f>
        <v/>
      </c>
      <c r="O192" s="6">
        <f>SUM(L192:N192)+IF(I192="EUR",K192,K192)</f>
        <v/>
      </c>
      <c r="Q192" s="6">
        <f>IFERROR(O192*P192/100,0)</f>
        <v/>
      </c>
      <c r="R192" t="inlineStr">
        <is>
          <t>Standard</t>
        </is>
      </c>
      <c r="T192" s="6">
        <f>IF(R192="Manual", IFERROR(S192, Summary!B5), IF(R192="Reduced1", Summary!C5, IF(R192="Reduced2", Summary!D5, Summary!B5)))</f>
        <v/>
      </c>
      <c r="U192" s="6">
        <f>IFERROR((O192+Q192)*T192/100,0)</f>
        <v/>
      </c>
      <c r="V192" s="6">
        <f>Q192+U192</f>
        <v/>
      </c>
      <c r="W192" s="6">
        <f>O192+V192</f>
        <v/>
      </c>
    </row>
    <row r="193">
      <c r="A193" s="4" t="n">
        <v>192</v>
      </c>
      <c r="K193" s="6">
        <f>IFERROR(E193*J193,0)</f>
        <v/>
      </c>
      <c r="O193" s="6">
        <f>SUM(L193:N193)+IF(I193="EUR",K193,K193)</f>
        <v/>
      </c>
      <c r="Q193" s="6">
        <f>IFERROR(O193*P193/100,0)</f>
        <v/>
      </c>
      <c r="R193" t="inlineStr">
        <is>
          <t>Standard</t>
        </is>
      </c>
      <c r="T193" s="6">
        <f>IF(R193="Manual", IFERROR(S193, Summary!B5), IF(R193="Reduced1", Summary!C5, IF(R193="Reduced2", Summary!D5, Summary!B5)))</f>
        <v/>
      </c>
      <c r="U193" s="6">
        <f>IFERROR((O193+Q193)*T193/100,0)</f>
        <v/>
      </c>
      <c r="V193" s="6">
        <f>Q193+U193</f>
        <v/>
      </c>
      <c r="W193" s="6">
        <f>O193+V193</f>
        <v/>
      </c>
    </row>
    <row r="194">
      <c r="A194" s="4" t="n">
        <v>193</v>
      </c>
      <c r="K194" s="6">
        <f>IFERROR(E194*J194,0)</f>
        <v/>
      </c>
      <c r="O194" s="6">
        <f>SUM(L194:N194)+IF(I194="EUR",K194,K194)</f>
        <v/>
      </c>
      <c r="Q194" s="6">
        <f>IFERROR(O194*P194/100,0)</f>
        <v/>
      </c>
      <c r="R194" t="inlineStr">
        <is>
          <t>Standard</t>
        </is>
      </c>
      <c r="T194" s="6">
        <f>IF(R194="Manual", IFERROR(S194, Summary!B5), IF(R194="Reduced1", Summary!C5, IF(R194="Reduced2", Summary!D5, Summary!B5)))</f>
        <v/>
      </c>
      <c r="U194" s="6">
        <f>IFERROR((O194+Q194)*T194/100,0)</f>
        <v/>
      </c>
      <c r="V194" s="6">
        <f>Q194+U194</f>
        <v/>
      </c>
      <c r="W194" s="6">
        <f>O194+V194</f>
        <v/>
      </c>
    </row>
    <row r="195">
      <c r="A195" s="4" t="n">
        <v>194</v>
      </c>
      <c r="K195" s="6">
        <f>IFERROR(E195*J195,0)</f>
        <v/>
      </c>
      <c r="O195" s="6">
        <f>SUM(L195:N195)+IF(I195="EUR",K195,K195)</f>
        <v/>
      </c>
      <c r="Q195" s="6">
        <f>IFERROR(O195*P195/100,0)</f>
        <v/>
      </c>
      <c r="R195" t="inlineStr">
        <is>
          <t>Standard</t>
        </is>
      </c>
      <c r="T195" s="6">
        <f>IF(R195="Manual", IFERROR(S195, Summary!B5), IF(R195="Reduced1", Summary!C5, IF(R195="Reduced2", Summary!D5, Summary!B5)))</f>
        <v/>
      </c>
      <c r="U195" s="6">
        <f>IFERROR((O195+Q195)*T195/100,0)</f>
        <v/>
      </c>
      <c r="V195" s="6">
        <f>Q195+U195</f>
        <v/>
      </c>
      <c r="W195" s="6">
        <f>O195+V195</f>
        <v/>
      </c>
    </row>
    <row r="196">
      <c r="A196" s="4" t="n">
        <v>195</v>
      </c>
      <c r="K196" s="6">
        <f>IFERROR(E196*J196,0)</f>
        <v/>
      </c>
      <c r="O196" s="6">
        <f>SUM(L196:N196)+IF(I196="EUR",K196,K196)</f>
        <v/>
      </c>
      <c r="Q196" s="6">
        <f>IFERROR(O196*P196/100,0)</f>
        <v/>
      </c>
      <c r="R196" t="inlineStr">
        <is>
          <t>Standard</t>
        </is>
      </c>
      <c r="T196" s="6">
        <f>IF(R196="Manual", IFERROR(S196, Summary!B5), IF(R196="Reduced1", Summary!C5, IF(R196="Reduced2", Summary!D5, Summary!B5)))</f>
        <v/>
      </c>
      <c r="U196" s="6">
        <f>IFERROR((O196+Q196)*T196/100,0)</f>
        <v/>
      </c>
      <c r="V196" s="6">
        <f>Q196+U196</f>
        <v/>
      </c>
      <c r="W196" s="6">
        <f>O196+V196</f>
        <v/>
      </c>
    </row>
    <row r="197">
      <c r="A197" s="4" t="n">
        <v>196</v>
      </c>
      <c r="K197" s="6">
        <f>IFERROR(E197*J197,0)</f>
        <v/>
      </c>
      <c r="O197" s="6">
        <f>SUM(L197:N197)+IF(I197="EUR",K197,K197)</f>
        <v/>
      </c>
      <c r="Q197" s="6">
        <f>IFERROR(O197*P197/100,0)</f>
        <v/>
      </c>
      <c r="R197" t="inlineStr">
        <is>
          <t>Standard</t>
        </is>
      </c>
      <c r="T197" s="6">
        <f>IF(R197="Manual", IFERROR(S197, Summary!B5), IF(R197="Reduced1", Summary!C5, IF(R197="Reduced2", Summary!D5, Summary!B5)))</f>
        <v/>
      </c>
      <c r="U197" s="6">
        <f>IFERROR((O197+Q197)*T197/100,0)</f>
        <v/>
      </c>
      <c r="V197" s="6">
        <f>Q197+U197</f>
        <v/>
      </c>
      <c r="W197" s="6">
        <f>O197+V197</f>
        <v/>
      </c>
    </row>
    <row r="198">
      <c r="A198" s="4" t="n">
        <v>197</v>
      </c>
      <c r="K198" s="6">
        <f>IFERROR(E198*J198,0)</f>
        <v/>
      </c>
      <c r="O198" s="6">
        <f>SUM(L198:N198)+IF(I198="EUR",K198,K198)</f>
        <v/>
      </c>
      <c r="Q198" s="6">
        <f>IFERROR(O198*P198/100,0)</f>
        <v/>
      </c>
      <c r="R198" t="inlineStr">
        <is>
          <t>Standard</t>
        </is>
      </c>
      <c r="T198" s="6">
        <f>IF(R198="Manual", IFERROR(S198, Summary!B5), IF(R198="Reduced1", Summary!C5, IF(R198="Reduced2", Summary!D5, Summary!B5)))</f>
        <v/>
      </c>
      <c r="U198" s="6">
        <f>IFERROR((O198+Q198)*T198/100,0)</f>
        <v/>
      </c>
      <c r="V198" s="6">
        <f>Q198+U198</f>
        <v/>
      </c>
      <c r="W198" s="6">
        <f>O198+V198</f>
        <v/>
      </c>
    </row>
    <row r="199">
      <c r="A199" s="4" t="n">
        <v>198</v>
      </c>
      <c r="K199" s="6">
        <f>IFERROR(E199*J199,0)</f>
        <v/>
      </c>
      <c r="O199" s="6">
        <f>SUM(L199:N199)+IF(I199="EUR",K199,K199)</f>
        <v/>
      </c>
      <c r="Q199" s="6">
        <f>IFERROR(O199*P199/100,0)</f>
        <v/>
      </c>
      <c r="R199" t="inlineStr">
        <is>
          <t>Standard</t>
        </is>
      </c>
      <c r="T199" s="6">
        <f>IF(R199="Manual", IFERROR(S199, Summary!B5), IF(R199="Reduced1", Summary!C5, IF(R199="Reduced2", Summary!D5, Summary!B5)))</f>
        <v/>
      </c>
      <c r="U199" s="6">
        <f>IFERROR((O199+Q199)*T199/100,0)</f>
        <v/>
      </c>
      <c r="V199" s="6">
        <f>Q199+U199</f>
        <v/>
      </c>
      <c r="W199" s="6">
        <f>O199+V199</f>
        <v/>
      </c>
    </row>
    <row r="200">
      <c r="A200" s="4" t="n">
        <v>199</v>
      </c>
      <c r="K200" s="6">
        <f>IFERROR(E200*J200,0)</f>
        <v/>
      </c>
      <c r="O200" s="6">
        <f>SUM(L200:N200)+IF(I200="EUR",K200,K200)</f>
        <v/>
      </c>
      <c r="Q200" s="6">
        <f>IFERROR(O200*P200/100,0)</f>
        <v/>
      </c>
      <c r="R200" t="inlineStr">
        <is>
          <t>Standard</t>
        </is>
      </c>
      <c r="T200" s="6">
        <f>IF(R200="Manual", IFERROR(S200, Summary!B5), IF(R200="Reduced1", Summary!C5, IF(R200="Reduced2", Summary!D5, Summary!B5)))</f>
        <v/>
      </c>
      <c r="U200" s="6">
        <f>IFERROR((O200+Q200)*T200/100,0)</f>
        <v/>
      </c>
      <c r="V200" s="6">
        <f>Q200+U200</f>
        <v/>
      </c>
      <c r="W200" s="6">
        <f>O200+V200</f>
        <v/>
      </c>
    </row>
    <row r="201">
      <c r="A201" s="4" t="n">
        <v>200</v>
      </c>
      <c r="K201" s="6">
        <f>IFERROR(E201*J201,0)</f>
        <v/>
      </c>
      <c r="O201" s="6">
        <f>SUM(L201:N201)+IF(I201="EUR",K201,K201)</f>
        <v/>
      </c>
      <c r="Q201" s="6">
        <f>IFERROR(O201*P201/100,0)</f>
        <v/>
      </c>
      <c r="R201" t="inlineStr">
        <is>
          <t>Standard</t>
        </is>
      </c>
      <c r="T201" s="6">
        <f>IF(R201="Manual", IFERROR(S201, Summary!B5), IF(R201="Reduced1", Summary!C5, IF(R201="Reduced2", Summary!D5, Summary!B5)))</f>
        <v/>
      </c>
      <c r="U201" s="6">
        <f>IFERROR((O201+Q201)*T201/100,0)</f>
        <v/>
      </c>
      <c r="V201" s="6">
        <f>Q201+U201</f>
        <v/>
      </c>
      <c r="W201" s="6">
        <f>O201+V201</f>
        <v/>
      </c>
    </row>
    <row r="202">
      <c r="A202" s="4" t="n">
        <v>201</v>
      </c>
      <c r="K202" s="6">
        <f>IFERROR(E202*J202,0)</f>
        <v/>
      </c>
      <c r="O202" s="6">
        <f>SUM(L202:N202)+IF(I202="EUR",K202,K202)</f>
        <v/>
      </c>
      <c r="Q202" s="6">
        <f>IFERROR(O202*P202/100,0)</f>
        <v/>
      </c>
      <c r="R202" t="inlineStr">
        <is>
          <t>Standard</t>
        </is>
      </c>
      <c r="T202" s="6">
        <f>IF(R202="Manual", IFERROR(S202, Summary!B5), IF(R202="Reduced1", Summary!C5, IF(R202="Reduced2", Summary!D5, Summary!B5)))</f>
        <v/>
      </c>
      <c r="U202" s="6">
        <f>IFERROR((O202+Q202)*T202/100,0)</f>
        <v/>
      </c>
      <c r="V202" s="6">
        <f>Q202+U202</f>
        <v/>
      </c>
      <c r="W202" s="6">
        <f>O202+V202</f>
        <v/>
      </c>
    </row>
    <row r="203">
      <c r="A203" s="4" t="n">
        <v>202</v>
      </c>
      <c r="K203" s="6">
        <f>IFERROR(E203*J203,0)</f>
        <v/>
      </c>
      <c r="O203" s="6">
        <f>SUM(L203:N203)+IF(I203="EUR",K203,K203)</f>
        <v/>
      </c>
      <c r="Q203" s="6">
        <f>IFERROR(O203*P203/100,0)</f>
        <v/>
      </c>
      <c r="R203" t="inlineStr">
        <is>
          <t>Standard</t>
        </is>
      </c>
      <c r="T203" s="6">
        <f>IF(R203="Manual", IFERROR(S203, Summary!B5), IF(R203="Reduced1", Summary!C5, IF(R203="Reduced2", Summary!D5, Summary!B5)))</f>
        <v/>
      </c>
      <c r="U203" s="6">
        <f>IFERROR((O203+Q203)*T203/100,0)</f>
        <v/>
      </c>
      <c r="V203" s="6">
        <f>Q203+U203</f>
        <v/>
      </c>
      <c r="W203" s="6">
        <f>O203+V203</f>
        <v/>
      </c>
    </row>
    <row r="204">
      <c r="A204" s="4" t="n">
        <v>203</v>
      </c>
      <c r="K204" s="6">
        <f>IFERROR(E204*J204,0)</f>
        <v/>
      </c>
      <c r="O204" s="6">
        <f>SUM(L204:N204)+IF(I204="EUR",K204,K204)</f>
        <v/>
      </c>
      <c r="Q204" s="6">
        <f>IFERROR(O204*P204/100,0)</f>
        <v/>
      </c>
      <c r="R204" t="inlineStr">
        <is>
          <t>Standard</t>
        </is>
      </c>
      <c r="T204" s="6">
        <f>IF(R204="Manual", IFERROR(S204, Summary!B5), IF(R204="Reduced1", Summary!C5, IF(R204="Reduced2", Summary!D5, Summary!B5)))</f>
        <v/>
      </c>
      <c r="U204" s="6">
        <f>IFERROR((O204+Q204)*T204/100,0)</f>
        <v/>
      </c>
      <c r="V204" s="6">
        <f>Q204+U204</f>
        <v/>
      </c>
      <c r="W204" s="6">
        <f>O204+V204</f>
        <v/>
      </c>
    </row>
    <row r="205">
      <c r="A205" s="4" t="n">
        <v>204</v>
      </c>
      <c r="K205" s="6">
        <f>IFERROR(E205*J205,0)</f>
        <v/>
      </c>
      <c r="O205" s="6">
        <f>SUM(L205:N205)+IF(I205="EUR",K205,K205)</f>
        <v/>
      </c>
      <c r="Q205" s="6">
        <f>IFERROR(O205*P205/100,0)</f>
        <v/>
      </c>
      <c r="R205" t="inlineStr">
        <is>
          <t>Standard</t>
        </is>
      </c>
      <c r="T205" s="6">
        <f>IF(R205="Manual", IFERROR(S205, Summary!B5), IF(R205="Reduced1", Summary!C5, IF(R205="Reduced2", Summary!D5, Summary!B5)))</f>
        <v/>
      </c>
      <c r="U205" s="6">
        <f>IFERROR((O205+Q205)*T205/100,0)</f>
        <v/>
      </c>
      <c r="V205" s="6">
        <f>Q205+U205</f>
        <v/>
      </c>
      <c r="W205" s="6">
        <f>O205+V205</f>
        <v/>
      </c>
    </row>
    <row r="206">
      <c r="A206" s="4" t="n">
        <v>205</v>
      </c>
      <c r="K206" s="6">
        <f>IFERROR(E206*J206,0)</f>
        <v/>
      </c>
      <c r="O206" s="6">
        <f>SUM(L206:N206)+IF(I206="EUR",K206,K206)</f>
        <v/>
      </c>
      <c r="Q206" s="6">
        <f>IFERROR(O206*P206/100,0)</f>
        <v/>
      </c>
      <c r="R206" t="inlineStr">
        <is>
          <t>Standard</t>
        </is>
      </c>
      <c r="T206" s="6">
        <f>IF(R206="Manual", IFERROR(S206, Summary!B5), IF(R206="Reduced1", Summary!C5, IF(R206="Reduced2", Summary!D5, Summary!B5)))</f>
        <v/>
      </c>
      <c r="U206" s="6">
        <f>IFERROR((O206+Q206)*T206/100,0)</f>
        <v/>
      </c>
      <c r="V206" s="6">
        <f>Q206+U206</f>
        <v/>
      </c>
      <c r="W206" s="6">
        <f>O206+V206</f>
        <v/>
      </c>
    </row>
    <row r="207">
      <c r="A207" s="4" t="n">
        <v>206</v>
      </c>
      <c r="K207" s="6">
        <f>IFERROR(E207*J207,0)</f>
        <v/>
      </c>
      <c r="O207" s="6">
        <f>SUM(L207:N207)+IF(I207="EUR",K207,K207)</f>
        <v/>
      </c>
      <c r="Q207" s="6">
        <f>IFERROR(O207*P207/100,0)</f>
        <v/>
      </c>
      <c r="R207" t="inlineStr">
        <is>
          <t>Standard</t>
        </is>
      </c>
      <c r="T207" s="6">
        <f>IF(R207="Manual", IFERROR(S207, Summary!B5), IF(R207="Reduced1", Summary!C5, IF(R207="Reduced2", Summary!D5, Summary!B5)))</f>
        <v/>
      </c>
      <c r="U207" s="6">
        <f>IFERROR((O207+Q207)*T207/100,0)</f>
        <v/>
      </c>
      <c r="V207" s="6">
        <f>Q207+U207</f>
        <v/>
      </c>
      <c r="W207" s="6">
        <f>O207+V207</f>
        <v/>
      </c>
    </row>
    <row r="208">
      <c r="A208" s="4" t="n">
        <v>207</v>
      </c>
      <c r="K208" s="6">
        <f>IFERROR(E208*J208,0)</f>
        <v/>
      </c>
      <c r="O208" s="6">
        <f>SUM(L208:N208)+IF(I208="EUR",K208,K208)</f>
        <v/>
      </c>
      <c r="Q208" s="6">
        <f>IFERROR(O208*P208/100,0)</f>
        <v/>
      </c>
      <c r="R208" t="inlineStr">
        <is>
          <t>Standard</t>
        </is>
      </c>
      <c r="T208" s="6">
        <f>IF(R208="Manual", IFERROR(S208, Summary!B5), IF(R208="Reduced1", Summary!C5, IF(R208="Reduced2", Summary!D5, Summary!B5)))</f>
        <v/>
      </c>
      <c r="U208" s="6">
        <f>IFERROR((O208+Q208)*T208/100,0)</f>
        <v/>
      </c>
      <c r="V208" s="6">
        <f>Q208+U208</f>
        <v/>
      </c>
      <c r="W208" s="6">
        <f>O208+V208</f>
        <v/>
      </c>
    </row>
    <row r="209">
      <c r="A209" s="4" t="n">
        <v>208</v>
      </c>
      <c r="K209" s="6">
        <f>IFERROR(E209*J209,0)</f>
        <v/>
      </c>
      <c r="O209" s="6">
        <f>SUM(L209:N209)+IF(I209="EUR",K209,K209)</f>
        <v/>
      </c>
      <c r="Q209" s="6">
        <f>IFERROR(O209*P209/100,0)</f>
        <v/>
      </c>
      <c r="R209" t="inlineStr">
        <is>
          <t>Standard</t>
        </is>
      </c>
      <c r="T209" s="6">
        <f>IF(R209="Manual", IFERROR(S209, Summary!B5), IF(R209="Reduced1", Summary!C5, IF(R209="Reduced2", Summary!D5, Summary!B5)))</f>
        <v/>
      </c>
      <c r="U209" s="6">
        <f>IFERROR((O209+Q209)*T209/100,0)</f>
        <v/>
      </c>
      <c r="V209" s="6">
        <f>Q209+U209</f>
        <v/>
      </c>
      <c r="W209" s="6">
        <f>O209+V209</f>
        <v/>
      </c>
    </row>
    <row r="210">
      <c r="A210" s="4" t="n">
        <v>209</v>
      </c>
      <c r="K210" s="6">
        <f>IFERROR(E210*J210,0)</f>
        <v/>
      </c>
      <c r="O210" s="6">
        <f>SUM(L210:N210)+IF(I210="EUR",K210,K210)</f>
        <v/>
      </c>
      <c r="Q210" s="6">
        <f>IFERROR(O210*P210/100,0)</f>
        <v/>
      </c>
      <c r="R210" t="inlineStr">
        <is>
          <t>Standard</t>
        </is>
      </c>
      <c r="T210" s="6">
        <f>IF(R210="Manual", IFERROR(S210, Summary!B5), IF(R210="Reduced1", Summary!C5, IF(R210="Reduced2", Summary!D5, Summary!B5)))</f>
        <v/>
      </c>
      <c r="U210" s="6">
        <f>IFERROR((O210+Q210)*T210/100,0)</f>
        <v/>
      </c>
      <c r="V210" s="6">
        <f>Q210+U210</f>
        <v/>
      </c>
      <c r="W210" s="6">
        <f>O210+V210</f>
        <v/>
      </c>
    </row>
    <row r="211">
      <c r="A211" s="4" t="n">
        <v>210</v>
      </c>
      <c r="K211" s="6">
        <f>IFERROR(E211*J211,0)</f>
        <v/>
      </c>
      <c r="O211" s="6">
        <f>SUM(L211:N211)+IF(I211="EUR",K211,K211)</f>
        <v/>
      </c>
      <c r="Q211" s="6">
        <f>IFERROR(O211*P211/100,0)</f>
        <v/>
      </c>
      <c r="R211" t="inlineStr">
        <is>
          <t>Standard</t>
        </is>
      </c>
      <c r="T211" s="6">
        <f>IF(R211="Manual", IFERROR(S211, Summary!B5), IF(R211="Reduced1", Summary!C5, IF(R211="Reduced2", Summary!D5, Summary!B5)))</f>
        <v/>
      </c>
      <c r="U211" s="6">
        <f>IFERROR((O211+Q211)*T211/100,0)</f>
        <v/>
      </c>
      <c r="V211" s="6">
        <f>Q211+U211</f>
        <v/>
      </c>
      <c r="W211" s="6">
        <f>O211+V211</f>
        <v/>
      </c>
    </row>
    <row r="212">
      <c r="A212" s="4" t="n">
        <v>211</v>
      </c>
      <c r="K212" s="6">
        <f>IFERROR(E212*J212,0)</f>
        <v/>
      </c>
      <c r="O212" s="6">
        <f>SUM(L212:N212)+IF(I212="EUR",K212,K212)</f>
        <v/>
      </c>
      <c r="Q212" s="6">
        <f>IFERROR(O212*P212/100,0)</f>
        <v/>
      </c>
      <c r="R212" t="inlineStr">
        <is>
          <t>Standard</t>
        </is>
      </c>
      <c r="T212" s="6">
        <f>IF(R212="Manual", IFERROR(S212, Summary!B5), IF(R212="Reduced1", Summary!C5, IF(R212="Reduced2", Summary!D5, Summary!B5)))</f>
        <v/>
      </c>
      <c r="U212" s="6">
        <f>IFERROR((O212+Q212)*T212/100,0)</f>
        <v/>
      </c>
      <c r="V212" s="6">
        <f>Q212+U212</f>
        <v/>
      </c>
      <c r="W212" s="6">
        <f>O212+V212</f>
        <v/>
      </c>
    </row>
    <row r="213">
      <c r="A213" s="4" t="n">
        <v>212</v>
      </c>
      <c r="K213" s="6">
        <f>IFERROR(E213*J213,0)</f>
        <v/>
      </c>
      <c r="O213" s="6">
        <f>SUM(L213:N213)+IF(I213="EUR",K213,K213)</f>
        <v/>
      </c>
      <c r="Q213" s="6">
        <f>IFERROR(O213*P213/100,0)</f>
        <v/>
      </c>
      <c r="R213" t="inlineStr">
        <is>
          <t>Standard</t>
        </is>
      </c>
      <c r="T213" s="6">
        <f>IF(R213="Manual", IFERROR(S213, Summary!B5), IF(R213="Reduced1", Summary!C5, IF(R213="Reduced2", Summary!D5, Summary!B5)))</f>
        <v/>
      </c>
      <c r="U213" s="6">
        <f>IFERROR((O213+Q213)*T213/100,0)</f>
        <v/>
      </c>
      <c r="V213" s="6">
        <f>Q213+U213</f>
        <v/>
      </c>
      <c r="W213" s="6">
        <f>O213+V213</f>
        <v/>
      </c>
    </row>
    <row r="214">
      <c r="A214" s="4" t="n">
        <v>213</v>
      </c>
      <c r="K214" s="6">
        <f>IFERROR(E214*J214,0)</f>
        <v/>
      </c>
      <c r="O214" s="6">
        <f>SUM(L214:N214)+IF(I214="EUR",K214,K214)</f>
        <v/>
      </c>
      <c r="Q214" s="6">
        <f>IFERROR(O214*P214/100,0)</f>
        <v/>
      </c>
      <c r="R214" t="inlineStr">
        <is>
          <t>Standard</t>
        </is>
      </c>
      <c r="T214" s="6">
        <f>IF(R214="Manual", IFERROR(S214, Summary!B5), IF(R214="Reduced1", Summary!C5, IF(R214="Reduced2", Summary!D5, Summary!B5)))</f>
        <v/>
      </c>
      <c r="U214" s="6">
        <f>IFERROR((O214+Q214)*T214/100,0)</f>
        <v/>
      </c>
      <c r="V214" s="6">
        <f>Q214+U214</f>
        <v/>
      </c>
      <c r="W214" s="6">
        <f>O214+V214</f>
        <v/>
      </c>
    </row>
    <row r="215">
      <c r="A215" s="4" t="n">
        <v>214</v>
      </c>
      <c r="K215" s="6">
        <f>IFERROR(E215*J215,0)</f>
        <v/>
      </c>
      <c r="O215" s="6">
        <f>SUM(L215:N215)+IF(I215="EUR",K215,K215)</f>
        <v/>
      </c>
      <c r="Q215" s="6">
        <f>IFERROR(O215*P215/100,0)</f>
        <v/>
      </c>
      <c r="R215" t="inlineStr">
        <is>
          <t>Standard</t>
        </is>
      </c>
      <c r="T215" s="6">
        <f>IF(R215="Manual", IFERROR(S215, Summary!B5), IF(R215="Reduced1", Summary!C5, IF(R215="Reduced2", Summary!D5, Summary!B5)))</f>
        <v/>
      </c>
      <c r="U215" s="6">
        <f>IFERROR((O215+Q215)*T215/100,0)</f>
        <v/>
      </c>
      <c r="V215" s="6">
        <f>Q215+U215</f>
        <v/>
      </c>
      <c r="W215" s="6">
        <f>O215+V215</f>
        <v/>
      </c>
    </row>
    <row r="216">
      <c r="A216" s="4" t="n">
        <v>215</v>
      </c>
      <c r="K216" s="6">
        <f>IFERROR(E216*J216,0)</f>
        <v/>
      </c>
      <c r="O216" s="6">
        <f>SUM(L216:N216)+IF(I216="EUR",K216,K216)</f>
        <v/>
      </c>
      <c r="Q216" s="6">
        <f>IFERROR(O216*P216/100,0)</f>
        <v/>
      </c>
      <c r="R216" t="inlineStr">
        <is>
          <t>Standard</t>
        </is>
      </c>
      <c r="T216" s="6">
        <f>IF(R216="Manual", IFERROR(S216, Summary!B5), IF(R216="Reduced1", Summary!C5, IF(R216="Reduced2", Summary!D5, Summary!B5)))</f>
        <v/>
      </c>
      <c r="U216" s="6">
        <f>IFERROR((O216+Q216)*T216/100,0)</f>
        <v/>
      </c>
      <c r="V216" s="6">
        <f>Q216+U216</f>
        <v/>
      </c>
      <c r="W216" s="6">
        <f>O216+V216</f>
        <v/>
      </c>
    </row>
    <row r="217">
      <c r="A217" s="4" t="n">
        <v>216</v>
      </c>
      <c r="K217" s="6">
        <f>IFERROR(E217*J217,0)</f>
        <v/>
      </c>
      <c r="O217" s="6">
        <f>SUM(L217:N217)+IF(I217="EUR",K217,K217)</f>
        <v/>
      </c>
      <c r="Q217" s="6">
        <f>IFERROR(O217*P217/100,0)</f>
        <v/>
      </c>
      <c r="R217" t="inlineStr">
        <is>
          <t>Standard</t>
        </is>
      </c>
      <c r="T217" s="6">
        <f>IF(R217="Manual", IFERROR(S217, Summary!B5), IF(R217="Reduced1", Summary!C5, IF(R217="Reduced2", Summary!D5, Summary!B5)))</f>
        <v/>
      </c>
      <c r="U217" s="6">
        <f>IFERROR((O217+Q217)*T217/100,0)</f>
        <v/>
      </c>
      <c r="V217" s="6">
        <f>Q217+U217</f>
        <v/>
      </c>
      <c r="W217" s="6">
        <f>O217+V217</f>
        <v/>
      </c>
    </row>
    <row r="218">
      <c r="A218" s="4" t="n">
        <v>217</v>
      </c>
      <c r="K218" s="6">
        <f>IFERROR(E218*J218,0)</f>
        <v/>
      </c>
      <c r="O218" s="6">
        <f>SUM(L218:N218)+IF(I218="EUR",K218,K218)</f>
        <v/>
      </c>
      <c r="Q218" s="6">
        <f>IFERROR(O218*P218/100,0)</f>
        <v/>
      </c>
      <c r="R218" t="inlineStr">
        <is>
          <t>Standard</t>
        </is>
      </c>
      <c r="T218" s="6">
        <f>IF(R218="Manual", IFERROR(S218, Summary!B5), IF(R218="Reduced1", Summary!C5, IF(R218="Reduced2", Summary!D5, Summary!B5)))</f>
        <v/>
      </c>
      <c r="U218" s="6">
        <f>IFERROR((O218+Q218)*T218/100,0)</f>
        <v/>
      </c>
      <c r="V218" s="6">
        <f>Q218+U218</f>
        <v/>
      </c>
      <c r="W218" s="6">
        <f>O218+V218</f>
        <v/>
      </c>
    </row>
    <row r="219">
      <c r="A219" s="4" t="n">
        <v>218</v>
      </c>
      <c r="K219" s="6">
        <f>IFERROR(E219*J219,0)</f>
        <v/>
      </c>
      <c r="O219" s="6">
        <f>SUM(L219:N219)+IF(I219="EUR",K219,K219)</f>
        <v/>
      </c>
      <c r="Q219" s="6">
        <f>IFERROR(O219*P219/100,0)</f>
        <v/>
      </c>
      <c r="R219" t="inlineStr">
        <is>
          <t>Standard</t>
        </is>
      </c>
      <c r="T219" s="6">
        <f>IF(R219="Manual", IFERROR(S219, Summary!B5), IF(R219="Reduced1", Summary!C5, IF(R219="Reduced2", Summary!D5, Summary!B5)))</f>
        <v/>
      </c>
      <c r="U219" s="6">
        <f>IFERROR((O219+Q219)*T219/100,0)</f>
        <v/>
      </c>
      <c r="V219" s="6">
        <f>Q219+U219</f>
        <v/>
      </c>
      <c r="W219" s="6">
        <f>O219+V219</f>
        <v/>
      </c>
    </row>
    <row r="220">
      <c r="A220" s="4" t="n">
        <v>219</v>
      </c>
      <c r="K220" s="6">
        <f>IFERROR(E220*J220,0)</f>
        <v/>
      </c>
      <c r="O220" s="6">
        <f>SUM(L220:N220)+IF(I220="EUR",K220,K220)</f>
        <v/>
      </c>
      <c r="Q220" s="6">
        <f>IFERROR(O220*P220/100,0)</f>
        <v/>
      </c>
      <c r="R220" t="inlineStr">
        <is>
          <t>Standard</t>
        </is>
      </c>
      <c r="T220" s="6">
        <f>IF(R220="Manual", IFERROR(S220, Summary!B5), IF(R220="Reduced1", Summary!C5, IF(R220="Reduced2", Summary!D5, Summary!B5)))</f>
        <v/>
      </c>
      <c r="U220" s="6">
        <f>IFERROR((O220+Q220)*T220/100,0)</f>
        <v/>
      </c>
      <c r="V220" s="6">
        <f>Q220+U220</f>
        <v/>
      </c>
      <c r="W220" s="6">
        <f>O220+V220</f>
        <v/>
      </c>
    </row>
    <row r="221">
      <c r="A221" s="4" t="n">
        <v>220</v>
      </c>
      <c r="K221" s="6">
        <f>IFERROR(E221*J221,0)</f>
        <v/>
      </c>
      <c r="O221" s="6">
        <f>SUM(L221:N221)+IF(I221="EUR",K221,K221)</f>
        <v/>
      </c>
      <c r="Q221" s="6">
        <f>IFERROR(O221*P221/100,0)</f>
        <v/>
      </c>
      <c r="R221" t="inlineStr">
        <is>
          <t>Standard</t>
        </is>
      </c>
      <c r="T221" s="6">
        <f>IF(R221="Manual", IFERROR(S221, Summary!B5), IF(R221="Reduced1", Summary!C5, IF(R221="Reduced2", Summary!D5, Summary!B5)))</f>
        <v/>
      </c>
      <c r="U221" s="6">
        <f>IFERROR((O221+Q221)*T221/100,0)</f>
        <v/>
      </c>
      <c r="V221" s="6">
        <f>Q221+U221</f>
        <v/>
      </c>
      <c r="W221" s="6">
        <f>O221+V221</f>
        <v/>
      </c>
    </row>
    <row r="222">
      <c r="A222" s="4" t="n">
        <v>221</v>
      </c>
      <c r="K222" s="6">
        <f>IFERROR(E222*J222,0)</f>
        <v/>
      </c>
      <c r="O222" s="6">
        <f>SUM(L222:N222)+IF(I222="EUR",K222,K222)</f>
        <v/>
      </c>
      <c r="Q222" s="6">
        <f>IFERROR(O222*P222/100,0)</f>
        <v/>
      </c>
      <c r="R222" t="inlineStr">
        <is>
          <t>Standard</t>
        </is>
      </c>
      <c r="T222" s="6">
        <f>IF(R222="Manual", IFERROR(S222, Summary!B5), IF(R222="Reduced1", Summary!C5, IF(R222="Reduced2", Summary!D5, Summary!B5)))</f>
        <v/>
      </c>
      <c r="U222" s="6">
        <f>IFERROR((O222+Q222)*T222/100,0)</f>
        <v/>
      </c>
      <c r="V222" s="6">
        <f>Q222+U222</f>
        <v/>
      </c>
      <c r="W222" s="6">
        <f>O222+V222</f>
        <v/>
      </c>
    </row>
    <row r="223">
      <c r="A223" s="4" t="n">
        <v>222</v>
      </c>
      <c r="K223" s="6">
        <f>IFERROR(E223*J223,0)</f>
        <v/>
      </c>
      <c r="O223" s="6">
        <f>SUM(L223:N223)+IF(I223="EUR",K223,K223)</f>
        <v/>
      </c>
      <c r="Q223" s="6">
        <f>IFERROR(O223*P223/100,0)</f>
        <v/>
      </c>
      <c r="R223" t="inlineStr">
        <is>
          <t>Standard</t>
        </is>
      </c>
      <c r="T223" s="6">
        <f>IF(R223="Manual", IFERROR(S223, Summary!B5), IF(R223="Reduced1", Summary!C5, IF(R223="Reduced2", Summary!D5, Summary!B5)))</f>
        <v/>
      </c>
      <c r="U223" s="6">
        <f>IFERROR((O223+Q223)*T223/100,0)</f>
        <v/>
      </c>
      <c r="V223" s="6">
        <f>Q223+U223</f>
        <v/>
      </c>
      <c r="W223" s="6">
        <f>O223+V223</f>
        <v/>
      </c>
    </row>
    <row r="224">
      <c r="A224" s="4" t="n">
        <v>223</v>
      </c>
      <c r="K224" s="6">
        <f>IFERROR(E224*J224,0)</f>
        <v/>
      </c>
      <c r="O224" s="6">
        <f>SUM(L224:N224)+IF(I224="EUR",K224,K224)</f>
        <v/>
      </c>
      <c r="Q224" s="6">
        <f>IFERROR(O224*P224/100,0)</f>
        <v/>
      </c>
      <c r="R224" t="inlineStr">
        <is>
          <t>Standard</t>
        </is>
      </c>
      <c r="T224" s="6">
        <f>IF(R224="Manual", IFERROR(S224, Summary!B5), IF(R224="Reduced1", Summary!C5, IF(R224="Reduced2", Summary!D5, Summary!B5)))</f>
        <v/>
      </c>
      <c r="U224" s="6">
        <f>IFERROR((O224+Q224)*T224/100,0)</f>
        <v/>
      </c>
      <c r="V224" s="6">
        <f>Q224+U224</f>
        <v/>
      </c>
      <c r="W224" s="6">
        <f>O224+V224</f>
        <v/>
      </c>
    </row>
    <row r="225">
      <c r="A225" s="4" t="n">
        <v>224</v>
      </c>
      <c r="K225" s="6">
        <f>IFERROR(E225*J225,0)</f>
        <v/>
      </c>
      <c r="O225" s="6">
        <f>SUM(L225:N225)+IF(I225="EUR",K225,K225)</f>
        <v/>
      </c>
      <c r="Q225" s="6">
        <f>IFERROR(O225*P225/100,0)</f>
        <v/>
      </c>
      <c r="R225" t="inlineStr">
        <is>
          <t>Standard</t>
        </is>
      </c>
      <c r="T225" s="6">
        <f>IF(R225="Manual", IFERROR(S225, Summary!B5), IF(R225="Reduced1", Summary!C5, IF(R225="Reduced2", Summary!D5, Summary!B5)))</f>
        <v/>
      </c>
      <c r="U225" s="6">
        <f>IFERROR((O225+Q225)*T225/100,0)</f>
        <v/>
      </c>
      <c r="V225" s="6">
        <f>Q225+U225</f>
        <v/>
      </c>
      <c r="W225" s="6">
        <f>O225+V225</f>
        <v/>
      </c>
    </row>
    <row r="226">
      <c r="A226" s="4" t="n">
        <v>225</v>
      </c>
      <c r="K226" s="6">
        <f>IFERROR(E226*J226,0)</f>
        <v/>
      </c>
      <c r="O226" s="6">
        <f>SUM(L226:N226)+IF(I226="EUR",K226,K226)</f>
        <v/>
      </c>
      <c r="Q226" s="6">
        <f>IFERROR(O226*P226/100,0)</f>
        <v/>
      </c>
      <c r="R226" t="inlineStr">
        <is>
          <t>Standard</t>
        </is>
      </c>
      <c r="T226" s="6">
        <f>IF(R226="Manual", IFERROR(S226, Summary!B5), IF(R226="Reduced1", Summary!C5, IF(R226="Reduced2", Summary!D5, Summary!B5)))</f>
        <v/>
      </c>
      <c r="U226" s="6">
        <f>IFERROR((O226+Q226)*T226/100,0)</f>
        <v/>
      </c>
      <c r="V226" s="6">
        <f>Q226+U226</f>
        <v/>
      </c>
      <c r="W226" s="6">
        <f>O226+V226</f>
        <v/>
      </c>
    </row>
    <row r="227">
      <c r="A227" s="4" t="n">
        <v>226</v>
      </c>
      <c r="K227" s="6">
        <f>IFERROR(E227*J227,0)</f>
        <v/>
      </c>
      <c r="O227" s="6">
        <f>SUM(L227:N227)+IF(I227="EUR",K227,K227)</f>
        <v/>
      </c>
      <c r="Q227" s="6">
        <f>IFERROR(O227*P227/100,0)</f>
        <v/>
      </c>
      <c r="R227" t="inlineStr">
        <is>
          <t>Standard</t>
        </is>
      </c>
      <c r="T227" s="6">
        <f>IF(R227="Manual", IFERROR(S227, Summary!B5), IF(R227="Reduced1", Summary!C5, IF(R227="Reduced2", Summary!D5, Summary!B5)))</f>
        <v/>
      </c>
      <c r="U227" s="6">
        <f>IFERROR((O227+Q227)*T227/100,0)</f>
        <v/>
      </c>
      <c r="V227" s="6">
        <f>Q227+U227</f>
        <v/>
      </c>
      <c r="W227" s="6">
        <f>O227+V227</f>
        <v/>
      </c>
    </row>
    <row r="228">
      <c r="A228" s="4" t="n">
        <v>227</v>
      </c>
      <c r="K228" s="6">
        <f>IFERROR(E228*J228,0)</f>
        <v/>
      </c>
      <c r="O228" s="6">
        <f>SUM(L228:N228)+IF(I228="EUR",K228,K228)</f>
        <v/>
      </c>
      <c r="Q228" s="6">
        <f>IFERROR(O228*P228/100,0)</f>
        <v/>
      </c>
      <c r="R228" t="inlineStr">
        <is>
          <t>Standard</t>
        </is>
      </c>
      <c r="T228" s="6">
        <f>IF(R228="Manual", IFERROR(S228, Summary!B5), IF(R228="Reduced1", Summary!C5, IF(R228="Reduced2", Summary!D5, Summary!B5)))</f>
        <v/>
      </c>
      <c r="U228" s="6">
        <f>IFERROR((O228+Q228)*T228/100,0)</f>
        <v/>
      </c>
      <c r="V228" s="6">
        <f>Q228+U228</f>
        <v/>
      </c>
      <c r="W228" s="6">
        <f>O228+V228</f>
        <v/>
      </c>
    </row>
    <row r="229">
      <c r="A229" s="4" t="n">
        <v>228</v>
      </c>
      <c r="K229" s="6">
        <f>IFERROR(E229*J229,0)</f>
        <v/>
      </c>
      <c r="O229" s="6">
        <f>SUM(L229:N229)+IF(I229="EUR",K229,K229)</f>
        <v/>
      </c>
      <c r="Q229" s="6">
        <f>IFERROR(O229*P229/100,0)</f>
        <v/>
      </c>
      <c r="R229" t="inlineStr">
        <is>
          <t>Standard</t>
        </is>
      </c>
      <c r="T229" s="6">
        <f>IF(R229="Manual", IFERROR(S229, Summary!B5), IF(R229="Reduced1", Summary!C5, IF(R229="Reduced2", Summary!D5, Summary!B5)))</f>
        <v/>
      </c>
      <c r="U229" s="6">
        <f>IFERROR((O229+Q229)*T229/100,0)</f>
        <v/>
      </c>
      <c r="V229" s="6">
        <f>Q229+U229</f>
        <v/>
      </c>
      <c r="W229" s="6">
        <f>O229+V229</f>
        <v/>
      </c>
    </row>
    <row r="230">
      <c r="A230" s="4" t="n">
        <v>229</v>
      </c>
      <c r="K230" s="6">
        <f>IFERROR(E230*J230,0)</f>
        <v/>
      </c>
      <c r="O230" s="6">
        <f>SUM(L230:N230)+IF(I230="EUR",K230,K230)</f>
        <v/>
      </c>
      <c r="Q230" s="6">
        <f>IFERROR(O230*P230/100,0)</f>
        <v/>
      </c>
      <c r="R230" t="inlineStr">
        <is>
          <t>Standard</t>
        </is>
      </c>
      <c r="T230" s="6">
        <f>IF(R230="Manual", IFERROR(S230, Summary!B5), IF(R230="Reduced1", Summary!C5, IF(R230="Reduced2", Summary!D5, Summary!B5)))</f>
        <v/>
      </c>
      <c r="U230" s="6">
        <f>IFERROR((O230+Q230)*T230/100,0)</f>
        <v/>
      </c>
      <c r="V230" s="6">
        <f>Q230+U230</f>
        <v/>
      </c>
      <c r="W230" s="6">
        <f>O230+V230</f>
        <v/>
      </c>
    </row>
    <row r="231">
      <c r="A231" s="4" t="n">
        <v>230</v>
      </c>
      <c r="K231" s="6">
        <f>IFERROR(E231*J231,0)</f>
        <v/>
      </c>
      <c r="O231" s="6">
        <f>SUM(L231:N231)+IF(I231="EUR",K231,K231)</f>
        <v/>
      </c>
      <c r="Q231" s="6">
        <f>IFERROR(O231*P231/100,0)</f>
        <v/>
      </c>
      <c r="R231" t="inlineStr">
        <is>
          <t>Standard</t>
        </is>
      </c>
      <c r="T231" s="6">
        <f>IF(R231="Manual", IFERROR(S231, Summary!B5), IF(R231="Reduced1", Summary!C5, IF(R231="Reduced2", Summary!D5, Summary!B5)))</f>
        <v/>
      </c>
      <c r="U231" s="6">
        <f>IFERROR((O231+Q231)*T231/100,0)</f>
        <v/>
      </c>
      <c r="V231" s="6">
        <f>Q231+U231</f>
        <v/>
      </c>
      <c r="W231" s="6">
        <f>O231+V231</f>
        <v/>
      </c>
    </row>
    <row r="232">
      <c r="A232" s="4" t="n">
        <v>231</v>
      </c>
      <c r="K232" s="6">
        <f>IFERROR(E232*J232,0)</f>
        <v/>
      </c>
      <c r="O232" s="6">
        <f>SUM(L232:N232)+IF(I232="EUR",K232,K232)</f>
        <v/>
      </c>
      <c r="Q232" s="6">
        <f>IFERROR(O232*P232/100,0)</f>
        <v/>
      </c>
      <c r="R232" t="inlineStr">
        <is>
          <t>Standard</t>
        </is>
      </c>
      <c r="T232" s="6">
        <f>IF(R232="Manual", IFERROR(S232, Summary!B5), IF(R232="Reduced1", Summary!C5, IF(R232="Reduced2", Summary!D5, Summary!B5)))</f>
        <v/>
      </c>
      <c r="U232" s="6">
        <f>IFERROR((O232+Q232)*T232/100,0)</f>
        <v/>
      </c>
      <c r="V232" s="6">
        <f>Q232+U232</f>
        <v/>
      </c>
      <c r="W232" s="6">
        <f>O232+V232</f>
        <v/>
      </c>
    </row>
    <row r="233">
      <c r="A233" s="4" t="n">
        <v>232</v>
      </c>
      <c r="K233" s="6">
        <f>IFERROR(E233*J233,0)</f>
        <v/>
      </c>
      <c r="O233" s="6">
        <f>SUM(L233:N233)+IF(I233="EUR",K233,K233)</f>
        <v/>
      </c>
      <c r="Q233" s="6">
        <f>IFERROR(O233*P233/100,0)</f>
        <v/>
      </c>
      <c r="R233" t="inlineStr">
        <is>
          <t>Standard</t>
        </is>
      </c>
      <c r="T233" s="6">
        <f>IF(R233="Manual", IFERROR(S233, Summary!B5), IF(R233="Reduced1", Summary!C5, IF(R233="Reduced2", Summary!D5, Summary!B5)))</f>
        <v/>
      </c>
      <c r="U233" s="6">
        <f>IFERROR((O233+Q233)*T233/100,0)</f>
        <v/>
      </c>
      <c r="V233" s="6">
        <f>Q233+U233</f>
        <v/>
      </c>
      <c r="W233" s="6">
        <f>O233+V233</f>
        <v/>
      </c>
    </row>
    <row r="234">
      <c r="A234" s="4" t="n">
        <v>233</v>
      </c>
      <c r="K234" s="6">
        <f>IFERROR(E234*J234,0)</f>
        <v/>
      </c>
      <c r="O234" s="6">
        <f>SUM(L234:N234)+IF(I234="EUR",K234,K234)</f>
        <v/>
      </c>
      <c r="Q234" s="6">
        <f>IFERROR(O234*P234/100,0)</f>
        <v/>
      </c>
      <c r="R234" t="inlineStr">
        <is>
          <t>Standard</t>
        </is>
      </c>
      <c r="T234" s="6">
        <f>IF(R234="Manual", IFERROR(S234, Summary!B5), IF(R234="Reduced1", Summary!C5, IF(R234="Reduced2", Summary!D5, Summary!B5)))</f>
        <v/>
      </c>
      <c r="U234" s="6">
        <f>IFERROR((O234+Q234)*T234/100,0)</f>
        <v/>
      </c>
      <c r="V234" s="6">
        <f>Q234+U234</f>
        <v/>
      </c>
      <c r="W234" s="6">
        <f>O234+V234</f>
        <v/>
      </c>
    </row>
    <row r="235">
      <c r="A235" s="4" t="n">
        <v>234</v>
      </c>
      <c r="K235" s="6">
        <f>IFERROR(E235*J235,0)</f>
        <v/>
      </c>
      <c r="O235" s="6">
        <f>SUM(L235:N235)+IF(I235="EUR",K235,K235)</f>
        <v/>
      </c>
      <c r="Q235" s="6">
        <f>IFERROR(O235*P235/100,0)</f>
        <v/>
      </c>
      <c r="R235" t="inlineStr">
        <is>
          <t>Standard</t>
        </is>
      </c>
      <c r="T235" s="6">
        <f>IF(R235="Manual", IFERROR(S235, Summary!B5), IF(R235="Reduced1", Summary!C5, IF(R235="Reduced2", Summary!D5, Summary!B5)))</f>
        <v/>
      </c>
      <c r="U235" s="6">
        <f>IFERROR((O235+Q235)*T235/100,0)</f>
        <v/>
      </c>
      <c r="V235" s="6">
        <f>Q235+U235</f>
        <v/>
      </c>
      <c r="W235" s="6">
        <f>O235+V235</f>
        <v/>
      </c>
    </row>
    <row r="236">
      <c r="A236" s="4" t="n">
        <v>235</v>
      </c>
      <c r="K236" s="6">
        <f>IFERROR(E236*J236,0)</f>
        <v/>
      </c>
      <c r="O236" s="6">
        <f>SUM(L236:N236)+IF(I236="EUR",K236,K236)</f>
        <v/>
      </c>
      <c r="Q236" s="6">
        <f>IFERROR(O236*P236/100,0)</f>
        <v/>
      </c>
      <c r="R236" t="inlineStr">
        <is>
          <t>Standard</t>
        </is>
      </c>
      <c r="T236" s="6">
        <f>IF(R236="Manual", IFERROR(S236, Summary!B5), IF(R236="Reduced1", Summary!C5, IF(R236="Reduced2", Summary!D5, Summary!B5)))</f>
        <v/>
      </c>
      <c r="U236" s="6">
        <f>IFERROR((O236+Q236)*T236/100,0)</f>
        <v/>
      </c>
      <c r="V236" s="6">
        <f>Q236+U236</f>
        <v/>
      </c>
      <c r="W236" s="6">
        <f>O236+V236</f>
        <v/>
      </c>
    </row>
    <row r="237">
      <c r="A237" s="4" t="n">
        <v>236</v>
      </c>
      <c r="K237" s="6">
        <f>IFERROR(E237*J237,0)</f>
        <v/>
      </c>
      <c r="O237" s="6">
        <f>SUM(L237:N237)+IF(I237="EUR",K237,K237)</f>
        <v/>
      </c>
      <c r="Q237" s="6">
        <f>IFERROR(O237*P237/100,0)</f>
        <v/>
      </c>
      <c r="R237" t="inlineStr">
        <is>
          <t>Standard</t>
        </is>
      </c>
      <c r="T237" s="6">
        <f>IF(R237="Manual", IFERROR(S237, Summary!B5), IF(R237="Reduced1", Summary!C5, IF(R237="Reduced2", Summary!D5, Summary!B5)))</f>
        <v/>
      </c>
      <c r="U237" s="6">
        <f>IFERROR((O237+Q237)*T237/100,0)</f>
        <v/>
      </c>
      <c r="V237" s="6">
        <f>Q237+U237</f>
        <v/>
      </c>
      <c r="W237" s="6">
        <f>O237+V237</f>
        <v/>
      </c>
    </row>
    <row r="238">
      <c r="A238" s="4" t="n">
        <v>237</v>
      </c>
      <c r="K238" s="6">
        <f>IFERROR(E238*J238,0)</f>
        <v/>
      </c>
      <c r="O238" s="6">
        <f>SUM(L238:N238)+IF(I238="EUR",K238,K238)</f>
        <v/>
      </c>
      <c r="Q238" s="6">
        <f>IFERROR(O238*P238/100,0)</f>
        <v/>
      </c>
      <c r="R238" t="inlineStr">
        <is>
          <t>Standard</t>
        </is>
      </c>
      <c r="T238" s="6">
        <f>IF(R238="Manual", IFERROR(S238, Summary!B5), IF(R238="Reduced1", Summary!C5, IF(R238="Reduced2", Summary!D5, Summary!B5)))</f>
        <v/>
      </c>
      <c r="U238" s="6">
        <f>IFERROR((O238+Q238)*T238/100,0)</f>
        <v/>
      </c>
      <c r="V238" s="6">
        <f>Q238+U238</f>
        <v/>
      </c>
      <c r="W238" s="6">
        <f>O238+V238</f>
        <v/>
      </c>
    </row>
    <row r="239">
      <c r="A239" s="4" t="n">
        <v>238</v>
      </c>
      <c r="K239" s="6">
        <f>IFERROR(E239*J239,0)</f>
        <v/>
      </c>
      <c r="O239" s="6">
        <f>SUM(L239:N239)+IF(I239="EUR",K239,K239)</f>
        <v/>
      </c>
      <c r="Q239" s="6">
        <f>IFERROR(O239*P239/100,0)</f>
        <v/>
      </c>
      <c r="R239" t="inlineStr">
        <is>
          <t>Standard</t>
        </is>
      </c>
      <c r="T239" s="6">
        <f>IF(R239="Manual", IFERROR(S239, Summary!B5), IF(R239="Reduced1", Summary!C5, IF(R239="Reduced2", Summary!D5, Summary!B5)))</f>
        <v/>
      </c>
      <c r="U239" s="6">
        <f>IFERROR((O239+Q239)*T239/100,0)</f>
        <v/>
      </c>
      <c r="V239" s="6">
        <f>Q239+U239</f>
        <v/>
      </c>
      <c r="W239" s="6">
        <f>O239+V239</f>
        <v/>
      </c>
    </row>
    <row r="240">
      <c r="A240" s="4" t="n">
        <v>239</v>
      </c>
      <c r="K240" s="6">
        <f>IFERROR(E240*J240,0)</f>
        <v/>
      </c>
      <c r="O240" s="6">
        <f>SUM(L240:N240)+IF(I240="EUR",K240,K240)</f>
        <v/>
      </c>
      <c r="Q240" s="6">
        <f>IFERROR(O240*P240/100,0)</f>
        <v/>
      </c>
      <c r="R240" t="inlineStr">
        <is>
          <t>Standard</t>
        </is>
      </c>
      <c r="T240" s="6">
        <f>IF(R240="Manual", IFERROR(S240, Summary!B5), IF(R240="Reduced1", Summary!C5, IF(R240="Reduced2", Summary!D5, Summary!B5)))</f>
        <v/>
      </c>
      <c r="U240" s="6">
        <f>IFERROR((O240+Q240)*T240/100,0)</f>
        <v/>
      </c>
      <c r="V240" s="6">
        <f>Q240+U240</f>
        <v/>
      </c>
      <c r="W240" s="6">
        <f>O240+V240</f>
        <v/>
      </c>
    </row>
    <row r="241">
      <c r="A241" s="4" t="n">
        <v>240</v>
      </c>
      <c r="K241" s="6">
        <f>IFERROR(E241*J241,0)</f>
        <v/>
      </c>
      <c r="O241" s="6">
        <f>SUM(L241:N241)+IF(I241="EUR",K241,K241)</f>
        <v/>
      </c>
      <c r="Q241" s="6">
        <f>IFERROR(O241*P241/100,0)</f>
        <v/>
      </c>
      <c r="R241" t="inlineStr">
        <is>
          <t>Standard</t>
        </is>
      </c>
      <c r="T241" s="6">
        <f>IF(R241="Manual", IFERROR(S241, Summary!B5), IF(R241="Reduced1", Summary!C5, IF(R241="Reduced2", Summary!D5, Summary!B5)))</f>
        <v/>
      </c>
      <c r="U241" s="6">
        <f>IFERROR((O241+Q241)*T241/100,0)</f>
        <v/>
      </c>
      <c r="V241" s="6">
        <f>Q241+U241</f>
        <v/>
      </c>
      <c r="W241" s="6">
        <f>O241+V241</f>
        <v/>
      </c>
    </row>
    <row r="242">
      <c r="A242" s="4" t="n">
        <v>241</v>
      </c>
      <c r="K242" s="6">
        <f>IFERROR(E242*J242,0)</f>
        <v/>
      </c>
      <c r="O242" s="6">
        <f>SUM(L242:N242)+IF(I242="EUR",K242,K242)</f>
        <v/>
      </c>
      <c r="Q242" s="6">
        <f>IFERROR(O242*P242/100,0)</f>
        <v/>
      </c>
      <c r="R242" t="inlineStr">
        <is>
          <t>Standard</t>
        </is>
      </c>
      <c r="T242" s="6">
        <f>IF(R242="Manual", IFERROR(S242, Summary!B5), IF(R242="Reduced1", Summary!C5, IF(R242="Reduced2", Summary!D5, Summary!B5)))</f>
        <v/>
      </c>
      <c r="U242" s="6">
        <f>IFERROR((O242+Q242)*T242/100,0)</f>
        <v/>
      </c>
      <c r="V242" s="6">
        <f>Q242+U242</f>
        <v/>
      </c>
      <c r="W242" s="6">
        <f>O242+V242</f>
        <v/>
      </c>
    </row>
    <row r="243">
      <c r="A243" s="4" t="n">
        <v>242</v>
      </c>
      <c r="K243" s="6">
        <f>IFERROR(E243*J243,0)</f>
        <v/>
      </c>
      <c r="O243" s="6">
        <f>SUM(L243:N243)+IF(I243="EUR",K243,K243)</f>
        <v/>
      </c>
      <c r="Q243" s="6">
        <f>IFERROR(O243*P243/100,0)</f>
        <v/>
      </c>
      <c r="R243" t="inlineStr">
        <is>
          <t>Standard</t>
        </is>
      </c>
      <c r="T243" s="6">
        <f>IF(R243="Manual", IFERROR(S243, Summary!B5), IF(R243="Reduced1", Summary!C5, IF(R243="Reduced2", Summary!D5, Summary!B5)))</f>
        <v/>
      </c>
      <c r="U243" s="6">
        <f>IFERROR((O243+Q243)*T243/100,0)</f>
        <v/>
      </c>
      <c r="V243" s="6">
        <f>Q243+U243</f>
        <v/>
      </c>
      <c r="W243" s="6">
        <f>O243+V243</f>
        <v/>
      </c>
    </row>
    <row r="244">
      <c r="A244" s="4" t="n">
        <v>243</v>
      </c>
      <c r="K244" s="6">
        <f>IFERROR(E244*J244,0)</f>
        <v/>
      </c>
      <c r="O244" s="6">
        <f>SUM(L244:N244)+IF(I244="EUR",K244,K244)</f>
        <v/>
      </c>
      <c r="Q244" s="6">
        <f>IFERROR(O244*P244/100,0)</f>
        <v/>
      </c>
      <c r="R244" t="inlineStr">
        <is>
          <t>Standard</t>
        </is>
      </c>
      <c r="T244" s="6">
        <f>IF(R244="Manual", IFERROR(S244, Summary!B5), IF(R244="Reduced1", Summary!C5, IF(R244="Reduced2", Summary!D5, Summary!B5)))</f>
        <v/>
      </c>
      <c r="U244" s="6">
        <f>IFERROR((O244+Q244)*T244/100,0)</f>
        <v/>
      </c>
      <c r="V244" s="6">
        <f>Q244+U244</f>
        <v/>
      </c>
      <c r="W244" s="6">
        <f>O244+V244</f>
        <v/>
      </c>
    </row>
    <row r="245">
      <c r="A245" s="4" t="n">
        <v>244</v>
      </c>
      <c r="K245" s="6">
        <f>IFERROR(E245*J245,0)</f>
        <v/>
      </c>
      <c r="O245" s="6">
        <f>SUM(L245:N245)+IF(I245="EUR",K245,K245)</f>
        <v/>
      </c>
      <c r="Q245" s="6">
        <f>IFERROR(O245*P245/100,0)</f>
        <v/>
      </c>
      <c r="R245" t="inlineStr">
        <is>
          <t>Standard</t>
        </is>
      </c>
      <c r="T245" s="6">
        <f>IF(R245="Manual", IFERROR(S245, Summary!B5), IF(R245="Reduced1", Summary!C5, IF(R245="Reduced2", Summary!D5, Summary!B5)))</f>
        <v/>
      </c>
      <c r="U245" s="6">
        <f>IFERROR((O245+Q245)*T245/100,0)</f>
        <v/>
      </c>
      <c r="V245" s="6">
        <f>Q245+U245</f>
        <v/>
      </c>
      <c r="W245" s="6">
        <f>O245+V245</f>
        <v/>
      </c>
    </row>
    <row r="246">
      <c r="A246" s="4" t="n">
        <v>245</v>
      </c>
      <c r="K246" s="6">
        <f>IFERROR(E246*J246,0)</f>
        <v/>
      </c>
      <c r="O246" s="6">
        <f>SUM(L246:N246)+IF(I246="EUR",K246,K246)</f>
        <v/>
      </c>
      <c r="Q246" s="6">
        <f>IFERROR(O246*P246/100,0)</f>
        <v/>
      </c>
      <c r="R246" t="inlineStr">
        <is>
          <t>Standard</t>
        </is>
      </c>
      <c r="T246" s="6">
        <f>IF(R246="Manual", IFERROR(S246, Summary!B5), IF(R246="Reduced1", Summary!C5, IF(R246="Reduced2", Summary!D5, Summary!B5)))</f>
        <v/>
      </c>
      <c r="U246" s="6">
        <f>IFERROR((O246+Q246)*T246/100,0)</f>
        <v/>
      </c>
      <c r="V246" s="6">
        <f>Q246+U246</f>
        <v/>
      </c>
      <c r="W246" s="6">
        <f>O246+V246</f>
        <v/>
      </c>
    </row>
    <row r="247">
      <c r="A247" s="4" t="n">
        <v>246</v>
      </c>
      <c r="K247" s="6">
        <f>IFERROR(E247*J247,0)</f>
        <v/>
      </c>
      <c r="O247" s="6">
        <f>SUM(L247:N247)+IF(I247="EUR",K247,K247)</f>
        <v/>
      </c>
      <c r="Q247" s="6">
        <f>IFERROR(O247*P247/100,0)</f>
        <v/>
      </c>
      <c r="R247" t="inlineStr">
        <is>
          <t>Standard</t>
        </is>
      </c>
      <c r="T247" s="6">
        <f>IF(R247="Manual", IFERROR(S247, Summary!B5), IF(R247="Reduced1", Summary!C5, IF(R247="Reduced2", Summary!D5, Summary!B5)))</f>
        <v/>
      </c>
      <c r="U247" s="6">
        <f>IFERROR((O247+Q247)*T247/100,0)</f>
        <v/>
      </c>
      <c r="V247" s="6">
        <f>Q247+U247</f>
        <v/>
      </c>
      <c r="W247" s="6">
        <f>O247+V247</f>
        <v/>
      </c>
    </row>
    <row r="248">
      <c r="A248" s="4" t="n">
        <v>247</v>
      </c>
      <c r="K248" s="6">
        <f>IFERROR(E248*J248,0)</f>
        <v/>
      </c>
      <c r="O248" s="6">
        <f>SUM(L248:N248)+IF(I248="EUR",K248,K248)</f>
        <v/>
      </c>
      <c r="Q248" s="6">
        <f>IFERROR(O248*P248/100,0)</f>
        <v/>
      </c>
      <c r="R248" t="inlineStr">
        <is>
          <t>Standard</t>
        </is>
      </c>
      <c r="T248" s="6">
        <f>IF(R248="Manual", IFERROR(S248, Summary!B5), IF(R248="Reduced1", Summary!C5, IF(R248="Reduced2", Summary!D5, Summary!B5)))</f>
        <v/>
      </c>
      <c r="U248" s="6">
        <f>IFERROR((O248+Q248)*T248/100,0)</f>
        <v/>
      </c>
      <c r="V248" s="6">
        <f>Q248+U248</f>
        <v/>
      </c>
      <c r="W248" s="6">
        <f>O248+V248</f>
        <v/>
      </c>
    </row>
    <row r="249">
      <c r="A249" s="4" t="n">
        <v>248</v>
      </c>
      <c r="K249" s="6">
        <f>IFERROR(E249*J249,0)</f>
        <v/>
      </c>
      <c r="O249" s="6">
        <f>SUM(L249:N249)+IF(I249="EUR",K249,K249)</f>
        <v/>
      </c>
      <c r="Q249" s="6">
        <f>IFERROR(O249*P249/100,0)</f>
        <v/>
      </c>
      <c r="R249" t="inlineStr">
        <is>
          <t>Standard</t>
        </is>
      </c>
      <c r="T249" s="6">
        <f>IF(R249="Manual", IFERROR(S249, Summary!B5), IF(R249="Reduced1", Summary!C5, IF(R249="Reduced2", Summary!D5, Summary!B5)))</f>
        <v/>
      </c>
      <c r="U249" s="6">
        <f>IFERROR((O249+Q249)*T249/100,0)</f>
        <v/>
      </c>
      <c r="V249" s="6">
        <f>Q249+U249</f>
        <v/>
      </c>
      <c r="W249" s="6">
        <f>O249+V249</f>
        <v/>
      </c>
    </row>
    <row r="250">
      <c r="A250" s="4" t="n">
        <v>249</v>
      </c>
      <c r="K250" s="6">
        <f>IFERROR(E250*J250,0)</f>
        <v/>
      </c>
      <c r="O250" s="6">
        <f>SUM(L250:N250)+IF(I250="EUR",K250,K250)</f>
        <v/>
      </c>
      <c r="Q250" s="6">
        <f>IFERROR(O250*P250/100,0)</f>
        <v/>
      </c>
      <c r="R250" t="inlineStr">
        <is>
          <t>Standard</t>
        </is>
      </c>
      <c r="T250" s="6">
        <f>IF(R250="Manual", IFERROR(S250, Summary!B5), IF(R250="Reduced1", Summary!C5, IF(R250="Reduced2", Summary!D5, Summary!B5)))</f>
        <v/>
      </c>
      <c r="U250" s="6">
        <f>IFERROR((O250+Q250)*T250/100,0)</f>
        <v/>
      </c>
      <c r="V250" s="6">
        <f>Q250+U250</f>
        <v/>
      </c>
      <c r="W250" s="6">
        <f>O250+V250</f>
        <v/>
      </c>
    </row>
    <row r="251">
      <c r="A251" s="4" t="n">
        <v>250</v>
      </c>
      <c r="K251" s="6">
        <f>IFERROR(E251*J251,0)</f>
        <v/>
      </c>
      <c r="O251" s="6">
        <f>SUM(L251:N251)+IF(I251="EUR",K251,K251)</f>
        <v/>
      </c>
      <c r="Q251" s="6">
        <f>IFERROR(O251*P251/100,0)</f>
        <v/>
      </c>
      <c r="R251" t="inlineStr">
        <is>
          <t>Standard</t>
        </is>
      </c>
      <c r="T251" s="6">
        <f>IF(R251="Manual", IFERROR(S251, Summary!B5), IF(R251="Reduced1", Summary!C5, IF(R251="Reduced2", Summary!D5, Summary!B5)))</f>
        <v/>
      </c>
      <c r="U251" s="6">
        <f>IFERROR((O251+Q251)*T251/100,0)</f>
        <v/>
      </c>
      <c r="V251" s="6">
        <f>Q251+U251</f>
        <v/>
      </c>
      <c r="W251" s="6">
        <f>O251+V251</f>
        <v/>
      </c>
    </row>
    <row r="252">
      <c r="A252" s="4" t="n">
        <v>251</v>
      </c>
      <c r="K252" s="6">
        <f>IFERROR(E252*J252,0)</f>
        <v/>
      </c>
      <c r="O252" s="6">
        <f>SUM(L252:N252)+IF(I252="EUR",K252,K252)</f>
        <v/>
      </c>
      <c r="Q252" s="6">
        <f>IFERROR(O252*P252/100,0)</f>
        <v/>
      </c>
      <c r="R252" t="inlineStr">
        <is>
          <t>Standard</t>
        </is>
      </c>
      <c r="T252" s="6">
        <f>IF(R252="Manual", IFERROR(S252, Summary!B5), IF(R252="Reduced1", Summary!C5, IF(R252="Reduced2", Summary!D5, Summary!B5)))</f>
        <v/>
      </c>
      <c r="U252" s="6">
        <f>IFERROR((O252+Q252)*T252/100,0)</f>
        <v/>
      </c>
      <c r="V252" s="6">
        <f>Q252+U252</f>
        <v/>
      </c>
      <c r="W252" s="6">
        <f>O252+V252</f>
        <v/>
      </c>
    </row>
    <row r="253">
      <c r="A253" s="4" t="n">
        <v>252</v>
      </c>
      <c r="K253" s="6">
        <f>IFERROR(E253*J253,0)</f>
        <v/>
      </c>
      <c r="O253" s="6">
        <f>SUM(L253:N253)+IF(I253="EUR",K253,K253)</f>
        <v/>
      </c>
      <c r="Q253" s="6">
        <f>IFERROR(O253*P253/100,0)</f>
        <v/>
      </c>
      <c r="R253" t="inlineStr">
        <is>
          <t>Standard</t>
        </is>
      </c>
      <c r="T253" s="6">
        <f>IF(R253="Manual", IFERROR(S253, Summary!B5), IF(R253="Reduced1", Summary!C5, IF(R253="Reduced2", Summary!D5, Summary!B5)))</f>
        <v/>
      </c>
      <c r="U253" s="6">
        <f>IFERROR((O253+Q253)*T253/100,0)</f>
        <v/>
      </c>
      <c r="V253" s="6">
        <f>Q253+U253</f>
        <v/>
      </c>
      <c r="W253" s="6">
        <f>O253+V253</f>
        <v/>
      </c>
    </row>
    <row r="254">
      <c r="A254" s="4" t="n">
        <v>253</v>
      </c>
      <c r="K254" s="6">
        <f>IFERROR(E254*J254,0)</f>
        <v/>
      </c>
      <c r="O254" s="6">
        <f>SUM(L254:N254)+IF(I254="EUR",K254,K254)</f>
        <v/>
      </c>
      <c r="Q254" s="6">
        <f>IFERROR(O254*P254/100,0)</f>
        <v/>
      </c>
      <c r="R254" t="inlineStr">
        <is>
          <t>Standard</t>
        </is>
      </c>
      <c r="T254" s="6">
        <f>IF(R254="Manual", IFERROR(S254, Summary!B5), IF(R254="Reduced1", Summary!C5, IF(R254="Reduced2", Summary!D5, Summary!B5)))</f>
        <v/>
      </c>
      <c r="U254" s="6">
        <f>IFERROR((O254+Q254)*T254/100,0)</f>
        <v/>
      </c>
      <c r="V254" s="6">
        <f>Q254+U254</f>
        <v/>
      </c>
      <c r="W254" s="6">
        <f>O254+V254</f>
        <v/>
      </c>
    </row>
    <row r="255">
      <c r="A255" s="4" t="n">
        <v>254</v>
      </c>
      <c r="K255" s="6">
        <f>IFERROR(E255*J255,0)</f>
        <v/>
      </c>
      <c r="O255" s="6">
        <f>SUM(L255:N255)+IF(I255="EUR",K255,K255)</f>
        <v/>
      </c>
      <c r="Q255" s="6">
        <f>IFERROR(O255*P255/100,0)</f>
        <v/>
      </c>
      <c r="R255" t="inlineStr">
        <is>
          <t>Standard</t>
        </is>
      </c>
      <c r="T255" s="6">
        <f>IF(R255="Manual", IFERROR(S255, Summary!B5), IF(R255="Reduced1", Summary!C5, IF(R255="Reduced2", Summary!D5, Summary!B5)))</f>
        <v/>
      </c>
      <c r="U255" s="6">
        <f>IFERROR((O255+Q255)*T255/100,0)</f>
        <v/>
      </c>
      <c r="V255" s="6">
        <f>Q255+U255</f>
        <v/>
      </c>
      <c r="W255" s="6">
        <f>O255+V255</f>
        <v/>
      </c>
    </row>
    <row r="256">
      <c r="A256" s="4" t="n">
        <v>255</v>
      </c>
      <c r="K256" s="6">
        <f>IFERROR(E256*J256,0)</f>
        <v/>
      </c>
      <c r="O256" s="6">
        <f>SUM(L256:N256)+IF(I256="EUR",K256,K256)</f>
        <v/>
      </c>
      <c r="Q256" s="6">
        <f>IFERROR(O256*P256/100,0)</f>
        <v/>
      </c>
      <c r="R256" t="inlineStr">
        <is>
          <t>Standard</t>
        </is>
      </c>
      <c r="T256" s="6">
        <f>IF(R256="Manual", IFERROR(S256, Summary!B5), IF(R256="Reduced1", Summary!C5, IF(R256="Reduced2", Summary!D5, Summary!B5)))</f>
        <v/>
      </c>
      <c r="U256" s="6">
        <f>IFERROR((O256+Q256)*T256/100,0)</f>
        <v/>
      </c>
      <c r="V256" s="6">
        <f>Q256+U256</f>
        <v/>
      </c>
      <c r="W256" s="6">
        <f>O256+V256</f>
        <v/>
      </c>
    </row>
    <row r="257">
      <c r="A257" s="4" t="n">
        <v>256</v>
      </c>
      <c r="K257" s="6">
        <f>IFERROR(E257*J257,0)</f>
        <v/>
      </c>
      <c r="O257" s="6">
        <f>SUM(L257:N257)+IF(I257="EUR",K257,K257)</f>
        <v/>
      </c>
      <c r="Q257" s="6">
        <f>IFERROR(O257*P257/100,0)</f>
        <v/>
      </c>
      <c r="R257" t="inlineStr">
        <is>
          <t>Standard</t>
        </is>
      </c>
      <c r="T257" s="6">
        <f>IF(R257="Manual", IFERROR(S257, Summary!B5), IF(R257="Reduced1", Summary!C5, IF(R257="Reduced2", Summary!D5, Summary!B5)))</f>
        <v/>
      </c>
      <c r="U257" s="6">
        <f>IFERROR((O257+Q257)*T257/100,0)</f>
        <v/>
      </c>
      <c r="V257" s="6">
        <f>Q257+U257</f>
        <v/>
      </c>
      <c r="W257" s="6">
        <f>O257+V257</f>
        <v/>
      </c>
    </row>
    <row r="258">
      <c r="A258" s="4" t="n">
        <v>257</v>
      </c>
      <c r="K258" s="6">
        <f>IFERROR(E258*J258,0)</f>
        <v/>
      </c>
      <c r="O258" s="6">
        <f>SUM(L258:N258)+IF(I258="EUR",K258,K258)</f>
        <v/>
      </c>
      <c r="Q258" s="6">
        <f>IFERROR(O258*P258/100,0)</f>
        <v/>
      </c>
      <c r="R258" t="inlineStr">
        <is>
          <t>Standard</t>
        </is>
      </c>
      <c r="T258" s="6">
        <f>IF(R258="Manual", IFERROR(S258, Summary!B5), IF(R258="Reduced1", Summary!C5, IF(R258="Reduced2", Summary!D5, Summary!B5)))</f>
        <v/>
      </c>
      <c r="U258" s="6">
        <f>IFERROR((O258+Q258)*T258/100,0)</f>
        <v/>
      </c>
      <c r="V258" s="6">
        <f>Q258+U258</f>
        <v/>
      </c>
      <c r="W258" s="6">
        <f>O258+V258</f>
        <v/>
      </c>
    </row>
    <row r="259">
      <c r="A259" s="4" t="n">
        <v>258</v>
      </c>
      <c r="K259" s="6">
        <f>IFERROR(E259*J259,0)</f>
        <v/>
      </c>
      <c r="O259" s="6">
        <f>SUM(L259:N259)+IF(I259="EUR",K259,K259)</f>
        <v/>
      </c>
      <c r="Q259" s="6">
        <f>IFERROR(O259*P259/100,0)</f>
        <v/>
      </c>
      <c r="R259" t="inlineStr">
        <is>
          <t>Standard</t>
        </is>
      </c>
      <c r="T259" s="6">
        <f>IF(R259="Manual", IFERROR(S259, Summary!B5), IF(R259="Reduced1", Summary!C5, IF(R259="Reduced2", Summary!D5, Summary!B5)))</f>
        <v/>
      </c>
      <c r="U259" s="6">
        <f>IFERROR((O259+Q259)*T259/100,0)</f>
        <v/>
      </c>
      <c r="V259" s="6">
        <f>Q259+U259</f>
        <v/>
      </c>
      <c r="W259" s="6">
        <f>O259+V259</f>
        <v/>
      </c>
    </row>
    <row r="260">
      <c r="A260" s="4" t="n">
        <v>259</v>
      </c>
      <c r="K260" s="6">
        <f>IFERROR(E260*J260,0)</f>
        <v/>
      </c>
      <c r="O260" s="6">
        <f>SUM(L260:N260)+IF(I260="EUR",K260,K260)</f>
        <v/>
      </c>
      <c r="Q260" s="6">
        <f>IFERROR(O260*P260/100,0)</f>
        <v/>
      </c>
      <c r="R260" t="inlineStr">
        <is>
          <t>Standard</t>
        </is>
      </c>
      <c r="T260" s="6">
        <f>IF(R260="Manual", IFERROR(S260, Summary!B5), IF(R260="Reduced1", Summary!C5, IF(R260="Reduced2", Summary!D5, Summary!B5)))</f>
        <v/>
      </c>
      <c r="U260" s="6">
        <f>IFERROR((O260+Q260)*T260/100,0)</f>
        <v/>
      </c>
      <c r="V260" s="6">
        <f>Q260+U260</f>
        <v/>
      </c>
      <c r="W260" s="6">
        <f>O260+V260</f>
        <v/>
      </c>
    </row>
    <row r="261">
      <c r="A261" s="4" t="n">
        <v>260</v>
      </c>
      <c r="K261" s="6">
        <f>IFERROR(E261*J261,0)</f>
        <v/>
      </c>
      <c r="O261" s="6">
        <f>SUM(L261:N261)+IF(I261="EUR",K261,K261)</f>
        <v/>
      </c>
      <c r="Q261" s="6">
        <f>IFERROR(O261*P261/100,0)</f>
        <v/>
      </c>
      <c r="R261" t="inlineStr">
        <is>
          <t>Standard</t>
        </is>
      </c>
      <c r="T261" s="6">
        <f>IF(R261="Manual", IFERROR(S261, Summary!B5), IF(R261="Reduced1", Summary!C5, IF(R261="Reduced2", Summary!D5, Summary!B5)))</f>
        <v/>
      </c>
      <c r="U261" s="6">
        <f>IFERROR((O261+Q261)*T261/100,0)</f>
        <v/>
      </c>
      <c r="V261" s="6">
        <f>Q261+U261</f>
        <v/>
      </c>
      <c r="W261" s="6">
        <f>O261+V261</f>
        <v/>
      </c>
    </row>
    <row r="262">
      <c r="A262" s="4" t="n">
        <v>261</v>
      </c>
      <c r="K262" s="6">
        <f>IFERROR(E262*J262,0)</f>
        <v/>
      </c>
      <c r="O262" s="6">
        <f>SUM(L262:N262)+IF(I262="EUR",K262,K262)</f>
        <v/>
      </c>
      <c r="Q262" s="6">
        <f>IFERROR(O262*P262/100,0)</f>
        <v/>
      </c>
      <c r="R262" t="inlineStr">
        <is>
          <t>Standard</t>
        </is>
      </c>
      <c r="T262" s="6">
        <f>IF(R262="Manual", IFERROR(S262, Summary!B5), IF(R262="Reduced1", Summary!C5, IF(R262="Reduced2", Summary!D5, Summary!B5)))</f>
        <v/>
      </c>
      <c r="U262" s="6">
        <f>IFERROR((O262+Q262)*T262/100,0)</f>
        <v/>
      </c>
      <c r="V262" s="6">
        <f>Q262+U262</f>
        <v/>
      </c>
      <c r="W262" s="6">
        <f>O262+V262</f>
        <v/>
      </c>
    </row>
    <row r="263">
      <c r="A263" s="4" t="n">
        <v>262</v>
      </c>
      <c r="K263" s="6">
        <f>IFERROR(E263*J263,0)</f>
        <v/>
      </c>
      <c r="O263" s="6">
        <f>SUM(L263:N263)+IF(I263="EUR",K263,K263)</f>
        <v/>
      </c>
      <c r="Q263" s="6">
        <f>IFERROR(O263*P263/100,0)</f>
        <v/>
      </c>
      <c r="R263" t="inlineStr">
        <is>
          <t>Standard</t>
        </is>
      </c>
      <c r="T263" s="6">
        <f>IF(R263="Manual", IFERROR(S263, Summary!B5), IF(R263="Reduced1", Summary!C5, IF(R263="Reduced2", Summary!D5, Summary!B5)))</f>
        <v/>
      </c>
      <c r="U263" s="6">
        <f>IFERROR((O263+Q263)*T263/100,0)</f>
        <v/>
      </c>
      <c r="V263" s="6">
        <f>Q263+U263</f>
        <v/>
      </c>
      <c r="W263" s="6">
        <f>O263+V263</f>
        <v/>
      </c>
    </row>
    <row r="264">
      <c r="A264" s="4" t="n">
        <v>263</v>
      </c>
      <c r="K264" s="6">
        <f>IFERROR(E264*J264,0)</f>
        <v/>
      </c>
      <c r="O264" s="6">
        <f>SUM(L264:N264)+IF(I264="EUR",K264,K264)</f>
        <v/>
      </c>
      <c r="Q264" s="6">
        <f>IFERROR(O264*P264/100,0)</f>
        <v/>
      </c>
      <c r="R264" t="inlineStr">
        <is>
          <t>Standard</t>
        </is>
      </c>
      <c r="T264" s="6">
        <f>IF(R264="Manual", IFERROR(S264, Summary!B5), IF(R264="Reduced1", Summary!C5, IF(R264="Reduced2", Summary!D5, Summary!B5)))</f>
        <v/>
      </c>
      <c r="U264" s="6">
        <f>IFERROR((O264+Q264)*T264/100,0)</f>
        <v/>
      </c>
      <c r="V264" s="6">
        <f>Q264+U264</f>
        <v/>
      </c>
      <c r="W264" s="6">
        <f>O264+V264</f>
        <v/>
      </c>
    </row>
    <row r="265">
      <c r="A265" s="4" t="n">
        <v>264</v>
      </c>
      <c r="K265" s="6">
        <f>IFERROR(E265*J265,0)</f>
        <v/>
      </c>
      <c r="O265" s="6">
        <f>SUM(L265:N265)+IF(I265="EUR",K265,K265)</f>
        <v/>
      </c>
      <c r="Q265" s="6">
        <f>IFERROR(O265*P265/100,0)</f>
        <v/>
      </c>
      <c r="R265" t="inlineStr">
        <is>
          <t>Standard</t>
        </is>
      </c>
      <c r="T265" s="6">
        <f>IF(R265="Manual", IFERROR(S265, Summary!B5), IF(R265="Reduced1", Summary!C5, IF(R265="Reduced2", Summary!D5, Summary!B5)))</f>
        <v/>
      </c>
      <c r="U265" s="6">
        <f>IFERROR((O265+Q265)*T265/100,0)</f>
        <v/>
      </c>
      <c r="V265" s="6">
        <f>Q265+U265</f>
        <v/>
      </c>
      <c r="W265" s="6">
        <f>O265+V265</f>
        <v/>
      </c>
    </row>
    <row r="266">
      <c r="A266" s="4" t="n">
        <v>265</v>
      </c>
      <c r="K266" s="6">
        <f>IFERROR(E266*J266,0)</f>
        <v/>
      </c>
      <c r="O266" s="6">
        <f>SUM(L266:N266)+IF(I266="EUR",K266,K266)</f>
        <v/>
      </c>
      <c r="Q266" s="6">
        <f>IFERROR(O266*P266/100,0)</f>
        <v/>
      </c>
      <c r="R266" t="inlineStr">
        <is>
          <t>Standard</t>
        </is>
      </c>
      <c r="T266" s="6">
        <f>IF(R266="Manual", IFERROR(S266, Summary!B5), IF(R266="Reduced1", Summary!C5, IF(R266="Reduced2", Summary!D5, Summary!B5)))</f>
        <v/>
      </c>
      <c r="U266" s="6">
        <f>IFERROR((O266+Q266)*T266/100,0)</f>
        <v/>
      </c>
      <c r="V266" s="6">
        <f>Q266+U266</f>
        <v/>
      </c>
      <c r="W266" s="6">
        <f>O266+V266</f>
        <v/>
      </c>
    </row>
    <row r="267">
      <c r="A267" s="4" t="n">
        <v>266</v>
      </c>
      <c r="K267" s="6">
        <f>IFERROR(E267*J267,0)</f>
        <v/>
      </c>
      <c r="O267" s="6">
        <f>SUM(L267:N267)+IF(I267="EUR",K267,K267)</f>
        <v/>
      </c>
      <c r="Q267" s="6">
        <f>IFERROR(O267*P267/100,0)</f>
        <v/>
      </c>
      <c r="R267" t="inlineStr">
        <is>
          <t>Standard</t>
        </is>
      </c>
      <c r="T267" s="6">
        <f>IF(R267="Manual", IFERROR(S267, Summary!B5), IF(R267="Reduced1", Summary!C5, IF(R267="Reduced2", Summary!D5, Summary!B5)))</f>
        <v/>
      </c>
      <c r="U267" s="6">
        <f>IFERROR((O267+Q267)*T267/100,0)</f>
        <v/>
      </c>
      <c r="V267" s="6">
        <f>Q267+U267</f>
        <v/>
      </c>
      <c r="W267" s="6">
        <f>O267+V267</f>
        <v/>
      </c>
    </row>
    <row r="268">
      <c r="A268" s="4" t="n">
        <v>267</v>
      </c>
      <c r="K268" s="6">
        <f>IFERROR(E268*J268,0)</f>
        <v/>
      </c>
      <c r="O268" s="6">
        <f>SUM(L268:N268)+IF(I268="EUR",K268,K268)</f>
        <v/>
      </c>
      <c r="Q268" s="6">
        <f>IFERROR(O268*P268/100,0)</f>
        <v/>
      </c>
      <c r="R268" t="inlineStr">
        <is>
          <t>Standard</t>
        </is>
      </c>
      <c r="T268" s="6">
        <f>IF(R268="Manual", IFERROR(S268, Summary!B5), IF(R268="Reduced1", Summary!C5, IF(R268="Reduced2", Summary!D5, Summary!B5)))</f>
        <v/>
      </c>
      <c r="U268" s="6">
        <f>IFERROR((O268+Q268)*T268/100,0)</f>
        <v/>
      </c>
      <c r="V268" s="6">
        <f>Q268+U268</f>
        <v/>
      </c>
      <c r="W268" s="6">
        <f>O268+V268</f>
        <v/>
      </c>
    </row>
    <row r="269">
      <c r="A269" s="4" t="n">
        <v>268</v>
      </c>
      <c r="K269" s="6">
        <f>IFERROR(E269*J269,0)</f>
        <v/>
      </c>
      <c r="O269" s="6">
        <f>SUM(L269:N269)+IF(I269="EUR",K269,K269)</f>
        <v/>
      </c>
      <c r="Q269" s="6">
        <f>IFERROR(O269*P269/100,0)</f>
        <v/>
      </c>
      <c r="R269" t="inlineStr">
        <is>
          <t>Standard</t>
        </is>
      </c>
      <c r="T269" s="6">
        <f>IF(R269="Manual", IFERROR(S269, Summary!B5), IF(R269="Reduced1", Summary!C5, IF(R269="Reduced2", Summary!D5, Summary!B5)))</f>
        <v/>
      </c>
      <c r="U269" s="6">
        <f>IFERROR((O269+Q269)*T269/100,0)</f>
        <v/>
      </c>
      <c r="V269" s="6">
        <f>Q269+U269</f>
        <v/>
      </c>
      <c r="W269" s="6">
        <f>O269+V269</f>
        <v/>
      </c>
    </row>
    <row r="270">
      <c r="A270" s="4" t="n">
        <v>269</v>
      </c>
      <c r="K270" s="6">
        <f>IFERROR(E270*J270,0)</f>
        <v/>
      </c>
      <c r="O270" s="6">
        <f>SUM(L270:N270)+IF(I270="EUR",K270,K270)</f>
        <v/>
      </c>
      <c r="Q270" s="6">
        <f>IFERROR(O270*P270/100,0)</f>
        <v/>
      </c>
      <c r="R270" t="inlineStr">
        <is>
          <t>Standard</t>
        </is>
      </c>
      <c r="T270" s="6">
        <f>IF(R270="Manual", IFERROR(S270, Summary!B5), IF(R270="Reduced1", Summary!C5, IF(R270="Reduced2", Summary!D5, Summary!B5)))</f>
        <v/>
      </c>
      <c r="U270" s="6">
        <f>IFERROR((O270+Q270)*T270/100,0)</f>
        <v/>
      </c>
      <c r="V270" s="6">
        <f>Q270+U270</f>
        <v/>
      </c>
      <c r="W270" s="6">
        <f>O270+V270</f>
        <v/>
      </c>
    </row>
    <row r="271">
      <c r="A271" s="4" t="n">
        <v>270</v>
      </c>
      <c r="K271" s="6">
        <f>IFERROR(E271*J271,0)</f>
        <v/>
      </c>
      <c r="O271" s="6">
        <f>SUM(L271:N271)+IF(I271="EUR",K271,K271)</f>
        <v/>
      </c>
      <c r="Q271" s="6">
        <f>IFERROR(O271*P271/100,0)</f>
        <v/>
      </c>
      <c r="R271" t="inlineStr">
        <is>
          <t>Standard</t>
        </is>
      </c>
      <c r="T271" s="6">
        <f>IF(R271="Manual", IFERROR(S271, Summary!B5), IF(R271="Reduced1", Summary!C5, IF(R271="Reduced2", Summary!D5, Summary!B5)))</f>
        <v/>
      </c>
      <c r="U271" s="6">
        <f>IFERROR((O271+Q271)*T271/100,0)</f>
        <v/>
      </c>
      <c r="V271" s="6">
        <f>Q271+U271</f>
        <v/>
      </c>
      <c r="W271" s="6">
        <f>O271+V271</f>
        <v/>
      </c>
    </row>
    <row r="272">
      <c r="A272" s="4" t="n">
        <v>271</v>
      </c>
      <c r="K272" s="6">
        <f>IFERROR(E272*J272,0)</f>
        <v/>
      </c>
      <c r="O272" s="6">
        <f>SUM(L272:N272)+IF(I272="EUR",K272,K272)</f>
        <v/>
      </c>
      <c r="Q272" s="6">
        <f>IFERROR(O272*P272/100,0)</f>
        <v/>
      </c>
      <c r="R272" t="inlineStr">
        <is>
          <t>Standard</t>
        </is>
      </c>
      <c r="T272" s="6">
        <f>IF(R272="Manual", IFERROR(S272, Summary!B5), IF(R272="Reduced1", Summary!C5, IF(R272="Reduced2", Summary!D5, Summary!B5)))</f>
        <v/>
      </c>
      <c r="U272" s="6">
        <f>IFERROR((O272+Q272)*T272/100,0)</f>
        <v/>
      </c>
      <c r="V272" s="6">
        <f>Q272+U272</f>
        <v/>
      </c>
      <c r="W272" s="6">
        <f>O272+V272</f>
        <v/>
      </c>
    </row>
    <row r="273">
      <c r="A273" s="4" t="n">
        <v>272</v>
      </c>
      <c r="K273" s="6">
        <f>IFERROR(E273*J273,0)</f>
        <v/>
      </c>
      <c r="O273" s="6">
        <f>SUM(L273:N273)+IF(I273="EUR",K273,K273)</f>
        <v/>
      </c>
      <c r="Q273" s="6">
        <f>IFERROR(O273*P273/100,0)</f>
        <v/>
      </c>
      <c r="R273" t="inlineStr">
        <is>
          <t>Standard</t>
        </is>
      </c>
      <c r="T273" s="6">
        <f>IF(R273="Manual", IFERROR(S273, Summary!B5), IF(R273="Reduced1", Summary!C5, IF(R273="Reduced2", Summary!D5, Summary!B5)))</f>
        <v/>
      </c>
      <c r="U273" s="6">
        <f>IFERROR((O273+Q273)*T273/100,0)</f>
        <v/>
      </c>
      <c r="V273" s="6">
        <f>Q273+U273</f>
        <v/>
      </c>
      <c r="W273" s="6">
        <f>O273+V273</f>
        <v/>
      </c>
    </row>
    <row r="274">
      <c r="A274" s="4" t="n">
        <v>273</v>
      </c>
      <c r="K274" s="6">
        <f>IFERROR(E274*J274,0)</f>
        <v/>
      </c>
      <c r="O274" s="6">
        <f>SUM(L274:N274)+IF(I274="EUR",K274,K274)</f>
        <v/>
      </c>
      <c r="Q274" s="6">
        <f>IFERROR(O274*P274/100,0)</f>
        <v/>
      </c>
      <c r="R274" t="inlineStr">
        <is>
          <t>Standard</t>
        </is>
      </c>
      <c r="T274" s="6">
        <f>IF(R274="Manual", IFERROR(S274, Summary!B5), IF(R274="Reduced1", Summary!C5, IF(R274="Reduced2", Summary!D5, Summary!B5)))</f>
        <v/>
      </c>
      <c r="U274" s="6">
        <f>IFERROR((O274+Q274)*T274/100,0)</f>
        <v/>
      </c>
      <c r="V274" s="6">
        <f>Q274+U274</f>
        <v/>
      </c>
      <c r="W274" s="6">
        <f>O274+V274</f>
        <v/>
      </c>
    </row>
    <row r="275">
      <c r="A275" s="4" t="n">
        <v>274</v>
      </c>
      <c r="K275" s="6">
        <f>IFERROR(E275*J275,0)</f>
        <v/>
      </c>
      <c r="O275" s="6">
        <f>SUM(L275:N275)+IF(I275="EUR",K275,K275)</f>
        <v/>
      </c>
      <c r="Q275" s="6">
        <f>IFERROR(O275*P275/100,0)</f>
        <v/>
      </c>
      <c r="R275" t="inlineStr">
        <is>
          <t>Standard</t>
        </is>
      </c>
      <c r="T275" s="6">
        <f>IF(R275="Manual", IFERROR(S275, Summary!B5), IF(R275="Reduced1", Summary!C5, IF(R275="Reduced2", Summary!D5, Summary!B5)))</f>
        <v/>
      </c>
      <c r="U275" s="6">
        <f>IFERROR((O275+Q275)*T275/100,0)</f>
        <v/>
      </c>
      <c r="V275" s="6">
        <f>Q275+U275</f>
        <v/>
      </c>
      <c r="W275" s="6">
        <f>O275+V275</f>
        <v/>
      </c>
    </row>
    <row r="276">
      <c r="A276" s="4" t="n">
        <v>275</v>
      </c>
      <c r="K276" s="6">
        <f>IFERROR(E276*J276,0)</f>
        <v/>
      </c>
      <c r="O276" s="6">
        <f>SUM(L276:N276)+IF(I276="EUR",K276,K276)</f>
        <v/>
      </c>
      <c r="Q276" s="6">
        <f>IFERROR(O276*P276/100,0)</f>
        <v/>
      </c>
      <c r="R276" t="inlineStr">
        <is>
          <t>Standard</t>
        </is>
      </c>
      <c r="T276" s="6">
        <f>IF(R276="Manual", IFERROR(S276, Summary!B5), IF(R276="Reduced1", Summary!C5, IF(R276="Reduced2", Summary!D5, Summary!B5)))</f>
        <v/>
      </c>
      <c r="U276" s="6">
        <f>IFERROR((O276+Q276)*T276/100,0)</f>
        <v/>
      </c>
      <c r="V276" s="6">
        <f>Q276+U276</f>
        <v/>
      </c>
      <c r="W276" s="6">
        <f>O276+V276</f>
        <v/>
      </c>
    </row>
    <row r="277">
      <c r="A277" s="4" t="n">
        <v>276</v>
      </c>
      <c r="K277" s="6">
        <f>IFERROR(E277*J277,0)</f>
        <v/>
      </c>
      <c r="O277" s="6">
        <f>SUM(L277:N277)+IF(I277="EUR",K277,K277)</f>
        <v/>
      </c>
      <c r="Q277" s="6">
        <f>IFERROR(O277*P277/100,0)</f>
        <v/>
      </c>
      <c r="R277" t="inlineStr">
        <is>
          <t>Standard</t>
        </is>
      </c>
      <c r="T277" s="6">
        <f>IF(R277="Manual", IFERROR(S277, Summary!B5), IF(R277="Reduced1", Summary!C5, IF(R277="Reduced2", Summary!D5, Summary!B5)))</f>
        <v/>
      </c>
      <c r="U277" s="6">
        <f>IFERROR((O277+Q277)*T277/100,0)</f>
        <v/>
      </c>
      <c r="V277" s="6">
        <f>Q277+U277</f>
        <v/>
      </c>
      <c r="W277" s="6">
        <f>O277+V277</f>
        <v/>
      </c>
    </row>
    <row r="278">
      <c r="A278" s="4" t="n">
        <v>277</v>
      </c>
      <c r="K278" s="6">
        <f>IFERROR(E278*J278,0)</f>
        <v/>
      </c>
      <c r="O278" s="6">
        <f>SUM(L278:N278)+IF(I278="EUR",K278,K278)</f>
        <v/>
      </c>
      <c r="Q278" s="6">
        <f>IFERROR(O278*P278/100,0)</f>
        <v/>
      </c>
      <c r="R278" t="inlineStr">
        <is>
          <t>Standard</t>
        </is>
      </c>
      <c r="T278" s="6">
        <f>IF(R278="Manual", IFERROR(S278, Summary!B5), IF(R278="Reduced1", Summary!C5, IF(R278="Reduced2", Summary!D5, Summary!B5)))</f>
        <v/>
      </c>
      <c r="U278" s="6">
        <f>IFERROR((O278+Q278)*T278/100,0)</f>
        <v/>
      </c>
      <c r="V278" s="6">
        <f>Q278+U278</f>
        <v/>
      </c>
      <c r="W278" s="6">
        <f>O278+V278</f>
        <v/>
      </c>
    </row>
    <row r="279">
      <c r="A279" s="4" t="n">
        <v>278</v>
      </c>
      <c r="K279" s="6">
        <f>IFERROR(E279*J279,0)</f>
        <v/>
      </c>
      <c r="O279" s="6">
        <f>SUM(L279:N279)+IF(I279="EUR",K279,K279)</f>
        <v/>
      </c>
      <c r="Q279" s="6">
        <f>IFERROR(O279*P279/100,0)</f>
        <v/>
      </c>
      <c r="R279" t="inlineStr">
        <is>
          <t>Standard</t>
        </is>
      </c>
      <c r="T279" s="6">
        <f>IF(R279="Manual", IFERROR(S279, Summary!B5), IF(R279="Reduced1", Summary!C5, IF(R279="Reduced2", Summary!D5, Summary!B5)))</f>
        <v/>
      </c>
      <c r="U279" s="6">
        <f>IFERROR((O279+Q279)*T279/100,0)</f>
        <v/>
      </c>
      <c r="V279" s="6">
        <f>Q279+U279</f>
        <v/>
      </c>
      <c r="W279" s="6">
        <f>O279+V279</f>
        <v/>
      </c>
    </row>
    <row r="280">
      <c r="A280" s="4" t="n">
        <v>279</v>
      </c>
      <c r="K280" s="6">
        <f>IFERROR(E280*J280,0)</f>
        <v/>
      </c>
      <c r="O280" s="6">
        <f>SUM(L280:N280)+IF(I280="EUR",K280,K280)</f>
        <v/>
      </c>
      <c r="Q280" s="6">
        <f>IFERROR(O280*P280/100,0)</f>
        <v/>
      </c>
      <c r="R280" t="inlineStr">
        <is>
          <t>Standard</t>
        </is>
      </c>
      <c r="T280" s="6">
        <f>IF(R280="Manual", IFERROR(S280, Summary!B5), IF(R280="Reduced1", Summary!C5, IF(R280="Reduced2", Summary!D5, Summary!B5)))</f>
        <v/>
      </c>
      <c r="U280" s="6">
        <f>IFERROR((O280+Q280)*T280/100,0)</f>
        <v/>
      </c>
      <c r="V280" s="6">
        <f>Q280+U280</f>
        <v/>
      </c>
      <c r="W280" s="6">
        <f>O280+V280</f>
        <v/>
      </c>
    </row>
    <row r="281">
      <c r="A281" s="4" t="n">
        <v>280</v>
      </c>
      <c r="K281" s="6">
        <f>IFERROR(E281*J281,0)</f>
        <v/>
      </c>
      <c r="O281" s="6">
        <f>SUM(L281:N281)+IF(I281="EUR",K281,K281)</f>
        <v/>
      </c>
      <c r="Q281" s="6">
        <f>IFERROR(O281*P281/100,0)</f>
        <v/>
      </c>
      <c r="R281" t="inlineStr">
        <is>
          <t>Standard</t>
        </is>
      </c>
      <c r="T281" s="6">
        <f>IF(R281="Manual", IFERROR(S281, Summary!B5), IF(R281="Reduced1", Summary!C5, IF(R281="Reduced2", Summary!D5, Summary!B5)))</f>
        <v/>
      </c>
      <c r="U281" s="6">
        <f>IFERROR((O281+Q281)*T281/100,0)</f>
        <v/>
      </c>
      <c r="V281" s="6">
        <f>Q281+U281</f>
        <v/>
      </c>
      <c r="W281" s="6">
        <f>O281+V281</f>
        <v/>
      </c>
    </row>
    <row r="282">
      <c r="A282" s="4" t="n">
        <v>281</v>
      </c>
      <c r="K282" s="6">
        <f>IFERROR(E282*J282,0)</f>
        <v/>
      </c>
      <c r="O282" s="6">
        <f>SUM(L282:N282)+IF(I282="EUR",K282,K282)</f>
        <v/>
      </c>
      <c r="Q282" s="6">
        <f>IFERROR(O282*P282/100,0)</f>
        <v/>
      </c>
      <c r="R282" t="inlineStr">
        <is>
          <t>Standard</t>
        </is>
      </c>
      <c r="T282" s="6">
        <f>IF(R282="Manual", IFERROR(S282, Summary!B5), IF(R282="Reduced1", Summary!C5, IF(R282="Reduced2", Summary!D5, Summary!B5)))</f>
        <v/>
      </c>
      <c r="U282" s="6">
        <f>IFERROR((O282+Q282)*T282/100,0)</f>
        <v/>
      </c>
      <c r="V282" s="6">
        <f>Q282+U282</f>
        <v/>
      </c>
      <c r="W282" s="6">
        <f>O282+V282</f>
        <v/>
      </c>
    </row>
    <row r="283">
      <c r="A283" s="4" t="n">
        <v>282</v>
      </c>
      <c r="K283" s="6">
        <f>IFERROR(E283*J283,0)</f>
        <v/>
      </c>
      <c r="O283" s="6">
        <f>SUM(L283:N283)+IF(I283="EUR",K283,K283)</f>
        <v/>
      </c>
      <c r="Q283" s="6">
        <f>IFERROR(O283*P283/100,0)</f>
        <v/>
      </c>
      <c r="R283" t="inlineStr">
        <is>
          <t>Standard</t>
        </is>
      </c>
      <c r="T283" s="6">
        <f>IF(R283="Manual", IFERROR(S283, Summary!B5), IF(R283="Reduced1", Summary!C5, IF(R283="Reduced2", Summary!D5, Summary!B5)))</f>
        <v/>
      </c>
      <c r="U283" s="6">
        <f>IFERROR((O283+Q283)*T283/100,0)</f>
        <v/>
      </c>
      <c r="V283" s="6">
        <f>Q283+U283</f>
        <v/>
      </c>
      <c r="W283" s="6">
        <f>O283+V283</f>
        <v/>
      </c>
    </row>
    <row r="284">
      <c r="A284" s="4" t="n">
        <v>283</v>
      </c>
      <c r="K284" s="6">
        <f>IFERROR(E284*J284,0)</f>
        <v/>
      </c>
      <c r="O284" s="6">
        <f>SUM(L284:N284)+IF(I284="EUR",K284,K284)</f>
        <v/>
      </c>
      <c r="Q284" s="6">
        <f>IFERROR(O284*P284/100,0)</f>
        <v/>
      </c>
      <c r="R284" t="inlineStr">
        <is>
          <t>Standard</t>
        </is>
      </c>
      <c r="T284" s="6">
        <f>IF(R284="Manual", IFERROR(S284, Summary!B5), IF(R284="Reduced1", Summary!C5, IF(R284="Reduced2", Summary!D5, Summary!B5)))</f>
        <v/>
      </c>
      <c r="U284" s="6">
        <f>IFERROR((O284+Q284)*T284/100,0)</f>
        <v/>
      </c>
      <c r="V284" s="6">
        <f>Q284+U284</f>
        <v/>
      </c>
      <c r="W284" s="6">
        <f>O284+V284</f>
        <v/>
      </c>
    </row>
    <row r="285">
      <c r="A285" s="4" t="n">
        <v>284</v>
      </c>
      <c r="K285" s="6">
        <f>IFERROR(E285*J285,0)</f>
        <v/>
      </c>
      <c r="O285" s="6">
        <f>SUM(L285:N285)+IF(I285="EUR",K285,K285)</f>
        <v/>
      </c>
      <c r="Q285" s="6">
        <f>IFERROR(O285*P285/100,0)</f>
        <v/>
      </c>
      <c r="R285" t="inlineStr">
        <is>
          <t>Standard</t>
        </is>
      </c>
      <c r="T285" s="6">
        <f>IF(R285="Manual", IFERROR(S285, Summary!B5), IF(R285="Reduced1", Summary!C5, IF(R285="Reduced2", Summary!D5, Summary!B5)))</f>
        <v/>
      </c>
      <c r="U285" s="6">
        <f>IFERROR((O285+Q285)*T285/100,0)</f>
        <v/>
      </c>
      <c r="V285" s="6">
        <f>Q285+U285</f>
        <v/>
      </c>
      <c r="W285" s="6">
        <f>O285+V285</f>
        <v/>
      </c>
    </row>
    <row r="286">
      <c r="A286" s="4" t="n">
        <v>285</v>
      </c>
      <c r="K286" s="6">
        <f>IFERROR(E286*J286,0)</f>
        <v/>
      </c>
      <c r="O286" s="6">
        <f>SUM(L286:N286)+IF(I286="EUR",K286,K286)</f>
        <v/>
      </c>
      <c r="Q286" s="6">
        <f>IFERROR(O286*P286/100,0)</f>
        <v/>
      </c>
      <c r="R286" t="inlineStr">
        <is>
          <t>Standard</t>
        </is>
      </c>
      <c r="T286" s="6">
        <f>IF(R286="Manual", IFERROR(S286, Summary!B5), IF(R286="Reduced1", Summary!C5, IF(R286="Reduced2", Summary!D5, Summary!B5)))</f>
        <v/>
      </c>
      <c r="U286" s="6">
        <f>IFERROR((O286+Q286)*T286/100,0)</f>
        <v/>
      </c>
      <c r="V286" s="6">
        <f>Q286+U286</f>
        <v/>
      </c>
      <c r="W286" s="6">
        <f>O286+V286</f>
        <v/>
      </c>
    </row>
    <row r="287">
      <c r="A287" s="4" t="n">
        <v>286</v>
      </c>
      <c r="K287" s="6">
        <f>IFERROR(E287*J287,0)</f>
        <v/>
      </c>
      <c r="O287" s="6">
        <f>SUM(L287:N287)+IF(I287="EUR",K287,K287)</f>
        <v/>
      </c>
      <c r="Q287" s="6">
        <f>IFERROR(O287*P287/100,0)</f>
        <v/>
      </c>
      <c r="R287" t="inlineStr">
        <is>
          <t>Standard</t>
        </is>
      </c>
      <c r="T287" s="6">
        <f>IF(R287="Manual", IFERROR(S287, Summary!B5), IF(R287="Reduced1", Summary!C5, IF(R287="Reduced2", Summary!D5, Summary!B5)))</f>
        <v/>
      </c>
      <c r="U287" s="6">
        <f>IFERROR((O287+Q287)*T287/100,0)</f>
        <v/>
      </c>
      <c r="V287" s="6">
        <f>Q287+U287</f>
        <v/>
      </c>
      <c r="W287" s="6">
        <f>O287+V287</f>
        <v/>
      </c>
    </row>
    <row r="288">
      <c r="A288" s="4" t="n">
        <v>287</v>
      </c>
      <c r="K288" s="6">
        <f>IFERROR(E288*J288,0)</f>
        <v/>
      </c>
      <c r="O288" s="6">
        <f>SUM(L288:N288)+IF(I288="EUR",K288,K288)</f>
        <v/>
      </c>
      <c r="Q288" s="6">
        <f>IFERROR(O288*P288/100,0)</f>
        <v/>
      </c>
      <c r="R288" t="inlineStr">
        <is>
          <t>Standard</t>
        </is>
      </c>
      <c r="T288" s="6">
        <f>IF(R288="Manual", IFERROR(S288, Summary!B5), IF(R288="Reduced1", Summary!C5, IF(R288="Reduced2", Summary!D5, Summary!B5)))</f>
        <v/>
      </c>
      <c r="U288" s="6">
        <f>IFERROR((O288+Q288)*T288/100,0)</f>
        <v/>
      </c>
      <c r="V288" s="6">
        <f>Q288+U288</f>
        <v/>
      </c>
      <c r="W288" s="6">
        <f>O288+V288</f>
        <v/>
      </c>
    </row>
    <row r="289">
      <c r="A289" s="4" t="n">
        <v>288</v>
      </c>
      <c r="K289" s="6">
        <f>IFERROR(E289*J289,0)</f>
        <v/>
      </c>
      <c r="O289" s="6">
        <f>SUM(L289:N289)+IF(I289="EUR",K289,K289)</f>
        <v/>
      </c>
      <c r="Q289" s="6">
        <f>IFERROR(O289*P289/100,0)</f>
        <v/>
      </c>
      <c r="R289" t="inlineStr">
        <is>
          <t>Standard</t>
        </is>
      </c>
      <c r="T289" s="6">
        <f>IF(R289="Manual", IFERROR(S289, Summary!B5), IF(R289="Reduced1", Summary!C5, IF(R289="Reduced2", Summary!D5, Summary!B5)))</f>
        <v/>
      </c>
      <c r="U289" s="6">
        <f>IFERROR((O289+Q289)*T289/100,0)</f>
        <v/>
      </c>
      <c r="V289" s="6">
        <f>Q289+U289</f>
        <v/>
      </c>
      <c r="W289" s="6">
        <f>O289+V289</f>
        <v/>
      </c>
    </row>
    <row r="290">
      <c r="A290" s="4" t="n">
        <v>289</v>
      </c>
      <c r="K290" s="6">
        <f>IFERROR(E290*J290,0)</f>
        <v/>
      </c>
      <c r="O290" s="6">
        <f>SUM(L290:N290)+IF(I290="EUR",K290,K290)</f>
        <v/>
      </c>
      <c r="Q290" s="6">
        <f>IFERROR(O290*P290/100,0)</f>
        <v/>
      </c>
      <c r="R290" t="inlineStr">
        <is>
          <t>Standard</t>
        </is>
      </c>
      <c r="T290" s="6">
        <f>IF(R290="Manual", IFERROR(S290, Summary!B5), IF(R290="Reduced1", Summary!C5, IF(R290="Reduced2", Summary!D5, Summary!B5)))</f>
        <v/>
      </c>
      <c r="U290" s="6">
        <f>IFERROR((O290+Q290)*T290/100,0)</f>
        <v/>
      </c>
      <c r="V290" s="6">
        <f>Q290+U290</f>
        <v/>
      </c>
      <c r="W290" s="6">
        <f>O290+V290</f>
        <v/>
      </c>
    </row>
    <row r="291">
      <c r="A291" s="4" t="n">
        <v>290</v>
      </c>
      <c r="K291" s="6">
        <f>IFERROR(E291*J291,0)</f>
        <v/>
      </c>
      <c r="O291" s="6">
        <f>SUM(L291:N291)+IF(I291="EUR",K291,K291)</f>
        <v/>
      </c>
      <c r="Q291" s="6">
        <f>IFERROR(O291*P291/100,0)</f>
        <v/>
      </c>
      <c r="R291" t="inlineStr">
        <is>
          <t>Standard</t>
        </is>
      </c>
      <c r="T291" s="6">
        <f>IF(R291="Manual", IFERROR(S291, Summary!B5), IF(R291="Reduced1", Summary!C5, IF(R291="Reduced2", Summary!D5, Summary!B5)))</f>
        <v/>
      </c>
      <c r="U291" s="6">
        <f>IFERROR((O291+Q291)*T291/100,0)</f>
        <v/>
      </c>
      <c r="V291" s="6">
        <f>Q291+U291</f>
        <v/>
      </c>
      <c r="W291" s="6">
        <f>O291+V291</f>
        <v/>
      </c>
    </row>
    <row r="292">
      <c r="A292" s="4" t="n">
        <v>291</v>
      </c>
      <c r="K292" s="6">
        <f>IFERROR(E292*J292,0)</f>
        <v/>
      </c>
      <c r="O292" s="6">
        <f>SUM(L292:N292)+IF(I292="EUR",K292,K292)</f>
        <v/>
      </c>
      <c r="Q292" s="6">
        <f>IFERROR(O292*P292/100,0)</f>
        <v/>
      </c>
      <c r="R292" t="inlineStr">
        <is>
          <t>Standard</t>
        </is>
      </c>
      <c r="T292" s="6">
        <f>IF(R292="Manual", IFERROR(S292, Summary!B5), IF(R292="Reduced1", Summary!C5, IF(R292="Reduced2", Summary!D5, Summary!B5)))</f>
        <v/>
      </c>
      <c r="U292" s="6">
        <f>IFERROR((O292+Q292)*T292/100,0)</f>
        <v/>
      </c>
      <c r="V292" s="6">
        <f>Q292+U292</f>
        <v/>
      </c>
      <c r="W292" s="6">
        <f>O292+V292</f>
        <v/>
      </c>
    </row>
    <row r="293">
      <c r="A293" s="4" t="n">
        <v>292</v>
      </c>
      <c r="K293" s="6">
        <f>IFERROR(E293*J293,0)</f>
        <v/>
      </c>
      <c r="O293" s="6">
        <f>SUM(L293:N293)+IF(I293="EUR",K293,K293)</f>
        <v/>
      </c>
      <c r="Q293" s="6">
        <f>IFERROR(O293*P293/100,0)</f>
        <v/>
      </c>
      <c r="R293" t="inlineStr">
        <is>
          <t>Standard</t>
        </is>
      </c>
      <c r="T293" s="6">
        <f>IF(R293="Manual", IFERROR(S293, Summary!B5), IF(R293="Reduced1", Summary!C5, IF(R293="Reduced2", Summary!D5, Summary!B5)))</f>
        <v/>
      </c>
      <c r="U293" s="6">
        <f>IFERROR((O293+Q293)*T293/100,0)</f>
        <v/>
      </c>
      <c r="V293" s="6">
        <f>Q293+U293</f>
        <v/>
      </c>
      <c r="W293" s="6">
        <f>O293+V293</f>
        <v/>
      </c>
    </row>
    <row r="294">
      <c r="A294" s="4" t="n">
        <v>293</v>
      </c>
      <c r="K294" s="6">
        <f>IFERROR(E294*J294,0)</f>
        <v/>
      </c>
      <c r="O294" s="6">
        <f>SUM(L294:N294)+IF(I294="EUR",K294,K294)</f>
        <v/>
      </c>
      <c r="Q294" s="6">
        <f>IFERROR(O294*P294/100,0)</f>
        <v/>
      </c>
      <c r="R294" t="inlineStr">
        <is>
          <t>Standard</t>
        </is>
      </c>
      <c r="T294" s="6">
        <f>IF(R294="Manual", IFERROR(S294, Summary!B5), IF(R294="Reduced1", Summary!C5, IF(R294="Reduced2", Summary!D5, Summary!B5)))</f>
        <v/>
      </c>
      <c r="U294" s="6">
        <f>IFERROR((O294+Q294)*T294/100,0)</f>
        <v/>
      </c>
      <c r="V294" s="6">
        <f>Q294+U294</f>
        <v/>
      </c>
      <c r="W294" s="6">
        <f>O294+V294</f>
        <v/>
      </c>
    </row>
    <row r="295">
      <c r="A295" s="4" t="n">
        <v>294</v>
      </c>
      <c r="K295" s="6">
        <f>IFERROR(E295*J295,0)</f>
        <v/>
      </c>
      <c r="O295" s="6">
        <f>SUM(L295:N295)+IF(I295="EUR",K295,K295)</f>
        <v/>
      </c>
      <c r="Q295" s="6">
        <f>IFERROR(O295*P295/100,0)</f>
        <v/>
      </c>
      <c r="R295" t="inlineStr">
        <is>
          <t>Standard</t>
        </is>
      </c>
      <c r="T295" s="6">
        <f>IF(R295="Manual", IFERROR(S295, Summary!B5), IF(R295="Reduced1", Summary!C5, IF(R295="Reduced2", Summary!D5, Summary!B5)))</f>
        <v/>
      </c>
      <c r="U295" s="6">
        <f>IFERROR((O295+Q295)*T295/100,0)</f>
        <v/>
      </c>
      <c r="V295" s="6">
        <f>Q295+U295</f>
        <v/>
      </c>
      <c r="W295" s="6">
        <f>O295+V295</f>
        <v/>
      </c>
    </row>
    <row r="296">
      <c r="A296" s="4" t="n">
        <v>295</v>
      </c>
      <c r="K296" s="6">
        <f>IFERROR(E296*J296,0)</f>
        <v/>
      </c>
      <c r="O296" s="6">
        <f>SUM(L296:N296)+IF(I296="EUR",K296,K296)</f>
        <v/>
      </c>
      <c r="Q296" s="6">
        <f>IFERROR(O296*P296/100,0)</f>
        <v/>
      </c>
      <c r="R296" t="inlineStr">
        <is>
          <t>Standard</t>
        </is>
      </c>
      <c r="T296" s="6">
        <f>IF(R296="Manual", IFERROR(S296, Summary!B5), IF(R296="Reduced1", Summary!C5, IF(R296="Reduced2", Summary!D5, Summary!B5)))</f>
        <v/>
      </c>
      <c r="U296" s="6">
        <f>IFERROR((O296+Q296)*T296/100,0)</f>
        <v/>
      </c>
      <c r="V296" s="6">
        <f>Q296+U296</f>
        <v/>
      </c>
      <c r="W296" s="6">
        <f>O296+V296</f>
        <v/>
      </c>
    </row>
    <row r="297">
      <c r="A297" s="4" t="n">
        <v>296</v>
      </c>
      <c r="K297" s="6">
        <f>IFERROR(E297*J297,0)</f>
        <v/>
      </c>
      <c r="O297" s="6">
        <f>SUM(L297:N297)+IF(I297="EUR",K297,K297)</f>
        <v/>
      </c>
      <c r="Q297" s="6">
        <f>IFERROR(O297*P297/100,0)</f>
        <v/>
      </c>
      <c r="R297" t="inlineStr">
        <is>
          <t>Standard</t>
        </is>
      </c>
      <c r="T297" s="6">
        <f>IF(R297="Manual", IFERROR(S297, Summary!B5), IF(R297="Reduced1", Summary!C5, IF(R297="Reduced2", Summary!D5, Summary!B5)))</f>
        <v/>
      </c>
      <c r="U297" s="6">
        <f>IFERROR((O297+Q297)*T297/100,0)</f>
        <v/>
      </c>
      <c r="V297" s="6">
        <f>Q297+U297</f>
        <v/>
      </c>
      <c r="W297" s="6">
        <f>O297+V297</f>
        <v/>
      </c>
    </row>
    <row r="298">
      <c r="A298" s="4" t="n">
        <v>297</v>
      </c>
      <c r="K298" s="6">
        <f>IFERROR(E298*J298,0)</f>
        <v/>
      </c>
      <c r="O298" s="6">
        <f>SUM(L298:N298)+IF(I298="EUR",K298,K298)</f>
        <v/>
      </c>
      <c r="Q298" s="6">
        <f>IFERROR(O298*P298/100,0)</f>
        <v/>
      </c>
      <c r="R298" t="inlineStr">
        <is>
          <t>Standard</t>
        </is>
      </c>
      <c r="T298" s="6">
        <f>IF(R298="Manual", IFERROR(S298, Summary!B5), IF(R298="Reduced1", Summary!C5, IF(R298="Reduced2", Summary!D5, Summary!B5)))</f>
        <v/>
      </c>
      <c r="U298" s="6">
        <f>IFERROR((O298+Q298)*T298/100,0)</f>
        <v/>
      </c>
      <c r="V298" s="6">
        <f>Q298+U298</f>
        <v/>
      </c>
      <c r="W298" s="6">
        <f>O298+V298</f>
        <v/>
      </c>
    </row>
    <row r="299">
      <c r="A299" s="4" t="n">
        <v>298</v>
      </c>
      <c r="K299" s="6">
        <f>IFERROR(E299*J299,0)</f>
        <v/>
      </c>
      <c r="O299" s="6">
        <f>SUM(L299:N299)+IF(I299="EUR",K299,K299)</f>
        <v/>
      </c>
      <c r="Q299" s="6">
        <f>IFERROR(O299*P299/100,0)</f>
        <v/>
      </c>
      <c r="R299" t="inlineStr">
        <is>
          <t>Standard</t>
        </is>
      </c>
      <c r="T299" s="6">
        <f>IF(R299="Manual", IFERROR(S299, Summary!B5), IF(R299="Reduced1", Summary!C5, IF(R299="Reduced2", Summary!D5, Summary!B5)))</f>
        <v/>
      </c>
      <c r="U299" s="6">
        <f>IFERROR((O299+Q299)*T299/100,0)</f>
        <v/>
      </c>
      <c r="V299" s="6">
        <f>Q299+U299</f>
        <v/>
      </c>
      <c r="W299" s="6">
        <f>O299+V299</f>
        <v/>
      </c>
    </row>
    <row r="300">
      <c r="A300" s="4" t="n">
        <v>299</v>
      </c>
      <c r="K300" s="6">
        <f>IFERROR(E300*J300,0)</f>
        <v/>
      </c>
      <c r="O300" s="6">
        <f>SUM(L300:N300)+IF(I300="EUR",K300,K300)</f>
        <v/>
      </c>
      <c r="Q300" s="6">
        <f>IFERROR(O300*P300/100,0)</f>
        <v/>
      </c>
      <c r="R300" t="inlineStr">
        <is>
          <t>Standard</t>
        </is>
      </c>
      <c r="T300" s="6">
        <f>IF(R300="Manual", IFERROR(S300, Summary!B5), IF(R300="Reduced1", Summary!C5, IF(R300="Reduced2", Summary!D5, Summary!B5)))</f>
        <v/>
      </c>
      <c r="U300" s="6">
        <f>IFERROR((O300+Q300)*T300/100,0)</f>
        <v/>
      </c>
      <c r="V300" s="6">
        <f>Q300+U300</f>
        <v/>
      </c>
      <c r="W300" s="6">
        <f>O300+V300</f>
        <v/>
      </c>
    </row>
    <row r="301">
      <c r="A301" s="4" t="n">
        <v>300</v>
      </c>
      <c r="K301" s="6">
        <f>IFERROR(E301*J301,0)</f>
        <v/>
      </c>
      <c r="O301" s="6">
        <f>SUM(L301:N301)+IF(I301="EUR",K301,K301)</f>
        <v/>
      </c>
      <c r="Q301" s="6">
        <f>IFERROR(O301*P301/100,0)</f>
        <v/>
      </c>
      <c r="R301" t="inlineStr">
        <is>
          <t>Standard</t>
        </is>
      </c>
      <c r="T301" s="6">
        <f>IF(R301="Manual", IFERROR(S301, Summary!B5), IF(R301="Reduced1", Summary!C5, IF(R301="Reduced2", Summary!D5, Summary!B5)))</f>
        <v/>
      </c>
      <c r="U301" s="6">
        <f>IFERROR((O301+Q301)*T301/100,0)</f>
        <v/>
      </c>
      <c r="V301" s="6">
        <f>Q301+U301</f>
        <v/>
      </c>
      <c r="W301" s="6">
        <f>O301+V301</f>
        <v/>
      </c>
    </row>
    <row r="302">
      <c r="A302" s="4" t="n">
        <v>301</v>
      </c>
      <c r="K302" s="6">
        <f>IFERROR(E302*J302,0)</f>
        <v/>
      </c>
      <c r="O302" s="6">
        <f>SUM(L302:N302)+IF(I302="EUR",K302,K302)</f>
        <v/>
      </c>
      <c r="Q302" s="6">
        <f>IFERROR(O302*P302/100,0)</f>
        <v/>
      </c>
      <c r="R302" t="inlineStr">
        <is>
          <t>Standard</t>
        </is>
      </c>
      <c r="T302" s="6">
        <f>IF(R302="Manual", IFERROR(S302, Summary!B5), IF(R302="Reduced1", Summary!C5, IF(R302="Reduced2", Summary!D5, Summary!B5)))</f>
        <v/>
      </c>
      <c r="U302" s="6">
        <f>IFERROR((O302+Q302)*T302/100,0)</f>
        <v/>
      </c>
      <c r="V302" s="6">
        <f>Q302+U302</f>
        <v/>
      </c>
      <c r="W302" s="6">
        <f>O302+V302</f>
        <v/>
      </c>
    </row>
    <row r="303">
      <c r="A303" s="4" t="n">
        <v>302</v>
      </c>
      <c r="K303" s="6">
        <f>IFERROR(E303*J303,0)</f>
        <v/>
      </c>
      <c r="O303" s="6">
        <f>SUM(L303:N303)+IF(I303="EUR",K303,K303)</f>
        <v/>
      </c>
      <c r="Q303" s="6">
        <f>IFERROR(O303*P303/100,0)</f>
        <v/>
      </c>
      <c r="R303" t="inlineStr">
        <is>
          <t>Standard</t>
        </is>
      </c>
      <c r="T303" s="6">
        <f>IF(R303="Manual", IFERROR(S303, Summary!B5), IF(R303="Reduced1", Summary!C5, IF(R303="Reduced2", Summary!D5, Summary!B5)))</f>
        <v/>
      </c>
      <c r="U303" s="6">
        <f>IFERROR((O303+Q303)*T303/100,0)</f>
        <v/>
      </c>
      <c r="V303" s="6">
        <f>Q303+U303</f>
        <v/>
      </c>
      <c r="W303" s="6">
        <f>O303+V303</f>
        <v/>
      </c>
    </row>
    <row r="304">
      <c r="A304" s="4" t="n">
        <v>303</v>
      </c>
      <c r="K304" s="6">
        <f>IFERROR(E304*J304,0)</f>
        <v/>
      </c>
      <c r="O304" s="6">
        <f>SUM(L304:N304)+IF(I304="EUR",K304,K304)</f>
        <v/>
      </c>
      <c r="Q304" s="6">
        <f>IFERROR(O304*P304/100,0)</f>
        <v/>
      </c>
      <c r="R304" t="inlineStr">
        <is>
          <t>Standard</t>
        </is>
      </c>
      <c r="T304" s="6">
        <f>IF(R304="Manual", IFERROR(S304, Summary!B5), IF(R304="Reduced1", Summary!C5, IF(R304="Reduced2", Summary!D5, Summary!B5)))</f>
        <v/>
      </c>
      <c r="U304" s="6">
        <f>IFERROR((O304+Q304)*T304/100,0)</f>
        <v/>
      </c>
      <c r="V304" s="6">
        <f>Q304+U304</f>
        <v/>
      </c>
      <c r="W304" s="6">
        <f>O304+V304</f>
        <v/>
      </c>
    </row>
    <row r="305">
      <c r="A305" s="4" t="n">
        <v>304</v>
      </c>
      <c r="K305" s="6">
        <f>IFERROR(E305*J305,0)</f>
        <v/>
      </c>
      <c r="O305" s="6">
        <f>SUM(L305:N305)+IF(I305="EUR",K305,K305)</f>
        <v/>
      </c>
      <c r="Q305" s="6">
        <f>IFERROR(O305*P305/100,0)</f>
        <v/>
      </c>
      <c r="R305" t="inlineStr">
        <is>
          <t>Standard</t>
        </is>
      </c>
      <c r="T305" s="6">
        <f>IF(R305="Manual", IFERROR(S305, Summary!B5), IF(R305="Reduced1", Summary!C5, IF(R305="Reduced2", Summary!D5, Summary!B5)))</f>
        <v/>
      </c>
      <c r="U305" s="6">
        <f>IFERROR((O305+Q305)*T305/100,0)</f>
        <v/>
      </c>
      <c r="V305" s="6">
        <f>Q305+U305</f>
        <v/>
      </c>
      <c r="W305" s="6">
        <f>O305+V305</f>
        <v/>
      </c>
    </row>
    <row r="306">
      <c r="A306" s="4" t="n">
        <v>305</v>
      </c>
      <c r="K306" s="6">
        <f>IFERROR(E306*J306,0)</f>
        <v/>
      </c>
      <c r="O306" s="6">
        <f>SUM(L306:N306)+IF(I306="EUR",K306,K306)</f>
        <v/>
      </c>
      <c r="Q306" s="6">
        <f>IFERROR(O306*P306/100,0)</f>
        <v/>
      </c>
      <c r="R306" t="inlineStr">
        <is>
          <t>Standard</t>
        </is>
      </c>
      <c r="T306" s="6">
        <f>IF(R306="Manual", IFERROR(S306, Summary!B5), IF(R306="Reduced1", Summary!C5, IF(R306="Reduced2", Summary!D5, Summary!B5)))</f>
        <v/>
      </c>
      <c r="U306" s="6">
        <f>IFERROR((O306+Q306)*T306/100,0)</f>
        <v/>
      </c>
      <c r="V306" s="6">
        <f>Q306+U306</f>
        <v/>
      </c>
      <c r="W306" s="6">
        <f>O306+V306</f>
        <v/>
      </c>
    </row>
    <row r="307">
      <c r="A307" s="4" t="n">
        <v>306</v>
      </c>
      <c r="K307" s="6">
        <f>IFERROR(E307*J307,0)</f>
        <v/>
      </c>
      <c r="O307" s="6">
        <f>SUM(L307:N307)+IF(I307="EUR",K307,K307)</f>
        <v/>
      </c>
      <c r="Q307" s="6">
        <f>IFERROR(O307*P307/100,0)</f>
        <v/>
      </c>
      <c r="R307" t="inlineStr">
        <is>
          <t>Standard</t>
        </is>
      </c>
      <c r="T307" s="6">
        <f>IF(R307="Manual", IFERROR(S307, Summary!B5), IF(R307="Reduced1", Summary!C5, IF(R307="Reduced2", Summary!D5, Summary!B5)))</f>
        <v/>
      </c>
      <c r="U307" s="6">
        <f>IFERROR((O307+Q307)*T307/100,0)</f>
        <v/>
      </c>
      <c r="V307" s="6">
        <f>Q307+U307</f>
        <v/>
      </c>
      <c r="W307" s="6">
        <f>O307+V307</f>
        <v/>
      </c>
    </row>
    <row r="308">
      <c r="A308" s="4" t="n">
        <v>307</v>
      </c>
      <c r="K308" s="6">
        <f>IFERROR(E308*J308,0)</f>
        <v/>
      </c>
      <c r="O308" s="6">
        <f>SUM(L308:N308)+IF(I308="EUR",K308,K308)</f>
        <v/>
      </c>
      <c r="Q308" s="6">
        <f>IFERROR(O308*P308/100,0)</f>
        <v/>
      </c>
      <c r="R308" t="inlineStr">
        <is>
          <t>Standard</t>
        </is>
      </c>
      <c r="T308" s="6">
        <f>IF(R308="Manual", IFERROR(S308, Summary!B5), IF(R308="Reduced1", Summary!C5, IF(R308="Reduced2", Summary!D5, Summary!B5)))</f>
        <v/>
      </c>
      <c r="U308" s="6">
        <f>IFERROR((O308+Q308)*T308/100,0)</f>
        <v/>
      </c>
      <c r="V308" s="6">
        <f>Q308+U308</f>
        <v/>
      </c>
      <c r="W308" s="6">
        <f>O308+V308</f>
        <v/>
      </c>
    </row>
    <row r="309">
      <c r="A309" s="4" t="n">
        <v>308</v>
      </c>
      <c r="K309" s="6">
        <f>IFERROR(E309*J309,0)</f>
        <v/>
      </c>
      <c r="O309" s="6">
        <f>SUM(L309:N309)+IF(I309="EUR",K309,K309)</f>
        <v/>
      </c>
      <c r="Q309" s="6">
        <f>IFERROR(O309*P309/100,0)</f>
        <v/>
      </c>
      <c r="R309" t="inlineStr">
        <is>
          <t>Standard</t>
        </is>
      </c>
      <c r="T309" s="6">
        <f>IF(R309="Manual", IFERROR(S309, Summary!B5), IF(R309="Reduced1", Summary!C5, IF(R309="Reduced2", Summary!D5, Summary!B5)))</f>
        <v/>
      </c>
      <c r="U309" s="6">
        <f>IFERROR((O309+Q309)*T309/100,0)</f>
        <v/>
      </c>
      <c r="V309" s="6">
        <f>Q309+U309</f>
        <v/>
      </c>
      <c r="W309" s="6">
        <f>O309+V309</f>
        <v/>
      </c>
    </row>
    <row r="310">
      <c r="A310" s="4" t="n">
        <v>309</v>
      </c>
      <c r="K310" s="6">
        <f>IFERROR(E310*J310,0)</f>
        <v/>
      </c>
      <c r="O310" s="6">
        <f>SUM(L310:N310)+IF(I310="EUR",K310,K310)</f>
        <v/>
      </c>
      <c r="Q310" s="6">
        <f>IFERROR(O310*P310/100,0)</f>
        <v/>
      </c>
      <c r="R310" t="inlineStr">
        <is>
          <t>Standard</t>
        </is>
      </c>
      <c r="T310" s="6">
        <f>IF(R310="Manual", IFERROR(S310, Summary!B5), IF(R310="Reduced1", Summary!C5, IF(R310="Reduced2", Summary!D5, Summary!B5)))</f>
        <v/>
      </c>
      <c r="U310" s="6">
        <f>IFERROR((O310+Q310)*T310/100,0)</f>
        <v/>
      </c>
      <c r="V310" s="6">
        <f>Q310+U310</f>
        <v/>
      </c>
      <c r="W310" s="6">
        <f>O310+V310</f>
        <v/>
      </c>
    </row>
    <row r="311">
      <c r="A311" s="4" t="n">
        <v>310</v>
      </c>
      <c r="K311" s="6">
        <f>IFERROR(E311*J311,0)</f>
        <v/>
      </c>
      <c r="O311" s="6">
        <f>SUM(L311:N311)+IF(I311="EUR",K311,K311)</f>
        <v/>
      </c>
      <c r="Q311" s="6">
        <f>IFERROR(O311*P311/100,0)</f>
        <v/>
      </c>
      <c r="R311" t="inlineStr">
        <is>
          <t>Standard</t>
        </is>
      </c>
      <c r="T311" s="6">
        <f>IF(R311="Manual", IFERROR(S311, Summary!B5), IF(R311="Reduced1", Summary!C5, IF(R311="Reduced2", Summary!D5, Summary!B5)))</f>
        <v/>
      </c>
      <c r="U311" s="6">
        <f>IFERROR((O311+Q311)*T311/100,0)</f>
        <v/>
      </c>
      <c r="V311" s="6">
        <f>Q311+U311</f>
        <v/>
      </c>
      <c r="W311" s="6">
        <f>O311+V311</f>
        <v/>
      </c>
    </row>
    <row r="312">
      <c r="A312" s="4" t="n">
        <v>311</v>
      </c>
      <c r="K312" s="6">
        <f>IFERROR(E312*J312,0)</f>
        <v/>
      </c>
      <c r="O312" s="6">
        <f>SUM(L312:N312)+IF(I312="EUR",K312,K312)</f>
        <v/>
      </c>
      <c r="Q312" s="6">
        <f>IFERROR(O312*P312/100,0)</f>
        <v/>
      </c>
      <c r="R312" t="inlineStr">
        <is>
          <t>Standard</t>
        </is>
      </c>
      <c r="T312" s="6">
        <f>IF(R312="Manual", IFERROR(S312, Summary!B5), IF(R312="Reduced1", Summary!C5, IF(R312="Reduced2", Summary!D5, Summary!B5)))</f>
        <v/>
      </c>
      <c r="U312" s="6">
        <f>IFERROR((O312+Q312)*T312/100,0)</f>
        <v/>
      </c>
      <c r="V312" s="6">
        <f>Q312+U312</f>
        <v/>
      </c>
      <c r="W312" s="6">
        <f>O312+V312</f>
        <v/>
      </c>
    </row>
    <row r="313">
      <c r="A313" s="4" t="n">
        <v>312</v>
      </c>
      <c r="K313" s="6">
        <f>IFERROR(E313*J313,0)</f>
        <v/>
      </c>
      <c r="O313" s="6">
        <f>SUM(L313:N313)+IF(I313="EUR",K313,K313)</f>
        <v/>
      </c>
      <c r="Q313" s="6">
        <f>IFERROR(O313*P313/100,0)</f>
        <v/>
      </c>
      <c r="R313" t="inlineStr">
        <is>
          <t>Standard</t>
        </is>
      </c>
      <c r="T313" s="6">
        <f>IF(R313="Manual", IFERROR(S313, Summary!B5), IF(R313="Reduced1", Summary!C5, IF(R313="Reduced2", Summary!D5, Summary!B5)))</f>
        <v/>
      </c>
      <c r="U313" s="6">
        <f>IFERROR((O313+Q313)*T313/100,0)</f>
        <v/>
      </c>
      <c r="V313" s="6">
        <f>Q313+U313</f>
        <v/>
      </c>
      <c r="W313" s="6">
        <f>O313+V313</f>
        <v/>
      </c>
    </row>
    <row r="314">
      <c r="A314" s="4" t="n">
        <v>313</v>
      </c>
      <c r="K314" s="6">
        <f>IFERROR(E314*J314,0)</f>
        <v/>
      </c>
      <c r="O314" s="6">
        <f>SUM(L314:N314)+IF(I314="EUR",K314,K314)</f>
        <v/>
      </c>
      <c r="Q314" s="6">
        <f>IFERROR(O314*P314/100,0)</f>
        <v/>
      </c>
      <c r="R314" t="inlineStr">
        <is>
          <t>Standard</t>
        </is>
      </c>
      <c r="T314" s="6">
        <f>IF(R314="Manual", IFERROR(S314, Summary!B5), IF(R314="Reduced1", Summary!C5, IF(R314="Reduced2", Summary!D5, Summary!B5)))</f>
        <v/>
      </c>
      <c r="U314" s="6">
        <f>IFERROR((O314+Q314)*T314/100,0)</f>
        <v/>
      </c>
      <c r="V314" s="6">
        <f>Q314+U314</f>
        <v/>
      </c>
      <c r="W314" s="6">
        <f>O314+V314</f>
        <v/>
      </c>
    </row>
    <row r="315">
      <c r="A315" s="4" t="n">
        <v>314</v>
      </c>
      <c r="K315" s="6">
        <f>IFERROR(E315*J315,0)</f>
        <v/>
      </c>
      <c r="O315" s="6">
        <f>SUM(L315:N315)+IF(I315="EUR",K315,K315)</f>
        <v/>
      </c>
      <c r="Q315" s="6">
        <f>IFERROR(O315*P315/100,0)</f>
        <v/>
      </c>
      <c r="R315" t="inlineStr">
        <is>
          <t>Standard</t>
        </is>
      </c>
      <c r="T315" s="6">
        <f>IF(R315="Manual", IFERROR(S315, Summary!B5), IF(R315="Reduced1", Summary!C5, IF(R315="Reduced2", Summary!D5, Summary!B5)))</f>
        <v/>
      </c>
      <c r="U315" s="6">
        <f>IFERROR((O315+Q315)*T315/100,0)</f>
        <v/>
      </c>
      <c r="V315" s="6">
        <f>Q315+U315</f>
        <v/>
      </c>
      <c r="W315" s="6">
        <f>O315+V315</f>
        <v/>
      </c>
    </row>
    <row r="316">
      <c r="A316" s="4" t="n">
        <v>315</v>
      </c>
      <c r="K316" s="6">
        <f>IFERROR(E316*J316,0)</f>
        <v/>
      </c>
      <c r="O316" s="6">
        <f>SUM(L316:N316)+IF(I316="EUR",K316,K316)</f>
        <v/>
      </c>
      <c r="Q316" s="6">
        <f>IFERROR(O316*P316/100,0)</f>
        <v/>
      </c>
      <c r="R316" t="inlineStr">
        <is>
          <t>Standard</t>
        </is>
      </c>
      <c r="T316" s="6">
        <f>IF(R316="Manual", IFERROR(S316, Summary!B5), IF(R316="Reduced1", Summary!C5, IF(R316="Reduced2", Summary!D5, Summary!B5)))</f>
        <v/>
      </c>
      <c r="U316" s="6">
        <f>IFERROR((O316+Q316)*T316/100,0)</f>
        <v/>
      </c>
      <c r="V316" s="6">
        <f>Q316+U316</f>
        <v/>
      </c>
      <c r="W316" s="6">
        <f>O316+V316</f>
        <v/>
      </c>
    </row>
    <row r="317">
      <c r="A317" s="4" t="n">
        <v>316</v>
      </c>
      <c r="K317" s="6">
        <f>IFERROR(E317*J317,0)</f>
        <v/>
      </c>
      <c r="O317" s="6">
        <f>SUM(L317:N317)+IF(I317="EUR",K317,K317)</f>
        <v/>
      </c>
      <c r="Q317" s="6">
        <f>IFERROR(O317*P317/100,0)</f>
        <v/>
      </c>
      <c r="R317" t="inlineStr">
        <is>
          <t>Standard</t>
        </is>
      </c>
      <c r="T317" s="6">
        <f>IF(R317="Manual", IFERROR(S317, Summary!B5), IF(R317="Reduced1", Summary!C5, IF(R317="Reduced2", Summary!D5, Summary!B5)))</f>
        <v/>
      </c>
      <c r="U317" s="6">
        <f>IFERROR((O317+Q317)*T317/100,0)</f>
        <v/>
      </c>
      <c r="V317" s="6">
        <f>Q317+U317</f>
        <v/>
      </c>
      <c r="W317" s="6">
        <f>O317+V317</f>
        <v/>
      </c>
    </row>
    <row r="318">
      <c r="A318" s="4" t="n">
        <v>317</v>
      </c>
      <c r="K318" s="6">
        <f>IFERROR(E318*J318,0)</f>
        <v/>
      </c>
      <c r="O318" s="6">
        <f>SUM(L318:N318)+IF(I318="EUR",K318,K318)</f>
        <v/>
      </c>
      <c r="Q318" s="6">
        <f>IFERROR(O318*P318/100,0)</f>
        <v/>
      </c>
      <c r="R318" t="inlineStr">
        <is>
          <t>Standard</t>
        </is>
      </c>
      <c r="T318" s="6">
        <f>IF(R318="Manual", IFERROR(S318, Summary!B5), IF(R318="Reduced1", Summary!C5, IF(R318="Reduced2", Summary!D5, Summary!B5)))</f>
        <v/>
      </c>
      <c r="U318" s="6">
        <f>IFERROR((O318+Q318)*T318/100,0)</f>
        <v/>
      </c>
      <c r="V318" s="6">
        <f>Q318+U318</f>
        <v/>
      </c>
      <c r="W318" s="6">
        <f>O318+V318</f>
        <v/>
      </c>
    </row>
    <row r="319">
      <c r="A319" s="4" t="n">
        <v>318</v>
      </c>
      <c r="K319" s="6">
        <f>IFERROR(E319*J319,0)</f>
        <v/>
      </c>
      <c r="O319" s="6">
        <f>SUM(L319:N319)+IF(I319="EUR",K319,K319)</f>
        <v/>
      </c>
      <c r="Q319" s="6">
        <f>IFERROR(O319*P319/100,0)</f>
        <v/>
      </c>
      <c r="R319" t="inlineStr">
        <is>
          <t>Standard</t>
        </is>
      </c>
      <c r="T319" s="6">
        <f>IF(R319="Manual", IFERROR(S319, Summary!B5), IF(R319="Reduced1", Summary!C5, IF(R319="Reduced2", Summary!D5, Summary!B5)))</f>
        <v/>
      </c>
      <c r="U319" s="6">
        <f>IFERROR((O319+Q319)*T319/100,0)</f>
        <v/>
      </c>
      <c r="V319" s="6">
        <f>Q319+U319</f>
        <v/>
      </c>
      <c r="W319" s="6">
        <f>O319+V319</f>
        <v/>
      </c>
    </row>
    <row r="320">
      <c r="A320" s="4" t="n">
        <v>319</v>
      </c>
      <c r="K320" s="6">
        <f>IFERROR(E320*J320,0)</f>
        <v/>
      </c>
      <c r="O320" s="6">
        <f>SUM(L320:N320)+IF(I320="EUR",K320,K320)</f>
        <v/>
      </c>
      <c r="Q320" s="6">
        <f>IFERROR(O320*P320/100,0)</f>
        <v/>
      </c>
      <c r="R320" t="inlineStr">
        <is>
          <t>Standard</t>
        </is>
      </c>
      <c r="T320" s="6">
        <f>IF(R320="Manual", IFERROR(S320, Summary!B5), IF(R320="Reduced1", Summary!C5, IF(R320="Reduced2", Summary!D5, Summary!B5)))</f>
        <v/>
      </c>
      <c r="U320" s="6">
        <f>IFERROR((O320+Q320)*T320/100,0)</f>
        <v/>
      </c>
      <c r="V320" s="6">
        <f>Q320+U320</f>
        <v/>
      </c>
      <c r="W320" s="6">
        <f>O320+V320</f>
        <v/>
      </c>
    </row>
    <row r="321">
      <c r="A321" s="4" t="n">
        <v>320</v>
      </c>
      <c r="K321" s="6">
        <f>IFERROR(E321*J321,0)</f>
        <v/>
      </c>
      <c r="O321" s="6">
        <f>SUM(L321:N321)+IF(I321="EUR",K321,K321)</f>
        <v/>
      </c>
      <c r="Q321" s="6">
        <f>IFERROR(O321*P321/100,0)</f>
        <v/>
      </c>
      <c r="R321" t="inlineStr">
        <is>
          <t>Standard</t>
        </is>
      </c>
      <c r="T321" s="6">
        <f>IF(R321="Manual", IFERROR(S321, Summary!B5), IF(R321="Reduced1", Summary!C5, IF(R321="Reduced2", Summary!D5, Summary!B5)))</f>
        <v/>
      </c>
      <c r="U321" s="6">
        <f>IFERROR((O321+Q321)*T321/100,0)</f>
        <v/>
      </c>
      <c r="V321" s="6">
        <f>Q321+U321</f>
        <v/>
      </c>
      <c r="W321" s="6">
        <f>O321+V321</f>
        <v/>
      </c>
    </row>
    <row r="322">
      <c r="A322" s="4" t="n">
        <v>321</v>
      </c>
      <c r="K322" s="6">
        <f>IFERROR(E322*J322,0)</f>
        <v/>
      </c>
      <c r="O322" s="6">
        <f>SUM(L322:N322)+IF(I322="EUR",K322,K322)</f>
        <v/>
      </c>
      <c r="Q322" s="6">
        <f>IFERROR(O322*P322/100,0)</f>
        <v/>
      </c>
      <c r="R322" t="inlineStr">
        <is>
          <t>Standard</t>
        </is>
      </c>
      <c r="T322" s="6">
        <f>IF(R322="Manual", IFERROR(S322, Summary!B5), IF(R322="Reduced1", Summary!C5, IF(R322="Reduced2", Summary!D5, Summary!B5)))</f>
        <v/>
      </c>
      <c r="U322" s="6">
        <f>IFERROR((O322+Q322)*T322/100,0)</f>
        <v/>
      </c>
      <c r="V322" s="6">
        <f>Q322+U322</f>
        <v/>
      </c>
      <c r="W322" s="6">
        <f>O322+V322</f>
        <v/>
      </c>
    </row>
    <row r="323">
      <c r="A323" s="4" t="n">
        <v>322</v>
      </c>
      <c r="K323" s="6">
        <f>IFERROR(E323*J323,0)</f>
        <v/>
      </c>
      <c r="O323" s="6">
        <f>SUM(L323:N323)+IF(I323="EUR",K323,K323)</f>
        <v/>
      </c>
      <c r="Q323" s="6">
        <f>IFERROR(O323*P323/100,0)</f>
        <v/>
      </c>
      <c r="R323" t="inlineStr">
        <is>
          <t>Standard</t>
        </is>
      </c>
      <c r="T323" s="6">
        <f>IF(R323="Manual", IFERROR(S323, Summary!B5), IF(R323="Reduced1", Summary!C5, IF(R323="Reduced2", Summary!D5, Summary!B5)))</f>
        <v/>
      </c>
      <c r="U323" s="6">
        <f>IFERROR((O323+Q323)*T323/100,0)</f>
        <v/>
      </c>
      <c r="V323" s="6">
        <f>Q323+U323</f>
        <v/>
      </c>
      <c r="W323" s="6">
        <f>O323+V323</f>
        <v/>
      </c>
    </row>
    <row r="324">
      <c r="A324" s="4" t="n">
        <v>323</v>
      </c>
      <c r="K324" s="6">
        <f>IFERROR(E324*J324,0)</f>
        <v/>
      </c>
      <c r="O324" s="6">
        <f>SUM(L324:N324)+IF(I324="EUR",K324,K324)</f>
        <v/>
      </c>
      <c r="Q324" s="6">
        <f>IFERROR(O324*P324/100,0)</f>
        <v/>
      </c>
      <c r="R324" t="inlineStr">
        <is>
          <t>Standard</t>
        </is>
      </c>
      <c r="T324" s="6">
        <f>IF(R324="Manual", IFERROR(S324, Summary!B5), IF(R324="Reduced1", Summary!C5, IF(R324="Reduced2", Summary!D5, Summary!B5)))</f>
        <v/>
      </c>
      <c r="U324" s="6">
        <f>IFERROR((O324+Q324)*T324/100,0)</f>
        <v/>
      </c>
      <c r="V324" s="6">
        <f>Q324+U324</f>
        <v/>
      </c>
      <c r="W324" s="6">
        <f>O324+V324</f>
        <v/>
      </c>
    </row>
    <row r="325">
      <c r="A325" s="4" t="n">
        <v>324</v>
      </c>
      <c r="K325" s="6">
        <f>IFERROR(E325*J325,0)</f>
        <v/>
      </c>
      <c r="O325" s="6">
        <f>SUM(L325:N325)+IF(I325="EUR",K325,K325)</f>
        <v/>
      </c>
      <c r="Q325" s="6">
        <f>IFERROR(O325*P325/100,0)</f>
        <v/>
      </c>
      <c r="R325" t="inlineStr">
        <is>
          <t>Standard</t>
        </is>
      </c>
      <c r="T325" s="6">
        <f>IF(R325="Manual", IFERROR(S325, Summary!B5), IF(R325="Reduced1", Summary!C5, IF(R325="Reduced2", Summary!D5, Summary!B5)))</f>
        <v/>
      </c>
      <c r="U325" s="6">
        <f>IFERROR((O325+Q325)*T325/100,0)</f>
        <v/>
      </c>
      <c r="V325" s="6">
        <f>Q325+U325</f>
        <v/>
      </c>
      <c r="W325" s="6">
        <f>O325+V325</f>
        <v/>
      </c>
    </row>
    <row r="326">
      <c r="A326" s="4" t="n">
        <v>325</v>
      </c>
      <c r="K326" s="6">
        <f>IFERROR(E326*J326,0)</f>
        <v/>
      </c>
      <c r="O326" s="6">
        <f>SUM(L326:N326)+IF(I326="EUR",K326,K326)</f>
        <v/>
      </c>
      <c r="Q326" s="6">
        <f>IFERROR(O326*P326/100,0)</f>
        <v/>
      </c>
      <c r="R326" t="inlineStr">
        <is>
          <t>Standard</t>
        </is>
      </c>
      <c r="T326" s="6">
        <f>IF(R326="Manual", IFERROR(S326, Summary!B5), IF(R326="Reduced1", Summary!C5, IF(R326="Reduced2", Summary!D5, Summary!B5)))</f>
        <v/>
      </c>
      <c r="U326" s="6">
        <f>IFERROR((O326+Q326)*T326/100,0)</f>
        <v/>
      </c>
      <c r="V326" s="6">
        <f>Q326+U326</f>
        <v/>
      </c>
      <c r="W326" s="6">
        <f>O326+V326</f>
        <v/>
      </c>
    </row>
    <row r="327">
      <c r="A327" s="4" t="n">
        <v>326</v>
      </c>
      <c r="K327" s="6">
        <f>IFERROR(E327*J327,0)</f>
        <v/>
      </c>
      <c r="O327" s="6">
        <f>SUM(L327:N327)+IF(I327="EUR",K327,K327)</f>
        <v/>
      </c>
      <c r="Q327" s="6">
        <f>IFERROR(O327*P327/100,0)</f>
        <v/>
      </c>
      <c r="R327" t="inlineStr">
        <is>
          <t>Standard</t>
        </is>
      </c>
      <c r="T327" s="6">
        <f>IF(R327="Manual", IFERROR(S327, Summary!B5), IF(R327="Reduced1", Summary!C5, IF(R327="Reduced2", Summary!D5, Summary!B5)))</f>
        <v/>
      </c>
      <c r="U327" s="6">
        <f>IFERROR((O327+Q327)*T327/100,0)</f>
        <v/>
      </c>
      <c r="V327" s="6">
        <f>Q327+U327</f>
        <v/>
      </c>
      <c r="W327" s="6">
        <f>O327+V327</f>
        <v/>
      </c>
    </row>
    <row r="328">
      <c r="A328" s="4" t="n">
        <v>327</v>
      </c>
      <c r="K328" s="6">
        <f>IFERROR(E328*J328,0)</f>
        <v/>
      </c>
      <c r="O328" s="6">
        <f>SUM(L328:N328)+IF(I328="EUR",K328,K328)</f>
        <v/>
      </c>
      <c r="Q328" s="6">
        <f>IFERROR(O328*P328/100,0)</f>
        <v/>
      </c>
      <c r="R328" t="inlineStr">
        <is>
          <t>Standard</t>
        </is>
      </c>
      <c r="T328" s="6">
        <f>IF(R328="Manual", IFERROR(S328, Summary!B5), IF(R328="Reduced1", Summary!C5, IF(R328="Reduced2", Summary!D5, Summary!B5)))</f>
        <v/>
      </c>
      <c r="U328" s="6">
        <f>IFERROR((O328+Q328)*T328/100,0)</f>
        <v/>
      </c>
      <c r="V328" s="6">
        <f>Q328+U328</f>
        <v/>
      </c>
      <c r="W328" s="6">
        <f>O328+V328</f>
        <v/>
      </c>
    </row>
    <row r="329">
      <c r="A329" s="4" t="n">
        <v>328</v>
      </c>
      <c r="K329" s="6">
        <f>IFERROR(E329*J329,0)</f>
        <v/>
      </c>
      <c r="O329" s="6">
        <f>SUM(L329:N329)+IF(I329="EUR",K329,K329)</f>
        <v/>
      </c>
      <c r="Q329" s="6">
        <f>IFERROR(O329*P329/100,0)</f>
        <v/>
      </c>
      <c r="R329" t="inlineStr">
        <is>
          <t>Standard</t>
        </is>
      </c>
      <c r="T329" s="6">
        <f>IF(R329="Manual", IFERROR(S329, Summary!B5), IF(R329="Reduced1", Summary!C5, IF(R329="Reduced2", Summary!D5, Summary!B5)))</f>
        <v/>
      </c>
      <c r="U329" s="6">
        <f>IFERROR((O329+Q329)*T329/100,0)</f>
        <v/>
      </c>
      <c r="V329" s="6">
        <f>Q329+U329</f>
        <v/>
      </c>
      <c r="W329" s="6">
        <f>O329+V329</f>
        <v/>
      </c>
    </row>
    <row r="330">
      <c r="A330" s="4" t="n">
        <v>329</v>
      </c>
      <c r="K330" s="6">
        <f>IFERROR(E330*J330,0)</f>
        <v/>
      </c>
      <c r="O330" s="6">
        <f>SUM(L330:N330)+IF(I330="EUR",K330,K330)</f>
        <v/>
      </c>
      <c r="Q330" s="6">
        <f>IFERROR(O330*P330/100,0)</f>
        <v/>
      </c>
      <c r="R330" t="inlineStr">
        <is>
          <t>Standard</t>
        </is>
      </c>
      <c r="T330" s="6">
        <f>IF(R330="Manual", IFERROR(S330, Summary!B5), IF(R330="Reduced1", Summary!C5, IF(R330="Reduced2", Summary!D5, Summary!B5)))</f>
        <v/>
      </c>
      <c r="U330" s="6">
        <f>IFERROR((O330+Q330)*T330/100,0)</f>
        <v/>
      </c>
      <c r="V330" s="6">
        <f>Q330+U330</f>
        <v/>
      </c>
      <c r="W330" s="6">
        <f>O330+V330</f>
        <v/>
      </c>
    </row>
    <row r="331">
      <c r="A331" s="4" t="n">
        <v>330</v>
      </c>
      <c r="K331" s="6">
        <f>IFERROR(E331*J331,0)</f>
        <v/>
      </c>
      <c r="O331" s="6">
        <f>SUM(L331:N331)+IF(I331="EUR",K331,K331)</f>
        <v/>
      </c>
      <c r="Q331" s="6">
        <f>IFERROR(O331*P331/100,0)</f>
        <v/>
      </c>
      <c r="R331" t="inlineStr">
        <is>
          <t>Standard</t>
        </is>
      </c>
      <c r="T331" s="6">
        <f>IF(R331="Manual", IFERROR(S331, Summary!B5), IF(R331="Reduced1", Summary!C5, IF(R331="Reduced2", Summary!D5, Summary!B5)))</f>
        <v/>
      </c>
      <c r="U331" s="6">
        <f>IFERROR((O331+Q331)*T331/100,0)</f>
        <v/>
      </c>
      <c r="V331" s="6">
        <f>Q331+U331</f>
        <v/>
      </c>
      <c r="W331" s="6">
        <f>O331+V331</f>
        <v/>
      </c>
    </row>
    <row r="332">
      <c r="A332" s="4" t="n">
        <v>331</v>
      </c>
      <c r="K332" s="6">
        <f>IFERROR(E332*J332,0)</f>
        <v/>
      </c>
      <c r="O332" s="6">
        <f>SUM(L332:N332)+IF(I332="EUR",K332,K332)</f>
        <v/>
      </c>
      <c r="Q332" s="6">
        <f>IFERROR(O332*P332/100,0)</f>
        <v/>
      </c>
      <c r="R332" t="inlineStr">
        <is>
          <t>Standard</t>
        </is>
      </c>
      <c r="T332" s="6">
        <f>IF(R332="Manual", IFERROR(S332, Summary!B5), IF(R332="Reduced1", Summary!C5, IF(R332="Reduced2", Summary!D5, Summary!B5)))</f>
        <v/>
      </c>
      <c r="U332" s="6">
        <f>IFERROR((O332+Q332)*T332/100,0)</f>
        <v/>
      </c>
      <c r="V332" s="6">
        <f>Q332+U332</f>
        <v/>
      </c>
      <c r="W332" s="6">
        <f>O332+V332</f>
        <v/>
      </c>
    </row>
    <row r="333">
      <c r="A333" s="4" t="n">
        <v>332</v>
      </c>
      <c r="K333" s="6">
        <f>IFERROR(E333*J333,0)</f>
        <v/>
      </c>
      <c r="O333" s="6">
        <f>SUM(L333:N333)+IF(I333="EUR",K333,K333)</f>
        <v/>
      </c>
      <c r="Q333" s="6">
        <f>IFERROR(O333*P333/100,0)</f>
        <v/>
      </c>
      <c r="R333" t="inlineStr">
        <is>
          <t>Standard</t>
        </is>
      </c>
      <c r="T333" s="6">
        <f>IF(R333="Manual", IFERROR(S333, Summary!B5), IF(R333="Reduced1", Summary!C5, IF(R333="Reduced2", Summary!D5, Summary!B5)))</f>
        <v/>
      </c>
      <c r="U333" s="6">
        <f>IFERROR((O333+Q333)*T333/100,0)</f>
        <v/>
      </c>
      <c r="V333" s="6">
        <f>Q333+U333</f>
        <v/>
      </c>
      <c r="W333" s="6">
        <f>O333+V333</f>
        <v/>
      </c>
    </row>
    <row r="334">
      <c r="A334" s="4" t="n">
        <v>333</v>
      </c>
      <c r="K334" s="6">
        <f>IFERROR(E334*J334,0)</f>
        <v/>
      </c>
      <c r="O334" s="6">
        <f>SUM(L334:N334)+IF(I334="EUR",K334,K334)</f>
        <v/>
      </c>
      <c r="Q334" s="6">
        <f>IFERROR(O334*P334/100,0)</f>
        <v/>
      </c>
      <c r="R334" t="inlineStr">
        <is>
          <t>Standard</t>
        </is>
      </c>
      <c r="T334" s="6">
        <f>IF(R334="Manual", IFERROR(S334, Summary!B5), IF(R334="Reduced1", Summary!C5, IF(R334="Reduced2", Summary!D5, Summary!B5)))</f>
        <v/>
      </c>
      <c r="U334" s="6">
        <f>IFERROR((O334+Q334)*T334/100,0)</f>
        <v/>
      </c>
      <c r="V334" s="6">
        <f>Q334+U334</f>
        <v/>
      </c>
      <c r="W334" s="6">
        <f>O334+V334</f>
        <v/>
      </c>
    </row>
    <row r="335">
      <c r="A335" s="4" t="n">
        <v>334</v>
      </c>
      <c r="K335" s="6">
        <f>IFERROR(E335*J335,0)</f>
        <v/>
      </c>
      <c r="O335" s="6">
        <f>SUM(L335:N335)+IF(I335="EUR",K335,K335)</f>
        <v/>
      </c>
      <c r="Q335" s="6">
        <f>IFERROR(O335*P335/100,0)</f>
        <v/>
      </c>
      <c r="R335" t="inlineStr">
        <is>
          <t>Standard</t>
        </is>
      </c>
      <c r="T335" s="6">
        <f>IF(R335="Manual", IFERROR(S335, Summary!B5), IF(R335="Reduced1", Summary!C5, IF(R335="Reduced2", Summary!D5, Summary!B5)))</f>
        <v/>
      </c>
      <c r="U335" s="6">
        <f>IFERROR((O335+Q335)*T335/100,0)</f>
        <v/>
      </c>
      <c r="V335" s="6">
        <f>Q335+U335</f>
        <v/>
      </c>
      <c r="W335" s="6">
        <f>O335+V335</f>
        <v/>
      </c>
    </row>
    <row r="336">
      <c r="A336" s="4" t="n">
        <v>335</v>
      </c>
      <c r="K336" s="6">
        <f>IFERROR(E336*J336,0)</f>
        <v/>
      </c>
      <c r="O336" s="6">
        <f>SUM(L336:N336)+IF(I336="EUR",K336,K336)</f>
        <v/>
      </c>
      <c r="Q336" s="6">
        <f>IFERROR(O336*P336/100,0)</f>
        <v/>
      </c>
      <c r="R336" t="inlineStr">
        <is>
          <t>Standard</t>
        </is>
      </c>
      <c r="T336" s="6">
        <f>IF(R336="Manual", IFERROR(S336, Summary!B5), IF(R336="Reduced1", Summary!C5, IF(R336="Reduced2", Summary!D5, Summary!B5)))</f>
        <v/>
      </c>
      <c r="U336" s="6">
        <f>IFERROR((O336+Q336)*T336/100,0)</f>
        <v/>
      </c>
      <c r="V336" s="6">
        <f>Q336+U336</f>
        <v/>
      </c>
      <c r="W336" s="6">
        <f>O336+V336</f>
        <v/>
      </c>
    </row>
    <row r="337">
      <c r="A337" s="4" t="n">
        <v>336</v>
      </c>
      <c r="K337" s="6">
        <f>IFERROR(E337*J337,0)</f>
        <v/>
      </c>
      <c r="O337" s="6">
        <f>SUM(L337:N337)+IF(I337="EUR",K337,K337)</f>
        <v/>
      </c>
      <c r="Q337" s="6">
        <f>IFERROR(O337*P337/100,0)</f>
        <v/>
      </c>
      <c r="R337" t="inlineStr">
        <is>
          <t>Standard</t>
        </is>
      </c>
      <c r="T337" s="6">
        <f>IF(R337="Manual", IFERROR(S337, Summary!B5), IF(R337="Reduced1", Summary!C5, IF(R337="Reduced2", Summary!D5, Summary!B5)))</f>
        <v/>
      </c>
      <c r="U337" s="6">
        <f>IFERROR((O337+Q337)*T337/100,0)</f>
        <v/>
      </c>
      <c r="V337" s="6">
        <f>Q337+U337</f>
        <v/>
      </c>
      <c r="W337" s="6">
        <f>O337+V337</f>
        <v/>
      </c>
    </row>
    <row r="338">
      <c r="A338" s="4" t="n">
        <v>337</v>
      </c>
      <c r="K338" s="6">
        <f>IFERROR(E338*J338,0)</f>
        <v/>
      </c>
      <c r="O338" s="6">
        <f>SUM(L338:N338)+IF(I338="EUR",K338,K338)</f>
        <v/>
      </c>
      <c r="Q338" s="6">
        <f>IFERROR(O338*P338/100,0)</f>
        <v/>
      </c>
      <c r="R338" t="inlineStr">
        <is>
          <t>Standard</t>
        </is>
      </c>
      <c r="T338" s="6">
        <f>IF(R338="Manual", IFERROR(S338, Summary!B5), IF(R338="Reduced1", Summary!C5, IF(R338="Reduced2", Summary!D5, Summary!B5)))</f>
        <v/>
      </c>
      <c r="U338" s="6">
        <f>IFERROR((O338+Q338)*T338/100,0)</f>
        <v/>
      </c>
      <c r="V338" s="6">
        <f>Q338+U338</f>
        <v/>
      </c>
      <c r="W338" s="6">
        <f>O338+V338</f>
        <v/>
      </c>
    </row>
    <row r="339">
      <c r="A339" s="4" t="n">
        <v>338</v>
      </c>
      <c r="K339" s="6">
        <f>IFERROR(E339*J339,0)</f>
        <v/>
      </c>
      <c r="O339" s="6">
        <f>SUM(L339:N339)+IF(I339="EUR",K339,K339)</f>
        <v/>
      </c>
      <c r="Q339" s="6">
        <f>IFERROR(O339*P339/100,0)</f>
        <v/>
      </c>
      <c r="R339" t="inlineStr">
        <is>
          <t>Standard</t>
        </is>
      </c>
      <c r="T339" s="6">
        <f>IF(R339="Manual", IFERROR(S339, Summary!B5), IF(R339="Reduced1", Summary!C5, IF(R339="Reduced2", Summary!D5, Summary!B5)))</f>
        <v/>
      </c>
      <c r="U339" s="6">
        <f>IFERROR((O339+Q339)*T339/100,0)</f>
        <v/>
      </c>
      <c r="V339" s="6">
        <f>Q339+U339</f>
        <v/>
      </c>
      <c r="W339" s="6">
        <f>O339+V339</f>
        <v/>
      </c>
    </row>
    <row r="340">
      <c r="A340" s="4" t="n">
        <v>339</v>
      </c>
      <c r="K340" s="6">
        <f>IFERROR(E340*J340,0)</f>
        <v/>
      </c>
      <c r="O340" s="6">
        <f>SUM(L340:N340)+IF(I340="EUR",K340,K340)</f>
        <v/>
      </c>
      <c r="Q340" s="6">
        <f>IFERROR(O340*P340/100,0)</f>
        <v/>
      </c>
      <c r="R340" t="inlineStr">
        <is>
          <t>Standard</t>
        </is>
      </c>
      <c r="T340" s="6">
        <f>IF(R340="Manual", IFERROR(S340, Summary!B5), IF(R340="Reduced1", Summary!C5, IF(R340="Reduced2", Summary!D5, Summary!B5)))</f>
        <v/>
      </c>
      <c r="U340" s="6">
        <f>IFERROR((O340+Q340)*T340/100,0)</f>
        <v/>
      </c>
      <c r="V340" s="6">
        <f>Q340+U340</f>
        <v/>
      </c>
      <c r="W340" s="6">
        <f>O340+V340</f>
        <v/>
      </c>
    </row>
    <row r="341">
      <c r="A341" s="4" t="n">
        <v>340</v>
      </c>
      <c r="K341" s="6">
        <f>IFERROR(E341*J341,0)</f>
        <v/>
      </c>
      <c r="O341" s="6">
        <f>SUM(L341:N341)+IF(I341="EUR",K341,K341)</f>
        <v/>
      </c>
      <c r="Q341" s="6">
        <f>IFERROR(O341*P341/100,0)</f>
        <v/>
      </c>
      <c r="R341" t="inlineStr">
        <is>
          <t>Standard</t>
        </is>
      </c>
      <c r="T341" s="6">
        <f>IF(R341="Manual", IFERROR(S341, Summary!B5), IF(R341="Reduced1", Summary!C5, IF(R341="Reduced2", Summary!D5, Summary!B5)))</f>
        <v/>
      </c>
      <c r="U341" s="6">
        <f>IFERROR((O341+Q341)*T341/100,0)</f>
        <v/>
      </c>
      <c r="V341" s="6">
        <f>Q341+U341</f>
        <v/>
      </c>
      <c r="W341" s="6">
        <f>O341+V341</f>
        <v/>
      </c>
    </row>
    <row r="342">
      <c r="A342" s="4" t="n">
        <v>341</v>
      </c>
      <c r="K342" s="6">
        <f>IFERROR(E342*J342,0)</f>
        <v/>
      </c>
      <c r="O342" s="6">
        <f>SUM(L342:N342)+IF(I342="EUR",K342,K342)</f>
        <v/>
      </c>
      <c r="Q342" s="6">
        <f>IFERROR(O342*P342/100,0)</f>
        <v/>
      </c>
      <c r="R342" t="inlineStr">
        <is>
          <t>Standard</t>
        </is>
      </c>
      <c r="T342" s="6">
        <f>IF(R342="Manual", IFERROR(S342, Summary!B5), IF(R342="Reduced1", Summary!C5, IF(R342="Reduced2", Summary!D5, Summary!B5)))</f>
        <v/>
      </c>
      <c r="U342" s="6">
        <f>IFERROR((O342+Q342)*T342/100,0)</f>
        <v/>
      </c>
      <c r="V342" s="6">
        <f>Q342+U342</f>
        <v/>
      </c>
      <c r="W342" s="6">
        <f>O342+V342</f>
        <v/>
      </c>
    </row>
    <row r="343">
      <c r="A343" s="4" t="n">
        <v>342</v>
      </c>
      <c r="K343" s="6">
        <f>IFERROR(E343*J343,0)</f>
        <v/>
      </c>
      <c r="O343" s="6">
        <f>SUM(L343:N343)+IF(I343="EUR",K343,K343)</f>
        <v/>
      </c>
      <c r="Q343" s="6">
        <f>IFERROR(O343*P343/100,0)</f>
        <v/>
      </c>
      <c r="R343" t="inlineStr">
        <is>
          <t>Standard</t>
        </is>
      </c>
      <c r="T343" s="6">
        <f>IF(R343="Manual", IFERROR(S343, Summary!B5), IF(R343="Reduced1", Summary!C5, IF(R343="Reduced2", Summary!D5, Summary!B5)))</f>
        <v/>
      </c>
      <c r="U343" s="6">
        <f>IFERROR((O343+Q343)*T343/100,0)</f>
        <v/>
      </c>
      <c r="V343" s="6">
        <f>Q343+U343</f>
        <v/>
      </c>
      <c r="W343" s="6">
        <f>O343+V343</f>
        <v/>
      </c>
    </row>
    <row r="344">
      <c r="A344" s="4" t="n">
        <v>343</v>
      </c>
      <c r="K344" s="6">
        <f>IFERROR(E344*J344,0)</f>
        <v/>
      </c>
      <c r="O344" s="6">
        <f>SUM(L344:N344)+IF(I344="EUR",K344,K344)</f>
        <v/>
      </c>
      <c r="Q344" s="6">
        <f>IFERROR(O344*P344/100,0)</f>
        <v/>
      </c>
      <c r="R344" t="inlineStr">
        <is>
          <t>Standard</t>
        </is>
      </c>
      <c r="T344" s="6">
        <f>IF(R344="Manual", IFERROR(S344, Summary!B5), IF(R344="Reduced1", Summary!C5, IF(R344="Reduced2", Summary!D5, Summary!B5)))</f>
        <v/>
      </c>
      <c r="U344" s="6">
        <f>IFERROR((O344+Q344)*T344/100,0)</f>
        <v/>
      </c>
      <c r="V344" s="6">
        <f>Q344+U344</f>
        <v/>
      </c>
      <c r="W344" s="6">
        <f>O344+V344</f>
        <v/>
      </c>
    </row>
    <row r="345">
      <c r="A345" s="4" t="n">
        <v>344</v>
      </c>
      <c r="K345" s="6">
        <f>IFERROR(E345*J345,0)</f>
        <v/>
      </c>
      <c r="O345" s="6">
        <f>SUM(L345:N345)+IF(I345="EUR",K345,K345)</f>
        <v/>
      </c>
      <c r="Q345" s="6">
        <f>IFERROR(O345*P345/100,0)</f>
        <v/>
      </c>
      <c r="R345" t="inlineStr">
        <is>
          <t>Standard</t>
        </is>
      </c>
      <c r="T345" s="6">
        <f>IF(R345="Manual", IFERROR(S345, Summary!B5), IF(R345="Reduced1", Summary!C5, IF(R345="Reduced2", Summary!D5, Summary!B5)))</f>
        <v/>
      </c>
      <c r="U345" s="6">
        <f>IFERROR((O345+Q345)*T345/100,0)</f>
        <v/>
      </c>
      <c r="V345" s="6">
        <f>Q345+U345</f>
        <v/>
      </c>
      <c r="W345" s="6">
        <f>O345+V345</f>
        <v/>
      </c>
    </row>
    <row r="346">
      <c r="A346" s="4" t="n">
        <v>345</v>
      </c>
      <c r="K346" s="6">
        <f>IFERROR(E346*J346,0)</f>
        <v/>
      </c>
      <c r="O346" s="6">
        <f>SUM(L346:N346)+IF(I346="EUR",K346,K346)</f>
        <v/>
      </c>
      <c r="Q346" s="6">
        <f>IFERROR(O346*P346/100,0)</f>
        <v/>
      </c>
      <c r="R346" t="inlineStr">
        <is>
          <t>Standard</t>
        </is>
      </c>
      <c r="T346" s="6">
        <f>IF(R346="Manual", IFERROR(S346, Summary!B5), IF(R346="Reduced1", Summary!C5, IF(R346="Reduced2", Summary!D5, Summary!B5)))</f>
        <v/>
      </c>
      <c r="U346" s="6">
        <f>IFERROR((O346+Q346)*T346/100,0)</f>
        <v/>
      </c>
      <c r="V346" s="6">
        <f>Q346+U346</f>
        <v/>
      </c>
      <c r="W346" s="6">
        <f>O346+V346</f>
        <v/>
      </c>
    </row>
    <row r="347">
      <c r="A347" s="4" t="n">
        <v>346</v>
      </c>
      <c r="K347" s="6">
        <f>IFERROR(E347*J347,0)</f>
        <v/>
      </c>
      <c r="O347" s="6">
        <f>SUM(L347:N347)+IF(I347="EUR",K347,K347)</f>
        <v/>
      </c>
      <c r="Q347" s="6">
        <f>IFERROR(O347*P347/100,0)</f>
        <v/>
      </c>
      <c r="R347" t="inlineStr">
        <is>
          <t>Standard</t>
        </is>
      </c>
      <c r="T347" s="6">
        <f>IF(R347="Manual", IFERROR(S347, Summary!B5), IF(R347="Reduced1", Summary!C5, IF(R347="Reduced2", Summary!D5, Summary!B5)))</f>
        <v/>
      </c>
      <c r="U347" s="6">
        <f>IFERROR((O347+Q347)*T347/100,0)</f>
        <v/>
      </c>
      <c r="V347" s="6">
        <f>Q347+U347</f>
        <v/>
      </c>
      <c r="W347" s="6">
        <f>O347+V347</f>
        <v/>
      </c>
    </row>
    <row r="348">
      <c r="A348" s="4" t="n">
        <v>347</v>
      </c>
      <c r="K348" s="6">
        <f>IFERROR(E348*J348,0)</f>
        <v/>
      </c>
      <c r="O348" s="6">
        <f>SUM(L348:N348)+IF(I348="EUR",K348,K348)</f>
        <v/>
      </c>
      <c r="Q348" s="6">
        <f>IFERROR(O348*P348/100,0)</f>
        <v/>
      </c>
      <c r="R348" t="inlineStr">
        <is>
          <t>Standard</t>
        </is>
      </c>
      <c r="T348" s="6">
        <f>IF(R348="Manual", IFERROR(S348, Summary!B5), IF(R348="Reduced1", Summary!C5, IF(R348="Reduced2", Summary!D5, Summary!B5)))</f>
        <v/>
      </c>
      <c r="U348" s="6">
        <f>IFERROR((O348+Q348)*T348/100,0)</f>
        <v/>
      </c>
      <c r="V348" s="6">
        <f>Q348+U348</f>
        <v/>
      </c>
      <c r="W348" s="6">
        <f>O348+V348</f>
        <v/>
      </c>
    </row>
    <row r="349">
      <c r="A349" s="4" t="n">
        <v>348</v>
      </c>
      <c r="K349" s="6">
        <f>IFERROR(E349*J349,0)</f>
        <v/>
      </c>
      <c r="O349" s="6">
        <f>SUM(L349:N349)+IF(I349="EUR",K349,K349)</f>
        <v/>
      </c>
      <c r="Q349" s="6">
        <f>IFERROR(O349*P349/100,0)</f>
        <v/>
      </c>
      <c r="R349" t="inlineStr">
        <is>
          <t>Standard</t>
        </is>
      </c>
      <c r="T349" s="6">
        <f>IF(R349="Manual", IFERROR(S349, Summary!B5), IF(R349="Reduced1", Summary!C5, IF(R349="Reduced2", Summary!D5, Summary!B5)))</f>
        <v/>
      </c>
      <c r="U349" s="6">
        <f>IFERROR((O349+Q349)*T349/100,0)</f>
        <v/>
      </c>
      <c r="V349" s="6">
        <f>Q349+U349</f>
        <v/>
      </c>
      <c r="W349" s="6">
        <f>O349+V349</f>
        <v/>
      </c>
    </row>
    <row r="350">
      <c r="A350" s="4" t="n">
        <v>349</v>
      </c>
      <c r="K350" s="6">
        <f>IFERROR(E350*J350,0)</f>
        <v/>
      </c>
      <c r="O350" s="6">
        <f>SUM(L350:N350)+IF(I350="EUR",K350,K350)</f>
        <v/>
      </c>
      <c r="Q350" s="6">
        <f>IFERROR(O350*P350/100,0)</f>
        <v/>
      </c>
      <c r="R350" t="inlineStr">
        <is>
          <t>Standard</t>
        </is>
      </c>
      <c r="T350" s="6">
        <f>IF(R350="Manual", IFERROR(S350, Summary!B5), IF(R350="Reduced1", Summary!C5, IF(R350="Reduced2", Summary!D5, Summary!B5)))</f>
        <v/>
      </c>
      <c r="U350" s="6">
        <f>IFERROR((O350+Q350)*T350/100,0)</f>
        <v/>
      </c>
      <c r="V350" s="6">
        <f>Q350+U350</f>
        <v/>
      </c>
      <c r="W350" s="6">
        <f>O350+V350</f>
        <v/>
      </c>
    </row>
    <row r="351">
      <c r="A351" s="4" t="n">
        <v>350</v>
      </c>
      <c r="K351" s="6">
        <f>IFERROR(E351*J351,0)</f>
        <v/>
      </c>
      <c r="O351" s="6">
        <f>SUM(L351:N351)+IF(I351="EUR",K351,K351)</f>
        <v/>
      </c>
      <c r="Q351" s="6">
        <f>IFERROR(O351*P351/100,0)</f>
        <v/>
      </c>
      <c r="R351" t="inlineStr">
        <is>
          <t>Standard</t>
        </is>
      </c>
      <c r="T351" s="6">
        <f>IF(R351="Manual", IFERROR(S351, Summary!B5), IF(R351="Reduced1", Summary!C5, IF(R351="Reduced2", Summary!D5, Summary!B5)))</f>
        <v/>
      </c>
      <c r="U351" s="6">
        <f>IFERROR((O351+Q351)*T351/100,0)</f>
        <v/>
      </c>
      <c r="V351" s="6">
        <f>Q351+U351</f>
        <v/>
      </c>
      <c r="W351" s="6">
        <f>O351+V351</f>
        <v/>
      </c>
    </row>
    <row r="352">
      <c r="A352" s="4" t="n">
        <v>351</v>
      </c>
      <c r="K352" s="6">
        <f>IFERROR(E352*J352,0)</f>
        <v/>
      </c>
      <c r="O352" s="6">
        <f>SUM(L352:N352)+IF(I352="EUR",K352,K352)</f>
        <v/>
      </c>
      <c r="Q352" s="6">
        <f>IFERROR(O352*P352/100,0)</f>
        <v/>
      </c>
      <c r="R352" t="inlineStr">
        <is>
          <t>Standard</t>
        </is>
      </c>
      <c r="T352" s="6">
        <f>IF(R352="Manual", IFERROR(S352, Summary!B5), IF(R352="Reduced1", Summary!C5, IF(R352="Reduced2", Summary!D5, Summary!B5)))</f>
        <v/>
      </c>
      <c r="U352" s="6">
        <f>IFERROR((O352+Q352)*T352/100,0)</f>
        <v/>
      </c>
      <c r="V352" s="6">
        <f>Q352+U352</f>
        <v/>
      </c>
      <c r="W352" s="6">
        <f>O352+V352</f>
        <v/>
      </c>
    </row>
    <row r="353">
      <c r="A353" s="4" t="n">
        <v>352</v>
      </c>
      <c r="K353" s="6">
        <f>IFERROR(E353*J353,0)</f>
        <v/>
      </c>
      <c r="O353" s="6">
        <f>SUM(L353:N353)+IF(I353="EUR",K353,K353)</f>
        <v/>
      </c>
      <c r="Q353" s="6">
        <f>IFERROR(O353*P353/100,0)</f>
        <v/>
      </c>
      <c r="R353" t="inlineStr">
        <is>
          <t>Standard</t>
        </is>
      </c>
      <c r="T353" s="6">
        <f>IF(R353="Manual", IFERROR(S353, Summary!B5), IF(R353="Reduced1", Summary!C5, IF(R353="Reduced2", Summary!D5, Summary!B5)))</f>
        <v/>
      </c>
      <c r="U353" s="6">
        <f>IFERROR((O353+Q353)*T353/100,0)</f>
        <v/>
      </c>
      <c r="V353" s="6">
        <f>Q353+U353</f>
        <v/>
      </c>
      <c r="W353" s="6">
        <f>O353+V353</f>
        <v/>
      </c>
    </row>
    <row r="354">
      <c r="A354" s="4" t="n">
        <v>353</v>
      </c>
      <c r="K354" s="6">
        <f>IFERROR(E354*J354,0)</f>
        <v/>
      </c>
      <c r="O354" s="6">
        <f>SUM(L354:N354)+IF(I354="EUR",K354,K354)</f>
        <v/>
      </c>
      <c r="Q354" s="6">
        <f>IFERROR(O354*P354/100,0)</f>
        <v/>
      </c>
      <c r="R354" t="inlineStr">
        <is>
          <t>Standard</t>
        </is>
      </c>
      <c r="T354" s="6">
        <f>IF(R354="Manual", IFERROR(S354, Summary!B5), IF(R354="Reduced1", Summary!C5, IF(R354="Reduced2", Summary!D5, Summary!B5)))</f>
        <v/>
      </c>
      <c r="U354" s="6">
        <f>IFERROR((O354+Q354)*T354/100,0)</f>
        <v/>
      </c>
      <c r="V354" s="6">
        <f>Q354+U354</f>
        <v/>
      </c>
      <c r="W354" s="6">
        <f>O354+V354</f>
        <v/>
      </c>
    </row>
    <row r="355">
      <c r="A355" s="4" t="n">
        <v>354</v>
      </c>
      <c r="K355" s="6">
        <f>IFERROR(E355*J355,0)</f>
        <v/>
      </c>
      <c r="O355" s="6">
        <f>SUM(L355:N355)+IF(I355="EUR",K355,K355)</f>
        <v/>
      </c>
      <c r="Q355" s="6">
        <f>IFERROR(O355*P355/100,0)</f>
        <v/>
      </c>
      <c r="R355" t="inlineStr">
        <is>
          <t>Standard</t>
        </is>
      </c>
      <c r="T355" s="6">
        <f>IF(R355="Manual", IFERROR(S355, Summary!B5), IF(R355="Reduced1", Summary!C5, IF(R355="Reduced2", Summary!D5, Summary!B5)))</f>
        <v/>
      </c>
      <c r="U355" s="6">
        <f>IFERROR((O355+Q355)*T355/100,0)</f>
        <v/>
      </c>
      <c r="V355" s="6">
        <f>Q355+U355</f>
        <v/>
      </c>
      <c r="W355" s="6">
        <f>O355+V355</f>
        <v/>
      </c>
    </row>
    <row r="356">
      <c r="A356" s="4" t="n">
        <v>355</v>
      </c>
      <c r="K356" s="6">
        <f>IFERROR(E356*J356,0)</f>
        <v/>
      </c>
      <c r="O356" s="6">
        <f>SUM(L356:N356)+IF(I356="EUR",K356,K356)</f>
        <v/>
      </c>
      <c r="Q356" s="6">
        <f>IFERROR(O356*P356/100,0)</f>
        <v/>
      </c>
      <c r="R356" t="inlineStr">
        <is>
          <t>Standard</t>
        </is>
      </c>
      <c r="T356" s="6">
        <f>IF(R356="Manual", IFERROR(S356, Summary!B5), IF(R356="Reduced1", Summary!C5, IF(R356="Reduced2", Summary!D5, Summary!B5)))</f>
        <v/>
      </c>
      <c r="U356" s="6">
        <f>IFERROR((O356+Q356)*T356/100,0)</f>
        <v/>
      </c>
      <c r="V356" s="6">
        <f>Q356+U356</f>
        <v/>
      </c>
      <c r="W356" s="6">
        <f>O356+V356</f>
        <v/>
      </c>
    </row>
    <row r="357">
      <c r="A357" s="4" t="n">
        <v>356</v>
      </c>
      <c r="K357" s="6">
        <f>IFERROR(E357*J357,0)</f>
        <v/>
      </c>
      <c r="O357" s="6">
        <f>SUM(L357:N357)+IF(I357="EUR",K357,K357)</f>
        <v/>
      </c>
      <c r="Q357" s="6">
        <f>IFERROR(O357*P357/100,0)</f>
        <v/>
      </c>
      <c r="R357" t="inlineStr">
        <is>
          <t>Standard</t>
        </is>
      </c>
      <c r="T357" s="6">
        <f>IF(R357="Manual", IFERROR(S357, Summary!B5), IF(R357="Reduced1", Summary!C5, IF(R357="Reduced2", Summary!D5, Summary!B5)))</f>
        <v/>
      </c>
      <c r="U357" s="6">
        <f>IFERROR((O357+Q357)*T357/100,0)</f>
        <v/>
      </c>
      <c r="V357" s="6">
        <f>Q357+U357</f>
        <v/>
      </c>
      <c r="W357" s="6">
        <f>O357+V357</f>
        <v/>
      </c>
    </row>
    <row r="358">
      <c r="A358" s="4" t="n">
        <v>357</v>
      </c>
      <c r="K358" s="6">
        <f>IFERROR(E358*J358,0)</f>
        <v/>
      </c>
      <c r="O358" s="6">
        <f>SUM(L358:N358)+IF(I358="EUR",K358,K358)</f>
        <v/>
      </c>
      <c r="Q358" s="6">
        <f>IFERROR(O358*P358/100,0)</f>
        <v/>
      </c>
      <c r="R358" t="inlineStr">
        <is>
          <t>Standard</t>
        </is>
      </c>
      <c r="T358" s="6">
        <f>IF(R358="Manual", IFERROR(S358, Summary!B5), IF(R358="Reduced1", Summary!C5, IF(R358="Reduced2", Summary!D5, Summary!B5)))</f>
        <v/>
      </c>
      <c r="U358" s="6">
        <f>IFERROR((O358+Q358)*T358/100,0)</f>
        <v/>
      </c>
      <c r="V358" s="6">
        <f>Q358+U358</f>
        <v/>
      </c>
      <c r="W358" s="6">
        <f>O358+V358</f>
        <v/>
      </c>
    </row>
    <row r="359">
      <c r="A359" s="4" t="n">
        <v>358</v>
      </c>
      <c r="K359" s="6">
        <f>IFERROR(E359*J359,0)</f>
        <v/>
      </c>
      <c r="O359" s="6">
        <f>SUM(L359:N359)+IF(I359="EUR",K359,K359)</f>
        <v/>
      </c>
      <c r="Q359" s="6">
        <f>IFERROR(O359*P359/100,0)</f>
        <v/>
      </c>
      <c r="R359" t="inlineStr">
        <is>
          <t>Standard</t>
        </is>
      </c>
      <c r="T359" s="6">
        <f>IF(R359="Manual", IFERROR(S359, Summary!B5), IF(R359="Reduced1", Summary!C5, IF(R359="Reduced2", Summary!D5, Summary!B5)))</f>
        <v/>
      </c>
      <c r="U359" s="6">
        <f>IFERROR((O359+Q359)*T359/100,0)</f>
        <v/>
      </c>
      <c r="V359" s="6">
        <f>Q359+U359</f>
        <v/>
      </c>
      <c r="W359" s="6">
        <f>O359+V359</f>
        <v/>
      </c>
    </row>
    <row r="360">
      <c r="A360" s="4" t="n">
        <v>359</v>
      </c>
      <c r="K360" s="6">
        <f>IFERROR(E360*J360,0)</f>
        <v/>
      </c>
      <c r="O360" s="6">
        <f>SUM(L360:N360)+IF(I360="EUR",K360,K360)</f>
        <v/>
      </c>
      <c r="Q360" s="6">
        <f>IFERROR(O360*P360/100,0)</f>
        <v/>
      </c>
      <c r="R360" t="inlineStr">
        <is>
          <t>Standard</t>
        </is>
      </c>
      <c r="T360" s="6">
        <f>IF(R360="Manual", IFERROR(S360, Summary!B5), IF(R360="Reduced1", Summary!C5, IF(R360="Reduced2", Summary!D5, Summary!B5)))</f>
        <v/>
      </c>
      <c r="U360" s="6">
        <f>IFERROR((O360+Q360)*T360/100,0)</f>
        <v/>
      </c>
      <c r="V360" s="6">
        <f>Q360+U360</f>
        <v/>
      </c>
      <c r="W360" s="6">
        <f>O360+V360</f>
        <v/>
      </c>
    </row>
    <row r="361">
      <c r="A361" s="4" t="n">
        <v>360</v>
      </c>
      <c r="K361" s="6">
        <f>IFERROR(E361*J361,0)</f>
        <v/>
      </c>
      <c r="O361" s="6">
        <f>SUM(L361:N361)+IF(I361="EUR",K361,K361)</f>
        <v/>
      </c>
      <c r="Q361" s="6">
        <f>IFERROR(O361*P361/100,0)</f>
        <v/>
      </c>
      <c r="R361" t="inlineStr">
        <is>
          <t>Standard</t>
        </is>
      </c>
      <c r="T361" s="6">
        <f>IF(R361="Manual", IFERROR(S361, Summary!B5), IF(R361="Reduced1", Summary!C5, IF(R361="Reduced2", Summary!D5, Summary!B5)))</f>
        <v/>
      </c>
      <c r="U361" s="6">
        <f>IFERROR((O361+Q361)*T361/100,0)</f>
        <v/>
      </c>
      <c r="V361" s="6">
        <f>Q361+U361</f>
        <v/>
      </c>
      <c r="W361" s="6">
        <f>O361+V361</f>
        <v/>
      </c>
    </row>
    <row r="362">
      <c r="A362" s="4" t="n">
        <v>361</v>
      </c>
      <c r="K362" s="6">
        <f>IFERROR(E362*J362,0)</f>
        <v/>
      </c>
      <c r="O362" s="6">
        <f>SUM(L362:N362)+IF(I362="EUR",K362,K362)</f>
        <v/>
      </c>
      <c r="Q362" s="6">
        <f>IFERROR(O362*P362/100,0)</f>
        <v/>
      </c>
      <c r="R362" t="inlineStr">
        <is>
          <t>Standard</t>
        </is>
      </c>
      <c r="T362" s="6">
        <f>IF(R362="Manual", IFERROR(S362, Summary!B5), IF(R362="Reduced1", Summary!C5, IF(R362="Reduced2", Summary!D5, Summary!B5)))</f>
        <v/>
      </c>
      <c r="U362" s="6">
        <f>IFERROR((O362+Q362)*T362/100,0)</f>
        <v/>
      </c>
      <c r="V362" s="6">
        <f>Q362+U362</f>
        <v/>
      </c>
      <c r="W362" s="6">
        <f>O362+V362</f>
        <v/>
      </c>
    </row>
    <row r="363">
      <c r="A363" s="4" t="n">
        <v>362</v>
      </c>
      <c r="K363" s="6">
        <f>IFERROR(E363*J363,0)</f>
        <v/>
      </c>
      <c r="O363" s="6">
        <f>SUM(L363:N363)+IF(I363="EUR",K363,K363)</f>
        <v/>
      </c>
      <c r="Q363" s="6">
        <f>IFERROR(O363*P363/100,0)</f>
        <v/>
      </c>
      <c r="R363" t="inlineStr">
        <is>
          <t>Standard</t>
        </is>
      </c>
      <c r="T363" s="6">
        <f>IF(R363="Manual", IFERROR(S363, Summary!B5), IF(R363="Reduced1", Summary!C5, IF(R363="Reduced2", Summary!D5, Summary!B5)))</f>
        <v/>
      </c>
      <c r="U363" s="6">
        <f>IFERROR((O363+Q363)*T363/100,0)</f>
        <v/>
      </c>
      <c r="V363" s="6">
        <f>Q363+U363</f>
        <v/>
      </c>
      <c r="W363" s="6">
        <f>O363+V363</f>
        <v/>
      </c>
    </row>
    <row r="364">
      <c r="A364" s="4" t="n">
        <v>363</v>
      </c>
      <c r="K364" s="6">
        <f>IFERROR(E364*J364,0)</f>
        <v/>
      </c>
      <c r="O364" s="6">
        <f>SUM(L364:N364)+IF(I364="EUR",K364,K364)</f>
        <v/>
      </c>
      <c r="Q364" s="6">
        <f>IFERROR(O364*P364/100,0)</f>
        <v/>
      </c>
      <c r="R364" t="inlineStr">
        <is>
          <t>Standard</t>
        </is>
      </c>
      <c r="T364" s="6">
        <f>IF(R364="Manual", IFERROR(S364, Summary!B5), IF(R364="Reduced1", Summary!C5, IF(R364="Reduced2", Summary!D5, Summary!B5)))</f>
        <v/>
      </c>
      <c r="U364" s="6">
        <f>IFERROR((O364+Q364)*T364/100,0)</f>
        <v/>
      </c>
      <c r="V364" s="6">
        <f>Q364+U364</f>
        <v/>
      </c>
      <c r="W364" s="6">
        <f>O364+V364</f>
        <v/>
      </c>
    </row>
    <row r="365">
      <c r="A365" s="4" t="n">
        <v>364</v>
      </c>
      <c r="K365" s="6">
        <f>IFERROR(E365*J365,0)</f>
        <v/>
      </c>
      <c r="O365" s="6">
        <f>SUM(L365:N365)+IF(I365="EUR",K365,K365)</f>
        <v/>
      </c>
      <c r="Q365" s="6">
        <f>IFERROR(O365*P365/100,0)</f>
        <v/>
      </c>
      <c r="R365" t="inlineStr">
        <is>
          <t>Standard</t>
        </is>
      </c>
      <c r="T365" s="6">
        <f>IF(R365="Manual", IFERROR(S365, Summary!B5), IF(R365="Reduced1", Summary!C5, IF(R365="Reduced2", Summary!D5, Summary!B5)))</f>
        <v/>
      </c>
      <c r="U365" s="6">
        <f>IFERROR((O365+Q365)*T365/100,0)</f>
        <v/>
      </c>
      <c r="V365" s="6">
        <f>Q365+U365</f>
        <v/>
      </c>
      <c r="W365" s="6">
        <f>O365+V365</f>
        <v/>
      </c>
    </row>
    <row r="366">
      <c r="A366" s="4" t="n">
        <v>365</v>
      </c>
      <c r="K366" s="6">
        <f>IFERROR(E366*J366,0)</f>
        <v/>
      </c>
      <c r="O366" s="6">
        <f>SUM(L366:N366)+IF(I366="EUR",K366,K366)</f>
        <v/>
      </c>
      <c r="Q366" s="6">
        <f>IFERROR(O366*P366/100,0)</f>
        <v/>
      </c>
      <c r="R366" t="inlineStr">
        <is>
          <t>Standard</t>
        </is>
      </c>
      <c r="T366" s="6">
        <f>IF(R366="Manual", IFERROR(S366, Summary!B5), IF(R366="Reduced1", Summary!C5, IF(R366="Reduced2", Summary!D5, Summary!B5)))</f>
        <v/>
      </c>
      <c r="U366" s="6">
        <f>IFERROR((O366+Q366)*T366/100,0)</f>
        <v/>
      </c>
      <c r="V366" s="6">
        <f>Q366+U366</f>
        <v/>
      </c>
      <c r="W366" s="6">
        <f>O366+V366</f>
        <v/>
      </c>
    </row>
    <row r="367">
      <c r="A367" s="4" t="n">
        <v>366</v>
      </c>
      <c r="K367" s="6">
        <f>IFERROR(E367*J367,0)</f>
        <v/>
      </c>
      <c r="O367" s="6">
        <f>SUM(L367:N367)+IF(I367="EUR",K367,K367)</f>
        <v/>
      </c>
      <c r="Q367" s="6">
        <f>IFERROR(O367*P367/100,0)</f>
        <v/>
      </c>
      <c r="R367" t="inlineStr">
        <is>
          <t>Standard</t>
        </is>
      </c>
      <c r="T367" s="6">
        <f>IF(R367="Manual", IFERROR(S367, Summary!B5), IF(R367="Reduced1", Summary!C5, IF(R367="Reduced2", Summary!D5, Summary!B5)))</f>
        <v/>
      </c>
      <c r="U367" s="6">
        <f>IFERROR((O367+Q367)*T367/100,0)</f>
        <v/>
      </c>
      <c r="V367" s="6">
        <f>Q367+U367</f>
        <v/>
      </c>
      <c r="W367" s="6">
        <f>O367+V367</f>
        <v/>
      </c>
    </row>
    <row r="368">
      <c r="A368" s="4" t="n">
        <v>367</v>
      </c>
      <c r="K368" s="6">
        <f>IFERROR(E368*J368,0)</f>
        <v/>
      </c>
      <c r="O368" s="6">
        <f>SUM(L368:N368)+IF(I368="EUR",K368,K368)</f>
        <v/>
      </c>
      <c r="Q368" s="6">
        <f>IFERROR(O368*P368/100,0)</f>
        <v/>
      </c>
      <c r="R368" t="inlineStr">
        <is>
          <t>Standard</t>
        </is>
      </c>
      <c r="T368" s="6">
        <f>IF(R368="Manual", IFERROR(S368, Summary!B5), IF(R368="Reduced1", Summary!C5, IF(R368="Reduced2", Summary!D5, Summary!B5)))</f>
        <v/>
      </c>
      <c r="U368" s="6">
        <f>IFERROR((O368+Q368)*T368/100,0)</f>
        <v/>
      </c>
      <c r="V368" s="6">
        <f>Q368+U368</f>
        <v/>
      </c>
      <c r="W368" s="6">
        <f>O368+V368</f>
        <v/>
      </c>
    </row>
    <row r="369">
      <c r="A369" s="4" t="n">
        <v>368</v>
      </c>
      <c r="K369" s="6">
        <f>IFERROR(E369*J369,0)</f>
        <v/>
      </c>
      <c r="O369" s="6">
        <f>SUM(L369:N369)+IF(I369="EUR",K369,K369)</f>
        <v/>
      </c>
      <c r="Q369" s="6">
        <f>IFERROR(O369*P369/100,0)</f>
        <v/>
      </c>
      <c r="R369" t="inlineStr">
        <is>
          <t>Standard</t>
        </is>
      </c>
      <c r="T369" s="6">
        <f>IF(R369="Manual", IFERROR(S369, Summary!B5), IF(R369="Reduced1", Summary!C5, IF(R369="Reduced2", Summary!D5, Summary!B5)))</f>
        <v/>
      </c>
      <c r="U369" s="6">
        <f>IFERROR((O369+Q369)*T369/100,0)</f>
        <v/>
      </c>
      <c r="V369" s="6">
        <f>Q369+U369</f>
        <v/>
      </c>
      <c r="W369" s="6">
        <f>O369+V369</f>
        <v/>
      </c>
    </row>
    <row r="370">
      <c r="A370" s="4" t="n">
        <v>369</v>
      </c>
      <c r="K370" s="6">
        <f>IFERROR(E370*J370,0)</f>
        <v/>
      </c>
      <c r="O370" s="6">
        <f>SUM(L370:N370)+IF(I370="EUR",K370,K370)</f>
        <v/>
      </c>
      <c r="Q370" s="6">
        <f>IFERROR(O370*P370/100,0)</f>
        <v/>
      </c>
      <c r="R370" t="inlineStr">
        <is>
          <t>Standard</t>
        </is>
      </c>
      <c r="T370" s="6">
        <f>IF(R370="Manual", IFERROR(S370, Summary!B5), IF(R370="Reduced1", Summary!C5, IF(R370="Reduced2", Summary!D5, Summary!B5)))</f>
        <v/>
      </c>
      <c r="U370" s="6">
        <f>IFERROR((O370+Q370)*T370/100,0)</f>
        <v/>
      </c>
      <c r="V370" s="6">
        <f>Q370+U370</f>
        <v/>
      </c>
      <c r="W370" s="6">
        <f>O370+V370</f>
        <v/>
      </c>
    </row>
    <row r="371">
      <c r="A371" s="4" t="n">
        <v>370</v>
      </c>
      <c r="K371" s="6">
        <f>IFERROR(E371*J371,0)</f>
        <v/>
      </c>
      <c r="O371" s="6">
        <f>SUM(L371:N371)+IF(I371="EUR",K371,K371)</f>
        <v/>
      </c>
      <c r="Q371" s="6">
        <f>IFERROR(O371*P371/100,0)</f>
        <v/>
      </c>
      <c r="R371" t="inlineStr">
        <is>
          <t>Standard</t>
        </is>
      </c>
      <c r="T371" s="6">
        <f>IF(R371="Manual", IFERROR(S371, Summary!B5), IF(R371="Reduced1", Summary!C5, IF(R371="Reduced2", Summary!D5, Summary!B5)))</f>
        <v/>
      </c>
      <c r="U371" s="6">
        <f>IFERROR((O371+Q371)*T371/100,0)</f>
        <v/>
      </c>
      <c r="V371" s="6">
        <f>Q371+U371</f>
        <v/>
      </c>
      <c r="W371" s="6">
        <f>O371+V371</f>
        <v/>
      </c>
    </row>
    <row r="372">
      <c r="A372" s="4" t="n">
        <v>371</v>
      </c>
      <c r="K372" s="6">
        <f>IFERROR(E372*J372,0)</f>
        <v/>
      </c>
      <c r="O372" s="6">
        <f>SUM(L372:N372)+IF(I372="EUR",K372,K372)</f>
        <v/>
      </c>
      <c r="Q372" s="6">
        <f>IFERROR(O372*P372/100,0)</f>
        <v/>
      </c>
      <c r="R372" t="inlineStr">
        <is>
          <t>Standard</t>
        </is>
      </c>
      <c r="T372" s="6">
        <f>IF(R372="Manual", IFERROR(S372, Summary!B5), IF(R372="Reduced1", Summary!C5, IF(R372="Reduced2", Summary!D5, Summary!B5)))</f>
        <v/>
      </c>
      <c r="U372" s="6">
        <f>IFERROR((O372+Q372)*T372/100,0)</f>
        <v/>
      </c>
      <c r="V372" s="6">
        <f>Q372+U372</f>
        <v/>
      </c>
      <c r="W372" s="6">
        <f>O372+V372</f>
        <v/>
      </c>
    </row>
    <row r="373">
      <c r="A373" s="4" t="n">
        <v>372</v>
      </c>
      <c r="K373" s="6">
        <f>IFERROR(E373*J373,0)</f>
        <v/>
      </c>
      <c r="O373" s="6">
        <f>SUM(L373:N373)+IF(I373="EUR",K373,K373)</f>
        <v/>
      </c>
      <c r="Q373" s="6">
        <f>IFERROR(O373*P373/100,0)</f>
        <v/>
      </c>
      <c r="R373" t="inlineStr">
        <is>
          <t>Standard</t>
        </is>
      </c>
      <c r="T373" s="6">
        <f>IF(R373="Manual", IFERROR(S373, Summary!B5), IF(R373="Reduced1", Summary!C5, IF(R373="Reduced2", Summary!D5, Summary!B5)))</f>
        <v/>
      </c>
      <c r="U373" s="6">
        <f>IFERROR((O373+Q373)*T373/100,0)</f>
        <v/>
      </c>
      <c r="V373" s="6">
        <f>Q373+U373</f>
        <v/>
      </c>
      <c r="W373" s="6">
        <f>O373+V373</f>
        <v/>
      </c>
    </row>
    <row r="374">
      <c r="A374" s="4" t="n">
        <v>373</v>
      </c>
      <c r="K374" s="6">
        <f>IFERROR(E374*J374,0)</f>
        <v/>
      </c>
      <c r="O374" s="6">
        <f>SUM(L374:N374)+IF(I374="EUR",K374,K374)</f>
        <v/>
      </c>
      <c r="Q374" s="6">
        <f>IFERROR(O374*P374/100,0)</f>
        <v/>
      </c>
      <c r="R374" t="inlineStr">
        <is>
          <t>Standard</t>
        </is>
      </c>
      <c r="T374" s="6">
        <f>IF(R374="Manual", IFERROR(S374, Summary!B5), IF(R374="Reduced1", Summary!C5, IF(R374="Reduced2", Summary!D5, Summary!B5)))</f>
        <v/>
      </c>
      <c r="U374" s="6">
        <f>IFERROR((O374+Q374)*T374/100,0)</f>
        <v/>
      </c>
      <c r="V374" s="6">
        <f>Q374+U374</f>
        <v/>
      </c>
      <c r="W374" s="6">
        <f>O374+V374</f>
        <v/>
      </c>
    </row>
    <row r="375">
      <c r="A375" s="4" t="n">
        <v>374</v>
      </c>
      <c r="K375" s="6">
        <f>IFERROR(E375*J375,0)</f>
        <v/>
      </c>
      <c r="O375" s="6">
        <f>SUM(L375:N375)+IF(I375="EUR",K375,K375)</f>
        <v/>
      </c>
      <c r="Q375" s="6">
        <f>IFERROR(O375*P375/100,0)</f>
        <v/>
      </c>
      <c r="R375" t="inlineStr">
        <is>
          <t>Standard</t>
        </is>
      </c>
      <c r="T375" s="6">
        <f>IF(R375="Manual", IFERROR(S375, Summary!B5), IF(R375="Reduced1", Summary!C5, IF(R375="Reduced2", Summary!D5, Summary!B5)))</f>
        <v/>
      </c>
      <c r="U375" s="6">
        <f>IFERROR((O375+Q375)*T375/100,0)</f>
        <v/>
      </c>
      <c r="V375" s="6">
        <f>Q375+U375</f>
        <v/>
      </c>
      <c r="W375" s="6">
        <f>O375+V375</f>
        <v/>
      </c>
    </row>
    <row r="376">
      <c r="A376" s="4" t="n">
        <v>375</v>
      </c>
      <c r="K376" s="6">
        <f>IFERROR(E376*J376,0)</f>
        <v/>
      </c>
      <c r="O376" s="6">
        <f>SUM(L376:N376)+IF(I376="EUR",K376,K376)</f>
        <v/>
      </c>
      <c r="Q376" s="6">
        <f>IFERROR(O376*P376/100,0)</f>
        <v/>
      </c>
      <c r="R376" t="inlineStr">
        <is>
          <t>Standard</t>
        </is>
      </c>
      <c r="T376" s="6">
        <f>IF(R376="Manual", IFERROR(S376, Summary!B5), IF(R376="Reduced1", Summary!C5, IF(R376="Reduced2", Summary!D5, Summary!B5)))</f>
        <v/>
      </c>
      <c r="U376" s="6">
        <f>IFERROR((O376+Q376)*T376/100,0)</f>
        <v/>
      </c>
      <c r="V376" s="6">
        <f>Q376+U376</f>
        <v/>
      </c>
      <c r="W376" s="6">
        <f>O376+V376</f>
        <v/>
      </c>
    </row>
    <row r="377">
      <c r="A377" s="4" t="n">
        <v>376</v>
      </c>
      <c r="K377" s="6">
        <f>IFERROR(E377*J377,0)</f>
        <v/>
      </c>
      <c r="O377" s="6">
        <f>SUM(L377:N377)+IF(I377="EUR",K377,K377)</f>
        <v/>
      </c>
      <c r="Q377" s="6">
        <f>IFERROR(O377*P377/100,0)</f>
        <v/>
      </c>
      <c r="R377" t="inlineStr">
        <is>
          <t>Standard</t>
        </is>
      </c>
      <c r="T377" s="6">
        <f>IF(R377="Manual", IFERROR(S377, Summary!B5), IF(R377="Reduced1", Summary!C5, IF(R377="Reduced2", Summary!D5, Summary!B5)))</f>
        <v/>
      </c>
      <c r="U377" s="6">
        <f>IFERROR((O377+Q377)*T377/100,0)</f>
        <v/>
      </c>
      <c r="V377" s="6">
        <f>Q377+U377</f>
        <v/>
      </c>
      <c r="W377" s="6">
        <f>O377+V377</f>
        <v/>
      </c>
    </row>
    <row r="378">
      <c r="A378" s="4" t="n">
        <v>377</v>
      </c>
      <c r="K378" s="6">
        <f>IFERROR(E378*J378,0)</f>
        <v/>
      </c>
      <c r="O378" s="6">
        <f>SUM(L378:N378)+IF(I378="EUR",K378,K378)</f>
        <v/>
      </c>
      <c r="Q378" s="6">
        <f>IFERROR(O378*P378/100,0)</f>
        <v/>
      </c>
      <c r="R378" t="inlineStr">
        <is>
          <t>Standard</t>
        </is>
      </c>
      <c r="T378" s="6">
        <f>IF(R378="Manual", IFERROR(S378, Summary!B5), IF(R378="Reduced1", Summary!C5, IF(R378="Reduced2", Summary!D5, Summary!B5)))</f>
        <v/>
      </c>
      <c r="U378" s="6">
        <f>IFERROR((O378+Q378)*T378/100,0)</f>
        <v/>
      </c>
      <c r="V378" s="6">
        <f>Q378+U378</f>
        <v/>
      </c>
      <c r="W378" s="6">
        <f>O378+V378</f>
        <v/>
      </c>
    </row>
    <row r="379">
      <c r="A379" s="4" t="n">
        <v>378</v>
      </c>
      <c r="K379" s="6">
        <f>IFERROR(E379*J379,0)</f>
        <v/>
      </c>
      <c r="O379" s="6">
        <f>SUM(L379:N379)+IF(I379="EUR",K379,K379)</f>
        <v/>
      </c>
      <c r="Q379" s="6">
        <f>IFERROR(O379*P379/100,0)</f>
        <v/>
      </c>
      <c r="R379" t="inlineStr">
        <is>
          <t>Standard</t>
        </is>
      </c>
      <c r="T379" s="6">
        <f>IF(R379="Manual", IFERROR(S379, Summary!B5), IF(R379="Reduced1", Summary!C5, IF(R379="Reduced2", Summary!D5, Summary!B5)))</f>
        <v/>
      </c>
      <c r="U379" s="6">
        <f>IFERROR((O379+Q379)*T379/100,0)</f>
        <v/>
      </c>
      <c r="V379" s="6">
        <f>Q379+U379</f>
        <v/>
      </c>
      <c r="W379" s="6">
        <f>O379+V379</f>
        <v/>
      </c>
    </row>
    <row r="380">
      <c r="A380" s="4" t="n">
        <v>379</v>
      </c>
      <c r="K380" s="6">
        <f>IFERROR(E380*J380,0)</f>
        <v/>
      </c>
      <c r="O380" s="6">
        <f>SUM(L380:N380)+IF(I380="EUR",K380,K380)</f>
        <v/>
      </c>
      <c r="Q380" s="6">
        <f>IFERROR(O380*P380/100,0)</f>
        <v/>
      </c>
      <c r="R380" t="inlineStr">
        <is>
          <t>Standard</t>
        </is>
      </c>
      <c r="T380" s="6">
        <f>IF(R380="Manual", IFERROR(S380, Summary!B5), IF(R380="Reduced1", Summary!C5, IF(R380="Reduced2", Summary!D5, Summary!B5)))</f>
        <v/>
      </c>
      <c r="U380" s="6">
        <f>IFERROR((O380+Q380)*T380/100,0)</f>
        <v/>
      </c>
      <c r="V380" s="6">
        <f>Q380+U380</f>
        <v/>
      </c>
      <c r="W380" s="6">
        <f>O380+V380</f>
        <v/>
      </c>
    </row>
    <row r="381">
      <c r="A381" s="4" t="n">
        <v>380</v>
      </c>
      <c r="K381" s="6">
        <f>IFERROR(E381*J381,0)</f>
        <v/>
      </c>
      <c r="O381" s="6">
        <f>SUM(L381:N381)+IF(I381="EUR",K381,K381)</f>
        <v/>
      </c>
      <c r="Q381" s="6">
        <f>IFERROR(O381*P381/100,0)</f>
        <v/>
      </c>
      <c r="R381" t="inlineStr">
        <is>
          <t>Standard</t>
        </is>
      </c>
      <c r="T381" s="6">
        <f>IF(R381="Manual", IFERROR(S381, Summary!B5), IF(R381="Reduced1", Summary!C5, IF(R381="Reduced2", Summary!D5, Summary!B5)))</f>
        <v/>
      </c>
      <c r="U381" s="6">
        <f>IFERROR((O381+Q381)*T381/100,0)</f>
        <v/>
      </c>
      <c r="V381" s="6">
        <f>Q381+U381</f>
        <v/>
      </c>
      <c r="W381" s="6">
        <f>O381+V381</f>
        <v/>
      </c>
    </row>
    <row r="382">
      <c r="A382" s="4" t="n">
        <v>381</v>
      </c>
      <c r="K382" s="6">
        <f>IFERROR(E382*J382,0)</f>
        <v/>
      </c>
      <c r="O382" s="6">
        <f>SUM(L382:N382)+IF(I382="EUR",K382,K382)</f>
        <v/>
      </c>
      <c r="Q382" s="6">
        <f>IFERROR(O382*P382/100,0)</f>
        <v/>
      </c>
      <c r="R382" t="inlineStr">
        <is>
          <t>Standard</t>
        </is>
      </c>
      <c r="T382" s="6">
        <f>IF(R382="Manual", IFERROR(S382, Summary!B5), IF(R382="Reduced1", Summary!C5, IF(R382="Reduced2", Summary!D5, Summary!B5)))</f>
        <v/>
      </c>
      <c r="U382" s="6">
        <f>IFERROR((O382+Q382)*T382/100,0)</f>
        <v/>
      </c>
      <c r="V382" s="6">
        <f>Q382+U382</f>
        <v/>
      </c>
      <c r="W382" s="6">
        <f>O382+V382</f>
        <v/>
      </c>
    </row>
    <row r="383">
      <c r="A383" s="4" t="n">
        <v>382</v>
      </c>
      <c r="K383" s="6">
        <f>IFERROR(E383*J383,0)</f>
        <v/>
      </c>
      <c r="O383" s="6">
        <f>SUM(L383:N383)+IF(I383="EUR",K383,K383)</f>
        <v/>
      </c>
      <c r="Q383" s="6">
        <f>IFERROR(O383*P383/100,0)</f>
        <v/>
      </c>
      <c r="R383" t="inlineStr">
        <is>
          <t>Standard</t>
        </is>
      </c>
      <c r="T383" s="6">
        <f>IF(R383="Manual", IFERROR(S383, Summary!B5), IF(R383="Reduced1", Summary!C5, IF(R383="Reduced2", Summary!D5, Summary!B5)))</f>
        <v/>
      </c>
      <c r="U383" s="6">
        <f>IFERROR((O383+Q383)*T383/100,0)</f>
        <v/>
      </c>
      <c r="V383" s="6">
        <f>Q383+U383</f>
        <v/>
      </c>
      <c r="W383" s="6">
        <f>O383+V383</f>
        <v/>
      </c>
    </row>
    <row r="384">
      <c r="A384" s="4" t="n">
        <v>383</v>
      </c>
      <c r="K384" s="6">
        <f>IFERROR(E384*J384,0)</f>
        <v/>
      </c>
      <c r="O384" s="6">
        <f>SUM(L384:N384)+IF(I384="EUR",K384,K384)</f>
        <v/>
      </c>
      <c r="Q384" s="6">
        <f>IFERROR(O384*P384/100,0)</f>
        <v/>
      </c>
      <c r="R384" t="inlineStr">
        <is>
          <t>Standard</t>
        </is>
      </c>
      <c r="T384" s="6">
        <f>IF(R384="Manual", IFERROR(S384, Summary!B5), IF(R384="Reduced1", Summary!C5, IF(R384="Reduced2", Summary!D5, Summary!B5)))</f>
        <v/>
      </c>
      <c r="U384" s="6">
        <f>IFERROR((O384+Q384)*T384/100,0)</f>
        <v/>
      </c>
      <c r="V384" s="6">
        <f>Q384+U384</f>
        <v/>
      </c>
      <c r="W384" s="6">
        <f>O384+V384</f>
        <v/>
      </c>
    </row>
    <row r="385">
      <c r="A385" s="4" t="n">
        <v>384</v>
      </c>
      <c r="K385" s="6">
        <f>IFERROR(E385*J385,0)</f>
        <v/>
      </c>
      <c r="O385" s="6">
        <f>SUM(L385:N385)+IF(I385="EUR",K385,K385)</f>
        <v/>
      </c>
      <c r="Q385" s="6">
        <f>IFERROR(O385*P385/100,0)</f>
        <v/>
      </c>
      <c r="R385" t="inlineStr">
        <is>
          <t>Standard</t>
        </is>
      </c>
      <c r="T385" s="6">
        <f>IF(R385="Manual", IFERROR(S385, Summary!B5), IF(R385="Reduced1", Summary!C5, IF(R385="Reduced2", Summary!D5, Summary!B5)))</f>
        <v/>
      </c>
      <c r="U385" s="6">
        <f>IFERROR((O385+Q385)*T385/100,0)</f>
        <v/>
      </c>
      <c r="V385" s="6">
        <f>Q385+U385</f>
        <v/>
      </c>
      <c r="W385" s="6">
        <f>O385+V385</f>
        <v/>
      </c>
    </row>
    <row r="386">
      <c r="A386" s="4" t="n">
        <v>385</v>
      </c>
      <c r="K386" s="6">
        <f>IFERROR(E386*J386,0)</f>
        <v/>
      </c>
      <c r="O386" s="6">
        <f>SUM(L386:N386)+IF(I386="EUR",K386,K386)</f>
        <v/>
      </c>
      <c r="Q386" s="6">
        <f>IFERROR(O386*P386/100,0)</f>
        <v/>
      </c>
      <c r="R386" t="inlineStr">
        <is>
          <t>Standard</t>
        </is>
      </c>
      <c r="T386" s="6">
        <f>IF(R386="Manual", IFERROR(S386, Summary!B5), IF(R386="Reduced1", Summary!C5, IF(R386="Reduced2", Summary!D5, Summary!B5)))</f>
        <v/>
      </c>
      <c r="U386" s="6">
        <f>IFERROR((O386+Q386)*T386/100,0)</f>
        <v/>
      </c>
      <c r="V386" s="6">
        <f>Q386+U386</f>
        <v/>
      </c>
      <c r="W386" s="6">
        <f>O386+V386</f>
        <v/>
      </c>
    </row>
    <row r="387">
      <c r="A387" s="4" t="n">
        <v>386</v>
      </c>
      <c r="K387" s="6">
        <f>IFERROR(E387*J387,0)</f>
        <v/>
      </c>
      <c r="O387" s="6">
        <f>SUM(L387:N387)+IF(I387="EUR",K387,K387)</f>
        <v/>
      </c>
      <c r="Q387" s="6">
        <f>IFERROR(O387*P387/100,0)</f>
        <v/>
      </c>
      <c r="R387" t="inlineStr">
        <is>
          <t>Standard</t>
        </is>
      </c>
      <c r="T387" s="6">
        <f>IF(R387="Manual", IFERROR(S387, Summary!B5), IF(R387="Reduced1", Summary!C5, IF(R387="Reduced2", Summary!D5, Summary!B5)))</f>
        <v/>
      </c>
      <c r="U387" s="6">
        <f>IFERROR((O387+Q387)*T387/100,0)</f>
        <v/>
      </c>
      <c r="V387" s="6">
        <f>Q387+U387</f>
        <v/>
      </c>
      <c r="W387" s="6">
        <f>O387+V387</f>
        <v/>
      </c>
    </row>
    <row r="388">
      <c r="A388" s="4" t="n">
        <v>387</v>
      </c>
      <c r="K388" s="6">
        <f>IFERROR(E388*J388,0)</f>
        <v/>
      </c>
      <c r="O388" s="6">
        <f>SUM(L388:N388)+IF(I388="EUR",K388,K388)</f>
        <v/>
      </c>
      <c r="Q388" s="6">
        <f>IFERROR(O388*P388/100,0)</f>
        <v/>
      </c>
      <c r="R388" t="inlineStr">
        <is>
          <t>Standard</t>
        </is>
      </c>
      <c r="T388" s="6">
        <f>IF(R388="Manual", IFERROR(S388, Summary!B5), IF(R388="Reduced1", Summary!C5, IF(R388="Reduced2", Summary!D5, Summary!B5)))</f>
        <v/>
      </c>
      <c r="U388" s="6">
        <f>IFERROR((O388+Q388)*T388/100,0)</f>
        <v/>
      </c>
      <c r="V388" s="6">
        <f>Q388+U388</f>
        <v/>
      </c>
      <c r="W388" s="6">
        <f>O388+V388</f>
        <v/>
      </c>
    </row>
    <row r="389">
      <c r="A389" s="4" t="n">
        <v>388</v>
      </c>
      <c r="K389" s="6">
        <f>IFERROR(E389*J389,0)</f>
        <v/>
      </c>
      <c r="O389" s="6">
        <f>SUM(L389:N389)+IF(I389="EUR",K389,K389)</f>
        <v/>
      </c>
      <c r="Q389" s="6">
        <f>IFERROR(O389*P389/100,0)</f>
        <v/>
      </c>
      <c r="R389" t="inlineStr">
        <is>
          <t>Standard</t>
        </is>
      </c>
      <c r="T389" s="6">
        <f>IF(R389="Manual", IFERROR(S389, Summary!B5), IF(R389="Reduced1", Summary!C5, IF(R389="Reduced2", Summary!D5, Summary!B5)))</f>
        <v/>
      </c>
      <c r="U389" s="6">
        <f>IFERROR((O389+Q389)*T389/100,0)</f>
        <v/>
      </c>
      <c r="V389" s="6">
        <f>Q389+U389</f>
        <v/>
      </c>
      <c r="W389" s="6">
        <f>O389+V389</f>
        <v/>
      </c>
    </row>
    <row r="390">
      <c r="A390" s="4" t="n">
        <v>389</v>
      </c>
      <c r="K390" s="6">
        <f>IFERROR(E390*J390,0)</f>
        <v/>
      </c>
      <c r="O390" s="6">
        <f>SUM(L390:N390)+IF(I390="EUR",K390,K390)</f>
        <v/>
      </c>
      <c r="Q390" s="6">
        <f>IFERROR(O390*P390/100,0)</f>
        <v/>
      </c>
      <c r="R390" t="inlineStr">
        <is>
          <t>Standard</t>
        </is>
      </c>
      <c r="T390" s="6">
        <f>IF(R390="Manual", IFERROR(S390, Summary!B5), IF(R390="Reduced1", Summary!C5, IF(R390="Reduced2", Summary!D5, Summary!B5)))</f>
        <v/>
      </c>
      <c r="U390" s="6">
        <f>IFERROR((O390+Q390)*T390/100,0)</f>
        <v/>
      </c>
      <c r="V390" s="6">
        <f>Q390+U390</f>
        <v/>
      </c>
      <c r="W390" s="6">
        <f>O390+V390</f>
        <v/>
      </c>
    </row>
    <row r="391">
      <c r="A391" s="4" t="n">
        <v>390</v>
      </c>
      <c r="K391" s="6">
        <f>IFERROR(E391*J391,0)</f>
        <v/>
      </c>
      <c r="O391" s="6">
        <f>SUM(L391:N391)+IF(I391="EUR",K391,K391)</f>
        <v/>
      </c>
      <c r="Q391" s="6">
        <f>IFERROR(O391*P391/100,0)</f>
        <v/>
      </c>
      <c r="R391" t="inlineStr">
        <is>
          <t>Standard</t>
        </is>
      </c>
      <c r="T391" s="6">
        <f>IF(R391="Manual", IFERROR(S391, Summary!B5), IF(R391="Reduced1", Summary!C5, IF(R391="Reduced2", Summary!D5, Summary!B5)))</f>
        <v/>
      </c>
      <c r="U391" s="6">
        <f>IFERROR((O391+Q391)*T391/100,0)</f>
        <v/>
      </c>
      <c r="V391" s="6">
        <f>Q391+U391</f>
        <v/>
      </c>
      <c r="W391" s="6">
        <f>O391+V391</f>
        <v/>
      </c>
    </row>
    <row r="392">
      <c r="A392" s="4" t="n">
        <v>391</v>
      </c>
      <c r="K392" s="6">
        <f>IFERROR(E392*J392,0)</f>
        <v/>
      </c>
      <c r="O392" s="6">
        <f>SUM(L392:N392)+IF(I392="EUR",K392,K392)</f>
        <v/>
      </c>
      <c r="Q392" s="6">
        <f>IFERROR(O392*P392/100,0)</f>
        <v/>
      </c>
      <c r="R392" t="inlineStr">
        <is>
          <t>Standard</t>
        </is>
      </c>
      <c r="T392" s="6">
        <f>IF(R392="Manual", IFERROR(S392, Summary!B5), IF(R392="Reduced1", Summary!C5, IF(R392="Reduced2", Summary!D5, Summary!B5)))</f>
        <v/>
      </c>
      <c r="U392" s="6">
        <f>IFERROR((O392+Q392)*T392/100,0)</f>
        <v/>
      </c>
      <c r="V392" s="6">
        <f>Q392+U392</f>
        <v/>
      </c>
      <c r="W392" s="6">
        <f>O392+V392</f>
        <v/>
      </c>
    </row>
    <row r="393">
      <c r="A393" s="4" t="n">
        <v>392</v>
      </c>
      <c r="K393" s="6">
        <f>IFERROR(E393*J393,0)</f>
        <v/>
      </c>
      <c r="O393" s="6">
        <f>SUM(L393:N393)+IF(I393="EUR",K393,K393)</f>
        <v/>
      </c>
      <c r="Q393" s="6">
        <f>IFERROR(O393*P393/100,0)</f>
        <v/>
      </c>
      <c r="R393" t="inlineStr">
        <is>
          <t>Standard</t>
        </is>
      </c>
      <c r="T393" s="6">
        <f>IF(R393="Manual", IFERROR(S393, Summary!B5), IF(R393="Reduced1", Summary!C5, IF(R393="Reduced2", Summary!D5, Summary!B5)))</f>
        <v/>
      </c>
      <c r="U393" s="6">
        <f>IFERROR((O393+Q393)*T393/100,0)</f>
        <v/>
      </c>
      <c r="V393" s="6">
        <f>Q393+U393</f>
        <v/>
      </c>
      <c r="W393" s="6">
        <f>O393+V393</f>
        <v/>
      </c>
    </row>
    <row r="394">
      <c r="A394" s="4" t="n">
        <v>393</v>
      </c>
      <c r="K394" s="6">
        <f>IFERROR(E394*J394,0)</f>
        <v/>
      </c>
      <c r="O394" s="6">
        <f>SUM(L394:N394)+IF(I394="EUR",K394,K394)</f>
        <v/>
      </c>
      <c r="Q394" s="6">
        <f>IFERROR(O394*P394/100,0)</f>
        <v/>
      </c>
      <c r="R394" t="inlineStr">
        <is>
          <t>Standard</t>
        </is>
      </c>
      <c r="T394" s="6">
        <f>IF(R394="Manual", IFERROR(S394, Summary!B5), IF(R394="Reduced1", Summary!C5, IF(R394="Reduced2", Summary!D5, Summary!B5)))</f>
        <v/>
      </c>
      <c r="U394" s="6">
        <f>IFERROR((O394+Q394)*T394/100,0)</f>
        <v/>
      </c>
      <c r="V394" s="6">
        <f>Q394+U394</f>
        <v/>
      </c>
      <c r="W394" s="6">
        <f>O394+V394</f>
        <v/>
      </c>
    </row>
    <row r="395">
      <c r="A395" s="4" t="n">
        <v>394</v>
      </c>
      <c r="K395" s="6">
        <f>IFERROR(E395*J395,0)</f>
        <v/>
      </c>
      <c r="O395" s="6">
        <f>SUM(L395:N395)+IF(I395="EUR",K395,K395)</f>
        <v/>
      </c>
      <c r="Q395" s="6">
        <f>IFERROR(O395*P395/100,0)</f>
        <v/>
      </c>
      <c r="R395" t="inlineStr">
        <is>
          <t>Standard</t>
        </is>
      </c>
      <c r="T395" s="6">
        <f>IF(R395="Manual", IFERROR(S395, Summary!B5), IF(R395="Reduced1", Summary!C5, IF(R395="Reduced2", Summary!D5, Summary!B5)))</f>
        <v/>
      </c>
      <c r="U395" s="6">
        <f>IFERROR((O395+Q395)*T395/100,0)</f>
        <v/>
      </c>
      <c r="V395" s="6">
        <f>Q395+U395</f>
        <v/>
      </c>
      <c r="W395" s="6">
        <f>O395+V395</f>
        <v/>
      </c>
    </row>
    <row r="396">
      <c r="A396" s="4" t="n">
        <v>395</v>
      </c>
      <c r="K396" s="6">
        <f>IFERROR(E396*J396,0)</f>
        <v/>
      </c>
      <c r="O396" s="6">
        <f>SUM(L396:N396)+IF(I396="EUR",K396,K396)</f>
        <v/>
      </c>
      <c r="Q396" s="6">
        <f>IFERROR(O396*P396/100,0)</f>
        <v/>
      </c>
      <c r="R396" t="inlineStr">
        <is>
          <t>Standard</t>
        </is>
      </c>
      <c r="T396" s="6">
        <f>IF(R396="Manual", IFERROR(S396, Summary!B5), IF(R396="Reduced1", Summary!C5, IF(R396="Reduced2", Summary!D5, Summary!B5)))</f>
        <v/>
      </c>
      <c r="U396" s="6">
        <f>IFERROR((O396+Q396)*T396/100,0)</f>
        <v/>
      </c>
      <c r="V396" s="6">
        <f>Q396+U396</f>
        <v/>
      </c>
      <c r="W396" s="6">
        <f>O396+V396</f>
        <v/>
      </c>
    </row>
    <row r="397">
      <c r="A397" s="4" t="n">
        <v>396</v>
      </c>
      <c r="K397" s="6">
        <f>IFERROR(E397*J397,0)</f>
        <v/>
      </c>
      <c r="O397" s="6">
        <f>SUM(L397:N397)+IF(I397="EUR",K397,K397)</f>
        <v/>
      </c>
      <c r="Q397" s="6">
        <f>IFERROR(O397*P397/100,0)</f>
        <v/>
      </c>
      <c r="R397" t="inlineStr">
        <is>
          <t>Standard</t>
        </is>
      </c>
      <c r="T397" s="6">
        <f>IF(R397="Manual", IFERROR(S397, Summary!B5), IF(R397="Reduced1", Summary!C5, IF(R397="Reduced2", Summary!D5, Summary!B5)))</f>
        <v/>
      </c>
      <c r="U397" s="6">
        <f>IFERROR((O397+Q397)*T397/100,0)</f>
        <v/>
      </c>
      <c r="V397" s="6">
        <f>Q397+U397</f>
        <v/>
      </c>
      <c r="W397" s="6">
        <f>O397+V397</f>
        <v/>
      </c>
    </row>
    <row r="398">
      <c r="A398" s="4" t="n">
        <v>397</v>
      </c>
      <c r="K398" s="6">
        <f>IFERROR(E398*J398,0)</f>
        <v/>
      </c>
      <c r="O398" s="6">
        <f>SUM(L398:N398)+IF(I398="EUR",K398,K398)</f>
        <v/>
      </c>
      <c r="Q398" s="6">
        <f>IFERROR(O398*P398/100,0)</f>
        <v/>
      </c>
      <c r="R398" t="inlineStr">
        <is>
          <t>Standard</t>
        </is>
      </c>
      <c r="T398" s="6">
        <f>IF(R398="Manual", IFERROR(S398, Summary!B5), IF(R398="Reduced1", Summary!C5, IF(R398="Reduced2", Summary!D5, Summary!B5)))</f>
        <v/>
      </c>
      <c r="U398" s="6">
        <f>IFERROR((O398+Q398)*T398/100,0)</f>
        <v/>
      </c>
      <c r="V398" s="6">
        <f>Q398+U398</f>
        <v/>
      </c>
      <c r="W398" s="6">
        <f>O398+V398</f>
        <v/>
      </c>
    </row>
    <row r="399">
      <c r="A399" s="4" t="n">
        <v>398</v>
      </c>
      <c r="K399" s="6">
        <f>IFERROR(E399*J399,0)</f>
        <v/>
      </c>
      <c r="O399" s="6">
        <f>SUM(L399:N399)+IF(I399="EUR",K399,K399)</f>
        <v/>
      </c>
      <c r="Q399" s="6">
        <f>IFERROR(O399*P399/100,0)</f>
        <v/>
      </c>
      <c r="R399" t="inlineStr">
        <is>
          <t>Standard</t>
        </is>
      </c>
      <c r="T399" s="6">
        <f>IF(R399="Manual", IFERROR(S399, Summary!B5), IF(R399="Reduced1", Summary!C5, IF(R399="Reduced2", Summary!D5, Summary!B5)))</f>
        <v/>
      </c>
      <c r="U399" s="6">
        <f>IFERROR((O399+Q399)*T399/100,0)</f>
        <v/>
      </c>
      <c r="V399" s="6">
        <f>Q399+U399</f>
        <v/>
      </c>
      <c r="W399" s="6">
        <f>O399+V399</f>
        <v/>
      </c>
    </row>
    <row r="400">
      <c r="A400" s="4" t="n">
        <v>399</v>
      </c>
      <c r="K400" s="6">
        <f>IFERROR(E400*J400,0)</f>
        <v/>
      </c>
      <c r="O400" s="6">
        <f>SUM(L400:N400)+IF(I400="EUR",K400,K400)</f>
        <v/>
      </c>
      <c r="Q400" s="6">
        <f>IFERROR(O400*P400/100,0)</f>
        <v/>
      </c>
      <c r="R400" t="inlineStr">
        <is>
          <t>Standard</t>
        </is>
      </c>
      <c r="T400" s="6">
        <f>IF(R400="Manual", IFERROR(S400, Summary!B5), IF(R400="Reduced1", Summary!C5, IF(R400="Reduced2", Summary!D5, Summary!B5)))</f>
        <v/>
      </c>
      <c r="U400" s="6">
        <f>IFERROR((O400+Q400)*T400/100,0)</f>
        <v/>
      </c>
      <c r="V400" s="6">
        <f>Q400+U400</f>
        <v/>
      </c>
      <c r="W400" s="6">
        <f>O400+V400</f>
        <v/>
      </c>
    </row>
    <row r="401">
      <c r="A401" s="4" t="n">
        <v>400</v>
      </c>
      <c r="K401" s="6">
        <f>IFERROR(E401*J401,0)</f>
        <v/>
      </c>
      <c r="O401" s="6">
        <f>SUM(L401:N401)+IF(I401="EUR",K401,K401)</f>
        <v/>
      </c>
      <c r="Q401" s="6">
        <f>IFERROR(O401*P401/100,0)</f>
        <v/>
      </c>
      <c r="R401" t="inlineStr">
        <is>
          <t>Standard</t>
        </is>
      </c>
      <c r="T401" s="6">
        <f>IF(R401="Manual", IFERROR(S401, Summary!B5), IF(R401="Reduced1", Summary!C5, IF(R401="Reduced2", Summary!D5, Summary!B5)))</f>
        <v/>
      </c>
      <c r="U401" s="6">
        <f>IFERROR((O401+Q401)*T401/100,0)</f>
        <v/>
      </c>
      <c r="V401" s="6">
        <f>Q401+U401</f>
        <v/>
      </c>
      <c r="W401" s="6">
        <f>O401+V401</f>
        <v/>
      </c>
    </row>
  </sheetData>
  <conditionalFormatting sqref="B2:B1000">
    <cfRule type="expression" priority="1" dxfId="0" stopIfTrue="0">
      <formula>=LEN(B2)=0</formula>
    </cfRule>
  </conditionalFormatting>
  <conditionalFormatting sqref="C2:C1000">
    <cfRule type="expression" priority="2" dxfId="0" stopIfTrue="0">
      <formula>=LEN(C2)=0</formula>
    </cfRule>
  </conditionalFormatting>
  <dataValidations count="4">
    <dataValidation sqref="F2:F1000" showErrorMessage="1" showInputMessage="1" allowBlank="0" type="list">
      <formula1>=Units</formula1>
    </dataValidation>
    <dataValidation sqref="I2:I1000" showErrorMessage="1" showInputMessage="1" allowBlank="0" type="list">
      <formula1>=Currency</formula1>
    </dataValidation>
    <dataValidation sqref="D2:D1000" showErrorMessage="1" showInputMessage="1" allowBlank="0" type="list">
      <formula1>=CountryISO</formula1>
    </dataValidation>
    <dataValidation sqref="R2:R1000" showErrorMessage="1" showInputMessage="1" allowBlank="0" type="list">
      <formula1>=VATTypeList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Country</t>
        </is>
      </c>
      <c r="B1" t="inlineStr">
        <is>
          <t>Austria</t>
        </is>
      </c>
      <c r="C1" t="inlineStr">
        <is>
          <t>Belgium</t>
        </is>
      </c>
      <c r="D1" t="inlineStr">
        <is>
          <t>Bulgaria</t>
        </is>
      </c>
      <c r="E1" t="inlineStr">
        <is>
          <t>Croatia</t>
        </is>
      </c>
      <c r="F1" t="inlineStr">
        <is>
          <t>Cyprus</t>
        </is>
      </c>
      <c r="G1" t="inlineStr">
        <is>
          <t>Czech Republic</t>
        </is>
      </c>
      <c r="H1" t="inlineStr">
        <is>
          <t>Denmark</t>
        </is>
      </c>
      <c r="I1" t="inlineStr">
        <is>
          <t>Estonia</t>
        </is>
      </c>
      <c r="J1" t="inlineStr">
        <is>
          <t>Finland</t>
        </is>
      </c>
      <c r="K1" t="inlineStr">
        <is>
          <t>France</t>
        </is>
      </c>
      <c r="L1" t="inlineStr">
        <is>
          <t>Germany</t>
        </is>
      </c>
      <c r="M1" t="inlineStr">
        <is>
          <t>Greece</t>
        </is>
      </c>
      <c r="N1" t="inlineStr">
        <is>
          <t>Hungary</t>
        </is>
      </c>
      <c r="O1" t="inlineStr">
        <is>
          <t>Ireland</t>
        </is>
      </c>
      <c r="P1" t="inlineStr">
        <is>
          <t>Italy</t>
        </is>
      </c>
      <c r="Q1" t="inlineStr">
        <is>
          <t>Latvia</t>
        </is>
      </c>
      <c r="R1" t="inlineStr">
        <is>
          <t>Lithuania</t>
        </is>
      </c>
      <c r="S1" t="inlineStr">
        <is>
          <t>Luxembourg</t>
        </is>
      </c>
      <c r="T1" t="inlineStr">
        <is>
          <t>Malta</t>
        </is>
      </c>
      <c r="U1" t="inlineStr">
        <is>
          <t>Netherlands</t>
        </is>
      </c>
      <c r="V1" t="inlineStr">
        <is>
          <t>Poland</t>
        </is>
      </c>
      <c r="W1" t="inlineStr">
        <is>
          <t>Portugal</t>
        </is>
      </c>
      <c r="X1" t="inlineStr">
        <is>
          <t>Romania</t>
        </is>
      </c>
      <c r="Y1" t="inlineStr">
        <is>
          <t>Slovakia</t>
        </is>
      </c>
      <c r="Z1" t="inlineStr">
        <is>
          <t>Slovenia</t>
        </is>
      </c>
      <c r="AA1" t="inlineStr">
        <is>
          <t>Spain</t>
        </is>
      </c>
      <c r="AB1" t="inlineStr">
        <is>
          <t>Sweden</t>
        </is>
      </c>
      <c r="AC1" t="inlineStr">
        <is>
          <t>United Kingdom</t>
        </is>
      </c>
      <c r="AD1" t="inlineStr">
        <is>
          <t>Norway</t>
        </is>
      </c>
      <c r="AE1" t="inlineStr">
        <is>
          <t>Switzerland</t>
        </is>
      </c>
      <c r="AF1" t="inlineStr">
        <is>
          <t>Iceland</t>
        </is>
      </c>
      <c r="AG1" t="inlineStr">
        <is>
          <t>Liechtenstein</t>
        </is>
      </c>
    </row>
    <row r="2">
      <c r="A2" s="3" t="inlineStr">
        <is>
          <t>CountryISO</t>
        </is>
      </c>
      <c r="B2" t="inlineStr">
        <is>
          <t>AT</t>
        </is>
      </c>
      <c r="C2" t="inlineStr">
        <is>
          <t>BE</t>
        </is>
      </c>
      <c r="D2" t="inlineStr">
        <is>
          <t>BG</t>
        </is>
      </c>
      <c r="E2" t="inlineStr">
        <is>
          <t>HR</t>
        </is>
      </c>
      <c r="F2" t="inlineStr">
        <is>
          <t>CY</t>
        </is>
      </c>
      <c r="G2" t="inlineStr">
        <is>
          <t>CZ</t>
        </is>
      </c>
      <c r="H2" t="inlineStr">
        <is>
          <t>DK</t>
        </is>
      </c>
      <c r="I2" t="inlineStr">
        <is>
          <t>EE</t>
        </is>
      </c>
      <c r="J2" t="inlineStr">
        <is>
          <t>FI</t>
        </is>
      </c>
      <c r="K2" t="inlineStr">
        <is>
          <t>FR</t>
        </is>
      </c>
      <c r="L2" t="inlineStr">
        <is>
          <t>DE</t>
        </is>
      </c>
      <c r="M2" t="inlineStr">
        <is>
          <t>GR</t>
        </is>
      </c>
      <c r="N2" t="inlineStr">
        <is>
          <t>HU</t>
        </is>
      </c>
      <c r="O2" t="inlineStr">
        <is>
          <t>IE</t>
        </is>
      </c>
      <c r="P2" t="inlineStr">
        <is>
          <t>IT</t>
        </is>
      </c>
      <c r="Q2" t="inlineStr">
        <is>
          <t>LV</t>
        </is>
      </c>
      <c r="R2" t="inlineStr">
        <is>
          <t>LT</t>
        </is>
      </c>
      <c r="S2" t="inlineStr">
        <is>
          <t>LU</t>
        </is>
      </c>
      <c r="T2" t="inlineStr">
        <is>
          <t>MT</t>
        </is>
      </c>
      <c r="U2" t="inlineStr">
        <is>
          <t>NL</t>
        </is>
      </c>
      <c r="V2" t="inlineStr">
        <is>
          <t>PL</t>
        </is>
      </c>
      <c r="W2" t="inlineStr">
        <is>
          <t>PT</t>
        </is>
      </c>
      <c r="X2" t="inlineStr">
        <is>
          <t>RO</t>
        </is>
      </c>
      <c r="Y2" t="inlineStr">
        <is>
          <t>SK</t>
        </is>
      </c>
      <c r="Z2" t="inlineStr">
        <is>
          <t>SI</t>
        </is>
      </c>
      <c r="AA2" t="inlineStr">
        <is>
          <t>ES</t>
        </is>
      </c>
      <c r="AB2" t="inlineStr">
        <is>
          <t>SE</t>
        </is>
      </c>
      <c r="AC2" t="inlineStr">
        <is>
          <t>GB</t>
        </is>
      </c>
      <c r="AD2" t="inlineStr">
        <is>
          <t>NO</t>
        </is>
      </c>
      <c r="AE2" t="inlineStr">
        <is>
          <t>CH</t>
        </is>
      </c>
      <c r="AF2" t="inlineStr">
        <is>
          <t>IS</t>
        </is>
      </c>
      <c r="AG2" t="inlineStr">
        <is>
          <t>LI</t>
        </is>
      </c>
    </row>
    <row r="4">
      <c r="A4" s="5" t="inlineStr">
        <is>
          <t>Incoterms</t>
        </is>
      </c>
      <c r="B4" t="inlineStr">
        <is>
          <t>EXW</t>
        </is>
      </c>
      <c r="C4" t="inlineStr">
        <is>
          <t>FCA</t>
        </is>
      </c>
      <c r="D4" t="inlineStr">
        <is>
          <t>CPT</t>
        </is>
      </c>
      <c r="E4" t="inlineStr">
        <is>
          <t>CIP</t>
        </is>
      </c>
      <c r="F4" t="inlineStr">
        <is>
          <t>DAP</t>
        </is>
      </c>
      <c r="G4" t="inlineStr">
        <is>
          <t>DPU</t>
        </is>
      </c>
      <c r="H4" t="inlineStr">
        <is>
          <t>DDP</t>
        </is>
      </c>
      <c r="I4" t="inlineStr">
        <is>
          <t>FAS</t>
        </is>
      </c>
      <c r="J4" t="inlineStr">
        <is>
          <t>FOB</t>
        </is>
      </c>
      <c r="K4" t="inlineStr">
        <is>
          <t>CFR</t>
        </is>
      </c>
      <c r="L4" t="inlineStr">
        <is>
          <t>CIF</t>
        </is>
      </c>
    </row>
    <row r="5">
      <c r="A5" s="5" t="inlineStr">
        <is>
          <t>TransportMode</t>
        </is>
      </c>
      <c r="B5" t="inlineStr">
        <is>
          <t>1 - Sea</t>
        </is>
      </c>
      <c r="C5" t="inlineStr">
        <is>
          <t>2 - Rail</t>
        </is>
      </c>
      <c r="D5" t="inlineStr">
        <is>
          <t>3 - Road</t>
        </is>
      </c>
      <c r="E5" t="inlineStr">
        <is>
          <t>4 - Air</t>
        </is>
      </c>
      <c r="F5" t="inlineStr">
        <is>
          <t>5 - Mail</t>
        </is>
      </c>
      <c r="G5" t="inlineStr">
        <is>
          <t>6 - Fixed installations</t>
        </is>
      </c>
      <c r="H5" t="inlineStr">
        <is>
          <t>7 - Inland waterway</t>
        </is>
      </c>
      <c r="I5" t="inlineStr">
        <is>
          <t>9 - Own propulsion</t>
        </is>
      </c>
    </row>
    <row r="6">
      <c r="A6" s="5" t="inlineStr">
        <is>
          <t>Currency</t>
        </is>
      </c>
      <c r="B6" t="inlineStr">
        <is>
          <t>EUR</t>
        </is>
      </c>
      <c r="C6" t="inlineStr">
        <is>
          <t>USD</t>
        </is>
      </c>
      <c r="D6" t="inlineStr">
        <is>
          <t>GBP</t>
        </is>
      </c>
      <c r="E6" t="inlineStr">
        <is>
          <t>SEK</t>
        </is>
      </c>
      <c r="F6" t="inlineStr">
        <is>
          <t>NOK</t>
        </is>
      </c>
      <c r="G6" t="inlineStr">
        <is>
          <t>DKK</t>
        </is>
      </c>
      <c r="H6" t="inlineStr">
        <is>
          <t>CHF</t>
        </is>
      </c>
      <c r="I6" t="inlineStr">
        <is>
          <t>PLN</t>
        </is>
      </c>
      <c r="J6" t="inlineStr">
        <is>
          <t>CZK</t>
        </is>
      </c>
      <c r="K6" t="inlineStr">
        <is>
          <t>JPY</t>
        </is>
      </c>
      <c r="L6" t="inlineStr">
        <is>
          <t>CNY</t>
        </is>
      </c>
    </row>
    <row r="7">
      <c r="A7" s="5" t="inlineStr">
        <is>
          <t>Units</t>
        </is>
      </c>
      <c r="B7" t="inlineStr">
        <is>
          <t>PCE</t>
        </is>
      </c>
      <c r="C7" t="inlineStr">
        <is>
          <t>KG</t>
        </is>
      </c>
      <c r="D7" t="inlineStr">
        <is>
          <t>LTR</t>
        </is>
      </c>
      <c r="E7" t="inlineStr">
        <is>
          <t>MTR</t>
        </is>
      </c>
      <c r="F7" t="inlineStr">
        <is>
          <t>M2</t>
        </is>
      </c>
      <c r="G7" t="inlineStr">
        <is>
          <t>M3</t>
        </is>
      </c>
      <c r="H7" t="inlineStr">
        <is>
          <t>SET</t>
        </is>
      </c>
      <c r="I7" t="inlineStr">
        <is>
          <t>PAI</t>
        </is>
      </c>
    </row>
    <row r="8">
      <c r="A8" s="5" t="inlineStr">
        <is>
          <t>ProcedureCode</t>
        </is>
      </c>
      <c r="B8" t="inlineStr">
        <is>
          <t>4000 - Release for free circulation</t>
        </is>
      </c>
      <c r="C8" t="inlineStr">
        <is>
          <t>4200 - Release + onward supply</t>
        </is>
      </c>
      <c r="D8" t="inlineStr">
        <is>
          <t>1000 - Definitive export</t>
        </is>
      </c>
      <c r="E8" t="inlineStr">
        <is>
          <t>1040 - Temporary export</t>
        </is>
      </c>
      <c r="F8" t="inlineStr">
        <is>
          <t>3171 - Transit</t>
        </is>
      </c>
      <c r="G8" t="inlineStr">
        <is>
          <t>5100 - Inward processing</t>
        </is>
      </c>
      <c r="H8" t="inlineStr">
        <is>
          <t>6100 - Temporary admission</t>
        </is>
      </c>
    </row>
    <row r="10">
      <c r="A10" s="3" t="inlineStr">
        <is>
          <t>LangCodes</t>
        </is>
      </c>
      <c r="B10" t="inlineStr">
        <is>
          <t>EN</t>
        </is>
      </c>
      <c r="C10" t="inlineStr">
        <is>
          <t>EE</t>
        </is>
      </c>
      <c r="D10" t="inlineStr">
        <is>
          <t>DE</t>
        </is>
      </c>
      <c r="E10" t="inlineStr">
        <is>
          <t>FR</t>
        </is>
      </c>
    </row>
    <row r="12">
      <c r="A12" s="3" t="inlineStr">
        <is>
          <t>CountryLanguageMap</t>
        </is>
      </c>
    </row>
    <row r="13">
      <c r="A13" t="inlineStr">
        <is>
          <t>Austria</t>
        </is>
      </c>
      <c r="B13" t="inlineStr">
        <is>
          <t>DE</t>
        </is>
      </c>
    </row>
    <row r="14">
      <c r="A14" t="inlineStr">
        <is>
          <t>Belgium</t>
        </is>
      </c>
      <c r="B14" t="inlineStr">
        <is>
          <t>FR</t>
        </is>
      </c>
    </row>
    <row r="15">
      <c r="A15" t="inlineStr">
        <is>
          <t>Bulgaria</t>
        </is>
      </c>
      <c r="B15" t="inlineStr">
        <is>
          <t>EN</t>
        </is>
      </c>
    </row>
    <row r="16">
      <c r="A16" t="inlineStr">
        <is>
          <t>Croatia</t>
        </is>
      </c>
      <c r="B16" t="inlineStr">
        <is>
          <t>EN</t>
        </is>
      </c>
    </row>
    <row r="17">
      <c r="A17" t="inlineStr">
        <is>
          <t>Cyprus</t>
        </is>
      </c>
      <c r="B17" t="inlineStr">
        <is>
          <t>EN</t>
        </is>
      </c>
    </row>
    <row r="18">
      <c r="A18" t="inlineStr">
        <is>
          <t>Czech Republic</t>
        </is>
      </c>
      <c r="B18" t="inlineStr">
        <is>
          <t>EN</t>
        </is>
      </c>
    </row>
    <row r="19">
      <c r="A19" t="inlineStr">
        <is>
          <t>Denmark</t>
        </is>
      </c>
      <c r="B19" t="inlineStr">
        <is>
          <t>EN</t>
        </is>
      </c>
    </row>
    <row r="20">
      <c r="A20" t="inlineStr">
        <is>
          <t>Estonia</t>
        </is>
      </c>
      <c r="B20" t="inlineStr">
        <is>
          <t>EE</t>
        </is>
      </c>
    </row>
    <row r="21">
      <c r="A21" t="inlineStr">
        <is>
          <t>Finland</t>
        </is>
      </c>
      <c r="B21" t="inlineStr">
        <is>
          <t>EN</t>
        </is>
      </c>
    </row>
    <row r="22">
      <c r="A22" t="inlineStr">
        <is>
          <t>France</t>
        </is>
      </c>
      <c r="B22" t="inlineStr">
        <is>
          <t>FR</t>
        </is>
      </c>
    </row>
    <row r="23">
      <c r="A23" t="inlineStr">
        <is>
          <t>Germany</t>
        </is>
      </c>
      <c r="B23" t="inlineStr">
        <is>
          <t>DE</t>
        </is>
      </c>
    </row>
    <row r="24">
      <c r="A24" t="inlineStr">
        <is>
          <t>Greece</t>
        </is>
      </c>
      <c r="B24" t="inlineStr">
        <is>
          <t>EN</t>
        </is>
      </c>
    </row>
    <row r="25">
      <c r="A25" t="inlineStr">
        <is>
          <t>Hungary</t>
        </is>
      </c>
      <c r="B25" t="inlineStr">
        <is>
          <t>EN</t>
        </is>
      </c>
    </row>
    <row r="26">
      <c r="A26" t="inlineStr">
        <is>
          <t>Ireland</t>
        </is>
      </c>
      <c r="B26" t="inlineStr">
        <is>
          <t>EN</t>
        </is>
      </c>
    </row>
    <row r="27">
      <c r="A27" t="inlineStr">
        <is>
          <t>Italy</t>
        </is>
      </c>
      <c r="B27" t="inlineStr">
        <is>
          <t>EN</t>
        </is>
      </c>
    </row>
    <row r="28">
      <c r="A28" t="inlineStr">
        <is>
          <t>Latvia</t>
        </is>
      </c>
      <c r="B28" t="inlineStr">
        <is>
          <t>EN</t>
        </is>
      </c>
    </row>
    <row r="29">
      <c r="A29" t="inlineStr">
        <is>
          <t>Lithuania</t>
        </is>
      </c>
      <c r="B29" t="inlineStr">
        <is>
          <t>EN</t>
        </is>
      </c>
    </row>
    <row r="30">
      <c r="A30" t="inlineStr">
        <is>
          <t>Luxembourg</t>
        </is>
      </c>
      <c r="B30" t="inlineStr">
        <is>
          <t>FR</t>
        </is>
      </c>
    </row>
    <row r="31">
      <c r="A31" t="inlineStr">
        <is>
          <t>Malta</t>
        </is>
      </c>
      <c r="B31" t="inlineStr">
        <is>
          <t>EN</t>
        </is>
      </c>
    </row>
    <row r="32">
      <c r="A32" t="inlineStr">
        <is>
          <t>Netherlands</t>
        </is>
      </c>
      <c r="B32" t="inlineStr">
        <is>
          <t>EN</t>
        </is>
      </c>
    </row>
    <row r="33">
      <c r="A33" t="inlineStr">
        <is>
          <t>Poland</t>
        </is>
      </c>
      <c r="B33" t="inlineStr">
        <is>
          <t>EN</t>
        </is>
      </c>
    </row>
    <row r="34">
      <c r="A34" t="inlineStr">
        <is>
          <t>Portugal</t>
        </is>
      </c>
      <c r="B34" t="inlineStr">
        <is>
          <t>EN</t>
        </is>
      </c>
    </row>
    <row r="35">
      <c r="A35" t="inlineStr">
        <is>
          <t>Romania</t>
        </is>
      </c>
      <c r="B35" t="inlineStr">
        <is>
          <t>EN</t>
        </is>
      </c>
    </row>
    <row r="36">
      <c r="A36" t="inlineStr">
        <is>
          <t>Slovakia</t>
        </is>
      </c>
      <c r="B36" t="inlineStr">
        <is>
          <t>EN</t>
        </is>
      </c>
    </row>
    <row r="37">
      <c r="A37" t="inlineStr">
        <is>
          <t>Slovenia</t>
        </is>
      </c>
      <c r="B37" t="inlineStr">
        <is>
          <t>EN</t>
        </is>
      </c>
    </row>
    <row r="38">
      <c r="A38" t="inlineStr">
        <is>
          <t>Spain</t>
        </is>
      </c>
      <c r="B38" t="inlineStr">
        <is>
          <t>EN</t>
        </is>
      </c>
    </row>
    <row r="39">
      <c r="A39" t="inlineStr">
        <is>
          <t>Sweden</t>
        </is>
      </c>
      <c r="B39" t="inlineStr">
        <is>
          <t>EN</t>
        </is>
      </c>
    </row>
    <row r="40">
      <c r="A40" t="inlineStr">
        <is>
          <t>United Kingdom</t>
        </is>
      </c>
      <c r="B40" t="inlineStr">
        <is>
          <t>EN</t>
        </is>
      </c>
    </row>
    <row r="41">
      <c r="A41" t="inlineStr">
        <is>
          <t>Norway</t>
        </is>
      </c>
      <c r="B41" t="inlineStr">
        <is>
          <t>EN</t>
        </is>
      </c>
    </row>
    <row r="42">
      <c r="A42" t="inlineStr">
        <is>
          <t>Switzerland</t>
        </is>
      </c>
      <c r="B42" t="inlineStr">
        <is>
          <t>DE</t>
        </is>
      </c>
    </row>
    <row r="43">
      <c r="A43" t="inlineStr">
        <is>
          <t>Iceland</t>
        </is>
      </c>
      <c r="B43" t="inlineStr">
        <is>
          <t>EN</t>
        </is>
      </c>
    </row>
    <row r="44">
      <c r="A44" t="inlineStr">
        <is>
          <t>Liechtenstein</t>
        </is>
      </c>
      <c r="B44" t="inlineStr">
        <is>
          <t>DE</t>
        </is>
      </c>
    </row>
    <row r="198">
      <c r="A198" s="3" t="inlineStr">
        <is>
          <t>VATType</t>
        </is>
      </c>
      <c r="B198" t="inlineStr">
        <is>
          <t>Standard</t>
        </is>
      </c>
      <c r="C198" t="inlineStr">
        <is>
          <t>Reduced1</t>
        </is>
      </c>
      <c r="D198" t="inlineStr">
        <is>
          <t>Reduced2</t>
        </is>
      </c>
      <c r="E198" t="inlineStr">
        <is>
          <t>Manual</t>
        </is>
      </c>
    </row>
    <row r="200">
      <c r="A200" s="3" t="inlineStr">
        <is>
          <t>VAT_Table</t>
        </is>
      </c>
    </row>
    <row r="201">
      <c r="A201" s="3" t="inlineStr">
        <is>
          <t>Country</t>
        </is>
      </c>
      <c r="B201" s="3" t="inlineStr">
        <is>
          <t>Standard</t>
        </is>
      </c>
      <c r="C201" s="3" t="inlineStr">
        <is>
          <t>Reduced1</t>
        </is>
      </c>
      <c r="D201" s="3" t="inlineStr">
        <is>
          <t>Reduced2</t>
        </is>
      </c>
    </row>
    <row r="202">
      <c r="A202" t="inlineStr">
        <is>
          <t>Austria</t>
        </is>
      </c>
      <c r="B202" t="n">
        <v>20</v>
      </c>
      <c r="C202" t="n">
        <v>10</v>
      </c>
      <c r="D202" t="n">
        <v>13</v>
      </c>
    </row>
    <row r="203">
      <c r="A203" t="inlineStr">
        <is>
          <t>Belgium</t>
        </is>
      </c>
      <c r="B203" t="n">
        <v>21</v>
      </c>
      <c r="C203" t="n">
        <v>6</v>
      </c>
      <c r="D203" t="n">
        <v>12</v>
      </c>
    </row>
    <row r="204">
      <c r="A204" t="inlineStr">
        <is>
          <t>Bulgaria</t>
        </is>
      </c>
      <c r="B204" t="n">
        <v>20</v>
      </c>
      <c r="C204" t="n">
        <v>9</v>
      </c>
      <c r="D204" t="n">
        <v>0</v>
      </c>
    </row>
    <row r="205">
      <c r="A205" t="inlineStr">
        <is>
          <t>Croatia</t>
        </is>
      </c>
      <c r="B205" t="n">
        <v>25</v>
      </c>
      <c r="C205" t="n">
        <v>13</v>
      </c>
      <c r="D205" t="n">
        <v>5</v>
      </c>
    </row>
    <row r="206">
      <c r="A206" t="inlineStr">
        <is>
          <t>Cyprus</t>
        </is>
      </c>
      <c r="B206" t="n">
        <v>19</v>
      </c>
      <c r="C206" t="n">
        <v>5</v>
      </c>
      <c r="D206" t="n">
        <v>9</v>
      </c>
    </row>
    <row r="207">
      <c r="A207" t="inlineStr">
        <is>
          <t>Czech Republic</t>
        </is>
      </c>
      <c r="B207" t="n">
        <v>21</v>
      </c>
      <c r="C207" t="n">
        <v>12</v>
      </c>
      <c r="D207" t="n">
        <v>10</v>
      </c>
    </row>
    <row r="208">
      <c r="A208" t="inlineStr">
        <is>
          <t>Denmark</t>
        </is>
      </c>
      <c r="B208" t="n">
        <v>25</v>
      </c>
      <c r="C208" t="n">
        <v>0</v>
      </c>
      <c r="D208" t="n">
        <v>0</v>
      </c>
    </row>
    <row r="209">
      <c r="A209" t="inlineStr">
        <is>
          <t>Estonia</t>
        </is>
      </c>
      <c r="B209" t="n">
        <v>22</v>
      </c>
      <c r="C209" t="n">
        <v>9</v>
      </c>
      <c r="D209" t="n">
        <v>5</v>
      </c>
    </row>
    <row r="210">
      <c r="A210" t="inlineStr">
        <is>
          <t>Finland</t>
        </is>
      </c>
      <c r="B210" t="n">
        <v>24</v>
      </c>
      <c r="C210" t="n">
        <v>14</v>
      </c>
      <c r="D210" t="n">
        <v>10</v>
      </c>
    </row>
    <row r="211">
      <c r="A211" t="inlineStr">
        <is>
          <t>France</t>
        </is>
      </c>
      <c r="B211" t="n">
        <v>20</v>
      </c>
      <c r="C211" t="n">
        <v>10</v>
      </c>
      <c r="D211" t="n">
        <v>5.5</v>
      </c>
    </row>
    <row r="212">
      <c r="A212" t="inlineStr">
        <is>
          <t>Germany</t>
        </is>
      </c>
      <c r="B212" t="n">
        <v>19</v>
      </c>
      <c r="C212" t="n">
        <v>7</v>
      </c>
      <c r="D212" t="n">
        <v>0</v>
      </c>
    </row>
    <row r="213">
      <c r="A213" t="inlineStr">
        <is>
          <t>Greece</t>
        </is>
      </c>
      <c r="B213" t="n">
        <v>24</v>
      </c>
      <c r="C213" t="n">
        <v>13</v>
      </c>
      <c r="D213" t="n">
        <v>6</v>
      </c>
    </row>
    <row r="214">
      <c r="A214" t="inlineStr">
        <is>
          <t>Hungary</t>
        </is>
      </c>
      <c r="B214" t="n">
        <v>27</v>
      </c>
      <c r="C214" t="n">
        <v>18</v>
      </c>
      <c r="D214" t="n">
        <v>5</v>
      </c>
    </row>
    <row r="215">
      <c r="A215" t="inlineStr">
        <is>
          <t>Ireland</t>
        </is>
      </c>
      <c r="B215" t="n">
        <v>23</v>
      </c>
      <c r="C215" t="n">
        <v>13.5</v>
      </c>
      <c r="D215" t="n">
        <v>9</v>
      </c>
    </row>
    <row r="216">
      <c r="A216" t="inlineStr">
        <is>
          <t>Italy</t>
        </is>
      </c>
      <c r="B216" t="n">
        <v>22</v>
      </c>
      <c r="C216" t="n">
        <v>10</v>
      </c>
      <c r="D216" t="n">
        <v>5</v>
      </c>
    </row>
    <row r="217">
      <c r="A217" t="inlineStr">
        <is>
          <t>Latvia</t>
        </is>
      </c>
      <c r="B217" t="n">
        <v>21</v>
      </c>
      <c r="C217" t="n">
        <v>12</v>
      </c>
      <c r="D217" t="n">
        <v>5</v>
      </c>
    </row>
    <row r="218">
      <c r="A218" t="inlineStr">
        <is>
          <t>Lithuania</t>
        </is>
      </c>
      <c r="B218" t="n">
        <v>21</v>
      </c>
      <c r="C218" t="n">
        <v>9</v>
      </c>
      <c r="D218" t="n">
        <v>5</v>
      </c>
    </row>
    <row r="219">
      <c r="A219" t="inlineStr">
        <is>
          <t>Luxembourg</t>
        </is>
      </c>
      <c r="B219" t="n">
        <v>17</v>
      </c>
      <c r="C219" t="n">
        <v>8</v>
      </c>
      <c r="D219" t="n">
        <v>3</v>
      </c>
    </row>
    <row r="220">
      <c r="A220" t="inlineStr">
        <is>
          <t>Malta</t>
        </is>
      </c>
      <c r="B220" t="n">
        <v>18</v>
      </c>
      <c r="C220" t="n">
        <v>7</v>
      </c>
      <c r="D220" t="n">
        <v>5</v>
      </c>
    </row>
    <row r="221">
      <c r="A221" t="inlineStr">
        <is>
          <t>Netherlands</t>
        </is>
      </c>
      <c r="B221" t="n">
        <v>21</v>
      </c>
      <c r="C221" t="n">
        <v>9</v>
      </c>
      <c r="D221" t="n">
        <v>0</v>
      </c>
    </row>
    <row r="222">
      <c r="A222" t="inlineStr">
        <is>
          <t>Poland</t>
        </is>
      </c>
      <c r="B222" t="n">
        <v>23</v>
      </c>
      <c r="C222" t="n">
        <v>8</v>
      </c>
      <c r="D222" t="n">
        <v>5</v>
      </c>
    </row>
    <row r="223">
      <c r="A223" t="inlineStr">
        <is>
          <t>Portugal</t>
        </is>
      </c>
      <c r="B223" t="n">
        <v>23</v>
      </c>
      <c r="C223" t="n">
        <v>13</v>
      </c>
      <c r="D223" t="n">
        <v>6</v>
      </c>
    </row>
    <row r="224">
      <c r="A224" t="inlineStr">
        <is>
          <t>Romania</t>
        </is>
      </c>
      <c r="B224" t="n">
        <v>19</v>
      </c>
      <c r="C224" t="n">
        <v>9</v>
      </c>
      <c r="D224" t="n">
        <v>5</v>
      </c>
    </row>
    <row r="225">
      <c r="A225" t="inlineStr">
        <is>
          <t>Slovakia</t>
        </is>
      </c>
      <c r="B225" t="n">
        <v>20</v>
      </c>
      <c r="C225" t="n">
        <v>10</v>
      </c>
      <c r="D225" t="n">
        <v>0</v>
      </c>
    </row>
    <row r="226">
      <c r="A226" t="inlineStr">
        <is>
          <t>Slovenia</t>
        </is>
      </c>
      <c r="B226" t="n">
        <v>22</v>
      </c>
      <c r="C226" t="n">
        <v>9.5</v>
      </c>
      <c r="D226" t="n">
        <v>5</v>
      </c>
    </row>
    <row r="227">
      <c r="A227" t="inlineStr">
        <is>
          <t>Spain</t>
        </is>
      </c>
      <c r="B227" t="n">
        <v>21</v>
      </c>
      <c r="C227" t="n">
        <v>10</v>
      </c>
      <c r="D227" t="n">
        <v>4</v>
      </c>
    </row>
    <row r="228">
      <c r="A228" t="inlineStr">
        <is>
          <t>Sweden</t>
        </is>
      </c>
      <c r="B228" t="n">
        <v>25</v>
      </c>
      <c r="C228" t="n">
        <v>12</v>
      </c>
      <c r="D228" t="n">
        <v>6</v>
      </c>
    </row>
    <row r="229">
      <c r="A229" t="inlineStr">
        <is>
          <t>United Kingdom</t>
        </is>
      </c>
      <c r="B229" t="n">
        <v>20</v>
      </c>
      <c r="C229" t="n">
        <v>5</v>
      </c>
      <c r="D229" t="n">
        <v>0</v>
      </c>
    </row>
    <row r="230">
      <c r="A230" t="inlineStr">
        <is>
          <t>Norway</t>
        </is>
      </c>
      <c r="B230" t="n">
        <v>25</v>
      </c>
      <c r="C230" t="n">
        <v>15</v>
      </c>
      <c r="D230" t="n">
        <v>12</v>
      </c>
    </row>
    <row r="231">
      <c r="A231" t="inlineStr">
        <is>
          <t>Switzerland</t>
        </is>
      </c>
      <c r="B231" t="n">
        <v>8.1</v>
      </c>
      <c r="C231" t="n">
        <v>2.6</v>
      </c>
      <c r="D231" t="n">
        <v>3.8</v>
      </c>
    </row>
    <row r="232">
      <c r="A232" t="inlineStr">
        <is>
          <t>Iceland</t>
        </is>
      </c>
      <c r="B232" t="n">
        <v>24</v>
      </c>
      <c r="C232" t="n">
        <v>11</v>
      </c>
      <c r="D232" t="n">
        <v>0</v>
      </c>
    </row>
    <row r="233">
      <c r="A233" t="inlineStr">
        <is>
          <t>Liechtenstein</t>
        </is>
      </c>
      <c r="B233" t="n">
        <v>8.1</v>
      </c>
      <c r="C233" t="n">
        <v>2.6</v>
      </c>
      <c r="D23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Totals</t>
        </is>
      </c>
    </row>
    <row r="3">
      <c r="A3" s="5" t="inlineStr">
        <is>
          <t>Selected Country</t>
        </is>
      </c>
      <c r="B3" s="6">
        <f>Declaration!B3</f>
        <v/>
      </c>
    </row>
    <row r="4">
      <c r="A4" s="5" t="inlineStr">
        <is>
          <t>Language</t>
        </is>
      </c>
      <c r="B4" s="6">
        <f>Declaration!I3</f>
        <v/>
      </c>
    </row>
    <row r="5">
      <c r="A5" s="5" t="inlineStr">
        <is>
          <t>VAT Rates (%)</t>
        </is>
      </c>
      <c r="B5" s="6">
        <f>IFERROR(XLOOKUP(B3, VAT_Country, VAT_Standard),"")</f>
        <v/>
      </c>
      <c r="C5">
        <f>IFERROR(XLOOKUP(B3, VAT_Country, VAT_Reduced1),"")</f>
        <v/>
      </c>
      <c r="D5">
        <f>IFERROR(XLOOKUP(B3, VAT_Country, VAT_Reduced2),"")</f>
        <v/>
      </c>
    </row>
    <row r="6">
      <c r="A6" s="5" t="inlineStr">
        <is>
          <t>Customs Value (EUR)</t>
        </is>
      </c>
      <c r="B6" s="6">
        <f>SUM(Items!O2:O1000)</f>
        <v/>
      </c>
    </row>
    <row r="7">
      <c r="A7" s="5" t="inlineStr">
        <is>
          <t>Duty (EUR)</t>
        </is>
      </c>
      <c r="B7" s="6">
        <f>SUM(Items!Q2:Q1000)</f>
        <v/>
      </c>
    </row>
    <row r="8">
      <c r="A8" s="5" t="inlineStr">
        <is>
          <t>VAT (EUR)</t>
        </is>
      </c>
      <c r="B8" s="6">
        <f>SUM(Items!U2:U1000)</f>
        <v/>
      </c>
    </row>
    <row r="9">
      <c r="A9" s="5" t="inlineStr">
        <is>
          <t>Total Taxes (EUR)</t>
        </is>
      </c>
      <c r="B9" s="6">
        <f>SUM(Items!V2:V1000)</f>
        <v/>
      </c>
    </row>
    <row r="10">
      <c r="A10" s="5" t="inlineStr">
        <is>
          <t>Grand Total (EUR)</t>
        </is>
      </c>
      <c r="B10" s="6">
        <f>SUM(Items!W2:W1000)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EE</t>
        </is>
      </c>
      <c r="D1" t="inlineStr">
        <is>
          <t>DE</t>
        </is>
      </c>
      <c r="E1" t="inlineStr">
        <is>
          <t>FR</t>
        </is>
      </c>
    </row>
    <row r="2">
      <c r="A2" t="inlineStr">
        <is>
          <t>Select Country</t>
        </is>
      </c>
      <c r="B2" t="inlineStr">
        <is>
          <t>Select Country</t>
        </is>
      </c>
      <c r="C2" t="inlineStr">
        <is>
          <t>Vali riik</t>
        </is>
      </c>
      <c r="D2" t="inlineStr">
        <is>
          <t>Land wählen</t>
        </is>
      </c>
      <c r="E2" t="inlineStr">
        <is>
          <t>Sélectionner le pays</t>
        </is>
      </c>
    </row>
    <row r="3">
      <c r="A3" t="inlineStr">
        <is>
          <t>Select Flow</t>
        </is>
      </c>
      <c r="B3" t="inlineStr">
        <is>
          <t>Select Flow</t>
        </is>
      </c>
      <c r="C3" t="inlineStr">
        <is>
          <t>Vali protsess</t>
        </is>
      </c>
      <c r="D3" t="inlineStr">
        <is>
          <t>Vorgang wählen</t>
        </is>
      </c>
      <c r="E3" t="inlineStr">
        <is>
          <t>Sélectionner le flux</t>
        </is>
      </c>
    </row>
    <row r="4">
      <c r="A4" t="inlineStr">
        <is>
          <t>Declarant (Company Name)</t>
        </is>
      </c>
      <c r="B4" t="inlineStr">
        <is>
          <t>Declarant (Company Name)</t>
        </is>
      </c>
      <c r="C4" t="inlineStr">
        <is>
          <t>Deklarant (Ettevõtte nimi)</t>
        </is>
      </c>
      <c r="D4" t="inlineStr">
        <is>
          <t>Anmelder (Firmenname)</t>
        </is>
      </c>
      <c r="E4" t="inlineStr">
        <is>
          <t>Déclarant (Raison sociale)</t>
        </is>
      </c>
    </row>
    <row r="5">
      <c r="A5" t="inlineStr">
        <is>
          <t>Registry code / EORI / VAT</t>
        </is>
      </c>
      <c r="B5" t="inlineStr">
        <is>
          <t>Registry code / EORI / VAT</t>
        </is>
      </c>
      <c r="C5" t="inlineStr">
        <is>
          <t>Registrikood / EORI / KMKR</t>
        </is>
      </c>
      <c r="D5" t="inlineStr">
        <is>
          <t>Reg.-Nr. / EORI / USt-IdNr.</t>
        </is>
      </c>
      <c r="E5" t="inlineStr">
        <is>
          <t>N° registre / EORI / TVA</t>
        </is>
      </c>
    </row>
    <row r="6">
      <c r="A6" t="inlineStr">
        <is>
          <t>Address</t>
        </is>
      </c>
      <c r="B6" t="inlineStr">
        <is>
          <t>Address</t>
        </is>
      </c>
      <c r="C6" t="inlineStr">
        <is>
          <t>Aadress</t>
        </is>
      </c>
      <c r="D6" t="inlineStr">
        <is>
          <t>Adresse</t>
        </is>
      </c>
      <c r="E6" t="inlineStr">
        <is>
          <t>Adresse</t>
        </is>
      </c>
    </row>
    <row r="7">
      <c r="A7" t="inlineStr">
        <is>
          <t>Contact person</t>
        </is>
      </c>
      <c r="B7" t="inlineStr">
        <is>
          <t>Contact person</t>
        </is>
      </c>
      <c r="C7" t="inlineStr">
        <is>
          <t>Kontaktisik</t>
        </is>
      </c>
      <c r="D7" t="inlineStr">
        <is>
          <t>Ansprechpartner</t>
        </is>
      </c>
      <c r="E7" t="inlineStr">
        <is>
          <t>Contact</t>
        </is>
      </c>
    </row>
    <row r="8">
      <c r="A8" t="inlineStr">
        <is>
          <t>Contact email</t>
        </is>
      </c>
      <c r="B8" t="inlineStr">
        <is>
          <t>Contact email</t>
        </is>
      </c>
      <c r="C8" t="inlineStr">
        <is>
          <t>E-post</t>
        </is>
      </c>
      <c r="D8" t="inlineStr">
        <is>
          <t>E-Mail</t>
        </is>
      </c>
      <c r="E8" t="inlineStr">
        <is>
          <t>E-mail</t>
        </is>
      </c>
    </row>
    <row r="9">
      <c r="A9" t="inlineStr">
        <is>
          <t>Contact phone</t>
        </is>
      </c>
      <c r="B9" t="inlineStr">
        <is>
          <t>Contact phone</t>
        </is>
      </c>
      <c r="C9" t="inlineStr">
        <is>
          <t>Telefon</t>
        </is>
      </c>
      <c r="D9" t="inlineStr">
        <is>
          <t>Telefon</t>
        </is>
      </c>
      <c r="E9" t="inlineStr">
        <is>
          <t>Téléphone</t>
        </is>
      </c>
    </row>
    <row r="10">
      <c r="A10" t="inlineStr">
        <is>
          <t>Consignor (Seller / Exporter)</t>
        </is>
      </c>
      <c r="B10" t="inlineStr">
        <is>
          <t>Consignor (Seller / Exporter)</t>
        </is>
      </c>
      <c r="C10" t="inlineStr">
        <is>
          <t>Saatja (Müüja / Eksportija)</t>
        </is>
      </c>
      <c r="D10" t="inlineStr">
        <is>
          <t>Versender (Verkäufer / Exporteur)</t>
        </is>
      </c>
      <c r="E10" t="inlineStr">
        <is>
          <t>Expéditeur (Vendeur / Exportateur)</t>
        </is>
      </c>
    </row>
    <row r="11">
      <c r="A11" t="inlineStr">
        <is>
          <t>Consignee (Buyer / Importer)</t>
        </is>
      </c>
      <c r="B11" t="inlineStr">
        <is>
          <t>Consignee (Buyer / Importer)</t>
        </is>
      </c>
      <c r="C11" t="inlineStr">
        <is>
          <t>Saaja (Ostja / Importija)</t>
        </is>
      </c>
      <c r="D11" t="inlineStr">
        <is>
          <t>Empfänger (Käufer / Importeur)</t>
        </is>
      </c>
      <c r="E11" t="inlineStr">
        <is>
          <t>Destinataire (Acheteur / Importateur)</t>
        </is>
      </c>
    </row>
    <row r="12">
      <c r="A12" t="inlineStr">
        <is>
          <t>Consignor VAT/EORI</t>
        </is>
      </c>
      <c r="B12" t="inlineStr">
        <is>
          <t>Consignor VAT/EORI</t>
        </is>
      </c>
      <c r="C12" t="inlineStr">
        <is>
          <t>Saatja KMKR/EORI</t>
        </is>
      </c>
      <c r="D12" t="inlineStr">
        <is>
          <t>USt-IdNr./EORI des Versenders</t>
        </is>
      </c>
      <c r="E12" t="inlineStr">
        <is>
          <t>TVA/EORI de l’expéditeur</t>
        </is>
      </c>
    </row>
    <row r="13">
      <c r="A13" t="inlineStr">
        <is>
          <t>Consignee VAT/EORI</t>
        </is>
      </c>
      <c r="B13" t="inlineStr">
        <is>
          <t>Consignee VAT/EORI</t>
        </is>
      </c>
      <c r="C13" t="inlineStr">
        <is>
          <t>Saaja KMKR/EORI</t>
        </is>
      </c>
      <c r="D13" t="inlineStr">
        <is>
          <t>USt-IdNr./EORI des Empfängers</t>
        </is>
      </c>
      <c r="E13" t="inlineStr">
        <is>
          <t>TVA/EORI du destinataire</t>
        </is>
      </c>
    </row>
    <row r="14">
      <c r="A14" t="inlineStr">
        <is>
          <t>Shipment &amp; Procedure</t>
        </is>
      </c>
      <c r="B14" t="inlineStr">
        <is>
          <t>Shipment &amp; Procedure</t>
        </is>
      </c>
      <c r="C14" t="inlineStr">
        <is>
          <t>Saadetis ja protseduur</t>
        </is>
      </c>
      <c r="D14" t="inlineStr">
        <is>
          <t>Sendung &amp; Verfahren</t>
        </is>
      </c>
      <c r="E14" t="inlineStr">
        <is>
          <t>Expédition &amp; Procédure</t>
        </is>
      </c>
    </row>
    <row r="15">
      <c r="A15" t="inlineStr">
        <is>
          <t>Procedure code</t>
        </is>
      </c>
      <c r="B15" t="inlineStr">
        <is>
          <t>Procedure code</t>
        </is>
      </c>
      <c r="C15" t="inlineStr">
        <is>
          <t>Protseduuri kood</t>
        </is>
      </c>
      <c r="D15" t="inlineStr">
        <is>
          <t>Verfahrenscode</t>
        </is>
      </c>
      <c r="E15" t="inlineStr">
        <is>
          <t>Code procédure</t>
        </is>
      </c>
    </row>
    <row r="16">
      <c r="A16" t="inlineStr">
        <is>
          <t>Incoterms</t>
        </is>
      </c>
      <c r="B16" t="inlineStr">
        <is>
          <t>Incoterms</t>
        </is>
      </c>
      <c r="C16" t="inlineStr">
        <is>
          <t>Incoterms</t>
        </is>
      </c>
      <c r="D16" t="inlineStr">
        <is>
          <t>Incoterms</t>
        </is>
      </c>
      <c r="E16" t="inlineStr">
        <is>
          <t>Incoterms</t>
        </is>
      </c>
    </row>
    <row r="17">
      <c r="A17" t="inlineStr">
        <is>
          <t>Country of dispatch/destination (ISO)</t>
        </is>
      </c>
      <c r="B17" t="inlineStr">
        <is>
          <t>Country of dispatch/destination (ISO)</t>
        </is>
      </c>
      <c r="C17" t="inlineStr">
        <is>
          <t>Lähetus-/sihtriik (ISO)</t>
        </is>
      </c>
      <c r="D17" t="inlineStr">
        <is>
          <t>Versand-/Bestimmungsland (ISO)</t>
        </is>
      </c>
      <c r="E17" t="inlineStr">
        <is>
          <t>Pays d’expédition/destination (ISO)</t>
        </is>
      </c>
    </row>
    <row r="18">
      <c r="A18" t="inlineStr">
        <is>
          <t>Mode of transport at border</t>
        </is>
      </c>
      <c r="B18" t="inlineStr">
        <is>
          <t>Mode of transport at border</t>
        </is>
      </c>
      <c r="C18" t="inlineStr">
        <is>
          <t>Transpordiviis piiril</t>
        </is>
      </c>
      <c r="D18" t="inlineStr">
        <is>
          <t>Beförderungsart an der Grenze</t>
        </is>
      </c>
      <c r="E18" t="inlineStr">
        <is>
          <t>Mode de transport à la frontière</t>
        </is>
      </c>
    </row>
    <row r="19">
      <c r="A19" t="inlineStr">
        <is>
          <t>Border crossing point / Vehicle No.</t>
        </is>
      </c>
      <c r="B19" t="inlineStr">
        <is>
          <t>Border crossing point / Vehicle No.</t>
        </is>
      </c>
      <c r="C19" t="inlineStr">
        <is>
          <t>Piiriületuspunkt / Sõiduki nr</t>
        </is>
      </c>
      <c r="D19" t="inlineStr">
        <is>
          <t>Grenzübergang / Fahrzeug-Nr.</t>
        </is>
      </c>
      <c r="E19" t="inlineStr">
        <is>
          <t>Point de passage / N° véhicule</t>
        </is>
      </c>
    </row>
    <row r="20">
      <c r="A20" t="inlineStr">
        <is>
          <t>Invoice number / date</t>
        </is>
      </c>
      <c r="B20" t="inlineStr">
        <is>
          <t>Invoice number / date</t>
        </is>
      </c>
      <c r="C20" t="inlineStr">
        <is>
          <t>Arve nr / kuupäev</t>
        </is>
      </c>
      <c r="D20" t="inlineStr">
        <is>
          <t>Rechnungsnummer / Datum</t>
        </is>
      </c>
      <c r="E20" t="inlineStr">
        <is>
          <t>N° facture / date</t>
        </is>
      </c>
    </row>
    <row r="21">
      <c r="A21" t="inlineStr">
        <is>
          <t>Reference / Order No.</t>
        </is>
      </c>
      <c r="B21" t="inlineStr">
        <is>
          <t>Reference / Order No.</t>
        </is>
      </c>
      <c r="C21" t="inlineStr">
        <is>
          <t>Viide / Tellimuse nr</t>
        </is>
      </c>
      <c r="D21" t="inlineStr">
        <is>
          <t>Referenz / Bestell-Nr.</t>
        </is>
      </c>
      <c r="E21" t="inlineStr">
        <is>
          <t>Référence / N° de commande</t>
        </is>
      </c>
    </row>
    <row r="22">
      <c r="A22" t="inlineStr">
        <is>
          <t>Totals (from Items)</t>
        </is>
      </c>
      <c r="B22" t="inlineStr">
        <is>
          <t>Totals (from Items)</t>
        </is>
      </c>
      <c r="C22" t="inlineStr">
        <is>
          <t>Kokku (kaupadest)</t>
        </is>
      </c>
      <c r="D22" t="inlineStr">
        <is>
          <t>Summen (aus Positionen)</t>
        </is>
      </c>
      <c r="E22" t="inlineStr">
        <is>
          <t>Totaux (des lignes)</t>
        </is>
      </c>
    </row>
    <row r="23">
      <c r="A23" t="inlineStr">
        <is>
          <t>Customs Value (EUR)</t>
        </is>
      </c>
      <c r="B23" t="inlineStr">
        <is>
          <t>Customs Value (EUR)</t>
        </is>
      </c>
      <c r="C23" t="inlineStr">
        <is>
          <t>Tolliväärtus (EUR)</t>
        </is>
      </c>
      <c r="D23" t="inlineStr">
        <is>
          <t>Zollwert (EUR)</t>
        </is>
      </c>
      <c r="E23" t="inlineStr">
        <is>
          <t>Valeur en douane (EUR)</t>
        </is>
      </c>
    </row>
    <row r="24">
      <c r="A24" t="inlineStr">
        <is>
          <t>Duty (EUR)</t>
        </is>
      </c>
      <c r="B24" t="inlineStr">
        <is>
          <t>Duty (EUR)</t>
        </is>
      </c>
      <c r="C24" t="inlineStr">
        <is>
          <t>Tollimaks (EUR)</t>
        </is>
      </c>
      <c r="D24" t="inlineStr">
        <is>
          <t>Zoll (EUR)</t>
        </is>
      </c>
      <c r="E24" t="inlineStr">
        <is>
          <t>Droit de douane (EUR)</t>
        </is>
      </c>
    </row>
    <row r="25">
      <c r="A25" t="inlineStr">
        <is>
          <t>VAT (EUR)</t>
        </is>
      </c>
      <c r="B25" t="inlineStr">
        <is>
          <t>VAT (EUR)</t>
        </is>
      </c>
      <c r="C25" t="inlineStr">
        <is>
          <t>KM (EUR)</t>
        </is>
      </c>
      <c r="D25" t="inlineStr">
        <is>
          <t>MwSt. (EUR)</t>
        </is>
      </c>
      <c r="E25" t="inlineStr">
        <is>
          <t>TVA (EUR)</t>
        </is>
      </c>
    </row>
    <row r="26">
      <c r="A26" t="inlineStr">
        <is>
          <t>Total Taxes (EUR)</t>
        </is>
      </c>
      <c r="B26" t="inlineStr">
        <is>
          <t>Total Taxes (EUR)</t>
        </is>
      </c>
      <c r="C26" t="inlineStr">
        <is>
          <t>Maksud kokku (EUR)</t>
        </is>
      </c>
      <c r="D26" t="inlineStr">
        <is>
          <t>Steuern gesamt (EUR)</t>
        </is>
      </c>
      <c r="E26" t="inlineStr">
        <is>
          <t>Taxes totales (EUR)</t>
        </is>
      </c>
    </row>
    <row r="27">
      <c r="A27" t="inlineStr">
        <is>
          <t>Grand Total (EUR)</t>
        </is>
      </c>
      <c r="B27" t="inlineStr">
        <is>
          <t>Grand Total (EUR)</t>
        </is>
      </c>
      <c r="C27" t="inlineStr">
        <is>
          <t>Summa kokku (EUR)</t>
        </is>
      </c>
      <c r="D27" t="inlineStr">
        <is>
          <t>Gesamtsumme (EUR)</t>
        </is>
      </c>
      <c r="E27" t="inlineStr">
        <is>
          <t>Total général (EUR)</t>
        </is>
      </c>
    </row>
    <row r="28">
      <c r="A28" t="inlineStr">
        <is>
          <t>Language</t>
        </is>
      </c>
      <c r="B28" t="inlineStr">
        <is>
          <t>Language</t>
        </is>
      </c>
      <c r="C28" t="inlineStr">
        <is>
          <t>Keel</t>
        </is>
      </c>
      <c r="D28" t="inlineStr">
        <is>
          <t>Sprache</t>
        </is>
      </c>
      <c r="E28" t="inlineStr">
        <is>
          <t>Langue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2025-08-17T17:09:02Z</dcterms:created>
  <dcterms:modified xmlns:dcterms="http://purl.org/dc/terms/" xmlns:xsi="http://www.w3.org/2001/XMLSchema-instance" xsi:type="dcterms:W3CDTF">2025-08-17T17:09:02Z</dcterms:modified>
</cp:coreProperties>
</file>