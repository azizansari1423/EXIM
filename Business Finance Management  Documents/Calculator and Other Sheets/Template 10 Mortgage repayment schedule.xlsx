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02C3273E-BA94-D14D-B222-2EB8DB3415CF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Working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30" i="2" l="1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C512" i="2"/>
  <c r="B512" i="2"/>
  <c r="B511" i="2"/>
  <c r="C511" i="2" s="1"/>
  <c r="B510" i="2"/>
  <c r="C510" i="2" s="1"/>
  <c r="B509" i="2"/>
  <c r="C509" i="2" s="1"/>
  <c r="B508" i="2"/>
  <c r="C508" i="2" s="1"/>
  <c r="C507" i="2"/>
  <c r="B507" i="2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C499" i="2"/>
  <c r="B499" i="2"/>
  <c r="B498" i="2"/>
  <c r="C498" i="2" s="1"/>
  <c r="B497" i="2"/>
  <c r="C497" i="2" s="1"/>
  <c r="B496" i="2"/>
  <c r="C496" i="2" s="1"/>
  <c r="C495" i="2"/>
  <c r="B495" i="2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C487" i="2"/>
  <c r="B487" i="2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C461" i="2"/>
  <c r="B461" i="2"/>
  <c r="B460" i="2"/>
  <c r="C460" i="2" s="1"/>
  <c r="B459" i="2"/>
  <c r="C459" i="2" s="1"/>
  <c r="B458" i="2"/>
  <c r="C458" i="2" s="1"/>
  <c r="B457" i="2"/>
  <c r="C457" i="2" s="1"/>
  <c r="B456" i="2"/>
  <c r="C456" i="2" s="1"/>
  <c r="C455" i="2"/>
  <c r="B455" i="2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C443" i="2"/>
  <c r="B443" i="2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C431" i="2"/>
  <c r="B431" i="2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C415" i="2"/>
  <c r="B415" i="2"/>
  <c r="B414" i="2"/>
  <c r="C414" i="2" s="1"/>
  <c r="B413" i="2"/>
  <c r="C413" i="2" s="1"/>
  <c r="C412" i="2"/>
  <c r="B412" i="2"/>
  <c r="C411" i="2"/>
  <c r="B411" i="2"/>
  <c r="B410" i="2"/>
  <c r="C410" i="2" s="1"/>
  <c r="B409" i="2"/>
  <c r="C409" i="2" s="1"/>
  <c r="C408" i="2"/>
  <c r="B408" i="2"/>
  <c r="C407" i="2"/>
  <c r="B407" i="2"/>
  <c r="B406" i="2"/>
  <c r="C406" i="2" s="1"/>
  <c r="B405" i="2"/>
  <c r="C405" i="2" s="1"/>
  <c r="C404" i="2"/>
  <c r="B404" i="2"/>
  <c r="C403" i="2"/>
  <c r="B403" i="2"/>
  <c r="B402" i="2"/>
  <c r="C402" i="2" s="1"/>
  <c r="B401" i="2"/>
  <c r="C401" i="2" s="1"/>
  <c r="B400" i="2"/>
  <c r="C400" i="2" s="1"/>
  <c r="C399" i="2"/>
  <c r="B399" i="2"/>
  <c r="B398" i="2"/>
  <c r="C398" i="2" s="1"/>
  <c r="B397" i="2"/>
  <c r="C397" i="2" s="1"/>
  <c r="B396" i="2"/>
  <c r="C396" i="2" s="1"/>
  <c r="C395" i="2"/>
  <c r="B395" i="2"/>
  <c r="B394" i="2"/>
  <c r="C394" i="2" s="1"/>
  <c r="B393" i="2"/>
  <c r="C393" i="2" s="1"/>
  <c r="B392" i="2"/>
  <c r="C392" i="2" s="1"/>
  <c r="C391" i="2"/>
  <c r="B391" i="2"/>
  <c r="B390" i="2"/>
  <c r="C390" i="2" s="1"/>
  <c r="B389" i="2"/>
  <c r="C389" i="2" s="1"/>
  <c r="B388" i="2"/>
  <c r="C388" i="2" s="1"/>
  <c r="C387" i="2"/>
  <c r="B387" i="2"/>
  <c r="B386" i="2"/>
  <c r="C386" i="2" s="1"/>
  <c r="B385" i="2"/>
  <c r="C385" i="2" s="1"/>
  <c r="B384" i="2"/>
  <c r="C384" i="2" s="1"/>
  <c r="C383" i="2"/>
  <c r="B383" i="2"/>
  <c r="B382" i="2"/>
  <c r="C382" i="2" s="1"/>
  <c r="B381" i="2"/>
  <c r="C381" i="2" s="1"/>
  <c r="B380" i="2"/>
  <c r="C380" i="2" s="1"/>
  <c r="C379" i="2"/>
  <c r="B379" i="2"/>
  <c r="B378" i="2"/>
  <c r="C378" i="2" s="1"/>
  <c r="B377" i="2"/>
  <c r="C377" i="2" s="1"/>
  <c r="B376" i="2"/>
  <c r="C376" i="2" s="1"/>
  <c r="C375" i="2"/>
  <c r="B375" i="2"/>
  <c r="B374" i="2"/>
  <c r="C374" i="2" s="1"/>
  <c r="B373" i="2"/>
  <c r="C373" i="2" s="1"/>
  <c r="B372" i="2"/>
  <c r="C372" i="2" s="1"/>
  <c r="C371" i="2"/>
  <c r="B371" i="2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C284" i="2"/>
  <c r="B284" i="2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C266" i="2"/>
  <c r="B266" i="2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C253" i="2"/>
  <c r="B253" i="2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C242" i="2"/>
  <c r="B242" i="2"/>
  <c r="B241" i="2"/>
  <c r="C241" i="2" s="1"/>
  <c r="B240" i="2"/>
  <c r="C240" i="2" s="1"/>
  <c r="B239" i="2"/>
  <c r="C239" i="2" s="1"/>
  <c r="B238" i="2"/>
  <c r="C238" i="2" s="1"/>
  <c r="B237" i="2"/>
  <c r="C237" i="2" s="1"/>
  <c r="C236" i="2"/>
  <c r="B236" i="2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C218" i="2"/>
  <c r="B218" i="2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C123" i="2"/>
  <c r="B123" i="2"/>
  <c r="B122" i="2"/>
  <c r="C122" i="2" s="1"/>
  <c r="B121" i="2"/>
  <c r="C121" i="2" s="1"/>
  <c r="B120" i="2"/>
  <c r="C120" i="2" s="1"/>
  <c r="B119" i="2"/>
  <c r="C119" i="2" s="1"/>
  <c r="B118" i="2"/>
  <c r="C118" i="2" s="1"/>
  <c r="C117" i="2"/>
  <c r="B117" i="2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C106" i="2"/>
  <c r="B106" i="2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C99" i="2"/>
  <c r="B99" i="2"/>
  <c r="B98" i="2"/>
  <c r="C98" i="2" s="1"/>
  <c r="B97" i="2"/>
  <c r="C97" i="2" s="1"/>
  <c r="B96" i="2"/>
  <c r="C96" i="2" s="1"/>
  <c r="B95" i="2"/>
  <c r="C95" i="2" s="1"/>
  <c r="B94" i="2"/>
  <c r="C94" i="2" s="1"/>
  <c r="C93" i="2"/>
  <c r="B93" i="2"/>
  <c r="B92" i="2"/>
  <c r="C92" i="2" s="1"/>
  <c r="B91" i="2"/>
  <c r="C91" i="2" s="1"/>
  <c r="B90" i="2"/>
  <c r="C90" i="2" s="1"/>
  <c r="B89" i="2"/>
  <c r="C89" i="2" s="1"/>
  <c r="H88" i="2"/>
  <c r="J88" i="2" s="1"/>
  <c r="H89" i="2" s="1"/>
  <c r="B88" i="2"/>
  <c r="C88" i="2" s="1"/>
  <c r="B87" i="2"/>
  <c r="C87" i="2" s="1"/>
  <c r="B86" i="2"/>
  <c r="C86" i="2" s="1"/>
  <c r="H85" i="2"/>
  <c r="J85" i="2" s="1"/>
  <c r="B85" i="2"/>
  <c r="C85" i="2" s="1"/>
  <c r="B84" i="2"/>
  <c r="C84" i="2" s="1"/>
  <c r="B83" i="2"/>
  <c r="C83" i="2" s="1"/>
  <c r="H82" i="2"/>
  <c r="J82" i="2" s="1"/>
  <c r="B82" i="2"/>
  <c r="C82" i="2" s="1"/>
  <c r="B81" i="2"/>
  <c r="C81" i="2" s="1"/>
  <c r="H80" i="2"/>
  <c r="J80" i="2" s="1"/>
  <c r="B80" i="2"/>
  <c r="C80" i="2" s="1"/>
  <c r="B79" i="2"/>
  <c r="C79" i="2" s="1"/>
  <c r="B78" i="2"/>
  <c r="C78" i="2" s="1"/>
  <c r="H77" i="2"/>
  <c r="J77" i="2" s="1"/>
  <c r="B77" i="2"/>
  <c r="C77" i="2" s="1"/>
  <c r="B76" i="2"/>
  <c r="C76" i="2" s="1"/>
  <c r="C75" i="2"/>
  <c r="B75" i="2"/>
  <c r="B74" i="2"/>
  <c r="C74" i="2" s="1"/>
  <c r="B73" i="2"/>
  <c r="C73" i="2" s="1"/>
  <c r="H72" i="2"/>
  <c r="J72" i="2" s="1"/>
  <c r="B72" i="2"/>
  <c r="C72" i="2" s="1"/>
  <c r="H71" i="2"/>
  <c r="J71" i="2" s="1"/>
  <c r="B71" i="2"/>
  <c r="C71" i="2" s="1"/>
  <c r="B70" i="2"/>
  <c r="C70" i="2" s="1"/>
  <c r="H69" i="2"/>
  <c r="J69" i="2" s="1"/>
  <c r="B69" i="2"/>
  <c r="C69" i="2" s="1"/>
  <c r="B68" i="2"/>
  <c r="C68" i="2" s="1"/>
  <c r="C67" i="2"/>
  <c r="B67" i="2"/>
  <c r="B66" i="2"/>
  <c r="C66" i="2" s="1"/>
  <c r="B65" i="2"/>
  <c r="C65" i="2" s="1"/>
  <c r="H64" i="2"/>
  <c r="J64" i="2" s="1"/>
  <c r="B64" i="2"/>
  <c r="C64" i="2" s="1"/>
  <c r="H63" i="2"/>
  <c r="J63" i="2" s="1"/>
  <c r="B63" i="2"/>
  <c r="C63" i="2" s="1"/>
  <c r="B62" i="2"/>
  <c r="C62" i="2" s="1"/>
  <c r="H61" i="2"/>
  <c r="J61" i="2" s="1"/>
  <c r="B61" i="2"/>
  <c r="C61" i="2" s="1"/>
  <c r="B60" i="2"/>
  <c r="C60" i="2" s="1"/>
  <c r="B59" i="2"/>
  <c r="C59" i="2" s="1"/>
  <c r="H58" i="2"/>
  <c r="J58" i="2" s="1"/>
  <c r="B58" i="2"/>
  <c r="C58" i="2" s="1"/>
  <c r="B57" i="2"/>
  <c r="C57" i="2" s="1"/>
  <c r="H56" i="2"/>
  <c r="J56" i="2" s="1"/>
  <c r="B56" i="2"/>
  <c r="C56" i="2" s="1"/>
  <c r="H55" i="2"/>
  <c r="J55" i="2" s="1"/>
  <c r="B55" i="2"/>
  <c r="C55" i="2" s="1"/>
  <c r="B54" i="2"/>
  <c r="C54" i="2" s="1"/>
  <c r="B53" i="2"/>
  <c r="C53" i="2" s="1"/>
  <c r="B52" i="2"/>
  <c r="C52" i="2" s="1"/>
  <c r="B51" i="2"/>
  <c r="C51" i="2" s="1"/>
  <c r="H50" i="2"/>
  <c r="J50" i="2" s="1"/>
  <c r="C50" i="2"/>
  <c r="B50" i="2"/>
  <c r="B49" i="2"/>
  <c r="C49" i="2" s="1"/>
  <c r="H48" i="2"/>
  <c r="J48" i="2" s="1"/>
  <c r="B48" i="2"/>
  <c r="C48" i="2" s="1"/>
  <c r="H47" i="2"/>
  <c r="J47" i="2" s="1"/>
  <c r="B47" i="2"/>
  <c r="C47" i="2" s="1"/>
  <c r="B46" i="2"/>
  <c r="C46" i="2" s="1"/>
  <c r="H45" i="2"/>
  <c r="J45" i="2" s="1"/>
  <c r="B45" i="2"/>
  <c r="C45" i="2" s="1"/>
  <c r="B44" i="2"/>
  <c r="C44" i="2" s="1"/>
  <c r="B43" i="2"/>
  <c r="C43" i="2" s="1"/>
  <c r="H42" i="2"/>
  <c r="J42" i="2" s="1"/>
  <c r="C42" i="2"/>
  <c r="B42" i="2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G10" i="2"/>
  <c r="G6" i="2"/>
  <c r="H79" i="2" s="1"/>
  <c r="J79" i="2" s="1"/>
  <c r="G4" i="2"/>
  <c r="H74" i="2" l="1"/>
  <c r="J74" i="2" s="1"/>
  <c r="H87" i="2"/>
  <c r="J87" i="2" s="1"/>
  <c r="H53" i="2"/>
  <c r="J53" i="2" s="1"/>
  <c r="H66" i="2"/>
  <c r="J66" i="2" s="1"/>
  <c r="H44" i="2"/>
  <c r="J44" i="2" s="1"/>
  <c r="H52" i="2"/>
  <c r="J52" i="2" s="1"/>
  <c r="H60" i="2"/>
  <c r="J60" i="2" s="1"/>
  <c r="H68" i="2"/>
  <c r="J68" i="2" s="1"/>
  <c r="H76" i="2"/>
  <c r="J76" i="2" s="1"/>
  <c r="H84" i="2"/>
  <c r="J84" i="2" s="1"/>
  <c r="H41" i="2"/>
  <c r="J41" i="2" s="1"/>
  <c r="H49" i="2"/>
  <c r="J49" i="2" s="1"/>
  <c r="H57" i="2"/>
  <c r="J57" i="2" s="1"/>
  <c r="H65" i="2"/>
  <c r="J65" i="2" s="1"/>
  <c r="H73" i="2"/>
  <c r="J73" i="2" s="1"/>
  <c r="H81" i="2"/>
  <c r="J81" i="2" s="1"/>
  <c r="J89" i="2"/>
  <c r="H90" i="2" s="1"/>
  <c r="H46" i="2"/>
  <c r="J46" i="2" s="1"/>
  <c r="H54" i="2"/>
  <c r="J54" i="2" s="1"/>
  <c r="H62" i="2"/>
  <c r="J62" i="2" s="1"/>
  <c r="H70" i="2"/>
  <c r="J70" i="2" s="1"/>
  <c r="H78" i="2"/>
  <c r="J78" i="2" s="1"/>
  <c r="H86" i="2"/>
  <c r="J86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3" i="2"/>
  <c r="J43" i="2" s="1"/>
  <c r="H51" i="2"/>
  <c r="J51" i="2" s="1"/>
  <c r="H59" i="2"/>
  <c r="J59" i="2" s="1"/>
  <c r="H67" i="2"/>
  <c r="J67" i="2" s="1"/>
  <c r="H75" i="2"/>
  <c r="J75" i="2" s="1"/>
  <c r="H83" i="2"/>
  <c r="J83" i="2" s="1"/>
  <c r="J90" i="2" l="1"/>
  <c r="H91" i="2" s="1"/>
  <c r="J91" i="2" s="1"/>
  <c r="H92" i="2" s="1"/>
  <c r="J92" i="2" s="1"/>
  <c r="H93" i="2" s="1"/>
  <c r="J93" i="2" s="1"/>
  <c r="H94" i="2" s="1"/>
  <c r="J94" i="2" s="1"/>
  <c r="H95" i="2" s="1"/>
  <c r="J95" i="2" s="1"/>
  <c r="H96" i="2" s="1"/>
  <c r="J96" i="2" s="1"/>
  <c r="H97" i="2" s="1"/>
  <c r="J97" i="2" s="1"/>
  <c r="H98" i="2" s="1"/>
  <c r="J98" i="2" s="1"/>
  <c r="H99" i="2" s="1"/>
  <c r="J99" i="2" s="1"/>
  <c r="H100" i="2" s="1"/>
  <c r="J100" i="2" s="1"/>
  <c r="H101" i="2" s="1"/>
  <c r="J101" i="2" s="1"/>
  <c r="H102" i="2" s="1"/>
  <c r="J102" i="2" s="1"/>
  <c r="H103" i="2" s="1"/>
  <c r="J103" i="2" s="1"/>
  <c r="H104" i="2" s="1"/>
  <c r="J104" i="2" s="1"/>
  <c r="H105" i="2" s="1"/>
  <c r="J105" i="2" s="1"/>
  <c r="H106" i="2" s="1"/>
  <c r="J106" i="2" s="1"/>
  <c r="H107" i="2" s="1"/>
  <c r="J107" i="2" s="1"/>
  <c r="H108" i="2" s="1"/>
  <c r="J108" i="2" s="1"/>
  <c r="H109" i="2" s="1"/>
  <c r="J109" i="2" s="1"/>
  <c r="H110" i="2" s="1"/>
  <c r="J110" i="2" s="1"/>
  <c r="H111" i="2" s="1"/>
  <c r="J111" i="2" s="1"/>
  <c r="H112" i="2" s="1"/>
  <c r="J112" i="2" s="1"/>
  <c r="H113" i="2" s="1"/>
  <c r="J113" i="2" s="1"/>
  <c r="H114" i="2" s="1"/>
  <c r="J114" i="2" s="1"/>
  <c r="H115" i="2" s="1"/>
  <c r="J115" i="2" s="1"/>
  <c r="H116" i="2" s="1"/>
  <c r="J116" i="2" s="1"/>
  <c r="H117" i="2" s="1"/>
  <c r="J117" i="2" s="1"/>
  <c r="H118" i="2" s="1"/>
  <c r="J118" i="2" s="1"/>
  <c r="H119" i="2" s="1"/>
  <c r="J119" i="2" s="1"/>
  <c r="H120" i="2" s="1"/>
  <c r="J120" i="2" s="1"/>
  <c r="H121" i="2" s="1"/>
  <c r="J121" i="2" s="1"/>
  <c r="H122" i="2" s="1"/>
  <c r="J122" i="2" s="1"/>
  <c r="H123" i="2" s="1"/>
  <c r="J123" i="2" s="1"/>
  <c r="H124" i="2" s="1"/>
  <c r="J124" i="2" s="1"/>
  <c r="H125" i="2" s="1"/>
  <c r="J125" i="2" s="1"/>
  <c r="H126" i="2" s="1"/>
  <c r="J126" i="2" s="1"/>
  <c r="H127" i="2" s="1"/>
  <c r="J127" i="2" s="1"/>
  <c r="H128" i="2" s="1"/>
  <c r="J128" i="2" s="1"/>
  <c r="H129" i="2" s="1"/>
  <c r="J129" i="2" s="1"/>
  <c r="H130" i="2" s="1"/>
  <c r="J130" i="2" s="1"/>
  <c r="H131" i="2" s="1"/>
  <c r="J131" i="2" s="1"/>
  <c r="H132" i="2" s="1"/>
  <c r="J132" i="2" s="1"/>
  <c r="H133" i="2" s="1"/>
  <c r="J133" i="2" s="1"/>
  <c r="H134" i="2" s="1"/>
  <c r="J134" i="2" s="1"/>
  <c r="H135" i="2" s="1"/>
  <c r="J135" i="2" s="1"/>
  <c r="H136" i="2" s="1"/>
  <c r="J136" i="2" s="1"/>
  <c r="H137" i="2" s="1"/>
  <c r="J137" i="2" s="1"/>
  <c r="H138" i="2" s="1"/>
  <c r="J138" i="2" s="1"/>
  <c r="H139" i="2" s="1"/>
  <c r="J139" i="2" s="1"/>
  <c r="H140" i="2" s="1"/>
  <c r="J140" i="2" s="1"/>
  <c r="H141" i="2" s="1"/>
  <c r="J141" i="2" s="1"/>
  <c r="H142" i="2" s="1"/>
  <c r="J142" i="2" s="1"/>
  <c r="H143" i="2" s="1"/>
  <c r="J143" i="2" s="1"/>
  <c r="H144" i="2" s="1"/>
  <c r="J144" i="2" s="1"/>
  <c r="H145" i="2" s="1"/>
  <c r="J145" i="2" s="1"/>
  <c r="H146" i="2" s="1"/>
  <c r="J146" i="2" s="1"/>
  <c r="H147" i="2" s="1"/>
  <c r="J147" i="2" s="1"/>
  <c r="H148" i="2" s="1"/>
  <c r="J148" i="2" s="1"/>
  <c r="H149" i="2" s="1"/>
  <c r="J149" i="2" s="1"/>
  <c r="H150" i="2" s="1"/>
  <c r="J150" i="2" s="1"/>
  <c r="H151" i="2" s="1"/>
  <c r="J151" i="2" s="1"/>
  <c r="H152" i="2" s="1"/>
  <c r="J152" i="2" s="1"/>
  <c r="H153" i="2" s="1"/>
  <c r="J153" i="2" s="1"/>
  <c r="H154" i="2" s="1"/>
  <c r="J154" i="2" s="1"/>
  <c r="H155" i="2" s="1"/>
  <c r="J155" i="2" s="1"/>
  <c r="H156" i="2" s="1"/>
  <c r="J156" i="2" s="1"/>
  <c r="H157" i="2" s="1"/>
  <c r="J157" i="2" s="1"/>
  <c r="H158" i="2" s="1"/>
  <c r="J158" i="2" s="1"/>
  <c r="H159" i="2" s="1"/>
  <c r="J159" i="2" s="1"/>
  <c r="D11" i="2"/>
  <c r="F11" i="2" s="1"/>
  <c r="G11" i="2" s="1"/>
  <c r="D12" i="2" s="1"/>
  <c r="E11" i="2"/>
  <c r="H160" i="2" l="1"/>
  <c r="J160" i="2" s="1"/>
  <c r="H161" i="2" s="1"/>
  <c r="J161" i="2" s="1"/>
  <c r="H162" i="2" s="1"/>
  <c r="J162" i="2" s="1"/>
  <c r="H163" i="2" s="1"/>
  <c r="J163" i="2" s="1"/>
  <c r="H164" i="2" s="1"/>
  <c r="J164" i="2" s="1"/>
  <c r="H165" i="2" s="1"/>
  <c r="J165" i="2" s="1"/>
  <c r="H166" i="2" s="1"/>
  <c r="J166" i="2" s="1"/>
  <c r="H167" i="2" s="1"/>
  <c r="J167" i="2" s="1"/>
  <c r="H168" i="2" s="1"/>
  <c r="J168" i="2" s="1"/>
  <c r="H169" i="2" s="1"/>
  <c r="J169" i="2" s="1"/>
  <c r="H170" i="2" s="1"/>
  <c r="J170" i="2" s="1"/>
  <c r="H171" i="2" s="1"/>
  <c r="E12" i="2"/>
  <c r="F12" i="2" s="1"/>
  <c r="G12" i="2" s="1"/>
  <c r="J171" i="2" l="1"/>
  <c r="H172" i="2" s="1"/>
  <c r="E13" i="2"/>
  <c r="D13" i="2"/>
  <c r="F13" i="2" s="1"/>
  <c r="G13" i="2" s="1"/>
  <c r="J172" i="2" l="1"/>
  <c r="H173" i="2" s="1"/>
  <c r="E14" i="2"/>
  <c r="D14" i="2"/>
  <c r="F14" i="2" s="1"/>
  <c r="G14" i="2" s="1"/>
  <c r="J173" i="2" l="1"/>
  <c r="H174" i="2" s="1"/>
  <c r="E15" i="2"/>
  <c r="D15" i="2"/>
  <c r="F15" i="2" s="1"/>
  <c r="G15" i="2" s="1"/>
  <c r="J174" i="2" l="1"/>
  <c r="H175" i="2" s="1"/>
  <c r="E16" i="2"/>
  <c r="D16" i="2"/>
  <c r="F16" i="2" s="1"/>
  <c r="G16" i="2" s="1"/>
  <c r="J175" i="2" l="1"/>
  <c r="H176" i="2" s="1"/>
  <c r="E17" i="2"/>
  <c r="D17" i="2"/>
  <c r="F17" i="2" s="1"/>
  <c r="G17" i="2" s="1"/>
  <c r="J176" i="2" l="1"/>
  <c r="H177" i="2" s="1"/>
  <c r="E18" i="2"/>
  <c r="D18" i="2"/>
  <c r="F18" i="2" s="1"/>
  <c r="G18" i="2" s="1"/>
  <c r="J177" i="2" l="1"/>
  <c r="H178" i="2" s="1"/>
  <c r="E19" i="2"/>
  <c r="D19" i="2"/>
  <c r="F19" i="2" s="1"/>
  <c r="G19" i="2" s="1"/>
  <c r="J178" i="2" l="1"/>
  <c r="H179" i="2" s="1"/>
  <c r="E20" i="2"/>
  <c r="D20" i="2"/>
  <c r="F20" i="2" s="1"/>
  <c r="G20" i="2" s="1"/>
  <c r="J179" i="2" l="1"/>
  <c r="H180" i="2" s="1"/>
  <c r="E21" i="2"/>
  <c r="D21" i="2"/>
  <c r="F21" i="2" s="1"/>
  <c r="G21" i="2" s="1"/>
  <c r="J180" i="2" l="1"/>
  <c r="H181" i="2" s="1"/>
  <c r="E22" i="2"/>
  <c r="D22" i="2"/>
  <c r="F22" i="2" s="1"/>
  <c r="G22" i="2" s="1"/>
  <c r="J181" i="2" l="1"/>
  <c r="H182" i="2" s="1"/>
  <c r="E23" i="2"/>
  <c r="D23" i="2"/>
  <c r="F23" i="2" s="1"/>
  <c r="G23" i="2" s="1"/>
  <c r="J182" i="2" l="1"/>
  <c r="H183" i="2" s="1"/>
  <c r="E24" i="2"/>
  <c r="D24" i="2"/>
  <c r="F24" i="2" s="1"/>
  <c r="G24" i="2" s="1"/>
  <c r="J183" i="2" l="1"/>
  <c r="H184" i="2" s="1"/>
  <c r="E25" i="2"/>
  <c r="D25" i="2"/>
  <c r="F25" i="2" s="1"/>
  <c r="G25" i="2" s="1"/>
  <c r="J184" i="2" l="1"/>
  <c r="H185" i="2" s="1"/>
  <c r="E26" i="2"/>
  <c r="D26" i="2"/>
  <c r="F26" i="2" s="1"/>
  <c r="G26" i="2" s="1"/>
  <c r="J185" i="2" l="1"/>
  <c r="H186" i="2" s="1"/>
  <c r="E27" i="2"/>
  <c r="D27" i="2"/>
  <c r="F27" i="2" s="1"/>
  <c r="G27" i="2" s="1"/>
  <c r="J186" i="2" l="1"/>
  <c r="H187" i="2" s="1"/>
  <c r="E28" i="2"/>
  <c r="D28" i="2"/>
  <c r="F28" i="2" s="1"/>
  <c r="G28" i="2" s="1"/>
  <c r="J187" i="2" l="1"/>
  <c r="H188" i="2" s="1"/>
  <c r="E29" i="2"/>
  <c r="D29" i="2"/>
  <c r="F29" i="2" s="1"/>
  <c r="G29" i="2" s="1"/>
  <c r="J188" i="2" l="1"/>
  <c r="H189" i="2" s="1"/>
  <c r="E30" i="2"/>
  <c r="D30" i="2"/>
  <c r="F30" i="2" s="1"/>
  <c r="G30" i="2" s="1"/>
  <c r="J189" i="2" l="1"/>
  <c r="H190" i="2" s="1"/>
  <c r="E31" i="2"/>
  <c r="D31" i="2"/>
  <c r="F31" i="2" s="1"/>
  <c r="G31" i="2" s="1"/>
  <c r="J190" i="2" l="1"/>
  <c r="H191" i="2" s="1"/>
  <c r="E32" i="2"/>
  <c r="D32" i="2"/>
  <c r="F32" i="2" s="1"/>
  <c r="G32" i="2" s="1"/>
  <c r="J191" i="2" l="1"/>
  <c r="H192" i="2" s="1"/>
  <c r="E33" i="2"/>
  <c r="D33" i="2"/>
  <c r="F33" i="2" s="1"/>
  <c r="G33" i="2" s="1"/>
  <c r="J192" i="2" l="1"/>
  <c r="H193" i="2" s="1"/>
  <c r="E34" i="2"/>
  <c r="D34" i="2"/>
  <c r="F34" i="2" s="1"/>
  <c r="G34" i="2" s="1"/>
  <c r="J193" i="2" l="1"/>
  <c r="H194" i="2" s="1"/>
  <c r="E35" i="2"/>
  <c r="D35" i="2"/>
  <c r="J194" i="2" l="1"/>
  <c r="H195" i="2" s="1"/>
  <c r="F35" i="2"/>
  <c r="G35" i="2" s="1"/>
  <c r="J195" i="2" l="1"/>
  <c r="H196" i="2" s="1"/>
  <c r="E36" i="2"/>
  <c r="D36" i="2"/>
  <c r="F36" i="2" s="1"/>
  <c r="G36" i="2" s="1"/>
  <c r="J196" i="2" l="1"/>
  <c r="H197" i="2" s="1"/>
  <c r="E37" i="2"/>
  <c r="D37" i="2"/>
  <c r="F37" i="2" s="1"/>
  <c r="G37" i="2" s="1"/>
  <c r="J197" i="2" l="1"/>
  <c r="H198" i="2" s="1"/>
  <c r="E38" i="2"/>
  <c r="D38" i="2"/>
  <c r="F38" i="2" s="1"/>
  <c r="G38" i="2" s="1"/>
  <c r="J198" i="2" l="1"/>
  <c r="H199" i="2" s="1"/>
  <c r="E39" i="2"/>
  <c r="D39" i="2"/>
  <c r="F39" i="2" s="1"/>
  <c r="G39" i="2" s="1"/>
  <c r="J199" i="2" l="1"/>
  <c r="H200" i="2" s="1"/>
  <c r="E40" i="2"/>
  <c r="D40" i="2"/>
  <c r="F40" i="2" s="1"/>
  <c r="G40" i="2" s="1"/>
  <c r="J200" i="2" l="1"/>
  <c r="H201" i="2" s="1"/>
  <c r="E41" i="2"/>
  <c r="D41" i="2"/>
  <c r="F41" i="2" s="1"/>
  <c r="G41" i="2" s="1"/>
  <c r="J201" i="2" l="1"/>
  <c r="H202" i="2" s="1"/>
  <c r="E42" i="2"/>
  <c r="D42" i="2"/>
  <c r="F42" i="2" s="1"/>
  <c r="G42" i="2" s="1"/>
  <c r="J202" i="2" l="1"/>
  <c r="H203" i="2" s="1"/>
  <c r="E43" i="2"/>
  <c r="D43" i="2"/>
  <c r="F43" i="2" s="1"/>
  <c r="G43" i="2" s="1"/>
  <c r="J203" i="2" l="1"/>
  <c r="H204" i="2" s="1"/>
  <c r="E44" i="2"/>
  <c r="D44" i="2"/>
  <c r="F44" i="2" s="1"/>
  <c r="G44" i="2" s="1"/>
  <c r="J204" i="2" l="1"/>
  <c r="H205" i="2" s="1"/>
  <c r="E45" i="2"/>
  <c r="D45" i="2"/>
  <c r="F45" i="2" s="1"/>
  <c r="G45" i="2" s="1"/>
  <c r="J205" i="2" l="1"/>
  <c r="H206" i="2" s="1"/>
  <c r="E46" i="2"/>
  <c r="D46" i="2"/>
  <c r="F46" i="2" s="1"/>
  <c r="G46" i="2" s="1"/>
  <c r="J206" i="2" l="1"/>
  <c r="H207" i="2" s="1"/>
  <c r="E47" i="2"/>
  <c r="D47" i="2"/>
  <c r="F47" i="2" s="1"/>
  <c r="G47" i="2" s="1"/>
  <c r="J207" i="2" l="1"/>
  <c r="H208" i="2" s="1"/>
  <c r="E48" i="2"/>
  <c r="D48" i="2"/>
  <c r="F48" i="2" s="1"/>
  <c r="G48" i="2" s="1"/>
  <c r="J208" i="2" l="1"/>
  <c r="H209" i="2" s="1"/>
  <c r="E49" i="2"/>
  <c r="D49" i="2"/>
  <c r="F49" i="2" s="1"/>
  <c r="G49" i="2" s="1"/>
  <c r="J209" i="2" l="1"/>
  <c r="H210" i="2" s="1"/>
  <c r="E50" i="2"/>
  <c r="D50" i="2"/>
  <c r="F50" i="2" s="1"/>
  <c r="G50" i="2" s="1"/>
  <c r="J210" i="2" l="1"/>
  <c r="H211" i="2" s="1"/>
  <c r="E51" i="2"/>
  <c r="D51" i="2"/>
  <c r="F51" i="2" s="1"/>
  <c r="G51" i="2" s="1"/>
  <c r="J211" i="2" l="1"/>
  <c r="H212" i="2" s="1"/>
  <c r="E52" i="2"/>
  <c r="D52" i="2"/>
  <c r="F52" i="2" s="1"/>
  <c r="G52" i="2" s="1"/>
  <c r="J212" i="2" l="1"/>
  <c r="H213" i="2" s="1"/>
  <c r="E53" i="2"/>
  <c r="D53" i="2"/>
  <c r="F53" i="2" s="1"/>
  <c r="G53" i="2" s="1"/>
  <c r="J213" i="2" l="1"/>
  <c r="H214" i="2" s="1"/>
  <c r="E54" i="2"/>
  <c r="D54" i="2"/>
  <c r="F54" i="2" s="1"/>
  <c r="G54" i="2" s="1"/>
  <c r="J214" i="2" l="1"/>
  <c r="H215" i="2" s="1"/>
  <c r="E55" i="2"/>
  <c r="D55" i="2"/>
  <c r="F55" i="2" s="1"/>
  <c r="G55" i="2" s="1"/>
  <c r="J215" i="2" l="1"/>
  <c r="H216" i="2" s="1"/>
  <c r="E56" i="2"/>
  <c r="D56" i="2"/>
  <c r="F56" i="2" s="1"/>
  <c r="G56" i="2" s="1"/>
  <c r="J216" i="2" l="1"/>
  <c r="H217" i="2" s="1"/>
  <c r="E57" i="2"/>
  <c r="D57" i="2"/>
  <c r="F57" i="2" s="1"/>
  <c r="G57" i="2" s="1"/>
  <c r="J217" i="2" l="1"/>
  <c r="H218" i="2" s="1"/>
  <c r="E58" i="2"/>
  <c r="D58" i="2"/>
  <c r="F58" i="2" s="1"/>
  <c r="G58" i="2" s="1"/>
  <c r="J218" i="2" l="1"/>
  <c r="H219" i="2" s="1"/>
  <c r="E59" i="2"/>
  <c r="D59" i="2"/>
  <c r="F59" i="2" s="1"/>
  <c r="G59" i="2" s="1"/>
  <c r="J219" i="2" l="1"/>
  <c r="H220" i="2" s="1"/>
  <c r="E60" i="2"/>
  <c r="D60" i="2"/>
  <c r="F60" i="2" s="1"/>
  <c r="G60" i="2" s="1"/>
  <c r="J220" i="2" l="1"/>
  <c r="H221" i="2" s="1"/>
  <c r="E61" i="2"/>
  <c r="D61" i="2"/>
  <c r="F61" i="2" s="1"/>
  <c r="G61" i="2" s="1"/>
  <c r="J221" i="2" l="1"/>
  <c r="H222" i="2" s="1"/>
  <c r="E62" i="2"/>
  <c r="D62" i="2"/>
  <c r="F62" i="2" s="1"/>
  <c r="G62" i="2" s="1"/>
  <c r="J222" i="2" l="1"/>
  <c r="H223" i="2" s="1"/>
  <c r="E63" i="2"/>
  <c r="D63" i="2"/>
  <c r="F63" i="2" s="1"/>
  <c r="G63" i="2" s="1"/>
  <c r="J223" i="2" l="1"/>
  <c r="H224" i="2" s="1"/>
  <c r="E64" i="2"/>
  <c r="D64" i="2"/>
  <c r="F64" i="2" s="1"/>
  <c r="G64" i="2" s="1"/>
  <c r="J224" i="2" l="1"/>
  <c r="H225" i="2" s="1"/>
  <c r="E65" i="2"/>
  <c r="D65" i="2"/>
  <c r="F65" i="2" s="1"/>
  <c r="G65" i="2" s="1"/>
  <c r="J225" i="2" l="1"/>
  <c r="H226" i="2" s="1"/>
  <c r="E66" i="2"/>
  <c r="D66" i="2"/>
  <c r="F66" i="2" s="1"/>
  <c r="G66" i="2" s="1"/>
  <c r="J226" i="2" l="1"/>
  <c r="H227" i="2" s="1"/>
  <c r="E67" i="2"/>
  <c r="D67" i="2"/>
  <c r="F67" i="2" s="1"/>
  <c r="G67" i="2" s="1"/>
  <c r="J227" i="2" l="1"/>
  <c r="H228" i="2" s="1"/>
  <c r="E68" i="2"/>
  <c r="D68" i="2"/>
  <c r="F68" i="2" s="1"/>
  <c r="G68" i="2" s="1"/>
  <c r="J228" i="2" l="1"/>
  <c r="H229" i="2" s="1"/>
  <c r="E69" i="2"/>
  <c r="D69" i="2"/>
  <c r="F69" i="2" s="1"/>
  <c r="G69" i="2" s="1"/>
  <c r="J229" i="2" l="1"/>
  <c r="H230" i="2" s="1"/>
  <c r="E70" i="2"/>
  <c r="D70" i="2"/>
  <c r="F70" i="2" s="1"/>
  <c r="G70" i="2" s="1"/>
  <c r="J230" i="2" l="1"/>
  <c r="H231" i="2" s="1"/>
  <c r="E71" i="2"/>
  <c r="D71" i="2"/>
  <c r="F71" i="2" s="1"/>
  <c r="G71" i="2" s="1"/>
  <c r="J231" i="2" l="1"/>
  <c r="H232" i="2" s="1"/>
  <c r="E72" i="2"/>
  <c r="D72" i="2"/>
  <c r="F72" i="2" s="1"/>
  <c r="G72" i="2" s="1"/>
  <c r="J232" i="2" l="1"/>
  <c r="H233" i="2" s="1"/>
  <c r="E73" i="2"/>
  <c r="D73" i="2"/>
  <c r="F73" i="2" s="1"/>
  <c r="G73" i="2" s="1"/>
  <c r="J233" i="2" l="1"/>
  <c r="H234" i="2" s="1"/>
  <c r="E74" i="2"/>
  <c r="D74" i="2"/>
  <c r="F74" i="2" s="1"/>
  <c r="G74" i="2" s="1"/>
  <c r="J234" i="2" l="1"/>
  <c r="H235" i="2" s="1"/>
  <c r="E75" i="2"/>
  <c r="D75" i="2"/>
  <c r="F75" i="2" s="1"/>
  <c r="G75" i="2" s="1"/>
  <c r="J235" i="2" l="1"/>
  <c r="H236" i="2" s="1"/>
  <c r="E76" i="2"/>
  <c r="D76" i="2"/>
  <c r="F76" i="2" s="1"/>
  <c r="G76" i="2" s="1"/>
  <c r="J236" i="2" l="1"/>
  <c r="H237" i="2" s="1"/>
  <c r="E77" i="2"/>
  <c r="D77" i="2"/>
  <c r="F77" i="2" s="1"/>
  <c r="G77" i="2" s="1"/>
  <c r="J237" i="2" l="1"/>
  <c r="H238" i="2" s="1"/>
  <c r="E78" i="2"/>
  <c r="D78" i="2"/>
  <c r="F78" i="2" s="1"/>
  <c r="G78" i="2" s="1"/>
  <c r="J238" i="2" l="1"/>
  <c r="H239" i="2" s="1"/>
  <c r="E79" i="2"/>
  <c r="D79" i="2"/>
  <c r="F79" i="2" s="1"/>
  <c r="G79" i="2" s="1"/>
  <c r="J239" i="2" l="1"/>
  <c r="H240" i="2" s="1"/>
  <c r="E80" i="2"/>
  <c r="D80" i="2"/>
  <c r="F80" i="2" s="1"/>
  <c r="G80" i="2" s="1"/>
  <c r="J240" i="2" l="1"/>
  <c r="H241" i="2" s="1"/>
  <c r="E81" i="2"/>
  <c r="D81" i="2"/>
  <c r="F81" i="2" s="1"/>
  <c r="G81" i="2" s="1"/>
  <c r="J241" i="2" l="1"/>
  <c r="H242" i="2" s="1"/>
  <c r="E82" i="2"/>
  <c r="D82" i="2"/>
  <c r="F82" i="2" s="1"/>
  <c r="G82" i="2" s="1"/>
  <c r="J242" i="2" l="1"/>
  <c r="H243" i="2" s="1"/>
  <c r="E83" i="2"/>
  <c r="D83" i="2"/>
  <c r="F83" i="2" s="1"/>
  <c r="G83" i="2" s="1"/>
  <c r="J243" i="2" l="1"/>
  <c r="H244" i="2" s="1"/>
  <c r="E84" i="2"/>
  <c r="D84" i="2"/>
  <c r="F84" i="2" s="1"/>
  <c r="G84" i="2" s="1"/>
  <c r="J244" i="2" l="1"/>
  <c r="H245" i="2" s="1"/>
  <c r="E85" i="2"/>
  <c r="D85" i="2"/>
  <c r="F85" i="2" s="1"/>
  <c r="G85" i="2" s="1"/>
  <c r="J245" i="2" l="1"/>
  <c r="H246" i="2" s="1"/>
  <c r="E86" i="2"/>
  <c r="D86" i="2"/>
  <c r="F86" i="2" s="1"/>
  <c r="G86" i="2" s="1"/>
  <c r="J246" i="2" l="1"/>
  <c r="H247" i="2" s="1"/>
  <c r="E87" i="2"/>
  <c r="D87" i="2"/>
  <c r="F87" i="2" s="1"/>
  <c r="G87" i="2" s="1"/>
  <c r="J247" i="2" l="1"/>
  <c r="H248" i="2" s="1"/>
  <c r="E88" i="2"/>
  <c r="D88" i="2"/>
  <c r="F88" i="2" s="1"/>
  <c r="G88" i="2" s="1"/>
  <c r="J248" i="2" l="1"/>
  <c r="H249" i="2" s="1"/>
  <c r="E89" i="2"/>
  <c r="D89" i="2"/>
  <c r="F89" i="2" s="1"/>
  <c r="G89" i="2" s="1"/>
  <c r="J249" i="2" l="1"/>
  <c r="H250" i="2" s="1"/>
  <c r="E90" i="2"/>
  <c r="D90" i="2"/>
  <c r="F90" i="2" s="1"/>
  <c r="G90" i="2" s="1"/>
  <c r="J250" i="2" l="1"/>
  <c r="H251" i="2" s="1"/>
  <c r="E91" i="2"/>
  <c r="D91" i="2"/>
  <c r="F91" i="2" s="1"/>
  <c r="G91" i="2" s="1"/>
  <c r="J251" i="2" l="1"/>
  <c r="H252" i="2" s="1"/>
  <c r="E92" i="2"/>
  <c r="D92" i="2"/>
  <c r="F92" i="2" s="1"/>
  <c r="G92" i="2" s="1"/>
  <c r="J252" i="2" l="1"/>
  <c r="H253" i="2" s="1"/>
  <c r="E93" i="2"/>
  <c r="D93" i="2"/>
  <c r="F93" i="2" s="1"/>
  <c r="G93" i="2" s="1"/>
  <c r="J253" i="2" l="1"/>
  <c r="H254" i="2" s="1"/>
  <c r="E94" i="2"/>
  <c r="D94" i="2"/>
  <c r="F94" i="2" s="1"/>
  <c r="G94" i="2" s="1"/>
  <c r="J254" i="2" l="1"/>
  <c r="H255" i="2" s="1"/>
  <c r="E95" i="2"/>
  <c r="D95" i="2"/>
  <c r="F95" i="2" s="1"/>
  <c r="G95" i="2" s="1"/>
  <c r="J255" i="2" l="1"/>
  <c r="H256" i="2" s="1"/>
  <c r="E96" i="2"/>
  <c r="D96" i="2"/>
  <c r="F96" i="2" s="1"/>
  <c r="G96" i="2" s="1"/>
  <c r="J256" i="2" l="1"/>
  <c r="H257" i="2" s="1"/>
  <c r="E97" i="2"/>
  <c r="D97" i="2"/>
  <c r="F97" i="2" s="1"/>
  <c r="G97" i="2" s="1"/>
  <c r="J257" i="2" l="1"/>
  <c r="H258" i="2" s="1"/>
  <c r="E98" i="2"/>
  <c r="D98" i="2"/>
  <c r="F98" i="2" s="1"/>
  <c r="G98" i="2" s="1"/>
  <c r="J258" i="2" l="1"/>
  <c r="H259" i="2" s="1"/>
  <c r="E99" i="2"/>
  <c r="D99" i="2"/>
  <c r="F99" i="2" s="1"/>
  <c r="G99" i="2" s="1"/>
  <c r="J259" i="2" l="1"/>
  <c r="H260" i="2" s="1"/>
  <c r="E100" i="2"/>
  <c r="D100" i="2"/>
  <c r="F100" i="2" s="1"/>
  <c r="G100" i="2" s="1"/>
  <c r="J260" i="2" l="1"/>
  <c r="H261" i="2" s="1"/>
  <c r="E101" i="2"/>
  <c r="D101" i="2"/>
  <c r="F101" i="2" s="1"/>
  <c r="G101" i="2" s="1"/>
  <c r="J261" i="2" l="1"/>
  <c r="H262" i="2" s="1"/>
  <c r="E102" i="2"/>
  <c r="D102" i="2"/>
  <c r="F102" i="2" s="1"/>
  <c r="G102" i="2" s="1"/>
  <c r="J262" i="2" l="1"/>
  <c r="H263" i="2" s="1"/>
  <c r="E103" i="2"/>
  <c r="D103" i="2"/>
  <c r="F103" i="2" s="1"/>
  <c r="G103" i="2" s="1"/>
  <c r="J263" i="2" l="1"/>
  <c r="H264" i="2" s="1"/>
  <c r="E104" i="2"/>
  <c r="D104" i="2"/>
  <c r="F104" i="2" s="1"/>
  <c r="G104" i="2" s="1"/>
  <c r="J264" i="2" l="1"/>
  <c r="H265" i="2" s="1"/>
  <c r="E105" i="2"/>
  <c r="D105" i="2"/>
  <c r="F105" i="2" s="1"/>
  <c r="G105" i="2" s="1"/>
  <c r="J265" i="2" l="1"/>
  <c r="H266" i="2" s="1"/>
  <c r="E106" i="2"/>
  <c r="D106" i="2"/>
  <c r="F106" i="2" s="1"/>
  <c r="G106" i="2" s="1"/>
  <c r="J266" i="2" l="1"/>
  <c r="H267" i="2" s="1"/>
  <c r="E107" i="2"/>
  <c r="D107" i="2"/>
  <c r="F107" i="2" s="1"/>
  <c r="G107" i="2" s="1"/>
  <c r="J267" i="2" l="1"/>
  <c r="H268" i="2" s="1"/>
  <c r="E108" i="2"/>
  <c r="D108" i="2"/>
  <c r="F108" i="2" s="1"/>
  <c r="G108" i="2" s="1"/>
  <c r="J268" i="2" l="1"/>
  <c r="H269" i="2" s="1"/>
  <c r="E109" i="2"/>
  <c r="D109" i="2"/>
  <c r="F109" i="2" s="1"/>
  <c r="G109" i="2" s="1"/>
  <c r="J269" i="2" l="1"/>
  <c r="H270" i="2" s="1"/>
  <c r="E110" i="2"/>
  <c r="D110" i="2"/>
  <c r="F110" i="2" s="1"/>
  <c r="G110" i="2" s="1"/>
  <c r="J270" i="2" l="1"/>
  <c r="H271" i="2" s="1"/>
  <c r="E111" i="2"/>
  <c r="D111" i="2"/>
  <c r="F111" i="2" s="1"/>
  <c r="G111" i="2" s="1"/>
  <c r="J271" i="2" l="1"/>
  <c r="H272" i="2" s="1"/>
  <c r="E112" i="2"/>
  <c r="D112" i="2"/>
  <c r="F112" i="2" s="1"/>
  <c r="G112" i="2" s="1"/>
  <c r="J272" i="2" l="1"/>
  <c r="H273" i="2" s="1"/>
  <c r="E113" i="2"/>
  <c r="D113" i="2"/>
  <c r="F113" i="2" s="1"/>
  <c r="G113" i="2" s="1"/>
  <c r="J273" i="2" l="1"/>
  <c r="H274" i="2" s="1"/>
  <c r="E114" i="2"/>
  <c r="D114" i="2"/>
  <c r="F114" i="2" s="1"/>
  <c r="G114" i="2" s="1"/>
  <c r="J274" i="2" l="1"/>
  <c r="H275" i="2" s="1"/>
  <c r="E115" i="2"/>
  <c r="D115" i="2"/>
  <c r="F115" i="2" s="1"/>
  <c r="G115" i="2" s="1"/>
  <c r="J275" i="2" l="1"/>
  <c r="H276" i="2" s="1"/>
  <c r="E116" i="2"/>
  <c r="D116" i="2"/>
  <c r="F116" i="2" s="1"/>
  <c r="G116" i="2" s="1"/>
  <c r="J276" i="2" l="1"/>
  <c r="H277" i="2" s="1"/>
  <c r="E117" i="2"/>
  <c r="D117" i="2"/>
  <c r="F117" i="2" s="1"/>
  <c r="G117" i="2" s="1"/>
  <c r="J277" i="2" l="1"/>
  <c r="H278" i="2" s="1"/>
  <c r="E118" i="2"/>
  <c r="D118" i="2"/>
  <c r="F118" i="2" s="1"/>
  <c r="G118" i="2" s="1"/>
  <c r="J278" i="2" l="1"/>
  <c r="H279" i="2" s="1"/>
  <c r="E119" i="2"/>
  <c r="D119" i="2"/>
  <c r="F119" i="2" s="1"/>
  <c r="G119" i="2" s="1"/>
  <c r="J279" i="2" l="1"/>
  <c r="H280" i="2" s="1"/>
  <c r="E120" i="2"/>
  <c r="D120" i="2"/>
  <c r="F120" i="2" s="1"/>
  <c r="G120" i="2" s="1"/>
  <c r="J280" i="2" l="1"/>
  <c r="H281" i="2" s="1"/>
  <c r="E121" i="2"/>
  <c r="D121" i="2"/>
  <c r="F121" i="2" s="1"/>
  <c r="G121" i="2" s="1"/>
  <c r="J281" i="2" l="1"/>
  <c r="H282" i="2" s="1"/>
  <c r="E122" i="2"/>
  <c r="D122" i="2"/>
  <c r="F122" i="2" s="1"/>
  <c r="G122" i="2" s="1"/>
  <c r="J282" i="2" l="1"/>
  <c r="H283" i="2" s="1"/>
  <c r="E123" i="2"/>
  <c r="D123" i="2"/>
  <c r="F123" i="2" s="1"/>
  <c r="G123" i="2" s="1"/>
  <c r="J283" i="2" l="1"/>
  <c r="H284" i="2" s="1"/>
  <c r="E124" i="2"/>
  <c r="D124" i="2"/>
  <c r="F124" i="2" s="1"/>
  <c r="G124" i="2" s="1"/>
  <c r="J284" i="2" l="1"/>
  <c r="H285" i="2" s="1"/>
  <c r="E125" i="2"/>
  <c r="D125" i="2"/>
  <c r="F125" i="2" s="1"/>
  <c r="G125" i="2" s="1"/>
  <c r="J285" i="2" l="1"/>
  <c r="H286" i="2" s="1"/>
  <c r="E126" i="2"/>
  <c r="D126" i="2"/>
  <c r="F126" i="2" s="1"/>
  <c r="G126" i="2" s="1"/>
  <c r="J286" i="2" l="1"/>
  <c r="H287" i="2" s="1"/>
  <c r="E127" i="2"/>
  <c r="D127" i="2"/>
  <c r="F127" i="2" s="1"/>
  <c r="G127" i="2" s="1"/>
  <c r="J287" i="2" l="1"/>
  <c r="H288" i="2" s="1"/>
  <c r="E128" i="2"/>
  <c r="D128" i="2"/>
  <c r="F128" i="2" s="1"/>
  <c r="G128" i="2" s="1"/>
  <c r="J288" i="2" l="1"/>
  <c r="H289" i="2" s="1"/>
  <c r="E129" i="2"/>
  <c r="D129" i="2"/>
  <c r="F129" i="2" s="1"/>
  <c r="G129" i="2" s="1"/>
  <c r="J289" i="2" l="1"/>
  <c r="H290" i="2" s="1"/>
  <c r="E130" i="2"/>
  <c r="D130" i="2"/>
  <c r="F130" i="2" s="1"/>
  <c r="G130" i="2" s="1"/>
  <c r="J290" i="2" l="1"/>
  <c r="H291" i="2" s="1"/>
  <c r="E131" i="2"/>
  <c r="D131" i="2"/>
  <c r="F131" i="2" s="1"/>
  <c r="G131" i="2" s="1"/>
  <c r="J291" i="2" l="1"/>
  <c r="H292" i="2" s="1"/>
  <c r="E132" i="2"/>
  <c r="D132" i="2"/>
  <c r="F132" i="2" s="1"/>
  <c r="G132" i="2" s="1"/>
  <c r="J292" i="2" l="1"/>
  <c r="H293" i="2" s="1"/>
  <c r="E133" i="2"/>
  <c r="D133" i="2"/>
  <c r="F133" i="2" s="1"/>
  <c r="G133" i="2" s="1"/>
  <c r="J293" i="2" l="1"/>
  <c r="H294" i="2" s="1"/>
  <c r="E134" i="2"/>
  <c r="D134" i="2"/>
  <c r="F134" i="2" s="1"/>
  <c r="G134" i="2" s="1"/>
  <c r="J294" i="2" l="1"/>
  <c r="H295" i="2" s="1"/>
  <c r="E135" i="2"/>
  <c r="D135" i="2"/>
  <c r="F135" i="2" s="1"/>
  <c r="G135" i="2" s="1"/>
  <c r="J295" i="2" l="1"/>
  <c r="H296" i="2" s="1"/>
  <c r="E136" i="2"/>
  <c r="D136" i="2"/>
  <c r="F136" i="2" s="1"/>
  <c r="G136" i="2" s="1"/>
  <c r="J296" i="2" l="1"/>
  <c r="H297" i="2" s="1"/>
  <c r="E137" i="2"/>
  <c r="D137" i="2"/>
  <c r="F137" i="2" s="1"/>
  <c r="G137" i="2" s="1"/>
  <c r="J297" i="2" l="1"/>
  <c r="H298" i="2" s="1"/>
  <c r="E138" i="2"/>
  <c r="D138" i="2"/>
  <c r="F138" i="2" s="1"/>
  <c r="G138" i="2" s="1"/>
  <c r="J298" i="2" l="1"/>
  <c r="H299" i="2" s="1"/>
  <c r="E139" i="2"/>
  <c r="D139" i="2"/>
  <c r="F139" i="2" s="1"/>
  <c r="G139" i="2" s="1"/>
  <c r="J299" i="2" l="1"/>
  <c r="H300" i="2" s="1"/>
  <c r="E140" i="2"/>
  <c r="D140" i="2"/>
  <c r="F140" i="2" s="1"/>
  <c r="G140" i="2" s="1"/>
  <c r="J300" i="2" l="1"/>
  <c r="H301" i="2" s="1"/>
  <c r="E141" i="2"/>
  <c r="D141" i="2"/>
  <c r="F141" i="2" s="1"/>
  <c r="G141" i="2" s="1"/>
  <c r="J301" i="2" l="1"/>
  <c r="H302" i="2" s="1"/>
  <c r="E142" i="2"/>
  <c r="D142" i="2"/>
  <c r="F142" i="2" s="1"/>
  <c r="G142" i="2" s="1"/>
  <c r="J302" i="2" l="1"/>
  <c r="H303" i="2" s="1"/>
  <c r="E143" i="2"/>
  <c r="D143" i="2"/>
  <c r="F143" i="2" s="1"/>
  <c r="G143" i="2" s="1"/>
  <c r="J303" i="2" l="1"/>
  <c r="H304" i="2" s="1"/>
  <c r="E144" i="2"/>
  <c r="D144" i="2"/>
  <c r="F144" i="2" s="1"/>
  <c r="G144" i="2" s="1"/>
  <c r="J304" i="2" l="1"/>
  <c r="H305" i="2" s="1"/>
  <c r="E145" i="2"/>
  <c r="D145" i="2"/>
  <c r="F145" i="2" s="1"/>
  <c r="G145" i="2" s="1"/>
  <c r="J305" i="2" l="1"/>
  <c r="H306" i="2" s="1"/>
  <c r="E146" i="2"/>
  <c r="D146" i="2"/>
  <c r="F146" i="2" s="1"/>
  <c r="G146" i="2" s="1"/>
  <c r="J306" i="2" l="1"/>
  <c r="H307" i="2" s="1"/>
  <c r="E147" i="2"/>
  <c r="D147" i="2"/>
  <c r="F147" i="2" s="1"/>
  <c r="G147" i="2" s="1"/>
  <c r="J307" i="2" l="1"/>
  <c r="H308" i="2" s="1"/>
  <c r="E148" i="2"/>
  <c r="D148" i="2"/>
  <c r="F148" i="2" s="1"/>
  <c r="G148" i="2" s="1"/>
  <c r="J308" i="2" l="1"/>
  <c r="H309" i="2" s="1"/>
  <c r="E149" i="2"/>
  <c r="D149" i="2"/>
  <c r="F149" i="2" s="1"/>
  <c r="G149" i="2" s="1"/>
  <c r="J309" i="2" l="1"/>
  <c r="H310" i="2" s="1"/>
  <c r="E150" i="2"/>
  <c r="D150" i="2"/>
  <c r="F150" i="2" s="1"/>
  <c r="G150" i="2" s="1"/>
  <c r="J310" i="2" l="1"/>
  <c r="H311" i="2" s="1"/>
  <c r="E151" i="2"/>
  <c r="D151" i="2"/>
  <c r="F151" i="2" s="1"/>
  <c r="G151" i="2" s="1"/>
  <c r="J311" i="2" l="1"/>
  <c r="H312" i="2" s="1"/>
  <c r="E152" i="2"/>
  <c r="D152" i="2"/>
  <c r="F152" i="2" s="1"/>
  <c r="G152" i="2" s="1"/>
  <c r="J312" i="2" l="1"/>
  <c r="H313" i="2" s="1"/>
  <c r="E153" i="2"/>
  <c r="D153" i="2"/>
  <c r="F153" i="2" s="1"/>
  <c r="G153" i="2" s="1"/>
  <c r="J313" i="2" l="1"/>
  <c r="H314" i="2" s="1"/>
  <c r="E154" i="2"/>
  <c r="D154" i="2"/>
  <c r="F154" i="2" s="1"/>
  <c r="G154" i="2" s="1"/>
  <c r="J314" i="2" l="1"/>
  <c r="H315" i="2" s="1"/>
  <c r="E155" i="2"/>
  <c r="D155" i="2"/>
  <c r="F155" i="2" s="1"/>
  <c r="G155" i="2" s="1"/>
  <c r="J315" i="2" l="1"/>
  <c r="H316" i="2" s="1"/>
  <c r="E156" i="2"/>
  <c r="D156" i="2"/>
  <c r="F156" i="2" s="1"/>
  <c r="G156" i="2" s="1"/>
  <c r="J316" i="2" l="1"/>
  <c r="H317" i="2" s="1"/>
  <c r="E157" i="2"/>
  <c r="D157" i="2"/>
  <c r="F157" i="2" s="1"/>
  <c r="G157" i="2" s="1"/>
  <c r="J317" i="2" l="1"/>
  <c r="H318" i="2" s="1"/>
  <c r="E158" i="2"/>
  <c r="D158" i="2"/>
  <c r="F158" i="2" s="1"/>
  <c r="G158" i="2" s="1"/>
  <c r="J318" i="2" l="1"/>
  <c r="H319" i="2" s="1"/>
  <c r="E159" i="2"/>
  <c r="D159" i="2"/>
  <c r="F159" i="2" s="1"/>
  <c r="G159" i="2" s="1"/>
  <c r="J319" i="2" l="1"/>
  <c r="H320" i="2" s="1"/>
  <c r="E160" i="2"/>
  <c r="D160" i="2"/>
  <c r="F160" i="2" s="1"/>
  <c r="G160" i="2" s="1"/>
  <c r="J320" i="2" l="1"/>
  <c r="H321" i="2" s="1"/>
  <c r="E161" i="2"/>
  <c r="D161" i="2"/>
  <c r="F161" i="2" s="1"/>
  <c r="G161" i="2" s="1"/>
  <c r="J321" i="2" l="1"/>
  <c r="H322" i="2" s="1"/>
  <c r="E162" i="2"/>
  <c r="D162" i="2"/>
  <c r="F162" i="2" s="1"/>
  <c r="G162" i="2" s="1"/>
  <c r="J322" i="2" l="1"/>
  <c r="H323" i="2" s="1"/>
  <c r="E163" i="2"/>
  <c r="D163" i="2"/>
  <c r="F163" i="2" s="1"/>
  <c r="G163" i="2" s="1"/>
  <c r="J323" i="2" l="1"/>
  <c r="H324" i="2" s="1"/>
  <c r="E164" i="2"/>
  <c r="D164" i="2"/>
  <c r="F164" i="2" s="1"/>
  <c r="G164" i="2" s="1"/>
  <c r="J324" i="2" l="1"/>
  <c r="H325" i="2" s="1"/>
  <c r="E165" i="2"/>
  <c r="D165" i="2"/>
  <c r="F165" i="2" s="1"/>
  <c r="G165" i="2" s="1"/>
  <c r="J325" i="2" l="1"/>
  <c r="H326" i="2" s="1"/>
  <c r="E166" i="2"/>
  <c r="D166" i="2"/>
  <c r="J326" i="2" l="1"/>
  <c r="H327" i="2" s="1"/>
  <c r="F166" i="2"/>
  <c r="G166" i="2" s="1"/>
  <c r="E167" i="2" s="1"/>
  <c r="D167" i="2" l="1"/>
  <c r="J327" i="2"/>
  <c r="H328" i="2" s="1"/>
  <c r="F167" i="2"/>
  <c r="G167" i="2" s="1"/>
  <c r="E168" i="2" s="1"/>
  <c r="D168" i="2"/>
  <c r="J328" i="2" l="1"/>
  <c r="H329" i="2" s="1"/>
  <c r="F168" i="2"/>
  <c r="G168" i="2" s="1"/>
  <c r="E169" i="2" s="1"/>
  <c r="D169" i="2"/>
  <c r="F169" i="2" l="1"/>
  <c r="G169" i="2" s="1"/>
  <c r="J329" i="2"/>
  <c r="H330" i="2" s="1"/>
  <c r="E170" i="2"/>
  <c r="D170" i="2"/>
  <c r="F170" i="2" s="1"/>
  <c r="G170" i="2" s="1"/>
  <c r="J330" i="2" l="1"/>
  <c r="H331" i="2" s="1"/>
  <c r="E171" i="2"/>
  <c r="D171" i="2"/>
  <c r="F171" i="2" s="1"/>
  <c r="G171" i="2" s="1"/>
  <c r="J331" i="2" l="1"/>
  <c r="H332" i="2" s="1"/>
  <c r="E172" i="2"/>
  <c r="D172" i="2"/>
  <c r="F172" i="2" s="1"/>
  <c r="G172" i="2" s="1"/>
  <c r="J332" i="2" l="1"/>
  <c r="H333" i="2" s="1"/>
  <c r="E173" i="2"/>
  <c r="D173" i="2"/>
  <c r="F173" i="2" s="1"/>
  <c r="G173" i="2" s="1"/>
  <c r="J333" i="2" l="1"/>
  <c r="H334" i="2" s="1"/>
  <c r="E174" i="2"/>
  <c r="D174" i="2"/>
  <c r="F174" i="2" s="1"/>
  <c r="G174" i="2" s="1"/>
  <c r="J334" i="2" l="1"/>
  <c r="H335" i="2" s="1"/>
  <c r="E175" i="2"/>
  <c r="D175" i="2"/>
  <c r="F175" i="2" s="1"/>
  <c r="G175" i="2" s="1"/>
  <c r="J335" i="2" l="1"/>
  <c r="H336" i="2" s="1"/>
  <c r="E176" i="2"/>
  <c r="D176" i="2"/>
  <c r="F176" i="2" s="1"/>
  <c r="G176" i="2" s="1"/>
  <c r="J336" i="2" l="1"/>
  <c r="H337" i="2" s="1"/>
  <c r="E177" i="2"/>
  <c r="D177" i="2"/>
  <c r="F177" i="2" s="1"/>
  <c r="G177" i="2" s="1"/>
  <c r="J337" i="2" l="1"/>
  <c r="H338" i="2" s="1"/>
  <c r="E178" i="2"/>
  <c r="D178" i="2"/>
  <c r="F178" i="2" s="1"/>
  <c r="G178" i="2" s="1"/>
  <c r="J338" i="2" l="1"/>
  <c r="H339" i="2" s="1"/>
  <c r="E179" i="2"/>
  <c r="D179" i="2"/>
  <c r="F179" i="2" s="1"/>
  <c r="G179" i="2" s="1"/>
  <c r="J339" i="2" l="1"/>
  <c r="H340" i="2" s="1"/>
  <c r="E180" i="2"/>
  <c r="D180" i="2"/>
  <c r="F180" i="2" s="1"/>
  <c r="G180" i="2" s="1"/>
  <c r="J340" i="2" l="1"/>
  <c r="H341" i="2" s="1"/>
  <c r="E181" i="2"/>
  <c r="D181" i="2"/>
  <c r="F181" i="2" s="1"/>
  <c r="G181" i="2" s="1"/>
  <c r="J341" i="2" l="1"/>
  <c r="H342" i="2" s="1"/>
  <c r="E182" i="2"/>
  <c r="D182" i="2"/>
  <c r="F182" i="2" s="1"/>
  <c r="G182" i="2" s="1"/>
  <c r="J342" i="2" l="1"/>
  <c r="H343" i="2" s="1"/>
  <c r="E183" i="2"/>
  <c r="D183" i="2"/>
  <c r="F183" i="2" s="1"/>
  <c r="G183" i="2" s="1"/>
  <c r="J343" i="2" l="1"/>
  <c r="H344" i="2" s="1"/>
  <c r="E184" i="2"/>
  <c r="D184" i="2"/>
  <c r="F184" i="2" s="1"/>
  <c r="G184" i="2" s="1"/>
  <c r="J344" i="2" l="1"/>
  <c r="H345" i="2" s="1"/>
  <c r="E185" i="2"/>
  <c r="D185" i="2"/>
  <c r="F185" i="2" s="1"/>
  <c r="G185" i="2" s="1"/>
  <c r="J345" i="2" l="1"/>
  <c r="H346" i="2" s="1"/>
  <c r="E186" i="2"/>
  <c r="D186" i="2"/>
  <c r="F186" i="2" s="1"/>
  <c r="G186" i="2" s="1"/>
  <c r="J346" i="2" l="1"/>
  <c r="H347" i="2" s="1"/>
  <c r="E187" i="2"/>
  <c r="D187" i="2"/>
  <c r="F187" i="2" s="1"/>
  <c r="G187" i="2" s="1"/>
  <c r="J347" i="2" l="1"/>
  <c r="H348" i="2" s="1"/>
  <c r="E188" i="2"/>
  <c r="D188" i="2"/>
  <c r="F188" i="2" s="1"/>
  <c r="G188" i="2" s="1"/>
  <c r="J348" i="2" l="1"/>
  <c r="H349" i="2" s="1"/>
  <c r="E189" i="2"/>
  <c r="D189" i="2"/>
  <c r="F189" i="2" s="1"/>
  <c r="G189" i="2" s="1"/>
  <c r="J349" i="2" l="1"/>
  <c r="H350" i="2" s="1"/>
  <c r="E190" i="2"/>
  <c r="D190" i="2"/>
  <c r="F190" i="2" s="1"/>
  <c r="G190" i="2" s="1"/>
  <c r="J350" i="2" l="1"/>
  <c r="H351" i="2" s="1"/>
  <c r="E191" i="2"/>
  <c r="D191" i="2"/>
  <c r="F191" i="2" s="1"/>
  <c r="G191" i="2" s="1"/>
  <c r="J351" i="2" l="1"/>
  <c r="H352" i="2" s="1"/>
  <c r="E192" i="2"/>
  <c r="D192" i="2"/>
  <c r="F192" i="2" s="1"/>
  <c r="G192" i="2" s="1"/>
  <c r="J352" i="2" l="1"/>
  <c r="H353" i="2" s="1"/>
  <c r="E193" i="2"/>
  <c r="D193" i="2"/>
  <c r="F193" i="2" s="1"/>
  <c r="G193" i="2" s="1"/>
  <c r="J353" i="2" l="1"/>
  <c r="H354" i="2" s="1"/>
  <c r="E194" i="2"/>
  <c r="D194" i="2"/>
  <c r="F194" i="2" s="1"/>
  <c r="G194" i="2" s="1"/>
  <c r="J354" i="2" l="1"/>
  <c r="H355" i="2" s="1"/>
  <c r="E195" i="2"/>
  <c r="D195" i="2"/>
  <c r="F195" i="2" s="1"/>
  <c r="G195" i="2" s="1"/>
  <c r="J355" i="2" l="1"/>
  <c r="H356" i="2" s="1"/>
  <c r="E196" i="2"/>
  <c r="D196" i="2"/>
  <c r="F196" i="2" s="1"/>
  <c r="G196" i="2" s="1"/>
  <c r="J356" i="2" l="1"/>
  <c r="H357" i="2" s="1"/>
  <c r="E197" i="2"/>
  <c r="D197" i="2"/>
  <c r="F197" i="2" s="1"/>
  <c r="G197" i="2" s="1"/>
  <c r="J357" i="2" l="1"/>
  <c r="H358" i="2" s="1"/>
  <c r="E198" i="2"/>
  <c r="D198" i="2"/>
  <c r="F198" i="2" s="1"/>
  <c r="G198" i="2" s="1"/>
  <c r="J358" i="2" l="1"/>
  <c r="H359" i="2" s="1"/>
  <c r="E199" i="2"/>
  <c r="D199" i="2"/>
  <c r="F199" i="2" s="1"/>
  <c r="G199" i="2" s="1"/>
  <c r="J359" i="2" l="1"/>
  <c r="H360" i="2" s="1"/>
  <c r="E200" i="2"/>
  <c r="D200" i="2"/>
  <c r="F200" i="2" s="1"/>
  <c r="G200" i="2" s="1"/>
  <c r="J360" i="2" l="1"/>
  <c r="H361" i="2" s="1"/>
  <c r="E201" i="2"/>
  <c r="D201" i="2"/>
  <c r="F201" i="2" s="1"/>
  <c r="G201" i="2" s="1"/>
  <c r="J361" i="2" l="1"/>
  <c r="H362" i="2" s="1"/>
  <c r="E202" i="2"/>
  <c r="D202" i="2"/>
  <c r="F202" i="2" s="1"/>
  <c r="G202" i="2" s="1"/>
  <c r="J362" i="2" l="1"/>
  <c r="H363" i="2" s="1"/>
  <c r="E203" i="2"/>
  <c r="D203" i="2"/>
  <c r="F203" i="2" s="1"/>
  <c r="G203" i="2" s="1"/>
  <c r="J363" i="2" l="1"/>
  <c r="H364" i="2" s="1"/>
  <c r="E204" i="2"/>
  <c r="D204" i="2"/>
  <c r="F204" i="2" s="1"/>
  <c r="G204" i="2" s="1"/>
  <c r="J364" i="2" l="1"/>
  <c r="H365" i="2" s="1"/>
  <c r="E205" i="2"/>
  <c r="D205" i="2"/>
  <c r="F205" i="2" s="1"/>
  <c r="G205" i="2" s="1"/>
  <c r="J365" i="2" l="1"/>
  <c r="H366" i="2" s="1"/>
  <c r="E206" i="2"/>
  <c r="D206" i="2"/>
  <c r="F206" i="2" s="1"/>
  <c r="G206" i="2" s="1"/>
  <c r="J366" i="2" l="1"/>
  <c r="H367" i="2" s="1"/>
  <c r="E207" i="2"/>
  <c r="D207" i="2"/>
  <c r="F207" i="2" s="1"/>
  <c r="G207" i="2" s="1"/>
  <c r="J367" i="2" l="1"/>
  <c r="H368" i="2" s="1"/>
  <c r="E208" i="2"/>
  <c r="D208" i="2"/>
  <c r="F208" i="2" s="1"/>
  <c r="G208" i="2" s="1"/>
  <c r="J368" i="2" l="1"/>
  <c r="H369" i="2" s="1"/>
  <c r="E209" i="2"/>
  <c r="D209" i="2"/>
  <c r="J369" i="2" l="1"/>
  <c r="H370" i="2" s="1"/>
  <c r="F209" i="2"/>
  <c r="G209" i="2" s="1"/>
  <c r="E210" i="2" s="1"/>
  <c r="D210" i="2"/>
  <c r="J370" i="2" l="1"/>
  <c r="H371" i="2" s="1"/>
  <c r="F210" i="2"/>
  <c r="G210" i="2" s="1"/>
  <c r="E211" i="2" s="1"/>
  <c r="D211" i="2" l="1"/>
  <c r="J371" i="2"/>
  <c r="H372" i="2" s="1"/>
  <c r="F211" i="2"/>
  <c r="G211" i="2" s="1"/>
  <c r="D212" i="2" s="1"/>
  <c r="E212" i="2"/>
  <c r="F212" i="2" l="1"/>
  <c r="G212" i="2" s="1"/>
  <c r="J372" i="2"/>
  <c r="H373" i="2" s="1"/>
  <c r="E213" i="2"/>
  <c r="D213" i="2"/>
  <c r="F213" i="2" s="1"/>
  <c r="G213" i="2" s="1"/>
  <c r="J373" i="2" l="1"/>
  <c r="H374" i="2" s="1"/>
  <c r="E214" i="2"/>
  <c r="D214" i="2"/>
  <c r="F214" i="2" s="1"/>
  <c r="G214" i="2" s="1"/>
  <c r="J374" i="2" l="1"/>
  <c r="H375" i="2" s="1"/>
  <c r="E215" i="2"/>
  <c r="D215" i="2"/>
  <c r="F215" i="2" l="1"/>
  <c r="G215" i="2" s="1"/>
  <c r="J375" i="2"/>
  <c r="H376" i="2" s="1"/>
  <c r="E216" i="2"/>
  <c r="D216" i="2"/>
  <c r="F216" i="2" s="1"/>
  <c r="G216" i="2" s="1"/>
  <c r="J376" i="2" l="1"/>
  <c r="H377" i="2" s="1"/>
  <c r="E217" i="2"/>
  <c r="D217" i="2"/>
  <c r="F217" i="2" s="1"/>
  <c r="G217" i="2" s="1"/>
  <c r="J377" i="2" l="1"/>
  <c r="H378" i="2" s="1"/>
  <c r="E218" i="2"/>
  <c r="D218" i="2"/>
  <c r="F218" i="2" s="1"/>
  <c r="G218" i="2" s="1"/>
  <c r="J378" i="2" l="1"/>
  <c r="H379" i="2" s="1"/>
  <c r="E219" i="2"/>
  <c r="D219" i="2"/>
  <c r="F219" i="2" s="1"/>
  <c r="G219" i="2" s="1"/>
  <c r="J379" i="2" l="1"/>
  <c r="H380" i="2" s="1"/>
  <c r="E220" i="2"/>
  <c r="D220" i="2"/>
  <c r="F220" i="2" s="1"/>
  <c r="G220" i="2" s="1"/>
  <c r="J380" i="2" l="1"/>
  <c r="H381" i="2" s="1"/>
  <c r="E221" i="2"/>
  <c r="D221" i="2"/>
  <c r="F221" i="2" s="1"/>
  <c r="G221" i="2" s="1"/>
  <c r="J381" i="2" l="1"/>
  <c r="H382" i="2" s="1"/>
  <c r="E222" i="2"/>
  <c r="D222" i="2"/>
  <c r="F222" i="2" s="1"/>
  <c r="G222" i="2" s="1"/>
  <c r="J382" i="2" l="1"/>
  <c r="H383" i="2" s="1"/>
  <c r="E223" i="2"/>
  <c r="D223" i="2"/>
  <c r="F223" i="2" s="1"/>
  <c r="G223" i="2" s="1"/>
  <c r="J383" i="2" l="1"/>
  <c r="H384" i="2" s="1"/>
  <c r="E224" i="2"/>
  <c r="D224" i="2"/>
  <c r="F224" i="2" s="1"/>
  <c r="G224" i="2" s="1"/>
  <c r="J384" i="2" l="1"/>
  <c r="H385" i="2" s="1"/>
  <c r="E225" i="2"/>
  <c r="D225" i="2"/>
  <c r="J385" i="2" l="1"/>
  <c r="H386" i="2" s="1"/>
  <c r="F225" i="2"/>
  <c r="G225" i="2" s="1"/>
  <c r="E226" i="2" s="1"/>
  <c r="D226" i="2"/>
  <c r="J386" i="2" l="1"/>
  <c r="H387" i="2" s="1"/>
  <c r="F226" i="2"/>
  <c r="G226" i="2" s="1"/>
  <c r="E227" i="2"/>
  <c r="D227" i="2"/>
  <c r="F227" i="2" s="1"/>
  <c r="G227" i="2" s="1"/>
  <c r="J387" i="2" l="1"/>
  <c r="H388" i="2" s="1"/>
  <c r="E228" i="2"/>
  <c r="D228" i="2"/>
  <c r="F228" i="2" s="1"/>
  <c r="G228" i="2" s="1"/>
  <c r="J388" i="2" l="1"/>
  <c r="H389" i="2" s="1"/>
  <c r="E229" i="2"/>
  <c r="D229" i="2"/>
  <c r="F229" i="2" s="1"/>
  <c r="G229" i="2" s="1"/>
  <c r="J389" i="2" l="1"/>
  <c r="H390" i="2" s="1"/>
  <c r="E230" i="2"/>
  <c r="D230" i="2"/>
  <c r="F230" i="2" s="1"/>
  <c r="G230" i="2" s="1"/>
  <c r="J390" i="2" l="1"/>
  <c r="H391" i="2" s="1"/>
  <c r="E231" i="2"/>
  <c r="D231" i="2"/>
  <c r="F231" i="2" s="1"/>
  <c r="G231" i="2" s="1"/>
  <c r="J391" i="2" l="1"/>
  <c r="H392" i="2" s="1"/>
  <c r="E232" i="2"/>
  <c r="D232" i="2"/>
  <c r="F232" i="2" s="1"/>
  <c r="G232" i="2" s="1"/>
  <c r="J392" i="2" l="1"/>
  <c r="H393" i="2" s="1"/>
  <c r="E233" i="2"/>
  <c r="D233" i="2"/>
  <c r="F233" i="2" s="1"/>
  <c r="G233" i="2" s="1"/>
  <c r="J393" i="2" l="1"/>
  <c r="H394" i="2" s="1"/>
  <c r="E234" i="2"/>
  <c r="D234" i="2"/>
  <c r="F234" i="2" s="1"/>
  <c r="G234" i="2" s="1"/>
  <c r="J394" i="2" l="1"/>
  <c r="H395" i="2" s="1"/>
  <c r="E235" i="2"/>
  <c r="D235" i="2"/>
  <c r="F235" i="2" s="1"/>
  <c r="G235" i="2" s="1"/>
  <c r="J395" i="2" l="1"/>
  <c r="H396" i="2" s="1"/>
  <c r="E236" i="2"/>
  <c r="D236" i="2"/>
  <c r="F236" i="2" s="1"/>
  <c r="G236" i="2" s="1"/>
  <c r="J396" i="2" l="1"/>
  <c r="H397" i="2" s="1"/>
  <c r="E237" i="2"/>
  <c r="D237" i="2"/>
  <c r="F237" i="2" s="1"/>
  <c r="G237" i="2" s="1"/>
  <c r="J397" i="2" l="1"/>
  <c r="H398" i="2" s="1"/>
  <c r="E238" i="2"/>
  <c r="D238" i="2"/>
  <c r="F238" i="2" s="1"/>
  <c r="G238" i="2" s="1"/>
  <c r="J398" i="2" l="1"/>
  <c r="H399" i="2" s="1"/>
  <c r="E239" i="2"/>
  <c r="D239" i="2"/>
  <c r="F239" i="2" s="1"/>
  <c r="G239" i="2" s="1"/>
  <c r="J399" i="2" l="1"/>
  <c r="H400" i="2" s="1"/>
  <c r="E240" i="2"/>
  <c r="D240" i="2"/>
  <c r="F240" i="2" s="1"/>
  <c r="G240" i="2" s="1"/>
  <c r="J400" i="2" l="1"/>
  <c r="H401" i="2" s="1"/>
  <c r="E241" i="2"/>
  <c r="D241" i="2"/>
  <c r="F241" i="2" s="1"/>
  <c r="G241" i="2" s="1"/>
  <c r="J401" i="2" l="1"/>
  <c r="H402" i="2" s="1"/>
  <c r="E242" i="2"/>
  <c r="D242" i="2"/>
  <c r="F242" i="2" s="1"/>
  <c r="G242" i="2" s="1"/>
  <c r="J402" i="2" l="1"/>
  <c r="H403" i="2" s="1"/>
  <c r="E243" i="2"/>
  <c r="D243" i="2"/>
  <c r="F243" i="2" s="1"/>
  <c r="G243" i="2" s="1"/>
  <c r="J403" i="2" l="1"/>
  <c r="H404" i="2" s="1"/>
  <c r="E244" i="2"/>
  <c r="D244" i="2"/>
  <c r="F244" i="2" s="1"/>
  <c r="G244" i="2" s="1"/>
  <c r="J404" i="2" l="1"/>
  <c r="H405" i="2" s="1"/>
  <c r="E245" i="2"/>
  <c r="D245" i="2"/>
  <c r="F245" i="2" s="1"/>
  <c r="G245" i="2" s="1"/>
  <c r="J405" i="2" l="1"/>
  <c r="H406" i="2" s="1"/>
  <c r="E246" i="2"/>
  <c r="D246" i="2"/>
  <c r="F246" i="2" s="1"/>
  <c r="G246" i="2" s="1"/>
  <c r="J406" i="2" l="1"/>
  <c r="H407" i="2" s="1"/>
  <c r="E247" i="2"/>
  <c r="D247" i="2"/>
  <c r="F247" i="2" s="1"/>
  <c r="G247" i="2" s="1"/>
  <c r="J407" i="2" l="1"/>
  <c r="H408" i="2" s="1"/>
  <c r="E248" i="2"/>
  <c r="D248" i="2"/>
  <c r="F248" i="2" s="1"/>
  <c r="G248" i="2" s="1"/>
  <c r="J408" i="2" l="1"/>
  <c r="H409" i="2" s="1"/>
  <c r="E249" i="2"/>
  <c r="D249" i="2"/>
  <c r="F249" i="2" s="1"/>
  <c r="G249" i="2" s="1"/>
  <c r="J409" i="2" l="1"/>
  <c r="H410" i="2" s="1"/>
  <c r="E250" i="2"/>
  <c r="D250" i="2"/>
  <c r="F250" i="2" s="1"/>
  <c r="G250" i="2" s="1"/>
  <c r="J410" i="2" l="1"/>
  <c r="H411" i="2" s="1"/>
  <c r="E251" i="2"/>
  <c r="D251" i="2"/>
  <c r="F251" i="2" s="1"/>
  <c r="G251" i="2" s="1"/>
  <c r="J411" i="2" l="1"/>
  <c r="H412" i="2" s="1"/>
  <c r="E252" i="2"/>
  <c r="D252" i="2"/>
  <c r="F252" i="2" s="1"/>
  <c r="G252" i="2" s="1"/>
  <c r="J412" i="2" l="1"/>
  <c r="H413" i="2" s="1"/>
  <c r="E253" i="2"/>
  <c r="D253" i="2"/>
  <c r="F253" i="2" s="1"/>
  <c r="G253" i="2" s="1"/>
  <c r="J413" i="2" l="1"/>
  <c r="H414" i="2" s="1"/>
  <c r="E254" i="2"/>
  <c r="D254" i="2"/>
  <c r="F254" i="2" s="1"/>
  <c r="G254" i="2" s="1"/>
  <c r="J414" i="2" l="1"/>
  <c r="H415" i="2" s="1"/>
  <c r="E255" i="2"/>
  <c r="D255" i="2"/>
  <c r="F255" i="2" s="1"/>
  <c r="G255" i="2" s="1"/>
  <c r="J415" i="2" l="1"/>
  <c r="H416" i="2" s="1"/>
  <c r="E256" i="2"/>
  <c r="D256" i="2"/>
  <c r="F256" i="2" s="1"/>
  <c r="G256" i="2" s="1"/>
  <c r="J416" i="2" l="1"/>
  <c r="H417" i="2" s="1"/>
  <c r="E257" i="2"/>
  <c r="D257" i="2"/>
  <c r="F257" i="2" s="1"/>
  <c r="G257" i="2" s="1"/>
  <c r="J417" i="2" l="1"/>
  <c r="H418" i="2" s="1"/>
  <c r="E258" i="2"/>
  <c r="D258" i="2"/>
  <c r="F258" i="2" s="1"/>
  <c r="G258" i="2" s="1"/>
  <c r="J418" i="2" l="1"/>
  <c r="H419" i="2" s="1"/>
  <c r="E259" i="2"/>
  <c r="D259" i="2"/>
  <c r="F259" i="2" s="1"/>
  <c r="G259" i="2" s="1"/>
  <c r="J419" i="2" l="1"/>
  <c r="H420" i="2" s="1"/>
  <c r="E260" i="2"/>
  <c r="D260" i="2"/>
  <c r="F260" i="2" s="1"/>
  <c r="G260" i="2" s="1"/>
  <c r="J420" i="2" l="1"/>
  <c r="H421" i="2" s="1"/>
  <c r="E261" i="2"/>
  <c r="D261" i="2"/>
  <c r="F261" i="2" s="1"/>
  <c r="G261" i="2" s="1"/>
  <c r="J421" i="2" l="1"/>
  <c r="H422" i="2" s="1"/>
  <c r="E262" i="2"/>
  <c r="D262" i="2"/>
  <c r="F262" i="2" s="1"/>
  <c r="G262" i="2" s="1"/>
  <c r="J422" i="2" l="1"/>
  <c r="H423" i="2" s="1"/>
  <c r="E263" i="2"/>
  <c r="D263" i="2"/>
  <c r="F263" i="2" s="1"/>
  <c r="G263" i="2" s="1"/>
  <c r="J423" i="2" l="1"/>
  <c r="H424" i="2" s="1"/>
  <c r="E264" i="2"/>
  <c r="D264" i="2"/>
  <c r="F264" i="2" s="1"/>
  <c r="G264" i="2" s="1"/>
  <c r="J424" i="2" l="1"/>
  <c r="H425" i="2" s="1"/>
  <c r="E265" i="2"/>
  <c r="D265" i="2"/>
  <c r="F265" i="2" s="1"/>
  <c r="G265" i="2" s="1"/>
  <c r="J425" i="2" l="1"/>
  <c r="H426" i="2" s="1"/>
  <c r="E266" i="2"/>
  <c r="D266" i="2"/>
  <c r="F266" i="2" s="1"/>
  <c r="G266" i="2" s="1"/>
  <c r="J426" i="2" l="1"/>
  <c r="H427" i="2" s="1"/>
  <c r="E267" i="2"/>
  <c r="D267" i="2"/>
  <c r="F267" i="2" s="1"/>
  <c r="G267" i="2" s="1"/>
  <c r="J427" i="2" l="1"/>
  <c r="H428" i="2" s="1"/>
  <c r="E268" i="2"/>
  <c r="D268" i="2"/>
  <c r="F268" i="2" s="1"/>
  <c r="G268" i="2" s="1"/>
  <c r="J428" i="2" l="1"/>
  <c r="H429" i="2" s="1"/>
  <c r="E269" i="2"/>
  <c r="D269" i="2"/>
  <c r="F269" i="2" s="1"/>
  <c r="G269" i="2" s="1"/>
  <c r="J429" i="2" l="1"/>
  <c r="H430" i="2" s="1"/>
  <c r="E270" i="2"/>
  <c r="D270" i="2"/>
  <c r="F270" i="2" s="1"/>
  <c r="G270" i="2" s="1"/>
  <c r="J430" i="2" l="1"/>
  <c r="H431" i="2" s="1"/>
  <c r="E271" i="2"/>
  <c r="D271" i="2"/>
  <c r="F271" i="2" s="1"/>
  <c r="G271" i="2" s="1"/>
  <c r="J431" i="2" l="1"/>
  <c r="H432" i="2" s="1"/>
  <c r="E272" i="2"/>
  <c r="D272" i="2"/>
  <c r="F272" i="2" l="1"/>
  <c r="J432" i="2"/>
  <c r="H433" i="2" s="1"/>
  <c r="G272" i="2" l="1"/>
  <c r="J433" i="2"/>
  <c r="H434" i="2" s="1"/>
  <c r="E273" i="2" l="1"/>
  <c r="D273" i="2"/>
  <c r="J434" i="2"/>
  <c r="H435" i="2" s="1"/>
  <c r="F273" i="2" l="1"/>
  <c r="J435" i="2"/>
  <c r="H436" i="2" s="1"/>
  <c r="G273" i="2" l="1"/>
  <c r="J436" i="2"/>
  <c r="H437" i="2" s="1"/>
  <c r="E274" i="2" l="1"/>
  <c r="D274" i="2"/>
  <c r="J437" i="2"/>
  <c r="H438" i="2" s="1"/>
  <c r="F274" i="2" l="1"/>
  <c r="J438" i="2"/>
  <c r="H439" i="2" s="1"/>
  <c r="G274" i="2" l="1"/>
  <c r="J439" i="2"/>
  <c r="H440" i="2" s="1"/>
  <c r="E275" i="2" l="1"/>
  <c r="D275" i="2"/>
  <c r="J440" i="2"/>
  <c r="H441" i="2" s="1"/>
  <c r="F275" i="2" l="1"/>
  <c r="J441" i="2"/>
  <c r="H442" i="2" s="1"/>
  <c r="G275" i="2" l="1"/>
  <c r="J442" i="2"/>
  <c r="H443" i="2" s="1"/>
  <c r="D276" i="2" l="1"/>
  <c r="E276" i="2"/>
  <c r="J443" i="2"/>
  <c r="H444" i="2" s="1"/>
  <c r="F276" i="2" l="1"/>
  <c r="J444" i="2"/>
  <c r="H445" i="2" s="1"/>
  <c r="G276" i="2" l="1"/>
  <c r="J445" i="2"/>
  <c r="H446" i="2" s="1"/>
  <c r="E277" i="2" l="1"/>
  <c r="D277" i="2"/>
  <c r="J446" i="2"/>
  <c r="H447" i="2" s="1"/>
  <c r="F277" i="2" l="1"/>
  <c r="J447" i="2"/>
  <c r="H448" i="2" s="1"/>
  <c r="G277" i="2" l="1"/>
  <c r="J448" i="2"/>
  <c r="H449" i="2" s="1"/>
  <c r="E278" i="2" l="1"/>
  <c r="D278" i="2"/>
  <c r="J449" i="2"/>
  <c r="H450" i="2" s="1"/>
  <c r="F278" i="2" l="1"/>
  <c r="J450" i="2"/>
  <c r="H451" i="2" s="1"/>
  <c r="G278" i="2" l="1"/>
  <c r="J451" i="2"/>
  <c r="H452" i="2" s="1"/>
  <c r="E279" i="2" l="1"/>
  <c r="D279" i="2"/>
  <c r="J452" i="2"/>
  <c r="H453" i="2" s="1"/>
  <c r="F279" i="2" l="1"/>
  <c r="J453" i="2"/>
  <c r="H454" i="2" s="1"/>
  <c r="G279" i="2" l="1"/>
  <c r="J454" i="2"/>
  <c r="H455" i="2" s="1"/>
  <c r="E280" i="2" l="1"/>
  <c r="D280" i="2"/>
  <c r="J455" i="2"/>
  <c r="H456" i="2" s="1"/>
  <c r="F280" i="2" l="1"/>
  <c r="J456" i="2"/>
  <c r="H457" i="2" s="1"/>
  <c r="G280" i="2" l="1"/>
  <c r="J457" i="2"/>
  <c r="H458" i="2" s="1"/>
  <c r="E281" i="2" l="1"/>
  <c r="D281" i="2"/>
  <c r="J458" i="2"/>
  <c r="H459" i="2" s="1"/>
  <c r="F281" i="2" l="1"/>
  <c r="J459" i="2"/>
  <c r="H460" i="2" s="1"/>
  <c r="G281" i="2" l="1"/>
  <c r="J460" i="2"/>
  <c r="H461" i="2" s="1"/>
  <c r="E282" i="2" l="1"/>
  <c r="D282" i="2"/>
  <c r="J461" i="2"/>
  <c r="H462" i="2" s="1"/>
  <c r="F282" i="2" l="1"/>
  <c r="J462" i="2"/>
  <c r="H463" i="2" s="1"/>
  <c r="G282" i="2" l="1"/>
  <c r="J463" i="2"/>
  <c r="H464" i="2" s="1"/>
  <c r="E283" i="2" l="1"/>
  <c r="D283" i="2"/>
  <c r="J464" i="2"/>
  <c r="H465" i="2" s="1"/>
  <c r="F283" i="2" l="1"/>
  <c r="J465" i="2"/>
  <c r="H466" i="2" s="1"/>
  <c r="G283" i="2" l="1"/>
  <c r="J466" i="2"/>
  <c r="H467" i="2" s="1"/>
  <c r="E284" i="2" l="1"/>
  <c r="D284" i="2"/>
  <c r="J467" i="2"/>
  <c r="H468" i="2" s="1"/>
  <c r="F284" i="2" l="1"/>
  <c r="J468" i="2"/>
  <c r="H469" i="2" s="1"/>
  <c r="G284" i="2" l="1"/>
  <c r="J469" i="2"/>
  <c r="H470" i="2" s="1"/>
  <c r="E285" i="2" l="1"/>
  <c r="D285" i="2"/>
  <c r="J470" i="2"/>
  <c r="H471" i="2" s="1"/>
  <c r="F285" i="2" l="1"/>
  <c r="J471" i="2"/>
  <c r="H472" i="2" s="1"/>
  <c r="G285" i="2" l="1"/>
  <c r="J472" i="2"/>
  <c r="H473" i="2" s="1"/>
  <c r="D286" i="2" l="1"/>
  <c r="E286" i="2"/>
  <c r="J473" i="2"/>
  <c r="H474" i="2" s="1"/>
  <c r="F286" i="2" l="1"/>
  <c r="J474" i="2"/>
  <c r="H475" i="2" s="1"/>
  <c r="G286" i="2" l="1"/>
  <c r="J475" i="2"/>
  <c r="H476" i="2" s="1"/>
  <c r="E287" i="2" l="1"/>
  <c r="D287" i="2"/>
  <c r="J476" i="2"/>
  <c r="H477" i="2" s="1"/>
  <c r="F287" i="2" l="1"/>
  <c r="J477" i="2"/>
  <c r="H478" i="2" s="1"/>
  <c r="G287" i="2" l="1"/>
  <c r="J478" i="2"/>
  <c r="H479" i="2" s="1"/>
  <c r="E288" i="2" l="1"/>
  <c r="D288" i="2"/>
  <c r="J479" i="2"/>
  <c r="H480" i="2" s="1"/>
  <c r="F288" i="2" l="1"/>
  <c r="J480" i="2"/>
  <c r="H481" i="2" s="1"/>
  <c r="G288" i="2" l="1"/>
  <c r="J481" i="2"/>
  <c r="H482" i="2" s="1"/>
  <c r="E289" i="2" l="1"/>
  <c r="D289" i="2"/>
  <c r="J482" i="2"/>
  <c r="H483" i="2" s="1"/>
  <c r="F289" i="2" l="1"/>
  <c r="J483" i="2"/>
  <c r="H484" i="2" s="1"/>
  <c r="G289" i="2" l="1"/>
  <c r="J484" i="2"/>
  <c r="H485" i="2" s="1"/>
  <c r="E290" i="2" l="1"/>
  <c r="D290" i="2"/>
  <c r="J485" i="2"/>
  <c r="H486" i="2" s="1"/>
  <c r="F290" i="2" l="1"/>
  <c r="J486" i="2"/>
  <c r="H487" i="2" s="1"/>
  <c r="G290" i="2" l="1"/>
  <c r="J487" i="2"/>
  <c r="H488" i="2" s="1"/>
  <c r="E291" i="2" l="1"/>
  <c r="D291" i="2"/>
  <c r="J488" i="2"/>
  <c r="H489" i="2" s="1"/>
  <c r="F291" i="2" l="1"/>
  <c r="J489" i="2"/>
  <c r="H490" i="2" s="1"/>
  <c r="G291" i="2" l="1"/>
  <c r="J490" i="2"/>
  <c r="H491" i="2" s="1"/>
  <c r="E292" i="2" l="1"/>
  <c r="D292" i="2"/>
  <c r="J491" i="2"/>
  <c r="H492" i="2" s="1"/>
  <c r="F292" i="2" l="1"/>
  <c r="J492" i="2"/>
  <c r="H493" i="2" s="1"/>
  <c r="G292" i="2" l="1"/>
  <c r="J493" i="2"/>
  <c r="H494" i="2" s="1"/>
  <c r="E293" i="2" l="1"/>
  <c r="D293" i="2"/>
  <c r="J494" i="2"/>
  <c r="H495" i="2" s="1"/>
  <c r="F293" i="2" l="1"/>
  <c r="J495" i="2"/>
  <c r="H496" i="2" s="1"/>
  <c r="G293" i="2" l="1"/>
  <c r="J496" i="2"/>
  <c r="H497" i="2" s="1"/>
  <c r="D294" i="2" l="1"/>
  <c r="E294" i="2"/>
  <c r="J497" i="2"/>
  <c r="H498" i="2" s="1"/>
  <c r="F294" i="2" l="1"/>
  <c r="J498" i="2"/>
  <c r="H499" i="2" s="1"/>
  <c r="G294" i="2" l="1"/>
  <c r="J499" i="2"/>
  <c r="H500" i="2" s="1"/>
  <c r="E295" i="2" l="1"/>
  <c r="D295" i="2"/>
  <c r="J500" i="2"/>
  <c r="H501" i="2" s="1"/>
  <c r="F295" i="2" l="1"/>
  <c r="J501" i="2"/>
  <c r="H502" i="2" s="1"/>
  <c r="G295" i="2" l="1"/>
  <c r="J502" i="2"/>
  <c r="H503" i="2" s="1"/>
  <c r="E296" i="2" l="1"/>
  <c r="D296" i="2"/>
  <c r="J503" i="2"/>
  <c r="H504" i="2" s="1"/>
  <c r="F296" i="2" l="1"/>
  <c r="J504" i="2"/>
  <c r="H505" i="2" s="1"/>
  <c r="G296" i="2" l="1"/>
  <c r="J505" i="2"/>
  <c r="H506" i="2" s="1"/>
  <c r="E297" i="2" l="1"/>
  <c r="D297" i="2"/>
  <c r="J506" i="2"/>
  <c r="H507" i="2" s="1"/>
  <c r="F297" i="2" l="1"/>
  <c r="J507" i="2"/>
  <c r="H508" i="2" s="1"/>
  <c r="G297" i="2" l="1"/>
  <c r="J508" i="2"/>
  <c r="H509" i="2" s="1"/>
  <c r="D298" i="2" l="1"/>
  <c r="E298" i="2"/>
  <c r="J509" i="2"/>
  <c r="H510" i="2" s="1"/>
  <c r="F298" i="2" l="1"/>
  <c r="J510" i="2"/>
  <c r="H511" i="2" s="1"/>
  <c r="G298" i="2" l="1"/>
  <c r="J511" i="2"/>
  <c r="H512" i="2" s="1"/>
  <c r="E299" i="2" l="1"/>
  <c r="D299" i="2"/>
  <c r="J512" i="2"/>
  <c r="H513" i="2" s="1"/>
  <c r="F299" i="2" l="1"/>
  <c r="J513" i="2"/>
  <c r="H514" i="2" s="1"/>
  <c r="G299" i="2" l="1"/>
  <c r="J514" i="2"/>
  <c r="H515" i="2" s="1"/>
  <c r="E300" i="2" l="1"/>
  <c r="D300" i="2"/>
  <c r="J515" i="2"/>
  <c r="H516" i="2" s="1"/>
  <c r="F300" i="2" l="1"/>
  <c r="J516" i="2"/>
  <c r="H517" i="2" s="1"/>
  <c r="G300" i="2" l="1"/>
  <c r="J517" i="2"/>
  <c r="H518" i="2" s="1"/>
  <c r="E301" i="2" l="1"/>
  <c r="D301" i="2"/>
  <c r="J518" i="2"/>
  <c r="H519" i="2" s="1"/>
  <c r="F301" i="2" l="1"/>
  <c r="J519" i="2"/>
  <c r="H520" i="2" s="1"/>
  <c r="G301" i="2" l="1"/>
  <c r="J520" i="2"/>
  <c r="H521" i="2" s="1"/>
  <c r="E302" i="2" l="1"/>
  <c r="D302" i="2"/>
  <c r="J521" i="2"/>
  <c r="H522" i="2" s="1"/>
  <c r="F302" i="2" l="1"/>
  <c r="J522" i="2"/>
  <c r="H523" i="2" s="1"/>
  <c r="G302" i="2" l="1"/>
  <c r="J523" i="2"/>
  <c r="H524" i="2" s="1"/>
  <c r="E303" i="2" l="1"/>
  <c r="D303" i="2"/>
  <c r="J524" i="2"/>
  <c r="H525" i="2" s="1"/>
  <c r="F303" i="2" l="1"/>
  <c r="J525" i="2"/>
  <c r="H526" i="2" s="1"/>
  <c r="G303" i="2" l="1"/>
  <c r="J526" i="2"/>
  <c r="H527" i="2" s="1"/>
  <c r="E304" i="2" l="1"/>
  <c r="D304" i="2"/>
  <c r="J527" i="2"/>
  <c r="H528" i="2" s="1"/>
  <c r="F304" i="2" l="1"/>
  <c r="J528" i="2"/>
  <c r="H529" i="2" s="1"/>
  <c r="G304" i="2" l="1"/>
  <c r="J529" i="2"/>
  <c r="H530" i="2" s="1"/>
  <c r="E305" i="2" l="1"/>
  <c r="D305" i="2"/>
  <c r="J530" i="2"/>
  <c r="F305" i="2" l="1"/>
  <c r="G305" i="2" l="1"/>
  <c r="E306" i="2" l="1"/>
  <c r="D306" i="2"/>
  <c r="F306" i="2" l="1"/>
  <c r="G306" i="2" l="1"/>
  <c r="E307" i="2" l="1"/>
  <c r="D307" i="2"/>
  <c r="F307" i="2" l="1"/>
  <c r="G307" i="2" l="1"/>
  <c r="E308" i="2" l="1"/>
  <c r="D308" i="2"/>
  <c r="F308" i="2" l="1"/>
  <c r="G308" i="2" l="1"/>
  <c r="E309" i="2" l="1"/>
  <c r="D309" i="2"/>
  <c r="F309" i="2" l="1"/>
  <c r="G309" i="2" l="1"/>
  <c r="E310" i="2" l="1"/>
  <c r="D310" i="2"/>
  <c r="F310" i="2" l="1"/>
  <c r="G310" i="2" l="1"/>
  <c r="E311" i="2" l="1"/>
  <c r="D311" i="2"/>
  <c r="F311" i="2" l="1"/>
  <c r="G311" i="2" l="1"/>
  <c r="E312" i="2" l="1"/>
  <c r="D312" i="2"/>
  <c r="F312" i="2" l="1"/>
  <c r="G312" i="2" l="1"/>
  <c r="E313" i="2" l="1"/>
  <c r="D313" i="2"/>
  <c r="F313" i="2" l="1"/>
  <c r="G313" i="2" l="1"/>
  <c r="E314" i="2" l="1"/>
  <c r="D314" i="2"/>
  <c r="F314" i="2" l="1"/>
  <c r="G314" i="2" l="1"/>
  <c r="E315" i="2" l="1"/>
  <c r="D315" i="2"/>
  <c r="F315" i="2" l="1"/>
  <c r="G315" i="2" l="1"/>
  <c r="E316" i="2" l="1"/>
  <c r="D316" i="2"/>
  <c r="F316" i="2" l="1"/>
  <c r="G316" i="2" l="1"/>
  <c r="E317" i="2" l="1"/>
  <c r="D317" i="2"/>
  <c r="F317" i="2" l="1"/>
  <c r="G317" i="2" l="1"/>
  <c r="E318" i="2" l="1"/>
  <c r="D318" i="2"/>
  <c r="F318" i="2" l="1"/>
  <c r="G318" i="2" l="1"/>
  <c r="E319" i="2" l="1"/>
  <c r="D319" i="2"/>
  <c r="F319" i="2" l="1"/>
  <c r="G319" i="2" l="1"/>
  <c r="E320" i="2" l="1"/>
  <c r="D320" i="2"/>
  <c r="F320" i="2" l="1"/>
  <c r="G320" i="2" l="1"/>
  <c r="E321" i="2" l="1"/>
  <c r="D321" i="2"/>
  <c r="F321" i="2" l="1"/>
  <c r="G321" i="2" l="1"/>
  <c r="E322" i="2" l="1"/>
  <c r="D322" i="2"/>
  <c r="F322" i="2" l="1"/>
  <c r="G322" i="2" l="1"/>
  <c r="E323" i="2" l="1"/>
  <c r="D323" i="2"/>
  <c r="F323" i="2" l="1"/>
  <c r="G323" i="2" l="1"/>
  <c r="E324" i="2" l="1"/>
  <c r="D324" i="2"/>
  <c r="F324" i="2" l="1"/>
  <c r="G324" i="2" l="1"/>
  <c r="E325" i="2" l="1"/>
  <c r="D325" i="2"/>
  <c r="F325" i="2" l="1"/>
  <c r="G325" i="2" l="1"/>
  <c r="E326" i="2" l="1"/>
  <c r="D326" i="2"/>
  <c r="F326" i="2" l="1"/>
  <c r="G326" i="2" l="1"/>
  <c r="E327" i="2" l="1"/>
  <c r="D327" i="2"/>
  <c r="F327" i="2" l="1"/>
  <c r="G327" i="2" l="1"/>
  <c r="E328" i="2" l="1"/>
  <c r="D328" i="2"/>
  <c r="F328" i="2" l="1"/>
  <c r="G328" i="2" l="1"/>
  <c r="E329" i="2" l="1"/>
  <c r="D329" i="2"/>
  <c r="F329" i="2" l="1"/>
  <c r="G329" i="2" l="1"/>
  <c r="E330" i="2" l="1"/>
  <c r="D330" i="2"/>
  <c r="F330" i="2" l="1"/>
  <c r="G330" i="2" l="1"/>
  <c r="E331" i="2" l="1"/>
  <c r="D331" i="2"/>
  <c r="F331" i="2" l="1"/>
  <c r="G331" i="2" l="1"/>
  <c r="E332" i="2" l="1"/>
  <c r="D332" i="2"/>
  <c r="F332" i="2" l="1"/>
  <c r="G332" i="2" l="1"/>
  <c r="E333" i="2" l="1"/>
  <c r="D333" i="2"/>
  <c r="F333" i="2" l="1"/>
  <c r="G333" i="2" l="1"/>
  <c r="E334" i="2" l="1"/>
  <c r="D334" i="2"/>
  <c r="F334" i="2" l="1"/>
  <c r="G334" i="2" l="1"/>
  <c r="E335" i="2" l="1"/>
  <c r="D335" i="2"/>
  <c r="F335" i="2" l="1"/>
  <c r="G335" i="2" l="1"/>
  <c r="E336" i="2" l="1"/>
  <c r="D336" i="2"/>
  <c r="F336" i="2" l="1"/>
  <c r="G336" i="2" l="1"/>
  <c r="E337" i="2" l="1"/>
  <c r="D337" i="2"/>
  <c r="F337" i="2" l="1"/>
  <c r="G337" i="2" l="1"/>
  <c r="D338" i="2" l="1"/>
  <c r="E338" i="2"/>
  <c r="F338" i="2" l="1"/>
  <c r="G338" i="2" l="1"/>
  <c r="E339" i="2" l="1"/>
  <c r="D339" i="2"/>
  <c r="F339" i="2" l="1"/>
  <c r="G339" i="2" l="1"/>
  <c r="E340" i="2" l="1"/>
  <c r="D340" i="2"/>
  <c r="F340" i="2" l="1"/>
  <c r="G340" i="2" l="1"/>
  <c r="E341" i="2" l="1"/>
  <c r="D341" i="2"/>
  <c r="F341" i="2" l="1"/>
  <c r="G341" i="2" l="1"/>
  <c r="E342" i="2" l="1"/>
  <c r="D342" i="2"/>
  <c r="F342" i="2" l="1"/>
  <c r="G342" i="2" l="1"/>
  <c r="E343" i="2" l="1"/>
  <c r="D343" i="2"/>
  <c r="F343" i="2" l="1"/>
  <c r="G343" i="2" l="1"/>
  <c r="E344" i="2" l="1"/>
  <c r="D344" i="2"/>
  <c r="F344" i="2" l="1"/>
  <c r="G344" i="2" l="1"/>
  <c r="E345" i="2" l="1"/>
  <c r="D345" i="2"/>
  <c r="F345" i="2" l="1"/>
  <c r="G345" i="2" l="1"/>
  <c r="E346" i="2" l="1"/>
  <c r="D346" i="2"/>
  <c r="F346" i="2" l="1"/>
  <c r="G346" i="2" l="1"/>
  <c r="E347" i="2" l="1"/>
  <c r="D347" i="2"/>
  <c r="F347" i="2" l="1"/>
  <c r="G347" i="2" l="1"/>
  <c r="E348" i="2" l="1"/>
  <c r="D348" i="2"/>
  <c r="F348" i="2" l="1"/>
  <c r="G348" i="2" l="1"/>
  <c r="E349" i="2" l="1"/>
  <c r="D349" i="2"/>
  <c r="F349" i="2" l="1"/>
  <c r="G349" i="2" l="1"/>
  <c r="E350" i="2" l="1"/>
  <c r="D350" i="2"/>
  <c r="F350" i="2" l="1"/>
  <c r="G350" i="2" l="1"/>
  <c r="E351" i="2" l="1"/>
  <c r="D351" i="2"/>
  <c r="F351" i="2" l="1"/>
  <c r="G351" i="2" l="1"/>
  <c r="E352" i="2" l="1"/>
  <c r="D352" i="2"/>
  <c r="F352" i="2" l="1"/>
  <c r="G352" i="2" l="1"/>
  <c r="E353" i="2" l="1"/>
  <c r="D353" i="2"/>
  <c r="F353" i="2" l="1"/>
  <c r="G353" i="2" l="1"/>
  <c r="E354" i="2" l="1"/>
  <c r="D354" i="2"/>
  <c r="F354" i="2" l="1"/>
  <c r="G354" i="2" l="1"/>
  <c r="E355" i="2" l="1"/>
  <c r="D355" i="2"/>
  <c r="F355" i="2" l="1"/>
  <c r="G355" i="2" l="1"/>
  <c r="E356" i="2" l="1"/>
  <c r="D356" i="2"/>
  <c r="F356" i="2" l="1"/>
  <c r="G356" i="2" l="1"/>
  <c r="E357" i="2" l="1"/>
  <c r="D357" i="2"/>
  <c r="F357" i="2" l="1"/>
  <c r="G357" i="2" l="1"/>
  <c r="E358" i="2" l="1"/>
  <c r="D358" i="2"/>
  <c r="F358" i="2" l="1"/>
  <c r="G358" i="2" l="1"/>
  <c r="E359" i="2" l="1"/>
  <c r="D359" i="2"/>
  <c r="F359" i="2" l="1"/>
  <c r="G359" i="2" l="1"/>
  <c r="E360" i="2" l="1"/>
  <c r="D360" i="2"/>
  <c r="F360" i="2" l="1"/>
  <c r="G360" i="2" l="1"/>
  <c r="D361" i="2" l="1"/>
  <c r="E361" i="2"/>
  <c r="F361" i="2" l="1"/>
  <c r="G361" i="2" l="1"/>
  <c r="E362" i="2" l="1"/>
  <c r="D362" i="2"/>
  <c r="F362" i="2" l="1"/>
  <c r="G362" i="2" l="1"/>
  <c r="E363" i="2" l="1"/>
  <c r="D363" i="2"/>
  <c r="F363" i="2" l="1"/>
  <c r="G363" i="2" l="1"/>
  <c r="E364" i="2" l="1"/>
  <c r="D364" i="2"/>
  <c r="F364" i="2" l="1"/>
  <c r="G364" i="2" l="1"/>
  <c r="E365" i="2" l="1"/>
  <c r="D365" i="2"/>
  <c r="F365" i="2" l="1"/>
  <c r="G365" i="2" l="1"/>
  <c r="E366" i="2" l="1"/>
  <c r="D366" i="2"/>
  <c r="F366" i="2" l="1"/>
  <c r="G366" i="2" l="1"/>
  <c r="E367" i="2" l="1"/>
  <c r="D367" i="2"/>
  <c r="F367" i="2" l="1"/>
  <c r="G367" i="2" l="1"/>
  <c r="E368" i="2" l="1"/>
  <c r="D368" i="2"/>
  <c r="F368" i="2" l="1"/>
  <c r="G368" i="2" l="1"/>
  <c r="E369" i="2" l="1"/>
  <c r="D369" i="2"/>
  <c r="F369" i="2" l="1"/>
  <c r="G369" i="2" l="1"/>
  <c r="E370" i="2" l="1"/>
  <c r="D370" i="2"/>
  <c r="F370" i="2" l="1"/>
  <c r="G370" i="2" l="1"/>
  <c r="E371" i="2" l="1"/>
  <c r="D371" i="2"/>
  <c r="F371" i="2" l="1"/>
  <c r="G371" i="2" l="1"/>
  <c r="E372" i="2" l="1"/>
  <c r="D372" i="2"/>
  <c r="F372" i="2" l="1"/>
  <c r="G372" i="2" l="1"/>
  <c r="E373" i="2" l="1"/>
  <c r="D373" i="2"/>
  <c r="F373" i="2" l="1"/>
  <c r="G373" i="2" l="1"/>
  <c r="E374" i="2" l="1"/>
  <c r="D374" i="2"/>
  <c r="F374" i="2" l="1"/>
  <c r="G374" i="2" l="1"/>
  <c r="E375" i="2" l="1"/>
  <c r="D375" i="2"/>
  <c r="F375" i="2" l="1"/>
  <c r="G375" i="2" l="1"/>
  <c r="E376" i="2" l="1"/>
  <c r="D376" i="2"/>
  <c r="F376" i="2" l="1"/>
  <c r="G376" i="2" l="1"/>
  <c r="E377" i="2" l="1"/>
  <c r="D377" i="2"/>
  <c r="F377" i="2" l="1"/>
  <c r="G377" i="2" l="1"/>
  <c r="E378" i="2" l="1"/>
  <c r="D378" i="2"/>
  <c r="F378" i="2" l="1"/>
  <c r="G378" i="2" l="1"/>
  <c r="E379" i="2" l="1"/>
  <c r="D379" i="2"/>
  <c r="F379" i="2" l="1"/>
  <c r="G379" i="2" l="1"/>
  <c r="E380" i="2" l="1"/>
  <c r="D380" i="2"/>
  <c r="F380" i="2" l="1"/>
  <c r="G380" i="2" l="1"/>
  <c r="E381" i="2" l="1"/>
  <c r="D381" i="2"/>
  <c r="F381" i="2" l="1"/>
  <c r="G381" i="2" l="1"/>
  <c r="E382" i="2" l="1"/>
  <c r="D382" i="2"/>
  <c r="F382" i="2" l="1"/>
  <c r="G382" i="2" l="1"/>
  <c r="E383" i="2" l="1"/>
  <c r="D383" i="2"/>
  <c r="F383" i="2" l="1"/>
  <c r="G383" i="2" l="1"/>
  <c r="E384" i="2" l="1"/>
  <c r="D384" i="2"/>
  <c r="F384" i="2" l="1"/>
  <c r="G384" i="2" l="1"/>
  <c r="E385" i="2" l="1"/>
  <c r="D385" i="2"/>
  <c r="F385" i="2" l="1"/>
  <c r="G385" i="2" l="1"/>
  <c r="E386" i="2" l="1"/>
  <c r="D386" i="2"/>
  <c r="F386" i="2" l="1"/>
  <c r="G386" i="2" l="1"/>
  <c r="E387" i="2" l="1"/>
  <c r="D387" i="2"/>
  <c r="F387" i="2" l="1"/>
  <c r="G387" i="2" l="1"/>
  <c r="E388" i="2" l="1"/>
  <c r="D388" i="2"/>
  <c r="F388" i="2" l="1"/>
  <c r="G388" i="2" l="1"/>
  <c r="E389" i="2" l="1"/>
  <c r="D389" i="2"/>
  <c r="F389" i="2" l="1"/>
  <c r="G389" i="2" l="1"/>
  <c r="E390" i="2" l="1"/>
  <c r="D390" i="2"/>
  <c r="F390" i="2" l="1"/>
  <c r="G390" i="2" l="1"/>
  <c r="E391" i="2" l="1"/>
  <c r="D391" i="2"/>
  <c r="F391" i="2" l="1"/>
  <c r="G391" i="2" l="1"/>
  <c r="E392" i="2" l="1"/>
  <c r="D392" i="2"/>
  <c r="F392" i="2" l="1"/>
  <c r="G392" i="2" l="1"/>
  <c r="E393" i="2" l="1"/>
  <c r="D393" i="2"/>
  <c r="F393" i="2" l="1"/>
  <c r="G393" i="2" l="1"/>
  <c r="E394" i="2" l="1"/>
  <c r="D394" i="2"/>
  <c r="F394" i="2" l="1"/>
  <c r="G394" i="2" l="1"/>
  <c r="E395" i="2" l="1"/>
  <c r="D395" i="2"/>
  <c r="F395" i="2" l="1"/>
  <c r="G395" i="2" l="1"/>
  <c r="E396" i="2" l="1"/>
  <c r="D396" i="2"/>
  <c r="F396" i="2" l="1"/>
  <c r="G396" i="2" l="1"/>
  <c r="E397" i="2" l="1"/>
  <c r="D397" i="2"/>
  <c r="F397" i="2" l="1"/>
  <c r="G397" i="2" l="1"/>
  <c r="E398" i="2" l="1"/>
  <c r="D398" i="2"/>
  <c r="F398" i="2" l="1"/>
  <c r="G398" i="2" l="1"/>
  <c r="E399" i="2" l="1"/>
  <c r="D399" i="2"/>
  <c r="F399" i="2" l="1"/>
  <c r="G399" i="2" l="1"/>
  <c r="E400" i="2" l="1"/>
  <c r="D400" i="2"/>
  <c r="F400" i="2" l="1"/>
  <c r="G400" i="2" l="1"/>
  <c r="E401" i="2" l="1"/>
  <c r="D401" i="2"/>
  <c r="F401" i="2" l="1"/>
  <c r="G401" i="2" l="1"/>
  <c r="E402" i="2" l="1"/>
  <c r="D402" i="2"/>
  <c r="F402" i="2" l="1"/>
  <c r="G402" i="2" l="1"/>
  <c r="E403" i="2" l="1"/>
  <c r="D403" i="2"/>
  <c r="F403" i="2" l="1"/>
  <c r="G403" i="2" l="1"/>
  <c r="E404" i="2" l="1"/>
  <c r="D404" i="2"/>
  <c r="F404" i="2" l="1"/>
  <c r="G404" i="2" l="1"/>
  <c r="D405" i="2" l="1"/>
  <c r="E405" i="2"/>
  <c r="F405" i="2" l="1"/>
  <c r="G405" i="2" l="1"/>
  <c r="E406" i="2" l="1"/>
  <c r="D406" i="2"/>
  <c r="F406" i="2" l="1"/>
  <c r="G406" i="2" l="1"/>
  <c r="E407" i="2" l="1"/>
  <c r="D407" i="2"/>
  <c r="F407" i="2" l="1"/>
  <c r="G407" i="2" l="1"/>
  <c r="E408" i="2" l="1"/>
  <c r="D408" i="2"/>
  <c r="F408" i="2" l="1"/>
  <c r="G408" i="2" l="1"/>
  <c r="D409" i="2" l="1"/>
  <c r="E409" i="2"/>
  <c r="F409" i="2" l="1"/>
  <c r="G409" i="2" l="1"/>
  <c r="E410" i="2" l="1"/>
  <c r="D410" i="2"/>
  <c r="F410" i="2" l="1"/>
  <c r="G410" i="2" l="1"/>
  <c r="D411" i="2" l="1"/>
  <c r="E411" i="2"/>
  <c r="F411" i="2" l="1"/>
  <c r="G411" i="2" l="1"/>
  <c r="E412" i="2" l="1"/>
  <c r="D412" i="2"/>
  <c r="F412" i="2" l="1"/>
  <c r="G412" i="2" l="1"/>
  <c r="E413" i="2" l="1"/>
  <c r="D413" i="2"/>
  <c r="F413" i="2" l="1"/>
  <c r="G413" i="2" l="1"/>
  <c r="E414" i="2" l="1"/>
  <c r="D414" i="2"/>
  <c r="F414" i="2" l="1"/>
  <c r="G414" i="2" l="1"/>
  <c r="E415" i="2" l="1"/>
  <c r="D415" i="2"/>
  <c r="F415" i="2" l="1"/>
  <c r="G415" i="2" l="1"/>
  <c r="E416" i="2" l="1"/>
  <c r="D416" i="2"/>
  <c r="F416" i="2" l="1"/>
  <c r="G416" i="2" l="1"/>
  <c r="E417" i="2" l="1"/>
  <c r="D417" i="2"/>
  <c r="F417" i="2" l="1"/>
  <c r="G417" i="2" l="1"/>
  <c r="E418" i="2" l="1"/>
  <c r="D418" i="2"/>
  <c r="F418" i="2" l="1"/>
  <c r="G418" i="2" l="1"/>
  <c r="E419" i="2" l="1"/>
  <c r="D419" i="2"/>
  <c r="F419" i="2" l="1"/>
  <c r="G419" i="2" l="1"/>
  <c r="E420" i="2" l="1"/>
  <c r="D420" i="2"/>
  <c r="F420" i="2" l="1"/>
  <c r="G420" i="2" l="1"/>
  <c r="E421" i="2" l="1"/>
  <c r="D421" i="2"/>
  <c r="F421" i="2" l="1"/>
  <c r="G421" i="2" l="1"/>
  <c r="E422" i="2" l="1"/>
  <c r="D422" i="2"/>
  <c r="F422" i="2" l="1"/>
  <c r="G422" i="2" l="1"/>
  <c r="E423" i="2" l="1"/>
  <c r="D423" i="2"/>
  <c r="F423" i="2" l="1"/>
  <c r="G423" i="2" l="1"/>
  <c r="E424" i="2" l="1"/>
  <c r="D424" i="2"/>
  <c r="F424" i="2" l="1"/>
  <c r="G424" i="2" l="1"/>
  <c r="D425" i="2" l="1"/>
  <c r="E425" i="2"/>
  <c r="F425" i="2" l="1"/>
  <c r="G425" i="2" l="1"/>
  <c r="E426" i="2" l="1"/>
  <c r="D426" i="2"/>
  <c r="F426" i="2" l="1"/>
  <c r="G426" i="2" l="1"/>
  <c r="E427" i="2" l="1"/>
  <c r="D427" i="2"/>
  <c r="F427" i="2" l="1"/>
  <c r="G427" i="2" l="1"/>
  <c r="D428" i="2" l="1"/>
  <c r="E428" i="2"/>
  <c r="F428" i="2" l="1"/>
  <c r="G428" i="2" l="1"/>
  <c r="D429" i="2" l="1"/>
  <c r="E429" i="2"/>
  <c r="F429" i="2" l="1"/>
  <c r="G429" i="2" l="1"/>
  <c r="E430" i="2" l="1"/>
  <c r="D430" i="2"/>
  <c r="F430" i="2" l="1"/>
  <c r="G430" i="2" l="1"/>
  <c r="D431" i="2" l="1"/>
  <c r="E431" i="2"/>
  <c r="F431" i="2" l="1"/>
  <c r="G431" i="2" l="1"/>
  <c r="D432" i="2" l="1"/>
  <c r="E432" i="2"/>
  <c r="F432" i="2" l="1"/>
  <c r="G432" i="2" l="1"/>
  <c r="E433" i="2" l="1"/>
  <c r="D433" i="2"/>
  <c r="F433" i="2" l="1"/>
  <c r="G433" i="2" l="1"/>
  <c r="D434" i="2" l="1"/>
  <c r="E434" i="2"/>
  <c r="F434" i="2" l="1"/>
  <c r="G434" i="2" l="1"/>
  <c r="E435" i="2" l="1"/>
  <c r="D435" i="2"/>
  <c r="F435" i="2" l="1"/>
  <c r="G435" i="2" l="1"/>
  <c r="E436" i="2" l="1"/>
  <c r="D436" i="2"/>
  <c r="F436" i="2" l="1"/>
  <c r="G436" i="2" l="1"/>
  <c r="D437" i="2" l="1"/>
  <c r="E437" i="2"/>
  <c r="F437" i="2" l="1"/>
  <c r="G437" i="2" l="1"/>
  <c r="E438" i="2" l="1"/>
  <c r="D438" i="2"/>
  <c r="F438" i="2" l="1"/>
  <c r="G438" i="2" l="1"/>
  <c r="D439" i="2" l="1"/>
  <c r="E439" i="2"/>
  <c r="F439" i="2" l="1"/>
  <c r="G439" i="2" l="1"/>
  <c r="E440" i="2" l="1"/>
  <c r="D440" i="2"/>
  <c r="F440" i="2" l="1"/>
  <c r="G440" i="2" l="1"/>
  <c r="E441" i="2" l="1"/>
  <c r="D441" i="2"/>
  <c r="F441" i="2" l="1"/>
  <c r="G441" i="2" l="1"/>
  <c r="E442" i="2" l="1"/>
  <c r="D442" i="2"/>
  <c r="F442" i="2" l="1"/>
  <c r="G442" i="2" l="1"/>
  <c r="D443" i="2" l="1"/>
  <c r="E443" i="2"/>
  <c r="F443" i="2" l="1"/>
  <c r="G443" i="2" l="1"/>
  <c r="E444" i="2" l="1"/>
  <c r="D444" i="2"/>
  <c r="F444" i="2" l="1"/>
  <c r="G444" i="2" l="1"/>
  <c r="E445" i="2" l="1"/>
  <c r="D445" i="2"/>
  <c r="F445" i="2" l="1"/>
  <c r="G445" i="2" l="1"/>
  <c r="E446" i="2" l="1"/>
  <c r="D446" i="2"/>
  <c r="F446" i="2" l="1"/>
  <c r="G446" i="2" l="1"/>
  <c r="D447" i="2" l="1"/>
  <c r="E447" i="2"/>
  <c r="F447" i="2" l="1"/>
  <c r="G447" i="2" l="1"/>
  <c r="E448" i="2" l="1"/>
  <c r="D448" i="2"/>
  <c r="F448" i="2" l="1"/>
  <c r="G448" i="2" l="1"/>
  <c r="D449" i="2" l="1"/>
  <c r="E449" i="2"/>
  <c r="F449" i="2" l="1"/>
  <c r="G449" i="2" l="1"/>
  <c r="E450" i="2" l="1"/>
  <c r="D450" i="2"/>
  <c r="F450" i="2" l="1"/>
  <c r="G450" i="2" l="1"/>
  <c r="E451" i="2" l="1"/>
  <c r="D451" i="2"/>
  <c r="F451" i="2" l="1"/>
  <c r="G451" i="2" l="1"/>
  <c r="E452" i="2" l="1"/>
  <c r="D452" i="2"/>
  <c r="F452" i="2" l="1"/>
  <c r="G452" i="2" l="1"/>
  <c r="E453" i="2" l="1"/>
  <c r="D453" i="2"/>
  <c r="F453" i="2" l="1"/>
  <c r="G453" i="2" l="1"/>
  <c r="E454" i="2" l="1"/>
  <c r="D454" i="2"/>
  <c r="F454" i="2" l="1"/>
  <c r="G454" i="2" l="1"/>
  <c r="E455" i="2" l="1"/>
  <c r="D455" i="2"/>
  <c r="F455" i="2" l="1"/>
  <c r="G455" i="2" l="1"/>
  <c r="E456" i="2" l="1"/>
  <c r="D456" i="2"/>
  <c r="F456" i="2" l="1"/>
  <c r="G456" i="2" l="1"/>
  <c r="E457" i="2" l="1"/>
  <c r="D457" i="2"/>
  <c r="F457" i="2" l="1"/>
  <c r="G457" i="2" l="1"/>
  <c r="E458" i="2" l="1"/>
  <c r="D458" i="2"/>
  <c r="F458" i="2" l="1"/>
  <c r="G458" i="2" l="1"/>
  <c r="E459" i="2" l="1"/>
  <c r="D459" i="2"/>
  <c r="F459" i="2" l="1"/>
  <c r="G459" i="2" l="1"/>
  <c r="E460" i="2" l="1"/>
  <c r="D460" i="2"/>
  <c r="F460" i="2" l="1"/>
  <c r="G460" i="2" l="1"/>
  <c r="E461" i="2" l="1"/>
  <c r="D461" i="2"/>
  <c r="F461" i="2" l="1"/>
  <c r="G461" i="2" l="1"/>
  <c r="E462" i="2" l="1"/>
  <c r="D462" i="2"/>
  <c r="F462" i="2" l="1"/>
  <c r="G462" i="2" l="1"/>
  <c r="E463" i="2" l="1"/>
  <c r="D463" i="2"/>
  <c r="F463" i="2" l="1"/>
  <c r="G463" i="2" l="1"/>
  <c r="E464" i="2" l="1"/>
  <c r="D464" i="2"/>
  <c r="F464" i="2" l="1"/>
  <c r="G464" i="2" l="1"/>
  <c r="E465" i="2" l="1"/>
  <c r="D465" i="2"/>
  <c r="F465" i="2" l="1"/>
  <c r="G465" i="2" l="1"/>
  <c r="E466" i="2" l="1"/>
  <c r="D466" i="2"/>
  <c r="F466" i="2" l="1"/>
  <c r="G466" i="2" l="1"/>
  <c r="E467" i="2" l="1"/>
  <c r="D467" i="2"/>
  <c r="F467" i="2" l="1"/>
  <c r="G467" i="2" l="1"/>
  <c r="E468" i="2" l="1"/>
  <c r="D468" i="2"/>
  <c r="F468" i="2" l="1"/>
  <c r="G468" i="2" l="1"/>
  <c r="E469" i="2" l="1"/>
  <c r="D469" i="2"/>
  <c r="F469" i="2" l="1"/>
  <c r="G469" i="2" l="1"/>
  <c r="E470" i="2" l="1"/>
  <c r="D470" i="2"/>
  <c r="F470" i="2" l="1"/>
  <c r="G470" i="2" l="1"/>
  <c r="E471" i="2" l="1"/>
  <c r="D471" i="2"/>
  <c r="F471" i="2" l="1"/>
  <c r="G471" i="2" l="1"/>
  <c r="E472" i="2" l="1"/>
  <c r="D472" i="2"/>
  <c r="F472" i="2" l="1"/>
  <c r="G472" i="2" l="1"/>
  <c r="E473" i="2" l="1"/>
  <c r="D473" i="2"/>
  <c r="F473" i="2" l="1"/>
  <c r="G473" i="2" l="1"/>
  <c r="E474" i="2" l="1"/>
  <c r="D474" i="2"/>
  <c r="F474" i="2" l="1"/>
  <c r="G474" i="2" l="1"/>
  <c r="E475" i="2" l="1"/>
  <c r="D475" i="2"/>
  <c r="F475" i="2" l="1"/>
  <c r="G475" i="2" l="1"/>
  <c r="D476" i="2" l="1"/>
  <c r="E476" i="2"/>
  <c r="F476" i="2" l="1"/>
  <c r="G476" i="2" l="1"/>
  <c r="E477" i="2" l="1"/>
  <c r="D477" i="2"/>
  <c r="F477" i="2" l="1"/>
  <c r="G477" i="2" l="1"/>
  <c r="E478" i="2" l="1"/>
  <c r="D478" i="2"/>
  <c r="F478" i="2" l="1"/>
  <c r="G478" i="2" l="1"/>
  <c r="E479" i="2" l="1"/>
  <c r="D479" i="2"/>
  <c r="F479" i="2" l="1"/>
  <c r="G479" i="2" l="1"/>
  <c r="E480" i="2" l="1"/>
  <c r="D480" i="2"/>
  <c r="F480" i="2" l="1"/>
  <c r="G480" i="2" l="1"/>
  <c r="E481" i="2" l="1"/>
  <c r="D481" i="2"/>
  <c r="F481" i="2" l="1"/>
  <c r="G481" i="2" l="1"/>
  <c r="E482" i="2" l="1"/>
  <c r="D482" i="2"/>
  <c r="F482" i="2" l="1"/>
  <c r="G482" i="2" l="1"/>
  <c r="E483" i="2" l="1"/>
  <c r="D483" i="2"/>
  <c r="F483" i="2" l="1"/>
  <c r="G483" i="2" l="1"/>
  <c r="E484" i="2" l="1"/>
  <c r="D484" i="2"/>
  <c r="F484" i="2" l="1"/>
  <c r="G484" i="2" l="1"/>
  <c r="E485" i="2" l="1"/>
  <c r="D485" i="2"/>
  <c r="F485" i="2" l="1"/>
  <c r="G485" i="2" l="1"/>
  <c r="E486" i="2" l="1"/>
  <c r="D486" i="2"/>
  <c r="F486" i="2" l="1"/>
  <c r="G486" i="2" l="1"/>
  <c r="D487" i="2" l="1"/>
  <c r="E487" i="2"/>
  <c r="F487" i="2" l="1"/>
  <c r="G487" i="2" l="1"/>
  <c r="E488" i="2" l="1"/>
  <c r="D488" i="2"/>
  <c r="F488" i="2" l="1"/>
  <c r="G488" i="2" l="1"/>
  <c r="E489" i="2" l="1"/>
  <c r="D489" i="2"/>
  <c r="F489" i="2" l="1"/>
  <c r="G489" i="2" l="1"/>
  <c r="E490" i="2" l="1"/>
  <c r="D490" i="2"/>
  <c r="F490" i="2" l="1"/>
  <c r="G490" i="2" l="1"/>
  <c r="E491" i="2" l="1"/>
  <c r="D491" i="2"/>
  <c r="F491" i="2" l="1"/>
  <c r="G491" i="2" l="1"/>
  <c r="E492" i="2" l="1"/>
  <c r="D492" i="2"/>
  <c r="F492" i="2" l="1"/>
  <c r="G492" i="2" l="1"/>
  <c r="E493" i="2" l="1"/>
  <c r="D493" i="2"/>
  <c r="F493" i="2" l="1"/>
  <c r="G493" i="2" l="1"/>
  <c r="E494" i="2" l="1"/>
  <c r="D494" i="2"/>
  <c r="F494" i="2" l="1"/>
  <c r="G494" i="2" l="1"/>
  <c r="E495" i="2" l="1"/>
  <c r="D495" i="2"/>
  <c r="F495" i="2" l="1"/>
  <c r="G495" i="2" l="1"/>
  <c r="E496" i="2" l="1"/>
  <c r="D496" i="2"/>
  <c r="F496" i="2" l="1"/>
  <c r="G496" i="2" l="1"/>
  <c r="E497" i="2" l="1"/>
  <c r="D497" i="2"/>
  <c r="F497" i="2" l="1"/>
  <c r="G497" i="2" l="1"/>
  <c r="E498" i="2" l="1"/>
  <c r="D498" i="2"/>
  <c r="F498" i="2" l="1"/>
  <c r="G498" i="2" l="1"/>
  <c r="E499" i="2" l="1"/>
  <c r="D499" i="2"/>
  <c r="F499" i="2" l="1"/>
  <c r="G499" i="2" l="1"/>
  <c r="E500" i="2" l="1"/>
  <c r="D500" i="2"/>
  <c r="F500" i="2" l="1"/>
  <c r="G500" i="2" l="1"/>
  <c r="E501" i="2" l="1"/>
  <c r="D501" i="2"/>
  <c r="F501" i="2" l="1"/>
  <c r="G501" i="2" l="1"/>
  <c r="E502" i="2" l="1"/>
  <c r="D502" i="2"/>
  <c r="F502" i="2" l="1"/>
  <c r="G502" i="2" l="1"/>
  <c r="E503" i="2" l="1"/>
  <c r="D503" i="2"/>
  <c r="F503" i="2" l="1"/>
  <c r="G503" i="2" l="1"/>
  <c r="E504" i="2" l="1"/>
  <c r="D504" i="2"/>
  <c r="F504" i="2" l="1"/>
  <c r="G504" i="2" l="1"/>
  <c r="E505" i="2" l="1"/>
  <c r="D505" i="2"/>
  <c r="F505" i="2" l="1"/>
  <c r="G505" i="2" l="1"/>
  <c r="E506" i="2" l="1"/>
  <c r="D506" i="2"/>
  <c r="F506" i="2" l="1"/>
  <c r="G506" i="2" l="1"/>
  <c r="E507" i="2" l="1"/>
  <c r="D507" i="2"/>
  <c r="F507" i="2" l="1"/>
  <c r="G507" i="2" l="1"/>
  <c r="E508" i="2" l="1"/>
  <c r="D508" i="2"/>
  <c r="F508" i="2" l="1"/>
  <c r="G508" i="2" l="1"/>
  <c r="E509" i="2" l="1"/>
  <c r="D509" i="2"/>
  <c r="F509" i="2" l="1"/>
  <c r="G509" i="2" l="1"/>
  <c r="E510" i="2" l="1"/>
  <c r="D510" i="2"/>
  <c r="F510" i="2" l="1"/>
  <c r="G510" i="2" l="1"/>
  <c r="E511" i="2" l="1"/>
  <c r="D511" i="2"/>
  <c r="F511" i="2" l="1"/>
  <c r="G511" i="2" l="1"/>
  <c r="E512" i="2" l="1"/>
  <c r="D512" i="2"/>
  <c r="F512" i="2" l="1"/>
  <c r="G512" i="2" l="1"/>
  <c r="E513" i="2" l="1"/>
  <c r="D513" i="2"/>
  <c r="F513" i="2" l="1"/>
  <c r="G513" i="2" l="1"/>
  <c r="E514" i="2" l="1"/>
  <c r="D514" i="2"/>
  <c r="F514" i="2" l="1"/>
  <c r="G514" i="2" l="1"/>
  <c r="E515" i="2" l="1"/>
  <c r="D515" i="2"/>
  <c r="F515" i="2" l="1"/>
  <c r="G515" i="2" l="1"/>
  <c r="E516" i="2" l="1"/>
  <c r="D516" i="2"/>
  <c r="F516" i="2" l="1"/>
  <c r="G516" i="2" l="1"/>
  <c r="E517" i="2" l="1"/>
  <c r="D517" i="2"/>
  <c r="F517" i="2" l="1"/>
  <c r="G517" i="2" l="1"/>
  <c r="E518" i="2" l="1"/>
  <c r="D518" i="2"/>
  <c r="F518" i="2" l="1"/>
  <c r="G518" i="2" l="1"/>
  <c r="E519" i="2" l="1"/>
  <c r="D519" i="2"/>
  <c r="F519" i="2" l="1"/>
  <c r="G519" i="2" l="1"/>
  <c r="E520" i="2" l="1"/>
  <c r="D520" i="2"/>
  <c r="F520" i="2" l="1"/>
  <c r="G520" i="2" l="1"/>
  <c r="E521" i="2" l="1"/>
  <c r="D521" i="2"/>
  <c r="F521" i="2" l="1"/>
  <c r="G521" i="2" l="1"/>
  <c r="E522" i="2" l="1"/>
  <c r="D522" i="2"/>
  <c r="F522" i="2" l="1"/>
  <c r="G522" i="2" l="1"/>
  <c r="E523" i="2" l="1"/>
  <c r="D523" i="2"/>
  <c r="F523" i="2" l="1"/>
  <c r="G523" i="2" l="1"/>
  <c r="E524" i="2" l="1"/>
  <c r="D524" i="2"/>
  <c r="F524" i="2" l="1"/>
  <c r="G524" i="2" l="1"/>
  <c r="E525" i="2" l="1"/>
  <c r="D525" i="2"/>
  <c r="F525" i="2" l="1"/>
  <c r="G525" i="2" l="1"/>
  <c r="E526" i="2" l="1"/>
  <c r="D526" i="2"/>
  <c r="F526" i="2" l="1"/>
  <c r="G526" i="2" l="1"/>
  <c r="E527" i="2" l="1"/>
  <c r="D527" i="2"/>
  <c r="F527" i="2" l="1"/>
  <c r="G527" i="2" l="1"/>
  <c r="D528" i="2" l="1"/>
  <c r="E528" i="2"/>
  <c r="F528" i="2" l="1"/>
  <c r="G528" i="2" l="1"/>
  <c r="E529" i="2" l="1"/>
  <c r="D529" i="2"/>
  <c r="F529" i="2" l="1"/>
  <c r="G529" i="2" l="1"/>
  <c r="E530" i="2" l="1"/>
  <c r="D530" i="2"/>
  <c r="F530" i="2" l="1"/>
  <c r="G530" i="2" l="1"/>
</calcChain>
</file>

<file path=xl/sharedStrings.xml><?xml version="1.0" encoding="utf-8"?>
<sst xmlns="http://schemas.openxmlformats.org/spreadsheetml/2006/main" count="16" uniqueCount="16">
  <si>
    <t>Extra Payment</t>
  </si>
  <si>
    <t>Number of Years</t>
  </si>
  <si>
    <t>Periods per Year</t>
  </si>
  <si>
    <t>Total Periods</t>
  </si>
  <si>
    <t>Starting Interest Rate</t>
  </si>
  <si>
    <t>Starting Interest Rate for a Period</t>
  </si>
  <si>
    <t>Balance</t>
  </si>
  <si>
    <t>Period</t>
  </si>
  <si>
    <t>Year</t>
  </si>
  <si>
    <t>PMT</t>
  </si>
  <si>
    <t>Interest Paid</t>
  </si>
  <si>
    <t>Principal Paid</t>
  </si>
  <si>
    <t>Original Balance</t>
  </si>
  <si>
    <t>Base Rate</t>
  </si>
  <si>
    <t>Increase in Rate</t>
  </si>
  <si>
    <t>Net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</si>
</sst>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000%"/>
    <numFmt numFmtId="168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6">
    <xf numFmtId="0" fontId="0" fillId="0" borderId="0" xfId="0"/>
    <xf numFmtId="2" fontId="2" fillId="0" borderId="3" xfId="0" applyNumberFormat="1" applyFont="1" applyBorder="1" applyAlignment="1">
      <alignment vertical="center"/>
    </xf>
    <xf numFmtId="167" fontId="2" fillId="0" borderId="0" xfId="3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2" fillId="0" borderId="3" xfId="3" applyNumberFormat="1" applyFont="1" applyBorder="1" applyAlignment="1">
      <alignment vertical="center"/>
    </xf>
    <xf numFmtId="166" fontId="2" fillId="0" borderId="3" xfId="2" applyNumberFormat="1" applyFont="1" applyBorder="1" applyAlignment="1">
      <alignment vertical="center"/>
    </xf>
    <xf numFmtId="0" fontId="3" fillId="3" borderId="3" xfId="4" applyFont="1" applyFill="1" applyBorder="1" applyAlignment="1">
      <alignment horizontal="center" vertical="center"/>
    </xf>
    <xf numFmtId="2" fontId="3" fillId="3" borderId="3" xfId="1" applyNumberFormat="1" applyFont="1" applyFill="1" applyBorder="1" applyAlignment="1">
      <alignment horizontal="center" vertical="center"/>
    </xf>
    <xf numFmtId="166" fontId="3" fillId="3" borderId="3" xfId="4" applyNumberFormat="1" applyFont="1" applyFill="1" applyBorder="1" applyAlignment="1">
      <alignment horizontal="center" vertical="center"/>
    </xf>
    <xf numFmtId="0" fontId="3" fillId="3" borderId="3" xfId="4" applyFont="1" applyFill="1" applyBorder="1" applyAlignment="1">
      <alignment horizontal="center" vertical="center" wrapText="1"/>
    </xf>
    <xf numFmtId="167" fontId="3" fillId="3" borderId="3" xfId="3" applyNumberFormat="1" applyFont="1" applyFill="1" applyBorder="1" applyAlignment="1">
      <alignment horizontal="center" vertical="center"/>
    </xf>
    <xf numFmtId="9" fontId="3" fillId="3" borderId="3" xfId="3" applyFont="1" applyFill="1" applyBorder="1" applyAlignment="1">
      <alignment horizontal="center" vertical="center" wrapText="1"/>
    </xf>
    <xf numFmtId="168" fontId="3" fillId="3" borderId="3" xfId="4" applyNumberFormat="1" applyFont="1" applyFill="1" applyBorder="1" applyAlignment="1">
      <alignment horizontal="center" vertical="center"/>
    </xf>
    <xf numFmtId="166" fontId="3" fillId="3" borderId="3" xfId="4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166" fontId="2" fillId="4" borderId="3" xfId="2" applyNumberFormat="1" applyFont="1" applyFill="1" applyBorder="1" applyAlignment="1">
      <alignment horizontal="center" vertical="center"/>
    </xf>
    <xf numFmtId="166" fontId="2" fillId="4" borderId="3" xfId="2" applyNumberFormat="1" applyFont="1" applyFill="1" applyBorder="1" applyAlignment="1">
      <alignment vertical="center"/>
    </xf>
    <xf numFmtId="167" fontId="2" fillId="0" borderId="3" xfId="3" applyNumberFormat="1" applyFont="1" applyBorder="1" applyAlignment="1">
      <alignment horizontal="center" vertical="center"/>
    </xf>
    <xf numFmtId="9" fontId="2" fillId="4" borderId="3" xfId="3" applyFont="1" applyFill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7" fontId="2" fillId="0" borderId="1" xfId="3" applyNumberFormat="1" applyFont="1" applyBorder="1" applyAlignment="1">
      <alignment horizontal="center" vertical="center"/>
    </xf>
    <xf numFmtId="167" fontId="2" fillId="0" borderId="4" xfId="3" applyNumberFormat="1" applyFont="1" applyBorder="1" applyAlignment="1">
      <alignment horizontal="center" vertical="center"/>
    </xf>
    <xf numFmtId="167" fontId="2" fillId="0" borderId="2" xfId="3" applyNumberFormat="1" applyFont="1" applyBorder="1" applyAlignment="1">
      <alignment horizontal="center" vertical="center"/>
    </xf>
    <xf numFmtId="0" fontId="3" fillId="3" borderId="3" xfId="4" applyFont="1" applyFill="1" applyBorder="1" applyAlignment="1">
      <alignment horizontal="center" vertical="center"/>
    </xf>
  </cellXfs>
  <cellStyles count="5">
    <cellStyle name="60% - Accent6 2" xfId="4" xr:uid="{00000000-0005-0000-0000-000000000000}"/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30"/>
  <sheetViews>
    <sheetView showGridLines="0" tabSelected="1" workbookViewId="0">
      <pane xSplit="1" ySplit="9" topLeftCell="B272" activePane="bottomRight" state="frozen"/>
      <selection pane="topRight" activeCell="B1" sqref="B1"/>
      <selection pane="bottomLeft" activeCell="A10" sqref="A10"/>
      <selection pane="bottomRight" activeCell="N7" sqref="N7"/>
    </sheetView>
  </sheetViews>
  <sheetFormatPr baseColWidth="10" defaultColWidth="9.1640625" defaultRowHeight="20" customHeight="1" x14ac:dyDescent="0.2"/>
  <cols>
    <col min="1" max="1" width="1.1640625" style="6" customWidth="1"/>
    <col min="2" max="2" width="7.1640625" style="27" bestFit="1" customWidth="1"/>
    <col min="3" max="3" width="5.5" style="28" bestFit="1" customWidth="1"/>
    <col min="4" max="4" width="10.1640625" style="5" bestFit="1" customWidth="1"/>
    <col min="5" max="5" width="13.1640625" style="5" bestFit="1" customWidth="1"/>
    <col min="6" max="6" width="14" style="26" bestFit="1" customWidth="1"/>
    <col min="7" max="7" width="16.83203125" style="6" bestFit="1" customWidth="1"/>
    <col min="8" max="8" width="10.6640625" style="2" bestFit="1" customWidth="1"/>
    <col min="9" max="9" width="11" style="3" bestFit="1" customWidth="1"/>
    <col min="10" max="10" width="9.1640625" style="4" bestFit="1" customWidth="1"/>
    <col min="11" max="11" width="10.6640625" style="5" bestFit="1" customWidth="1"/>
    <col min="12" max="12" width="1.1640625" style="6" customWidth="1"/>
    <col min="13" max="13" width="9.83203125" style="6" bestFit="1" customWidth="1"/>
    <col min="14" max="260" width="9.1640625" style="6"/>
    <col min="261" max="261" width="6.83203125" style="6" bestFit="1" customWidth="1"/>
    <col min="262" max="262" width="11.83203125" style="6" bestFit="1" customWidth="1"/>
    <col min="263" max="263" width="9.1640625" style="6"/>
    <col min="264" max="264" width="13.1640625" style="6" bestFit="1" customWidth="1"/>
    <col min="265" max="265" width="11.83203125" style="6" bestFit="1" customWidth="1"/>
    <col min="266" max="266" width="15.5" style="6" bestFit="1" customWidth="1"/>
    <col min="267" max="267" width="24.33203125" style="6" bestFit="1" customWidth="1"/>
    <col min="268" max="268" width="10.5" style="6" bestFit="1" customWidth="1"/>
    <col min="269" max="516" width="9.1640625" style="6"/>
    <col min="517" max="517" width="6.83203125" style="6" bestFit="1" customWidth="1"/>
    <col min="518" max="518" width="11.83203125" style="6" bestFit="1" customWidth="1"/>
    <col min="519" max="519" width="9.1640625" style="6"/>
    <col min="520" max="520" width="13.1640625" style="6" bestFit="1" customWidth="1"/>
    <col min="521" max="521" width="11.83203125" style="6" bestFit="1" customWidth="1"/>
    <col min="522" max="522" width="15.5" style="6" bestFit="1" customWidth="1"/>
    <col min="523" max="523" width="24.33203125" style="6" bestFit="1" customWidth="1"/>
    <col min="524" max="524" width="10.5" style="6" bestFit="1" customWidth="1"/>
    <col min="525" max="772" width="9.1640625" style="6"/>
    <col min="773" max="773" width="6.83203125" style="6" bestFit="1" customWidth="1"/>
    <col min="774" max="774" width="11.83203125" style="6" bestFit="1" customWidth="1"/>
    <col min="775" max="775" width="9.1640625" style="6"/>
    <col min="776" max="776" width="13.1640625" style="6" bestFit="1" customWidth="1"/>
    <col min="777" max="777" width="11.83203125" style="6" bestFit="1" customWidth="1"/>
    <col min="778" max="778" width="15.5" style="6" bestFit="1" customWidth="1"/>
    <col min="779" max="779" width="24.33203125" style="6" bestFit="1" customWidth="1"/>
    <col min="780" max="780" width="10.5" style="6" bestFit="1" customWidth="1"/>
    <col min="781" max="1028" width="9.1640625" style="6"/>
    <col min="1029" max="1029" width="6.83203125" style="6" bestFit="1" customWidth="1"/>
    <col min="1030" max="1030" width="11.83203125" style="6" bestFit="1" customWidth="1"/>
    <col min="1031" max="1031" width="9.1640625" style="6"/>
    <col min="1032" max="1032" width="13.1640625" style="6" bestFit="1" customWidth="1"/>
    <col min="1033" max="1033" width="11.83203125" style="6" bestFit="1" customWidth="1"/>
    <col min="1034" max="1034" width="15.5" style="6" bestFit="1" customWidth="1"/>
    <col min="1035" max="1035" width="24.33203125" style="6" bestFit="1" customWidth="1"/>
    <col min="1036" max="1036" width="10.5" style="6" bestFit="1" customWidth="1"/>
    <col min="1037" max="1284" width="9.1640625" style="6"/>
    <col min="1285" max="1285" width="6.83203125" style="6" bestFit="1" customWidth="1"/>
    <col min="1286" max="1286" width="11.83203125" style="6" bestFit="1" customWidth="1"/>
    <col min="1287" max="1287" width="9.1640625" style="6"/>
    <col min="1288" max="1288" width="13.1640625" style="6" bestFit="1" customWidth="1"/>
    <col min="1289" max="1289" width="11.83203125" style="6" bestFit="1" customWidth="1"/>
    <col min="1290" max="1290" width="15.5" style="6" bestFit="1" customWidth="1"/>
    <col min="1291" max="1291" width="24.33203125" style="6" bestFit="1" customWidth="1"/>
    <col min="1292" max="1292" width="10.5" style="6" bestFit="1" customWidth="1"/>
    <col min="1293" max="1540" width="9.1640625" style="6"/>
    <col min="1541" max="1541" width="6.83203125" style="6" bestFit="1" customWidth="1"/>
    <col min="1542" max="1542" width="11.83203125" style="6" bestFit="1" customWidth="1"/>
    <col min="1543" max="1543" width="9.1640625" style="6"/>
    <col min="1544" max="1544" width="13.1640625" style="6" bestFit="1" customWidth="1"/>
    <col min="1545" max="1545" width="11.83203125" style="6" bestFit="1" customWidth="1"/>
    <col min="1546" max="1546" width="15.5" style="6" bestFit="1" customWidth="1"/>
    <col min="1547" max="1547" width="24.33203125" style="6" bestFit="1" customWidth="1"/>
    <col min="1548" max="1548" width="10.5" style="6" bestFit="1" customWidth="1"/>
    <col min="1549" max="1796" width="9.1640625" style="6"/>
    <col min="1797" max="1797" width="6.83203125" style="6" bestFit="1" customWidth="1"/>
    <col min="1798" max="1798" width="11.83203125" style="6" bestFit="1" customWidth="1"/>
    <col min="1799" max="1799" width="9.1640625" style="6"/>
    <col min="1800" max="1800" width="13.1640625" style="6" bestFit="1" customWidth="1"/>
    <col min="1801" max="1801" width="11.83203125" style="6" bestFit="1" customWidth="1"/>
    <col min="1802" max="1802" width="15.5" style="6" bestFit="1" customWidth="1"/>
    <col min="1803" max="1803" width="24.33203125" style="6" bestFit="1" customWidth="1"/>
    <col min="1804" max="1804" width="10.5" style="6" bestFit="1" customWidth="1"/>
    <col min="1805" max="2052" width="9.1640625" style="6"/>
    <col min="2053" max="2053" width="6.83203125" style="6" bestFit="1" customWidth="1"/>
    <col min="2054" max="2054" width="11.83203125" style="6" bestFit="1" customWidth="1"/>
    <col min="2055" max="2055" width="9.1640625" style="6"/>
    <col min="2056" max="2056" width="13.1640625" style="6" bestFit="1" customWidth="1"/>
    <col min="2057" max="2057" width="11.83203125" style="6" bestFit="1" customWidth="1"/>
    <col min="2058" max="2058" width="15.5" style="6" bestFit="1" customWidth="1"/>
    <col min="2059" max="2059" width="24.33203125" style="6" bestFit="1" customWidth="1"/>
    <col min="2060" max="2060" width="10.5" style="6" bestFit="1" customWidth="1"/>
    <col min="2061" max="2308" width="9.1640625" style="6"/>
    <col min="2309" max="2309" width="6.83203125" style="6" bestFit="1" customWidth="1"/>
    <col min="2310" max="2310" width="11.83203125" style="6" bestFit="1" customWidth="1"/>
    <col min="2311" max="2311" width="9.1640625" style="6"/>
    <col min="2312" max="2312" width="13.1640625" style="6" bestFit="1" customWidth="1"/>
    <col min="2313" max="2313" width="11.83203125" style="6" bestFit="1" customWidth="1"/>
    <col min="2314" max="2314" width="15.5" style="6" bestFit="1" customWidth="1"/>
    <col min="2315" max="2315" width="24.33203125" style="6" bestFit="1" customWidth="1"/>
    <col min="2316" max="2316" width="10.5" style="6" bestFit="1" customWidth="1"/>
    <col min="2317" max="2564" width="9.1640625" style="6"/>
    <col min="2565" max="2565" width="6.83203125" style="6" bestFit="1" customWidth="1"/>
    <col min="2566" max="2566" width="11.83203125" style="6" bestFit="1" customWidth="1"/>
    <col min="2567" max="2567" width="9.1640625" style="6"/>
    <col min="2568" max="2568" width="13.1640625" style="6" bestFit="1" customWidth="1"/>
    <col min="2569" max="2569" width="11.83203125" style="6" bestFit="1" customWidth="1"/>
    <col min="2570" max="2570" width="15.5" style="6" bestFit="1" customWidth="1"/>
    <col min="2571" max="2571" width="24.33203125" style="6" bestFit="1" customWidth="1"/>
    <col min="2572" max="2572" width="10.5" style="6" bestFit="1" customWidth="1"/>
    <col min="2573" max="2820" width="9.1640625" style="6"/>
    <col min="2821" max="2821" width="6.83203125" style="6" bestFit="1" customWidth="1"/>
    <col min="2822" max="2822" width="11.83203125" style="6" bestFit="1" customWidth="1"/>
    <col min="2823" max="2823" width="9.1640625" style="6"/>
    <col min="2824" max="2824" width="13.1640625" style="6" bestFit="1" customWidth="1"/>
    <col min="2825" max="2825" width="11.83203125" style="6" bestFit="1" customWidth="1"/>
    <col min="2826" max="2826" width="15.5" style="6" bestFit="1" customWidth="1"/>
    <col min="2827" max="2827" width="24.33203125" style="6" bestFit="1" customWidth="1"/>
    <col min="2828" max="2828" width="10.5" style="6" bestFit="1" customWidth="1"/>
    <col min="2829" max="3076" width="9.1640625" style="6"/>
    <col min="3077" max="3077" width="6.83203125" style="6" bestFit="1" customWidth="1"/>
    <col min="3078" max="3078" width="11.83203125" style="6" bestFit="1" customWidth="1"/>
    <col min="3079" max="3079" width="9.1640625" style="6"/>
    <col min="3080" max="3080" width="13.1640625" style="6" bestFit="1" customWidth="1"/>
    <col min="3081" max="3081" width="11.83203125" style="6" bestFit="1" customWidth="1"/>
    <col min="3082" max="3082" width="15.5" style="6" bestFit="1" customWidth="1"/>
    <col min="3083" max="3083" width="24.33203125" style="6" bestFit="1" customWidth="1"/>
    <col min="3084" max="3084" width="10.5" style="6" bestFit="1" customWidth="1"/>
    <col min="3085" max="3332" width="9.1640625" style="6"/>
    <col min="3333" max="3333" width="6.83203125" style="6" bestFit="1" customWidth="1"/>
    <col min="3334" max="3334" width="11.83203125" style="6" bestFit="1" customWidth="1"/>
    <col min="3335" max="3335" width="9.1640625" style="6"/>
    <col min="3336" max="3336" width="13.1640625" style="6" bestFit="1" customWidth="1"/>
    <col min="3337" max="3337" width="11.83203125" style="6" bestFit="1" customWidth="1"/>
    <col min="3338" max="3338" width="15.5" style="6" bestFit="1" customWidth="1"/>
    <col min="3339" max="3339" width="24.33203125" style="6" bestFit="1" customWidth="1"/>
    <col min="3340" max="3340" width="10.5" style="6" bestFit="1" customWidth="1"/>
    <col min="3341" max="3588" width="9.1640625" style="6"/>
    <col min="3589" max="3589" width="6.83203125" style="6" bestFit="1" customWidth="1"/>
    <col min="3590" max="3590" width="11.83203125" style="6" bestFit="1" customWidth="1"/>
    <col min="3591" max="3591" width="9.1640625" style="6"/>
    <col min="3592" max="3592" width="13.1640625" style="6" bestFit="1" customWidth="1"/>
    <col min="3593" max="3593" width="11.83203125" style="6" bestFit="1" customWidth="1"/>
    <col min="3594" max="3594" width="15.5" style="6" bestFit="1" customWidth="1"/>
    <col min="3595" max="3595" width="24.33203125" style="6" bestFit="1" customWidth="1"/>
    <col min="3596" max="3596" width="10.5" style="6" bestFit="1" customWidth="1"/>
    <col min="3597" max="3844" width="9.1640625" style="6"/>
    <col min="3845" max="3845" width="6.83203125" style="6" bestFit="1" customWidth="1"/>
    <col min="3846" max="3846" width="11.83203125" style="6" bestFit="1" customWidth="1"/>
    <col min="3847" max="3847" width="9.1640625" style="6"/>
    <col min="3848" max="3848" width="13.1640625" style="6" bestFit="1" customWidth="1"/>
    <col min="3849" max="3849" width="11.83203125" style="6" bestFit="1" customWidth="1"/>
    <col min="3850" max="3850" width="15.5" style="6" bestFit="1" customWidth="1"/>
    <col min="3851" max="3851" width="24.33203125" style="6" bestFit="1" customWidth="1"/>
    <col min="3852" max="3852" width="10.5" style="6" bestFit="1" customWidth="1"/>
    <col min="3853" max="4100" width="9.1640625" style="6"/>
    <col min="4101" max="4101" width="6.83203125" style="6" bestFit="1" customWidth="1"/>
    <col min="4102" max="4102" width="11.83203125" style="6" bestFit="1" customWidth="1"/>
    <col min="4103" max="4103" width="9.1640625" style="6"/>
    <col min="4104" max="4104" width="13.1640625" style="6" bestFit="1" customWidth="1"/>
    <col min="4105" max="4105" width="11.83203125" style="6" bestFit="1" customWidth="1"/>
    <col min="4106" max="4106" width="15.5" style="6" bestFit="1" customWidth="1"/>
    <col min="4107" max="4107" width="24.33203125" style="6" bestFit="1" customWidth="1"/>
    <col min="4108" max="4108" width="10.5" style="6" bestFit="1" customWidth="1"/>
    <col min="4109" max="4356" width="9.1640625" style="6"/>
    <col min="4357" max="4357" width="6.83203125" style="6" bestFit="1" customWidth="1"/>
    <col min="4358" max="4358" width="11.83203125" style="6" bestFit="1" customWidth="1"/>
    <col min="4359" max="4359" width="9.1640625" style="6"/>
    <col min="4360" max="4360" width="13.1640625" style="6" bestFit="1" customWidth="1"/>
    <col min="4361" max="4361" width="11.83203125" style="6" bestFit="1" customWidth="1"/>
    <col min="4362" max="4362" width="15.5" style="6" bestFit="1" customWidth="1"/>
    <col min="4363" max="4363" width="24.33203125" style="6" bestFit="1" customWidth="1"/>
    <col min="4364" max="4364" width="10.5" style="6" bestFit="1" customWidth="1"/>
    <col min="4365" max="4612" width="9.1640625" style="6"/>
    <col min="4613" max="4613" width="6.83203125" style="6" bestFit="1" customWidth="1"/>
    <col min="4614" max="4614" width="11.83203125" style="6" bestFit="1" customWidth="1"/>
    <col min="4615" max="4615" width="9.1640625" style="6"/>
    <col min="4616" max="4616" width="13.1640625" style="6" bestFit="1" customWidth="1"/>
    <col min="4617" max="4617" width="11.83203125" style="6" bestFit="1" customWidth="1"/>
    <col min="4618" max="4618" width="15.5" style="6" bestFit="1" customWidth="1"/>
    <col min="4619" max="4619" width="24.33203125" style="6" bestFit="1" customWidth="1"/>
    <col min="4620" max="4620" width="10.5" style="6" bestFit="1" customWidth="1"/>
    <col min="4621" max="4868" width="9.1640625" style="6"/>
    <col min="4869" max="4869" width="6.83203125" style="6" bestFit="1" customWidth="1"/>
    <col min="4870" max="4870" width="11.83203125" style="6" bestFit="1" customWidth="1"/>
    <col min="4871" max="4871" width="9.1640625" style="6"/>
    <col min="4872" max="4872" width="13.1640625" style="6" bestFit="1" customWidth="1"/>
    <col min="4873" max="4873" width="11.83203125" style="6" bestFit="1" customWidth="1"/>
    <col min="4874" max="4874" width="15.5" style="6" bestFit="1" customWidth="1"/>
    <col min="4875" max="4875" width="24.33203125" style="6" bestFit="1" customWidth="1"/>
    <col min="4876" max="4876" width="10.5" style="6" bestFit="1" customWidth="1"/>
    <col min="4877" max="5124" width="9.1640625" style="6"/>
    <col min="5125" max="5125" width="6.83203125" style="6" bestFit="1" customWidth="1"/>
    <col min="5126" max="5126" width="11.83203125" style="6" bestFit="1" customWidth="1"/>
    <col min="5127" max="5127" width="9.1640625" style="6"/>
    <col min="5128" max="5128" width="13.1640625" style="6" bestFit="1" customWidth="1"/>
    <col min="5129" max="5129" width="11.83203125" style="6" bestFit="1" customWidth="1"/>
    <col min="5130" max="5130" width="15.5" style="6" bestFit="1" customWidth="1"/>
    <col min="5131" max="5131" width="24.33203125" style="6" bestFit="1" customWidth="1"/>
    <col min="5132" max="5132" width="10.5" style="6" bestFit="1" customWidth="1"/>
    <col min="5133" max="5380" width="9.1640625" style="6"/>
    <col min="5381" max="5381" width="6.83203125" style="6" bestFit="1" customWidth="1"/>
    <col min="5382" max="5382" width="11.83203125" style="6" bestFit="1" customWidth="1"/>
    <col min="5383" max="5383" width="9.1640625" style="6"/>
    <col min="5384" max="5384" width="13.1640625" style="6" bestFit="1" customWidth="1"/>
    <col min="5385" max="5385" width="11.83203125" style="6" bestFit="1" customWidth="1"/>
    <col min="5386" max="5386" width="15.5" style="6" bestFit="1" customWidth="1"/>
    <col min="5387" max="5387" width="24.33203125" style="6" bestFit="1" customWidth="1"/>
    <col min="5388" max="5388" width="10.5" style="6" bestFit="1" customWidth="1"/>
    <col min="5389" max="5636" width="9.1640625" style="6"/>
    <col min="5637" max="5637" width="6.83203125" style="6" bestFit="1" customWidth="1"/>
    <col min="5638" max="5638" width="11.83203125" style="6" bestFit="1" customWidth="1"/>
    <col min="5639" max="5639" width="9.1640625" style="6"/>
    <col min="5640" max="5640" width="13.1640625" style="6" bestFit="1" customWidth="1"/>
    <col min="5641" max="5641" width="11.83203125" style="6" bestFit="1" customWidth="1"/>
    <col min="5642" max="5642" width="15.5" style="6" bestFit="1" customWidth="1"/>
    <col min="5643" max="5643" width="24.33203125" style="6" bestFit="1" customWidth="1"/>
    <col min="5644" max="5644" width="10.5" style="6" bestFit="1" customWidth="1"/>
    <col min="5645" max="5892" width="9.1640625" style="6"/>
    <col min="5893" max="5893" width="6.83203125" style="6" bestFit="1" customWidth="1"/>
    <col min="5894" max="5894" width="11.83203125" style="6" bestFit="1" customWidth="1"/>
    <col min="5895" max="5895" width="9.1640625" style="6"/>
    <col min="5896" max="5896" width="13.1640625" style="6" bestFit="1" customWidth="1"/>
    <col min="5897" max="5897" width="11.83203125" style="6" bestFit="1" customWidth="1"/>
    <col min="5898" max="5898" width="15.5" style="6" bestFit="1" customWidth="1"/>
    <col min="5899" max="5899" width="24.33203125" style="6" bestFit="1" customWidth="1"/>
    <col min="5900" max="5900" width="10.5" style="6" bestFit="1" customWidth="1"/>
    <col min="5901" max="6148" width="9.1640625" style="6"/>
    <col min="6149" max="6149" width="6.83203125" style="6" bestFit="1" customWidth="1"/>
    <col min="6150" max="6150" width="11.83203125" style="6" bestFit="1" customWidth="1"/>
    <col min="6151" max="6151" width="9.1640625" style="6"/>
    <col min="6152" max="6152" width="13.1640625" style="6" bestFit="1" customWidth="1"/>
    <col min="6153" max="6153" width="11.83203125" style="6" bestFit="1" customWidth="1"/>
    <col min="6154" max="6154" width="15.5" style="6" bestFit="1" customWidth="1"/>
    <col min="6155" max="6155" width="24.33203125" style="6" bestFit="1" customWidth="1"/>
    <col min="6156" max="6156" width="10.5" style="6" bestFit="1" customWidth="1"/>
    <col min="6157" max="6404" width="9.1640625" style="6"/>
    <col min="6405" max="6405" width="6.83203125" style="6" bestFit="1" customWidth="1"/>
    <col min="6406" max="6406" width="11.83203125" style="6" bestFit="1" customWidth="1"/>
    <col min="6407" max="6407" width="9.1640625" style="6"/>
    <col min="6408" max="6408" width="13.1640625" style="6" bestFit="1" customWidth="1"/>
    <col min="6409" max="6409" width="11.83203125" style="6" bestFit="1" customWidth="1"/>
    <col min="6410" max="6410" width="15.5" style="6" bestFit="1" customWidth="1"/>
    <col min="6411" max="6411" width="24.33203125" style="6" bestFit="1" customWidth="1"/>
    <col min="6412" max="6412" width="10.5" style="6" bestFit="1" customWidth="1"/>
    <col min="6413" max="6660" width="9.1640625" style="6"/>
    <col min="6661" max="6661" width="6.83203125" style="6" bestFit="1" customWidth="1"/>
    <col min="6662" max="6662" width="11.83203125" style="6" bestFit="1" customWidth="1"/>
    <col min="6663" max="6663" width="9.1640625" style="6"/>
    <col min="6664" max="6664" width="13.1640625" style="6" bestFit="1" customWidth="1"/>
    <col min="6665" max="6665" width="11.83203125" style="6" bestFit="1" customWidth="1"/>
    <col min="6666" max="6666" width="15.5" style="6" bestFit="1" customWidth="1"/>
    <col min="6667" max="6667" width="24.33203125" style="6" bestFit="1" customWidth="1"/>
    <col min="6668" max="6668" width="10.5" style="6" bestFit="1" customWidth="1"/>
    <col min="6669" max="6916" width="9.1640625" style="6"/>
    <col min="6917" max="6917" width="6.83203125" style="6" bestFit="1" customWidth="1"/>
    <col min="6918" max="6918" width="11.83203125" style="6" bestFit="1" customWidth="1"/>
    <col min="6919" max="6919" width="9.1640625" style="6"/>
    <col min="6920" max="6920" width="13.1640625" style="6" bestFit="1" customWidth="1"/>
    <col min="6921" max="6921" width="11.83203125" style="6" bestFit="1" customWidth="1"/>
    <col min="6922" max="6922" width="15.5" style="6" bestFit="1" customWidth="1"/>
    <col min="6923" max="6923" width="24.33203125" style="6" bestFit="1" customWidth="1"/>
    <col min="6924" max="6924" width="10.5" style="6" bestFit="1" customWidth="1"/>
    <col min="6925" max="7172" width="9.1640625" style="6"/>
    <col min="7173" max="7173" width="6.83203125" style="6" bestFit="1" customWidth="1"/>
    <col min="7174" max="7174" width="11.83203125" style="6" bestFit="1" customWidth="1"/>
    <col min="7175" max="7175" width="9.1640625" style="6"/>
    <col min="7176" max="7176" width="13.1640625" style="6" bestFit="1" customWidth="1"/>
    <col min="7177" max="7177" width="11.83203125" style="6" bestFit="1" customWidth="1"/>
    <col min="7178" max="7178" width="15.5" style="6" bestFit="1" customWidth="1"/>
    <col min="7179" max="7179" width="24.33203125" style="6" bestFit="1" customWidth="1"/>
    <col min="7180" max="7180" width="10.5" style="6" bestFit="1" customWidth="1"/>
    <col min="7181" max="7428" width="9.1640625" style="6"/>
    <col min="7429" max="7429" width="6.83203125" style="6" bestFit="1" customWidth="1"/>
    <col min="7430" max="7430" width="11.83203125" style="6" bestFit="1" customWidth="1"/>
    <col min="7431" max="7431" width="9.1640625" style="6"/>
    <col min="7432" max="7432" width="13.1640625" style="6" bestFit="1" customWidth="1"/>
    <col min="7433" max="7433" width="11.83203125" style="6" bestFit="1" customWidth="1"/>
    <col min="7434" max="7434" width="15.5" style="6" bestFit="1" customWidth="1"/>
    <col min="7435" max="7435" width="24.33203125" style="6" bestFit="1" customWidth="1"/>
    <col min="7436" max="7436" width="10.5" style="6" bestFit="1" customWidth="1"/>
    <col min="7437" max="7684" width="9.1640625" style="6"/>
    <col min="7685" max="7685" width="6.83203125" style="6" bestFit="1" customWidth="1"/>
    <col min="7686" max="7686" width="11.83203125" style="6" bestFit="1" customWidth="1"/>
    <col min="7687" max="7687" width="9.1640625" style="6"/>
    <col min="7688" max="7688" width="13.1640625" style="6" bestFit="1" customWidth="1"/>
    <col min="7689" max="7689" width="11.83203125" style="6" bestFit="1" customWidth="1"/>
    <col min="7690" max="7690" width="15.5" style="6" bestFit="1" customWidth="1"/>
    <col min="7691" max="7691" width="24.33203125" style="6" bestFit="1" customWidth="1"/>
    <col min="7692" max="7692" width="10.5" style="6" bestFit="1" customWidth="1"/>
    <col min="7693" max="7940" width="9.1640625" style="6"/>
    <col min="7941" max="7941" width="6.83203125" style="6" bestFit="1" customWidth="1"/>
    <col min="7942" max="7942" width="11.83203125" style="6" bestFit="1" customWidth="1"/>
    <col min="7943" max="7943" width="9.1640625" style="6"/>
    <col min="7944" max="7944" width="13.1640625" style="6" bestFit="1" customWidth="1"/>
    <col min="7945" max="7945" width="11.83203125" style="6" bestFit="1" customWidth="1"/>
    <col min="7946" max="7946" width="15.5" style="6" bestFit="1" customWidth="1"/>
    <col min="7947" max="7947" width="24.33203125" style="6" bestFit="1" customWidth="1"/>
    <col min="7948" max="7948" width="10.5" style="6" bestFit="1" customWidth="1"/>
    <col min="7949" max="8196" width="9.1640625" style="6"/>
    <col min="8197" max="8197" width="6.83203125" style="6" bestFit="1" customWidth="1"/>
    <col min="8198" max="8198" width="11.83203125" style="6" bestFit="1" customWidth="1"/>
    <col min="8199" max="8199" width="9.1640625" style="6"/>
    <col min="8200" max="8200" width="13.1640625" style="6" bestFit="1" customWidth="1"/>
    <col min="8201" max="8201" width="11.83203125" style="6" bestFit="1" customWidth="1"/>
    <col min="8202" max="8202" width="15.5" style="6" bestFit="1" customWidth="1"/>
    <col min="8203" max="8203" width="24.33203125" style="6" bestFit="1" customWidth="1"/>
    <col min="8204" max="8204" width="10.5" style="6" bestFit="1" customWidth="1"/>
    <col min="8205" max="8452" width="9.1640625" style="6"/>
    <col min="8453" max="8453" width="6.83203125" style="6" bestFit="1" customWidth="1"/>
    <col min="8454" max="8454" width="11.83203125" style="6" bestFit="1" customWidth="1"/>
    <col min="8455" max="8455" width="9.1640625" style="6"/>
    <col min="8456" max="8456" width="13.1640625" style="6" bestFit="1" customWidth="1"/>
    <col min="8457" max="8457" width="11.83203125" style="6" bestFit="1" customWidth="1"/>
    <col min="8458" max="8458" width="15.5" style="6" bestFit="1" customWidth="1"/>
    <col min="8459" max="8459" width="24.33203125" style="6" bestFit="1" customWidth="1"/>
    <col min="8460" max="8460" width="10.5" style="6" bestFit="1" customWidth="1"/>
    <col min="8461" max="8708" width="9.1640625" style="6"/>
    <col min="8709" max="8709" width="6.83203125" style="6" bestFit="1" customWidth="1"/>
    <col min="8710" max="8710" width="11.83203125" style="6" bestFit="1" customWidth="1"/>
    <col min="8711" max="8711" width="9.1640625" style="6"/>
    <col min="8712" max="8712" width="13.1640625" style="6" bestFit="1" customWidth="1"/>
    <col min="8713" max="8713" width="11.83203125" style="6" bestFit="1" customWidth="1"/>
    <col min="8714" max="8714" width="15.5" style="6" bestFit="1" customWidth="1"/>
    <col min="8715" max="8715" width="24.33203125" style="6" bestFit="1" customWidth="1"/>
    <col min="8716" max="8716" width="10.5" style="6" bestFit="1" customWidth="1"/>
    <col min="8717" max="8964" width="9.1640625" style="6"/>
    <col min="8965" max="8965" width="6.83203125" style="6" bestFit="1" customWidth="1"/>
    <col min="8966" max="8966" width="11.83203125" style="6" bestFit="1" customWidth="1"/>
    <col min="8967" max="8967" width="9.1640625" style="6"/>
    <col min="8968" max="8968" width="13.1640625" style="6" bestFit="1" customWidth="1"/>
    <col min="8969" max="8969" width="11.83203125" style="6" bestFit="1" customWidth="1"/>
    <col min="8970" max="8970" width="15.5" style="6" bestFit="1" customWidth="1"/>
    <col min="8971" max="8971" width="24.33203125" style="6" bestFit="1" customWidth="1"/>
    <col min="8972" max="8972" width="10.5" style="6" bestFit="1" customWidth="1"/>
    <col min="8973" max="9220" width="9.1640625" style="6"/>
    <col min="9221" max="9221" width="6.83203125" style="6" bestFit="1" customWidth="1"/>
    <col min="9222" max="9222" width="11.83203125" style="6" bestFit="1" customWidth="1"/>
    <col min="9223" max="9223" width="9.1640625" style="6"/>
    <col min="9224" max="9224" width="13.1640625" style="6" bestFit="1" customWidth="1"/>
    <col min="9225" max="9225" width="11.83203125" style="6" bestFit="1" customWidth="1"/>
    <col min="9226" max="9226" width="15.5" style="6" bestFit="1" customWidth="1"/>
    <col min="9227" max="9227" width="24.33203125" style="6" bestFit="1" customWidth="1"/>
    <col min="9228" max="9228" width="10.5" style="6" bestFit="1" customWidth="1"/>
    <col min="9229" max="9476" width="9.1640625" style="6"/>
    <col min="9477" max="9477" width="6.83203125" style="6" bestFit="1" customWidth="1"/>
    <col min="9478" max="9478" width="11.83203125" style="6" bestFit="1" customWidth="1"/>
    <col min="9479" max="9479" width="9.1640625" style="6"/>
    <col min="9480" max="9480" width="13.1640625" style="6" bestFit="1" customWidth="1"/>
    <col min="9481" max="9481" width="11.83203125" style="6" bestFit="1" customWidth="1"/>
    <col min="9482" max="9482" width="15.5" style="6" bestFit="1" customWidth="1"/>
    <col min="9483" max="9483" width="24.33203125" style="6" bestFit="1" customWidth="1"/>
    <col min="9484" max="9484" width="10.5" style="6" bestFit="1" customWidth="1"/>
    <col min="9485" max="9732" width="9.1640625" style="6"/>
    <col min="9733" max="9733" width="6.83203125" style="6" bestFit="1" customWidth="1"/>
    <col min="9734" max="9734" width="11.83203125" style="6" bestFit="1" customWidth="1"/>
    <col min="9735" max="9735" width="9.1640625" style="6"/>
    <col min="9736" max="9736" width="13.1640625" style="6" bestFit="1" customWidth="1"/>
    <col min="9737" max="9737" width="11.83203125" style="6" bestFit="1" customWidth="1"/>
    <col min="9738" max="9738" width="15.5" style="6" bestFit="1" customWidth="1"/>
    <col min="9739" max="9739" width="24.33203125" style="6" bestFit="1" customWidth="1"/>
    <col min="9740" max="9740" width="10.5" style="6" bestFit="1" customWidth="1"/>
    <col min="9741" max="9988" width="9.1640625" style="6"/>
    <col min="9989" max="9989" width="6.83203125" style="6" bestFit="1" customWidth="1"/>
    <col min="9990" max="9990" width="11.83203125" style="6" bestFit="1" customWidth="1"/>
    <col min="9991" max="9991" width="9.1640625" style="6"/>
    <col min="9992" max="9992" width="13.1640625" style="6" bestFit="1" customWidth="1"/>
    <col min="9993" max="9993" width="11.83203125" style="6" bestFit="1" customWidth="1"/>
    <col min="9994" max="9994" width="15.5" style="6" bestFit="1" customWidth="1"/>
    <col min="9995" max="9995" width="24.33203125" style="6" bestFit="1" customWidth="1"/>
    <col min="9996" max="9996" width="10.5" style="6" bestFit="1" customWidth="1"/>
    <col min="9997" max="10244" width="9.1640625" style="6"/>
    <col min="10245" max="10245" width="6.83203125" style="6" bestFit="1" customWidth="1"/>
    <col min="10246" max="10246" width="11.83203125" style="6" bestFit="1" customWidth="1"/>
    <col min="10247" max="10247" width="9.1640625" style="6"/>
    <col min="10248" max="10248" width="13.1640625" style="6" bestFit="1" customWidth="1"/>
    <col min="10249" max="10249" width="11.83203125" style="6" bestFit="1" customWidth="1"/>
    <col min="10250" max="10250" width="15.5" style="6" bestFit="1" customWidth="1"/>
    <col min="10251" max="10251" width="24.33203125" style="6" bestFit="1" customWidth="1"/>
    <col min="10252" max="10252" width="10.5" style="6" bestFit="1" customWidth="1"/>
    <col min="10253" max="10500" width="9.1640625" style="6"/>
    <col min="10501" max="10501" width="6.83203125" style="6" bestFit="1" customWidth="1"/>
    <col min="10502" max="10502" width="11.83203125" style="6" bestFit="1" customWidth="1"/>
    <col min="10503" max="10503" width="9.1640625" style="6"/>
    <col min="10504" max="10504" width="13.1640625" style="6" bestFit="1" customWidth="1"/>
    <col min="10505" max="10505" width="11.83203125" style="6" bestFit="1" customWidth="1"/>
    <col min="10506" max="10506" width="15.5" style="6" bestFit="1" customWidth="1"/>
    <col min="10507" max="10507" width="24.33203125" style="6" bestFit="1" customWidth="1"/>
    <col min="10508" max="10508" width="10.5" style="6" bestFit="1" customWidth="1"/>
    <col min="10509" max="10756" width="9.1640625" style="6"/>
    <col min="10757" max="10757" width="6.83203125" style="6" bestFit="1" customWidth="1"/>
    <col min="10758" max="10758" width="11.83203125" style="6" bestFit="1" customWidth="1"/>
    <col min="10759" max="10759" width="9.1640625" style="6"/>
    <col min="10760" max="10760" width="13.1640625" style="6" bestFit="1" customWidth="1"/>
    <col min="10761" max="10761" width="11.83203125" style="6" bestFit="1" customWidth="1"/>
    <col min="10762" max="10762" width="15.5" style="6" bestFit="1" customWidth="1"/>
    <col min="10763" max="10763" width="24.33203125" style="6" bestFit="1" customWidth="1"/>
    <col min="10764" max="10764" width="10.5" style="6" bestFit="1" customWidth="1"/>
    <col min="10765" max="11012" width="9.1640625" style="6"/>
    <col min="11013" max="11013" width="6.83203125" style="6" bestFit="1" customWidth="1"/>
    <col min="11014" max="11014" width="11.83203125" style="6" bestFit="1" customWidth="1"/>
    <col min="11015" max="11015" width="9.1640625" style="6"/>
    <col min="11016" max="11016" width="13.1640625" style="6" bestFit="1" customWidth="1"/>
    <col min="11017" max="11017" width="11.83203125" style="6" bestFit="1" customWidth="1"/>
    <col min="11018" max="11018" width="15.5" style="6" bestFit="1" customWidth="1"/>
    <col min="11019" max="11019" width="24.33203125" style="6" bestFit="1" customWidth="1"/>
    <col min="11020" max="11020" width="10.5" style="6" bestFit="1" customWidth="1"/>
    <col min="11021" max="11268" width="9.1640625" style="6"/>
    <col min="11269" max="11269" width="6.83203125" style="6" bestFit="1" customWidth="1"/>
    <col min="11270" max="11270" width="11.83203125" style="6" bestFit="1" customWidth="1"/>
    <col min="11271" max="11271" width="9.1640625" style="6"/>
    <col min="11272" max="11272" width="13.1640625" style="6" bestFit="1" customWidth="1"/>
    <col min="11273" max="11273" width="11.83203125" style="6" bestFit="1" customWidth="1"/>
    <col min="11274" max="11274" width="15.5" style="6" bestFit="1" customWidth="1"/>
    <col min="11275" max="11275" width="24.33203125" style="6" bestFit="1" customWidth="1"/>
    <col min="11276" max="11276" width="10.5" style="6" bestFit="1" customWidth="1"/>
    <col min="11277" max="11524" width="9.1640625" style="6"/>
    <col min="11525" max="11525" width="6.83203125" style="6" bestFit="1" customWidth="1"/>
    <col min="11526" max="11526" width="11.83203125" style="6" bestFit="1" customWidth="1"/>
    <col min="11527" max="11527" width="9.1640625" style="6"/>
    <col min="11528" max="11528" width="13.1640625" style="6" bestFit="1" customWidth="1"/>
    <col min="11529" max="11529" width="11.83203125" style="6" bestFit="1" customWidth="1"/>
    <col min="11530" max="11530" width="15.5" style="6" bestFit="1" customWidth="1"/>
    <col min="11531" max="11531" width="24.33203125" style="6" bestFit="1" customWidth="1"/>
    <col min="11532" max="11532" width="10.5" style="6" bestFit="1" customWidth="1"/>
    <col min="11533" max="11780" width="9.1640625" style="6"/>
    <col min="11781" max="11781" width="6.83203125" style="6" bestFit="1" customWidth="1"/>
    <col min="11782" max="11782" width="11.83203125" style="6" bestFit="1" customWidth="1"/>
    <col min="11783" max="11783" width="9.1640625" style="6"/>
    <col min="11784" max="11784" width="13.1640625" style="6" bestFit="1" customWidth="1"/>
    <col min="11785" max="11785" width="11.83203125" style="6" bestFit="1" customWidth="1"/>
    <col min="11786" max="11786" width="15.5" style="6" bestFit="1" customWidth="1"/>
    <col min="11787" max="11787" width="24.33203125" style="6" bestFit="1" customWidth="1"/>
    <col min="11788" max="11788" width="10.5" style="6" bestFit="1" customWidth="1"/>
    <col min="11789" max="12036" width="9.1640625" style="6"/>
    <col min="12037" max="12037" width="6.83203125" style="6" bestFit="1" customWidth="1"/>
    <col min="12038" max="12038" width="11.83203125" style="6" bestFit="1" customWidth="1"/>
    <col min="12039" max="12039" width="9.1640625" style="6"/>
    <col min="12040" max="12040" width="13.1640625" style="6" bestFit="1" customWidth="1"/>
    <col min="12041" max="12041" width="11.83203125" style="6" bestFit="1" customWidth="1"/>
    <col min="12042" max="12042" width="15.5" style="6" bestFit="1" customWidth="1"/>
    <col min="12043" max="12043" width="24.33203125" style="6" bestFit="1" customWidth="1"/>
    <col min="12044" max="12044" width="10.5" style="6" bestFit="1" customWidth="1"/>
    <col min="12045" max="12292" width="9.1640625" style="6"/>
    <col min="12293" max="12293" width="6.83203125" style="6" bestFit="1" customWidth="1"/>
    <col min="12294" max="12294" width="11.83203125" style="6" bestFit="1" customWidth="1"/>
    <col min="12295" max="12295" width="9.1640625" style="6"/>
    <col min="12296" max="12296" width="13.1640625" style="6" bestFit="1" customWidth="1"/>
    <col min="12297" max="12297" width="11.83203125" style="6" bestFit="1" customWidth="1"/>
    <col min="12298" max="12298" width="15.5" style="6" bestFit="1" customWidth="1"/>
    <col min="12299" max="12299" width="24.33203125" style="6" bestFit="1" customWidth="1"/>
    <col min="12300" max="12300" width="10.5" style="6" bestFit="1" customWidth="1"/>
    <col min="12301" max="12548" width="9.1640625" style="6"/>
    <col min="12549" max="12549" width="6.83203125" style="6" bestFit="1" customWidth="1"/>
    <col min="12550" max="12550" width="11.83203125" style="6" bestFit="1" customWidth="1"/>
    <col min="12551" max="12551" width="9.1640625" style="6"/>
    <col min="12552" max="12552" width="13.1640625" style="6" bestFit="1" customWidth="1"/>
    <col min="12553" max="12553" width="11.83203125" style="6" bestFit="1" customWidth="1"/>
    <col min="12554" max="12554" width="15.5" style="6" bestFit="1" customWidth="1"/>
    <col min="12555" max="12555" width="24.33203125" style="6" bestFit="1" customWidth="1"/>
    <col min="12556" max="12556" width="10.5" style="6" bestFit="1" customWidth="1"/>
    <col min="12557" max="12804" width="9.1640625" style="6"/>
    <col min="12805" max="12805" width="6.83203125" style="6" bestFit="1" customWidth="1"/>
    <col min="12806" max="12806" width="11.83203125" style="6" bestFit="1" customWidth="1"/>
    <col min="12807" max="12807" width="9.1640625" style="6"/>
    <col min="12808" max="12808" width="13.1640625" style="6" bestFit="1" customWidth="1"/>
    <col min="12809" max="12809" width="11.83203125" style="6" bestFit="1" customWidth="1"/>
    <col min="12810" max="12810" width="15.5" style="6" bestFit="1" customWidth="1"/>
    <col min="12811" max="12811" width="24.33203125" style="6" bestFit="1" customWidth="1"/>
    <col min="12812" max="12812" width="10.5" style="6" bestFit="1" customWidth="1"/>
    <col min="12813" max="13060" width="9.1640625" style="6"/>
    <col min="13061" max="13061" width="6.83203125" style="6" bestFit="1" customWidth="1"/>
    <col min="13062" max="13062" width="11.83203125" style="6" bestFit="1" customWidth="1"/>
    <col min="13063" max="13063" width="9.1640625" style="6"/>
    <col min="13064" max="13064" width="13.1640625" style="6" bestFit="1" customWidth="1"/>
    <col min="13065" max="13065" width="11.83203125" style="6" bestFit="1" customWidth="1"/>
    <col min="13066" max="13066" width="15.5" style="6" bestFit="1" customWidth="1"/>
    <col min="13067" max="13067" width="24.33203125" style="6" bestFit="1" customWidth="1"/>
    <col min="13068" max="13068" width="10.5" style="6" bestFit="1" customWidth="1"/>
    <col min="13069" max="13316" width="9.1640625" style="6"/>
    <col min="13317" max="13317" width="6.83203125" style="6" bestFit="1" customWidth="1"/>
    <col min="13318" max="13318" width="11.83203125" style="6" bestFit="1" customWidth="1"/>
    <col min="13319" max="13319" width="9.1640625" style="6"/>
    <col min="13320" max="13320" width="13.1640625" style="6" bestFit="1" customWidth="1"/>
    <col min="13321" max="13321" width="11.83203125" style="6" bestFit="1" customWidth="1"/>
    <col min="13322" max="13322" width="15.5" style="6" bestFit="1" customWidth="1"/>
    <col min="13323" max="13323" width="24.33203125" style="6" bestFit="1" customWidth="1"/>
    <col min="13324" max="13324" width="10.5" style="6" bestFit="1" customWidth="1"/>
    <col min="13325" max="13572" width="9.1640625" style="6"/>
    <col min="13573" max="13573" width="6.83203125" style="6" bestFit="1" customWidth="1"/>
    <col min="13574" max="13574" width="11.83203125" style="6" bestFit="1" customWidth="1"/>
    <col min="13575" max="13575" width="9.1640625" style="6"/>
    <col min="13576" max="13576" width="13.1640625" style="6" bestFit="1" customWidth="1"/>
    <col min="13577" max="13577" width="11.83203125" style="6" bestFit="1" customWidth="1"/>
    <col min="13578" max="13578" width="15.5" style="6" bestFit="1" customWidth="1"/>
    <col min="13579" max="13579" width="24.33203125" style="6" bestFit="1" customWidth="1"/>
    <col min="13580" max="13580" width="10.5" style="6" bestFit="1" customWidth="1"/>
    <col min="13581" max="13828" width="9.1640625" style="6"/>
    <col min="13829" max="13829" width="6.83203125" style="6" bestFit="1" customWidth="1"/>
    <col min="13830" max="13830" width="11.83203125" style="6" bestFit="1" customWidth="1"/>
    <col min="13831" max="13831" width="9.1640625" style="6"/>
    <col min="13832" max="13832" width="13.1640625" style="6" bestFit="1" customWidth="1"/>
    <col min="13833" max="13833" width="11.83203125" style="6" bestFit="1" customWidth="1"/>
    <col min="13834" max="13834" width="15.5" style="6" bestFit="1" customWidth="1"/>
    <col min="13835" max="13835" width="24.33203125" style="6" bestFit="1" customWidth="1"/>
    <col min="13836" max="13836" width="10.5" style="6" bestFit="1" customWidth="1"/>
    <col min="13837" max="14084" width="9.1640625" style="6"/>
    <col min="14085" max="14085" width="6.83203125" style="6" bestFit="1" customWidth="1"/>
    <col min="14086" max="14086" width="11.83203125" style="6" bestFit="1" customWidth="1"/>
    <col min="14087" max="14087" width="9.1640625" style="6"/>
    <col min="14088" max="14088" width="13.1640625" style="6" bestFit="1" customWidth="1"/>
    <col min="14089" max="14089" width="11.83203125" style="6" bestFit="1" customWidth="1"/>
    <col min="14090" max="14090" width="15.5" style="6" bestFit="1" customWidth="1"/>
    <col min="14091" max="14091" width="24.33203125" style="6" bestFit="1" customWidth="1"/>
    <col min="14092" max="14092" width="10.5" style="6" bestFit="1" customWidth="1"/>
    <col min="14093" max="14340" width="9.1640625" style="6"/>
    <col min="14341" max="14341" width="6.83203125" style="6" bestFit="1" customWidth="1"/>
    <col min="14342" max="14342" width="11.83203125" style="6" bestFit="1" customWidth="1"/>
    <col min="14343" max="14343" width="9.1640625" style="6"/>
    <col min="14344" max="14344" width="13.1640625" style="6" bestFit="1" customWidth="1"/>
    <col min="14345" max="14345" width="11.83203125" style="6" bestFit="1" customWidth="1"/>
    <col min="14346" max="14346" width="15.5" style="6" bestFit="1" customWidth="1"/>
    <col min="14347" max="14347" width="24.33203125" style="6" bestFit="1" customWidth="1"/>
    <col min="14348" max="14348" width="10.5" style="6" bestFit="1" customWidth="1"/>
    <col min="14349" max="14596" width="9.1640625" style="6"/>
    <col min="14597" max="14597" width="6.83203125" style="6" bestFit="1" customWidth="1"/>
    <col min="14598" max="14598" width="11.83203125" style="6" bestFit="1" customWidth="1"/>
    <col min="14599" max="14599" width="9.1640625" style="6"/>
    <col min="14600" max="14600" width="13.1640625" style="6" bestFit="1" customWidth="1"/>
    <col min="14601" max="14601" width="11.83203125" style="6" bestFit="1" customWidth="1"/>
    <col min="14602" max="14602" width="15.5" style="6" bestFit="1" customWidth="1"/>
    <col min="14603" max="14603" width="24.33203125" style="6" bestFit="1" customWidth="1"/>
    <col min="14604" max="14604" width="10.5" style="6" bestFit="1" customWidth="1"/>
    <col min="14605" max="14852" width="9.1640625" style="6"/>
    <col min="14853" max="14853" width="6.83203125" style="6" bestFit="1" customWidth="1"/>
    <col min="14854" max="14854" width="11.83203125" style="6" bestFit="1" customWidth="1"/>
    <col min="14855" max="14855" width="9.1640625" style="6"/>
    <col min="14856" max="14856" width="13.1640625" style="6" bestFit="1" customWidth="1"/>
    <col min="14857" max="14857" width="11.83203125" style="6" bestFit="1" customWidth="1"/>
    <col min="14858" max="14858" width="15.5" style="6" bestFit="1" customWidth="1"/>
    <col min="14859" max="14859" width="24.33203125" style="6" bestFit="1" customWidth="1"/>
    <col min="14860" max="14860" width="10.5" style="6" bestFit="1" customWidth="1"/>
    <col min="14861" max="15108" width="9.1640625" style="6"/>
    <col min="15109" max="15109" width="6.83203125" style="6" bestFit="1" customWidth="1"/>
    <col min="15110" max="15110" width="11.83203125" style="6" bestFit="1" customWidth="1"/>
    <col min="15111" max="15111" width="9.1640625" style="6"/>
    <col min="15112" max="15112" width="13.1640625" style="6" bestFit="1" customWidth="1"/>
    <col min="15113" max="15113" width="11.83203125" style="6" bestFit="1" customWidth="1"/>
    <col min="15114" max="15114" width="15.5" style="6" bestFit="1" customWidth="1"/>
    <col min="15115" max="15115" width="24.33203125" style="6" bestFit="1" customWidth="1"/>
    <col min="15116" max="15116" width="10.5" style="6" bestFit="1" customWidth="1"/>
    <col min="15117" max="15364" width="9.1640625" style="6"/>
    <col min="15365" max="15365" width="6.83203125" style="6" bestFit="1" customWidth="1"/>
    <col min="15366" max="15366" width="11.83203125" style="6" bestFit="1" customWidth="1"/>
    <col min="15367" max="15367" width="9.1640625" style="6"/>
    <col min="15368" max="15368" width="13.1640625" style="6" bestFit="1" customWidth="1"/>
    <col min="15369" max="15369" width="11.83203125" style="6" bestFit="1" customWidth="1"/>
    <col min="15370" max="15370" width="15.5" style="6" bestFit="1" customWidth="1"/>
    <col min="15371" max="15371" width="24.33203125" style="6" bestFit="1" customWidth="1"/>
    <col min="15372" max="15372" width="10.5" style="6" bestFit="1" customWidth="1"/>
    <col min="15373" max="15620" width="9.1640625" style="6"/>
    <col min="15621" max="15621" width="6.83203125" style="6" bestFit="1" customWidth="1"/>
    <col min="15622" max="15622" width="11.83203125" style="6" bestFit="1" customWidth="1"/>
    <col min="15623" max="15623" width="9.1640625" style="6"/>
    <col min="15624" max="15624" width="13.1640625" style="6" bestFit="1" customWidth="1"/>
    <col min="15625" max="15625" width="11.83203125" style="6" bestFit="1" customWidth="1"/>
    <col min="15626" max="15626" width="15.5" style="6" bestFit="1" customWidth="1"/>
    <col min="15627" max="15627" width="24.33203125" style="6" bestFit="1" customWidth="1"/>
    <col min="15628" max="15628" width="10.5" style="6" bestFit="1" customWidth="1"/>
    <col min="15629" max="15876" width="9.1640625" style="6"/>
    <col min="15877" max="15877" width="6.83203125" style="6" bestFit="1" customWidth="1"/>
    <col min="15878" max="15878" width="11.83203125" style="6" bestFit="1" customWidth="1"/>
    <col min="15879" max="15879" width="9.1640625" style="6"/>
    <col min="15880" max="15880" width="13.1640625" style="6" bestFit="1" customWidth="1"/>
    <col min="15881" max="15881" width="11.83203125" style="6" bestFit="1" customWidth="1"/>
    <col min="15882" max="15882" width="15.5" style="6" bestFit="1" customWidth="1"/>
    <col min="15883" max="15883" width="24.33203125" style="6" bestFit="1" customWidth="1"/>
    <col min="15884" max="15884" width="10.5" style="6" bestFit="1" customWidth="1"/>
    <col min="15885" max="16132" width="9.1640625" style="6"/>
    <col min="16133" max="16133" width="6.83203125" style="6" bestFit="1" customWidth="1"/>
    <col min="16134" max="16134" width="11.83203125" style="6" bestFit="1" customWidth="1"/>
    <col min="16135" max="16135" width="9.1640625" style="6"/>
    <col min="16136" max="16136" width="13.1640625" style="6" bestFit="1" customWidth="1"/>
    <col min="16137" max="16137" width="11.83203125" style="6" bestFit="1" customWidth="1"/>
    <col min="16138" max="16138" width="15.5" style="6" bestFit="1" customWidth="1"/>
    <col min="16139" max="16139" width="24.33203125" style="6" bestFit="1" customWidth="1"/>
    <col min="16140" max="16140" width="10.5" style="6" bestFit="1" customWidth="1"/>
    <col min="16141" max="16384" width="9.1640625" style="6"/>
  </cols>
  <sheetData>
    <row r="2" spans="2:13" ht="20" customHeight="1" x14ac:dyDescent="0.2">
      <c r="B2" s="35" t="s">
        <v>1</v>
      </c>
      <c r="C2" s="35"/>
      <c r="D2" s="35"/>
      <c r="E2" s="35"/>
      <c r="F2" s="35"/>
      <c r="G2" s="1">
        <v>20</v>
      </c>
    </row>
    <row r="3" spans="2:13" ht="20" customHeight="1" x14ac:dyDescent="0.2">
      <c r="B3" s="35" t="s">
        <v>2</v>
      </c>
      <c r="C3" s="35"/>
      <c r="D3" s="35"/>
      <c r="E3" s="35"/>
      <c r="F3" s="35"/>
      <c r="G3" s="1">
        <v>26</v>
      </c>
    </row>
    <row r="4" spans="2:13" ht="20" customHeight="1" x14ac:dyDescent="0.2">
      <c r="B4" s="35" t="s">
        <v>3</v>
      </c>
      <c r="C4" s="35"/>
      <c r="D4" s="35"/>
      <c r="E4" s="35"/>
      <c r="F4" s="35"/>
      <c r="G4" s="1">
        <f>G2*G3</f>
        <v>520</v>
      </c>
    </row>
    <row r="5" spans="2:13" ht="20" customHeight="1" x14ac:dyDescent="0.2">
      <c r="B5" s="35" t="s">
        <v>4</v>
      </c>
      <c r="C5" s="35"/>
      <c r="D5" s="35"/>
      <c r="E5" s="35"/>
      <c r="F5" s="35"/>
      <c r="G5" s="7">
        <v>2.69E-2</v>
      </c>
    </row>
    <row r="6" spans="2:13" ht="20" customHeight="1" x14ac:dyDescent="0.2">
      <c r="B6" s="35" t="s">
        <v>5</v>
      </c>
      <c r="C6" s="35"/>
      <c r="D6" s="35"/>
      <c r="E6" s="35"/>
      <c r="F6" s="35"/>
      <c r="G6" s="7">
        <f>G5/G3</f>
        <v>1.0346153846153847E-3</v>
      </c>
    </row>
    <row r="7" spans="2:13" ht="20" customHeight="1" x14ac:dyDescent="0.2">
      <c r="B7" s="35" t="s">
        <v>6</v>
      </c>
      <c r="C7" s="35"/>
      <c r="D7" s="35"/>
      <c r="E7" s="35"/>
      <c r="F7" s="35"/>
      <c r="G7" s="8">
        <v>6488328</v>
      </c>
    </row>
    <row r="9" spans="2:13" ht="38.5" customHeight="1" x14ac:dyDescent="0.2">
      <c r="B9" s="9" t="s">
        <v>7</v>
      </c>
      <c r="C9" s="10" t="s">
        <v>8</v>
      </c>
      <c r="D9" s="11" t="s">
        <v>9</v>
      </c>
      <c r="E9" s="11" t="s">
        <v>10</v>
      </c>
      <c r="F9" s="11" t="s">
        <v>11</v>
      </c>
      <c r="G9" s="12" t="s">
        <v>12</v>
      </c>
      <c r="H9" s="13" t="s">
        <v>13</v>
      </c>
      <c r="I9" s="14" t="s">
        <v>14</v>
      </c>
      <c r="J9" s="15" t="s">
        <v>15</v>
      </c>
      <c r="K9" s="16" t="s">
        <v>0</v>
      </c>
      <c r="L9" s="17"/>
    </row>
    <row r="10" spans="2:13" ht="20" customHeight="1" x14ac:dyDescent="0.2">
      <c r="B10" s="29"/>
      <c r="C10" s="30"/>
      <c r="D10" s="30"/>
      <c r="E10" s="30"/>
      <c r="F10" s="31"/>
      <c r="G10" s="8">
        <f>G7</f>
        <v>6488328</v>
      </c>
      <c r="H10" s="32"/>
      <c r="I10" s="33"/>
      <c r="J10" s="33"/>
      <c r="K10" s="34"/>
    </row>
    <row r="11" spans="2:13" ht="20" customHeight="1" x14ac:dyDescent="0.2">
      <c r="B11" s="18">
        <f>ROWS(B$10:B11)-1</f>
        <v>1</v>
      </c>
      <c r="C11" s="19">
        <f>(B11/$G$3)</f>
        <v>3.8461538461538464E-2</v>
      </c>
      <c r="D11" s="20">
        <f>-PMT(J11,COUNT(B11:$B$530),G10)</f>
        <v>16139.836921972557</v>
      </c>
      <c r="E11" s="20">
        <f>G10*J11</f>
        <v>6712.9239692307701</v>
      </c>
      <c r="F11" s="21">
        <f>D11-E11</f>
        <v>9426.9129527417863</v>
      </c>
      <c r="G11" s="21">
        <f t="shared" ref="G11:G74" si="0">G10-F11-K11</f>
        <v>6478901.0870472584</v>
      </c>
      <c r="H11" s="22">
        <f>$G$6</f>
        <v>1.0346153846153847E-3</v>
      </c>
      <c r="I11" s="23">
        <v>0</v>
      </c>
      <c r="J11" s="24">
        <f>H11+(H11*I11)</f>
        <v>1.0346153846153847E-3</v>
      </c>
      <c r="K11" s="25">
        <v>0</v>
      </c>
      <c r="M11" s="26"/>
    </row>
    <row r="12" spans="2:13" ht="20" customHeight="1" x14ac:dyDescent="0.2">
      <c r="B12" s="18">
        <f>ROWS(B$10:B12)-1</f>
        <v>2</v>
      </c>
      <c r="C12" s="19">
        <f t="shared" ref="C12:C75" si="1">(B12/$G$3)</f>
        <v>7.6923076923076927E-2</v>
      </c>
      <c r="D12" s="20">
        <f>-PMT(J12,COUNT(B12:$B$530),G11)</f>
        <v>16139.836921972557</v>
      </c>
      <c r="E12" s="20">
        <f t="shared" ref="E12:E75" si="2">G11*J12</f>
        <v>6703.1707400604337</v>
      </c>
      <c r="F12" s="21">
        <f t="shared" ref="F12:F75" si="3">D12-E12</f>
        <v>9436.6661819121236</v>
      </c>
      <c r="G12" s="21">
        <f t="shared" si="0"/>
        <v>6469464.4208653467</v>
      </c>
      <c r="H12" s="22">
        <f t="shared" ref="H12:H75" si="4">$G$6</f>
        <v>1.0346153846153847E-3</v>
      </c>
      <c r="I12" s="23">
        <v>0</v>
      </c>
      <c r="J12" s="24">
        <f t="shared" ref="J12:J75" si="5">H12+(H12*I12)</f>
        <v>1.0346153846153847E-3</v>
      </c>
      <c r="K12" s="25">
        <v>0</v>
      </c>
    </row>
    <row r="13" spans="2:13" ht="20" customHeight="1" x14ac:dyDescent="0.2">
      <c r="B13" s="18">
        <f>ROWS(B$10:B13)-1</f>
        <v>3</v>
      </c>
      <c r="C13" s="19">
        <f t="shared" si="1"/>
        <v>0.11538461538461539</v>
      </c>
      <c r="D13" s="20">
        <f>-PMT(J13,COUNT(B13:$B$530),G12)</f>
        <v>16139.836921972559</v>
      </c>
      <c r="E13" s="20">
        <f t="shared" si="2"/>
        <v>6693.4074200491477</v>
      </c>
      <c r="F13" s="21">
        <f t="shared" si="3"/>
        <v>9446.4295019234123</v>
      </c>
      <c r="G13" s="21">
        <f t="shared" si="0"/>
        <v>6460017.9913634229</v>
      </c>
      <c r="H13" s="22">
        <f t="shared" si="4"/>
        <v>1.0346153846153847E-3</v>
      </c>
      <c r="I13" s="23">
        <v>0</v>
      </c>
      <c r="J13" s="24">
        <f t="shared" si="5"/>
        <v>1.0346153846153847E-3</v>
      </c>
      <c r="K13" s="25">
        <v>0</v>
      </c>
    </row>
    <row r="14" spans="2:13" ht="20" customHeight="1" x14ac:dyDescent="0.2">
      <c r="B14" s="18">
        <f>ROWS(B$10:B14)-1</f>
        <v>4</v>
      </c>
      <c r="C14" s="19">
        <f t="shared" si="1"/>
        <v>0.15384615384615385</v>
      </c>
      <c r="D14" s="20">
        <f>-PMT(J14,COUNT(B14:$B$530),G13)</f>
        <v>16139.836921972559</v>
      </c>
      <c r="E14" s="20">
        <f t="shared" si="2"/>
        <v>6683.6339987567726</v>
      </c>
      <c r="F14" s="21">
        <f t="shared" si="3"/>
        <v>9456.2029232157875</v>
      </c>
      <c r="G14" s="21">
        <f t="shared" si="0"/>
        <v>6450561.788440207</v>
      </c>
      <c r="H14" s="22">
        <f t="shared" si="4"/>
        <v>1.0346153846153847E-3</v>
      </c>
      <c r="I14" s="23">
        <v>0</v>
      </c>
      <c r="J14" s="24">
        <f t="shared" si="5"/>
        <v>1.0346153846153847E-3</v>
      </c>
      <c r="K14" s="25">
        <v>0</v>
      </c>
    </row>
    <row r="15" spans="2:13" ht="20" customHeight="1" x14ac:dyDescent="0.2">
      <c r="B15" s="18">
        <f>ROWS(B$10:B15)-1</f>
        <v>5</v>
      </c>
      <c r="C15" s="19">
        <f t="shared" si="1"/>
        <v>0.19230769230769232</v>
      </c>
      <c r="D15" s="20">
        <f>-PMT(J15,COUNT(B15:$B$530),G14)</f>
        <v>16139.836921972554</v>
      </c>
      <c r="E15" s="20">
        <f t="shared" si="2"/>
        <v>6673.8504657323683</v>
      </c>
      <c r="F15" s="21">
        <f t="shared" si="3"/>
        <v>9465.9864562401854</v>
      </c>
      <c r="G15" s="21">
        <f t="shared" si="0"/>
        <v>6441095.8019839665</v>
      </c>
      <c r="H15" s="22">
        <f t="shared" si="4"/>
        <v>1.0346153846153847E-3</v>
      </c>
      <c r="I15" s="23">
        <v>0</v>
      </c>
      <c r="J15" s="24">
        <f t="shared" si="5"/>
        <v>1.0346153846153847E-3</v>
      </c>
      <c r="K15" s="25">
        <v>0</v>
      </c>
    </row>
    <row r="16" spans="2:13" ht="20" customHeight="1" x14ac:dyDescent="0.2">
      <c r="B16" s="18">
        <f>ROWS(B$10:B16)-1</f>
        <v>6</v>
      </c>
      <c r="C16" s="19">
        <f t="shared" si="1"/>
        <v>0.23076923076923078</v>
      </c>
      <c r="D16" s="20">
        <f>-PMT(J16,COUNT(B16:$B$530),G15)</f>
        <v>16139.836921972556</v>
      </c>
      <c r="E16" s="20">
        <f t="shared" si="2"/>
        <v>6664.0568105141811</v>
      </c>
      <c r="F16" s="21">
        <f t="shared" si="3"/>
        <v>9475.7801114583744</v>
      </c>
      <c r="G16" s="21">
        <f t="shared" si="0"/>
        <v>6431620.0218725083</v>
      </c>
      <c r="H16" s="22">
        <f t="shared" si="4"/>
        <v>1.0346153846153847E-3</v>
      </c>
      <c r="I16" s="23">
        <v>0</v>
      </c>
      <c r="J16" s="24">
        <f t="shared" si="5"/>
        <v>1.0346153846153847E-3</v>
      </c>
      <c r="K16" s="25">
        <v>0</v>
      </c>
    </row>
    <row r="17" spans="2:11" ht="20" customHeight="1" x14ac:dyDescent="0.2">
      <c r="B17" s="18">
        <f>ROWS(B$10:B17)-1</f>
        <v>7</v>
      </c>
      <c r="C17" s="19">
        <f t="shared" si="1"/>
        <v>0.26923076923076922</v>
      </c>
      <c r="D17" s="20">
        <f>-PMT(J17,COUNT(B17:$B$530),G16)</f>
        <v>16139.836921972557</v>
      </c>
      <c r="E17" s="20">
        <f t="shared" si="2"/>
        <v>6654.253022629634</v>
      </c>
      <c r="F17" s="21">
        <f t="shared" si="3"/>
        <v>9485.5838993429243</v>
      </c>
      <c r="G17" s="21">
        <f t="shared" si="0"/>
        <v>6422134.437973165</v>
      </c>
      <c r="H17" s="22">
        <f t="shared" si="4"/>
        <v>1.0346153846153847E-3</v>
      </c>
      <c r="I17" s="23">
        <v>0</v>
      </c>
      <c r="J17" s="24">
        <f t="shared" si="5"/>
        <v>1.0346153846153847E-3</v>
      </c>
      <c r="K17" s="25">
        <v>0</v>
      </c>
    </row>
    <row r="18" spans="2:11" ht="20" customHeight="1" x14ac:dyDescent="0.2">
      <c r="B18" s="18">
        <f>ROWS(B$10:B18)-1</f>
        <v>8</v>
      </c>
      <c r="C18" s="19">
        <f t="shared" si="1"/>
        <v>0.30769230769230771</v>
      </c>
      <c r="D18" s="20">
        <f>-PMT(J18,COUNT(B18:$B$530),G17)</f>
        <v>16139.836921972556</v>
      </c>
      <c r="E18" s="20">
        <f t="shared" si="2"/>
        <v>6644.4390915953136</v>
      </c>
      <c r="F18" s="21">
        <f t="shared" si="3"/>
        <v>9495.3978303772419</v>
      </c>
      <c r="G18" s="21">
        <f t="shared" si="0"/>
        <v>6412639.0401427876</v>
      </c>
      <c r="H18" s="22">
        <f t="shared" si="4"/>
        <v>1.0346153846153847E-3</v>
      </c>
      <c r="I18" s="23">
        <v>0</v>
      </c>
      <c r="J18" s="24">
        <f t="shared" si="5"/>
        <v>1.0346153846153847E-3</v>
      </c>
      <c r="K18" s="25">
        <v>0</v>
      </c>
    </row>
    <row r="19" spans="2:11" ht="20" customHeight="1" x14ac:dyDescent="0.2">
      <c r="B19" s="18">
        <f>ROWS(B$10:B19)-1</f>
        <v>9</v>
      </c>
      <c r="C19" s="19">
        <f t="shared" si="1"/>
        <v>0.34615384615384615</v>
      </c>
      <c r="D19" s="20">
        <f>-PMT(J19,COUNT(B19:$B$530),G18)</f>
        <v>16139.836921972556</v>
      </c>
      <c r="E19" s="20">
        <f t="shared" si="2"/>
        <v>6634.6150069169616</v>
      </c>
      <c r="F19" s="21">
        <f t="shared" si="3"/>
        <v>9505.2219150555939</v>
      </c>
      <c r="G19" s="21">
        <f t="shared" si="0"/>
        <v>6403133.8182277316</v>
      </c>
      <c r="H19" s="22">
        <f t="shared" si="4"/>
        <v>1.0346153846153847E-3</v>
      </c>
      <c r="I19" s="23">
        <v>0</v>
      </c>
      <c r="J19" s="24">
        <f t="shared" si="5"/>
        <v>1.0346153846153847E-3</v>
      </c>
      <c r="K19" s="25">
        <v>0</v>
      </c>
    </row>
    <row r="20" spans="2:11" ht="20" customHeight="1" x14ac:dyDescent="0.2">
      <c r="B20" s="18">
        <f>ROWS(B$10:B20)-1</f>
        <v>10</v>
      </c>
      <c r="C20" s="19">
        <f t="shared" si="1"/>
        <v>0.38461538461538464</v>
      </c>
      <c r="D20" s="20">
        <f>-PMT(J20,COUNT(B20:$B$530),G19)</f>
        <v>16139.836921972554</v>
      </c>
      <c r="E20" s="20">
        <f t="shared" si="2"/>
        <v>6624.7807580894614</v>
      </c>
      <c r="F20" s="21">
        <f t="shared" si="3"/>
        <v>9515.0561638830914</v>
      </c>
      <c r="G20" s="21">
        <f t="shared" si="0"/>
        <v>6393618.7620638488</v>
      </c>
      <c r="H20" s="22">
        <f t="shared" si="4"/>
        <v>1.0346153846153847E-3</v>
      </c>
      <c r="I20" s="23">
        <v>0</v>
      </c>
      <c r="J20" s="24">
        <f t="shared" si="5"/>
        <v>1.0346153846153847E-3</v>
      </c>
      <c r="K20" s="25">
        <v>0</v>
      </c>
    </row>
    <row r="21" spans="2:11" ht="20" customHeight="1" x14ac:dyDescent="0.2">
      <c r="B21" s="18">
        <f>ROWS(B$10:B21)-1</f>
        <v>11</v>
      </c>
      <c r="C21" s="19">
        <f t="shared" si="1"/>
        <v>0.42307692307692307</v>
      </c>
      <c r="D21" s="20">
        <f>-PMT(J21,COUNT(B21:$B$530),G20)</f>
        <v>16139.836921972556</v>
      </c>
      <c r="E21" s="20">
        <f t="shared" si="2"/>
        <v>6614.9363345968286</v>
      </c>
      <c r="F21" s="21">
        <f t="shared" si="3"/>
        <v>9524.9005873757269</v>
      </c>
      <c r="G21" s="21">
        <f t="shared" si="0"/>
        <v>6384093.8614764735</v>
      </c>
      <c r="H21" s="22">
        <f t="shared" si="4"/>
        <v>1.0346153846153847E-3</v>
      </c>
      <c r="I21" s="23">
        <v>0</v>
      </c>
      <c r="J21" s="24">
        <f t="shared" si="5"/>
        <v>1.0346153846153847E-3</v>
      </c>
      <c r="K21" s="25">
        <v>0</v>
      </c>
    </row>
    <row r="22" spans="2:11" ht="20" customHeight="1" x14ac:dyDescent="0.2">
      <c r="B22" s="18">
        <f>ROWS(B$10:B22)-1</f>
        <v>12</v>
      </c>
      <c r="C22" s="19">
        <f t="shared" si="1"/>
        <v>0.46153846153846156</v>
      </c>
      <c r="D22" s="20">
        <f>-PMT(J22,COUNT(B22:$B$530),G21)</f>
        <v>16139.836921972554</v>
      </c>
      <c r="E22" s="20">
        <f t="shared" si="2"/>
        <v>6605.0817259121977</v>
      </c>
      <c r="F22" s="21">
        <f t="shared" si="3"/>
        <v>9534.755196060356</v>
      </c>
      <c r="G22" s="21">
        <f t="shared" si="0"/>
        <v>6374559.1062804135</v>
      </c>
      <c r="H22" s="22">
        <f t="shared" si="4"/>
        <v>1.0346153846153847E-3</v>
      </c>
      <c r="I22" s="23">
        <v>0</v>
      </c>
      <c r="J22" s="24">
        <f t="shared" si="5"/>
        <v>1.0346153846153847E-3</v>
      </c>
      <c r="K22" s="25">
        <v>0</v>
      </c>
    </row>
    <row r="23" spans="2:11" ht="20" customHeight="1" x14ac:dyDescent="0.2">
      <c r="B23" s="18">
        <f>ROWS(B$10:B23)-1</f>
        <v>13</v>
      </c>
      <c r="C23" s="19">
        <f t="shared" si="1"/>
        <v>0.5</v>
      </c>
      <c r="D23" s="20">
        <f>-PMT(J23,COUNT(B23:$B$530),G22)</f>
        <v>16139.836921972557</v>
      </c>
      <c r="E23" s="20">
        <f t="shared" si="2"/>
        <v>6595.216921497813</v>
      </c>
      <c r="F23" s="21">
        <f t="shared" si="3"/>
        <v>9544.6200004747443</v>
      </c>
      <c r="G23" s="21">
        <f t="shared" si="0"/>
        <v>6365014.4862799384</v>
      </c>
      <c r="H23" s="22">
        <f t="shared" si="4"/>
        <v>1.0346153846153847E-3</v>
      </c>
      <c r="I23" s="23">
        <v>0</v>
      </c>
      <c r="J23" s="24">
        <f t="shared" si="5"/>
        <v>1.0346153846153847E-3</v>
      </c>
      <c r="K23" s="25">
        <v>0</v>
      </c>
    </row>
    <row r="24" spans="2:11" ht="20" customHeight="1" x14ac:dyDescent="0.2">
      <c r="B24" s="18">
        <f>ROWS(B$10:B24)-1</f>
        <v>14</v>
      </c>
      <c r="C24" s="19">
        <f t="shared" si="1"/>
        <v>0.53846153846153844</v>
      </c>
      <c r="D24" s="20">
        <f>-PMT(J24,COUNT(B24:$B$530),G23)</f>
        <v>16139.836921972557</v>
      </c>
      <c r="E24" s="20">
        <f t="shared" si="2"/>
        <v>6585.3419108050139</v>
      </c>
      <c r="F24" s="21">
        <f t="shared" si="3"/>
        <v>9554.4950111675425</v>
      </c>
      <c r="G24" s="21">
        <f t="shared" si="0"/>
        <v>6355459.9912687708</v>
      </c>
      <c r="H24" s="22">
        <f t="shared" si="4"/>
        <v>1.0346153846153847E-3</v>
      </c>
      <c r="I24" s="23">
        <v>0</v>
      </c>
      <c r="J24" s="24">
        <f t="shared" si="5"/>
        <v>1.0346153846153847E-3</v>
      </c>
      <c r="K24" s="25">
        <v>0</v>
      </c>
    </row>
    <row r="25" spans="2:11" ht="20" customHeight="1" x14ac:dyDescent="0.2">
      <c r="B25" s="18">
        <f>ROWS(B$10:B25)-1</f>
        <v>15</v>
      </c>
      <c r="C25" s="19">
        <f t="shared" si="1"/>
        <v>0.57692307692307687</v>
      </c>
      <c r="D25" s="20">
        <f>-PMT(J25,COUNT(B25:$B$530),G24)</f>
        <v>16139.836921972556</v>
      </c>
      <c r="E25" s="20">
        <f t="shared" si="2"/>
        <v>6575.4566832742285</v>
      </c>
      <c r="F25" s="21">
        <f t="shared" si="3"/>
        <v>9564.3802386983261</v>
      </c>
      <c r="G25" s="21">
        <f t="shared" si="0"/>
        <v>6345895.6110300729</v>
      </c>
      <c r="H25" s="22">
        <f t="shared" si="4"/>
        <v>1.0346153846153847E-3</v>
      </c>
      <c r="I25" s="23">
        <v>0</v>
      </c>
      <c r="J25" s="24">
        <f t="shared" si="5"/>
        <v>1.0346153846153847E-3</v>
      </c>
      <c r="K25" s="25">
        <v>0</v>
      </c>
    </row>
    <row r="26" spans="2:11" ht="20" customHeight="1" x14ac:dyDescent="0.2">
      <c r="B26" s="18">
        <f>ROWS(B$10:B26)-1</f>
        <v>16</v>
      </c>
      <c r="C26" s="19">
        <f t="shared" si="1"/>
        <v>0.61538461538461542</v>
      </c>
      <c r="D26" s="20">
        <f>-PMT(J26,COUNT(B26:$B$530),G25)</f>
        <v>16139.836921972557</v>
      </c>
      <c r="E26" s="20">
        <f t="shared" si="2"/>
        <v>6565.5612283349601</v>
      </c>
      <c r="F26" s="21">
        <f t="shared" si="3"/>
        <v>9574.2756936375972</v>
      </c>
      <c r="G26" s="21">
        <f t="shared" si="0"/>
        <v>6336321.3353364356</v>
      </c>
      <c r="H26" s="22">
        <f t="shared" si="4"/>
        <v>1.0346153846153847E-3</v>
      </c>
      <c r="I26" s="23">
        <v>0</v>
      </c>
      <c r="J26" s="24">
        <f t="shared" si="5"/>
        <v>1.0346153846153847E-3</v>
      </c>
      <c r="K26" s="25">
        <v>0</v>
      </c>
    </row>
    <row r="27" spans="2:11" ht="20" customHeight="1" x14ac:dyDescent="0.2">
      <c r="B27" s="18">
        <f>ROWS(B$10:B27)-1</f>
        <v>17</v>
      </c>
      <c r="C27" s="19">
        <f t="shared" si="1"/>
        <v>0.65384615384615385</v>
      </c>
      <c r="D27" s="20">
        <f>-PMT(J27,COUNT(B27:$B$530),G26)</f>
        <v>16139.836921972556</v>
      </c>
      <c r="E27" s="20">
        <f t="shared" si="2"/>
        <v>6555.6555354057746</v>
      </c>
      <c r="F27" s="21">
        <f t="shared" si="3"/>
        <v>9584.1813865667809</v>
      </c>
      <c r="G27" s="21">
        <f t="shared" si="0"/>
        <v>6326737.1539498689</v>
      </c>
      <c r="H27" s="22">
        <f t="shared" si="4"/>
        <v>1.0346153846153847E-3</v>
      </c>
      <c r="I27" s="23">
        <v>0</v>
      </c>
      <c r="J27" s="24">
        <f t="shared" si="5"/>
        <v>1.0346153846153847E-3</v>
      </c>
      <c r="K27" s="25">
        <v>0</v>
      </c>
    </row>
    <row r="28" spans="2:11" ht="20" customHeight="1" x14ac:dyDescent="0.2">
      <c r="B28" s="18">
        <f>ROWS(B$10:B28)-1</f>
        <v>18</v>
      </c>
      <c r="C28" s="19">
        <f t="shared" si="1"/>
        <v>0.69230769230769229</v>
      </c>
      <c r="D28" s="20">
        <f>-PMT(J28,COUNT(B28:$B$530),G27)</f>
        <v>16139.836921972557</v>
      </c>
      <c r="E28" s="20">
        <f t="shared" si="2"/>
        <v>6545.7395938942882</v>
      </c>
      <c r="F28" s="21">
        <f t="shared" si="3"/>
        <v>9594.0973280782691</v>
      </c>
      <c r="G28" s="21">
        <f t="shared" si="0"/>
        <v>6317143.0566217909</v>
      </c>
      <c r="H28" s="22">
        <f t="shared" si="4"/>
        <v>1.0346153846153847E-3</v>
      </c>
      <c r="I28" s="23">
        <v>0</v>
      </c>
      <c r="J28" s="24">
        <f t="shared" si="5"/>
        <v>1.0346153846153847E-3</v>
      </c>
      <c r="K28" s="25">
        <v>0</v>
      </c>
    </row>
    <row r="29" spans="2:11" ht="20" customHeight="1" x14ac:dyDescent="0.2">
      <c r="B29" s="18">
        <f>ROWS(B$10:B29)-1</f>
        <v>19</v>
      </c>
      <c r="C29" s="19">
        <f t="shared" si="1"/>
        <v>0.73076923076923073</v>
      </c>
      <c r="D29" s="20">
        <f>-PMT(J29,COUNT(B29:$B$530),G28)</f>
        <v>16139.836921972557</v>
      </c>
      <c r="E29" s="20">
        <f t="shared" si="2"/>
        <v>6535.8133931971606</v>
      </c>
      <c r="F29" s="21">
        <f t="shared" si="3"/>
        <v>9604.0235287753967</v>
      </c>
      <c r="G29" s="21">
        <f t="shared" si="0"/>
        <v>6307539.0330930157</v>
      </c>
      <c r="H29" s="22">
        <f t="shared" si="4"/>
        <v>1.0346153846153847E-3</v>
      </c>
      <c r="I29" s="23">
        <v>0</v>
      </c>
      <c r="J29" s="24">
        <f t="shared" si="5"/>
        <v>1.0346153846153847E-3</v>
      </c>
      <c r="K29" s="25">
        <v>0</v>
      </c>
    </row>
    <row r="30" spans="2:11" ht="20" customHeight="1" x14ac:dyDescent="0.2">
      <c r="B30" s="18">
        <f>ROWS(B$10:B30)-1</f>
        <v>20</v>
      </c>
      <c r="C30" s="19">
        <f t="shared" si="1"/>
        <v>0.76923076923076927</v>
      </c>
      <c r="D30" s="20">
        <f>-PMT(J30,COUNT(B30:$B$530),G29)</f>
        <v>16139.836921972559</v>
      </c>
      <c r="E30" s="20">
        <f t="shared" si="2"/>
        <v>6525.8769227000821</v>
      </c>
      <c r="F30" s="21">
        <f t="shared" si="3"/>
        <v>9613.9599992724761</v>
      </c>
      <c r="G30" s="21">
        <f t="shared" si="0"/>
        <v>6297925.0730937431</v>
      </c>
      <c r="H30" s="22">
        <f t="shared" si="4"/>
        <v>1.0346153846153847E-3</v>
      </c>
      <c r="I30" s="23">
        <v>0</v>
      </c>
      <c r="J30" s="24">
        <f t="shared" si="5"/>
        <v>1.0346153846153847E-3</v>
      </c>
      <c r="K30" s="25">
        <v>0</v>
      </c>
    </row>
    <row r="31" spans="2:11" ht="20" customHeight="1" x14ac:dyDescent="0.2">
      <c r="B31" s="18">
        <f>ROWS(B$10:B31)-1</f>
        <v>21</v>
      </c>
      <c r="C31" s="19">
        <f t="shared" si="1"/>
        <v>0.80769230769230771</v>
      </c>
      <c r="D31" s="20">
        <f>-PMT(J31,COUNT(B31:$B$530),G30)</f>
        <v>16139.836921972557</v>
      </c>
      <c r="E31" s="20">
        <f t="shared" si="2"/>
        <v>6515.930171777758</v>
      </c>
      <c r="F31" s="21">
        <f t="shared" si="3"/>
        <v>9623.9067501947993</v>
      </c>
      <c r="G31" s="21">
        <f t="shared" si="0"/>
        <v>6288301.1663435483</v>
      </c>
      <c r="H31" s="22">
        <f t="shared" si="4"/>
        <v>1.0346153846153847E-3</v>
      </c>
      <c r="I31" s="23">
        <v>0</v>
      </c>
      <c r="J31" s="24">
        <f t="shared" si="5"/>
        <v>1.0346153846153847E-3</v>
      </c>
      <c r="K31" s="25">
        <v>0</v>
      </c>
    </row>
    <row r="32" spans="2:11" ht="20" customHeight="1" x14ac:dyDescent="0.2">
      <c r="B32" s="18">
        <f>ROWS(B$10:B32)-1</f>
        <v>22</v>
      </c>
      <c r="C32" s="19">
        <f t="shared" si="1"/>
        <v>0.84615384615384615</v>
      </c>
      <c r="D32" s="20">
        <f>-PMT(J32,COUNT(B32:$B$530),G31)</f>
        <v>16139.836921972557</v>
      </c>
      <c r="E32" s="20">
        <f t="shared" si="2"/>
        <v>6505.9731297939024</v>
      </c>
      <c r="F32" s="21">
        <f t="shared" si="3"/>
        <v>9633.863792178654</v>
      </c>
      <c r="G32" s="21">
        <f t="shared" si="0"/>
        <v>6278667.3025513701</v>
      </c>
      <c r="H32" s="22">
        <f t="shared" si="4"/>
        <v>1.0346153846153847E-3</v>
      </c>
      <c r="I32" s="23">
        <v>0</v>
      </c>
      <c r="J32" s="24">
        <f t="shared" si="5"/>
        <v>1.0346153846153847E-3</v>
      </c>
      <c r="K32" s="25">
        <v>0</v>
      </c>
    </row>
    <row r="33" spans="2:11" ht="20" customHeight="1" x14ac:dyDescent="0.2">
      <c r="B33" s="18">
        <f>ROWS(B$10:B33)-1</f>
        <v>23</v>
      </c>
      <c r="C33" s="19">
        <f t="shared" si="1"/>
        <v>0.88461538461538458</v>
      </c>
      <c r="D33" s="20">
        <f>-PMT(J33,COUNT(B33:$B$530),G32)</f>
        <v>16139.836921972559</v>
      </c>
      <c r="E33" s="20">
        <f t="shared" si="2"/>
        <v>6496.0057861012256</v>
      </c>
      <c r="F33" s="21">
        <f t="shared" si="3"/>
        <v>9643.8311358713327</v>
      </c>
      <c r="G33" s="21">
        <f t="shared" si="0"/>
        <v>6269023.4714154992</v>
      </c>
      <c r="H33" s="22">
        <f t="shared" si="4"/>
        <v>1.0346153846153847E-3</v>
      </c>
      <c r="I33" s="23">
        <v>0</v>
      </c>
      <c r="J33" s="24">
        <f t="shared" si="5"/>
        <v>1.0346153846153847E-3</v>
      </c>
      <c r="K33" s="25">
        <v>0</v>
      </c>
    </row>
    <row r="34" spans="2:11" ht="20" customHeight="1" x14ac:dyDescent="0.2">
      <c r="B34" s="18">
        <f>ROWS(B$10:B34)-1</f>
        <v>24</v>
      </c>
      <c r="C34" s="19">
        <f t="shared" si="1"/>
        <v>0.92307692307692313</v>
      </c>
      <c r="D34" s="20">
        <f>-PMT(J34,COUNT(B34:$B$530),G33)</f>
        <v>16139.836921972563</v>
      </c>
      <c r="E34" s="20">
        <f t="shared" si="2"/>
        <v>6486.0281300414208</v>
      </c>
      <c r="F34" s="21">
        <f t="shared" si="3"/>
        <v>9653.808791931142</v>
      </c>
      <c r="G34" s="21">
        <f t="shared" si="0"/>
        <v>6259369.6626235684</v>
      </c>
      <c r="H34" s="22">
        <f t="shared" si="4"/>
        <v>1.0346153846153847E-3</v>
      </c>
      <c r="I34" s="23">
        <v>0</v>
      </c>
      <c r="J34" s="24">
        <f t="shared" si="5"/>
        <v>1.0346153846153847E-3</v>
      </c>
      <c r="K34" s="25">
        <v>0</v>
      </c>
    </row>
    <row r="35" spans="2:11" ht="20" customHeight="1" x14ac:dyDescent="0.2">
      <c r="B35" s="18">
        <f>ROWS(B$10:B35)-1</f>
        <v>25</v>
      </c>
      <c r="C35" s="19">
        <f t="shared" si="1"/>
        <v>0.96153846153846156</v>
      </c>
      <c r="D35" s="20">
        <f>-PMT(J35,COUNT(B35:$B$530),G34)</f>
        <v>16139.836921972561</v>
      </c>
      <c r="E35" s="20">
        <f t="shared" si="2"/>
        <v>6476.040150945154</v>
      </c>
      <c r="F35" s="21">
        <f t="shared" si="3"/>
        <v>9663.7967710274061</v>
      </c>
      <c r="G35" s="21">
        <f t="shared" si="0"/>
        <v>6249705.8658525413</v>
      </c>
      <c r="H35" s="22">
        <f t="shared" si="4"/>
        <v>1.0346153846153847E-3</v>
      </c>
      <c r="I35" s="23">
        <v>0</v>
      </c>
      <c r="J35" s="24">
        <f t="shared" si="5"/>
        <v>1.0346153846153847E-3</v>
      </c>
      <c r="K35" s="25">
        <v>0</v>
      </c>
    </row>
    <row r="36" spans="2:11" ht="20" customHeight="1" x14ac:dyDescent="0.2">
      <c r="B36" s="18">
        <f>ROWS(B$10:B36)-1</f>
        <v>26</v>
      </c>
      <c r="C36" s="19">
        <f t="shared" si="1"/>
        <v>1</v>
      </c>
      <c r="D36" s="20">
        <f>-PMT(J36,COUNT(B36:$B$530),G35)</f>
        <v>16139.836921972561</v>
      </c>
      <c r="E36" s="20">
        <f t="shared" si="2"/>
        <v>6466.0418381320533</v>
      </c>
      <c r="F36" s="21">
        <f t="shared" si="3"/>
        <v>9673.7950838405086</v>
      </c>
      <c r="G36" s="21">
        <f t="shared" si="0"/>
        <v>6240032.0707687009</v>
      </c>
      <c r="H36" s="22">
        <f t="shared" si="4"/>
        <v>1.0346153846153847E-3</v>
      </c>
      <c r="I36" s="23">
        <v>0</v>
      </c>
      <c r="J36" s="24">
        <f t="shared" si="5"/>
        <v>1.0346153846153847E-3</v>
      </c>
      <c r="K36" s="25">
        <v>0</v>
      </c>
    </row>
    <row r="37" spans="2:11" ht="20" customHeight="1" x14ac:dyDescent="0.2">
      <c r="B37" s="18">
        <f>ROWS(B$10:B37)-1</f>
        <v>27</v>
      </c>
      <c r="C37" s="19">
        <f t="shared" si="1"/>
        <v>1.0384615384615385</v>
      </c>
      <c r="D37" s="20">
        <f>-PMT(J37,COUNT(B37:$B$530),G36)</f>
        <v>16139.836921972559</v>
      </c>
      <c r="E37" s="20">
        <f t="shared" si="2"/>
        <v>6456.0331809106947</v>
      </c>
      <c r="F37" s="21">
        <f t="shared" si="3"/>
        <v>9683.8037410618635</v>
      </c>
      <c r="G37" s="21">
        <f t="shared" si="0"/>
        <v>6230348.2670276389</v>
      </c>
      <c r="H37" s="22">
        <f t="shared" si="4"/>
        <v>1.0346153846153847E-3</v>
      </c>
      <c r="I37" s="23">
        <v>0</v>
      </c>
      <c r="J37" s="24">
        <f t="shared" si="5"/>
        <v>1.0346153846153847E-3</v>
      </c>
      <c r="K37" s="25">
        <v>0</v>
      </c>
    </row>
    <row r="38" spans="2:11" ht="20" customHeight="1" x14ac:dyDescent="0.2">
      <c r="B38" s="18">
        <f>ROWS(B$10:B38)-1</f>
        <v>28</v>
      </c>
      <c r="C38" s="19">
        <f t="shared" si="1"/>
        <v>1.0769230769230769</v>
      </c>
      <c r="D38" s="20">
        <f>-PMT(J38,COUNT(B38:$B$530),G37)</f>
        <v>16139.836921972561</v>
      </c>
      <c r="E38" s="20">
        <f t="shared" si="2"/>
        <v>6446.0141685785957</v>
      </c>
      <c r="F38" s="21">
        <f t="shared" si="3"/>
        <v>9693.8227533939644</v>
      </c>
      <c r="G38" s="21">
        <f t="shared" si="0"/>
        <v>6220654.4442742448</v>
      </c>
      <c r="H38" s="22">
        <f t="shared" si="4"/>
        <v>1.0346153846153847E-3</v>
      </c>
      <c r="I38" s="23">
        <v>0</v>
      </c>
      <c r="J38" s="24">
        <f t="shared" si="5"/>
        <v>1.0346153846153847E-3</v>
      </c>
      <c r="K38" s="25">
        <v>0</v>
      </c>
    </row>
    <row r="39" spans="2:11" ht="20" customHeight="1" x14ac:dyDescent="0.2">
      <c r="B39" s="18">
        <f>ROWS(B$10:B39)-1</f>
        <v>29</v>
      </c>
      <c r="C39" s="19">
        <f t="shared" si="1"/>
        <v>1.1153846153846154</v>
      </c>
      <c r="D39" s="20">
        <f>-PMT(J39,COUNT(B39:$B$530),G38)</f>
        <v>16139.836921972563</v>
      </c>
      <c r="E39" s="20">
        <f t="shared" si="2"/>
        <v>6435.9847904221997</v>
      </c>
      <c r="F39" s="21">
        <f t="shared" si="3"/>
        <v>9703.852131550364</v>
      </c>
      <c r="G39" s="21">
        <f t="shared" si="0"/>
        <v>6210950.5921426946</v>
      </c>
      <c r="H39" s="22">
        <f t="shared" si="4"/>
        <v>1.0346153846153847E-3</v>
      </c>
      <c r="I39" s="23">
        <v>0</v>
      </c>
      <c r="J39" s="24">
        <f t="shared" si="5"/>
        <v>1.0346153846153847E-3</v>
      </c>
      <c r="K39" s="25">
        <v>0</v>
      </c>
    </row>
    <row r="40" spans="2:11" ht="20" customHeight="1" x14ac:dyDescent="0.2">
      <c r="B40" s="18">
        <f>ROWS(B$10:B40)-1</f>
        <v>30</v>
      </c>
      <c r="C40" s="19">
        <f t="shared" si="1"/>
        <v>1.1538461538461537</v>
      </c>
      <c r="D40" s="20">
        <f>-PMT(J40,COUNT(B40:$B$530),G39)</f>
        <v>16139.836921972561</v>
      </c>
      <c r="E40" s="20">
        <f t="shared" si="2"/>
        <v>6425.9450357168653</v>
      </c>
      <c r="F40" s="21">
        <f t="shared" si="3"/>
        <v>9713.8918862556966</v>
      </c>
      <c r="G40" s="21">
        <f t="shared" si="0"/>
        <v>6201236.7002564389</v>
      </c>
      <c r="H40" s="22">
        <f t="shared" si="4"/>
        <v>1.0346153846153847E-3</v>
      </c>
      <c r="I40" s="23">
        <v>0</v>
      </c>
      <c r="J40" s="24">
        <f t="shared" si="5"/>
        <v>1.0346153846153847E-3</v>
      </c>
      <c r="K40" s="25">
        <v>0</v>
      </c>
    </row>
    <row r="41" spans="2:11" ht="20" customHeight="1" x14ac:dyDescent="0.2">
      <c r="B41" s="18">
        <f>ROWS(B$10:B41)-1</f>
        <v>31</v>
      </c>
      <c r="C41" s="19">
        <f t="shared" si="1"/>
        <v>1.1923076923076923</v>
      </c>
      <c r="D41" s="20">
        <f>-PMT(J41,COUNT(B41:$B$530),G40)</f>
        <v>16139.836921972561</v>
      </c>
      <c r="E41" s="20">
        <f t="shared" si="2"/>
        <v>6415.8948937268542</v>
      </c>
      <c r="F41" s="21">
        <f t="shared" si="3"/>
        <v>9723.9420282457068</v>
      </c>
      <c r="G41" s="21">
        <f t="shared" si="0"/>
        <v>6191512.758228193</v>
      </c>
      <c r="H41" s="22">
        <f t="shared" si="4"/>
        <v>1.0346153846153847E-3</v>
      </c>
      <c r="I41" s="23">
        <v>0</v>
      </c>
      <c r="J41" s="24">
        <f t="shared" si="5"/>
        <v>1.0346153846153847E-3</v>
      </c>
      <c r="K41" s="25">
        <v>0</v>
      </c>
    </row>
    <row r="42" spans="2:11" ht="20" customHeight="1" x14ac:dyDescent="0.2">
      <c r="B42" s="18">
        <f>ROWS(B$10:B42)-1</f>
        <v>32</v>
      </c>
      <c r="C42" s="19">
        <f t="shared" si="1"/>
        <v>1.2307692307692308</v>
      </c>
      <c r="D42" s="20">
        <f>-PMT(J42,COUNT(B42:$B$530),G41)</f>
        <v>16139.836921972563</v>
      </c>
      <c r="E42" s="20">
        <f t="shared" si="2"/>
        <v>6405.8343537053233</v>
      </c>
      <c r="F42" s="21">
        <f t="shared" si="3"/>
        <v>9734.0025682672385</v>
      </c>
      <c r="G42" s="21">
        <f t="shared" si="0"/>
        <v>6181778.7556599258</v>
      </c>
      <c r="H42" s="22">
        <f t="shared" si="4"/>
        <v>1.0346153846153847E-3</v>
      </c>
      <c r="I42" s="23">
        <v>0</v>
      </c>
      <c r="J42" s="24">
        <f t="shared" si="5"/>
        <v>1.0346153846153847E-3</v>
      </c>
      <c r="K42" s="25">
        <v>0</v>
      </c>
    </row>
    <row r="43" spans="2:11" ht="20" customHeight="1" x14ac:dyDescent="0.2">
      <c r="B43" s="18">
        <f>ROWS(B$10:B43)-1</f>
        <v>33</v>
      </c>
      <c r="C43" s="19">
        <f t="shared" si="1"/>
        <v>1.2692307692307692</v>
      </c>
      <c r="D43" s="20">
        <f>-PMT(J43,COUNT(B43:$B$530),G42)</f>
        <v>16139.836921972563</v>
      </c>
      <c r="E43" s="20">
        <f t="shared" si="2"/>
        <v>6395.7634048943082</v>
      </c>
      <c r="F43" s="21">
        <f t="shared" si="3"/>
        <v>9744.0735170782536</v>
      </c>
      <c r="G43" s="21">
        <f t="shared" si="0"/>
        <v>6172034.6821428472</v>
      </c>
      <c r="H43" s="22">
        <f t="shared" si="4"/>
        <v>1.0346153846153847E-3</v>
      </c>
      <c r="I43" s="23">
        <v>0</v>
      </c>
      <c r="J43" s="24">
        <f t="shared" si="5"/>
        <v>1.0346153846153847E-3</v>
      </c>
      <c r="K43" s="25">
        <v>0</v>
      </c>
    </row>
    <row r="44" spans="2:11" ht="20" customHeight="1" x14ac:dyDescent="0.2">
      <c r="B44" s="18">
        <f>ROWS(B$10:B44)-1</f>
        <v>34</v>
      </c>
      <c r="C44" s="19">
        <f t="shared" si="1"/>
        <v>1.3076923076923077</v>
      </c>
      <c r="D44" s="20">
        <f>-PMT(J44,COUNT(B44:$B$530),G43)</f>
        <v>16139.836921972561</v>
      </c>
      <c r="E44" s="20">
        <f t="shared" si="2"/>
        <v>6385.6820365247158</v>
      </c>
      <c r="F44" s="21">
        <f t="shared" si="3"/>
        <v>9754.154885447846</v>
      </c>
      <c r="G44" s="21">
        <f t="shared" si="0"/>
        <v>6162280.5272573996</v>
      </c>
      <c r="H44" s="22">
        <f t="shared" si="4"/>
        <v>1.0346153846153847E-3</v>
      </c>
      <c r="I44" s="23">
        <v>0</v>
      </c>
      <c r="J44" s="24">
        <f t="shared" si="5"/>
        <v>1.0346153846153847E-3</v>
      </c>
      <c r="K44" s="25">
        <v>0</v>
      </c>
    </row>
    <row r="45" spans="2:11" ht="20" customHeight="1" x14ac:dyDescent="0.2">
      <c r="B45" s="18">
        <f>ROWS(B$10:B45)-1</f>
        <v>35</v>
      </c>
      <c r="C45" s="19">
        <f t="shared" si="1"/>
        <v>1.3461538461538463</v>
      </c>
      <c r="D45" s="20">
        <f>-PMT(J45,COUNT(B45:$B$530),G44)</f>
        <v>16139.836921972565</v>
      </c>
      <c r="E45" s="20">
        <f t="shared" si="2"/>
        <v>6375.59023781631</v>
      </c>
      <c r="F45" s="21">
        <f t="shared" si="3"/>
        <v>9764.2466841562546</v>
      </c>
      <c r="G45" s="21">
        <f t="shared" si="0"/>
        <v>6152516.2805732433</v>
      </c>
      <c r="H45" s="22">
        <f t="shared" si="4"/>
        <v>1.0346153846153847E-3</v>
      </c>
      <c r="I45" s="23">
        <v>0</v>
      </c>
      <c r="J45" s="24">
        <f t="shared" si="5"/>
        <v>1.0346153846153847E-3</v>
      </c>
      <c r="K45" s="25">
        <v>0</v>
      </c>
    </row>
    <row r="46" spans="2:11" ht="20" customHeight="1" x14ac:dyDescent="0.2">
      <c r="B46" s="18">
        <f>ROWS(B$10:B46)-1</f>
        <v>36</v>
      </c>
      <c r="C46" s="19">
        <f t="shared" si="1"/>
        <v>1.3846153846153846</v>
      </c>
      <c r="D46" s="20">
        <f>-PMT(J46,COUNT(B46:$B$530),G45)</f>
        <v>16139.836921972565</v>
      </c>
      <c r="E46" s="20">
        <f t="shared" si="2"/>
        <v>6365.4879979777024</v>
      </c>
      <c r="F46" s="21">
        <f t="shared" si="3"/>
        <v>9774.3489239948613</v>
      </c>
      <c r="G46" s="21">
        <f t="shared" si="0"/>
        <v>6142741.9316492481</v>
      </c>
      <c r="H46" s="22">
        <f t="shared" si="4"/>
        <v>1.0346153846153847E-3</v>
      </c>
      <c r="I46" s="23">
        <v>0</v>
      </c>
      <c r="J46" s="24">
        <f t="shared" si="5"/>
        <v>1.0346153846153847E-3</v>
      </c>
      <c r="K46" s="25">
        <v>0</v>
      </c>
    </row>
    <row r="47" spans="2:11" ht="20" customHeight="1" x14ac:dyDescent="0.2">
      <c r="B47" s="18">
        <f>ROWS(B$10:B47)-1</f>
        <v>37</v>
      </c>
      <c r="C47" s="19">
        <f t="shared" si="1"/>
        <v>1.4230769230769231</v>
      </c>
      <c r="D47" s="20">
        <f>-PMT(J47,COUNT(B47:$B$530),G46)</f>
        <v>16139.836921972563</v>
      </c>
      <c r="E47" s="20">
        <f t="shared" si="2"/>
        <v>6355.3753062063379</v>
      </c>
      <c r="F47" s="21">
        <f t="shared" si="3"/>
        <v>9784.461615766224</v>
      </c>
      <c r="G47" s="21">
        <f t="shared" si="0"/>
        <v>6132957.4700334817</v>
      </c>
      <c r="H47" s="22">
        <f t="shared" si="4"/>
        <v>1.0346153846153847E-3</v>
      </c>
      <c r="I47" s="23">
        <v>0</v>
      </c>
      <c r="J47" s="24">
        <f t="shared" si="5"/>
        <v>1.0346153846153847E-3</v>
      </c>
      <c r="K47" s="25">
        <v>0</v>
      </c>
    </row>
    <row r="48" spans="2:11" ht="20" customHeight="1" x14ac:dyDescent="0.2">
      <c r="B48" s="18">
        <f>ROWS(B$10:B48)-1</f>
        <v>38</v>
      </c>
      <c r="C48" s="19">
        <f t="shared" si="1"/>
        <v>1.4615384615384615</v>
      </c>
      <c r="D48" s="20">
        <f>-PMT(J48,COUNT(B48:$B$530),G47)</f>
        <v>16139.836921972561</v>
      </c>
      <c r="E48" s="20">
        <f t="shared" si="2"/>
        <v>6345.2521516884872</v>
      </c>
      <c r="F48" s="21">
        <f t="shared" si="3"/>
        <v>9794.5847702840729</v>
      </c>
      <c r="G48" s="21">
        <f t="shared" si="0"/>
        <v>6123162.8852631981</v>
      </c>
      <c r="H48" s="22">
        <f t="shared" si="4"/>
        <v>1.0346153846153847E-3</v>
      </c>
      <c r="I48" s="23">
        <v>0</v>
      </c>
      <c r="J48" s="24">
        <f t="shared" si="5"/>
        <v>1.0346153846153847E-3</v>
      </c>
      <c r="K48" s="25">
        <v>0</v>
      </c>
    </row>
    <row r="49" spans="2:11" ht="20" customHeight="1" x14ac:dyDescent="0.2">
      <c r="B49" s="18">
        <f>ROWS(B$10:B49)-1</f>
        <v>39</v>
      </c>
      <c r="C49" s="19">
        <f t="shared" si="1"/>
        <v>1.5</v>
      </c>
      <c r="D49" s="20">
        <f>-PMT(J49,COUNT(B49:$B$530),G48)</f>
        <v>16139.836921972561</v>
      </c>
      <c r="E49" s="20">
        <f t="shared" si="2"/>
        <v>6335.1185235992325</v>
      </c>
      <c r="F49" s="21">
        <f t="shared" si="3"/>
        <v>9804.7183983733285</v>
      </c>
      <c r="G49" s="21">
        <f t="shared" si="0"/>
        <v>6113358.1668648245</v>
      </c>
      <c r="H49" s="22">
        <f t="shared" si="4"/>
        <v>1.0346153846153847E-3</v>
      </c>
      <c r="I49" s="23">
        <v>0</v>
      </c>
      <c r="J49" s="24">
        <f t="shared" si="5"/>
        <v>1.0346153846153847E-3</v>
      </c>
      <c r="K49" s="25">
        <v>0</v>
      </c>
    </row>
    <row r="50" spans="2:11" ht="20" customHeight="1" x14ac:dyDescent="0.2">
      <c r="B50" s="18">
        <f>ROWS(B$10:B50)-1</f>
        <v>40</v>
      </c>
      <c r="C50" s="19">
        <f t="shared" si="1"/>
        <v>1.5384615384615385</v>
      </c>
      <c r="D50" s="20">
        <f>-PMT(J50,COUNT(B50:$B$530),G49)</f>
        <v>16139.836921972559</v>
      </c>
      <c r="E50" s="20">
        <f t="shared" si="2"/>
        <v>6324.9744111024538</v>
      </c>
      <c r="F50" s="21">
        <f t="shared" si="3"/>
        <v>9814.8625108701053</v>
      </c>
      <c r="G50" s="21">
        <f t="shared" si="0"/>
        <v>6103543.3043539543</v>
      </c>
      <c r="H50" s="22">
        <f t="shared" si="4"/>
        <v>1.0346153846153847E-3</v>
      </c>
      <c r="I50" s="23">
        <v>0</v>
      </c>
      <c r="J50" s="24">
        <f t="shared" si="5"/>
        <v>1.0346153846153847E-3</v>
      </c>
      <c r="K50" s="25">
        <v>0</v>
      </c>
    </row>
    <row r="51" spans="2:11" ht="20" customHeight="1" x14ac:dyDescent="0.2">
      <c r="B51" s="18">
        <f>ROWS(B$10:B51)-1</f>
        <v>41</v>
      </c>
      <c r="C51" s="19">
        <f t="shared" si="1"/>
        <v>1.5769230769230769</v>
      </c>
      <c r="D51" s="20">
        <f>-PMT(J51,COUNT(B51:$B$530),G50)</f>
        <v>16139.836921972561</v>
      </c>
      <c r="E51" s="20">
        <f t="shared" si="2"/>
        <v>6314.8198033508224</v>
      </c>
      <c r="F51" s="21">
        <f t="shared" si="3"/>
        <v>9825.0171186217376</v>
      </c>
      <c r="G51" s="21">
        <f t="shared" si="0"/>
        <v>6093718.2872353327</v>
      </c>
      <c r="H51" s="22">
        <f t="shared" si="4"/>
        <v>1.0346153846153847E-3</v>
      </c>
      <c r="I51" s="23">
        <v>0</v>
      </c>
      <c r="J51" s="24">
        <f t="shared" si="5"/>
        <v>1.0346153846153847E-3</v>
      </c>
      <c r="K51" s="25">
        <v>0</v>
      </c>
    </row>
    <row r="52" spans="2:11" ht="20" customHeight="1" x14ac:dyDescent="0.2">
      <c r="B52" s="18">
        <f>ROWS(B$10:B52)-1</f>
        <v>42</v>
      </c>
      <c r="C52" s="19">
        <f t="shared" si="1"/>
        <v>1.6153846153846154</v>
      </c>
      <c r="D52" s="20">
        <f>-PMT(J52,COUNT(B52:$B$530),G51)</f>
        <v>16139.836921972561</v>
      </c>
      <c r="E52" s="20">
        <f t="shared" si="2"/>
        <v>6304.6546894857865</v>
      </c>
      <c r="F52" s="21">
        <f t="shared" si="3"/>
        <v>9835.1822324867753</v>
      </c>
      <c r="G52" s="21">
        <f t="shared" si="0"/>
        <v>6083883.1050028456</v>
      </c>
      <c r="H52" s="22">
        <f t="shared" si="4"/>
        <v>1.0346153846153847E-3</v>
      </c>
      <c r="I52" s="23">
        <v>0</v>
      </c>
      <c r="J52" s="24">
        <f t="shared" si="5"/>
        <v>1.0346153846153847E-3</v>
      </c>
      <c r="K52" s="25">
        <v>0</v>
      </c>
    </row>
    <row r="53" spans="2:11" ht="20" customHeight="1" x14ac:dyDescent="0.2">
      <c r="B53" s="18">
        <f>ROWS(B$10:B53)-1</f>
        <v>43</v>
      </c>
      <c r="C53" s="19">
        <f t="shared" si="1"/>
        <v>1.6538461538461537</v>
      </c>
      <c r="D53" s="20">
        <f>-PMT(J53,COUNT(B53:$B$530),G52)</f>
        <v>16139.836921972563</v>
      </c>
      <c r="E53" s="20">
        <f t="shared" si="2"/>
        <v>6294.4790586375602</v>
      </c>
      <c r="F53" s="21">
        <f t="shared" si="3"/>
        <v>9845.3578633350025</v>
      </c>
      <c r="G53" s="21">
        <f t="shared" si="0"/>
        <v>6074037.7471395107</v>
      </c>
      <c r="H53" s="22">
        <f t="shared" si="4"/>
        <v>1.0346153846153847E-3</v>
      </c>
      <c r="I53" s="23">
        <v>0</v>
      </c>
      <c r="J53" s="24">
        <f t="shared" si="5"/>
        <v>1.0346153846153847E-3</v>
      </c>
      <c r="K53" s="25">
        <v>0</v>
      </c>
    </row>
    <row r="54" spans="2:11" ht="20" customHeight="1" x14ac:dyDescent="0.2">
      <c r="B54" s="18">
        <f>ROWS(B$10:B54)-1</f>
        <v>44</v>
      </c>
      <c r="C54" s="19">
        <f t="shared" si="1"/>
        <v>1.6923076923076923</v>
      </c>
      <c r="D54" s="20">
        <f>-PMT(J54,COUNT(B54:$B$530),G53)</f>
        <v>16139.836921972561</v>
      </c>
      <c r="E54" s="20">
        <f t="shared" si="2"/>
        <v>6284.2928999251099</v>
      </c>
      <c r="F54" s="21">
        <f t="shared" si="3"/>
        <v>9855.544022047452</v>
      </c>
      <c r="G54" s="21">
        <f t="shared" si="0"/>
        <v>6064182.2031174628</v>
      </c>
      <c r="H54" s="22">
        <f t="shared" si="4"/>
        <v>1.0346153846153847E-3</v>
      </c>
      <c r="I54" s="23">
        <v>0</v>
      </c>
      <c r="J54" s="24">
        <f t="shared" si="5"/>
        <v>1.0346153846153847E-3</v>
      </c>
      <c r="K54" s="25">
        <v>0</v>
      </c>
    </row>
    <row r="55" spans="2:11" ht="20" customHeight="1" x14ac:dyDescent="0.2">
      <c r="B55" s="18">
        <f>ROWS(B$10:B55)-1</f>
        <v>45</v>
      </c>
      <c r="C55" s="19">
        <f t="shared" si="1"/>
        <v>1.7307692307692308</v>
      </c>
      <c r="D55" s="20">
        <f>-PMT(J55,COUNT(B55:$B$530),G54)</f>
        <v>16139.836921972559</v>
      </c>
      <c r="E55" s="20">
        <f t="shared" si="2"/>
        <v>6274.096202456145</v>
      </c>
      <c r="F55" s="21">
        <f t="shared" si="3"/>
        <v>9865.7407195164142</v>
      </c>
      <c r="G55" s="21">
        <f t="shared" si="0"/>
        <v>6054316.462397946</v>
      </c>
      <c r="H55" s="22">
        <f t="shared" si="4"/>
        <v>1.0346153846153847E-3</v>
      </c>
      <c r="I55" s="23">
        <v>0</v>
      </c>
      <c r="J55" s="24">
        <f t="shared" si="5"/>
        <v>1.0346153846153847E-3</v>
      </c>
      <c r="K55" s="25">
        <v>0</v>
      </c>
    </row>
    <row r="56" spans="2:11" ht="20" customHeight="1" x14ac:dyDescent="0.2">
      <c r="B56" s="18">
        <f>ROWS(B$10:B56)-1</f>
        <v>46</v>
      </c>
      <c r="C56" s="19">
        <f t="shared" si="1"/>
        <v>1.7692307692307692</v>
      </c>
      <c r="D56" s="20">
        <f>-PMT(J56,COUNT(B56:$B$530),G55)</f>
        <v>16139.836921972559</v>
      </c>
      <c r="E56" s="20">
        <f t="shared" si="2"/>
        <v>6263.8889553271065</v>
      </c>
      <c r="F56" s="21">
        <f t="shared" si="3"/>
        <v>9875.9479666454536</v>
      </c>
      <c r="G56" s="21">
        <f t="shared" si="0"/>
        <v>6044440.5144313006</v>
      </c>
      <c r="H56" s="22">
        <f t="shared" si="4"/>
        <v>1.0346153846153847E-3</v>
      </c>
      <c r="I56" s="23">
        <v>0</v>
      </c>
      <c r="J56" s="24">
        <f t="shared" si="5"/>
        <v>1.0346153846153847E-3</v>
      </c>
      <c r="K56" s="25">
        <v>0</v>
      </c>
    </row>
    <row r="57" spans="2:11" ht="20" customHeight="1" x14ac:dyDescent="0.2">
      <c r="B57" s="18">
        <f>ROWS(B$10:B57)-1</f>
        <v>47</v>
      </c>
      <c r="C57" s="19">
        <f t="shared" si="1"/>
        <v>1.8076923076923077</v>
      </c>
      <c r="D57" s="20">
        <f>-PMT(J57,COUNT(B57:$B$530),G56)</f>
        <v>16139.836921972557</v>
      </c>
      <c r="E57" s="20">
        <f t="shared" si="2"/>
        <v>6253.671147623154</v>
      </c>
      <c r="F57" s="21">
        <f t="shared" si="3"/>
        <v>9886.1657743494034</v>
      </c>
      <c r="G57" s="21">
        <f t="shared" si="0"/>
        <v>6034554.3486569514</v>
      </c>
      <c r="H57" s="22">
        <f t="shared" si="4"/>
        <v>1.0346153846153847E-3</v>
      </c>
      <c r="I57" s="23">
        <v>0</v>
      </c>
      <c r="J57" s="24">
        <f t="shared" si="5"/>
        <v>1.0346153846153847E-3</v>
      </c>
      <c r="K57" s="25">
        <v>0</v>
      </c>
    </row>
    <row r="58" spans="2:11" ht="20" customHeight="1" x14ac:dyDescent="0.2">
      <c r="B58" s="18">
        <f>ROWS(B$10:B58)-1</f>
        <v>48</v>
      </c>
      <c r="C58" s="19">
        <f t="shared" si="1"/>
        <v>1.8461538461538463</v>
      </c>
      <c r="D58" s="20">
        <f>-PMT(J58,COUNT(B58:$B$530),G57)</f>
        <v>16139.836921972557</v>
      </c>
      <c r="E58" s="20">
        <f t="shared" si="2"/>
        <v>6243.4427684181537</v>
      </c>
      <c r="F58" s="21">
        <f t="shared" si="3"/>
        <v>9896.3941535544036</v>
      </c>
      <c r="G58" s="21">
        <f t="shared" si="0"/>
        <v>6024657.9545033975</v>
      </c>
      <c r="H58" s="22">
        <f t="shared" si="4"/>
        <v>1.0346153846153847E-3</v>
      </c>
      <c r="I58" s="23">
        <v>0</v>
      </c>
      <c r="J58" s="24">
        <f t="shared" si="5"/>
        <v>1.0346153846153847E-3</v>
      </c>
      <c r="K58" s="25">
        <v>0</v>
      </c>
    </row>
    <row r="59" spans="2:11" ht="20" customHeight="1" x14ac:dyDescent="0.2">
      <c r="B59" s="18">
        <f>ROWS(B$10:B59)-1</f>
        <v>49</v>
      </c>
      <c r="C59" s="19">
        <f t="shared" si="1"/>
        <v>1.8846153846153846</v>
      </c>
      <c r="D59" s="20">
        <f>-PMT(J59,COUNT(B59:$B$530),G58)</f>
        <v>16139.836921972561</v>
      </c>
      <c r="E59" s="20">
        <f t="shared" si="2"/>
        <v>6233.2038067746698</v>
      </c>
      <c r="F59" s="21">
        <f t="shared" si="3"/>
        <v>9906.633115197892</v>
      </c>
      <c r="G59" s="21">
        <f t="shared" si="0"/>
        <v>6014751.3213881999</v>
      </c>
      <c r="H59" s="22">
        <f t="shared" si="4"/>
        <v>1.0346153846153847E-3</v>
      </c>
      <c r="I59" s="23">
        <v>0</v>
      </c>
      <c r="J59" s="24">
        <f t="shared" si="5"/>
        <v>1.0346153846153847E-3</v>
      </c>
      <c r="K59" s="25">
        <v>0</v>
      </c>
    </row>
    <row r="60" spans="2:11" ht="20" customHeight="1" x14ac:dyDescent="0.2">
      <c r="B60" s="18">
        <f>ROWS(B$10:B60)-1</f>
        <v>50</v>
      </c>
      <c r="C60" s="19">
        <f t="shared" si="1"/>
        <v>1.9230769230769231</v>
      </c>
      <c r="D60" s="20">
        <f>-PMT(J60,COUNT(B60:$B$530),G59)</f>
        <v>16139.836921972561</v>
      </c>
      <c r="E60" s="20">
        <f t="shared" si="2"/>
        <v>6222.9542517439459</v>
      </c>
      <c r="F60" s="21">
        <f t="shared" si="3"/>
        <v>9916.8826702286151</v>
      </c>
      <c r="G60" s="21">
        <f t="shared" si="0"/>
        <v>6004834.4387179716</v>
      </c>
      <c r="H60" s="22">
        <f t="shared" si="4"/>
        <v>1.0346153846153847E-3</v>
      </c>
      <c r="I60" s="23">
        <v>0</v>
      </c>
      <c r="J60" s="24">
        <f t="shared" si="5"/>
        <v>1.0346153846153847E-3</v>
      </c>
      <c r="K60" s="25">
        <v>0</v>
      </c>
    </row>
    <row r="61" spans="2:11" ht="20" customHeight="1" x14ac:dyDescent="0.2">
      <c r="B61" s="18">
        <f>ROWS(B$10:B61)-1</f>
        <v>51</v>
      </c>
      <c r="C61" s="19">
        <f t="shared" si="1"/>
        <v>1.9615384615384615</v>
      </c>
      <c r="D61" s="20">
        <f>-PMT(J61,COUNT(B61:$B$530),G60)</f>
        <v>16139.836921972559</v>
      </c>
      <c r="E61" s="20">
        <f t="shared" si="2"/>
        <v>6212.6940923659022</v>
      </c>
      <c r="F61" s="21">
        <f t="shared" si="3"/>
        <v>9927.142829606657</v>
      </c>
      <c r="G61" s="21">
        <f t="shared" si="0"/>
        <v>5994907.2958883652</v>
      </c>
      <c r="H61" s="22">
        <f t="shared" si="4"/>
        <v>1.0346153846153847E-3</v>
      </c>
      <c r="I61" s="23">
        <v>0</v>
      </c>
      <c r="J61" s="24">
        <f t="shared" si="5"/>
        <v>1.0346153846153847E-3</v>
      </c>
      <c r="K61" s="25">
        <v>0</v>
      </c>
    </row>
    <row r="62" spans="2:11" ht="20" customHeight="1" x14ac:dyDescent="0.2">
      <c r="B62" s="18">
        <f>ROWS(B$10:B62)-1</f>
        <v>52</v>
      </c>
      <c r="C62" s="19">
        <f t="shared" si="1"/>
        <v>2</v>
      </c>
      <c r="D62" s="20">
        <f>-PMT(J62,COUNT(B62:$B$530),G61)</f>
        <v>16139.836921972563</v>
      </c>
      <c r="E62" s="20">
        <f t="shared" si="2"/>
        <v>6202.4233176691168</v>
      </c>
      <c r="F62" s="21">
        <f t="shared" si="3"/>
        <v>9937.413604303445</v>
      </c>
      <c r="G62" s="21">
        <f t="shared" si="0"/>
        <v>5984969.882284062</v>
      </c>
      <c r="H62" s="22">
        <f t="shared" si="4"/>
        <v>1.0346153846153847E-3</v>
      </c>
      <c r="I62" s="23">
        <v>0</v>
      </c>
      <c r="J62" s="24">
        <f t="shared" si="5"/>
        <v>1.0346153846153847E-3</v>
      </c>
      <c r="K62" s="25">
        <v>0</v>
      </c>
    </row>
    <row r="63" spans="2:11" ht="20" customHeight="1" x14ac:dyDescent="0.2">
      <c r="B63" s="18">
        <f>ROWS(B$10:B63)-1</f>
        <v>53</v>
      </c>
      <c r="C63" s="19">
        <f t="shared" si="1"/>
        <v>2.0384615384615383</v>
      </c>
      <c r="D63" s="20">
        <f>-PMT(J63,COUNT(B63:$B$530),G62)</f>
        <v>16139.836921972565</v>
      </c>
      <c r="E63" s="20">
        <f t="shared" si="2"/>
        <v>6192.1419166708183</v>
      </c>
      <c r="F63" s="21">
        <f t="shared" si="3"/>
        <v>9947.6950053017463</v>
      </c>
      <c r="G63" s="21">
        <f t="shared" si="0"/>
        <v>5975022.1872787606</v>
      </c>
      <c r="H63" s="22">
        <f t="shared" si="4"/>
        <v>1.0346153846153847E-3</v>
      </c>
      <c r="I63" s="23">
        <v>0</v>
      </c>
      <c r="J63" s="24">
        <f t="shared" si="5"/>
        <v>1.0346153846153847E-3</v>
      </c>
      <c r="K63" s="25">
        <v>0</v>
      </c>
    </row>
    <row r="64" spans="2:11" ht="20" customHeight="1" x14ac:dyDescent="0.2">
      <c r="B64" s="18">
        <f>ROWS(B$10:B64)-1</f>
        <v>54</v>
      </c>
      <c r="C64" s="19">
        <f t="shared" si="1"/>
        <v>2.0769230769230771</v>
      </c>
      <c r="D64" s="20">
        <f>-PMT(J64,COUNT(B64:$B$530),G63)</f>
        <v>16139.836921972565</v>
      </c>
      <c r="E64" s="20">
        <f t="shared" si="2"/>
        <v>6181.8498783768719</v>
      </c>
      <c r="F64" s="21">
        <f t="shared" si="3"/>
        <v>9957.9870435956927</v>
      </c>
      <c r="G64" s="21">
        <f t="shared" si="0"/>
        <v>5965064.2002351647</v>
      </c>
      <c r="H64" s="22">
        <f t="shared" si="4"/>
        <v>1.0346153846153847E-3</v>
      </c>
      <c r="I64" s="23">
        <v>0</v>
      </c>
      <c r="J64" s="24">
        <f t="shared" si="5"/>
        <v>1.0346153846153847E-3</v>
      </c>
      <c r="K64" s="25">
        <v>0</v>
      </c>
    </row>
    <row r="65" spans="2:11" ht="20" customHeight="1" x14ac:dyDescent="0.2">
      <c r="B65" s="18">
        <f>ROWS(B$10:B65)-1</f>
        <v>55</v>
      </c>
      <c r="C65" s="19">
        <f t="shared" si="1"/>
        <v>2.1153846153846154</v>
      </c>
      <c r="D65" s="20">
        <f>-PMT(J65,COUNT(B65:$B$530),G64)</f>
        <v>16139.836921972563</v>
      </c>
      <c r="E65" s="20">
        <f t="shared" si="2"/>
        <v>6171.5471917817667</v>
      </c>
      <c r="F65" s="21">
        <f t="shared" si="3"/>
        <v>9968.289730190796</v>
      </c>
      <c r="G65" s="21">
        <f t="shared" si="0"/>
        <v>5955095.9105049735</v>
      </c>
      <c r="H65" s="22">
        <f t="shared" si="4"/>
        <v>1.0346153846153847E-3</v>
      </c>
      <c r="I65" s="23">
        <v>0</v>
      </c>
      <c r="J65" s="24">
        <f t="shared" si="5"/>
        <v>1.0346153846153847E-3</v>
      </c>
      <c r="K65" s="25">
        <v>0</v>
      </c>
    </row>
    <row r="66" spans="2:11" ht="20" customHeight="1" x14ac:dyDescent="0.2">
      <c r="B66" s="18">
        <f>ROWS(B$10:B66)-1</f>
        <v>56</v>
      </c>
      <c r="C66" s="19">
        <f t="shared" si="1"/>
        <v>2.1538461538461537</v>
      </c>
      <c r="D66" s="20">
        <f>-PMT(J66,COUNT(B66:$B$530),G65)</f>
        <v>16139.836921972561</v>
      </c>
      <c r="E66" s="20">
        <f t="shared" si="2"/>
        <v>6161.2338458686072</v>
      </c>
      <c r="F66" s="21">
        <f t="shared" si="3"/>
        <v>9978.6030761039547</v>
      </c>
      <c r="G66" s="21">
        <f t="shared" si="0"/>
        <v>5945117.3074288694</v>
      </c>
      <c r="H66" s="22">
        <f t="shared" si="4"/>
        <v>1.0346153846153847E-3</v>
      </c>
      <c r="I66" s="23">
        <v>0</v>
      </c>
      <c r="J66" s="24">
        <f t="shared" si="5"/>
        <v>1.0346153846153847E-3</v>
      </c>
      <c r="K66" s="25">
        <v>0</v>
      </c>
    </row>
    <row r="67" spans="2:11" ht="20" customHeight="1" x14ac:dyDescent="0.2">
      <c r="B67" s="18">
        <f>ROWS(B$10:B67)-1</f>
        <v>57</v>
      </c>
      <c r="C67" s="19">
        <f t="shared" si="1"/>
        <v>2.1923076923076925</v>
      </c>
      <c r="D67" s="20">
        <f>-PMT(J67,COUNT(B67:$B$530),G66)</f>
        <v>16139.836921972563</v>
      </c>
      <c r="E67" s="20">
        <f t="shared" si="2"/>
        <v>6150.9098296090997</v>
      </c>
      <c r="F67" s="21">
        <f t="shared" si="3"/>
        <v>9988.9270923634631</v>
      </c>
      <c r="G67" s="21">
        <f t="shared" si="0"/>
        <v>5935128.3803365063</v>
      </c>
      <c r="H67" s="22">
        <f t="shared" si="4"/>
        <v>1.0346153846153847E-3</v>
      </c>
      <c r="I67" s="23">
        <v>0</v>
      </c>
      <c r="J67" s="24">
        <f t="shared" si="5"/>
        <v>1.0346153846153847E-3</v>
      </c>
      <c r="K67" s="25">
        <v>0</v>
      </c>
    </row>
    <row r="68" spans="2:11" ht="20" customHeight="1" x14ac:dyDescent="0.2">
      <c r="B68" s="18">
        <f>ROWS(B$10:B68)-1</f>
        <v>58</v>
      </c>
      <c r="C68" s="19">
        <f t="shared" si="1"/>
        <v>2.2307692307692308</v>
      </c>
      <c r="D68" s="20">
        <f>-PMT(J68,COUNT(B68:$B$530),G67)</f>
        <v>16139.836921972563</v>
      </c>
      <c r="E68" s="20">
        <f t="shared" si="2"/>
        <v>6140.5751319635401</v>
      </c>
      <c r="F68" s="21">
        <f t="shared" si="3"/>
        <v>9999.2617900090227</v>
      </c>
      <c r="G68" s="21">
        <f t="shared" si="0"/>
        <v>5925129.1185464971</v>
      </c>
      <c r="H68" s="22">
        <f t="shared" si="4"/>
        <v>1.0346153846153847E-3</v>
      </c>
      <c r="I68" s="23">
        <v>0</v>
      </c>
      <c r="J68" s="24">
        <f t="shared" si="5"/>
        <v>1.0346153846153847E-3</v>
      </c>
      <c r="K68" s="25">
        <v>0</v>
      </c>
    </row>
    <row r="69" spans="2:11" ht="20" customHeight="1" x14ac:dyDescent="0.2">
      <c r="B69" s="18">
        <f>ROWS(B$10:B69)-1</f>
        <v>59</v>
      </c>
      <c r="C69" s="19">
        <f t="shared" si="1"/>
        <v>2.2692307692307692</v>
      </c>
      <c r="D69" s="20">
        <f>-PMT(J69,COUNT(B69:$B$530),G68)</f>
        <v>16139.836921972561</v>
      </c>
      <c r="E69" s="20">
        <f t="shared" si="2"/>
        <v>6130.2297418807993</v>
      </c>
      <c r="F69" s="21">
        <f t="shared" si="3"/>
        <v>10009.607180091762</v>
      </c>
      <c r="G69" s="21">
        <f t="shared" si="0"/>
        <v>5915119.5113664055</v>
      </c>
      <c r="H69" s="22">
        <f t="shared" si="4"/>
        <v>1.0346153846153847E-3</v>
      </c>
      <c r="I69" s="23">
        <v>0</v>
      </c>
      <c r="J69" s="24">
        <f t="shared" si="5"/>
        <v>1.0346153846153847E-3</v>
      </c>
      <c r="K69" s="25">
        <v>0</v>
      </c>
    </row>
    <row r="70" spans="2:11" ht="20" customHeight="1" x14ac:dyDescent="0.2">
      <c r="B70" s="18">
        <f>ROWS(B$10:B70)-1</f>
        <v>60</v>
      </c>
      <c r="C70" s="19">
        <f t="shared" si="1"/>
        <v>2.3076923076923075</v>
      </c>
      <c r="D70" s="20">
        <f>-PMT(J70,COUNT(B70:$B$530),G69)</f>
        <v>16139.836921972565</v>
      </c>
      <c r="E70" s="20">
        <f t="shared" si="2"/>
        <v>6119.8736482983204</v>
      </c>
      <c r="F70" s="21">
        <f t="shared" si="3"/>
        <v>10019.963273674244</v>
      </c>
      <c r="G70" s="21">
        <f t="shared" si="0"/>
        <v>5905099.5480927313</v>
      </c>
      <c r="H70" s="22">
        <f t="shared" si="4"/>
        <v>1.0346153846153847E-3</v>
      </c>
      <c r="I70" s="23">
        <v>0</v>
      </c>
      <c r="J70" s="24">
        <f t="shared" si="5"/>
        <v>1.0346153846153847E-3</v>
      </c>
      <c r="K70" s="25">
        <v>0</v>
      </c>
    </row>
    <row r="71" spans="2:11" ht="20" customHeight="1" x14ac:dyDescent="0.2">
      <c r="B71" s="18">
        <f>ROWS(B$10:B71)-1</f>
        <v>61</v>
      </c>
      <c r="C71" s="19">
        <f t="shared" si="1"/>
        <v>2.3461538461538463</v>
      </c>
      <c r="D71" s="20">
        <f>-PMT(J71,COUNT(B71:$B$530),G70)</f>
        <v>16139.836921972563</v>
      </c>
      <c r="E71" s="20">
        <f t="shared" si="2"/>
        <v>6109.5068401420958</v>
      </c>
      <c r="F71" s="21">
        <f t="shared" si="3"/>
        <v>10030.330081830467</v>
      </c>
      <c r="G71" s="21">
        <f t="shared" si="0"/>
        <v>5895069.2180109005</v>
      </c>
      <c r="H71" s="22">
        <f t="shared" si="4"/>
        <v>1.0346153846153847E-3</v>
      </c>
      <c r="I71" s="23">
        <v>0</v>
      </c>
      <c r="J71" s="24">
        <f t="shared" si="5"/>
        <v>1.0346153846153847E-3</v>
      </c>
      <c r="K71" s="25">
        <v>0</v>
      </c>
    </row>
    <row r="72" spans="2:11" ht="20" customHeight="1" x14ac:dyDescent="0.2">
      <c r="B72" s="18">
        <f>ROWS(B$10:B72)-1</f>
        <v>62</v>
      </c>
      <c r="C72" s="19">
        <f t="shared" si="1"/>
        <v>2.3846153846153846</v>
      </c>
      <c r="D72" s="20">
        <f>-PMT(J72,COUNT(B72:$B$530),G71)</f>
        <v>16139.836921972563</v>
      </c>
      <c r="E72" s="20">
        <f t="shared" si="2"/>
        <v>6099.129306326663</v>
      </c>
      <c r="F72" s="21">
        <f t="shared" si="3"/>
        <v>10040.707615645901</v>
      </c>
      <c r="G72" s="21">
        <f t="shared" si="0"/>
        <v>5885028.5103952549</v>
      </c>
      <c r="H72" s="22">
        <f t="shared" si="4"/>
        <v>1.0346153846153847E-3</v>
      </c>
      <c r="I72" s="23">
        <v>0</v>
      </c>
      <c r="J72" s="24">
        <f t="shared" si="5"/>
        <v>1.0346153846153847E-3</v>
      </c>
      <c r="K72" s="25">
        <v>0</v>
      </c>
    </row>
    <row r="73" spans="2:11" ht="20" customHeight="1" x14ac:dyDescent="0.2">
      <c r="B73" s="18">
        <f>ROWS(B$10:B73)-1</f>
        <v>63</v>
      </c>
      <c r="C73" s="19">
        <f t="shared" si="1"/>
        <v>2.4230769230769229</v>
      </c>
      <c r="D73" s="20">
        <f>-PMT(J73,COUNT(B73:$B$530),G72)</f>
        <v>16139.836921972561</v>
      </c>
      <c r="E73" s="20">
        <f t="shared" si="2"/>
        <v>6088.7410357550907</v>
      </c>
      <c r="F73" s="21">
        <f t="shared" si="3"/>
        <v>10051.09588621747</v>
      </c>
      <c r="G73" s="21">
        <f t="shared" si="0"/>
        <v>5874977.4145090375</v>
      </c>
      <c r="H73" s="22">
        <f t="shared" si="4"/>
        <v>1.0346153846153847E-3</v>
      </c>
      <c r="I73" s="23">
        <v>0</v>
      </c>
      <c r="J73" s="24">
        <f t="shared" si="5"/>
        <v>1.0346153846153847E-3</v>
      </c>
      <c r="K73" s="25">
        <v>0</v>
      </c>
    </row>
    <row r="74" spans="2:11" ht="20" customHeight="1" x14ac:dyDescent="0.2">
      <c r="B74" s="18">
        <f>ROWS(B$10:B74)-1</f>
        <v>64</v>
      </c>
      <c r="C74" s="19">
        <f t="shared" si="1"/>
        <v>2.4615384615384617</v>
      </c>
      <c r="D74" s="20">
        <f>-PMT(J74,COUNT(B74:$B$530),G73)</f>
        <v>16139.836921972563</v>
      </c>
      <c r="E74" s="20">
        <f t="shared" si="2"/>
        <v>6078.3420173189661</v>
      </c>
      <c r="F74" s="21">
        <f t="shared" si="3"/>
        <v>10061.494904653597</v>
      </c>
      <c r="G74" s="21">
        <f t="shared" si="0"/>
        <v>5864915.9196043843</v>
      </c>
      <c r="H74" s="22">
        <f t="shared" si="4"/>
        <v>1.0346153846153847E-3</v>
      </c>
      <c r="I74" s="23">
        <v>0</v>
      </c>
      <c r="J74" s="24">
        <f t="shared" si="5"/>
        <v>1.0346153846153847E-3</v>
      </c>
      <c r="K74" s="25">
        <v>0</v>
      </c>
    </row>
    <row r="75" spans="2:11" ht="20" customHeight="1" x14ac:dyDescent="0.2">
      <c r="B75" s="18">
        <f>ROWS(B$10:B75)-1</f>
        <v>65</v>
      </c>
      <c r="C75" s="19">
        <f t="shared" si="1"/>
        <v>2.5</v>
      </c>
      <c r="D75" s="20">
        <f>-PMT(J75,COUNT(B75:$B$530),G74)</f>
        <v>16139.836921972561</v>
      </c>
      <c r="E75" s="20">
        <f t="shared" si="2"/>
        <v>6067.9322398983832</v>
      </c>
      <c r="F75" s="21">
        <f t="shared" si="3"/>
        <v>10071.904682074179</v>
      </c>
      <c r="G75" s="21">
        <f t="shared" ref="G75:G138" si="6">G74-F75-K75</f>
        <v>5854844.0149223106</v>
      </c>
      <c r="H75" s="22">
        <f t="shared" si="4"/>
        <v>1.0346153846153847E-3</v>
      </c>
      <c r="I75" s="23">
        <v>0</v>
      </c>
      <c r="J75" s="24">
        <f t="shared" si="5"/>
        <v>1.0346153846153847E-3</v>
      </c>
      <c r="K75" s="25">
        <v>0</v>
      </c>
    </row>
    <row r="76" spans="2:11" ht="20" customHeight="1" x14ac:dyDescent="0.2">
      <c r="B76" s="18">
        <f>ROWS(B$10:B76)-1</f>
        <v>66</v>
      </c>
      <c r="C76" s="19">
        <f t="shared" ref="C76:C139" si="7">(B76/$G$3)</f>
        <v>2.5384615384615383</v>
      </c>
      <c r="D76" s="20">
        <f>-PMT(J76,COUNT(B76:$B$530),G75)</f>
        <v>16139.836921972565</v>
      </c>
      <c r="E76" s="20">
        <f t="shared" ref="E76:E139" si="8">G75*J76</f>
        <v>6057.5116923619298</v>
      </c>
      <c r="F76" s="21">
        <f t="shared" ref="F76:F139" si="9">D76-E76</f>
        <v>10082.325229610635</v>
      </c>
      <c r="G76" s="21">
        <f t="shared" si="6"/>
        <v>5844761.6896927003</v>
      </c>
      <c r="H76" s="22">
        <f t="shared" ref="H76:H88" si="10">$G$6</f>
        <v>1.0346153846153847E-3</v>
      </c>
      <c r="I76" s="23">
        <v>0</v>
      </c>
      <c r="J76" s="24">
        <f t="shared" ref="J76:J139" si="11">H76+(H76*I76)</f>
        <v>1.0346153846153847E-3</v>
      </c>
      <c r="K76" s="25">
        <v>0</v>
      </c>
    </row>
    <row r="77" spans="2:11" ht="20" customHeight="1" x14ac:dyDescent="0.2">
      <c r="B77" s="18">
        <f>ROWS(B$10:B77)-1</f>
        <v>67</v>
      </c>
      <c r="C77" s="19">
        <f t="shared" si="7"/>
        <v>2.5769230769230771</v>
      </c>
      <c r="D77" s="20">
        <f>-PMT(J77,COUNT(B77:$B$530),G76)</f>
        <v>16139.836921972565</v>
      </c>
      <c r="E77" s="20">
        <f t="shared" si="8"/>
        <v>6047.0803635666789</v>
      </c>
      <c r="F77" s="21">
        <f t="shared" si="9"/>
        <v>10092.756558405887</v>
      </c>
      <c r="G77" s="21">
        <f t="shared" si="6"/>
        <v>5834668.9331342941</v>
      </c>
      <c r="H77" s="22">
        <f t="shared" si="10"/>
        <v>1.0346153846153847E-3</v>
      </c>
      <c r="I77" s="23">
        <v>0</v>
      </c>
      <c r="J77" s="24">
        <f t="shared" si="11"/>
        <v>1.0346153846153847E-3</v>
      </c>
      <c r="K77" s="25">
        <v>0</v>
      </c>
    </row>
    <row r="78" spans="2:11" ht="20" customHeight="1" x14ac:dyDescent="0.2">
      <c r="B78" s="18">
        <f>ROWS(B$10:B78)-1</f>
        <v>68</v>
      </c>
      <c r="C78" s="19">
        <f t="shared" si="7"/>
        <v>2.6153846153846154</v>
      </c>
      <c r="D78" s="20">
        <f>-PMT(J78,COUNT(B78:$B$530),G77)</f>
        <v>16139.836921972565</v>
      </c>
      <c r="E78" s="20">
        <f t="shared" si="8"/>
        <v>6036.6382423581736</v>
      </c>
      <c r="F78" s="21">
        <f t="shared" si="9"/>
        <v>10103.19867961439</v>
      </c>
      <c r="G78" s="21">
        <f t="shared" si="6"/>
        <v>5824565.7344546793</v>
      </c>
      <c r="H78" s="22">
        <f t="shared" si="10"/>
        <v>1.0346153846153847E-3</v>
      </c>
      <c r="I78" s="23">
        <v>0</v>
      </c>
      <c r="J78" s="24">
        <f t="shared" si="11"/>
        <v>1.0346153846153847E-3</v>
      </c>
      <c r="K78" s="25">
        <v>0</v>
      </c>
    </row>
    <row r="79" spans="2:11" ht="20" customHeight="1" x14ac:dyDescent="0.2">
      <c r="B79" s="18">
        <f>ROWS(B$10:B79)-1</f>
        <v>69</v>
      </c>
      <c r="C79" s="19">
        <f t="shared" si="7"/>
        <v>2.6538461538461537</v>
      </c>
      <c r="D79" s="20">
        <f>-PMT(J79,COUNT(B79:$B$530),G78)</f>
        <v>16139.836921972563</v>
      </c>
      <c r="E79" s="20">
        <f t="shared" si="8"/>
        <v>6026.1853175704191</v>
      </c>
      <c r="F79" s="21">
        <f t="shared" si="9"/>
        <v>10113.651604402145</v>
      </c>
      <c r="G79" s="21">
        <f t="shared" si="6"/>
        <v>5814452.0828502774</v>
      </c>
      <c r="H79" s="22">
        <f t="shared" si="10"/>
        <v>1.0346153846153847E-3</v>
      </c>
      <c r="I79" s="23">
        <v>0</v>
      </c>
      <c r="J79" s="24">
        <f t="shared" si="11"/>
        <v>1.0346153846153847E-3</v>
      </c>
      <c r="K79" s="25">
        <v>0</v>
      </c>
    </row>
    <row r="80" spans="2:11" ht="20" customHeight="1" x14ac:dyDescent="0.2">
      <c r="B80" s="18">
        <f>ROWS(B$10:B80)-1</f>
        <v>70</v>
      </c>
      <c r="C80" s="19">
        <f t="shared" si="7"/>
        <v>2.6923076923076925</v>
      </c>
      <c r="D80" s="20">
        <f>-PMT(J80,COUNT(B80:$B$530),G79)</f>
        <v>16139.836921972566</v>
      </c>
      <c r="E80" s="20">
        <f t="shared" si="8"/>
        <v>6015.7215780258648</v>
      </c>
      <c r="F80" s="21">
        <f t="shared" si="9"/>
        <v>10124.115343946702</v>
      </c>
      <c r="G80" s="21">
        <f t="shared" si="6"/>
        <v>5804327.9675063305</v>
      </c>
      <c r="H80" s="22">
        <f t="shared" si="10"/>
        <v>1.0346153846153847E-3</v>
      </c>
      <c r="I80" s="23">
        <v>0</v>
      </c>
      <c r="J80" s="24">
        <f t="shared" si="11"/>
        <v>1.0346153846153847E-3</v>
      </c>
      <c r="K80" s="25">
        <v>0</v>
      </c>
    </row>
    <row r="81" spans="2:11" ht="20" customHeight="1" x14ac:dyDescent="0.2">
      <c r="B81" s="18">
        <f>ROWS(B$10:B81)-1</f>
        <v>71</v>
      </c>
      <c r="C81" s="19">
        <f t="shared" si="7"/>
        <v>2.7307692307692308</v>
      </c>
      <c r="D81" s="20">
        <f>-PMT(J81,COUNT(B81:$B$530),G80)</f>
        <v>16139.836921972565</v>
      </c>
      <c r="E81" s="20">
        <f t="shared" si="8"/>
        <v>6005.2470125353966</v>
      </c>
      <c r="F81" s="21">
        <f t="shared" si="9"/>
        <v>10134.589909437167</v>
      </c>
      <c r="G81" s="21">
        <f t="shared" si="6"/>
        <v>5794193.3775968933</v>
      </c>
      <c r="H81" s="22">
        <f t="shared" si="10"/>
        <v>1.0346153846153847E-3</v>
      </c>
      <c r="I81" s="23">
        <v>0</v>
      </c>
      <c r="J81" s="24">
        <f t="shared" si="11"/>
        <v>1.0346153846153847E-3</v>
      </c>
      <c r="K81" s="25">
        <v>0</v>
      </c>
    </row>
    <row r="82" spans="2:11" ht="20" customHeight="1" x14ac:dyDescent="0.2">
      <c r="B82" s="18">
        <f>ROWS(B$10:B82)-1</f>
        <v>72</v>
      </c>
      <c r="C82" s="19">
        <f t="shared" si="7"/>
        <v>2.7692307692307692</v>
      </c>
      <c r="D82" s="20">
        <f>-PMT(J82,COUNT(B82:$B$530),G81)</f>
        <v>16139.836921972565</v>
      </c>
      <c r="E82" s="20">
        <f t="shared" si="8"/>
        <v>5994.7616098983244</v>
      </c>
      <c r="F82" s="21">
        <f t="shared" si="9"/>
        <v>10145.075312074241</v>
      </c>
      <c r="G82" s="21">
        <f t="shared" si="6"/>
        <v>5784048.3022848191</v>
      </c>
      <c r="H82" s="22">
        <f t="shared" si="10"/>
        <v>1.0346153846153847E-3</v>
      </c>
      <c r="I82" s="23">
        <v>0</v>
      </c>
      <c r="J82" s="24">
        <f t="shared" si="11"/>
        <v>1.0346153846153847E-3</v>
      </c>
      <c r="K82" s="25">
        <v>0</v>
      </c>
    </row>
    <row r="83" spans="2:11" ht="20" customHeight="1" x14ac:dyDescent="0.2">
      <c r="B83" s="18">
        <f>ROWS(B$10:B83)-1</f>
        <v>73</v>
      </c>
      <c r="C83" s="19">
        <f t="shared" si="7"/>
        <v>2.8076923076923075</v>
      </c>
      <c r="D83" s="20">
        <f>-PMT(J83,COUNT(B83:$B$530),G82)</f>
        <v>16139.836921972563</v>
      </c>
      <c r="E83" s="20">
        <f t="shared" si="8"/>
        <v>5984.2653589023712</v>
      </c>
      <c r="F83" s="21">
        <f t="shared" si="9"/>
        <v>10155.571563070192</v>
      </c>
      <c r="G83" s="21">
        <f t="shared" si="6"/>
        <v>5773892.7307217484</v>
      </c>
      <c r="H83" s="22">
        <f t="shared" si="10"/>
        <v>1.0346153846153847E-3</v>
      </c>
      <c r="I83" s="23">
        <v>0</v>
      </c>
      <c r="J83" s="24">
        <f t="shared" si="11"/>
        <v>1.0346153846153847E-3</v>
      </c>
      <c r="K83" s="25">
        <v>0</v>
      </c>
    </row>
    <row r="84" spans="2:11" ht="20" customHeight="1" x14ac:dyDescent="0.2">
      <c r="B84" s="18">
        <f>ROWS(B$10:B84)-1</f>
        <v>74</v>
      </c>
      <c r="C84" s="19">
        <f t="shared" si="7"/>
        <v>2.8461538461538463</v>
      </c>
      <c r="D84" s="20">
        <f>-PMT(J84,COUNT(B84:$B$530),G83)</f>
        <v>16139.836921972563</v>
      </c>
      <c r="E84" s="20">
        <f t="shared" si="8"/>
        <v>5973.7582483236556</v>
      </c>
      <c r="F84" s="21">
        <f t="shared" si="9"/>
        <v>10166.078673648906</v>
      </c>
      <c r="G84" s="21">
        <f t="shared" si="6"/>
        <v>5763726.6520480998</v>
      </c>
      <c r="H84" s="22">
        <f t="shared" si="10"/>
        <v>1.0346153846153847E-3</v>
      </c>
      <c r="I84" s="23">
        <v>0</v>
      </c>
      <c r="J84" s="24">
        <f t="shared" si="11"/>
        <v>1.0346153846153847E-3</v>
      </c>
      <c r="K84" s="25">
        <v>0</v>
      </c>
    </row>
    <row r="85" spans="2:11" ht="20" customHeight="1" x14ac:dyDescent="0.2">
      <c r="B85" s="18">
        <f>ROWS(B$10:B85)-1</f>
        <v>75</v>
      </c>
      <c r="C85" s="19">
        <f t="shared" si="7"/>
        <v>2.8846153846153846</v>
      </c>
      <c r="D85" s="20">
        <f>-PMT(J85,COUNT(B85:$B$530),G84)</f>
        <v>16139.836921972563</v>
      </c>
      <c r="E85" s="20">
        <f t="shared" si="8"/>
        <v>5963.2402669266885</v>
      </c>
      <c r="F85" s="21">
        <f t="shared" si="9"/>
        <v>10176.596655045874</v>
      </c>
      <c r="G85" s="21">
        <f t="shared" si="6"/>
        <v>5753550.0553930542</v>
      </c>
      <c r="H85" s="22">
        <f t="shared" si="10"/>
        <v>1.0346153846153847E-3</v>
      </c>
      <c r="I85" s="23">
        <v>0</v>
      </c>
      <c r="J85" s="24">
        <f t="shared" si="11"/>
        <v>1.0346153846153847E-3</v>
      </c>
      <c r="K85" s="25">
        <v>0</v>
      </c>
    </row>
    <row r="86" spans="2:11" ht="20" customHeight="1" x14ac:dyDescent="0.2">
      <c r="B86" s="18">
        <f>ROWS(B$10:B86)-1</f>
        <v>76</v>
      </c>
      <c r="C86" s="19">
        <f t="shared" si="7"/>
        <v>2.9230769230769229</v>
      </c>
      <c r="D86" s="20">
        <f>-PMT(J86,COUNT(B86:$B$530),G85)</f>
        <v>16139.836921972563</v>
      </c>
      <c r="E86" s="20">
        <f t="shared" si="8"/>
        <v>5952.7114034643528</v>
      </c>
      <c r="F86" s="21">
        <f t="shared" si="9"/>
        <v>10187.12551850821</v>
      </c>
      <c r="G86" s="21">
        <f t="shared" si="6"/>
        <v>5743362.9298745459</v>
      </c>
      <c r="H86" s="22">
        <f t="shared" si="10"/>
        <v>1.0346153846153847E-3</v>
      </c>
      <c r="I86" s="23">
        <v>0</v>
      </c>
      <c r="J86" s="24">
        <f t="shared" si="11"/>
        <v>1.0346153846153847E-3</v>
      </c>
      <c r="K86" s="25">
        <v>0</v>
      </c>
    </row>
    <row r="87" spans="2:11" ht="20" customHeight="1" x14ac:dyDescent="0.2">
      <c r="B87" s="18">
        <f>ROWS(B$10:B87)-1</f>
        <v>77</v>
      </c>
      <c r="C87" s="19">
        <f t="shared" si="7"/>
        <v>2.9615384615384617</v>
      </c>
      <c r="D87" s="20">
        <f>-PMT(J87,COUNT(B87:$B$530),G86)</f>
        <v>16139.836921972566</v>
      </c>
      <c r="E87" s="20">
        <f t="shared" si="8"/>
        <v>5942.1716466778962</v>
      </c>
      <c r="F87" s="21">
        <f t="shared" si="9"/>
        <v>10197.66527529467</v>
      </c>
      <c r="G87" s="21">
        <f t="shared" si="6"/>
        <v>5733165.2645992516</v>
      </c>
      <c r="H87" s="22">
        <f t="shared" si="10"/>
        <v>1.0346153846153847E-3</v>
      </c>
      <c r="I87" s="23">
        <v>0</v>
      </c>
      <c r="J87" s="24">
        <f t="shared" si="11"/>
        <v>1.0346153846153847E-3</v>
      </c>
      <c r="K87" s="25">
        <v>0</v>
      </c>
    </row>
    <row r="88" spans="2:11" ht="20" customHeight="1" x14ac:dyDescent="0.2">
      <c r="B88" s="18">
        <f>ROWS(B$10:B88)-1</f>
        <v>78</v>
      </c>
      <c r="C88" s="19">
        <f t="shared" si="7"/>
        <v>3</v>
      </c>
      <c r="D88" s="20">
        <f>-PMT(J88,COUNT(B88:$B$530),G87)</f>
        <v>16139.836921972565</v>
      </c>
      <c r="E88" s="20">
        <f t="shared" si="8"/>
        <v>5931.6209852969187</v>
      </c>
      <c r="F88" s="21">
        <f t="shared" si="9"/>
        <v>10208.215936675646</v>
      </c>
      <c r="G88" s="21">
        <f t="shared" si="6"/>
        <v>5722957.0486625759</v>
      </c>
      <c r="H88" s="22">
        <f t="shared" si="10"/>
        <v>1.0346153846153847E-3</v>
      </c>
      <c r="I88" s="23">
        <v>0</v>
      </c>
      <c r="J88" s="24">
        <f t="shared" si="11"/>
        <v>1.0346153846153847E-3</v>
      </c>
      <c r="K88" s="25">
        <v>0</v>
      </c>
    </row>
    <row r="89" spans="2:11" ht="20" customHeight="1" x14ac:dyDescent="0.2">
      <c r="B89" s="18">
        <f>ROWS(B$10:B89)-1</f>
        <v>79</v>
      </c>
      <c r="C89" s="19">
        <f t="shared" si="7"/>
        <v>3.0384615384615383</v>
      </c>
      <c r="D89" s="20">
        <f>-PMT(J89,COUNT(B89:$B$530),G88)</f>
        <v>16208.226004221246</v>
      </c>
      <c r="E89" s="20">
        <f t="shared" si="8"/>
        <v>6039.4805962001456</v>
      </c>
      <c r="F89" s="21">
        <f t="shared" si="9"/>
        <v>10168.745408021099</v>
      </c>
      <c r="G89" s="21">
        <f t="shared" si="6"/>
        <v>5712788.303254555</v>
      </c>
      <c r="H89" s="22">
        <f>J88</f>
        <v>1.0346153846153847E-3</v>
      </c>
      <c r="I89" s="23">
        <v>0.02</v>
      </c>
      <c r="J89" s="24">
        <f t="shared" si="11"/>
        <v>1.0553076923076924E-3</v>
      </c>
      <c r="K89" s="25">
        <v>0</v>
      </c>
    </row>
    <row r="90" spans="2:11" ht="20" customHeight="1" x14ac:dyDescent="0.2">
      <c r="B90" s="18">
        <f>ROWS(B$10:B90)-1</f>
        <v>80</v>
      </c>
      <c r="C90" s="19">
        <f t="shared" si="7"/>
        <v>3.0769230769230771</v>
      </c>
      <c r="D90" s="20">
        <f>-PMT(J90,COUNT(B90:$B$530),G89)</f>
        <v>16208.226004221247</v>
      </c>
      <c r="E90" s="20">
        <f t="shared" si="8"/>
        <v>6028.7494409499423</v>
      </c>
      <c r="F90" s="21">
        <f t="shared" si="9"/>
        <v>10179.476563271306</v>
      </c>
      <c r="G90" s="21">
        <f t="shared" si="6"/>
        <v>5702608.8266912838</v>
      </c>
      <c r="H90" s="22">
        <f t="shared" ref="H90:H153" si="12">J89</f>
        <v>1.0553076923076924E-3</v>
      </c>
      <c r="I90" s="23">
        <v>0</v>
      </c>
      <c r="J90" s="24">
        <f t="shared" si="11"/>
        <v>1.0553076923076924E-3</v>
      </c>
      <c r="K90" s="25">
        <v>0</v>
      </c>
    </row>
    <row r="91" spans="2:11" ht="20" customHeight="1" x14ac:dyDescent="0.2">
      <c r="B91" s="18">
        <f>ROWS(B$10:B91)-1</f>
        <v>81</v>
      </c>
      <c r="C91" s="19">
        <f t="shared" si="7"/>
        <v>3.1153846153846154</v>
      </c>
      <c r="D91" s="20">
        <f>-PMT(J91,COUNT(B91:$B$530),G90)</f>
        <v>16208.226004221247</v>
      </c>
      <c r="E91" s="20">
        <f t="shared" si="8"/>
        <v>6018.0069610290566</v>
      </c>
      <c r="F91" s="21">
        <f t="shared" si="9"/>
        <v>10190.219043192192</v>
      </c>
      <c r="G91" s="21">
        <f t="shared" si="6"/>
        <v>5692418.6076480914</v>
      </c>
      <c r="H91" s="22">
        <f t="shared" si="12"/>
        <v>1.0553076923076924E-3</v>
      </c>
      <c r="I91" s="23">
        <v>0</v>
      </c>
      <c r="J91" s="24">
        <f t="shared" si="11"/>
        <v>1.0553076923076924E-3</v>
      </c>
      <c r="K91" s="25">
        <v>0</v>
      </c>
    </row>
    <row r="92" spans="2:11" ht="20" customHeight="1" x14ac:dyDescent="0.2">
      <c r="B92" s="18">
        <f>ROWS(B$10:B92)-1</f>
        <v>82</v>
      </c>
      <c r="C92" s="19">
        <f t="shared" si="7"/>
        <v>3.1538461538461537</v>
      </c>
      <c r="D92" s="20">
        <f>-PMT(J92,COUNT(B92:$B$530),G91)</f>
        <v>16208.226004221242</v>
      </c>
      <c r="E92" s="20">
        <f t="shared" si="8"/>
        <v>6007.2531444864753</v>
      </c>
      <c r="F92" s="21">
        <f t="shared" si="9"/>
        <v>10200.972859734768</v>
      </c>
      <c r="G92" s="21">
        <f t="shared" si="6"/>
        <v>5682217.6347883567</v>
      </c>
      <c r="H92" s="22">
        <f t="shared" si="12"/>
        <v>1.0553076923076924E-3</v>
      </c>
      <c r="I92" s="23">
        <v>0</v>
      </c>
      <c r="J92" s="24">
        <f t="shared" si="11"/>
        <v>1.0553076923076924E-3</v>
      </c>
      <c r="K92" s="25">
        <v>0</v>
      </c>
    </row>
    <row r="93" spans="2:11" ht="20" customHeight="1" x14ac:dyDescent="0.2">
      <c r="B93" s="18">
        <f>ROWS(B$10:B93)-1</f>
        <v>83</v>
      </c>
      <c r="C93" s="19">
        <f t="shared" si="7"/>
        <v>3.1923076923076925</v>
      </c>
      <c r="D93" s="20">
        <f>-PMT(J93,COUNT(B93:$B$530),G92)</f>
        <v>16208.226004221246</v>
      </c>
      <c r="E93" s="20">
        <f t="shared" si="8"/>
        <v>5996.4879793585751</v>
      </c>
      <c r="F93" s="21">
        <f t="shared" si="9"/>
        <v>10211.73802486267</v>
      </c>
      <c r="G93" s="21">
        <f t="shared" si="6"/>
        <v>5672005.8967634942</v>
      </c>
      <c r="H93" s="22">
        <f t="shared" si="12"/>
        <v>1.0553076923076924E-3</v>
      </c>
      <c r="I93" s="23">
        <v>0</v>
      </c>
      <c r="J93" s="24">
        <f t="shared" si="11"/>
        <v>1.0553076923076924E-3</v>
      </c>
      <c r="K93" s="25">
        <v>0</v>
      </c>
    </row>
    <row r="94" spans="2:11" ht="20" customHeight="1" x14ac:dyDescent="0.2">
      <c r="B94" s="18">
        <f>ROWS(B$10:B94)-1</f>
        <v>84</v>
      </c>
      <c r="C94" s="19">
        <f t="shared" si="7"/>
        <v>3.2307692307692308</v>
      </c>
      <c r="D94" s="20">
        <f>-PMT(J94,COUNT(B94:$B$530),G93)</f>
        <v>16208.226004221249</v>
      </c>
      <c r="E94" s="20">
        <f t="shared" si="8"/>
        <v>5985.711453669107</v>
      </c>
      <c r="F94" s="21">
        <f t="shared" si="9"/>
        <v>10222.514550552143</v>
      </c>
      <c r="G94" s="21">
        <f t="shared" si="6"/>
        <v>5661783.3822129425</v>
      </c>
      <c r="H94" s="22">
        <f t="shared" si="12"/>
        <v>1.0553076923076924E-3</v>
      </c>
      <c r="I94" s="23">
        <v>0</v>
      </c>
      <c r="J94" s="24">
        <f t="shared" si="11"/>
        <v>1.0553076923076924E-3</v>
      </c>
      <c r="K94" s="25">
        <v>0</v>
      </c>
    </row>
    <row r="95" spans="2:11" ht="20" customHeight="1" x14ac:dyDescent="0.2">
      <c r="B95" s="18">
        <f>ROWS(B$10:B95)-1</f>
        <v>85</v>
      </c>
      <c r="C95" s="19">
        <f t="shared" si="7"/>
        <v>3.2692307692307692</v>
      </c>
      <c r="D95" s="20">
        <f>-PMT(J95,COUNT(B95:$B$530),G94)</f>
        <v>16208.226004221247</v>
      </c>
      <c r="E95" s="20">
        <f t="shared" si="8"/>
        <v>5974.9235554291818</v>
      </c>
      <c r="F95" s="21">
        <f t="shared" si="9"/>
        <v>10233.302448792067</v>
      </c>
      <c r="G95" s="21">
        <f t="shared" si="6"/>
        <v>5651550.0797641501</v>
      </c>
      <c r="H95" s="22">
        <f t="shared" si="12"/>
        <v>1.0553076923076924E-3</v>
      </c>
      <c r="I95" s="23">
        <v>0</v>
      </c>
      <c r="J95" s="24">
        <f t="shared" si="11"/>
        <v>1.0553076923076924E-3</v>
      </c>
      <c r="K95" s="25">
        <v>0</v>
      </c>
    </row>
    <row r="96" spans="2:11" ht="20" customHeight="1" x14ac:dyDescent="0.2">
      <c r="B96" s="18">
        <f>ROWS(B$10:B96)-1</f>
        <v>86</v>
      </c>
      <c r="C96" s="19">
        <f t="shared" si="7"/>
        <v>3.3076923076923075</v>
      </c>
      <c r="D96" s="20">
        <f>-PMT(J96,COUNT(B96:$B$530),G95)</f>
        <v>16208.226004221246</v>
      </c>
      <c r="E96" s="20">
        <f t="shared" si="8"/>
        <v>5964.1242726372602</v>
      </c>
      <c r="F96" s="21">
        <f t="shared" si="9"/>
        <v>10244.101731583985</v>
      </c>
      <c r="G96" s="21">
        <f t="shared" si="6"/>
        <v>5641305.9780325657</v>
      </c>
      <c r="H96" s="22">
        <f t="shared" si="12"/>
        <v>1.0553076923076924E-3</v>
      </c>
      <c r="I96" s="23">
        <v>0</v>
      </c>
      <c r="J96" s="24">
        <f t="shared" si="11"/>
        <v>1.0553076923076924E-3</v>
      </c>
      <c r="K96" s="25">
        <v>0</v>
      </c>
    </row>
    <row r="97" spans="2:11" ht="20" customHeight="1" x14ac:dyDescent="0.2">
      <c r="B97" s="18">
        <f>ROWS(B$10:B97)-1</f>
        <v>87</v>
      </c>
      <c r="C97" s="19">
        <f t="shared" si="7"/>
        <v>3.3461538461538463</v>
      </c>
      <c r="D97" s="20">
        <f>-PMT(J97,COUNT(B97:$B$530),G96)</f>
        <v>16208.226004221247</v>
      </c>
      <c r="E97" s="20">
        <f t="shared" si="8"/>
        <v>5953.3135932791365</v>
      </c>
      <c r="F97" s="21">
        <f t="shared" si="9"/>
        <v>10254.91241094211</v>
      </c>
      <c r="G97" s="21">
        <f t="shared" si="6"/>
        <v>5631051.0656216238</v>
      </c>
      <c r="H97" s="22">
        <f t="shared" si="12"/>
        <v>1.0553076923076924E-3</v>
      </c>
      <c r="I97" s="23">
        <v>0</v>
      </c>
      <c r="J97" s="24">
        <f t="shared" si="11"/>
        <v>1.0553076923076924E-3</v>
      </c>
      <c r="K97" s="25">
        <v>0</v>
      </c>
    </row>
    <row r="98" spans="2:11" ht="20" customHeight="1" x14ac:dyDescent="0.2">
      <c r="B98" s="18">
        <f>ROWS(B$10:B98)-1</f>
        <v>88</v>
      </c>
      <c r="C98" s="19">
        <f t="shared" si="7"/>
        <v>3.3846153846153846</v>
      </c>
      <c r="D98" s="20">
        <f>-PMT(J98,COUNT(B98:$B$530),G97)</f>
        <v>16208.226004221247</v>
      </c>
      <c r="E98" s="20">
        <f t="shared" si="8"/>
        <v>5942.4915053279283</v>
      </c>
      <c r="F98" s="21">
        <f t="shared" si="9"/>
        <v>10265.734498893318</v>
      </c>
      <c r="G98" s="21">
        <f t="shared" si="6"/>
        <v>5620785.3311227309</v>
      </c>
      <c r="H98" s="22">
        <f t="shared" si="12"/>
        <v>1.0553076923076924E-3</v>
      </c>
      <c r="I98" s="23">
        <v>0</v>
      </c>
      <c r="J98" s="24">
        <f t="shared" si="11"/>
        <v>1.0553076923076924E-3</v>
      </c>
      <c r="K98" s="25">
        <v>0</v>
      </c>
    </row>
    <row r="99" spans="2:11" ht="20" customHeight="1" x14ac:dyDescent="0.2">
      <c r="B99" s="18">
        <f>ROWS(B$10:B99)-1</f>
        <v>89</v>
      </c>
      <c r="C99" s="19">
        <f t="shared" si="7"/>
        <v>3.4230769230769229</v>
      </c>
      <c r="D99" s="20">
        <f>-PMT(J99,COUNT(B99:$B$530),G98)</f>
        <v>16208.226004221246</v>
      </c>
      <c r="E99" s="20">
        <f t="shared" si="8"/>
        <v>5931.6579967440575</v>
      </c>
      <c r="F99" s="21">
        <f t="shared" si="9"/>
        <v>10276.568007477188</v>
      </c>
      <c r="G99" s="21">
        <f t="shared" si="6"/>
        <v>5610508.7631152533</v>
      </c>
      <c r="H99" s="22">
        <f t="shared" si="12"/>
        <v>1.0553076923076924E-3</v>
      </c>
      <c r="I99" s="23">
        <v>0</v>
      </c>
      <c r="J99" s="24">
        <f t="shared" si="11"/>
        <v>1.0553076923076924E-3</v>
      </c>
      <c r="K99" s="25">
        <v>0</v>
      </c>
    </row>
    <row r="100" spans="2:11" ht="20" customHeight="1" x14ac:dyDescent="0.2">
      <c r="B100" s="18">
        <f>ROWS(B$10:B100)-1</f>
        <v>90</v>
      </c>
      <c r="C100" s="19">
        <f t="shared" si="7"/>
        <v>3.4615384615384617</v>
      </c>
      <c r="D100" s="20">
        <f>-PMT(J100,COUNT(B100:$B$530),G99)</f>
        <v>16208.226004221249</v>
      </c>
      <c r="E100" s="20">
        <f t="shared" si="8"/>
        <v>5920.8130554752433</v>
      </c>
      <c r="F100" s="21">
        <f t="shared" si="9"/>
        <v>10287.412948746005</v>
      </c>
      <c r="G100" s="21">
        <f t="shared" si="6"/>
        <v>5600221.3501665071</v>
      </c>
      <c r="H100" s="22">
        <f t="shared" si="12"/>
        <v>1.0553076923076924E-3</v>
      </c>
      <c r="I100" s="23">
        <v>0</v>
      </c>
      <c r="J100" s="24">
        <f t="shared" si="11"/>
        <v>1.0553076923076924E-3</v>
      </c>
      <c r="K100" s="25">
        <v>0</v>
      </c>
    </row>
    <row r="101" spans="2:11" ht="20" customHeight="1" x14ac:dyDescent="0.2">
      <c r="B101" s="18">
        <f>ROWS(B$10:B101)-1</f>
        <v>91</v>
      </c>
      <c r="C101" s="19">
        <f t="shared" si="7"/>
        <v>3.5</v>
      </c>
      <c r="D101" s="20">
        <f>-PMT(J101,COUNT(B101:$B$530),G100)</f>
        <v>16208.226004221246</v>
      </c>
      <c r="E101" s="20">
        <f t="shared" si="8"/>
        <v>5909.9566694564865</v>
      </c>
      <c r="F101" s="21">
        <f t="shared" si="9"/>
        <v>10298.269334764758</v>
      </c>
      <c r="G101" s="21">
        <f t="shared" si="6"/>
        <v>5589923.0808317419</v>
      </c>
      <c r="H101" s="22">
        <f t="shared" si="12"/>
        <v>1.0553076923076924E-3</v>
      </c>
      <c r="I101" s="23">
        <v>0</v>
      </c>
      <c r="J101" s="24">
        <f t="shared" si="11"/>
        <v>1.0553076923076924E-3</v>
      </c>
      <c r="K101" s="25">
        <v>0</v>
      </c>
    </row>
    <row r="102" spans="2:11" ht="20" customHeight="1" x14ac:dyDescent="0.2">
      <c r="B102" s="18">
        <f>ROWS(B$10:B102)-1</f>
        <v>92</v>
      </c>
      <c r="C102" s="19">
        <f t="shared" si="7"/>
        <v>3.5384615384615383</v>
      </c>
      <c r="D102" s="20">
        <f>-PMT(J102,COUNT(B102:$B$530),G101)</f>
        <v>16208.226004221246</v>
      </c>
      <c r="E102" s="20">
        <f t="shared" si="8"/>
        <v>5899.0888266100519</v>
      </c>
      <c r="F102" s="21">
        <f t="shared" si="9"/>
        <v>10309.137177611194</v>
      </c>
      <c r="G102" s="21">
        <f t="shared" si="6"/>
        <v>5579613.9436541311</v>
      </c>
      <c r="H102" s="22">
        <f t="shared" si="12"/>
        <v>1.0553076923076924E-3</v>
      </c>
      <c r="I102" s="23">
        <v>0</v>
      </c>
      <c r="J102" s="24">
        <f t="shared" si="11"/>
        <v>1.0553076923076924E-3</v>
      </c>
      <c r="K102" s="25">
        <v>0</v>
      </c>
    </row>
    <row r="103" spans="2:11" ht="20" customHeight="1" x14ac:dyDescent="0.2">
      <c r="B103" s="18">
        <f>ROWS(B$10:B103)-1</f>
        <v>93</v>
      </c>
      <c r="C103" s="19">
        <f t="shared" si="7"/>
        <v>3.5769230769230771</v>
      </c>
      <c r="D103" s="20">
        <f>-PMT(J103,COUNT(B103:$B$530),G102)</f>
        <v>16208.226004221247</v>
      </c>
      <c r="E103" s="20">
        <f t="shared" si="8"/>
        <v>5888.2095148454637</v>
      </c>
      <c r="F103" s="21">
        <f t="shared" si="9"/>
        <v>10320.016489375783</v>
      </c>
      <c r="G103" s="21">
        <f t="shared" si="6"/>
        <v>5569293.9271647558</v>
      </c>
      <c r="H103" s="22">
        <f t="shared" si="12"/>
        <v>1.0553076923076924E-3</v>
      </c>
      <c r="I103" s="23">
        <v>0</v>
      </c>
      <c r="J103" s="24">
        <f t="shared" si="11"/>
        <v>1.0553076923076924E-3</v>
      </c>
      <c r="K103" s="25">
        <v>0</v>
      </c>
    </row>
    <row r="104" spans="2:11" ht="20" customHeight="1" x14ac:dyDescent="0.2">
      <c r="B104" s="18">
        <f>ROWS(B$10:B104)-1</f>
        <v>94</v>
      </c>
      <c r="C104" s="19">
        <f t="shared" si="7"/>
        <v>3.6153846153846154</v>
      </c>
      <c r="D104" s="20">
        <f>-PMT(J104,COUNT(B104:$B$530),G103)</f>
        <v>16208.226004221247</v>
      </c>
      <c r="E104" s="20">
        <f t="shared" si="8"/>
        <v>5877.3187220594837</v>
      </c>
      <c r="F104" s="21">
        <f t="shared" si="9"/>
        <v>10330.907282161763</v>
      </c>
      <c r="G104" s="21">
        <f t="shared" si="6"/>
        <v>5558963.0198825942</v>
      </c>
      <c r="H104" s="22">
        <f t="shared" si="12"/>
        <v>1.0553076923076924E-3</v>
      </c>
      <c r="I104" s="23">
        <v>0</v>
      </c>
      <c r="J104" s="24">
        <f t="shared" si="11"/>
        <v>1.0553076923076924E-3</v>
      </c>
      <c r="K104" s="25">
        <v>0</v>
      </c>
    </row>
    <row r="105" spans="2:11" ht="20" customHeight="1" x14ac:dyDescent="0.2">
      <c r="B105" s="18">
        <f>ROWS(B$10:B105)-1</f>
        <v>95</v>
      </c>
      <c r="C105" s="19">
        <f t="shared" si="7"/>
        <v>3.6538461538461537</v>
      </c>
      <c r="D105" s="20">
        <f>-PMT(J105,COUNT(B105:$B$530),G104)</f>
        <v>16208.226004221247</v>
      </c>
      <c r="E105" s="20">
        <f t="shared" si="8"/>
        <v>5866.4164361361018</v>
      </c>
      <c r="F105" s="21">
        <f t="shared" si="9"/>
        <v>10341.809568085146</v>
      </c>
      <c r="G105" s="21">
        <f t="shared" si="6"/>
        <v>5548621.2103145095</v>
      </c>
      <c r="H105" s="22">
        <f t="shared" si="12"/>
        <v>1.0553076923076924E-3</v>
      </c>
      <c r="I105" s="23">
        <v>0</v>
      </c>
      <c r="J105" s="24">
        <f t="shared" si="11"/>
        <v>1.0553076923076924E-3</v>
      </c>
      <c r="K105" s="25">
        <v>0</v>
      </c>
    </row>
    <row r="106" spans="2:11" ht="20" customHeight="1" x14ac:dyDescent="0.2">
      <c r="B106" s="18">
        <f>ROWS(B$10:B106)-1</f>
        <v>96</v>
      </c>
      <c r="C106" s="19">
        <f t="shared" si="7"/>
        <v>3.6923076923076925</v>
      </c>
      <c r="D106" s="20">
        <f>-PMT(J106,COUNT(B106:$B$530),G105)</f>
        <v>16208.226004221247</v>
      </c>
      <c r="E106" s="20">
        <f t="shared" si="8"/>
        <v>5855.5026449465204</v>
      </c>
      <c r="F106" s="21">
        <f t="shared" si="9"/>
        <v>10352.723359274727</v>
      </c>
      <c r="G106" s="21">
        <f t="shared" si="6"/>
        <v>5538268.4869552348</v>
      </c>
      <c r="H106" s="22">
        <f t="shared" si="12"/>
        <v>1.0553076923076924E-3</v>
      </c>
      <c r="I106" s="23">
        <v>0</v>
      </c>
      <c r="J106" s="24">
        <f t="shared" si="11"/>
        <v>1.0553076923076924E-3</v>
      </c>
      <c r="K106" s="25">
        <v>0</v>
      </c>
    </row>
    <row r="107" spans="2:11" ht="20" customHeight="1" x14ac:dyDescent="0.2">
      <c r="B107" s="18">
        <f>ROWS(B$10:B107)-1</f>
        <v>97</v>
      </c>
      <c r="C107" s="19">
        <f t="shared" si="7"/>
        <v>3.7307692307692308</v>
      </c>
      <c r="D107" s="20">
        <f>-PMT(J107,COUNT(B107:$B$530),G106)</f>
        <v>16208.226004221249</v>
      </c>
      <c r="E107" s="20">
        <f t="shared" si="8"/>
        <v>5844.5773363491444</v>
      </c>
      <c r="F107" s="21">
        <f t="shared" si="9"/>
        <v>10363.648667872105</v>
      </c>
      <c r="G107" s="21">
        <f t="shared" si="6"/>
        <v>5527904.8382873628</v>
      </c>
      <c r="H107" s="22">
        <f t="shared" si="12"/>
        <v>1.0553076923076924E-3</v>
      </c>
      <c r="I107" s="23">
        <v>0</v>
      </c>
      <c r="J107" s="24">
        <f t="shared" si="11"/>
        <v>1.0553076923076924E-3</v>
      </c>
      <c r="K107" s="25">
        <v>0</v>
      </c>
    </row>
    <row r="108" spans="2:11" ht="20" customHeight="1" x14ac:dyDescent="0.2">
      <c r="B108" s="18">
        <f>ROWS(B$10:B108)-1</f>
        <v>98</v>
      </c>
      <c r="C108" s="19">
        <f t="shared" si="7"/>
        <v>3.7692307692307692</v>
      </c>
      <c r="D108" s="20">
        <f>-PMT(J108,COUNT(B108:$B$530),G107)</f>
        <v>16208.226004221251</v>
      </c>
      <c r="E108" s="20">
        <f t="shared" si="8"/>
        <v>5833.6404981895648</v>
      </c>
      <c r="F108" s="21">
        <f t="shared" si="9"/>
        <v>10374.585506031686</v>
      </c>
      <c r="G108" s="21">
        <f t="shared" si="6"/>
        <v>5517530.2527813315</v>
      </c>
      <c r="H108" s="22">
        <f t="shared" si="12"/>
        <v>1.0553076923076924E-3</v>
      </c>
      <c r="I108" s="23">
        <v>0</v>
      </c>
      <c r="J108" s="24">
        <f t="shared" si="11"/>
        <v>1.0553076923076924E-3</v>
      </c>
      <c r="K108" s="25">
        <v>0</v>
      </c>
    </row>
    <row r="109" spans="2:11" ht="20" customHeight="1" x14ac:dyDescent="0.2">
      <c r="B109" s="18">
        <f>ROWS(B$10:B109)-1</f>
        <v>99</v>
      </c>
      <c r="C109" s="19">
        <f t="shared" si="7"/>
        <v>3.8076923076923075</v>
      </c>
      <c r="D109" s="20">
        <f>-PMT(J109,COUNT(B109:$B$530),G108)</f>
        <v>16208.226004221249</v>
      </c>
      <c r="E109" s="20">
        <f t="shared" si="8"/>
        <v>5822.6921183005461</v>
      </c>
      <c r="F109" s="21">
        <f t="shared" si="9"/>
        <v>10385.533885920704</v>
      </c>
      <c r="G109" s="21">
        <f t="shared" si="6"/>
        <v>5507144.7188954111</v>
      </c>
      <c r="H109" s="22">
        <f t="shared" si="12"/>
        <v>1.0553076923076924E-3</v>
      </c>
      <c r="I109" s="23">
        <v>0</v>
      </c>
      <c r="J109" s="24">
        <f t="shared" si="11"/>
        <v>1.0553076923076924E-3</v>
      </c>
      <c r="K109" s="25">
        <v>0</v>
      </c>
    </row>
    <row r="110" spans="2:11" ht="20" customHeight="1" x14ac:dyDescent="0.2">
      <c r="B110" s="18">
        <f>ROWS(B$10:B110)-1</f>
        <v>100</v>
      </c>
      <c r="C110" s="19">
        <f t="shared" si="7"/>
        <v>3.8461538461538463</v>
      </c>
      <c r="D110" s="20">
        <f>-PMT(J110,COUNT(B110:$B$530),G109)</f>
        <v>16208.226004221253</v>
      </c>
      <c r="E110" s="20">
        <f t="shared" si="8"/>
        <v>5811.7321845020115</v>
      </c>
      <c r="F110" s="21">
        <f t="shared" si="9"/>
        <v>10396.493819719242</v>
      </c>
      <c r="G110" s="21">
        <f t="shared" si="6"/>
        <v>5496748.2250756919</v>
      </c>
      <c r="H110" s="22">
        <f t="shared" si="12"/>
        <v>1.0553076923076924E-3</v>
      </c>
      <c r="I110" s="23">
        <v>0</v>
      </c>
      <c r="J110" s="24">
        <f t="shared" si="11"/>
        <v>1.0553076923076924E-3</v>
      </c>
      <c r="K110" s="25">
        <v>0</v>
      </c>
    </row>
    <row r="111" spans="2:11" ht="20" customHeight="1" x14ac:dyDescent="0.2">
      <c r="B111" s="18">
        <f>ROWS(B$10:B111)-1</f>
        <v>101</v>
      </c>
      <c r="C111" s="19">
        <f t="shared" si="7"/>
        <v>3.8846153846153846</v>
      </c>
      <c r="D111" s="20">
        <f>-PMT(J111,COUNT(B111:$B$530),G110)</f>
        <v>16208.226004221251</v>
      </c>
      <c r="E111" s="20">
        <f t="shared" si="8"/>
        <v>5800.7606846010331</v>
      </c>
      <c r="F111" s="21">
        <f t="shared" si="9"/>
        <v>10407.465319620218</v>
      </c>
      <c r="G111" s="21">
        <f t="shared" si="6"/>
        <v>5486340.7597560715</v>
      </c>
      <c r="H111" s="22">
        <f t="shared" si="12"/>
        <v>1.0553076923076924E-3</v>
      </c>
      <c r="I111" s="23">
        <v>0</v>
      </c>
      <c r="J111" s="24">
        <f t="shared" si="11"/>
        <v>1.0553076923076924E-3</v>
      </c>
      <c r="K111" s="25">
        <v>0</v>
      </c>
    </row>
    <row r="112" spans="2:11" ht="20" customHeight="1" x14ac:dyDescent="0.2">
      <c r="B112" s="18">
        <f>ROWS(B$10:B112)-1</f>
        <v>102</v>
      </c>
      <c r="C112" s="19">
        <f t="shared" si="7"/>
        <v>3.9230769230769229</v>
      </c>
      <c r="D112" s="20">
        <f>-PMT(J112,COUNT(B112:$B$530),G111)</f>
        <v>16208.226004221249</v>
      </c>
      <c r="E112" s="20">
        <f t="shared" si="8"/>
        <v>5789.7776063918118</v>
      </c>
      <c r="F112" s="21">
        <f t="shared" si="9"/>
        <v>10418.448397829437</v>
      </c>
      <c r="G112" s="21">
        <f t="shared" si="6"/>
        <v>5475922.3113582423</v>
      </c>
      <c r="H112" s="22">
        <f t="shared" si="12"/>
        <v>1.0553076923076924E-3</v>
      </c>
      <c r="I112" s="23">
        <v>0</v>
      </c>
      <c r="J112" s="24">
        <f t="shared" si="11"/>
        <v>1.0553076923076924E-3</v>
      </c>
      <c r="K112" s="25">
        <v>0</v>
      </c>
    </row>
    <row r="113" spans="2:11" ht="20" customHeight="1" x14ac:dyDescent="0.2">
      <c r="B113" s="18">
        <f>ROWS(B$10:B113)-1</f>
        <v>103</v>
      </c>
      <c r="C113" s="19">
        <f t="shared" si="7"/>
        <v>3.9615384615384617</v>
      </c>
      <c r="D113" s="20">
        <f>-PMT(J113,COUNT(B113:$B$530),G112)</f>
        <v>16208.226004221251</v>
      </c>
      <c r="E113" s="20">
        <f t="shared" si="8"/>
        <v>5778.782937655672</v>
      </c>
      <c r="F113" s="21">
        <f t="shared" si="9"/>
        <v>10429.443066565578</v>
      </c>
      <c r="G113" s="21">
        <f t="shared" si="6"/>
        <v>5465492.868291677</v>
      </c>
      <c r="H113" s="22">
        <f t="shared" si="12"/>
        <v>1.0553076923076924E-3</v>
      </c>
      <c r="I113" s="23">
        <v>0</v>
      </c>
      <c r="J113" s="24">
        <f t="shared" si="11"/>
        <v>1.0553076923076924E-3</v>
      </c>
      <c r="K113" s="25">
        <v>0</v>
      </c>
    </row>
    <row r="114" spans="2:11" ht="20" customHeight="1" x14ac:dyDescent="0.2">
      <c r="B114" s="18">
        <f>ROWS(B$10:B114)-1</f>
        <v>104</v>
      </c>
      <c r="C114" s="19">
        <f t="shared" si="7"/>
        <v>4</v>
      </c>
      <c r="D114" s="20">
        <f>-PMT(J114,COUNT(B114:$B$530),G113)</f>
        <v>16208.226004221251</v>
      </c>
      <c r="E114" s="20">
        <f t="shared" si="8"/>
        <v>5767.7766661610403</v>
      </c>
      <c r="F114" s="21">
        <f t="shared" si="9"/>
        <v>10440.449338060211</v>
      </c>
      <c r="G114" s="21">
        <f t="shared" si="6"/>
        <v>5455052.4189536171</v>
      </c>
      <c r="H114" s="22">
        <f t="shared" si="12"/>
        <v>1.0553076923076924E-3</v>
      </c>
      <c r="I114" s="23">
        <v>0</v>
      </c>
      <c r="J114" s="24">
        <f t="shared" si="11"/>
        <v>1.0553076923076924E-3</v>
      </c>
      <c r="K114" s="25">
        <v>0</v>
      </c>
    </row>
    <row r="115" spans="2:11" ht="20" customHeight="1" x14ac:dyDescent="0.2">
      <c r="B115" s="18">
        <f>ROWS(B$10:B115)-1</f>
        <v>105</v>
      </c>
      <c r="C115" s="19">
        <f t="shared" si="7"/>
        <v>4.0384615384615383</v>
      </c>
      <c r="D115" s="20">
        <f>-PMT(J115,COUNT(B115:$B$530),G114)</f>
        <v>16208.226004221255</v>
      </c>
      <c r="E115" s="20">
        <f t="shared" si="8"/>
        <v>5756.7587796634371</v>
      </c>
      <c r="F115" s="21">
        <f t="shared" si="9"/>
        <v>10451.467224557819</v>
      </c>
      <c r="G115" s="21">
        <f t="shared" si="6"/>
        <v>5444600.9517290592</v>
      </c>
      <c r="H115" s="22">
        <f t="shared" si="12"/>
        <v>1.0553076923076924E-3</v>
      </c>
      <c r="I115" s="23">
        <v>0</v>
      </c>
      <c r="J115" s="24">
        <f t="shared" si="11"/>
        <v>1.0553076923076924E-3</v>
      </c>
      <c r="K115" s="25">
        <v>0</v>
      </c>
    </row>
    <row r="116" spans="2:11" ht="20" customHeight="1" x14ac:dyDescent="0.2">
      <c r="B116" s="18">
        <f>ROWS(B$10:B116)-1</f>
        <v>106</v>
      </c>
      <c r="C116" s="19">
        <f t="shared" si="7"/>
        <v>4.0769230769230766</v>
      </c>
      <c r="D116" s="20">
        <f>-PMT(J116,COUNT(B116:$B$530),G115)</f>
        <v>16208.226004221255</v>
      </c>
      <c r="E116" s="20">
        <f t="shared" si="8"/>
        <v>5745.7292659054592</v>
      </c>
      <c r="F116" s="21">
        <f t="shared" si="9"/>
        <v>10462.496738315796</v>
      </c>
      <c r="G116" s="21">
        <f t="shared" si="6"/>
        <v>5434138.4549907437</v>
      </c>
      <c r="H116" s="22">
        <f t="shared" si="12"/>
        <v>1.0553076923076924E-3</v>
      </c>
      <c r="I116" s="23">
        <v>0</v>
      </c>
      <c r="J116" s="24">
        <f t="shared" si="11"/>
        <v>1.0553076923076924E-3</v>
      </c>
      <c r="K116" s="25">
        <v>0</v>
      </c>
    </row>
    <row r="117" spans="2:11" ht="20" customHeight="1" x14ac:dyDescent="0.2">
      <c r="B117" s="18">
        <f>ROWS(B$10:B117)-1</f>
        <v>107</v>
      </c>
      <c r="C117" s="19">
        <f t="shared" si="7"/>
        <v>4.115384615384615</v>
      </c>
      <c r="D117" s="20">
        <f>-PMT(J117,COUNT(B117:$B$530),G116)</f>
        <v>16208.226004221251</v>
      </c>
      <c r="E117" s="20">
        <f t="shared" si="8"/>
        <v>5734.6881126167709</v>
      </c>
      <c r="F117" s="21">
        <f t="shared" si="9"/>
        <v>10473.537891604479</v>
      </c>
      <c r="G117" s="21">
        <f t="shared" si="6"/>
        <v>5423664.9170991387</v>
      </c>
      <c r="H117" s="22">
        <f t="shared" si="12"/>
        <v>1.0553076923076924E-3</v>
      </c>
      <c r="I117" s="23">
        <v>0</v>
      </c>
      <c r="J117" s="24">
        <f t="shared" si="11"/>
        <v>1.0553076923076924E-3</v>
      </c>
      <c r="K117" s="25">
        <v>0</v>
      </c>
    </row>
    <row r="118" spans="2:11" ht="20" customHeight="1" x14ac:dyDescent="0.2">
      <c r="B118" s="18">
        <f>ROWS(B$10:B118)-1</f>
        <v>108</v>
      </c>
      <c r="C118" s="19">
        <f t="shared" si="7"/>
        <v>4.1538461538461542</v>
      </c>
      <c r="D118" s="20">
        <f>-PMT(J118,COUNT(B118:$B$530),G117)</f>
        <v>16208.226004221251</v>
      </c>
      <c r="E118" s="20">
        <f t="shared" si="8"/>
        <v>5723.6353075140842</v>
      </c>
      <c r="F118" s="21">
        <f t="shared" si="9"/>
        <v>10484.590696707168</v>
      </c>
      <c r="G118" s="21">
        <f t="shared" si="6"/>
        <v>5413180.3264024314</v>
      </c>
      <c r="H118" s="22">
        <f t="shared" si="12"/>
        <v>1.0553076923076924E-3</v>
      </c>
      <c r="I118" s="23">
        <v>0</v>
      </c>
      <c r="J118" s="24">
        <f t="shared" si="11"/>
        <v>1.0553076923076924E-3</v>
      </c>
      <c r="K118" s="25">
        <v>0</v>
      </c>
    </row>
    <row r="119" spans="2:11" ht="20" customHeight="1" x14ac:dyDescent="0.2">
      <c r="B119" s="18">
        <f>ROWS(B$10:B119)-1</f>
        <v>109</v>
      </c>
      <c r="C119" s="19">
        <f t="shared" si="7"/>
        <v>4.1923076923076925</v>
      </c>
      <c r="D119" s="20">
        <f>-PMT(J119,COUNT(B119:$B$530),G118)</f>
        <v>16208.226004221253</v>
      </c>
      <c r="E119" s="20">
        <f t="shared" si="8"/>
        <v>5712.5708383011506</v>
      </c>
      <c r="F119" s="21">
        <f t="shared" si="9"/>
        <v>10495.655165920103</v>
      </c>
      <c r="G119" s="21">
        <f t="shared" si="6"/>
        <v>5402684.6712365113</v>
      </c>
      <c r="H119" s="22">
        <f t="shared" si="12"/>
        <v>1.0553076923076924E-3</v>
      </c>
      <c r="I119" s="23">
        <v>0</v>
      </c>
      <c r="J119" s="24">
        <f t="shared" si="11"/>
        <v>1.0553076923076924E-3</v>
      </c>
      <c r="K119" s="25">
        <v>0</v>
      </c>
    </row>
    <row r="120" spans="2:11" ht="20" customHeight="1" x14ac:dyDescent="0.2">
      <c r="B120" s="18">
        <f>ROWS(B$10:B120)-1</f>
        <v>110</v>
      </c>
      <c r="C120" s="19">
        <f t="shared" si="7"/>
        <v>4.2307692307692308</v>
      </c>
      <c r="D120" s="20">
        <f>-PMT(J120,COUNT(B120:$B$530),G119)</f>
        <v>16208.226004221253</v>
      </c>
      <c r="E120" s="20">
        <f t="shared" si="8"/>
        <v>5701.4946926687462</v>
      </c>
      <c r="F120" s="21">
        <f t="shared" si="9"/>
        <v>10506.731311552507</v>
      </c>
      <c r="G120" s="21">
        <f t="shared" si="6"/>
        <v>5392177.9399249591</v>
      </c>
      <c r="H120" s="22">
        <f t="shared" si="12"/>
        <v>1.0553076923076924E-3</v>
      </c>
      <c r="I120" s="23">
        <v>0</v>
      </c>
      <c r="J120" s="24">
        <f t="shared" si="11"/>
        <v>1.0553076923076924E-3</v>
      </c>
      <c r="K120" s="25">
        <v>0</v>
      </c>
    </row>
    <row r="121" spans="2:11" ht="20" customHeight="1" x14ac:dyDescent="0.2">
      <c r="B121" s="18">
        <f>ROWS(B$10:B121)-1</f>
        <v>111</v>
      </c>
      <c r="C121" s="19">
        <f t="shared" si="7"/>
        <v>4.2692307692307692</v>
      </c>
      <c r="D121" s="20">
        <f>-PMT(J121,COUNT(B121:$B$530),G120)</f>
        <v>16208.226004221251</v>
      </c>
      <c r="E121" s="20">
        <f t="shared" si="8"/>
        <v>5690.4068582946556</v>
      </c>
      <c r="F121" s="21">
        <f t="shared" si="9"/>
        <v>10517.819145926595</v>
      </c>
      <c r="G121" s="21">
        <f t="shared" si="6"/>
        <v>5381660.1207790328</v>
      </c>
      <c r="H121" s="22">
        <f t="shared" si="12"/>
        <v>1.0553076923076924E-3</v>
      </c>
      <c r="I121" s="23">
        <v>0</v>
      </c>
      <c r="J121" s="24">
        <f t="shared" si="11"/>
        <v>1.0553076923076924E-3</v>
      </c>
      <c r="K121" s="25">
        <v>0</v>
      </c>
    </row>
    <row r="122" spans="2:11" ht="20" customHeight="1" x14ac:dyDescent="0.2">
      <c r="B122" s="18">
        <f>ROWS(B$10:B122)-1</f>
        <v>112</v>
      </c>
      <c r="C122" s="19">
        <f t="shared" si="7"/>
        <v>4.3076923076923075</v>
      </c>
      <c r="D122" s="20">
        <f>-PMT(J122,COUNT(B122:$B$530),G121)</f>
        <v>16208.226004221255</v>
      </c>
      <c r="E122" s="20">
        <f t="shared" si="8"/>
        <v>5679.3073228436588</v>
      </c>
      <c r="F122" s="21">
        <f t="shared" si="9"/>
        <v>10528.918681377596</v>
      </c>
      <c r="G122" s="21">
        <f t="shared" si="6"/>
        <v>5371131.2020976553</v>
      </c>
      <c r="H122" s="22">
        <f t="shared" si="12"/>
        <v>1.0553076923076924E-3</v>
      </c>
      <c r="I122" s="23">
        <v>0</v>
      </c>
      <c r="J122" s="24">
        <f t="shared" si="11"/>
        <v>1.0553076923076924E-3</v>
      </c>
      <c r="K122" s="25">
        <v>0</v>
      </c>
    </row>
    <row r="123" spans="2:11" ht="20" customHeight="1" x14ac:dyDescent="0.2">
      <c r="B123" s="18">
        <f>ROWS(B$10:B123)-1</f>
        <v>113</v>
      </c>
      <c r="C123" s="19">
        <f t="shared" si="7"/>
        <v>4.3461538461538458</v>
      </c>
      <c r="D123" s="20">
        <f>-PMT(J123,COUNT(B123:$B$530),G122)</f>
        <v>16208.226004221253</v>
      </c>
      <c r="E123" s="20">
        <f t="shared" si="8"/>
        <v>5668.1960739675187</v>
      </c>
      <c r="F123" s="21">
        <f t="shared" si="9"/>
        <v>10540.029930253735</v>
      </c>
      <c r="G123" s="21">
        <f t="shared" si="6"/>
        <v>5360591.1721674018</v>
      </c>
      <c r="H123" s="22">
        <f t="shared" si="12"/>
        <v>1.0553076923076924E-3</v>
      </c>
      <c r="I123" s="23">
        <v>0</v>
      </c>
      <c r="J123" s="24">
        <f t="shared" si="11"/>
        <v>1.0553076923076924E-3</v>
      </c>
      <c r="K123" s="25">
        <v>0</v>
      </c>
    </row>
    <row r="124" spans="2:11" ht="20" customHeight="1" x14ac:dyDescent="0.2">
      <c r="B124" s="18">
        <f>ROWS(B$10:B124)-1</f>
        <v>114</v>
      </c>
      <c r="C124" s="19">
        <f t="shared" si="7"/>
        <v>4.384615384615385</v>
      </c>
      <c r="D124" s="20">
        <f>-PMT(J124,COUNT(B124:$B$530),G123)</f>
        <v>16208.226004221255</v>
      </c>
      <c r="E124" s="20">
        <f t="shared" si="8"/>
        <v>5657.0730993049683</v>
      </c>
      <c r="F124" s="21">
        <f t="shared" si="9"/>
        <v>10551.152904916285</v>
      </c>
      <c r="G124" s="21">
        <f t="shared" si="6"/>
        <v>5350040.0192624852</v>
      </c>
      <c r="H124" s="22">
        <f t="shared" si="12"/>
        <v>1.0553076923076924E-3</v>
      </c>
      <c r="I124" s="23">
        <v>0</v>
      </c>
      <c r="J124" s="24">
        <f t="shared" si="11"/>
        <v>1.0553076923076924E-3</v>
      </c>
      <c r="K124" s="25">
        <v>0</v>
      </c>
    </row>
    <row r="125" spans="2:11" ht="20" customHeight="1" x14ac:dyDescent="0.2">
      <c r="B125" s="18">
        <f>ROWS(B$10:B125)-1</f>
        <v>115</v>
      </c>
      <c r="C125" s="19">
        <f t="shared" si="7"/>
        <v>4.4230769230769234</v>
      </c>
      <c r="D125" s="20">
        <f>-PMT(J125,COUNT(B125:$B$530),G124)</f>
        <v>16208.226004221255</v>
      </c>
      <c r="E125" s="20">
        <f t="shared" si="8"/>
        <v>5645.9383864816955</v>
      </c>
      <c r="F125" s="21">
        <f t="shared" si="9"/>
        <v>10562.287617739559</v>
      </c>
      <c r="G125" s="21">
        <f t="shared" si="6"/>
        <v>5339477.7316447459</v>
      </c>
      <c r="H125" s="22">
        <f t="shared" si="12"/>
        <v>1.0553076923076924E-3</v>
      </c>
      <c r="I125" s="23">
        <v>0</v>
      </c>
      <c r="J125" s="24">
        <f t="shared" si="11"/>
        <v>1.0553076923076924E-3</v>
      </c>
      <c r="K125" s="25">
        <v>0</v>
      </c>
    </row>
    <row r="126" spans="2:11" ht="20" customHeight="1" x14ac:dyDescent="0.2">
      <c r="B126" s="18">
        <f>ROWS(B$10:B126)-1</f>
        <v>116</v>
      </c>
      <c r="C126" s="19">
        <f t="shared" si="7"/>
        <v>4.4615384615384617</v>
      </c>
      <c r="D126" s="20">
        <f>-PMT(J126,COUNT(B126:$B$530),G125)</f>
        <v>16208.226004221251</v>
      </c>
      <c r="E126" s="20">
        <f t="shared" si="8"/>
        <v>5634.7919231103288</v>
      </c>
      <c r="F126" s="21">
        <f t="shared" si="9"/>
        <v>10573.434081110921</v>
      </c>
      <c r="G126" s="21">
        <f t="shared" si="6"/>
        <v>5328904.2975636348</v>
      </c>
      <c r="H126" s="22">
        <f t="shared" si="12"/>
        <v>1.0553076923076924E-3</v>
      </c>
      <c r="I126" s="23">
        <v>0</v>
      </c>
      <c r="J126" s="24">
        <f t="shared" si="11"/>
        <v>1.0553076923076924E-3</v>
      </c>
      <c r="K126" s="25">
        <v>0</v>
      </c>
    </row>
    <row r="127" spans="2:11" ht="20" customHeight="1" x14ac:dyDescent="0.2">
      <c r="B127" s="18">
        <f>ROWS(B$10:B127)-1</f>
        <v>117</v>
      </c>
      <c r="C127" s="19">
        <f t="shared" si="7"/>
        <v>4.5</v>
      </c>
      <c r="D127" s="20">
        <f>-PMT(J127,COUNT(B127:$B$530),G126)</f>
        <v>16208.226004221255</v>
      </c>
      <c r="E127" s="20">
        <f t="shared" si="8"/>
        <v>5623.6336967904244</v>
      </c>
      <c r="F127" s="21">
        <f t="shared" si="9"/>
        <v>10584.59230743083</v>
      </c>
      <c r="G127" s="21">
        <f t="shared" si="6"/>
        <v>5318319.7052562041</v>
      </c>
      <c r="H127" s="22">
        <f t="shared" si="12"/>
        <v>1.0553076923076924E-3</v>
      </c>
      <c r="I127" s="23">
        <v>0</v>
      </c>
      <c r="J127" s="24">
        <f t="shared" si="11"/>
        <v>1.0553076923076924E-3</v>
      </c>
      <c r="K127" s="25">
        <v>0</v>
      </c>
    </row>
    <row r="128" spans="2:11" ht="20" customHeight="1" x14ac:dyDescent="0.2">
      <c r="B128" s="18">
        <f>ROWS(B$10:B128)-1</f>
        <v>118</v>
      </c>
      <c r="C128" s="19">
        <f t="shared" si="7"/>
        <v>4.5384615384615383</v>
      </c>
      <c r="D128" s="20">
        <f>-PMT(J128,COUNT(B128:$B$530),G127)</f>
        <v>16208.226004221251</v>
      </c>
      <c r="E128" s="20">
        <f t="shared" si="8"/>
        <v>5612.4636951084512</v>
      </c>
      <c r="F128" s="21">
        <f t="shared" si="9"/>
        <v>10595.762309112801</v>
      </c>
      <c r="G128" s="21">
        <f t="shared" si="6"/>
        <v>5307723.9429470915</v>
      </c>
      <c r="H128" s="22">
        <f t="shared" si="12"/>
        <v>1.0553076923076924E-3</v>
      </c>
      <c r="I128" s="23">
        <v>0</v>
      </c>
      <c r="J128" s="24">
        <f t="shared" si="11"/>
        <v>1.0553076923076924E-3</v>
      </c>
      <c r="K128" s="25">
        <v>0</v>
      </c>
    </row>
    <row r="129" spans="2:11" ht="20" customHeight="1" x14ac:dyDescent="0.2">
      <c r="B129" s="18">
        <f>ROWS(B$10:B129)-1</f>
        <v>119</v>
      </c>
      <c r="C129" s="19">
        <f t="shared" si="7"/>
        <v>4.5769230769230766</v>
      </c>
      <c r="D129" s="20">
        <f>-PMT(J129,COUNT(B129:$B$530),G128)</f>
        <v>16208.226004221255</v>
      </c>
      <c r="E129" s="20">
        <f t="shared" si="8"/>
        <v>5601.2819056377812</v>
      </c>
      <c r="F129" s="21">
        <f t="shared" si="9"/>
        <v>10606.944098583474</v>
      </c>
      <c r="G129" s="21">
        <f t="shared" si="6"/>
        <v>5297116.9988485081</v>
      </c>
      <c r="H129" s="22">
        <f t="shared" si="12"/>
        <v>1.0553076923076924E-3</v>
      </c>
      <c r="I129" s="23">
        <v>0</v>
      </c>
      <c r="J129" s="24">
        <f t="shared" si="11"/>
        <v>1.0553076923076924E-3</v>
      </c>
      <c r="K129" s="25">
        <v>0</v>
      </c>
    </row>
    <row r="130" spans="2:11" ht="20" customHeight="1" x14ac:dyDescent="0.2">
      <c r="B130" s="18">
        <f>ROWS(B$10:B130)-1</f>
        <v>120</v>
      </c>
      <c r="C130" s="19">
        <f t="shared" si="7"/>
        <v>4.615384615384615</v>
      </c>
      <c r="D130" s="20">
        <f>-PMT(J130,COUNT(B130:$B$530),G129)</f>
        <v>16208.226004221257</v>
      </c>
      <c r="E130" s="20">
        <f t="shared" si="8"/>
        <v>5590.0883159386685</v>
      </c>
      <c r="F130" s="21">
        <f t="shared" si="9"/>
        <v>10618.137688282588</v>
      </c>
      <c r="G130" s="21">
        <f t="shared" si="6"/>
        <v>5286498.8611602252</v>
      </c>
      <c r="H130" s="22">
        <f t="shared" si="12"/>
        <v>1.0553076923076924E-3</v>
      </c>
      <c r="I130" s="23">
        <v>0</v>
      </c>
      <c r="J130" s="24">
        <f t="shared" si="11"/>
        <v>1.0553076923076924E-3</v>
      </c>
      <c r="K130" s="25">
        <v>0</v>
      </c>
    </row>
    <row r="131" spans="2:11" ht="20" customHeight="1" x14ac:dyDescent="0.2">
      <c r="B131" s="18">
        <f>ROWS(B$10:B131)-1</f>
        <v>121</v>
      </c>
      <c r="C131" s="19">
        <f t="shared" si="7"/>
        <v>4.6538461538461542</v>
      </c>
      <c r="D131" s="20">
        <f>-PMT(J131,COUNT(B131:$B$530),G130)</f>
        <v>16208.226004221255</v>
      </c>
      <c r="E131" s="20">
        <f t="shared" si="8"/>
        <v>5578.8829135582409</v>
      </c>
      <c r="F131" s="21">
        <f t="shared" si="9"/>
        <v>10629.343090663013</v>
      </c>
      <c r="G131" s="21">
        <f t="shared" si="6"/>
        <v>5275869.5180695625</v>
      </c>
      <c r="H131" s="22">
        <f t="shared" si="12"/>
        <v>1.0553076923076924E-3</v>
      </c>
      <c r="I131" s="23">
        <v>0</v>
      </c>
      <c r="J131" s="24">
        <f t="shared" si="11"/>
        <v>1.0553076923076924E-3</v>
      </c>
      <c r="K131" s="25">
        <v>0</v>
      </c>
    </row>
    <row r="132" spans="2:11" ht="20" customHeight="1" x14ac:dyDescent="0.2">
      <c r="B132" s="18">
        <f>ROWS(B$10:B132)-1</f>
        <v>122</v>
      </c>
      <c r="C132" s="19">
        <f t="shared" si="7"/>
        <v>4.6923076923076925</v>
      </c>
      <c r="D132" s="20">
        <f>-PMT(J132,COUNT(B132:$B$530),G131)</f>
        <v>16208.226004221255</v>
      </c>
      <c r="E132" s="20">
        <f t="shared" si="8"/>
        <v>5567.6656860304874</v>
      </c>
      <c r="F132" s="21">
        <f t="shared" si="9"/>
        <v>10640.560318190768</v>
      </c>
      <c r="G132" s="21">
        <f t="shared" si="6"/>
        <v>5265228.9577513719</v>
      </c>
      <c r="H132" s="22">
        <f t="shared" si="12"/>
        <v>1.0553076923076924E-3</v>
      </c>
      <c r="I132" s="23">
        <v>0</v>
      </c>
      <c r="J132" s="24">
        <f t="shared" si="11"/>
        <v>1.0553076923076924E-3</v>
      </c>
      <c r="K132" s="25">
        <v>0</v>
      </c>
    </row>
    <row r="133" spans="2:11" ht="20" customHeight="1" x14ac:dyDescent="0.2">
      <c r="B133" s="18">
        <f>ROWS(B$10:B133)-1</f>
        <v>123</v>
      </c>
      <c r="C133" s="19">
        <f t="shared" si="7"/>
        <v>4.7307692307692308</v>
      </c>
      <c r="D133" s="20">
        <f>-PMT(J133,COUNT(B133:$B$530),G132)</f>
        <v>16208.226004221258</v>
      </c>
      <c r="E133" s="20">
        <f t="shared" si="8"/>
        <v>5556.4366208762367</v>
      </c>
      <c r="F133" s="21">
        <f t="shared" si="9"/>
        <v>10651.789383345022</v>
      </c>
      <c r="G133" s="21">
        <f t="shared" si="6"/>
        <v>5254577.1683680266</v>
      </c>
      <c r="H133" s="22">
        <f t="shared" si="12"/>
        <v>1.0553076923076924E-3</v>
      </c>
      <c r="I133" s="23">
        <v>0</v>
      </c>
      <c r="J133" s="24">
        <f t="shared" si="11"/>
        <v>1.0553076923076924E-3</v>
      </c>
      <c r="K133" s="25">
        <v>0</v>
      </c>
    </row>
    <row r="134" spans="2:11" ht="20" customHeight="1" x14ac:dyDescent="0.2">
      <c r="B134" s="18">
        <f>ROWS(B$10:B134)-1</f>
        <v>124</v>
      </c>
      <c r="C134" s="19">
        <f t="shared" si="7"/>
        <v>4.7692307692307692</v>
      </c>
      <c r="D134" s="20">
        <f>-PMT(J134,COUNT(B134:$B$530),G133)</f>
        <v>16208.226004221255</v>
      </c>
      <c r="E134" s="20">
        <f t="shared" si="8"/>
        <v>5545.1957056031515</v>
      </c>
      <c r="F134" s="21">
        <f t="shared" si="9"/>
        <v>10663.030298618103</v>
      </c>
      <c r="G134" s="21">
        <f t="shared" si="6"/>
        <v>5243914.1380694089</v>
      </c>
      <c r="H134" s="22">
        <f t="shared" si="12"/>
        <v>1.0553076923076924E-3</v>
      </c>
      <c r="I134" s="23">
        <v>0</v>
      </c>
      <c r="J134" s="24">
        <f t="shared" si="11"/>
        <v>1.0553076923076924E-3</v>
      </c>
      <c r="K134" s="25">
        <v>0</v>
      </c>
    </row>
    <row r="135" spans="2:11" ht="20" customHeight="1" x14ac:dyDescent="0.2">
      <c r="B135" s="18">
        <f>ROWS(B$10:B135)-1</f>
        <v>125</v>
      </c>
      <c r="C135" s="19">
        <f t="shared" si="7"/>
        <v>4.8076923076923075</v>
      </c>
      <c r="D135" s="20">
        <f>-PMT(J135,COUNT(B135:$B$530),G134)</f>
        <v>16208.226004221257</v>
      </c>
      <c r="E135" s="20">
        <f t="shared" si="8"/>
        <v>5533.9429277057097</v>
      </c>
      <c r="F135" s="21">
        <f t="shared" si="9"/>
        <v>10674.283076515547</v>
      </c>
      <c r="G135" s="21">
        <f t="shared" si="6"/>
        <v>5233239.8549928935</v>
      </c>
      <c r="H135" s="22">
        <f t="shared" si="12"/>
        <v>1.0553076923076924E-3</v>
      </c>
      <c r="I135" s="23">
        <v>0</v>
      </c>
      <c r="J135" s="24">
        <f t="shared" si="11"/>
        <v>1.0553076923076924E-3</v>
      </c>
      <c r="K135" s="25">
        <v>0</v>
      </c>
    </row>
    <row r="136" spans="2:11" ht="20" customHeight="1" x14ac:dyDescent="0.2">
      <c r="B136" s="18">
        <f>ROWS(B$10:B136)-1</f>
        <v>126</v>
      </c>
      <c r="C136" s="19">
        <f t="shared" si="7"/>
        <v>4.8461538461538458</v>
      </c>
      <c r="D136" s="20">
        <f>-PMT(J136,COUNT(B136:$B$530),G135)</f>
        <v>16208.226004221255</v>
      </c>
      <c r="E136" s="20">
        <f t="shared" si="8"/>
        <v>5522.6782746651934</v>
      </c>
      <c r="F136" s="21">
        <f t="shared" si="9"/>
        <v>10685.547729556061</v>
      </c>
      <c r="G136" s="21">
        <f t="shared" si="6"/>
        <v>5222554.3072633371</v>
      </c>
      <c r="H136" s="22">
        <f t="shared" si="12"/>
        <v>1.0553076923076924E-3</v>
      </c>
      <c r="I136" s="23">
        <v>0</v>
      </c>
      <c r="J136" s="24">
        <f t="shared" si="11"/>
        <v>1.0553076923076924E-3</v>
      </c>
      <c r="K136" s="25">
        <v>0</v>
      </c>
    </row>
    <row r="137" spans="2:11" ht="20" customHeight="1" x14ac:dyDescent="0.2">
      <c r="B137" s="18">
        <f>ROWS(B$10:B137)-1</f>
        <v>127</v>
      </c>
      <c r="C137" s="19">
        <f t="shared" si="7"/>
        <v>4.884615384615385</v>
      </c>
      <c r="D137" s="20">
        <f>-PMT(J137,COUNT(B137:$B$530),G136)</f>
        <v>16208.226004221253</v>
      </c>
      <c r="E137" s="20">
        <f t="shared" si="8"/>
        <v>5511.4017339496713</v>
      </c>
      <c r="F137" s="21">
        <f t="shared" si="9"/>
        <v>10696.824270271582</v>
      </c>
      <c r="G137" s="21">
        <f t="shared" si="6"/>
        <v>5211857.4829930654</v>
      </c>
      <c r="H137" s="22">
        <f t="shared" si="12"/>
        <v>1.0553076923076924E-3</v>
      </c>
      <c r="I137" s="23">
        <v>0</v>
      </c>
      <c r="J137" s="24">
        <f t="shared" si="11"/>
        <v>1.0553076923076924E-3</v>
      </c>
      <c r="K137" s="25">
        <v>0</v>
      </c>
    </row>
    <row r="138" spans="2:11" ht="20" customHeight="1" x14ac:dyDescent="0.2">
      <c r="B138" s="18">
        <f>ROWS(B$10:B138)-1</f>
        <v>128</v>
      </c>
      <c r="C138" s="19">
        <f t="shared" si="7"/>
        <v>4.9230769230769234</v>
      </c>
      <c r="D138" s="20">
        <f>-PMT(J138,COUNT(B138:$B$530),G137)</f>
        <v>16208.226004221257</v>
      </c>
      <c r="E138" s="20">
        <f t="shared" si="8"/>
        <v>5500.1132930139902</v>
      </c>
      <c r="F138" s="21">
        <f t="shared" si="9"/>
        <v>10708.112711207266</v>
      </c>
      <c r="G138" s="21">
        <f t="shared" si="6"/>
        <v>5201149.3702818584</v>
      </c>
      <c r="H138" s="22">
        <f t="shared" si="12"/>
        <v>1.0553076923076924E-3</v>
      </c>
      <c r="I138" s="23">
        <v>0</v>
      </c>
      <c r="J138" s="24">
        <f t="shared" si="11"/>
        <v>1.0553076923076924E-3</v>
      </c>
      <c r="K138" s="25">
        <v>0</v>
      </c>
    </row>
    <row r="139" spans="2:11" ht="20" customHeight="1" x14ac:dyDescent="0.2">
      <c r="B139" s="18">
        <f>ROWS(B$10:B139)-1</f>
        <v>129</v>
      </c>
      <c r="C139" s="19">
        <f t="shared" si="7"/>
        <v>4.9615384615384617</v>
      </c>
      <c r="D139" s="20">
        <f>-PMT(J139,COUNT(B139:$B$530),G138)</f>
        <v>16208.226004221255</v>
      </c>
      <c r="E139" s="20">
        <f t="shared" si="8"/>
        <v>5488.8129392997553</v>
      </c>
      <c r="F139" s="21">
        <f t="shared" si="9"/>
        <v>10719.4130649215</v>
      </c>
      <c r="G139" s="21">
        <f t="shared" ref="G139:G202" si="13">G138-F139-K139</f>
        <v>5190429.9572169371</v>
      </c>
      <c r="H139" s="22">
        <f t="shared" si="12"/>
        <v>1.0553076923076924E-3</v>
      </c>
      <c r="I139" s="23">
        <v>0</v>
      </c>
      <c r="J139" s="24">
        <f t="shared" si="11"/>
        <v>1.0553076923076924E-3</v>
      </c>
      <c r="K139" s="25">
        <v>0</v>
      </c>
    </row>
    <row r="140" spans="2:11" ht="20" customHeight="1" x14ac:dyDescent="0.2">
      <c r="B140" s="18">
        <f>ROWS(B$10:B140)-1</f>
        <v>130</v>
      </c>
      <c r="C140" s="19">
        <f t="shared" ref="C140:C203" si="14">(B140/$G$3)</f>
        <v>5</v>
      </c>
      <c r="D140" s="20">
        <f>-PMT(J140,COUNT(B140:$B$530),G139)</f>
        <v>16208.226004221255</v>
      </c>
      <c r="E140" s="20">
        <f t="shared" ref="E140:E203" si="15">G139*J140</f>
        <v>5477.5006602353205</v>
      </c>
      <c r="F140" s="21">
        <f t="shared" ref="F140:F203" si="16">D140-E140</f>
        <v>10730.725343985934</v>
      </c>
      <c r="G140" s="21">
        <f t="shared" si="13"/>
        <v>5179699.2318729516</v>
      </c>
      <c r="H140" s="22">
        <f t="shared" si="12"/>
        <v>1.0553076923076924E-3</v>
      </c>
      <c r="I140" s="23">
        <v>0</v>
      </c>
      <c r="J140" s="24">
        <f t="shared" ref="J140:J203" si="17">H140+(H140*I140)</f>
        <v>1.0553076923076924E-3</v>
      </c>
      <c r="K140" s="25">
        <v>0</v>
      </c>
    </row>
    <row r="141" spans="2:11" ht="20" customHeight="1" x14ac:dyDescent="0.2">
      <c r="B141" s="18">
        <f>ROWS(B$10:B141)-1</f>
        <v>131</v>
      </c>
      <c r="C141" s="19">
        <f t="shared" si="14"/>
        <v>5.0384615384615383</v>
      </c>
      <c r="D141" s="20">
        <f>-PMT(J141,COUNT(B141:$B$530),G140)</f>
        <v>16208.226004221258</v>
      </c>
      <c r="E141" s="20">
        <f t="shared" si="15"/>
        <v>5466.1764432357713</v>
      </c>
      <c r="F141" s="21">
        <f t="shared" si="16"/>
        <v>10742.049560985488</v>
      </c>
      <c r="G141" s="21">
        <f t="shared" si="13"/>
        <v>5168957.1823119661</v>
      </c>
      <c r="H141" s="22">
        <f t="shared" si="12"/>
        <v>1.0553076923076924E-3</v>
      </c>
      <c r="I141" s="23">
        <v>0</v>
      </c>
      <c r="J141" s="24">
        <f t="shared" si="17"/>
        <v>1.0553076923076924E-3</v>
      </c>
      <c r="K141" s="25">
        <v>0</v>
      </c>
    </row>
    <row r="142" spans="2:11" ht="20" customHeight="1" x14ac:dyDescent="0.2">
      <c r="B142" s="18">
        <f>ROWS(B$10:B142)-1</f>
        <v>132</v>
      </c>
      <c r="C142" s="19">
        <f t="shared" si="14"/>
        <v>5.0769230769230766</v>
      </c>
      <c r="D142" s="20">
        <f>-PMT(J142,COUNT(B142:$B$530),G141)</f>
        <v>16208.226004221258</v>
      </c>
      <c r="E142" s="20">
        <f t="shared" si="15"/>
        <v>5454.8402757029135</v>
      </c>
      <c r="F142" s="21">
        <f t="shared" si="16"/>
        <v>10753.385728518344</v>
      </c>
      <c r="G142" s="21">
        <f t="shared" si="13"/>
        <v>5158203.7965834476</v>
      </c>
      <c r="H142" s="22">
        <f t="shared" si="12"/>
        <v>1.0553076923076924E-3</v>
      </c>
      <c r="I142" s="23">
        <v>0</v>
      </c>
      <c r="J142" s="24">
        <f t="shared" si="17"/>
        <v>1.0553076923076924E-3</v>
      </c>
      <c r="K142" s="25">
        <v>0</v>
      </c>
    </row>
    <row r="143" spans="2:11" ht="20" customHeight="1" x14ac:dyDescent="0.2">
      <c r="B143" s="18">
        <f>ROWS(B$10:B143)-1</f>
        <v>133</v>
      </c>
      <c r="C143" s="19">
        <f t="shared" si="14"/>
        <v>5.115384615384615</v>
      </c>
      <c r="D143" s="20">
        <f>-PMT(J143,COUNT(B143:$B$530),G142)</f>
        <v>16208.226004221255</v>
      </c>
      <c r="E143" s="20">
        <f t="shared" si="15"/>
        <v>5443.4921450252559</v>
      </c>
      <c r="F143" s="21">
        <f t="shared" si="16"/>
        <v>10764.733859196</v>
      </c>
      <c r="G143" s="21">
        <f t="shared" si="13"/>
        <v>5147439.0627242513</v>
      </c>
      <c r="H143" s="22">
        <f t="shared" si="12"/>
        <v>1.0553076923076924E-3</v>
      </c>
      <c r="I143" s="23">
        <v>0</v>
      </c>
      <c r="J143" s="24">
        <f t="shared" si="17"/>
        <v>1.0553076923076924E-3</v>
      </c>
      <c r="K143" s="25">
        <v>0</v>
      </c>
    </row>
    <row r="144" spans="2:11" ht="20" customHeight="1" x14ac:dyDescent="0.2">
      <c r="B144" s="18">
        <f>ROWS(B$10:B144)-1</f>
        <v>134</v>
      </c>
      <c r="C144" s="19">
        <f t="shared" si="14"/>
        <v>5.1538461538461542</v>
      </c>
      <c r="D144" s="20">
        <f>-PMT(J144,COUNT(B144:$B$530),G143)</f>
        <v>16208.226004221255</v>
      </c>
      <c r="E144" s="20">
        <f t="shared" si="15"/>
        <v>5432.1320385780009</v>
      </c>
      <c r="F144" s="21">
        <f t="shared" si="16"/>
        <v>10776.093965643253</v>
      </c>
      <c r="G144" s="21">
        <f t="shared" si="13"/>
        <v>5136662.9687586082</v>
      </c>
      <c r="H144" s="22">
        <f t="shared" si="12"/>
        <v>1.0553076923076924E-3</v>
      </c>
      <c r="I144" s="23">
        <v>0</v>
      </c>
      <c r="J144" s="24">
        <f t="shared" si="17"/>
        <v>1.0553076923076924E-3</v>
      </c>
      <c r="K144" s="25">
        <v>0</v>
      </c>
    </row>
    <row r="145" spans="2:11" ht="20" customHeight="1" x14ac:dyDescent="0.2">
      <c r="B145" s="18">
        <f>ROWS(B$10:B145)-1</f>
        <v>135</v>
      </c>
      <c r="C145" s="19">
        <f t="shared" si="14"/>
        <v>5.1923076923076925</v>
      </c>
      <c r="D145" s="20">
        <f>-PMT(J145,COUNT(B145:$B$530),G144)</f>
        <v>16208.226004221257</v>
      </c>
      <c r="E145" s="20">
        <f t="shared" si="15"/>
        <v>5420.7599437230274</v>
      </c>
      <c r="F145" s="21">
        <f t="shared" si="16"/>
        <v>10787.466060498229</v>
      </c>
      <c r="G145" s="21">
        <f t="shared" si="13"/>
        <v>5125875.5026981104</v>
      </c>
      <c r="H145" s="22">
        <f t="shared" si="12"/>
        <v>1.0553076923076924E-3</v>
      </c>
      <c r="I145" s="23">
        <v>0</v>
      </c>
      <c r="J145" s="24">
        <f t="shared" si="17"/>
        <v>1.0553076923076924E-3</v>
      </c>
      <c r="K145" s="25">
        <v>0</v>
      </c>
    </row>
    <row r="146" spans="2:11" ht="20" customHeight="1" x14ac:dyDescent="0.2">
      <c r="B146" s="18">
        <f>ROWS(B$10:B146)-1</f>
        <v>136</v>
      </c>
      <c r="C146" s="19">
        <f t="shared" si="14"/>
        <v>5.2307692307692308</v>
      </c>
      <c r="D146" s="20">
        <f>-PMT(J146,COUNT(B146:$B$530),G145)</f>
        <v>16208.226004221257</v>
      </c>
      <c r="E146" s="20">
        <f t="shared" si="15"/>
        <v>5409.3758478088757</v>
      </c>
      <c r="F146" s="21">
        <f t="shared" si="16"/>
        <v>10798.85015641238</v>
      </c>
      <c r="G146" s="21">
        <f t="shared" si="13"/>
        <v>5115076.652541698</v>
      </c>
      <c r="H146" s="22">
        <f t="shared" si="12"/>
        <v>1.0553076923076924E-3</v>
      </c>
      <c r="I146" s="23">
        <v>0</v>
      </c>
      <c r="J146" s="24">
        <f t="shared" si="17"/>
        <v>1.0553076923076924E-3</v>
      </c>
      <c r="K146" s="25">
        <v>0</v>
      </c>
    </row>
    <row r="147" spans="2:11" ht="20" customHeight="1" x14ac:dyDescent="0.2">
      <c r="B147" s="18">
        <f>ROWS(B$10:B147)-1</f>
        <v>137</v>
      </c>
      <c r="C147" s="19">
        <f t="shared" si="14"/>
        <v>5.2692307692307692</v>
      </c>
      <c r="D147" s="20">
        <f>-PMT(J147,COUNT(B147:$B$530),G146)</f>
        <v>16208.22600422126</v>
      </c>
      <c r="E147" s="20">
        <f t="shared" si="15"/>
        <v>5397.9797381707358</v>
      </c>
      <c r="F147" s="21">
        <f t="shared" si="16"/>
        <v>10810.246266050524</v>
      </c>
      <c r="G147" s="21">
        <f t="shared" si="13"/>
        <v>5104266.4062756477</v>
      </c>
      <c r="H147" s="22">
        <f t="shared" si="12"/>
        <v>1.0553076923076924E-3</v>
      </c>
      <c r="I147" s="23">
        <v>0</v>
      </c>
      <c r="J147" s="24">
        <f t="shared" si="17"/>
        <v>1.0553076923076924E-3</v>
      </c>
      <c r="K147" s="25">
        <v>0</v>
      </c>
    </row>
    <row r="148" spans="2:11" ht="20" customHeight="1" x14ac:dyDescent="0.2">
      <c r="B148" s="18">
        <f>ROWS(B$10:B148)-1</f>
        <v>138</v>
      </c>
      <c r="C148" s="19">
        <f t="shared" si="14"/>
        <v>5.3076923076923075</v>
      </c>
      <c r="D148" s="20">
        <f>-PMT(J148,COUNT(B148:$B$530),G147)</f>
        <v>16208.226004221258</v>
      </c>
      <c r="E148" s="20">
        <f t="shared" si="15"/>
        <v>5386.5716021304324</v>
      </c>
      <c r="F148" s="21">
        <f t="shared" si="16"/>
        <v>10821.654402090826</v>
      </c>
      <c r="G148" s="21">
        <f t="shared" si="13"/>
        <v>5093444.7518735565</v>
      </c>
      <c r="H148" s="22">
        <f t="shared" si="12"/>
        <v>1.0553076923076924E-3</v>
      </c>
      <c r="I148" s="23">
        <v>0</v>
      </c>
      <c r="J148" s="24">
        <f t="shared" si="17"/>
        <v>1.0553076923076924E-3</v>
      </c>
      <c r="K148" s="25">
        <v>0</v>
      </c>
    </row>
    <row r="149" spans="2:11" ht="20" customHeight="1" x14ac:dyDescent="0.2">
      <c r="B149" s="18">
        <f>ROWS(B$10:B149)-1</f>
        <v>139</v>
      </c>
      <c r="C149" s="19">
        <f t="shared" si="14"/>
        <v>5.3461538461538458</v>
      </c>
      <c r="D149" s="20">
        <f>-PMT(J149,COUNT(B149:$B$530),G148)</f>
        <v>16208.226004221258</v>
      </c>
      <c r="E149" s="20">
        <f t="shared" si="15"/>
        <v>5375.15142699641</v>
      </c>
      <c r="F149" s="21">
        <f t="shared" si="16"/>
        <v>10833.074577224848</v>
      </c>
      <c r="G149" s="21">
        <f t="shared" si="13"/>
        <v>5082611.6772963321</v>
      </c>
      <c r="H149" s="22">
        <f t="shared" si="12"/>
        <v>1.0553076923076924E-3</v>
      </c>
      <c r="I149" s="23">
        <v>0</v>
      </c>
      <c r="J149" s="24">
        <f t="shared" si="17"/>
        <v>1.0553076923076924E-3</v>
      </c>
      <c r="K149" s="25">
        <v>0</v>
      </c>
    </row>
    <row r="150" spans="2:11" ht="20" customHeight="1" x14ac:dyDescent="0.2">
      <c r="B150" s="18">
        <f>ROWS(B$10:B150)-1</f>
        <v>140</v>
      </c>
      <c r="C150" s="19">
        <f t="shared" si="14"/>
        <v>5.384615384615385</v>
      </c>
      <c r="D150" s="20">
        <f>-PMT(J150,COUNT(B150:$B$530),G149)</f>
        <v>16208.22600422126</v>
      </c>
      <c r="E150" s="20">
        <f t="shared" si="15"/>
        <v>5363.7192000637224</v>
      </c>
      <c r="F150" s="21">
        <f t="shared" si="16"/>
        <v>10844.506804157538</v>
      </c>
      <c r="G150" s="21">
        <f t="shared" si="13"/>
        <v>5071767.1704921741</v>
      </c>
      <c r="H150" s="22">
        <f t="shared" si="12"/>
        <v>1.0553076923076924E-3</v>
      </c>
      <c r="I150" s="23">
        <v>0</v>
      </c>
      <c r="J150" s="24">
        <f t="shared" si="17"/>
        <v>1.0553076923076924E-3</v>
      </c>
      <c r="K150" s="25">
        <v>0</v>
      </c>
    </row>
    <row r="151" spans="2:11" ht="20" customHeight="1" x14ac:dyDescent="0.2">
      <c r="B151" s="18">
        <f>ROWS(B$10:B151)-1</f>
        <v>141</v>
      </c>
      <c r="C151" s="19">
        <f t="shared" si="14"/>
        <v>5.4230769230769234</v>
      </c>
      <c r="D151" s="20">
        <f>-PMT(J151,COUNT(B151:$B$530),G150)</f>
        <v>16208.226004221257</v>
      </c>
      <c r="E151" s="20">
        <f t="shared" si="15"/>
        <v>5352.2749086140111</v>
      </c>
      <c r="F151" s="21">
        <f t="shared" si="16"/>
        <v>10855.951095607244</v>
      </c>
      <c r="G151" s="21">
        <f t="shared" si="13"/>
        <v>5060911.219396567</v>
      </c>
      <c r="H151" s="22">
        <f t="shared" si="12"/>
        <v>1.0553076923076924E-3</v>
      </c>
      <c r="I151" s="23">
        <v>0</v>
      </c>
      <c r="J151" s="24">
        <f t="shared" si="17"/>
        <v>1.0553076923076924E-3</v>
      </c>
      <c r="K151" s="25">
        <v>0</v>
      </c>
    </row>
    <row r="152" spans="2:11" ht="20" customHeight="1" x14ac:dyDescent="0.2">
      <c r="B152" s="18">
        <f>ROWS(B$10:B152)-1</f>
        <v>142</v>
      </c>
      <c r="C152" s="19">
        <f t="shared" si="14"/>
        <v>5.4615384615384617</v>
      </c>
      <c r="D152" s="20">
        <f>-PMT(J152,COUNT(B152:$B$530),G151)</f>
        <v>16208.226004221258</v>
      </c>
      <c r="E152" s="20">
        <f t="shared" si="15"/>
        <v>5340.8185399155009</v>
      </c>
      <c r="F152" s="21">
        <f t="shared" si="16"/>
        <v>10867.407464305757</v>
      </c>
      <c r="G152" s="21">
        <f t="shared" si="13"/>
        <v>5050043.8119322611</v>
      </c>
      <c r="H152" s="22">
        <f t="shared" si="12"/>
        <v>1.0553076923076924E-3</v>
      </c>
      <c r="I152" s="23">
        <v>0</v>
      </c>
      <c r="J152" s="24">
        <f t="shared" si="17"/>
        <v>1.0553076923076924E-3</v>
      </c>
      <c r="K152" s="25">
        <v>0</v>
      </c>
    </row>
    <row r="153" spans="2:11" ht="20" customHeight="1" x14ac:dyDescent="0.2">
      <c r="B153" s="18">
        <f>ROWS(B$10:B153)-1</f>
        <v>143</v>
      </c>
      <c r="C153" s="19">
        <f t="shared" si="14"/>
        <v>5.5</v>
      </c>
      <c r="D153" s="20">
        <f>-PMT(J153,COUNT(B153:$B$530),G152)</f>
        <v>16208.226004221257</v>
      </c>
      <c r="E153" s="20">
        <f t="shared" si="15"/>
        <v>5329.3500812229768</v>
      </c>
      <c r="F153" s="21">
        <f t="shared" si="16"/>
        <v>10878.875922998279</v>
      </c>
      <c r="G153" s="21">
        <f t="shared" si="13"/>
        <v>5039164.9360092627</v>
      </c>
      <c r="H153" s="22">
        <f t="shared" si="12"/>
        <v>1.0553076923076924E-3</v>
      </c>
      <c r="I153" s="23">
        <v>0</v>
      </c>
      <c r="J153" s="24">
        <f t="shared" si="17"/>
        <v>1.0553076923076924E-3</v>
      </c>
      <c r="K153" s="25">
        <v>0</v>
      </c>
    </row>
    <row r="154" spans="2:11" ht="20" customHeight="1" x14ac:dyDescent="0.2">
      <c r="B154" s="18">
        <f>ROWS(B$10:B154)-1</f>
        <v>144</v>
      </c>
      <c r="C154" s="19">
        <f t="shared" si="14"/>
        <v>5.5384615384615383</v>
      </c>
      <c r="D154" s="20">
        <f>-PMT(J154,COUNT(B154:$B$530),G153)</f>
        <v>16208.226004221257</v>
      </c>
      <c r="E154" s="20">
        <f t="shared" si="15"/>
        <v>5317.8695197777752</v>
      </c>
      <c r="F154" s="21">
        <f t="shared" si="16"/>
        <v>10890.35648444348</v>
      </c>
      <c r="G154" s="21">
        <f t="shared" si="13"/>
        <v>5028274.5795248188</v>
      </c>
      <c r="H154" s="22">
        <f t="shared" ref="H154:H166" si="18">J153</f>
        <v>1.0553076923076924E-3</v>
      </c>
      <c r="I154" s="23">
        <v>0</v>
      </c>
      <c r="J154" s="24">
        <f t="shared" si="17"/>
        <v>1.0553076923076924E-3</v>
      </c>
      <c r="K154" s="25">
        <v>0</v>
      </c>
    </row>
    <row r="155" spans="2:11" ht="20" customHeight="1" x14ac:dyDescent="0.2">
      <c r="B155" s="18">
        <f>ROWS(B$10:B155)-1</f>
        <v>145</v>
      </c>
      <c r="C155" s="19">
        <f t="shared" si="14"/>
        <v>5.5769230769230766</v>
      </c>
      <c r="D155" s="20">
        <f>-PMT(J155,COUNT(B155:$B$530),G154)</f>
        <v>16208.226004221257</v>
      </c>
      <c r="E155" s="20">
        <f t="shared" si="15"/>
        <v>5306.3768428077692</v>
      </c>
      <c r="F155" s="21">
        <f t="shared" si="16"/>
        <v>10901.849161413487</v>
      </c>
      <c r="G155" s="21">
        <f t="shared" si="13"/>
        <v>5017372.7303634053</v>
      </c>
      <c r="H155" s="22">
        <f t="shared" si="18"/>
        <v>1.0553076923076924E-3</v>
      </c>
      <c r="I155" s="23">
        <v>0</v>
      </c>
      <c r="J155" s="24">
        <f t="shared" si="17"/>
        <v>1.0553076923076924E-3</v>
      </c>
      <c r="K155" s="25">
        <v>0</v>
      </c>
    </row>
    <row r="156" spans="2:11" ht="20" customHeight="1" x14ac:dyDescent="0.2">
      <c r="B156" s="18">
        <f>ROWS(B$10:B156)-1</f>
        <v>146</v>
      </c>
      <c r="C156" s="19">
        <f t="shared" si="14"/>
        <v>5.615384615384615</v>
      </c>
      <c r="D156" s="20">
        <f>-PMT(J156,COUNT(B156:$B$530),G155)</f>
        <v>16208.226004221255</v>
      </c>
      <c r="E156" s="20">
        <f t="shared" si="15"/>
        <v>5294.8720375273515</v>
      </c>
      <c r="F156" s="21">
        <f t="shared" si="16"/>
        <v>10913.353966693903</v>
      </c>
      <c r="G156" s="21">
        <f t="shared" si="13"/>
        <v>5006459.376396711</v>
      </c>
      <c r="H156" s="22">
        <f t="shared" si="18"/>
        <v>1.0553076923076924E-3</v>
      </c>
      <c r="I156" s="23">
        <v>0</v>
      </c>
      <c r="J156" s="24">
        <f t="shared" si="17"/>
        <v>1.0553076923076924E-3</v>
      </c>
      <c r="K156" s="25">
        <v>0</v>
      </c>
    </row>
    <row r="157" spans="2:11" ht="20" customHeight="1" x14ac:dyDescent="0.2">
      <c r="B157" s="18">
        <f>ROWS(B$10:B157)-1</f>
        <v>147</v>
      </c>
      <c r="C157" s="19">
        <f t="shared" si="14"/>
        <v>5.6538461538461542</v>
      </c>
      <c r="D157" s="20">
        <f>-PMT(J157,COUNT(B157:$B$530),G156)</f>
        <v>16208.226004221257</v>
      </c>
      <c r="E157" s="20">
        <f t="shared" si="15"/>
        <v>5283.3550911374223</v>
      </c>
      <c r="F157" s="21">
        <f t="shared" si="16"/>
        <v>10924.870913083834</v>
      </c>
      <c r="G157" s="21">
        <f t="shared" si="13"/>
        <v>4995534.5054836273</v>
      </c>
      <c r="H157" s="22">
        <f t="shared" si="18"/>
        <v>1.0553076923076924E-3</v>
      </c>
      <c r="I157" s="23">
        <v>0</v>
      </c>
      <c r="J157" s="24">
        <f t="shared" si="17"/>
        <v>1.0553076923076924E-3</v>
      </c>
      <c r="K157" s="25">
        <v>0</v>
      </c>
    </row>
    <row r="158" spans="2:11" ht="20" customHeight="1" x14ac:dyDescent="0.2">
      <c r="B158" s="18">
        <f>ROWS(B$10:B158)-1</f>
        <v>148</v>
      </c>
      <c r="C158" s="19">
        <f t="shared" si="14"/>
        <v>5.6923076923076925</v>
      </c>
      <c r="D158" s="20">
        <f>-PMT(J158,COUNT(B158:$B$530),G157)</f>
        <v>16208.226004221255</v>
      </c>
      <c r="E158" s="20">
        <f t="shared" si="15"/>
        <v>5271.8259908253758</v>
      </c>
      <c r="F158" s="21">
        <f t="shared" si="16"/>
        <v>10936.40001339588</v>
      </c>
      <c r="G158" s="21">
        <f t="shared" si="13"/>
        <v>4984598.1054702317</v>
      </c>
      <c r="H158" s="22">
        <f t="shared" si="18"/>
        <v>1.0553076923076924E-3</v>
      </c>
      <c r="I158" s="23">
        <v>0</v>
      </c>
      <c r="J158" s="24">
        <f t="shared" si="17"/>
        <v>1.0553076923076924E-3</v>
      </c>
      <c r="K158" s="25">
        <v>0</v>
      </c>
    </row>
    <row r="159" spans="2:11" ht="20" customHeight="1" x14ac:dyDescent="0.2">
      <c r="B159" s="18">
        <f>ROWS(B$10:B159)-1</f>
        <v>149</v>
      </c>
      <c r="C159" s="19">
        <f t="shared" si="14"/>
        <v>5.7307692307692308</v>
      </c>
      <c r="D159" s="20">
        <f>-PMT(J159,COUNT(B159:$B$530),G158)</f>
        <v>16208.226004221258</v>
      </c>
      <c r="E159" s="20">
        <f t="shared" si="15"/>
        <v>5260.2847237650858</v>
      </c>
      <c r="F159" s="21">
        <f t="shared" si="16"/>
        <v>10947.941280456173</v>
      </c>
      <c r="G159" s="21">
        <f t="shared" si="13"/>
        <v>4973650.1641897755</v>
      </c>
      <c r="H159" s="22">
        <f t="shared" si="18"/>
        <v>1.0553076923076924E-3</v>
      </c>
      <c r="I159" s="23">
        <v>0</v>
      </c>
      <c r="J159" s="24">
        <f t="shared" si="17"/>
        <v>1.0553076923076924E-3</v>
      </c>
      <c r="K159" s="25">
        <v>0</v>
      </c>
    </row>
    <row r="160" spans="2:11" ht="20" customHeight="1" x14ac:dyDescent="0.2">
      <c r="B160" s="18">
        <f>ROWS(B$10:B160)-1</f>
        <v>150</v>
      </c>
      <c r="C160" s="19">
        <f t="shared" si="14"/>
        <v>5.7692307692307692</v>
      </c>
      <c r="D160" s="20">
        <f>-PMT(J160,COUNT(B160:$B$530),G159)</f>
        <v>16208.226004221257</v>
      </c>
      <c r="E160" s="20">
        <f t="shared" si="15"/>
        <v>5248.7312771168872</v>
      </c>
      <c r="F160" s="21">
        <f t="shared" si="16"/>
        <v>10959.494727104369</v>
      </c>
      <c r="G160" s="21">
        <f t="shared" si="13"/>
        <v>4962690.6694626715</v>
      </c>
      <c r="H160" s="22">
        <f t="shared" si="18"/>
        <v>1.0553076923076924E-3</v>
      </c>
      <c r="I160" s="23">
        <v>0</v>
      </c>
      <c r="J160" s="24">
        <f t="shared" si="17"/>
        <v>1.0553076923076924E-3</v>
      </c>
      <c r="K160" s="25">
        <v>0</v>
      </c>
    </row>
    <row r="161" spans="2:11" ht="20" customHeight="1" x14ac:dyDescent="0.2">
      <c r="B161" s="18">
        <f>ROWS(B$10:B161)-1</f>
        <v>151</v>
      </c>
      <c r="C161" s="19">
        <f t="shared" si="14"/>
        <v>5.8076923076923075</v>
      </c>
      <c r="D161" s="20">
        <f>-PMT(J161,COUNT(B161:$B$530),G160)</f>
        <v>16208.226004221255</v>
      </c>
      <c r="E161" s="20">
        <f t="shared" si="15"/>
        <v>5237.165638027569</v>
      </c>
      <c r="F161" s="21">
        <f t="shared" si="16"/>
        <v>10971.060366193686</v>
      </c>
      <c r="G161" s="21">
        <f t="shared" si="13"/>
        <v>4951719.6090964777</v>
      </c>
      <c r="H161" s="22">
        <f t="shared" si="18"/>
        <v>1.0553076923076924E-3</v>
      </c>
      <c r="I161" s="23">
        <v>0</v>
      </c>
      <c r="J161" s="24">
        <f t="shared" si="17"/>
        <v>1.0553076923076924E-3</v>
      </c>
      <c r="K161" s="25">
        <v>0</v>
      </c>
    </row>
    <row r="162" spans="2:11" ht="20" customHeight="1" x14ac:dyDescent="0.2">
      <c r="B162" s="18">
        <f>ROWS(B$10:B162)-1</f>
        <v>152</v>
      </c>
      <c r="C162" s="19">
        <f t="shared" si="14"/>
        <v>5.8461538461538458</v>
      </c>
      <c r="D162" s="20">
        <f>-PMT(J162,COUNT(B162:$B$530),G161)</f>
        <v>16208.226004221258</v>
      </c>
      <c r="E162" s="20">
        <f t="shared" si="15"/>
        <v>5225.5877936303523</v>
      </c>
      <c r="F162" s="21">
        <f t="shared" si="16"/>
        <v>10982.638210590907</v>
      </c>
      <c r="G162" s="21">
        <f t="shared" si="13"/>
        <v>4940736.9708858868</v>
      </c>
      <c r="H162" s="22">
        <f t="shared" si="18"/>
        <v>1.0553076923076924E-3</v>
      </c>
      <c r="I162" s="23">
        <v>0</v>
      </c>
      <c r="J162" s="24">
        <f t="shared" si="17"/>
        <v>1.0553076923076924E-3</v>
      </c>
      <c r="K162" s="25">
        <v>0</v>
      </c>
    </row>
    <row r="163" spans="2:11" ht="20" customHeight="1" x14ac:dyDescent="0.2">
      <c r="B163" s="18">
        <f>ROWS(B$10:B163)-1</f>
        <v>153</v>
      </c>
      <c r="C163" s="19">
        <f t="shared" si="14"/>
        <v>5.884615384615385</v>
      </c>
      <c r="D163" s="20">
        <f>-PMT(J163,COUNT(B163:$B$530),G162)</f>
        <v>16208.226004221258</v>
      </c>
      <c r="E163" s="20">
        <f t="shared" si="15"/>
        <v>5213.9977310448839</v>
      </c>
      <c r="F163" s="21">
        <f t="shared" si="16"/>
        <v>10994.228273176373</v>
      </c>
      <c r="G163" s="21">
        <f t="shared" si="13"/>
        <v>4929742.7426127102</v>
      </c>
      <c r="H163" s="22">
        <f t="shared" si="18"/>
        <v>1.0553076923076924E-3</v>
      </c>
      <c r="I163" s="23">
        <v>0</v>
      </c>
      <c r="J163" s="24">
        <f t="shared" si="17"/>
        <v>1.0553076923076924E-3</v>
      </c>
      <c r="K163" s="25">
        <v>0</v>
      </c>
    </row>
    <row r="164" spans="2:11" ht="20" customHeight="1" x14ac:dyDescent="0.2">
      <c r="B164" s="18">
        <f>ROWS(B$10:B164)-1</f>
        <v>154</v>
      </c>
      <c r="C164" s="19">
        <f t="shared" si="14"/>
        <v>5.9230769230769234</v>
      </c>
      <c r="D164" s="20">
        <f>-PMT(J164,COUNT(B164:$B$530),G163)</f>
        <v>16208.226004221257</v>
      </c>
      <c r="E164" s="20">
        <f t="shared" si="15"/>
        <v>5202.395437377214</v>
      </c>
      <c r="F164" s="21">
        <f t="shared" si="16"/>
        <v>11005.830566844043</v>
      </c>
      <c r="G164" s="21">
        <f t="shared" si="13"/>
        <v>4918736.9120458663</v>
      </c>
      <c r="H164" s="22">
        <f t="shared" si="18"/>
        <v>1.0553076923076924E-3</v>
      </c>
      <c r="I164" s="23">
        <v>0</v>
      </c>
      <c r="J164" s="24">
        <f t="shared" si="17"/>
        <v>1.0553076923076924E-3</v>
      </c>
      <c r="K164" s="25">
        <v>0</v>
      </c>
    </row>
    <row r="165" spans="2:11" ht="20" customHeight="1" x14ac:dyDescent="0.2">
      <c r="B165" s="18">
        <f>ROWS(B$10:B165)-1</f>
        <v>155</v>
      </c>
      <c r="C165" s="19">
        <f t="shared" si="14"/>
        <v>5.9615384615384617</v>
      </c>
      <c r="D165" s="20">
        <f>-PMT(J165,COUNT(B165:$B$530),G164)</f>
        <v>16208.226004221257</v>
      </c>
      <c r="E165" s="20">
        <f t="shared" si="15"/>
        <v>5190.7808997197881</v>
      </c>
      <c r="F165" s="21">
        <f t="shared" si="16"/>
        <v>11017.445104501468</v>
      </c>
      <c r="G165" s="21">
        <f t="shared" si="13"/>
        <v>4907719.466941365</v>
      </c>
      <c r="H165" s="22">
        <f t="shared" si="18"/>
        <v>1.0553076923076924E-3</v>
      </c>
      <c r="I165" s="23">
        <v>0</v>
      </c>
      <c r="J165" s="24">
        <f t="shared" si="17"/>
        <v>1.0553076923076924E-3</v>
      </c>
      <c r="K165" s="25">
        <v>0</v>
      </c>
    </row>
    <row r="166" spans="2:11" ht="20" customHeight="1" x14ac:dyDescent="0.2">
      <c r="B166" s="18">
        <f>ROWS(B$10:B166)-1</f>
        <v>156</v>
      </c>
      <c r="C166" s="19">
        <f t="shared" si="14"/>
        <v>6</v>
      </c>
      <c r="D166" s="20">
        <f>-PMT(J166,COUNT(B166:$B$530),G165)</f>
        <v>16208.226004221258</v>
      </c>
      <c r="E166" s="20">
        <f t="shared" si="15"/>
        <v>5179.1541051514305</v>
      </c>
      <c r="F166" s="21">
        <f t="shared" si="16"/>
        <v>11029.071899069828</v>
      </c>
      <c r="G166" s="21">
        <f t="shared" si="13"/>
        <v>4896690.3950422956</v>
      </c>
      <c r="H166" s="22">
        <f t="shared" si="18"/>
        <v>1.0553076923076924E-3</v>
      </c>
      <c r="I166" s="23">
        <v>0</v>
      </c>
      <c r="J166" s="24">
        <f t="shared" si="17"/>
        <v>1.0553076923076924E-3</v>
      </c>
      <c r="K166" s="25">
        <v>0</v>
      </c>
    </row>
    <row r="167" spans="2:11" ht="20" customHeight="1" x14ac:dyDescent="0.2">
      <c r="B167" s="18">
        <f>ROWS(B$10:B167)-1</f>
        <v>157</v>
      </c>
      <c r="C167" s="19">
        <f t="shared" si="14"/>
        <v>6.0384615384615383</v>
      </c>
      <c r="D167" s="20">
        <f>-PMT(J167,COUNT(B167:$B$530),G166)</f>
        <v>16237.440384576985</v>
      </c>
      <c r="E167" s="20">
        <f t="shared" si="15"/>
        <v>5219.1901911447012</v>
      </c>
      <c r="F167" s="21">
        <f t="shared" si="16"/>
        <v>11018.250193432283</v>
      </c>
      <c r="G167" s="21">
        <f t="shared" si="13"/>
        <v>4885672.1448488636</v>
      </c>
      <c r="H167" s="22">
        <f>J166</f>
        <v>1.0553076923076924E-3</v>
      </c>
      <c r="I167" s="23">
        <v>0.01</v>
      </c>
      <c r="J167" s="24">
        <f t="shared" si="17"/>
        <v>1.0658607692307694E-3</v>
      </c>
      <c r="K167" s="25">
        <v>0</v>
      </c>
    </row>
    <row r="168" spans="2:11" ht="20" customHeight="1" x14ac:dyDescent="0.2">
      <c r="B168" s="18">
        <f>ROWS(B$10:B168)-1</f>
        <v>158</v>
      </c>
      <c r="C168" s="19">
        <f t="shared" si="14"/>
        <v>6.0769230769230766</v>
      </c>
      <c r="D168" s="20">
        <f>-PMT(J168,COUNT(B168:$B$530),G167)</f>
        <v>16237.440384576985</v>
      </c>
      <c r="E168" s="20">
        <f t="shared" si="15"/>
        <v>5207.4462705179531</v>
      </c>
      <c r="F168" s="21">
        <f t="shared" si="16"/>
        <v>11029.994114059031</v>
      </c>
      <c r="G168" s="21">
        <f t="shared" si="13"/>
        <v>4874642.1507348046</v>
      </c>
      <c r="H168" s="22">
        <f t="shared" ref="H168:H231" si="19">J167</f>
        <v>1.0658607692307694E-3</v>
      </c>
      <c r="I168" s="23">
        <v>0</v>
      </c>
      <c r="J168" s="24">
        <f t="shared" si="17"/>
        <v>1.0658607692307694E-3</v>
      </c>
      <c r="K168" s="25">
        <v>0</v>
      </c>
    </row>
    <row r="169" spans="2:11" ht="20" customHeight="1" x14ac:dyDescent="0.2">
      <c r="B169" s="18">
        <f>ROWS(B$10:B169)-1</f>
        <v>159</v>
      </c>
      <c r="C169" s="19">
        <f t="shared" si="14"/>
        <v>6.115384615384615</v>
      </c>
      <c r="D169" s="20">
        <f>-PMT(J169,COUNT(B169:$B$530),G168)</f>
        <v>16237.440384576985</v>
      </c>
      <c r="E169" s="20">
        <f t="shared" si="15"/>
        <v>5195.6898325069315</v>
      </c>
      <c r="F169" s="21">
        <f t="shared" si="16"/>
        <v>11041.750552070054</v>
      </c>
      <c r="G169" s="21">
        <f t="shared" si="13"/>
        <v>4863600.4001827342</v>
      </c>
      <c r="H169" s="22">
        <f t="shared" si="19"/>
        <v>1.0658607692307694E-3</v>
      </c>
      <c r="I169" s="23">
        <v>0</v>
      </c>
      <c r="J169" s="24">
        <f t="shared" si="17"/>
        <v>1.0658607692307694E-3</v>
      </c>
      <c r="K169" s="25">
        <v>0</v>
      </c>
    </row>
    <row r="170" spans="2:11" ht="20" customHeight="1" x14ac:dyDescent="0.2">
      <c r="B170" s="18">
        <f>ROWS(B$10:B170)-1</f>
        <v>160</v>
      </c>
      <c r="C170" s="19">
        <f t="shared" si="14"/>
        <v>6.1538461538461542</v>
      </c>
      <c r="D170" s="20">
        <f>-PMT(J170,COUNT(B170:$B$530),G169)</f>
        <v>16237.440384576983</v>
      </c>
      <c r="E170" s="20">
        <f t="shared" si="15"/>
        <v>5183.9208637698475</v>
      </c>
      <c r="F170" s="21">
        <f t="shared" si="16"/>
        <v>11053.519520807135</v>
      </c>
      <c r="G170" s="21">
        <f t="shared" si="13"/>
        <v>4852546.8806619272</v>
      </c>
      <c r="H170" s="22">
        <f t="shared" si="19"/>
        <v>1.0658607692307694E-3</v>
      </c>
      <c r="I170" s="23">
        <v>0</v>
      </c>
      <c r="J170" s="24">
        <f t="shared" si="17"/>
        <v>1.0658607692307694E-3</v>
      </c>
      <c r="K170" s="25">
        <v>0</v>
      </c>
    </row>
    <row r="171" spans="2:11" ht="20" customHeight="1" x14ac:dyDescent="0.2">
      <c r="B171" s="18">
        <f>ROWS(B$10:B171)-1</f>
        <v>161</v>
      </c>
      <c r="C171" s="19">
        <f t="shared" si="14"/>
        <v>6.1923076923076925</v>
      </c>
      <c r="D171" s="20">
        <f>-PMT(J171,COUNT(B171:$B$530),G170)</f>
        <v>16237.440384576985</v>
      </c>
      <c r="E171" s="20">
        <f t="shared" si="15"/>
        <v>5172.1393509506925</v>
      </c>
      <c r="F171" s="21">
        <f t="shared" si="16"/>
        <v>11065.301033626292</v>
      </c>
      <c r="G171" s="21">
        <f t="shared" si="13"/>
        <v>4841481.5796283009</v>
      </c>
      <c r="H171" s="22">
        <f t="shared" si="19"/>
        <v>1.0658607692307694E-3</v>
      </c>
      <c r="I171" s="23">
        <v>0</v>
      </c>
      <c r="J171" s="24">
        <f t="shared" si="17"/>
        <v>1.0658607692307694E-3</v>
      </c>
      <c r="K171" s="25">
        <v>0</v>
      </c>
    </row>
    <row r="172" spans="2:11" ht="20" customHeight="1" x14ac:dyDescent="0.2">
      <c r="B172" s="18">
        <f>ROWS(B$10:B172)-1</f>
        <v>162</v>
      </c>
      <c r="C172" s="19">
        <f t="shared" si="14"/>
        <v>6.2307692307692308</v>
      </c>
      <c r="D172" s="20">
        <f>-PMT(J172,COUNT(B172:$B$530),G171)</f>
        <v>16237.440384576985</v>
      </c>
      <c r="E172" s="20">
        <f t="shared" si="15"/>
        <v>5160.3452806792211</v>
      </c>
      <c r="F172" s="21">
        <f t="shared" si="16"/>
        <v>11077.095103897764</v>
      </c>
      <c r="G172" s="21">
        <f t="shared" si="13"/>
        <v>4830404.4845244028</v>
      </c>
      <c r="H172" s="22">
        <f t="shared" si="19"/>
        <v>1.0658607692307694E-3</v>
      </c>
      <c r="I172" s="23">
        <v>0</v>
      </c>
      <c r="J172" s="24">
        <f t="shared" si="17"/>
        <v>1.0658607692307694E-3</v>
      </c>
      <c r="K172" s="25">
        <v>0</v>
      </c>
    </row>
    <row r="173" spans="2:11" ht="20" customHeight="1" x14ac:dyDescent="0.2">
      <c r="B173" s="18">
        <f>ROWS(B$10:B173)-1</f>
        <v>163</v>
      </c>
      <c r="C173" s="19">
        <f t="shared" si="14"/>
        <v>6.2692307692307692</v>
      </c>
      <c r="D173" s="20">
        <f>-PMT(J173,COUNT(B173:$B$530),G172)</f>
        <v>16237.440384576983</v>
      </c>
      <c r="E173" s="20">
        <f t="shared" si="15"/>
        <v>5148.5386395709384</v>
      </c>
      <c r="F173" s="21">
        <f t="shared" si="16"/>
        <v>11088.901745006046</v>
      </c>
      <c r="G173" s="21">
        <f t="shared" si="13"/>
        <v>4819315.5827793963</v>
      </c>
      <c r="H173" s="22">
        <f t="shared" si="19"/>
        <v>1.0658607692307694E-3</v>
      </c>
      <c r="I173" s="23">
        <v>0</v>
      </c>
      <c r="J173" s="24">
        <f t="shared" si="17"/>
        <v>1.0658607692307694E-3</v>
      </c>
      <c r="K173" s="25">
        <v>0</v>
      </c>
    </row>
    <row r="174" spans="2:11" ht="20" customHeight="1" x14ac:dyDescent="0.2">
      <c r="B174" s="18">
        <f>ROWS(B$10:B174)-1</f>
        <v>164</v>
      </c>
      <c r="C174" s="19">
        <f t="shared" si="14"/>
        <v>6.3076923076923075</v>
      </c>
      <c r="D174" s="20">
        <f>-PMT(J174,COUNT(B174:$B$530),G173)</f>
        <v>16237.440384576983</v>
      </c>
      <c r="E174" s="20">
        <f t="shared" si="15"/>
        <v>5136.719414227081</v>
      </c>
      <c r="F174" s="21">
        <f t="shared" si="16"/>
        <v>11100.720970349903</v>
      </c>
      <c r="G174" s="21">
        <f t="shared" si="13"/>
        <v>4808214.861809046</v>
      </c>
      <c r="H174" s="22">
        <f t="shared" si="19"/>
        <v>1.0658607692307694E-3</v>
      </c>
      <c r="I174" s="23">
        <v>0</v>
      </c>
      <c r="J174" s="24">
        <f t="shared" si="17"/>
        <v>1.0658607692307694E-3</v>
      </c>
      <c r="K174" s="25">
        <v>0</v>
      </c>
    </row>
    <row r="175" spans="2:11" ht="20" customHeight="1" x14ac:dyDescent="0.2">
      <c r="B175" s="18">
        <f>ROWS(B$10:B175)-1</f>
        <v>165</v>
      </c>
      <c r="C175" s="19">
        <f t="shared" si="14"/>
        <v>6.3461538461538458</v>
      </c>
      <c r="D175" s="20">
        <f>-PMT(J175,COUNT(B175:$B$530),G174)</f>
        <v>16237.440384576981</v>
      </c>
      <c r="E175" s="20">
        <f t="shared" si="15"/>
        <v>5124.8875912346075</v>
      </c>
      <c r="F175" s="21">
        <f t="shared" si="16"/>
        <v>11112.552793342373</v>
      </c>
      <c r="G175" s="21">
        <f t="shared" si="13"/>
        <v>4797102.3090157034</v>
      </c>
      <c r="H175" s="22">
        <f t="shared" si="19"/>
        <v>1.0658607692307694E-3</v>
      </c>
      <c r="I175" s="23">
        <v>0</v>
      </c>
      <c r="J175" s="24">
        <f t="shared" si="17"/>
        <v>1.0658607692307694E-3</v>
      </c>
      <c r="K175" s="25">
        <v>0</v>
      </c>
    </row>
    <row r="176" spans="2:11" ht="20" customHeight="1" x14ac:dyDescent="0.2">
      <c r="B176" s="18">
        <f>ROWS(B$10:B176)-1</f>
        <v>166</v>
      </c>
      <c r="C176" s="19">
        <f t="shared" si="14"/>
        <v>6.384615384615385</v>
      </c>
      <c r="D176" s="20">
        <f>-PMT(J176,COUNT(B176:$B$530),G175)</f>
        <v>16237.440384576981</v>
      </c>
      <c r="E176" s="20">
        <f t="shared" si="15"/>
        <v>5113.0431571661775</v>
      </c>
      <c r="F176" s="21">
        <f t="shared" si="16"/>
        <v>11124.397227410804</v>
      </c>
      <c r="G176" s="21">
        <f t="shared" si="13"/>
        <v>4785977.9117882922</v>
      </c>
      <c r="H176" s="22">
        <f t="shared" si="19"/>
        <v>1.0658607692307694E-3</v>
      </c>
      <c r="I176" s="23">
        <v>0</v>
      </c>
      <c r="J176" s="24">
        <f t="shared" si="17"/>
        <v>1.0658607692307694E-3</v>
      </c>
      <c r="K176" s="25">
        <v>0</v>
      </c>
    </row>
    <row r="177" spans="2:11" ht="20" customHeight="1" x14ac:dyDescent="0.2">
      <c r="B177" s="18">
        <f>ROWS(B$10:B177)-1</f>
        <v>167</v>
      </c>
      <c r="C177" s="19">
        <f t="shared" si="14"/>
        <v>6.4230769230769234</v>
      </c>
      <c r="D177" s="20">
        <f>-PMT(J177,COUNT(B177:$B$530),G176)</f>
        <v>16237.440384576979</v>
      </c>
      <c r="E177" s="20">
        <f t="shared" si="15"/>
        <v>5101.1860985801404</v>
      </c>
      <c r="F177" s="21">
        <f t="shared" si="16"/>
        <v>11136.254285996838</v>
      </c>
      <c r="G177" s="21">
        <f t="shared" si="13"/>
        <v>4774841.6575022954</v>
      </c>
      <c r="H177" s="22">
        <f t="shared" si="19"/>
        <v>1.0658607692307694E-3</v>
      </c>
      <c r="I177" s="23">
        <v>0</v>
      </c>
      <c r="J177" s="24">
        <f t="shared" si="17"/>
        <v>1.0658607692307694E-3</v>
      </c>
      <c r="K177" s="25">
        <v>0</v>
      </c>
    </row>
    <row r="178" spans="2:11" ht="20" customHeight="1" x14ac:dyDescent="0.2">
      <c r="B178" s="18">
        <f>ROWS(B$10:B178)-1</f>
        <v>168</v>
      </c>
      <c r="C178" s="19">
        <f t="shared" si="14"/>
        <v>6.4615384615384617</v>
      </c>
      <c r="D178" s="20">
        <f>-PMT(J178,COUNT(B178:$B$530),G177)</f>
        <v>16237.440384576981</v>
      </c>
      <c r="E178" s="20">
        <f t="shared" si="15"/>
        <v>5089.3164020205186</v>
      </c>
      <c r="F178" s="21">
        <f t="shared" si="16"/>
        <v>11148.123982556463</v>
      </c>
      <c r="G178" s="21">
        <f t="shared" si="13"/>
        <v>4763693.5335197393</v>
      </c>
      <c r="H178" s="22">
        <f t="shared" si="19"/>
        <v>1.0658607692307694E-3</v>
      </c>
      <c r="I178" s="23">
        <v>0</v>
      </c>
      <c r="J178" s="24">
        <f t="shared" si="17"/>
        <v>1.0658607692307694E-3</v>
      </c>
      <c r="K178" s="25">
        <v>0</v>
      </c>
    </row>
    <row r="179" spans="2:11" ht="20" customHeight="1" x14ac:dyDescent="0.2">
      <c r="B179" s="18">
        <f>ROWS(B$10:B179)-1</f>
        <v>169</v>
      </c>
      <c r="C179" s="19">
        <f t="shared" si="14"/>
        <v>6.5</v>
      </c>
      <c r="D179" s="20">
        <f>-PMT(J179,COUNT(B179:$B$530),G178)</f>
        <v>16237.440384576981</v>
      </c>
      <c r="E179" s="20">
        <f t="shared" si="15"/>
        <v>5077.4340540169915</v>
      </c>
      <c r="F179" s="21">
        <f t="shared" si="16"/>
        <v>11160.006330559991</v>
      </c>
      <c r="G179" s="21">
        <f t="shared" si="13"/>
        <v>4752533.5271891793</v>
      </c>
      <c r="H179" s="22">
        <f t="shared" si="19"/>
        <v>1.0658607692307694E-3</v>
      </c>
      <c r="I179" s="23">
        <v>0</v>
      </c>
      <c r="J179" s="24">
        <f t="shared" si="17"/>
        <v>1.0658607692307694E-3</v>
      </c>
      <c r="K179" s="25">
        <v>0</v>
      </c>
    </row>
    <row r="180" spans="2:11" ht="20" customHeight="1" x14ac:dyDescent="0.2">
      <c r="B180" s="18">
        <f>ROWS(B$10:B180)-1</f>
        <v>170</v>
      </c>
      <c r="C180" s="19">
        <f t="shared" si="14"/>
        <v>6.5384615384615383</v>
      </c>
      <c r="D180" s="20">
        <f>-PMT(J180,COUNT(B180:$B$530),G179)</f>
        <v>16237.440384576981</v>
      </c>
      <c r="E180" s="20">
        <f t="shared" si="15"/>
        <v>5065.5390410848804</v>
      </c>
      <c r="F180" s="21">
        <f t="shared" si="16"/>
        <v>11171.9013434921</v>
      </c>
      <c r="G180" s="21">
        <f t="shared" si="13"/>
        <v>4741361.6258456875</v>
      </c>
      <c r="H180" s="22">
        <f t="shared" si="19"/>
        <v>1.0658607692307694E-3</v>
      </c>
      <c r="I180" s="23">
        <v>0</v>
      </c>
      <c r="J180" s="24">
        <f t="shared" si="17"/>
        <v>1.0658607692307694E-3</v>
      </c>
      <c r="K180" s="25">
        <v>0</v>
      </c>
    </row>
    <row r="181" spans="2:11" ht="20" customHeight="1" x14ac:dyDescent="0.2">
      <c r="B181" s="18">
        <f>ROWS(B$10:B181)-1</f>
        <v>171</v>
      </c>
      <c r="C181" s="19">
        <f t="shared" si="14"/>
        <v>6.5769230769230766</v>
      </c>
      <c r="D181" s="20">
        <f>-PMT(J181,COUNT(B181:$B$530),G180)</f>
        <v>16237.440384576981</v>
      </c>
      <c r="E181" s="20">
        <f t="shared" si="15"/>
        <v>5053.6313497251358</v>
      </c>
      <c r="F181" s="21">
        <f t="shared" si="16"/>
        <v>11183.809034851845</v>
      </c>
      <c r="G181" s="21">
        <f t="shared" si="13"/>
        <v>4730177.8168108352</v>
      </c>
      <c r="H181" s="22">
        <f t="shared" si="19"/>
        <v>1.0658607692307694E-3</v>
      </c>
      <c r="I181" s="23">
        <v>0</v>
      </c>
      <c r="J181" s="24">
        <f t="shared" si="17"/>
        <v>1.0658607692307694E-3</v>
      </c>
      <c r="K181" s="25">
        <v>0</v>
      </c>
    </row>
    <row r="182" spans="2:11" ht="20" customHeight="1" x14ac:dyDescent="0.2">
      <c r="B182" s="18">
        <f>ROWS(B$10:B182)-1</f>
        <v>172</v>
      </c>
      <c r="C182" s="19">
        <f t="shared" si="14"/>
        <v>6.615384615384615</v>
      </c>
      <c r="D182" s="20">
        <f>-PMT(J182,COUNT(B182:$B$530),G181)</f>
        <v>16237.440384576981</v>
      </c>
      <c r="E182" s="20">
        <f t="shared" si="15"/>
        <v>5041.710966424318</v>
      </c>
      <c r="F182" s="21">
        <f t="shared" si="16"/>
        <v>11195.729418152663</v>
      </c>
      <c r="G182" s="21">
        <f t="shared" si="13"/>
        <v>4718982.0873926822</v>
      </c>
      <c r="H182" s="22">
        <f t="shared" si="19"/>
        <v>1.0658607692307694E-3</v>
      </c>
      <c r="I182" s="23">
        <v>0</v>
      </c>
      <c r="J182" s="24">
        <f t="shared" si="17"/>
        <v>1.0658607692307694E-3</v>
      </c>
      <c r="K182" s="25">
        <v>0</v>
      </c>
    </row>
    <row r="183" spans="2:11" ht="20" customHeight="1" x14ac:dyDescent="0.2">
      <c r="B183" s="18">
        <f>ROWS(B$10:B183)-1</f>
        <v>173</v>
      </c>
      <c r="C183" s="19">
        <f t="shared" si="14"/>
        <v>6.6538461538461542</v>
      </c>
      <c r="D183" s="20">
        <f>-PMT(J183,COUNT(B183:$B$530),G182)</f>
        <v>16237.440384576981</v>
      </c>
      <c r="E183" s="20">
        <f t="shared" si="15"/>
        <v>5029.7778776545865</v>
      </c>
      <c r="F183" s="21">
        <f t="shared" si="16"/>
        <v>11207.662506922396</v>
      </c>
      <c r="G183" s="21">
        <f t="shared" si="13"/>
        <v>4707774.4248857601</v>
      </c>
      <c r="H183" s="22">
        <f t="shared" si="19"/>
        <v>1.0658607692307694E-3</v>
      </c>
      <c r="I183" s="23">
        <v>0</v>
      </c>
      <c r="J183" s="24">
        <f t="shared" si="17"/>
        <v>1.0658607692307694E-3</v>
      </c>
      <c r="K183" s="25">
        <v>0</v>
      </c>
    </row>
    <row r="184" spans="2:11" ht="20" customHeight="1" x14ac:dyDescent="0.2">
      <c r="B184" s="18">
        <f>ROWS(B$10:B184)-1</f>
        <v>174</v>
      </c>
      <c r="C184" s="19">
        <f t="shared" si="14"/>
        <v>6.6923076923076925</v>
      </c>
      <c r="D184" s="20">
        <f>-PMT(J184,COUNT(B184:$B$530),G183)</f>
        <v>16237.440384576978</v>
      </c>
      <c r="E184" s="20">
        <f t="shared" si="15"/>
        <v>5017.8320698736798</v>
      </c>
      <c r="F184" s="21">
        <f t="shared" si="16"/>
        <v>11219.608314703299</v>
      </c>
      <c r="G184" s="21">
        <f t="shared" si="13"/>
        <v>4696554.8165710568</v>
      </c>
      <c r="H184" s="22">
        <f t="shared" si="19"/>
        <v>1.0658607692307694E-3</v>
      </c>
      <c r="I184" s="23">
        <v>0</v>
      </c>
      <c r="J184" s="24">
        <f t="shared" si="17"/>
        <v>1.0658607692307694E-3</v>
      </c>
      <c r="K184" s="25">
        <v>0</v>
      </c>
    </row>
    <row r="185" spans="2:11" ht="20" customHeight="1" x14ac:dyDescent="0.2">
      <c r="B185" s="18">
        <f>ROWS(B$10:B185)-1</f>
        <v>175</v>
      </c>
      <c r="C185" s="19">
        <f t="shared" si="14"/>
        <v>6.7307692307692308</v>
      </c>
      <c r="D185" s="20">
        <f>-PMT(J185,COUNT(B185:$B$530),G184)</f>
        <v>16237.440384576979</v>
      </c>
      <c r="E185" s="20">
        <f t="shared" si="15"/>
        <v>5005.8735295249016</v>
      </c>
      <c r="F185" s="21">
        <f t="shared" si="16"/>
        <v>11231.566855052079</v>
      </c>
      <c r="G185" s="21">
        <f t="shared" si="13"/>
        <v>4685323.2497160044</v>
      </c>
      <c r="H185" s="22">
        <f t="shared" si="19"/>
        <v>1.0658607692307694E-3</v>
      </c>
      <c r="I185" s="23">
        <v>0</v>
      </c>
      <c r="J185" s="24">
        <f t="shared" si="17"/>
        <v>1.0658607692307694E-3</v>
      </c>
      <c r="K185" s="25">
        <v>0</v>
      </c>
    </row>
    <row r="186" spans="2:11" ht="20" customHeight="1" x14ac:dyDescent="0.2">
      <c r="B186" s="18">
        <f>ROWS(B$10:B186)-1</f>
        <v>176</v>
      </c>
      <c r="C186" s="19">
        <f t="shared" si="14"/>
        <v>6.7692307692307692</v>
      </c>
      <c r="D186" s="20">
        <f>-PMT(J186,COUNT(B186:$B$530),G185)</f>
        <v>16237.440384576981</v>
      </c>
      <c r="E186" s="20">
        <f t="shared" si="15"/>
        <v>4993.9022430371087</v>
      </c>
      <c r="F186" s="21">
        <f t="shared" si="16"/>
        <v>11243.538141539873</v>
      </c>
      <c r="G186" s="21">
        <f t="shared" si="13"/>
        <v>4674079.7115744641</v>
      </c>
      <c r="H186" s="22">
        <f t="shared" si="19"/>
        <v>1.0658607692307694E-3</v>
      </c>
      <c r="I186" s="23">
        <v>0</v>
      </c>
      <c r="J186" s="24">
        <f t="shared" si="17"/>
        <v>1.0658607692307694E-3</v>
      </c>
      <c r="K186" s="25">
        <v>0</v>
      </c>
    </row>
    <row r="187" spans="2:11" ht="20" customHeight="1" x14ac:dyDescent="0.2">
      <c r="B187" s="18">
        <f>ROWS(B$10:B187)-1</f>
        <v>177</v>
      </c>
      <c r="C187" s="19">
        <f t="shared" si="14"/>
        <v>6.8076923076923075</v>
      </c>
      <c r="D187" s="20">
        <f>-PMT(J187,COUNT(B187:$B$530),G186)</f>
        <v>16237.440384576978</v>
      </c>
      <c r="E187" s="20">
        <f t="shared" si="15"/>
        <v>4981.9181968246912</v>
      </c>
      <c r="F187" s="21">
        <f t="shared" si="16"/>
        <v>11255.522187752285</v>
      </c>
      <c r="G187" s="21">
        <f t="shared" si="13"/>
        <v>4662824.1893867115</v>
      </c>
      <c r="H187" s="22">
        <f t="shared" si="19"/>
        <v>1.0658607692307694E-3</v>
      </c>
      <c r="I187" s="23">
        <v>0</v>
      </c>
      <c r="J187" s="24">
        <f t="shared" si="17"/>
        <v>1.0658607692307694E-3</v>
      </c>
      <c r="K187" s="25">
        <v>0</v>
      </c>
    </row>
    <row r="188" spans="2:11" ht="20" customHeight="1" x14ac:dyDescent="0.2">
      <c r="B188" s="18">
        <f>ROWS(B$10:B188)-1</f>
        <v>178</v>
      </c>
      <c r="C188" s="19">
        <f t="shared" si="14"/>
        <v>6.8461538461538458</v>
      </c>
      <c r="D188" s="20">
        <f>-PMT(J188,COUNT(B188:$B$530),G187)</f>
        <v>16237.440384576976</v>
      </c>
      <c r="E188" s="20">
        <f t="shared" si="15"/>
        <v>4969.9213772875592</v>
      </c>
      <c r="F188" s="21">
        <f t="shared" si="16"/>
        <v>11267.519007289417</v>
      </c>
      <c r="G188" s="21">
        <f t="shared" si="13"/>
        <v>4651556.6703794217</v>
      </c>
      <c r="H188" s="22">
        <f t="shared" si="19"/>
        <v>1.0658607692307694E-3</v>
      </c>
      <c r="I188" s="23">
        <v>0</v>
      </c>
      <c r="J188" s="24">
        <f t="shared" si="17"/>
        <v>1.0658607692307694E-3</v>
      </c>
      <c r="K188" s="25">
        <v>0</v>
      </c>
    </row>
    <row r="189" spans="2:11" ht="20" customHeight="1" x14ac:dyDescent="0.2">
      <c r="B189" s="18">
        <f>ROWS(B$10:B189)-1</f>
        <v>179</v>
      </c>
      <c r="C189" s="19">
        <f t="shared" si="14"/>
        <v>6.884615384615385</v>
      </c>
      <c r="D189" s="20">
        <f>-PMT(J189,COUNT(B189:$B$530),G188)</f>
        <v>16237.440384576974</v>
      </c>
      <c r="E189" s="20">
        <f t="shared" si="15"/>
        <v>4957.9117708111271</v>
      </c>
      <c r="F189" s="21">
        <f t="shared" si="16"/>
        <v>11279.528613765848</v>
      </c>
      <c r="G189" s="21">
        <f t="shared" si="13"/>
        <v>4640277.1417656559</v>
      </c>
      <c r="H189" s="22">
        <f t="shared" si="19"/>
        <v>1.0658607692307694E-3</v>
      </c>
      <c r="I189" s="23">
        <v>0</v>
      </c>
      <c r="J189" s="24">
        <f t="shared" si="17"/>
        <v>1.0658607692307694E-3</v>
      </c>
      <c r="K189" s="25">
        <v>0</v>
      </c>
    </row>
    <row r="190" spans="2:11" ht="20" customHeight="1" x14ac:dyDescent="0.2">
      <c r="B190" s="18">
        <f>ROWS(B$10:B190)-1</f>
        <v>180</v>
      </c>
      <c r="C190" s="19">
        <f t="shared" si="14"/>
        <v>6.9230769230769234</v>
      </c>
      <c r="D190" s="20">
        <f>-PMT(J190,COUNT(B190:$B$530),G189)</f>
        <v>16237.440384576978</v>
      </c>
      <c r="E190" s="20">
        <f t="shared" si="15"/>
        <v>4945.8893637662986</v>
      </c>
      <c r="F190" s="21">
        <f t="shared" si="16"/>
        <v>11291.551020810679</v>
      </c>
      <c r="G190" s="21">
        <f t="shared" si="13"/>
        <v>4628985.5907448456</v>
      </c>
      <c r="H190" s="22">
        <f t="shared" si="19"/>
        <v>1.0658607692307694E-3</v>
      </c>
      <c r="I190" s="23">
        <v>0</v>
      </c>
      <c r="J190" s="24">
        <f t="shared" si="17"/>
        <v>1.0658607692307694E-3</v>
      </c>
      <c r="K190" s="25">
        <v>0</v>
      </c>
    </row>
    <row r="191" spans="2:11" ht="20" customHeight="1" x14ac:dyDescent="0.2">
      <c r="B191" s="18">
        <f>ROWS(B$10:B191)-1</f>
        <v>181</v>
      </c>
      <c r="C191" s="19">
        <f t="shared" si="14"/>
        <v>6.9615384615384617</v>
      </c>
      <c r="D191" s="20">
        <f>-PMT(J191,COUNT(B191:$B$530),G190)</f>
        <v>16237.440384576979</v>
      </c>
      <c r="E191" s="20">
        <f t="shared" si="15"/>
        <v>4933.854142509449</v>
      </c>
      <c r="F191" s="21">
        <f t="shared" si="16"/>
        <v>11303.586242067529</v>
      </c>
      <c r="G191" s="21">
        <f t="shared" si="13"/>
        <v>4617682.0045027779</v>
      </c>
      <c r="H191" s="22">
        <f t="shared" si="19"/>
        <v>1.0658607692307694E-3</v>
      </c>
      <c r="I191" s="23">
        <v>0</v>
      </c>
      <c r="J191" s="24">
        <f t="shared" si="17"/>
        <v>1.0658607692307694E-3</v>
      </c>
      <c r="K191" s="25">
        <v>0</v>
      </c>
    </row>
    <row r="192" spans="2:11" ht="20" customHeight="1" x14ac:dyDescent="0.2">
      <c r="B192" s="18">
        <f>ROWS(B$10:B192)-1</f>
        <v>182</v>
      </c>
      <c r="C192" s="19">
        <f t="shared" si="14"/>
        <v>7</v>
      </c>
      <c r="D192" s="20">
        <f>-PMT(J192,COUNT(B192:$B$530),G191)</f>
        <v>16237.440384576976</v>
      </c>
      <c r="E192" s="20">
        <f t="shared" si="15"/>
        <v>4921.8060933824127</v>
      </c>
      <c r="F192" s="21">
        <f t="shared" si="16"/>
        <v>11315.634291194563</v>
      </c>
      <c r="G192" s="21">
        <f t="shared" si="13"/>
        <v>4606366.3702115836</v>
      </c>
      <c r="H192" s="22">
        <f t="shared" si="19"/>
        <v>1.0658607692307694E-3</v>
      </c>
      <c r="I192" s="23">
        <v>0</v>
      </c>
      <c r="J192" s="24">
        <f t="shared" si="17"/>
        <v>1.0658607692307694E-3</v>
      </c>
      <c r="K192" s="25">
        <v>0</v>
      </c>
    </row>
    <row r="193" spans="2:11" ht="20" customHeight="1" x14ac:dyDescent="0.2">
      <c r="B193" s="18">
        <f>ROWS(B$10:B193)-1</f>
        <v>183</v>
      </c>
      <c r="C193" s="19">
        <f t="shared" si="14"/>
        <v>7.0384615384615383</v>
      </c>
      <c r="D193" s="20">
        <f>-PMT(J193,COUNT(B193:$B$530),G192)</f>
        <v>16237.440384576976</v>
      </c>
      <c r="E193" s="20">
        <f t="shared" si="15"/>
        <v>4909.7452027124655</v>
      </c>
      <c r="F193" s="21">
        <f t="shared" si="16"/>
        <v>11327.69518186451</v>
      </c>
      <c r="G193" s="21">
        <f t="shared" si="13"/>
        <v>4595038.6750297192</v>
      </c>
      <c r="H193" s="22">
        <f t="shared" si="19"/>
        <v>1.0658607692307694E-3</v>
      </c>
      <c r="I193" s="23">
        <v>0</v>
      </c>
      <c r="J193" s="24">
        <f t="shared" si="17"/>
        <v>1.0658607692307694E-3</v>
      </c>
      <c r="K193" s="25">
        <v>0</v>
      </c>
    </row>
    <row r="194" spans="2:11" ht="20" customHeight="1" x14ac:dyDescent="0.2">
      <c r="B194" s="18">
        <f>ROWS(B$10:B194)-1</f>
        <v>184</v>
      </c>
      <c r="C194" s="19">
        <f t="shared" si="14"/>
        <v>7.0769230769230766</v>
      </c>
      <c r="D194" s="20">
        <f>-PMT(J194,COUNT(B194:$B$530),G193)</f>
        <v>16237.440384576978</v>
      </c>
      <c r="E194" s="20">
        <f t="shared" si="15"/>
        <v>4897.6714568123125</v>
      </c>
      <c r="F194" s="21">
        <f t="shared" si="16"/>
        <v>11339.768927764664</v>
      </c>
      <c r="G194" s="21">
        <f t="shared" si="13"/>
        <v>4583698.9061019542</v>
      </c>
      <c r="H194" s="22">
        <f t="shared" si="19"/>
        <v>1.0658607692307694E-3</v>
      </c>
      <c r="I194" s="23">
        <v>0</v>
      </c>
      <c r="J194" s="24">
        <f t="shared" si="17"/>
        <v>1.0658607692307694E-3</v>
      </c>
      <c r="K194" s="25">
        <v>0</v>
      </c>
    </row>
    <row r="195" spans="2:11" ht="20" customHeight="1" x14ac:dyDescent="0.2">
      <c r="B195" s="18">
        <f>ROWS(B$10:B195)-1</f>
        <v>185</v>
      </c>
      <c r="C195" s="19">
        <f t="shared" si="14"/>
        <v>7.115384615384615</v>
      </c>
      <c r="D195" s="20">
        <f>-PMT(J195,COUNT(B195:$B$530),G194)</f>
        <v>16237.440384576978</v>
      </c>
      <c r="E195" s="20">
        <f t="shared" si="15"/>
        <v>4885.584841980065</v>
      </c>
      <c r="F195" s="21">
        <f t="shared" si="16"/>
        <v>11351.855542596913</v>
      </c>
      <c r="G195" s="21">
        <f t="shared" si="13"/>
        <v>4572347.0505593568</v>
      </c>
      <c r="H195" s="22">
        <f t="shared" si="19"/>
        <v>1.0658607692307694E-3</v>
      </c>
      <c r="I195" s="23">
        <v>0</v>
      </c>
      <c r="J195" s="24">
        <f t="shared" si="17"/>
        <v>1.0658607692307694E-3</v>
      </c>
      <c r="K195" s="25">
        <v>0</v>
      </c>
    </row>
    <row r="196" spans="2:11" ht="20" customHeight="1" x14ac:dyDescent="0.2">
      <c r="B196" s="18">
        <f>ROWS(B$10:B196)-1</f>
        <v>186</v>
      </c>
      <c r="C196" s="19">
        <f t="shared" si="14"/>
        <v>7.1538461538461542</v>
      </c>
      <c r="D196" s="20">
        <f>-PMT(J196,COUNT(B196:$B$530),G195)</f>
        <v>16237.440384576974</v>
      </c>
      <c r="E196" s="20">
        <f t="shared" si="15"/>
        <v>4873.4853444992359</v>
      </c>
      <c r="F196" s="21">
        <f t="shared" si="16"/>
        <v>11363.955040077737</v>
      </c>
      <c r="G196" s="21">
        <f t="shared" si="13"/>
        <v>4560983.0955192791</v>
      </c>
      <c r="H196" s="22">
        <f t="shared" si="19"/>
        <v>1.0658607692307694E-3</v>
      </c>
      <c r="I196" s="23">
        <v>0</v>
      </c>
      <c r="J196" s="24">
        <f t="shared" si="17"/>
        <v>1.0658607692307694E-3</v>
      </c>
      <c r="K196" s="25">
        <v>0</v>
      </c>
    </row>
    <row r="197" spans="2:11" ht="20" customHeight="1" x14ac:dyDescent="0.2">
      <c r="B197" s="18">
        <f>ROWS(B$10:B197)-1</f>
        <v>187</v>
      </c>
      <c r="C197" s="19">
        <f t="shared" si="14"/>
        <v>7.1923076923076925</v>
      </c>
      <c r="D197" s="20">
        <f>-PMT(J197,COUNT(B197:$B$530),G196)</f>
        <v>16237.440384576976</v>
      </c>
      <c r="E197" s="20">
        <f t="shared" si="15"/>
        <v>4861.3729506387144</v>
      </c>
      <c r="F197" s="21">
        <f t="shared" si="16"/>
        <v>11376.06743393826</v>
      </c>
      <c r="G197" s="21">
        <f t="shared" si="13"/>
        <v>4549607.0280853407</v>
      </c>
      <c r="H197" s="22">
        <f t="shared" si="19"/>
        <v>1.0658607692307694E-3</v>
      </c>
      <c r="I197" s="23">
        <v>0</v>
      </c>
      <c r="J197" s="24">
        <f t="shared" si="17"/>
        <v>1.0658607692307694E-3</v>
      </c>
      <c r="K197" s="25">
        <v>0</v>
      </c>
    </row>
    <row r="198" spans="2:11" ht="20" customHeight="1" x14ac:dyDescent="0.2">
      <c r="B198" s="18">
        <f>ROWS(B$10:B198)-1</f>
        <v>188</v>
      </c>
      <c r="C198" s="19">
        <f t="shared" si="14"/>
        <v>7.2307692307692308</v>
      </c>
      <c r="D198" s="20">
        <f>-PMT(J198,COUNT(B198:$B$530),G197)</f>
        <v>16237.440384576974</v>
      </c>
      <c r="E198" s="20">
        <f t="shared" si="15"/>
        <v>4849.247646652756</v>
      </c>
      <c r="F198" s="21">
        <f t="shared" si="16"/>
        <v>11388.192737924219</v>
      </c>
      <c r="G198" s="21">
        <f t="shared" si="13"/>
        <v>4538218.8353474168</v>
      </c>
      <c r="H198" s="22">
        <f t="shared" si="19"/>
        <v>1.0658607692307694E-3</v>
      </c>
      <c r="I198" s="23">
        <v>0</v>
      </c>
      <c r="J198" s="24">
        <f t="shared" si="17"/>
        <v>1.0658607692307694E-3</v>
      </c>
      <c r="K198" s="25">
        <v>0</v>
      </c>
    </row>
    <row r="199" spans="2:11" ht="20" customHeight="1" x14ac:dyDescent="0.2">
      <c r="B199" s="18">
        <f>ROWS(B$10:B199)-1</f>
        <v>189</v>
      </c>
      <c r="C199" s="19">
        <f t="shared" si="14"/>
        <v>7.2692307692307692</v>
      </c>
      <c r="D199" s="20">
        <f>-PMT(J199,COUNT(B199:$B$530),G198)</f>
        <v>16237.440384576974</v>
      </c>
      <c r="E199" s="20">
        <f t="shared" si="15"/>
        <v>4837.109418780964</v>
      </c>
      <c r="F199" s="21">
        <f t="shared" si="16"/>
        <v>11400.330965796009</v>
      </c>
      <c r="G199" s="21">
        <f t="shared" si="13"/>
        <v>4526818.5043816213</v>
      </c>
      <c r="H199" s="22">
        <f t="shared" si="19"/>
        <v>1.0658607692307694E-3</v>
      </c>
      <c r="I199" s="23">
        <v>0</v>
      </c>
      <c r="J199" s="24">
        <f t="shared" si="17"/>
        <v>1.0658607692307694E-3</v>
      </c>
      <c r="K199" s="25">
        <v>0</v>
      </c>
    </row>
    <row r="200" spans="2:11" ht="20" customHeight="1" x14ac:dyDescent="0.2">
      <c r="B200" s="18">
        <f>ROWS(B$10:B200)-1</f>
        <v>190</v>
      </c>
      <c r="C200" s="19">
        <f t="shared" si="14"/>
        <v>7.3076923076923075</v>
      </c>
      <c r="D200" s="20">
        <f>-PMT(J200,COUNT(B200:$B$530),G199)</f>
        <v>16237.440384576976</v>
      </c>
      <c r="E200" s="20">
        <f t="shared" si="15"/>
        <v>4824.9582532482764</v>
      </c>
      <c r="F200" s="21">
        <f t="shared" si="16"/>
        <v>11412.482131328699</v>
      </c>
      <c r="G200" s="21">
        <f t="shared" si="13"/>
        <v>4515406.0222502928</v>
      </c>
      <c r="H200" s="22">
        <f t="shared" si="19"/>
        <v>1.0658607692307694E-3</v>
      </c>
      <c r="I200" s="23">
        <v>0</v>
      </c>
      <c r="J200" s="24">
        <f t="shared" si="17"/>
        <v>1.0658607692307694E-3</v>
      </c>
      <c r="K200" s="25">
        <v>0</v>
      </c>
    </row>
    <row r="201" spans="2:11" ht="20" customHeight="1" x14ac:dyDescent="0.2">
      <c r="B201" s="18">
        <f>ROWS(B$10:B201)-1</f>
        <v>191</v>
      </c>
      <c r="C201" s="19">
        <f t="shared" si="14"/>
        <v>7.3461538461538458</v>
      </c>
      <c r="D201" s="20">
        <f>-PMT(J201,COUNT(B201:$B$530),G200)</f>
        <v>16237.440384576978</v>
      </c>
      <c r="E201" s="20">
        <f t="shared" si="15"/>
        <v>4812.7941362649462</v>
      </c>
      <c r="F201" s="21">
        <f t="shared" si="16"/>
        <v>11424.64624831203</v>
      </c>
      <c r="G201" s="21">
        <f t="shared" si="13"/>
        <v>4503981.3760019811</v>
      </c>
      <c r="H201" s="22">
        <f t="shared" si="19"/>
        <v>1.0658607692307694E-3</v>
      </c>
      <c r="I201" s="23">
        <v>0</v>
      </c>
      <c r="J201" s="24">
        <f t="shared" si="17"/>
        <v>1.0658607692307694E-3</v>
      </c>
      <c r="K201" s="25">
        <v>0</v>
      </c>
    </row>
    <row r="202" spans="2:11" ht="20" customHeight="1" x14ac:dyDescent="0.2">
      <c r="B202" s="18">
        <f>ROWS(B$10:B202)-1</f>
        <v>192</v>
      </c>
      <c r="C202" s="19">
        <f t="shared" si="14"/>
        <v>7.384615384615385</v>
      </c>
      <c r="D202" s="20">
        <f>-PMT(J202,COUNT(B202:$B$530),G201)</f>
        <v>16237.440384576979</v>
      </c>
      <c r="E202" s="20">
        <f t="shared" si="15"/>
        <v>4800.6170540265312</v>
      </c>
      <c r="F202" s="21">
        <f t="shared" si="16"/>
        <v>11436.823330550447</v>
      </c>
      <c r="G202" s="21">
        <f t="shared" si="13"/>
        <v>4492544.5526714306</v>
      </c>
      <c r="H202" s="22">
        <f t="shared" si="19"/>
        <v>1.0658607692307694E-3</v>
      </c>
      <c r="I202" s="23">
        <v>0</v>
      </c>
      <c r="J202" s="24">
        <f t="shared" si="17"/>
        <v>1.0658607692307694E-3</v>
      </c>
      <c r="K202" s="25">
        <v>0</v>
      </c>
    </row>
    <row r="203" spans="2:11" ht="20" customHeight="1" x14ac:dyDescent="0.2">
      <c r="B203" s="18">
        <f>ROWS(B$10:B203)-1</f>
        <v>193</v>
      </c>
      <c r="C203" s="19">
        <f t="shared" si="14"/>
        <v>7.4230769230769234</v>
      </c>
      <c r="D203" s="20">
        <f>-PMT(J203,COUNT(B203:$B$530),G202)</f>
        <v>16237.440384576979</v>
      </c>
      <c r="E203" s="20">
        <f t="shared" si="15"/>
        <v>4788.4269927138739</v>
      </c>
      <c r="F203" s="21">
        <f t="shared" si="16"/>
        <v>11449.013391863105</v>
      </c>
      <c r="G203" s="21">
        <f t="shared" ref="G203:G266" si="20">G202-F203-K203</f>
        <v>4481095.5392795671</v>
      </c>
      <c r="H203" s="22">
        <f t="shared" si="19"/>
        <v>1.0658607692307694E-3</v>
      </c>
      <c r="I203" s="23">
        <v>0</v>
      </c>
      <c r="J203" s="24">
        <f t="shared" si="17"/>
        <v>1.0658607692307694E-3</v>
      </c>
      <c r="K203" s="25">
        <v>0</v>
      </c>
    </row>
    <row r="204" spans="2:11" ht="20" customHeight="1" x14ac:dyDescent="0.2">
      <c r="B204" s="18">
        <f>ROWS(B$10:B204)-1</f>
        <v>194</v>
      </c>
      <c r="C204" s="19">
        <f t="shared" ref="C204:C267" si="21">(B204/$G$3)</f>
        <v>7.4615384615384617</v>
      </c>
      <c r="D204" s="20">
        <f>-PMT(J204,COUNT(B204:$B$530),G203)</f>
        <v>16237.440384576976</v>
      </c>
      <c r="E204" s="20">
        <f t="shared" ref="E204:E267" si="22">G203*J204</f>
        <v>4776.223938493089</v>
      </c>
      <c r="F204" s="21">
        <f t="shared" ref="F204:F267" si="23">D204-E204</f>
        <v>11461.216446083887</v>
      </c>
      <c r="G204" s="21">
        <f t="shared" si="20"/>
        <v>4469634.3228334831</v>
      </c>
      <c r="H204" s="22">
        <f t="shared" si="19"/>
        <v>1.0658607692307694E-3</v>
      </c>
      <c r="I204" s="23">
        <v>0</v>
      </c>
      <c r="J204" s="24">
        <f t="shared" ref="J204:J267" si="24">H204+(H204*I204)</f>
        <v>1.0658607692307694E-3</v>
      </c>
      <c r="K204" s="25">
        <v>0</v>
      </c>
    </row>
    <row r="205" spans="2:11" ht="20" customHeight="1" x14ac:dyDescent="0.2">
      <c r="B205" s="18">
        <f>ROWS(B$10:B205)-1</f>
        <v>195</v>
      </c>
      <c r="C205" s="19">
        <f t="shared" si="21"/>
        <v>7.5</v>
      </c>
      <c r="D205" s="20">
        <f>-PMT(J205,COUNT(B205:$B$530),G204)</f>
        <v>16237.440384576978</v>
      </c>
      <c r="E205" s="20">
        <f t="shared" si="22"/>
        <v>4764.0078775155453</v>
      </c>
      <c r="F205" s="21">
        <f t="shared" si="23"/>
        <v>11473.432507061432</v>
      </c>
      <c r="G205" s="21">
        <f t="shared" si="20"/>
        <v>4458160.8903264217</v>
      </c>
      <c r="H205" s="22">
        <f t="shared" si="19"/>
        <v>1.0658607692307694E-3</v>
      </c>
      <c r="I205" s="23">
        <v>0</v>
      </c>
      <c r="J205" s="24">
        <f t="shared" si="24"/>
        <v>1.0658607692307694E-3</v>
      </c>
      <c r="K205" s="25">
        <v>0</v>
      </c>
    </row>
    <row r="206" spans="2:11" ht="20" customHeight="1" x14ac:dyDescent="0.2">
      <c r="B206" s="18">
        <f>ROWS(B$10:B206)-1</f>
        <v>196</v>
      </c>
      <c r="C206" s="19">
        <f t="shared" si="21"/>
        <v>7.5384615384615383</v>
      </c>
      <c r="D206" s="20">
        <f>-PMT(J206,COUNT(B206:$B$530),G205)</f>
        <v>16237.440384576978</v>
      </c>
      <c r="E206" s="20">
        <f t="shared" si="22"/>
        <v>4751.7787959178513</v>
      </c>
      <c r="F206" s="21">
        <f t="shared" si="23"/>
        <v>11485.661588659126</v>
      </c>
      <c r="G206" s="21">
        <f t="shared" si="20"/>
        <v>4446675.2287377622</v>
      </c>
      <c r="H206" s="22">
        <f t="shared" si="19"/>
        <v>1.0658607692307694E-3</v>
      </c>
      <c r="I206" s="23">
        <v>0</v>
      </c>
      <c r="J206" s="24">
        <f t="shared" si="24"/>
        <v>1.0658607692307694E-3</v>
      </c>
      <c r="K206" s="25">
        <v>0</v>
      </c>
    </row>
    <row r="207" spans="2:11" ht="20" customHeight="1" x14ac:dyDescent="0.2">
      <c r="B207" s="18">
        <f>ROWS(B$10:B207)-1</f>
        <v>197</v>
      </c>
      <c r="C207" s="19">
        <f t="shared" si="21"/>
        <v>7.5769230769230766</v>
      </c>
      <c r="D207" s="20">
        <f>-PMT(J207,COUNT(B207:$B$530),G206)</f>
        <v>16237.440384576978</v>
      </c>
      <c r="E207" s="20">
        <f t="shared" si="22"/>
        <v>4739.5366798218392</v>
      </c>
      <c r="F207" s="21">
        <f t="shared" si="23"/>
        <v>11497.903704755139</v>
      </c>
      <c r="G207" s="21">
        <f t="shared" si="20"/>
        <v>4435177.3250330072</v>
      </c>
      <c r="H207" s="22">
        <f t="shared" si="19"/>
        <v>1.0658607692307694E-3</v>
      </c>
      <c r="I207" s="23">
        <v>0</v>
      </c>
      <c r="J207" s="24">
        <f t="shared" si="24"/>
        <v>1.0658607692307694E-3</v>
      </c>
      <c r="K207" s="25">
        <v>0</v>
      </c>
    </row>
    <row r="208" spans="2:11" ht="20" customHeight="1" x14ac:dyDescent="0.2">
      <c r="B208" s="18">
        <f>ROWS(B$10:B208)-1</f>
        <v>198</v>
      </c>
      <c r="C208" s="19">
        <f t="shared" si="21"/>
        <v>7.615384615384615</v>
      </c>
      <c r="D208" s="20">
        <f>-PMT(J208,COUNT(B208:$B$530),G207)</f>
        <v>16237.440384576976</v>
      </c>
      <c r="E208" s="20">
        <f t="shared" si="22"/>
        <v>4727.2815153345473</v>
      </c>
      <c r="F208" s="21">
        <f t="shared" si="23"/>
        <v>11510.158869242428</v>
      </c>
      <c r="G208" s="21">
        <f t="shared" si="20"/>
        <v>4423667.1661637649</v>
      </c>
      <c r="H208" s="22">
        <f t="shared" si="19"/>
        <v>1.0658607692307694E-3</v>
      </c>
      <c r="I208" s="23">
        <v>0</v>
      </c>
      <c r="J208" s="24">
        <f t="shared" si="24"/>
        <v>1.0658607692307694E-3</v>
      </c>
      <c r="K208" s="25">
        <v>0</v>
      </c>
    </row>
    <row r="209" spans="2:11" ht="20" customHeight="1" x14ac:dyDescent="0.2">
      <c r="B209" s="18">
        <f>ROWS(B$10:B209)-1</f>
        <v>199</v>
      </c>
      <c r="C209" s="19">
        <f t="shared" si="21"/>
        <v>7.6538461538461542</v>
      </c>
      <c r="D209" s="20">
        <f>-PMT(J209,COUNT(B209:$B$530),G208)</f>
        <v>16237.440384576978</v>
      </c>
      <c r="E209" s="20">
        <f t="shared" si="22"/>
        <v>4715.013288548208</v>
      </c>
      <c r="F209" s="21">
        <f t="shared" si="23"/>
        <v>11522.427096028769</v>
      </c>
      <c r="G209" s="21">
        <f t="shared" si="20"/>
        <v>4412144.7390677361</v>
      </c>
      <c r="H209" s="22">
        <f t="shared" si="19"/>
        <v>1.0658607692307694E-3</v>
      </c>
      <c r="I209" s="23">
        <v>0</v>
      </c>
      <c r="J209" s="24">
        <f t="shared" si="24"/>
        <v>1.0658607692307694E-3</v>
      </c>
      <c r="K209" s="25">
        <v>0</v>
      </c>
    </row>
    <row r="210" spans="2:11" ht="20" customHeight="1" x14ac:dyDescent="0.2">
      <c r="B210" s="18">
        <f>ROWS(B$10:B210)-1</f>
        <v>200</v>
      </c>
      <c r="C210" s="19">
        <f t="shared" si="21"/>
        <v>7.6923076923076925</v>
      </c>
      <c r="D210" s="20">
        <f>-PMT(J210,COUNT(B210:$B$530),G209)</f>
        <v>16237.440384576976</v>
      </c>
      <c r="E210" s="20">
        <f t="shared" si="22"/>
        <v>4702.7319855402293</v>
      </c>
      <c r="F210" s="21">
        <f t="shared" si="23"/>
        <v>11534.708399036746</v>
      </c>
      <c r="G210" s="21">
        <f t="shared" si="20"/>
        <v>4400610.0306686992</v>
      </c>
      <c r="H210" s="22">
        <f t="shared" si="19"/>
        <v>1.0658607692307694E-3</v>
      </c>
      <c r="I210" s="23">
        <v>0</v>
      </c>
      <c r="J210" s="24">
        <f t="shared" si="24"/>
        <v>1.0658607692307694E-3</v>
      </c>
      <c r="K210" s="25">
        <v>0</v>
      </c>
    </row>
    <row r="211" spans="2:11" ht="20" customHeight="1" x14ac:dyDescent="0.2">
      <c r="B211" s="18">
        <f>ROWS(B$10:B211)-1</f>
        <v>201</v>
      </c>
      <c r="C211" s="19">
        <f t="shared" si="21"/>
        <v>7.7307692307692308</v>
      </c>
      <c r="D211" s="20">
        <f>-PMT(J211,COUNT(B211:$B$530),G210)</f>
        <v>16237.440384576976</v>
      </c>
      <c r="E211" s="20">
        <f t="shared" si="22"/>
        <v>4690.4375923731795</v>
      </c>
      <c r="F211" s="21">
        <f t="shared" si="23"/>
        <v>11547.002792203795</v>
      </c>
      <c r="G211" s="21">
        <f t="shared" si="20"/>
        <v>4389063.0278764954</v>
      </c>
      <c r="H211" s="22">
        <f t="shared" si="19"/>
        <v>1.0658607692307694E-3</v>
      </c>
      <c r="I211" s="23">
        <v>0</v>
      </c>
      <c r="J211" s="24">
        <f t="shared" si="24"/>
        <v>1.0658607692307694E-3</v>
      </c>
      <c r="K211" s="25">
        <v>0</v>
      </c>
    </row>
    <row r="212" spans="2:11" ht="20" customHeight="1" x14ac:dyDescent="0.2">
      <c r="B212" s="18">
        <f>ROWS(B$10:B212)-1</f>
        <v>202</v>
      </c>
      <c r="C212" s="19">
        <f t="shared" si="21"/>
        <v>7.7692307692307692</v>
      </c>
      <c r="D212" s="20">
        <f>-PMT(J212,COUNT(B212:$B$530),G211)</f>
        <v>16237.440384576976</v>
      </c>
      <c r="E212" s="20">
        <f t="shared" si="22"/>
        <v>4678.1300950947716</v>
      </c>
      <c r="F212" s="21">
        <f t="shared" si="23"/>
        <v>11559.310289482204</v>
      </c>
      <c r="G212" s="21">
        <f t="shared" si="20"/>
        <v>4377503.7175870128</v>
      </c>
      <c r="H212" s="22">
        <f t="shared" si="19"/>
        <v>1.0658607692307694E-3</v>
      </c>
      <c r="I212" s="23">
        <v>0</v>
      </c>
      <c r="J212" s="24">
        <f t="shared" si="24"/>
        <v>1.0658607692307694E-3</v>
      </c>
      <c r="K212" s="25">
        <v>0</v>
      </c>
    </row>
    <row r="213" spans="2:11" ht="20" customHeight="1" x14ac:dyDescent="0.2">
      <c r="B213" s="18">
        <f>ROWS(B$10:B213)-1</f>
        <v>203</v>
      </c>
      <c r="C213" s="19">
        <f t="shared" si="21"/>
        <v>7.8076923076923075</v>
      </c>
      <c r="D213" s="20">
        <f>-PMT(J213,COUNT(B213:$B$530),G212)</f>
        <v>16237.440384576974</v>
      </c>
      <c r="E213" s="20">
        <f t="shared" si="22"/>
        <v>4665.8094797378462</v>
      </c>
      <c r="F213" s="21">
        <f t="shared" si="23"/>
        <v>11571.630904839127</v>
      </c>
      <c r="G213" s="21">
        <f t="shared" si="20"/>
        <v>4365932.0866821734</v>
      </c>
      <c r="H213" s="22">
        <f t="shared" si="19"/>
        <v>1.0658607692307694E-3</v>
      </c>
      <c r="I213" s="23">
        <v>0</v>
      </c>
      <c r="J213" s="24">
        <f t="shared" si="24"/>
        <v>1.0658607692307694E-3</v>
      </c>
      <c r="K213" s="25">
        <v>0</v>
      </c>
    </row>
    <row r="214" spans="2:11" ht="20" customHeight="1" x14ac:dyDescent="0.2">
      <c r="B214" s="18">
        <f>ROWS(B$10:B214)-1</f>
        <v>204</v>
      </c>
      <c r="C214" s="19">
        <f t="shared" si="21"/>
        <v>7.8461538461538458</v>
      </c>
      <c r="D214" s="20">
        <f>-PMT(J214,COUNT(B214:$B$530),G213)</f>
        <v>16237.440384576974</v>
      </c>
      <c r="E214" s="20">
        <f t="shared" si="22"/>
        <v>4653.4757323203594</v>
      </c>
      <c r="F214" s="21">
        <f t="shared" si="23"/>
        <v>11583.964652256614</v>
      </c>
      <c r="G214" s="21">
        <f t="shared" si="20"/>
        <v>4354348.1220299164</v>
      </c>
      <c r="H214" s="22">
        <f t="shared" si="19"/>
        <v>1.0658607692307694E-3</v>
      </c>
      <c r="I214" s="23">
        <v>0</v>
      </c>
      <c r="J214" s="24">
        <f t="shared" si="24"/>
        <v>1.0658607692307694E-3</v>
      </c>
      <c r="K214" s="25">
        <v>0</v>
      </c>
    </row>
    <row r="215" spans="2:11" ht="20" customHeight="1" x14ac:dyDescent="0.2">
      <c r="B215" s="18">
        <f>ROWS(B$10:B215)-1</f>
        <v>205</v>
      </c>
      <c r="C215" s="19">
        <f t="shared" si="21"/>
        <v>7.884615384615385</v>
      </c>
      <c r="D215" s="20">
        <f>-PMT(J215,COUNT(B215:$B$530),G214)</f>
        <v>16237.440384576974</v>
      </c>
      <c r="E215" s="20">
        <f t="shared" si="22"/>
        <v>4641.1288388453631</v>
      </c>
      <c r="F215" s="21">
        <f t="shared" si="23"/>
        <v>11596.311545731611</v>
      </c>
      <c r="G215" s="21">
        <f t="shared" si="20"/>
        <v>4342751.8104841849</v>
      </c>
      <c r="H215" s="22">
        <f t="shared" si="19"/>
        <v>1.0658607692307694E-3</v>
      </c>
      <c r="I215" s="23">
        <v>0</v>
      </c>
      <c r="J215" s="24">
        <f t="shared" si="24"/>
        <v>1.0658607692307694E-3</v>
      </c>
      <c r="K215" s="25">
        <v>0</v>
      </c>
    </row>
    <row r="216" spans="2:11" ht="20" customHeight="1" x14ac:dyDescent="0.2">
      <c r="B216" s="18">
        <f>ROWS(B$10:B216)-1</f>
        <v>206</v>
      </c>
      <c r="C216" s="19">
        <f t="shared" si="21"/>
        <v>7.9230769230769234</v>
      </c>
      <c r="D216" s="20">
        <f>-PMT(J216,COUNT(B216:$B$530),G215)</f>
        <v>16237.440384576974</v>
      </c>
      <c r="E216" s="20">
        <f t="shared" si="22"/>
        <v>4628.7687853009902</v>
      </c>
      <c r="F216" s="21">
        <f t="shared" si="23"/>
        <v>11608.671599275984</v>
      </c>
      <c r="G216" s="21">
        <f t="shared" si="20"/>
        <v>4331143.1388849085</v>
      </c>
      <c r="H216" s="22">
        <f t="shared" si="19"/>
        <v>1.0658607692307694E-3</v>
      </c>
      <c r="I216" s="23">
        <v>0</v>
      </c>
      <c r="J216" s="24">
        <f t="shared" si="24"/>
        <v>1.0658607692307694E-3</v>
      </c>
      <c r="K216" s="25">
        <v>0</v>
      </c>
    </row>
    <row r="217" spans="2:11" ht="20" customHeight="1" x14ac:dyDescent="0.2">
      <c r="B217" s="18">
        <f>ROWS(B$10:B217)-1</f>
        <v>207</v>
      </c>
      <c r="C217" s="19">
        <f t="shared" si="21"/>
        <v>7.9615384615384617</v>
      </c>
      <c r="D217" s="20">
        <f>-PMT(J217,COUNT(B217:$B$530),G216)</f>
        <v>16237.440384576972</v>
      </c>
      <c r="E217" s="20">
        <f t="shared" si="22"/>
        <v>4616.3955576604376</v>
      </c>
      <c r="F217" s="21">
        <f t="shared" si="23"/>
        <v>11621.044826916535</v>
      </c>
      <c r="G217" s="21">
        <f t="shared" si="20"/>
        <v>4319522.0940579921</v>
      </c>
      <c r="H217" s="22">
        <f t="shared" si="19"/>
        <v>1.0658607692307694E-3</v>
      </c>
      <c r="I217" s="23">
        <v>0</v>
      </c>
      <c r="J217" s="24">
        <f t="shared" si="24"/>
        <v>1.0658607692307694E-3</v>
      </c>
      <c r="K217" s="25">
        <v>0</v>
      </c>
    </row>
    <row r="218" spans="2:11" ht="20" customHeight="1" x14ac:dyDescent="0.2">
      <c r="B218" s="18">
        <f>ROWS(B$10:B218)-1</f>
        <v>208</v>
      </c>
      <c r="C218" s="19">
        <f t="shared" si="21"/>
        <v>8</v>
      </c>
      <c r="D218" s="20">
        <f>-PMT(J218,COUNT(B218:$B$530),G217)</f>
        <v>16237.440384576972</v>
      </c>
      <c r="E218" s="20">
        <f t="shared" si="22"/>
        <v>4604.0091418819557</v>
      </c>
      <c r="F218" s="21">
        <f t="shared" si="23"/>
        <v>11633.431242695016</v>
      </c>
      <c r="G218" s="21">
        <f t="shared" si="20"/>
        <v>4307888.662815297</v>
      </c>
      <c r="H218" s="22">
        <f t="shared" si="19"/>
        <v>1.0658607692307694E-3</v>
      </c>
      <c r="I218" s="23">
        <v>0</v>
      </c>
      <c r="J218" s="24">
        <f t="shared" si="24"/>
        <v>1.0658607692307694E-3</v>
      </c>
      <c r="K218" s="25">
        <v>0</v>
      </c>
    </row>
    <row r="219" spans="2:11" ht="20" customHeight="1" x14ac:dyDescent="0.2">
      <c r="B219" s="18">
        <f>ROWS(B$10:B219)-1</f>
        <v>209</v>
      </c>
      <c r="C219" s="19">
        <f t="shared" si="21"/>
        <v>8.0384615384615383</v>
      </c>
      <c r="D219" s="20">
        <f>-PMT(J219,COUNT(B219:$B$530),G218)</f>
        <v>16237.440384576972</v>
      </c>
      <c r="E219" s="20">
        <f t="shared" si="22"/>
        <v>4591.6095239088236</v>
      </c>
      <c r="F219" s="21">
        <f t="shared" si="23"/>
        <v>11645.830860668149</v>
      </c>
      <c r="G219" s="21">
        <f t="shared" si="20"/>
        <v>4296242.8319546292</v>
      </c>
      <c r="H219" s="22">
        <f t="shared" si="19"/>
        <v>1.0658607692307694E-3</v>
      </c>
      <c r="I219" s="23">
        <v>0</v>
      </c>
      <c r="J219" s="24">
        <f t="shared" si="24"/>
        <v>1.0658607692307694E-3</v>
      </c>
      <c r="K219" s="25">
        <v>0</v>
      </c>
    </row>
    <row r="220" spans="2:11" ht="20" customHeight="1" x14ac:dyDescent="0.2">
      <c r="B220" s="18">
        <f>ROWS(B$10:B220)-1</f>
        <v>210</v>
      </c>
      <c r="C220" s="19">
        <f t="shared" si="21"/>
        <v>8.0769230769230766</v>
      </c>
      <c r="D220" s="20">
        <f>-PMT(J220,COUNT(B220:$B$530),G219)</f>
        <v>16237.440384576972</v>
      </c>
      <c r="E220" s="20">
        <f t="shared" si="22"/>
        <v>4579.1966896693402</v>
      </c>
      <c r="F220" s="21">
        <f t="shared" si="23"/>
        <v>11658.243694907633</v>
      </c>
      <c r="G220" s="21">
        <f t="shared" si="20"/>
        <v>4284584.5882597212</v>
      </c>
      <c r="H220" s="22">
        <f t="shared" si="19"/>
        <v>1.0658607692307694E-3</v>
      </c>
      <c r="I220" s="23">
        <v>0</v>
      </c>
      <c r="J220" s="24">
        <f t="shared" si="24"/>
        <v>1.0658607692307694E-3</v>
      </c>
      <c r="K220" s="25">
        <v>0</v>
      </c>
    </row>
    <row r="221" spans="2:11" ht="20" customHeight="1" x14ac:dyDescent="0.2">
      <c r="B221" s="18">
        <f>ROWS(B$10:B221)-1</f>
        <v>211</v>
      </c>
      <c r="C221" s="19">
        <f t="shared" si="21"/>
        <v>8.115384615384615</v>
      </c>
      <c r="D221" s="20">
        <f>-PMT(J221,COUNT(B221:$B$530),G220)</f>
        <v>16237.44038457697</v>
      </c>
      <c r="E221" s="20">
        <f t="shared" si="22"/>
        <v>4566.770625076806</v>
      </c>
      <c r="F221" s="21">
        <f t="shared" si="23"/>
        <v>11670.669759500164</v>
      </c>
      <c r="G221" s="21">
        <f t="shared" si="20"/>
        <v>4272913.9185002213</v>
      </c>
      <c r="H221" s="22">
        <f t="shared" si="19"/>
        <v>1.0658607692307694E-3</v>
      </c>
      <c r="I221" s="23">
        <v>0</v>
      </c>
      <c r="J221" s="24">
        <f t="shared" si="24"/>
        <v>1.0658607692307694E-3</v>
      </c>
      <c r="K221" s="25">
        <v>0</v>
      </c>
    </row>
    <row r="222" spans="2:11" ht="20" customHeight="1" x14ac:dyDescent="0.2">
      <c r="B222" s="18">
        <f>ROWS(B$10:B222)-1</f>
        <v>212</v>
      </c>
      <c r="C222" s="19">
        <f t="shared" si="21"/>
        <v>8.1538461538461533</v>
      </c>
      <c r="D222" s="20">
        <f>-PMT(J222,COUNT(B222:$B$530),G221)</f>
        <v>16237.44038457697</v>
      </c>
      <c r="E222" s="20">
        <f t="shared" si="22"/>
        <v>4554.3313160295074</v>
      </c>
      <c r="F222" s="21">
        <f t="shared" si="23"/>
        <v>11683.109068547463</v>
      </c>
      <c r="G222" s="21">
        <f t="shared" si="20"/>
        <v>4261230.809431674</v>
      </c>
      <c r="H222" s="22">
        <f t="shared" si="19"/>
        <v>1.0658607692307694E-3</v>
      </c>
      <c r="I222" s="23">
        <v>0</v>
      </c>
      <c r="J222" s="24">
        <f t="shared" si="24"/>
        <v>1.0658607692307694E-3</v>
      </c>
      <c r="K222" s="25">
        <v>0</v>
      </c>
    </row>
    <row r="223" spans="2:11" ht="20" customHeight="1" x14ac:dyDescent="0.2">
      <c r="B223" s="18">
        <f>ROWS(B$10:B223)-1</f>
        <v>213</v>
      </c>
      <c r="C223" s="19">
        <f t="shared" si="21"/>
        <v>8.1923076923076916</v>
      </c>
      <c r="D223" s="20">
        <f>-PMT(J223,COUNT(B223:$B$530),G222)</f>
        <v>16237.440384576972</v>
      </c>
      <c r="E223" s="20">
        <f t="shared" si="22"/>
        <v>4541.8787484106979</v>
      </c>
      <c r="F223" s="21">
        <f t="shared" si="23"/>
        <v>11695.561636166274</v>
      </c>
      <c r="G223" s="21">
        <f t="shared" si="20"/>
        <v>4249535.2477955073</v>
      </c>
      <c r="H223" s="22">
        <f t="shared" si="19"/>
        <v>1.0658607692307694E-3</v>
      </c>
      <c r="I223" s="23">
        <v>0</v>
      </c>
      <c r="J223" s="24">
        <f t="shared" si="24"/>
        <v>1.0658607692307694E-3</v>
      </c>
      <c r="K223" s="25">
        <v>0</v>
      </c>
    </row>
    <row r="224" spans="2:11" ht="20" customHeight="1" x14ac:dyDescent="0.2">
      <c r="B224" s="18">
        <f>ROWS(B$10:B224)-1</f>
        <v>214</v>
      </c>
      <c r="C224" s="19">
        <f t="shared" si="21"/>
        <v>8.2307692307692299</v>
      </c>
      <c r="D224" s="20">
        <f>-PMT(J224,COUNT(B224:$B$530),G223)</f>
        <v>16237.440384576974</v>
      </c>
      <c r="E224" s="20">
        <f t="shared" si="22"/>
        <v>4529.4129080885878</v>
      </c>
      <c r="F224" s="21">
        <f t="shared" si="23"/>
        <v>11708.027476488387</v>
      </c>
      <c r="G224" s="21">
        <f t="shared" si="20"/>
        <v>4237827.2203190187</v>
      </c>
      <c r="H224" s="22">
        <f t="shared" si="19"/>
        <v>1.0658607692307694E-3</v>
      </c>
      <c r="I224" s="23">
        <v>0</v>
      </c>
      <c r="J224" s="24">
        <f t="shared" si="24"/>
        <v>1.0658607692307694E-3</v>
      </c>
      <c r="K224" s="25">
        <v>0</v>
      </c>
    </row>
    <row r="225" spans="2:11" ht="20" customHeight="1" x14ac:dyDescent="0.2">
      <c r="B225" s="18">
        <f>ROWS(B$10:B225)-1</f>
        <v>215</v>
      </c>
      <c r="C225" s="19">
        <f t="shared" si="21"/>
        <v>8.2692307692307701</v>
      </c>
      <c r="D225" s="20">
        <f>-PMT(J225,COUNT(B225:$B$530),G224)</f>
        <v>16237.440384576972</v>
      </c>
      <c r="E225" s="20">
        <f t="shared" si="22"/>
        <v>4516.9337809163226</v>
      </c>
      <c r="F225" s="21">
        <f t="shared" si="23"/>
        <v>11720.506603660649</v>
      </c>
      <c r="G225" s="21">
        <f t="shared" si="20"/>
        <v>4226106.7137153577</v>
      </c>
      <c r="H225" s="22">
        <f t="shared" si="19"/>
        <v>1.0658607692307694E-3</v>
      </c>
      <c r="I225" s="23">
        <v>0</v>
      </c>
      <c r="J225" s="24">
        <f t="shared" si="24"/>
        <v>1.0658607692307694E-3</v>
      </c>
      <c r="K225" s="25">
        <v>0</v>
      </c>
    </row>
    <row r="226" spans="2:11" ht="20" customHeight="1" x14ac:dyDescent="0.2">
      <c r="B226" s="18">
        <f>ROWS(B$10:B226)-1</f>
        <v>216</v>
      </c>
      <c r="C226" s="19">
        <f t="shared" si="21"/>
        <v>8.3076923076923084</v>
      </c>
      <c r="D226" s="20">
        <f>-PMT(J226,COUNT(B226:$B$530),G225)</f>
        <v>16237.44038457697</v>
      </c>
      <c r="E226" s="20">
        <f t="shared" si="22"/>
        <v>4504.4413527319703</v>
      </c>
      <c r="F226" s="21">
        <f t="shared" si="23"/>
        <v>11732.999031845</v>
      </c>
      <c r="G226" s="21">
        <f t="shared" si="20"/>
        <v>4214373.7146835132</v>
      </c>
      <c r="H226" s="22">
        <f t="shared" si="19"/>
        <v>1.0658607692307694E-3</v>
      </c>
      <c r="I226" s="23">
        <v>0</v>
      </c>
      <c r="J226" s="24">
        <f t="shared" si="24"/>
        <v>1.0658607692307694E-3</v>
      </c>
      <c r="K226" s="25">
        <v>0</v>
      </c>
    </row>
    <row r="227" spans="2:11" ht="20" customHeight="1" x14ac:dyDescent="0.2">
      <c r="B227" s="18">
        <f>ROWS(B$10:B227)-1</f>
        <v>217</v>
      </c>
      <c r="C227" s="19">
        <f t="shared" si="21"/>
        <v>8.3461538461538467</v>
      </c>
      <c r="D227" s="20">
        <f>-PMT(J227,COUNT(B227:$B$530),G226)</f>
        <v>16237.44038457697</v>
      </c>
      <c r="E227" s="20">
        <f t="shared" si="22"/>
        <v>4491.9356093585047</v>
      </c>
      <c r="F227" s="21">
        <f t="shared" si="23"/>
        <v>11745.504775218466</v>
      </c>
      <c r="G227" s="21">
        <f t="shared" si="20"/>
        <v>4202628.2099082945</v>
      </c>
      <c r="H227" s="22">
        <f t="shared" si="19"/>
        <v>1.0658607692307694E-3</v>
      </c>
      <c r="I227" s="23">
        <v>0</v>
      </c>
      <c r="J227" s="24">
        <f t="shared" si="24"/>
        <v>1.0658607692307694E-3</v>
      </c>
      <c r="K227" s="25">
        <v>0</v>
      </c>
    </row>
    <row r="228" spans="2:11" ht="20" customHeight="1" x14ac:dyDescent="0.2">
      <c r="B228" s="18">
        <f>ROWS(B$10:B228)-1</f>
        <v>218</v>
      </c>
      <c r="C228" s="19">
        <f t="shared" si="21"/>
        <v>8.384615384615385</v>
      </c>
      <c r="D228" s="20">
        <f>-PMT(J228,COUNT(B228:$B$530),G227)</f>
        <v>16237.44038457697</v>
      </c>
      <c r="E228" s="20">
        <f t="shared" si="22"/>
        <v>4479.416536603786</v>
      </c>
      <c r="F228" s="21">
        <f t="shared" si="23"/>
        <v>11758.023847973185</v>
      </c>
      <c r="G228" s="21">
        <f t="shared" si="20"/>
        <v>4190870.1860603215</v>
      </c>
      <c r="H228" s="22">
        <f t="shared" si="19"/>
        <v>1.0658607692307694E-3</v>
      </c>
      <c r="I228" s="23">
        <v>0</v>
      </c>
      <c r="J228" s="24">
        <f t="shared" si="24"/>
        <v>1.0658607692307694E-3</v>
      </c>
      <c r="K228" s="25">
        <v>0</v>
      </c>
    </row>
    <row r="229" spans="2:11" ht="20" customHeight="1" x14ac:dyDescent="0.2">
      <c r="B229" s="18">
        <f>ROWS(B$10:B229)-1</f>
        <v>219</v>
      </c>
      <c r="C229" s="19">
        <f t="shared" si="21"/>
        <v>8.4230769230769234</v>
      </c>
      <c r="D229" s="20">
        <f>-PMT(J229,COUNT(B229:$B$530),G228)</f>
        <v>16237.440384576972</v>
      </c>
      <c r="E229" s="20">
        <f t="shared" si="22"/>
        <v>4466.8841202605518</v>
      </c>
      <c r="F229" s="21">
        <f t="shared" si="23"/>
        <v>11770.556264316419</v>
      </c>
      <c r="G229" s="21">
        <f t="shared" si="20"/>
        <v>4179099.6297960053</v>
      </c>
      <c r="H229" s="22">
        <f t="shared" si="19"/>
        <v>1.0658607692307694E-3</v>
      </c>
      <c r="I229" s="23">
        <v>0</v>
      </c>
      <c r="J229" s="24">
        <f t="shared" si="24"/>
        <v>1.0658607692307694E-3</v>
      </c>
      <c r="K229" s="25">
        <v>0</v>
      </c>
    </row>
    <row r="230" spans="2:11" ht="20" customHeight="1" x14ac:dyDescent="0.2">
      <c r="B230" s="18">
        <f>ROWS(B$10:B230)-1</f>
        <v>220</v>
      </c>
      <c r="C230" s="19">
        <f t="shared" si="21"/>
        <v>8.4615384615384617</v>
      </c>
      <c r="D230" s="20">
        <f>-PMT(J230,COUNT(B230:$B$530),G229)</f>
        <v>16237.440384576972</v>
      </c>
      <c r="E230" s="20">
        <f t="shared" si="22"/>
        <v>4454.3383461063941</v>
      </c>
      <c r="F230" s="21">
        <f t="shared" si="23"/>
        <v>11783.102038470577</v>
      </c>
      <c r="G230" s="21">
        <f t="shared" si="20"/>
        <v>4167316.5277575348</v>
      </c>
      <c r="H230" s="22">
        <f t="shared" si="19"/>
        <v>1.0658607692307694E-3</v>
      </c>
      <c r="I230" s="23">
        <v>0</v>
      </c>
      <c r="J230" s="24">
        <f t="shared" si="24"/>
        <v>1.0658607692307694E-3</v>
      </c>
      <c r="K230" s="25">
        <v>0</v>
      </c>
    </row>
    <row r="231" spans="2:11" ht="20" customHeight="1" x14ac:dyDescent="0.2">
      <c r="B231" s="18">
        <f>ROWS(B$10:B231)-1</f>
        <v>221</v>
      </c>
      <c r="C231" s="19">
        <f t="shared" si="21"/>
        <v>8.5</v>
      </c>
      <c r="D231" s="20">
        <f>-PMT(J231,COUNT(B231:$B$530),G230)</f>
        <v>16237.440384576974</v>
      </c>
      <c r="E231" s="20">
        <f t="shared" si="22"/>
        <v>4441.7791999037454</v>
      </c>
      <c r="F231" s="21">
        <f t="shared" si="23"/>
        <v>11795.661184673228</v>
      </c>
      <c r="G231" s="21">
        <f t="shared" si="20"/>
        <v>4155520.8665728616</v>
      </c>
      <c r="H231" s="22">
        <f t="shared" si="19"/>
        <v>1.0658607692307694E-3</v>
      </c>
      <c r="I231" s="23">
        <v>0</v>
      </c>
      <c r="J231" s="24">
        <f t="shared" si="24"/>
        <v>1.0658607692307694E-3</v>
      </c>
      <c r="K231" s="25">
        <v>0</v>
      </c>
    </row>
    <row r="232" spans="2:11" ht="20" customHeight="1" x14ac:dyDescent="0.2">
      <c r="B232" s="18">
        <f>ROWS(B$10:B232)-1</f>
        <v>222</v>
      </c>
      <c r="C232" s="19">
        <f t="shared" si="21"/>
        <v>8.5384615384615383</v>
      </c>
      <c r="D232" s="20">
        <f>-PMT(J232,COUNT(B232:$B$530),G231)</f>
        <v>16237.440384576976</v>
      </c>
      <c r="E232" s="20">
        <f t="shared" si="22"/>
        <v>4429.2066673998634</v>
      </c>
      <c r="F232" s="21">
        <f t="shared" si="23"/>
        <v>11808.233717177112</v>
      </c>
      <c r="G232" s="21">
        <f t="shared" si="20"/>
        <v>4143712.6328556845</v>
      </c>
      <c r="H232" s="22">
        <f t="shared" ref="H232:H295" si="25">J231</f>
        <v>1.0658607692307694E-3</v>
      </c>
      <c r="I232" s="23">
        <v>0</v>
      </c>
      <c r="J232" s="24">
        <f t="shared" si="24"/>
        <v>1.0658607692307694E-3</v>
      </c>
      <c r="K232" s="25">
        <v>0</v>
      </c>
    </row>
    <row r="233" spans="2:11" ht="20" customHeight="1" x14ac:dyDescent="0.2">
      <c r="B233" s="18">
        <f>ROWS(B$10:B233)-1</f>
        <v>223</v>
      </c>
      <c r="C233" s="19">
        <f t="shared" si="21"/>
        <v>8.5769230769230766</v>
      </c>
      <c r="D233" s="20">
        <f>-PMT(J233,COUNT(B233:$B$530),G232)</f>
        <v>16237.440384576972</v>
      </c>
      <c r="E233" s="20">
        <f t="shared" si="22"/>
        <v>4416.620734326817</v>
      </c>
      <c r="F233" s="21">
        <f t="shared" si="23"/>
        <v>11820.819650250156</v>
      </c>
      <c r="G233" s="21">
        <f t="shared" si="20"/>
        <v>4131891.8132054345</v>
      </c>
      <c r="H233" s="22">
        <f t="shared" si="25"/>
        <v>1.0658607692307694E-3</v>
      </c>
      <c r="I233" s="23">
        <v>0</v>
      </c>
      <c r="J233" s="24">
        <f t="shared" si="24"/>
        <v>1.0658607692307694E-3</v>
      </c>
      <c r="K233" s="25">
        <v>0</v>
      </c>
    </row>
    <row r="234" spans="2:11" ht="20" customHeight="1" x14ac:dyDescent="0.2">
      <c r="B234" s="18">
        <f>ROWS(B$10:B234)-1</f>
        <v>224</v>
      </c>
      <c r="C234" s="19">
        <f t="shared" si="21"/>
        <v>8.615384615384615</v>
      </c>
      <c r="D234" s="20">
        <f>-PMT(J234,COUNT(B234:$B$530),G233)</f>
        <v>16237.440384576972</v>
      </c>
      <c r="E234" s="20">
        <f t="shared" si="22"/>
        <v>4404.0213864014631</v>
      </c>
      <c r="F234" s="21">
        <f t="shared" si="23"/>
        <v>11833.418998175508</v>
      </c>
      <c r="G234" s="21">
        <f t="shared" si="20"/>
        <v>4120058.3942072592</v>
      </c>
      <c r="H234" s="22">
        <f t="shared" si="25"/>
        <v>1.0658607692307694E-3</v>
      </c>
      <c r="I234" s="23">
        <v>0</v>
      </c>
      <c r="J234" s="24">
        <f t="shared" si="24"/>
        <v>1.0658607692307694E-3</v>
      </c>
      <c r="K234" s="25">
        <v>0</v>
      </c>
    </row>
    <row r="235" spans="2:11" ht="20" customHeight="1" x14ac:dyDescent="0.2">
      <c r="B235" s="18">
        <f>ROWS(B$10:B235)-1</f>
        <v>225</v>
      </c>
      <c r="C235" s="19">
        <f t="shared" si="21"/>
        <v>8.6538461538461533</v>
      </c>
      <c r="D235" s="20">
        <f>-PMT(J235,COUNT(B235:$B$530),G234)</f>
        <v>16237.440384576974</v>
      </c>
      <c r="E235" s="20">
        <f t="shared" si="22"/>
        <v>4391.4086093254382</v>
      </c>
      <c r="F235" s="21">
        <f t="shared" si="23"/>
        <v>11846.031775251537</v>
      </c>
      <c r="G235" s="21">
        <f t="shared" si="20"/>
        <v>4108212.3624320077</v>
      </c>
      <c r="H235" s="22">
        <f t="shared" si="25"/>
        <v>1.0658607692307694E-3</v>
      </c>
      <c r="I235" s="23">
        <v>0</v>
      </c>
      <c r="J235" s="24">
        <f t="shared" si="24"/>
        <v>1.0658607692307694E-3</v>
      </c>
      <c r="K235" s="25">
        <v>0</v>
      </c>
    </row>
    <row r="236" spans="2:11" ht="20" customHeight="1" x14ac:dyDescent="0.2">
      <c r="B236" s="18">
        <f>ROWS(B$10:B236)-1</f>
        <v>226</v>
      </c>
      <c r="C236" s="19">
        <f t="shared" si="21"/>
        <v>8.6923076923076916</v>
      </c>
      <c r="D236" s="20">
        <f>-PMT(J236,COUNT(B236:$B$530),G235)</f>
        <v>16237.440384576976</v>
      </c>
      <c r="E236" s="20">
        <f t="shared" si="22"/>
        <v>4378.7823887851364</v>
      </c>
      <c r="F236" s="21">
        <f t="shared" si="23"/>
        <v>11858.65799579184</v>
      </c>
      <c r="G236" s="21">
        <f t="shared" si="20"/>
        <v>4096353.704436216</v>
      </c>
      <c r="H236" s="22">
        <f t="shared" si="25"/>
        <v>1.0658607692307694E-3</v>
      </c>
      <c r="I236" s="23">
        <v>0</v>
      </c>
      <c r="J236" s="24">
        <f t="shared" si="24"/>
        <v>1.0658607692307694E-3</v>
      </c>
      <c r="K236" s="25">
        <v>0</v>
      </c>
    </row>
    <row r="237" spans="2:11" ht="20" customHeight="1" x14ac:dyDescent="0.2">
      <c r="B237" s="18">
        <f>ROWS(B$10:B237)-1</f>
        <v>227</v>
      </c>
      <c r="C237" s="19">
        <f t="shared" si="21"/>
        <v>8.7307692307692299</v>
      </c>
      <c r="D237" s="20">
        <f>-PMT(J237,COUNT(B237:$B$530),G236)</f>
        <v>16237.440384576976</v>
      </c>
      <c r="E237" s="20">
        <f t="shared" si="22"/>
        <v>4366.142710451697</v>
      </c>
      <c r="F237" s="21">
        <f t="shared" si="23"/>
        <v>11871.297674125279</v>
      </c>
      <c r="G237" s="21">
        <f t="shared" si="20"/>
        <v>4084482.406762091</v>
      </c>
      <c r="H237" s="22">
        <f t="shared" si="25"/>
        <v>1.0658607692307694E-3</v>
      </c>
      <c r="I237" s="23">
        <v>0</v>
      </c>
      <c r="J237" s="24">
        <f t="shared" si="24"/>
        <v>1.0658607692307694E-3</v>
      </c>
      <c r="K237" s="25">
        <v>0</v>
      </c>
    </row>
    <row r="238" spans="2:11" ht="20" customHeight="1" x14ac:dyDescent="0.2">
      <c r="B238" s="18">
        <f>ROWS(B$10:B238)-1</f>
        <v>228</v>
      </c>
      <c r="C238" s="19">
        <f t="shared" si="21"/>
        <v>8.7692307692307701</v>
      </c>
      <c r="D238" s="20">
        <f>-PMT(J238,COUNT(B238:$B$530),G237)</f>
        <v>16237.440384576978</v>
      </c>
      <c r="E238" s="20">
        <f t="shared" si="22"/>
        <v>4353.489559980987</v>
      </c>
      <c r="F238" s="21">
        <f t="shared" si="23"/>
        <v>11883.950824595991</v>
      </c>
      <c r="G238" s="21">
        <f t="shared" si="20"/>
        <v>4072598.455937495</v>
      </c>
      <c r="H238" s="22">
        <f t="shared" si="25"/>
        <v>1.0658607692307694E-3</v>
      </c>
      <c r="I238" s="23">
        <v>0</v>
      </c>
      <c r="J238" s="24">
        <f t="shared" si="24"/>
        <v>1.0658607692307694E-3</v>
      </c>
      <c r="K238" s="25">
        <v>0</v>
      </c>
    </row>
    <row r="239" spans="2:11" ht="20" customHeight="1" x14ac:dyDescent="0.2">
      <c r="B239" s="18">
        <f>ROWS(B$10:B239)-1</f>
        <v>229</v>
      </c>
      <c r="C239" s="19">
        <f t="shared" si="21"/>
        <v>8.8076923076923084</v>
      </c>
      <c r="D239" s="20">
        <f>-PMT(J239,COUNT(B239:$B$530),G238)</f>
        <v>16237.440384576976</v>
      </c>
      <c r="E239" s="20">
        <f t="shared" si="22"/>
        <v>4340.8229230135821</v>
      </c>
      <c r="F239" s="21">
        <f t="shared" si="23"/>
        <v>11896.617461563394</v>
      </c>
      <c r="G239" s="21">
        <f t="shared" si="20"/>
        <v>4060701.8384759314</v>
      </c>
      <c r="H239" s="22">
        <f t="shared" si="25"/>
        <v>1.0658607692307694E-3</v>
      </c>
      <c r="I239" s="23">
        <v>0</v>
      </c>
      <c r="J239" s="24">
        <f t="shared" si="24"/>
        <v>1.0658607692307694E-3</v>
      </c>
      <c r="K239" s="25">
        <v>0</v>
      </c>
    </row>
    <row r="240" spans="2:11" ht="20" customHeight="1" x14ac:dyDescent="0.2">
      <c r="B240" s="18">
        <f>ROWS(B$10:B240)-1</f>
        <v>230</v>
      </c>
      <c r="C240" s="19">
        <f t="shared" si="21"/>
        <v>8.8461538461538467</v>
      </c>
      <c r="D240" s="20">
        <f>-PMT(J240,COUNT(B240:$B$530),G239)</f>
        <v>16237.440384576976</v>
      </c>
      <c r="E240" s="20">
        <f t="shared" si="22"/>
        <v>4328.1427851747558</v>
      </c>
      <c r="F240" s="21">
        <f t="shared" si="23"/>
        <v>11909.29759940222</v>
      </c>
      <c r="G240" s="21">
        <f t="shared" si="20"/>
        <v>4048792.5408765292</v>
      </c>
      <c r="H240" s="22">
        <f t="shared" si="25"/>
        <v>1.0658607692307694E-3</v>
      </c>
      <c r="I240" s="23">
        <v>0</v>
      </c>
      <c r="J240" s="24">
        <f t="shared" si="24"/>
        <v>1.0658607692307694E-3</v>
      </c>
      <c r="K240" s="25">
        <v>0</v>
      </c>
    </row>
    <row r="241" spans="2:11" ht="20" customHeight="1" x14ac:dyDescent="0.2">
      <c r="B241" s="18">
        <f>ROWS(B$10:B241)-1</f>
        <v>231</v>
      </c>
      <c r="C241" s="19">
        <f t="shared" si="21"/>
        <v>8.884615384615385</v>
      </c>
      <c r="D241" s="20">
        <f>-PMT(J241,COUNT(B241:$B$530),G240)</f>
        <v>16237.440384576974</v>
      </c>
      <c r="E241" s="20">
        <f t="shared" si="22"/>
        <v>4315.4491320744592</v>
      </c>
      <c r="F241" s="21">
        <f t="shared" si="23"/>
        <v>11921.991252502514</v>
      </c>
      <c r="G241" s="21">
        <f t="shared" si="20"/>
        <v>4036870.5496240268</v>
      </c>
      <c r="H241" s="22">
        <f t="shared" si="25"/>
        <v>1.0658607692307694E-3</v>
      </c>
      <c r="I241" s="23">
        <v>0</v>
      </c>
      <c r="J241" s="24">
        <f t="shared" si="24"/>
        <v>1.0658607692307694E-3</v>
      </c>
      <c r="K241" s="25">
        <v>0</v>
      </c>
    </row>
    <row r="242" spans="2:11" ht="20" customHeight="1" x14ac:dyDescent="0.2">
      <c r="B242" s="18">
        <f>ROWS(B$10:B242)-1</f>
        <v>232</v>
      </c>
      <c r="C242" s="19">
        <f t="shared" si="21"/>
        <v>8.9230769230769234</v>
      </c>
      <c r="D242" s="20">
        <f>-PMT(J242,COUNT(B242:$B$530),G241)</f>
        <v>16237.440384576974</v>
      </c>
      <c r="E242" s="20">
        <f t="shared" si="22"/>
        <v>4302.7419493073039</v>
      </c>
      <c r="F242" s="21">
        <f t="shared" si="23"/>
        <v>11934.698435269671</v>
      </c>
      <c r="G242" s="21">
        <f t="shared" si="20"/>
        <v>4024935.851188757</v>
      </c>
      <c r="H242" s="22">
        <f t="shared" si="25"/>
        <v>1.0658607692307694E-3</v>
      </c>
      <c r="I242" s="23">
        <v>0</v>
      </c>
      <c r="J242" s="24">
        <f t="shared" si="24"/>
        <v>1.0658607692307694E-3</v>
      </c>
      <c r="K242" s="25">
        <v>0</v>
      </c>
    </row>
    <row r="243" spans="2:11" ht="20" customHeight="1" x14ac:dyDescent="0.2">
      <c r="B243" s="18">
        <f>ROWS(B$10:B243)-1</f>
        <v>233</v>
      </c>
      <c r="C243" s="19">
        <f t="shared" si="21"/>
        <v>8.9615384615384617</v>
      </c>
      <c r="D243" s="20">
        <f>-PMT(J243,COUNT(B243:$B$530),G242)</f>
        <v>16237.440384576974</v>
      </c>
      <c r="E243" s="20">
        <f t="shared" si="22"/>
        <v>4290.0212224525503</v>
      </c>
      <c r="F243" s="21">
        <f t="shared" si="23"/>
        <v>11947.419162124424</v>
      </c>
      <c r="G243" s="21">
        <f t="shared" si="20"/>
        <v>4012988.4320266326</v>
      </c>
      <c r="H243" s="22">
        <f t="shared" si="25"/>
        <v>1.0658607692307694E-3</v>
      </c>
      <c r="I243" s="23">
        <v>0</v>
      </c>
      <c r="J243" s="24">
        <f t="shared" si="24"/>
        <v>1.0658607692307694E-3</v>
      </c>
      <c r="K243" s="25">
        <v>0</v>
      </c>
    </row>
    <row r="244" spans="2:11" ht="20" customHeight="1" x14ac:dyDescent="0.2">
      <c r="B244" s="18">
        <f>ROWS(B$10:B244)-1</f>
        <v>234</v>
      </c>
      <c r="C244" s="19">
        <f t="shared" si="21"/>
        <v>9</v>
      </c>
      <c r="D244" s="20">
        <f>-PMT(J244,COUNT(B244:$B$530),G243)</f>
        <v>16237.440384576974</v>
      </c>
      <c r="E244" s="20">
        <f t="shared" si="22"/>
        <v>4277.2869370740855</v>
      </c>
      <c r="F244" s="21">
        <f t="shared" si="23"/>
        <v>11960.153447502889</v>
      </c>
      <c r="G244" s="21">
        <f t="shared" si="20"/>
        <v>4001028.2785791298</v>
      </c>
      <c r="H244" s="22">
        <f t="shared" si="25"/>
        <v>1.0658607692307694E-3</v>
      </c>
      <c r="I244" s="23">
        <v>0</v>
      </c>
      <c r="J244" s="24">
        <f t="shared" si="24"/>
        <v>1.0658607692307694E-3</v>
      </c>
      <c r="K244" s="25">
        <v>0</v>
      </c>
    </row>
    <row r="245" spans="2:11" ht="20" customHeight="1" x14ac:dyDescent="0.2">
      <c r="B245" s="18">
        <f>ROWS(B$10:B245)-1</f>
        <v>235</v>
      </c>
      <c r="C245" s="19">
        <f t="shared" si="21"/>
        <v>9.0384615384615383</v>
      </c>
      <c r="D245" s="20">
        <f>-PMT(J245,COUNT(B245:$B$530),G244)</f>
        <v>16237.440384576974</v>
      </c>
      <c r="E245" s="20">
        <f t="shared" si="22"/>
        <v>4264.5390787204124</v>
      </c>
      <c r="F245" s="21">
        <f t="shared" si="23"/>
        <v>11972.901305856562</v>
      </c>
      <c r="G245" s="21">
        <f t="shared" si="20"/>
        <v>3989055.3772732732</v>
      </c>
      <c r="H245" s="22">
        <f t="shared" si="25"/>
        <v>1.0658607692307694E-3</v>
      </c>
      <c r="I245" s="23">
        <v>0</v>
      </c>
      <c r="J245" s="24">
        <f t="shared" si="24"/>
        <v>1.0658607692307694E-3</v>
      </c>
      <c r="K245" s="25">
        <v>0</v>
      </c>
    </row>
    <row r="246" spans="2:11" ht="20" customHeight="1" x14ac:dyDescent="0.2">
      <c r="B246" s="18">
        <f>ROWS(B$10:B246)-1</f>
        <v>236</v>
      </c>
      <c r="C246" s="19">
        <f t="shared" si="21"/>
        <v>9.0769230769230766</v>
      </c>
      <c r="D246" s="20">
        <f>-PMT(J246,COUNT(B246:$B$530),G245)</f>
        <v>16237.440384576976</v>
      </c>
      <c r="E246" s="20">
        <f t="shared" si="22"/>
        <v>4251.7776329246281</v>
      </c>
      <c r="F246" s="21">
        <f t="shared" si="23"/>
        <v>11985.662751652348</v>
      </c>
      <c r="G246" s="21">
        <f t="shared" si="20"/>
        <v>3977069.7145216209</v>
      </c>
      <c r="H246" s="22">
        <f t="shared" si="25"/>
        <v>1.0658607692307694E-3</v>
      </c>
      <c r="I246" s="23">
        <v>0</v>
      </c>
      <c r="J246" s="24">
        <f t="shared" si="24"/>
        <v>1.0658607692307694E-3</v>
      </c>
      <c r="K246" s="25">
        <v>0</v>
      </c>
    </row>
    <row r="247" spans="2:11" ht="20" customHeight="1" x14ac:dyDescent="0.2">
      <c r="B247" s="18">
        <f>ROWS(B$10:B247)-1</f>
        <v>237</v>
      </c>
      <c r="C247" s="19">
        <f t="shared" si="21"/>
        <v>9.115384615384615</v>
      </c>
      <c r="D247" s="20">
        <f>-PMT(J247,COUNT(B247:$B$530),G246)</f>
        <v>16237.440384576976</v>
      </c>
      <c r="E247" s="20">
        <f t="shared" si="22"/>
        <v>4239.0025852044118</v>
      </c>
      <c r="F247" s="21">
        <f t="shared" si="23"/>
        <v>11998.437799372565</v>
      </c>
      <c r="G247" s="21">
        <f t="shared" si="20"/>
        <v>3965071.2767222482</v>
      </c>
      <c r="H247" s="22">
        <f t="shared" si="25"/>
        <v>1.0658607692307694E-3</v>
      </c>
      <c r="I247" s="23">
        <v>0</v>
      </c>
      <c r="J247" s="24">
        <f t="shared" si="24"/>
        <v>1.0658607692307694E-3</v>
      </c>
      <c r="K247" s="25">
        <v>0</v>
      </c>
    </row>
    <row r="248" spans="2:11" ht="20" customHeight="1" x14ac:dyDescent="0.2">
      <c r="B248" s="18">
        <f>ROWS(B$10:B248)-1</f>
        <v>238</v>
      </c>
      <c r="C248" s="19">
        <f t="shared" si="21"/>
        <v>9.1538461538461533</v>
      </c>
      <c r="D248" s="20">
        <f>-PMT(J248,COUNT(B248:$B$530),G247)</f>
        <v>16237.440384576978</v>
      </c>
      <c r="E248" s="20">
        <f t="shared" si="22"/>
        <v>4226.2139210620044</v>
      </c>
      <c r="F248" s="21">
        <f t="shared" si="23"/>
        <v>12011.226463514973</v>
      </c>
      <c r="G248" s="21">
        <f t="shared" si="20"/>
        <v>3953060.0502587333</v>
      </c>
      <c r="H248" s="22">
        <f t="shared" si="25"/>
        <v>1.0658607692307694E-3</v>
      </c>
      <c r="I248" s="23">
        <v>0</v>
      </c>
      <c r="J248" s="24">
        <f t="shared" si="24"/>
        <v>1.0658607692307694E-3</v>
      </c>
      <c r="K248" s="25">
        <v>0</v>
      </c>
    </row>
    <row r="249" spans="2:11" ht="20" customHeight="1" x14ac:dyDescent="0.2">
      <c r="B249" s="18">
        <f>ROWS(B$10:B249)-1</f>
        <v>239</v>
      </c>
      <c r="C249" s="19">
        <f t="shared" si="21"/>
        <v>9.1923076923076916</v>
      </c>
      <c r="D249" s="20">
        <f>-PMT(J249,COUNT(B249:$B$530),G248)</f>
        <v>16237.440384576972</v>
      </c>
      <c r="E249" s="20">
        <f t="shared" si="22"/>
        <v>4213.4116259841976</v>
      </c>
      <c r="F249" s="21">
        <f t="shared" si="23"/>
        <v>12024.028758592774</v>
      </c>
      <c r="G249" s="21">
        <f t="shared" si="20"/>
        <v>3941036.0215001404</v>
      </c>
      <c r="H249" s="22">
        <f t="shared" si="25"/>
        <v>1.0658607692307694E-3</v>
      </c>
      <c r="I249" s="23">
        <v>0</v>
      </c>
      <c r="J249" s="24">
        <f t="shared" si="24"/>
        <v>1.0658607692307694E-3</v>
      </c>
      <c r="K249" s="25">
        <v>0</v>
      </c>
    </row>
    <row r="250" spans="2:11" ht="20" customHeight="1" x14ac:dyDescent="0.2">
      <c r="B250" s="18">
        <f>ROWS(B$10:B250)-1</f>
        <v>240</v>
      </c>
      <c r="C250" s="19">
        <f t="shared" si="21"/>
        <v>9.2307692307692299</v>
      </c>
      <c r="D250" s="20">
        <f>-PMT(J250,COUNT(B250:$B$530),G249)</f>
        <v>16237.440384576974</v>
      </c>
      <c r="E250" s="20">
        <f t="shared" si="22"/>
        <v>4200.5956854423112</v>
      </c>
      <c r="F250" s="21">
        <f t="shared" si="23"/>
        <v>12036.844699134663</v>
      </c>
      <c r="G250" s="21">
        <f t="shared" si="20"/>
        <v>3928999.1768010058</v>
      </c>
      <c r="H250" s="22">
        <f t="shared" si="25"/>
        <v>1.0658607692307694E-3</v>
      </c>
      <c r="I250" s="23">
        <v>0</v>
      </c>
      <c r="J250" s="24">
        <f t="shared" si="24"/>
        <v>1.0658607692307694E-3</v>
      </c>
      <c r="K250" s="25">
        <v>0</v>
      </c>
    </row>
    <row r="251" spans="2:11" ht="20" customHeight="1" x14ac:dyDescent="0.2">
      <c r="B251" s="18">
        <f>ROWS(B$10:B251)-1</f>
        <v>241</v>
      </c>
      <c r="C251" s="19">
        <f t="shared" si="21"/>
        <v>9.2692307692307701</v>
      </c>
      <c r="D251" s="20">
        <f>-PMT(J251,COUNT(B251:$B$530),G250)</f>
        <v>16237.440384576978</v>
      </c>
      <c r="E251" s="20">
        <f t="shared" si="22"/>
        <v>4187.7660848921796</v>
      </c>
      <c r="F251" s="21">
        <f t="shared" si="23"/>
        <v>12049.674299684797</v>
      </c>
      <c r="G251" s="21">
        <f t="shared" si="20"/>
        <v>3916949.502501321</v>
      </c>
      <c r="H251" s="22">
        <f t="shared" si="25"/>
        <v>1.0658607692307694E-3</v>
      </c>
      <c r="I251" s="23">
        <v>0</v>
      </c>
      <c r="J251" s="24">
        <f t="shared" si="24"/>
        <v>1.0658607692307694E-3</v>
      </c>
      <c r="K251" s="25">
        <v>0</v>
      </c>
    </row>
    <row r="252" spans="2:11" ht="20" customHeight="1" x14ac:dyDescent="0.2">
      <c r="B252" s="18">
        <f>ROWS(B$10:B252)-1</f>
        <v>242</v>
      </c>
      <c r="C252" s="19">
        <f t="shared" si="21"/>
        <v>9.3076923076923084</v>
      </c>
      <c r="D252" s="20">
        <f>-PMT(J252,COUNT(B252:$B$530),G251)</f>
        <v>16237.440384576974</v>
      </c>
      <c r="E252" s="20">
        <f t="shared" si="22"/>
        <v>4174.9228097741379</v>
      </c>
      <c r="F252" s="21">
        <f t="shared" si="23"/>
        <v>12062.517574802836</v>
      </c>
      <c r="G252" s="21">
        <f t="shared" si="20"/>
        <v>3904886.9849265181</v>
      </c>
      <c r="H252" s="22">
        <f t="shared" si="25"/>
        <v>1.0658607692307694E-3</v>
      </c>
      <c r="I252" s="23">
        <v>0</v>
      </c>
      <c r="J252" s="24">
        <f t="shared" si="24"/>
        <v>1.0658607692307694E-3</v>
      </c>
      <c r="K252" s="25">
        <v>0</v>
      </c>
    </row>
    <row r="253" spans="2:11" ht="20" customHeight="1" x14ac:dyDescent="0.2">
      <c r="B253" s="18">
        <f>ROWS(B$10:B253)-1</f>
        <v>243</v>
      </c>
      <c r="C253" s="19">
        <f t="shared" si="21"/>
        <v>9.3461538461538467</v>
      </c>
      <c r="D253" s="20">
        <f>-PMT(J253,COUNT(B253:$B$530),G252)</f>
        <v>16237.440384576972</v>
      </c>
      <c r="E253" s="20">
        <f t="shared" si="22"/>
        <v>4162.0658455129987</v>
      </c>
      <c r="F253" s="21">
        <f t="shared" si="23"/>
        <v>12075.374539063974</v>
      </c>
      <c r="G253" s="21">
        <f t="shared" si="20"/>
        <v>3892811.6103874543</v>
      </c>
      <c r="H253" s="22">
        <f t="shared" si="25"/>
        <v>1.0658607692307694E-3</v>
      </c>
      <c r="I253" s="23">
        <v>0</v>
      </c>
      <c r="J253" s="24">
        <f t="shared" si="24"/>
        <v>1.0658607692307694E-3</v>
      </c>
      <c r="K253" s="25">
        <v>0</v>
      </c>
    </row>
    <row r="254" spans="2:11" ht="20" customHeight="1" x14ac:dyDescent="0.2">
      <c r="B254" s="18">
        <f>ROWS(B$10:B254)-1</f>
        <v>244</v>
      </c>
      <c r="C254" s="19">
        <f t="shared" si="21"/>
        <v>9.384615384615385</v>
      </c>
      <c r="D254" s="20">
        <f>-PMT(J254,COUNT(B254:$B$530),G253)</f>
        <v>16237.440384576974</v>
      </c>
      <c r="E254" s="20">
        <f t="shared" si="22"/>
        <v>4149.1951775180423</v>
      </c>
      <c r="F254" s="21">
        <f t="shared" si="23"/>
        <v>12088.245207058932</v>
      </c>
      <c r="G254" s="21">
        <f t="shared" si="20"/>
        <v>3880723.3651803955</v>
      </c>
      <c r="H254" s="22">
        <f t="shared" si="25"/>
        <v>1.0658607692307694E-3</v>
      </c>
      <c r="I254" s="23">
        <v>0</v>
      </c>
      <c r="J254" s="24">
        <f t="shared" si="24"/>
        <v>1.0658607692307694E-3</v>
      </c>
      <c r="K254" s="25">
        <v>0</v>
      </c>
    </row>
    <row r="255" spans="2:11" ht="20" customHeight="1" x14ac:dyDescent="0.2">
      <c r="B255" s="18">
        <f>ROWS(B$10:B255)-1</f>
        <v>245</v>
      </c>
      <c r="C255" s="19">
        <f t="shared" si="21"/>
        <v>9.4230769230769234</v>
      </c>
      <c r="D255" s="20">
        <f>-PMT(J255,COUNT(B255:$B$530),G254)</f>
        <v>16237.440384576976</v>
      </c>
      <c r="E255" s="20">
        <f t="shared" si="22"/>
        <v>4136.3107911829966</v>
      </c>
      <c r="F255" s="21">
        <f t="shared" si="23"/>
        <v>12101.12959339398</v>
      </c>
      <c r="G255" s="21">
        <f t="shared" si="20"/>
        <v>3868622.2355870018</v>
      </c>
      <c r="H255" s="22">
        <f t="shared" si="25"/>
        <v>1.0658607692307694E-3</v>
      </c>
      <c r="I255" s="23">
        <v>0</v>
      </c>
      <c r="J255" s="24">
        <f t="shared" si="24"/>
        <v>1.0658607692307694E-3</v>
      </c>
      <c r="K255" s="25">
        <v>0</v>
      </c>
    </row>
    <row r="256" spans="2:11" ht="20" customHeight="1" x14ac:dyDescent="0.2">
      <c r="B256" s="18">
        <f>ROWS(B$10:B256)-1</f>
        <v>246</v>
      </c>
      <c r="C256" s="19">
        <f t="shared" si="21"/>
        <v>9.4615384615384617</v>
      </c>
      <c r="D256" s="20">
        <f>-PMT(J256,COUNT(B256:$B$530),G255)</f>
        <v>16237.440384576979</v>
      </c>
      <c r="E256" s="20">
        <f t="shared" si="22"/>
        <v>4123.4126718860207</v>
      </c>
      <c r="F256" s="21">
        <f t="shared" si="23"/>
        <v>12114.027712690959</v>
      </c>
      <c r="G256" s="21">
        <f t="shared" si="20"/>
        <v>3856508.2078743107</v>
      </c>
      <c r="H256" s="22">
        <f t="shared" si="25"/>
        <v>1.0658607692307694E-3</v>
      </c>
      <c r="I256" s="23">
        <v>0</v>
      </c>
      <c r="J256" s="24">
        <f t="shared" si="24"/>
        <v>1.0658607692307694E-3</v>
      </c>
      <c r="K256" s="25">
        <v>0</v>
      </c>
    </row>
    <row r="257" spans="2:11" ht="20" customHeight="1" x14ac:dyDescent="0.2">
      <c r="B257" s="18">
        <f>ROWS(B$10:B257)-1</f>
        <v>247</v>
      </c>
      <c r="C257" s="19">
        <f t="shared" si="21"/>
        <v>9.5</v>
      </c>
      <c r="D257" s="20">
        <f>-PMT(J257,COUNT(B257:$B$530),G256)</f>
        <v>16237.440384576976</v>
      </c>
      <c r="E257" s="20">
        <f t="shared" si="22"/>
        <v>4110.5008049896887</v>
      </c>
      <c r="F257" s="21">
        <f t="shared" si="23"/>
        <v>12126.939579587288</v>
      </c>
      <c r="G257" s="21">
        <f t="shared" si="20"/>
        <v>3844381.2682947232</v>
      </c>
      <c r="H257" s="22">
        <f t="shared" si="25"/>
        <v>1.0658607692307694E-3</v>
      </c>
      <c r="I257" s="23">
        <v>0</v>
      </c>
      <c r="J257" s="24">
        <f t="shared" si="24"/>
        <v>1.0658607692307694E-3</v>
      </c>
      <c r="K257" s="25">
        <v>0</v>
      </c>
    </row>
    <row r="258" spans="2:11" ht="20" customHeight="1" x14ac:dyDescent="0.2">
      <c r="B258" s="18">
        <f>ROWS(B$10:B258)-1</f>
        <v>248</v>
      </c>
      <c r="C258" s="19">
        <f t="shared" si="21"/>
        <v>9.5384615384615383</v>
      </c>
      <c r="D258" s="20">
        <f>-PMT(J258,COUNT(B258:$B$530),G257)</f>
        <v>16237.440384576976</v>
      </c>
      <c r="E258" s="20">
        <f t="shared" si="22"/>
        <v>4097.5751758409751</v>
      </c>
      <c r="F258" s="21">
        <f t="shared" si="23"/>
        <v>12139.865208736001</v>
      </c>
      <c r="G258" s="21">
        <f t="shared" si="20"/>
        <v>3832241.4030859871</v>
      </c>
      <c r="H258" s="22">
        <f t="shared" si="25"/>
        <v>1.0658607692307694E-3</v>
      </c>
      <c r="I258" s="23">
        <v>0</v>
      </c>
      <c r="J258" s="24">
        <f t="shared" si="24"/>
        <v>1.0658607692307694E-3</v>
      </c>
      <c r="K258" s="25">
        <v>0</v>
      </c>
    </row>
    <row r="259" spans="2:11" ht="20" customHeight="1" x14ac:dyDescent="0.2">
      <c r="B259" s="18">
        <f>ROWS(B$10:B259)-1</f>
        <v>249</v>
      </c>
      <c r="C259" s="19">
        <f t="shared" si="21"/>
        <v>9.5769230769230766</v>
      </c>
      <c r="D259" s="20">
        <f>-PMT(J259,COUNT(B259:$B$530),G258)</f>
        <v>16237.440384576974</v>
      </c>
      <c r="E259" s="20">
        <f t="shared" si="22"/>
        <v>4084.6357697712333</v>
      </c>
      <c r="F259" s="21">
        <f t="shared" si="23"/>
        <v>12152.80461480574</v>
      </c>
      <c r="G259" s="21">
        <f t="shared" si="20"/>
        <v>3820088.5984711815</v>
      </c>
      <c r="H259" s="22">
        <f t="shared" si="25"/>
        <v>1.0658607692307694E-3</v>
      </c>
      <c r="I259" s="23">
        <v>0</v>
      </c>
      <c r="J259" s="24">
        <f t="shared" si="24"/>
        <v>1.0658607692307694E-3</v>
      </c>
      <c r="K259" s="25">
        <v>0</v>
      </c>
    </row>
    <row r="260" spans="2:11" ht="20" customHeight="1" x14ac:dyDescent="0.2">
      <c r="B260" s="18">
        <f>ROWS(B$10:B260)-1</f>
        <v>250</v>
      </c>
      <c r="C260" s="19">
        <f t="shared" si="21"/>
        <v>9.615384615384615</v>
      </c>
      <c r="D260" s="20">
        <f>-PMT(J260,COUNT(B260:$B$530),G259)</f>
        <v>16237.440384576976</v>
      </c>
      <c r="E260" s="20">
        <f t="shared" si="22"/>
        <v>4071.6825720961856</v>
      </c>
      <c r="F260" s="21">
        <f t="shared" si="23"/>
        <v>12165.75781248079</v>
      </c>
      <c r="G260" s="21">
        <f t="shared" si="20"/>
        <v>3807922.8406587006</v>
      </c>
      <c r="H260" s="22">
        <f t="shared" si="25"/>
        <v>1.0658607692307694E-3</v>
      </c>
      <c r="I260" s="23">
        <v>0</v>
      </c>
      <c r="J260" s="24">
        <f t="shared" si="24"/>
        <v>1.0658607692307694E-3</v>
      </c>
      <c r="K260" s="25">
        <v>0</v>
      </c>
    </row>
    <row r="261" spans="2:11" ht="20" customHeight="1" x14ac:dyDescent="0.2">
      <c r="B261" s="18">
        <f>ROWS(B$10:B261)-1</f>
        <v>251</v>
      </c>
      <c r="C261" s="19">
        <f t="shared" si="21"/>
        <v>9.6538461538461533</v>
      </c>
      <c r="D261" s="20">
        <f>-PMT(J261,COUNT(B261:$B$530),G260)</f>
        <v>16237.440384576974</v>
      </c>
      <c r="E261" s="20">
        <f t="shared" si="22"/>
        <v>4058.7155681158993</v>
      </c>
      <c r="F261" s="21">
        <f t="shared" si="23"/>
        <v>12178.724816461076</v>
      </c>
      <c r="G261" s="21">
        <f t="shared" si="20"/>
        <v>3795744.1158422395</v>
      </c>
      <c r="H261" s="22">
        <f t="shared" si="25"/>
        <v>1.0658607692307694E-3</v>
      </c>
      <c r="I261" s="23">
        <v>0</v>
      </c>
      <c r="J261" s="24">
        <f t="shared" si="24"/>
        <v>1.0658607692307694E-3</v>
      </c>
      <c r="K261" s="25">
        <v>0</v>
      </c>
    </row>
    <row r="262" spans="2:11" ht="20" customHeight="1" x14ac:dyDescent="0.2">
      <c r="B262" s="18">
        <f>ROWS(B$10:B262)-1</f>
        <v>252</v>
      </c>
      <c r="C262" s="19">
        <f t="shared" si="21"/>
        <v>9.6923076923076916</v>
      </c>
      <c r="D262" s="20">
        <f>-PMT(J262,COUNT(B262:$B$530),G261)</f>
        <v>16237.440384576974</v>
      </c>
      <c r="E262" s="20">
        <f t="shared" si="22"/>
        <v>4045.7347431147759</v>
      </c>
      <c r="F262" s="21">
        <f t="shared" si="23"/>
        <v>12191.705641462198</v>
      </c>
      <c r="G262" s="21">
        <f t="shared" si="20"/>
        <v>3783552.4102007775</v>
      </c>
      <c r="H262" s="22">
        <f t="shared" si="25"/>
        <v>1.0658607692307694E-3</v>
      </c>
      <c r="I262" s="23">
        <v>0</v>
      </c>
      <c r="J262" s="24">
        <f t="shared" si="24"/>
        <v>1.0658607692307694E-3</v>
      </c>
      <c r="K262" s="25">
        <v>0</v>
      </c>
    </row>
    <row r="263" spans="2:11" ht="20" customHeight="1" x14ac:dyDescent="0.2">
      <c r="B263" s="18">
        <f>ROWS(B$10:B263)-1</f>
        <v>253</v>
      </c>
      <c r="C263" s="19">
        <f t="shared" si="21"/>
        <v>9.7307692307692299</v>
      </c>
      <c r="D263" s="20">
        <f>-PMT(J263,COUNT(B263:$B$530),G262)</f>
        <v>16237.440384576974</v>
      </c>
      <c r="E263" s="20">
        <f t="shared" si="22"/>
        <v>4032.7400823615321</v>
      </c>
      <c r="F263" s="21">
        <f t="shared" si="23"/>
        <v>12204.700302215442</v>
      </c>
      <c r="G263" s="21">
        <f t="shared" si="20"/>
        <v>3771347.7098985622</v>
      </c>
      <c r="H263" s="22">
        <f t="shared" si="25"/>
        <v>1.0658607692307694E-3</v>
      </c>
      <c r="I263" s="23">
        <v>0</v>
      </c>
      <c r="J263" s="24">
        <f t="shared" si="24"/>
        <v>1.0658607692307694E-3</v>
      </c>
      <c r="K263" s="25">
        <v>0</v>
      </c>
    </row>
    <row r="264" spans="2:11" ht="20" customHeight="1" x14ac:dyDescent="0.2">
      <c r="B264" s="18">
        <f>ROWS(B$10:B264)-1</f>
        <v>254</v>
      </c>
      <c r="C264" s="19">
        <f t="shared" si="21"/>
        <v>9.7692307692307701</v>
      </c>
      <c r="D264" s="20">
        <f>-PMT(J264,COUNT(B264:$B$530),G263)</f>
        <v>16237.440384576978</v>
      </c>
      <c r="E264" s="20">
        <f t="shared" si="22"/>
        <v>4019.7315711091824</v>
      </c>
      <c r="F264" s="21">
        <f t="shared" si="23"/>
        <v>12217.708813467794</v>
      </c>
      <c r="G264" s="21">
        <f t="shared" si="20"/>
        <v>3759130.0010850942</v>
      </c>
      <c r="H264" s="22">
        <f t="shared" si="25"/>
        <v>1.0658607692307694E-3</v>
      </c>
      <c r="I264" s="23">
        <v>0</v>
      </c>
      <c r="J264" s="24">
        <f t="shared" si="24"/>
        <v>1.0658607692307694E-3</v>
      </c>
      <c r="K264" s="25">
        <v>0</v>
      </c>
    </row>
    <row r="265" spans="2:11" ht="20" customHeight="1" x14ac:dyDescent="0.2">
      <c r="B265" s="18">
        <f>ROWS(B$10:B265)-1</f>
        <v>255</v>
      </c>
      <c r="C265" s="19">
        <f t="shared" si="21"/>
        <v>9.8076923076923084</v>
      </c>
      <c r="D265" s="20">
        <f>-PMT(J265,COUNT(B265:$B$530),G264)</f>
        <v>16237.440384576974</v>
      </c>
      <c r="E265" s="20">
        <f t="shared" si="22"/>
        <v>4006.7091945950215</v>
      </c>
      <c r="F265" s="21">
        <f t="shared" si="23"/>
        <v>12230.731189981952</v>
      </c>
      <c r="G265" s="21">
        <f t="shared" si="20"/>
        <v>3746899.2698951121</v>
      </c>
      <c r="H265" s="22">
        <f t="shared" si="25"/>
        <v>1.0658607692307694E-3</v>
      </c>
      <c r="I265" s="23">
        <v>0</v>
      </c>
      <c r="J265" s="24">
        <f t="shared" si="24"/>
        <v>1.0658607692307694E-3</v>
      </c>
      <c r="K265" s="25">
        <v>0</v>
      </c>
    </row>
    <row r="266" spans="2:11" ht="20" customHeight="1" x14ac:dyDescent="0.2">
      <c r="B266" s="18">
        <f>ROWS(B$10:B266)-1</f>
        <v>256</v>
      </c>
      <c r="C266" s="19">
        <f t="shared" si="21"/>
        <v>9.8461538461538467</v>
      </c>
      <c r="D266" s="20">
        <f>-PMT(J266,COUNT(B266:$B$530),G265)</f>
        <v>16237.440384576976</v>
      </c>
      <c r="E266" s="20">
        <f t="shared" si="22"/>
        <v>3993.6729380406127</v>
      </c>
      <c r="F266" s="21">
        <f t="shared" si="23"/>
        <v>12243.767446536363</v>
      </c>
      <c r="G266" s="21">
        <f t="shared" si="20"/>
        <v>3734655.5024485756</v>
      </c>
      <c r="H266" s="22">
        <f t="shared" si="25"/>
        <v>1.0658607692307694E-3</v>
      </c>
      <c r="I266" s="23">
        <v>0</v>
      </c>
      <c r="J266" s="24">
        <f t="shared" si="24"/>
        <v>1.0658607692307694E-3</v>
      </c>
      <c r="K266" s="25">
        <v>0</v>
      </c>
    </row>
    <row r="267" spans="2:11" ht="20" customHeight="1" x14ac:dyDescent="0.2">
      <c r="B267" s="18">
        <f>ROWS(B$10:B267)-1</f>
        <v>257</v>
      </c>
      <c r="C267" s="19">
        <f t="shared" si="21"/>
        <v>9.884615384615385</v>
      </c>
      <c r="D267" s="20">
        <f>-PMT(J267,COUNT(B267:$B$530),G266)</f>
        <v>16237.440384576974</v>
      </c>
      <c r="E267" s="20">
        <f t="shared" si="22"/>
        <v>3980.6227866517643</v>
      </c>
      <c r="F267" s="21">
        <f t="shared" si="23"/>
        <v>12256.81759792521</v>
      </c>
      <c r="G267" s="21">
        <f t="shared" ref="G267:G330" si="26">G266-F267-K267</f>
        <v>3722398.6848506504</v>
      </c>
      <c r="H267" s="22">
        <f t="shared" si="25"/>
        <v>1.0658607692307694E-3</v>
      </c>
      <c r="I267" s="23">
        <v>0</v>
      </c>
      <c r="J267" s="24">
        <f t="shared" si="24"/>
        <v>1.0658607692307694E-3</v>
      </c>
      <c r="K267" s="25">
        <v>0</v>
      </c>
    </row>
    <row r="268" spans="2:11" ht="20" customHeight="1" x14ac:dyDescent="0.2">
      <c r="B268" s="18">
        <f>ROWS(B$10:B268)-1</f>
        <v>258</v>
      </c>
      <c r="C268" s="19">
        <f t="shared" ref="C268:C331" si="27">(B268/$G$3)</f>
        <v>9.9230769230769234</v>
      </c>
      <c r="D268" s="20">
        <f>-PMT(J268,COUNT(B268:$B$530),G267)</f>
        <v>16237.440384576974</v>
      </c>
      <c r="E268" s="20">
        <f t="shared" ref="E268:E331" si="28">G267*J268</f>
        <v>3967.5587256185186</v>
      </c>
      <c r="F268" s="21">
        <f t="shared" ref="F268:F331" si="29">D268-E268</f>
        <v>12269.881658958455</v>
      </c>
      <c r="G268" s="21">
        <f t="shared" si="26"/>
        <v>3710128.8031916921</v>
      </c>
      <c r="H268" s="22">
        <f t="shared" si="25"/>
        <v>1.0658607692307694E-3</v>
      </c>
      <c r="I268" s="23">
        <v>0</v>
      </c>
      <c r="J268" s="24">
        <f t="shared" ref="J268:J331" si="30">H268+(H268*I268)</f>
        <v>1.0658607692307694E-3</v>
      </c>
      <c r="K268" s="25">
        <v>0</v>
      </c>
    </row>
    <row r="269" spans="2:11" ht="20" customHeight="1" x14ac:dyDescent="0.2">
      <c r="B269" s="18">
        <f>ROWS(B$10:B269)-1</f>
        <v>259</v>
      </c>
      <c r="C269" s="19">
        <f t="shared" si="27"/>
        <v>9.9615384615384617</v>
      </c>
      <c r="D269" s="20">
        <f>-PMT(J269,COUNT(B269:$B$530),G268)</f>
        <v>16237.440384576974</v>
      </c>
      <c r="E269" s="20">
        <f t="shared" si="28"/>
        <v>3954.4807401151311</v>
      </c>
      <c r="F269" s="21">
        <f t="shared" si="29"/>
        <v>12282.959644461844</v>
      </c>
      <c r="G269" s="21">
        <f t="shared" si="26"/>
        <v>3697845.8435472301</v>
      </c>
      <c r="H269" s="22">
        <f t="shared" si="25"/>
        <v>1.0658607692307694E-3</v>
      </c>
      <c r="I269" s="23">
        <v>0</v>
      </c>
      <c r="J269" s="24">
        <f t="shared" si="30"/>
        <v>1.0658607692307694E-3</v>
      </c>
      <c r="K269" s="25">
        <v>0</v>
      </c>
    </row>
    <row r="270" spans="2:11" ht="20" customHeight="1" x14ac:dyDescent="0.2">
      <c r="B270" s="18">
        <f>ROWS(B$10:B270)-1</f>
        <v>260</v>
      </c>
      <c r="C270" s="19">
        <f t="shared" si="27"/>
        <v>10</v>
      </c>
      <c r="D270" s="20">
        <f>-PMT(J270,COUNT(B270:$B$530),G269)</f>
        <v>16237.440384576972</v>
      </c>
      <c r="E270" s="20">
        <f t="shared" si="28"/>
        <v>3941.3888153000544</v>
      </c>
      <c r="F270" s="21">
        <f t="shared" si="29"/>
        <v>12296.051569276919</v>
      </c>
      <c r="G270" s="21">
        <f t="shared" si="26"/>
        <v>3685549.7919779532</v>
      </c>
      <c r="H270" s="22">
        <f t="shared" si="25"/>
        <v>1.0658607692307694E-3</v>
      </c>
      <c r="I270" s="23">
        <v>0</v>
      </c>
      <c r="J270" s="24">
        <f t="shared" si="30"/>
        <v>1.0658607692307694E-3</v>
      </c>
      <c r="K270" s="25">
        <v>0</v>
      </c>
    </row>
    <row r="271" spans="2:11" ht="20" customHeight="1" x14ac:dyDescent="0.2">
      <c r="B271" s="18">
        <f>ROWS(B$10:B271)-1</f>
        <v>261</v>
      </c>
      <c r="C271" s="19">
        <f t="shared" si="27"/>
        <v>10.038461538461538</v>
      </c>
      <c r="D271" s="20">
        <f>-PMT(J271,COUNT(B271:$B$530),G270)</f>
        <v>16237.440384576972</v>
      </c>
      <c r="E271" s="20">
        <f t="shared" si="28"/>
        <v>3928.2829363159235</v>
      </c>
      <c r="F271" s="21">
        <f t="shared" si="29"/>
        <v>12309.157448261049</v>
      </c>
      <c r="G271" s="21">
        <f t="shared" si="26"/>
        <v>3673240.6345296921</v>
      </c>
      <c r="H271" s="22">
        <f t="shared" si="25"/>
        <v>1.0658607692307694E-3</v>
      </c>
      <c r="I271" s="23">
        <v>0</v>
      </c>
      <c r="J271" s="24">
        <f t="shared" si="30"/>
        <v>1.0658607692307694E-3</v>
      </c>
      <c r="K271" s="25">
        <v>0</v>
      </c>
    </row>
    <row r="272" spans="2:11" ht="20" customHeight="1" x14ac:dyDescent="0.2">
      <c r="B272" s="18">
        <f>ROWS(B$10:B272)-1</f>
        <v>262</v>
      </c>
      <c r="C272" s="19">
        <f t="shared" si="27"/>
        <v>10.076923076923077</v>
      </c>
      <c r="D272" s="20">
        <f>-PMT(J272,COUNT(B272:$B$530),G271)</f>
        <v>16237.440384576976</v>
      </c>
      <c r="E272" s="20">
        <f t="shared" si="28"/>
        <v>3915.1630882895374</v>
      </c>
      <c r="F272" s="21">
        <f t="shared" si="29"/>
        <v>12322.277296287439</v>
      </c>
      <c r="G272" s="21">
        <f t="shared" si="26"/>
        <v>3660918.3572334046</v>
      </c>
      <c r="H272" s="22">
        <f t="shared" si="25"/>
        <v>1.0658607692307694E-3</v>
      </c>
      <c r="I272" s="23">
        <v>0</v>
      </c>
      <c r="J272" s="24">
        <f t="shared" si="30"/>
        <v>1.0658607692307694E-3</v>
      </c>
      <c r="K272" s="25">
        <v>0</v>
      </c>
    </row>
    <row r="273" spans="2:11" ht="20" customHeight="1" x14ac:dyDescent="0.2">
      <c r="B273" s="18">
        <f>ROWS(B$10:B273)-1</f>
        <v>263</v>
      </c>
      <c r="C273" s="19">
        <f t="shared" si="27"/>
        <v>10.115384615384615</v>
      </c>
      <c r="D273" s="20">
        <f>-PMT(J273,COUNT(B273:$B$530),G272)</f>
        <v>16237.440384576974</v>
      </c>
      <c r="E273" s="20">
        <f t="shared" si="28"/>
        <v>3902.0292563318412</v>
      </c>
      <c r="F273" s="21">
        <f t="shared" si="29"/>
        <v>12335.411128245132</v>
      </c>
      <c r="G273" s="21">
        <f t="shared" si="26"/>
        <v>3648582.9461051594</v>
      </c>
      <c r="H273" s="22">
        <f t="shared" si="25"/>
        <v>1.0658607692307694E-3</v>
      </c>
      <c r="I273" s="23">
        <v>0</v>
      </c>
      <c r="J273" s="24">
        <f t="shared" si="30"/>
        <v>1.0658607692307694E-3</v>
      </c>
      <c r="K273" s="25">
        <v>0</v>
      </c>
    </row>
    <row r="274" spans="2:11" ht="20" customHeight="1" x14ac:dyDescent="0.2">
      <c r="B274" s="18">
        <f>ROWS(B$10:B274)-1</f>
        <v>264</v>
      </c>
      <c r="C274" s="19">
        <f t="shared" si="27"/>
        <v>10.153846153846153</v>
      </c>
      <c r="D274" s="20">
        <f>-PMT(J274,COUNT(B274:$B$530),G273)</f>
        <v>16237.440384576974</v>
      </c>
      <c r="E274" s="20">
        <f t="shared" si="28"/>
        <v>3888.881425537912</v>
      </c>
      <c r="F274" s="21">
        <f t="shared" si="29"/>
        <v>12348.558959039063</v>
      </c>
      <c r="G274" s="21">
        <f t="shared" si="26"/>
        <v>3636234.3871461204</v>
      </c>
      <c r="H274" s="22">
        <f t="shared" si="25"/>
        <v>1.0658607692307694E-3</v>
      </c>
      <c r="I274" s="23">
        <v>0</v>
      </c>
      <c r="J274" s="24">
        <f t="shared" si="30"/>
        <v>1.0658607692307694E-3</v>
      </c>
      <c r="K274" s="25">
        <v>0</v>
      </c>
    </row>
    <row r="275" spans="2:11" ht="20" customHeight="1" x14ac:dyDescent="0.2">
      <c r="B275" s="18">
        <f>ROWS(B$10:B275)-1</f>
        <v>265</v>
      </c>
      <c r="C275" s="19">
        <f t="shared" si="27"/>
        <v>10.192307692307692</v>
      </c>
      <c r="D275" s="20">
        <f>-PMT(J275,COUNT(B275:$B$530),G274)</f>
        <v>16237.440384576972</v>
      </c>
      <c r="E275" s="20">
        <f t="shared" si="28"/>
        <v>3875.7195809869395</v>
      </c>
      <c r="F275" s="21">
        <f t="shared" si="29"/>
        <v>12361.720803590033</v>
      </c>
      <c r="G275" s="21">
        <f t="shared" si="26"/>
        <v>3623872.6663425304</v>
      </c>
      <c r="H275" s="22">
        <f t="shared" si="25"/>
        <v>1.0658607692307694E-3</v>
      </c>
      <c r="I275" s="23">
        <v>0</v>
      </c>
      <c r="J275" s="24">
        <f t="shared" si="30"/>
        <v>1.0658607692307694E-3</v>
      </c>
      <c r="K275" s="25">
        <v>0</v>
      </c>
    </row>
    <row r="276" spans="2:11" ht="20" customHeight="1" x14ac:dyDescent="0.2">
      <c r="B276" s="18">
        <f>ROWS(B$10:B276)-1</f>
        <v>266</v>
      </c>
      <c r="C276" s="19">
        <f t="shared" si="27"/>
        <v>10.23076923076923</v>
      </c>
      <c r="D276" s="20">
        <f>-PMT(J276,COUNT(B276:$B$530),G275)</f>
        <v>16237.440384576978</v>
      </c>
      <c r="E276" s="20">
        <f t="shared" si="28"/>
        <v>3862.5437077422089</v>
      </c>
      <c r="F276" s="21">
        <f t="shared" si="29"/>
        <v>12374.896676834769</v>
      </c>
      <c r="G276" s="21">
        <f t="shared" si="26"/>
        <v>3611497.7696656957</v>
      </c>
      <c r="H276" s="22">
        <f t="shared" si="25"/>
        <v>1.0658607692307694E-3</v>
      </c>
      <c r="I276" s="23">
        <v>0</v>
      </c>
      <c r="J276" s="24">
        <f t="shared" si="30"/>
        <v>1.0658607692307694E-3</v>
      </c>
      <c r="K276" s="25">
        <v>0</v>
      </c>
    </row>
    <row r="277" spans="2:11" ht="20" customHeight="1" x14ac:dyDescent="0.2">
      <c r="B277" s="18">
        <f>ROWS(B$10:B277)-1</f>
        <v>267</v>
      </c>
      <c r="C277" s="19">
        <f t="shared" si="27"/>
        <v>10.26923076923077</v>
      </c>
      <c r="D277" s="20">
        <f>-PMT(J277,COUNT(B277:$B$530),G276)</f>
        <v>16237.440384576976</v>
      </c>
      <c r="E277" s="20">
        <f t="shared" si="28"/>
        <v>3849.3537908510866</v>
      </c>
      <c r="F277" s="21">
        <f t="shared" si="29"/>
        <v>12388.08659372589</v>
      </c>
      <c r="G277" s="21">
        <f t="shared" si="26"/>
        <v>3599109.68307197</v>
      </c>
      <c r="H277" s="22">
        <f t="shared" si="25"/>
        <v>1.0658607692307694E-3</v>
      </c>
      <c r="I277" s="23">
        <v>0</v>
      </c>
      <c r="J277" s="24">
        <f t="shared" si="30"/>
        <v>1.0658607692307694E-3</v>
      </c>
      <c r="K277" s="25">
        <v>0</v>
      </c>
    </row>
    <row r="278" spans="2:11" ht="20" customHeight="1" x14ac:dyDescent="0.2">
      <c r="B278" s="18">
        <f>ROWS(B$10:B278)-1</f>
        <v>268</v>
      </c>
      <c r="C278" s="19">
        <f t="shared" si="27"/>
        <v>10.307692307692308</v>
      </c>
      <c r="D278" s="20">
        <f>-PMT(J278,COUNT(B278:$B$530),G277)</f>
        <v>16237.440384576976</v>
      </c>
      <c r="E278" s="20">
        <f t="shared" si="28"/>
        <v>3836.1498153450007</v>
      </c>
      <c r="F278" s="21">
        <f t="shared" si="29"/>
        <v>12401.290569231975</v>
      </c>
      <c r="G278" s="21">
        <f t="shared" si="26"/>
        <v>3586708.3925027382</v>
      </c>
      <c r="H278" s="22">
        <f t="shared" si="25"/>
        <v>1.0658607692307694E-3</v>
      </c>
      <c r="I278" s="23">
        <v>0</v>
      </c>
      <c r="J278" s="24">
        <f t="shared" si="30"/>
        <v>1.0658607692307694E-3</v>
      </c>
      <c r="K278" s="25">
        <v>0</v>
      </c>
    </row>
    <row r="279" spans="2:11" ht="20" customHeight="1" x14ac:dyDescent="0.2">
      <c r="B279" s="18">
        <f>ROWS(B$10:B279)-1</f>
        <v>269</v>
      </c>
      <c r="C279" s="19">
        <f t="shared" si="27"/>
        <v>10.346153846153847</v>
      </c>
      <c r="D279" s="20">
        <f>-PMT(J279,COUNT(B279:$B$530),G278)</f>
        <v>16237.440384576978</v>
      </c>
      <c r="E279" s="20">
        <f t="shared" si="28"/>
        <v>3822.9317662394251</v>
      </c>
      <c r="F279" s="21">
        <f t="shared" si="29"/>
        <v>12414.508618337553</v>
      </c>
      <c r="G279" s="21">
        <f t="shared" si="26"/>
        <v>3574293.8838844006</v>
      </c>
      <c r="H279" s="22">
        <f t="shared" si="25"/>
        <v>1.0658607692307694E-3</v>
      </c>
      <c r="I279" s="23">
        <v>0</v>
      </c>
      <c r="J279" s="24">
        <f t="shared" si="30"/>
        <v>1.0658607692307694E-3</v>
      </c>
      <c r="K279" s="25">
        <v>0</v>
      </c>
    </row>
    <row r="280" spans="2:11" ht="20" customHeight="1" x14ac:dyDescent="0.2">
      <c r="B280" s="18">
        <f>ROWS(B$10:B280)-1</f>
        <v>270</v>
      </c>
      <c r="C280" s="19">
        <f t="shared" si="27"/>
        <v>10.384615384615385</v>
      </c>
      <c r="D280" s="20">
        <f>-PMT(J280,COUNT(B280:$B$530),G279)</f>
        <v>16237.440384576976</v>
      </c>
      <c r="E280" s="20">
        <f t="shared" si="28"/>
        <v>3809.6996285338619</v>
      </c>
      <c r="F280" s="21">
        <f t="shared" si="29"/>
        <v>12427.740756043113</v>
      </c>
      <c r="G280" s="21">
        <f t="shared" si="26"/>
        <v>3561866.1431283574</v>
      </c>
      <c r="H280" s="22">
        <f t="shared" si="25"/>
        <v>1.0658607692307694E-3</v>
      </c>
      <c r="I280" s="23">
        <v>0</v>
      </c>
      <c r="J280" s="24">
        <f t="shared" si="30"/>
        <v>1.0658607692307694E-3</v>
      </c>
      <c r="K280" s="25">
        <v>0</v>
      </c>
    </row>
    <row r="281" spans="2:11" ht="20" customHeight="1" x14ac:dyDescent="0.2">
      <c r="B281" s="18">
        <f>ROWS(B$10:B281)-1</f>
        <v>271</v>
      </c>
      <c r="C281" s="19">
        <f t="shared" si="27"/>
        <v>10.423076923076923</v>
      </c>
      <c r="D281" s="20">
        <f>-PMT(J281,COUNT(B281:$B$530),G280)</f>
        <v>16237.440384576976</v>
      </c>
      <c r="E281" s="20">
        <f t="shared" si="28"/>
        <v>3796.453387211825</v>
      </c>
      <c r="F281" s="21">
        <f t="shared" si="29"/>
        <v>12440.986997365151</v>
      </c>
      <c r="G281" s="21">
        <f t="shared" si="26"/>
        <v>3549425.1561309923</v>
      </c>
      <c r="H281" s="22">
        <f t="shared" si="25"/>
        <v>1.0658607692307694E-3</v>
      </c>
      <c r="I281" s="23">
        <v>0</v>
      </c>
      <c r="J281" s="24">
        <f t="shared" si="30"/>
        <v>1.0658607692307694E-3</v>
      </c>
      <c r="K281" s="25">
        <v>0</v>
      </c>
    </row>
    <row r="282" spans="2:11" ht="20" customHeight="1" x14ac:dyDescent="0.2">
      <c r="B282" s="18">
        <f>ROWS(B$10:B282)-1</f>
        <v>272</v>
      </c>
      <c r="C282" s="19">
        <f t="shared" si="27"/>
        <v>10.461538461538462</v>
      </c>
      <c r="D282" s="20">
        <f>-PMT(J282,COUNT(B282:$B$530),G281)</f>
        <v>16237.440384576976</v>
      </c>
      <c r="E282" s="20">
        <f t="shared" si="28"/>
        <v>3783.1930272408235</v>
      </c>
      <c r="F282" s="21">
        <f t="shared" si="29"/>
        <v>12454.247357336153</v>
      </c>
      <c r="G282" s="21">
        <f t="shared" si="26"/>
        <v>3536970.908773656</v>
      </c>
      <c r="H282" s="22">
        <f t="shared" si="25"/>
        <v>1.0658607692307694E-3</v>
      </c>
      <c r="I282" s="23">
        <v>0</v>
      </c>
      <c r="J282" s="24">
        <f t="shared" si="30"/>
        <v>1.0658607692307694E-3</v>
      </c>
      <c r="K282" s="25">
        <v>0</v>
      </c>
    </row>
    <row r="283" spans="2:11" ht="20" customHeight="1" x14ac:dyDescent="0.2">
      <c r="B283" s="18">
        <f>ROWS(B$10:B283)-1</f>
        <v>273</v>
      </c>
      <c r="C283" s="19">
        <f t="shared" si="27"/>
        <v>10.5</v>
      </c>
      <c r="D283" s="20">
        <f>-PMT(J283,COUNT(B283:$B$530),G282)</f>
        <v>16237.440384576976</v>
      </c>
      <c r="E283" s="20">
        <f t="shared" si="28"/>
        <v>3769.9185335723428</v>
      </c>
      <c r="F283" s="21">
        <f t="shared" si="29"/>
        <v>12467.521851004632</v>
      </c>
      <c r="G283" s="21">
        <f t="shared" si="26"/>
        <v>3524503.3869226514</v>
      </c>
      <c r="H283" s="22">
        <f t="shared" si="25"/>
        <v>1.0658607692307694E-3</v>
      </c>
      <c r="I283" s="23">
        <v>0</v>
      </c>
      <c r="J283" s="24">
        <f t="shared" si="30"/>
        <v>1.0658607692307694E-3</v>
      </c>
      <c r="K283" s="25">
        <v>0</v>
      </c>
    </row>
    <row r="284" spans="2:11" ht="20" customHeight="1" x14ac:dyDescent="0.2">
      <c r="B284" s="18">
        <f>ROWS(B$10:B284)-1</f>
        <v>274</v>
      </c>
      <c r="C284" s="19">
        <f t="shared" si="27"/>
        <v>10.538461538461538</v>
      </c>
      <c r="D284" s="20">
        <f>-PMT(J284,COUNT(B284:$B$530),G283)</f>
        <v>16237.440384576978</v>
      </c>
      <c r="E284" s="20">
        <f t="shared" si="28"/>
        <v>3756.6298911418294</v>
      </c>
      <c r="F284" s="21">
        <f t="shared" si="29"/>
        <v>12480.810493435149</v>
      </c>
      <c r="G284" s="21">
        <f t="shared" si="26"/>
        <v>3512022.5764292162</v>
      </c>
      <c r="H284" s="22">
        <f t="shared" si="25"/>
        <v>1.0658607692307694E-3</v>
      </c>
      <c r="I284" s="23">
        <v>0</v>
      </c>
      <c r="J284" s="24">
        <f t="shared" si="30"/>
        <v>1.0658607692307694E-3</v>
      </c>
      <c r="K284" s="25">
        <v>0</v>
      </c>
    </row>
    <row r="285" spans="2:11" ht="20" customHeight="1" x14ac:dyDescent="0.2">
      <c r="B285" s="18">
        <f>ROWS(B$10:B285)-1</f>
        <v>275</v>
      </c>
      <c r="C285" s="19">
        <f t="shared" si="27"/>
        <v>10.576923076923077</v>
      </c>
      <c r="D285" s="20">
        <f>-PMT(J285,COUNT(B285:$B$530),G284)</f>
        <v>16237.440384576976</v>
      </c>
      <c r="E285" s="20">
        <f t="shared" si="28"/>
        <v>3743.327084868673</v>
      </c>
      <c r="F285" s="21">
        <f t="shared" si="29"/>
        <v>12494.113299708302</v>
      </c>
      <c r="G285" s="21">
        <f t="shared" si="26"/>
        <v>3499528.4631295078</v>
      </c>
      <c r="H285" s="22">
        <f t="shared" si="25"/>
        <v>1.0658607692307694E-3</v>
      </c>
      <c r="I285" s="23">
        <v>0</v>
      </c>
      <c r="J285" s="24">
        <f t="shared" si="30"/>
        <v>1.0658607692307694E-3</v>
      </c>
      <c r="K285" s="25">
        <v>0</v>
      </c>
    </row>
    <row r="286" spans="2:11" ht="20" customHeight="1" x14ac:dyDescent="0.2">
      <c r="B286" s="18">
        <f>ROWS(B$10:B286)-1</f>
        <v>276</v>
      </c>
      <c r="C286" s="19">
        <f t="shared" si="27"/>
        <v>10.615384615384615</v>
      </c>
      <c r="D286" s="20">
        <f>-PMT(J286,COUNT(B286:$B$530),G285)</f>
        <v>16237.440384576974</v>
      </c>
      <c r="E286" s="20">
        <f t="shared" si="28"/>
        <v>3730.0100996561896</v>
      </c>
      <c r="F286" s="21">
        <f t="shared" si="29"/>
        <v>12507.430284920785</v>
      </c>
      <c r="G286" s="21">
        <f t="shared" si="26"/>
        <v>3487021.0328445872</v>
      </c>
      <c r="H286" s="22">
        <f t="shared" si="25"/>
        <v>1.0658607692307694E-3</v>
      </c>
      <c r="I286" s="23">
        <v>0</v>
      </c>
      <c r="J286" s="24">
        <f t="shared" si="30"/>
        <v>1.0658607692307694E-3</v>
      </c>
      <c r="K286" s="25">
        <v>0</v>
      </c>
    </row>
    <row r="287" spans="2:11" ht="20" customHeight="1" x14ac:dyDescent="0.2">
      <c r="B287" s="18">
        <f>ROWS(B$10:B287)-1</f>
        <v>277</v>
      </c>
      <c r="C287" s="19">
        <f t="shared" si="27"/>
        <v>10.653846153846153</v>
      </c>
      <c r="D287" s="20">
        <f>-PMT(J287,COUNT(B287:$B$530),G286)</f>
        <v>16237.440384576978</v>
      </c>
      <c r="E287" s="20">
        <f t="shared" si="28"/>
        <v>3716.6789203916037</v>
      </c>
      <c r="F287" s="21">
        <f t="shared" si="29"/>
        <v>12520.761464185374</v>
      </c>
      <c r="G287" s="21">
        <f t="shared" si="26"/>
        <v>3474500.2713804017</v>
      </c>
      <c r="H287" s="22">
        <f t="shared" si="25"/>
        <v>1.0658607692307694E-3</v>
      </c>
      <c r="I287" s="23">
        <v>0</v>
      </c>
      <c r="J287" s="24">
        <f t="shared" si="30"/>
        <v>1.0658607692307694E-3</v>
      </c>
      <c r="K287" s="25">
        <v>0</v>
      </c>
    </row>
    <row r="288" spans="2:11" ht="20" customHeight="1" x14ac:dyDescent="0.2">
      <c r="B288" s="18">
        <f>ROWS(B$10:B288)-1</f>
        <v>278</v>
      </c>
      <c r="C288" s="19">
        <f t="shared" si="27"/>
        <v>10.692307692307692</v>
      </c>
      <c r="D288" s="20">
        <f>-PMT(J288,COUNT(B288:$B$530),G287)</f>
        <v>16237.440384576976</v>
      </c>
      <c r="E288" s="20">
        <f t="shared" si="28"/>
        <v>3703.3335319460321</v>
      </c>
      <c r="F288" s="21">
        <f t="shared" si="29"/>
        <v>12534.106852630943</v>
      </c>
      <c r="G288" s="21">
        <f t="shared" si="26"/>
        <v>3461166.1645277706</v>
      </c>
      <c r="H288" s="22">
        <f t="shared" si="25"/>
        <v>1.0658607692307694E-3</v>
      </c>
      <c r="I288" s="23">
        <v>0</v>
      </c>
      <c r="J288" s="24">
        <f t="shared" si="30"/>
        <v>1.0658607692307694E-3</v>
      </c>
      <c r="K288" s="25">
        <v>800</v>
      </c>
    </row>
    <row r="289" spans="2:11" ht="20" customHeight="1" x14ac:dyDescent="0.2">
      <c r="B289" s="18">
        <f>ROWS(B$10:B289)-1</f>
        <v>279</v>
      </c>
      <c r="C289" s="19">
        <f t="shared" si="27"/>
        <v>10.73076923076923</v>
      </c>
      <c r="D289" s="20">
        <f>-PMT(J289,COUNT(B289:$B$530),G288)</f>
        <v>16233.688195303503</v>
      </c>
      <c r="E289" s="20">
        <f t="shared" si="28"/>
        <v>3689.1212305590816</v>
      </c>
      <c r="F289" s="21">
        <f t="shared" si="29"/>
        <v>12544.566964744421</v>
      </c>
      <c r="G289" s="21">
        <f t="shared" si="26"/>
        <v>3447821.597563026</v>
      </c>
      <c r="H289" s="22">
        <f t="shared" si="25"/>
        <v>1.0658607692307694E-3</v>
      </c>
      <c r="I289" s="23">
        <v>0</v>
      </c>
      <c r="J289" s="24">
        <f t="shared" si="30"/>
        <v>1.0658607692307694E-3</v>
      </c>
      <c r="K289" s="25">
        <v>800</v>
      </c>
    </row>
    <row r="290" spans="2:11" ht="20" customHeight="1" x14ac:dyDescent="0.2">
      <c r="B290" s="18">
        <f>ROWS(B$10:B290)-1</f>
        <v>280</v>
      </c>
      <c r="C290" s="19">
        <f t="shared" si="27"/>
        <v>10.76923076923077</v>
      </c>
      <c r="D290" s="20">
        <f>-PMT(J290,COUNT(B290:$B$530),G289)</f>
        <v>16229.922357217518</v>
      </c>
      <c r="E290" s="20">
        <f t="shared" si="28"/>
        <v>3674.8977801489873</v>
      </c>
      <c r="F290" s="21">
        <f t="shared" si="29"/>
        <v>12555.024577068531</v>
      </c>
      <c r="G290" s="21">
        <f t="shared" si="26"/>
        <v>3434466.5729859574</v>
      </c>
      <c r="H290" s="22">
        <f t="shared" si="25"/>
        <v>1.0658607692307694E-3</v>
      </c>
      <c r="I290" s="23">
        <v>0</v>
      </c>
      <c r="J290" s="24">
        <f t="shared" si="30"/>
        <v>1.0658607692307694E-3</v>
      </c>
      <c r="K290" s="25">
        <v>800</v>
      </c>
    </row>
    <row r="291" spans="2:11" ht="20" customHeight="1" x14ac:dyDescent="0.2">
      <c r="B291" s="18">
        <f>ROWS(B$10:B291)-1</f>
        <v>281</v>
      </c>
      <c r="C291" s="19">
        <f t="shared" si="27"/>
        <v>10.807692307692308</v>
      </c>
      <c r="D291" s="20">
        <f>-PMT(J291,COUNT(B291:$B$530),G290)</f>
        <v>16226.142755952258</v>
      </c>
      <c r="E291" s="20">
        <f t="shared" si="28"/>
        <v>3660.6631833801771</v>
      </c>
      <c r="F291" s="21">
        <f t="shared" si="29"/>
        <v>12565.479572572081</v>
      </c>
      <c r="G291" s="21">
        <f t="shared" si="26"/>
        <v>3421101.0934133851</v>
      </c>
      <c r="H291" s="22">
        <f t="shared" si="25"/>
        <v>1.0658607692307694E-3</v>
      </c>
      <c r="I291" s="23">
        <v>0</v>
      </c>
      <c r="J291" s="24">
        <f t="shared" si="30"/>
        <v>1.0658607692307694E-3</v>
      </c>
      <c r="K291" s="25">
        <v>800</v>
      </c>
    </row>
    <row r="292" spans="2:11" ht="20" customHeight="1" x14ac:dyDescent="0.2">
      <c r="B292" s="18">
        <f>ROWS(B$10:B292)-1</f>
        <v>282</v>
      </c>
      <c r="C292" s="19">
        <f t="shared" si="27"/>
        <v>10.846153846153847</v>
      </c>
      <c r="D292" s="20">
        <f>-PMT(J292,COUNT(B292:$B$530),G291)</f>
        <v>16222.349275705341</v>
      </c>
      <c r="E292" s="20">
        <f t="shared" si="28"/>
        <v>3646.417443041817</v>
      </c>
      <c r="F292" s="21">
        <f t="shared" si="29"/>
        <v>12575.931832663524</v>
      </c>
      <c r="G292" s="21">
        <f t="shared" si="26"/>
        <v>3407725.1615807214</v>
      </c>
      <c r="H292" s="22">
        <f t="shared" si="25"/>
        <v>1.0658607692307694E-3</v>
      </c>
      <c r="I292" s="23">
        <v>0</v>
      </c>
      <c r="J292" s="24">
        <f t="shared" si="30"/>
        <v>1.0658607692307694E-3</v>
      </c>
      <c r="K292" s="25">
        <v>800</v>
      </c>
    </row>
    <row r="293" spans="2:11" ht="20" customHeight="1" x14ac:dyDescent="0.2">
      <c r="B293" s="18">
        <f>ROWS(B$10:B293)-1</f>
        <v>283</v>
      </c>
      <c r="C293" s="19">
        <f t="shared" si="27"/>
        <v>10.884615384615385</v>
      </c>
      <c r="D293" s="20">
        <f>-PMT(J293,COUNT(B293:$B$530),G292)</f>
        <v>16218.541799214672</v>
      </c>
      <c r="E293" s="20">
        <f t="shared" si="28"/>
        <v>3632.1605620494756</v>
      </c>
      <c r="F293" s="21">
        <f t="shared" si="29"/>
        <v>12586.381237165197</v>
      </c>
      <c r="G293" s="21">
        <f t="shared" si="26"/>
        <v>3394338.7803435563</v>
      </c>
      <c r="H293" s="22">
        <f t="shared" si="25"/>
        <v>1.0658607692307694E-3</v>
      </c>
      <c r="I293" s="23">
        <v>0</v>
      </c>
      <c r="J293" s="24">
        <f t="shared" si="30"/>
        <v>1.0658607692307694E-3</v>
      </c>
      <c r="K293" s="25">
        <v>800</v>
      </c>
    </row>
    <row r="294" spans="2:11" ht="20" customHeight="1" x14ac:dyDescent="0.2">
      <c r="B294" s="18">
        <f>ROWS(B$10:B294)-1</f>
        <v>284</v>
      </c>
      <c r="C294" s="19">
        <f t="shared" si="27"/>
        <v>10.923076923076923</v>
      </c>
      <c r="D294" s="20">
        <f>-PMT(J294,COUNT(B294:$B$530),G293)</f>
        <v>16214.720207733793</v>
      </c>
      <c r="E294" s="20">
        <f t="shared" si="28"/>
        <v>3617.8925434468147</v>
      </c>
      <c r="F294" s="21">
        <f t="shared" si="29"/>
        <v>12596.827664286979</v>
      </c>
      <c r="G294" s="21">
        <f t="shared" si="26"/>
        <v>3380941.9526792695</v>
      </c>
      <c r="H294" s="22">
        <f t="shared" si="25"/>
        <v>1.0658607692307694E-3</v>
      </c>
      <c r="I294" s="23">
        <v>0</v>
      </c>
      <c r="J294" s="24">
        <f t="shared" si="30"/>
        <v>1.0658607692307694E-3</v>
      </c>
      <c r="K294" s="25">
        <v>800</v>
      </c>
    </row>
    <row r="295" spans="2:11" ht="20" customHeight="1" x14ac:dyDescent="0.2">
      <c r="B295" s="18">
        <f>ROWS(B$10:B295)-1</f>
        <v>285</v>
      </c>
      <c r="C295" s="19">
        <f t="shared" si="27"/>
        <v>10.961538461538462</v>
      </c>
      <c r="D295" s="20">
        <f>-PMT(J295,COUNT(B295:$B$530),G294)</f>
        <v>16210.884381006708</v>
      </c>
      <c r="E295" s="20">
        <f t="shared" si="28"/>
        <v>3603.6133904073058</v>
      </c>
      <c r="F295" s="21">
        <f t="shared" si="29"/>
        <v>12607.270990599402</v>
      </c>
      <c r="G295" s="21">
        <f t="shared" si="26"/>
        <v>3367534.6816886701</v>
      </c>
      <c r="H295" s="22">
        <f t="shared" si="25"/>
        <v>1.0658607692307694E-3</v>
      </c>
      <c r="I295" s="23">
        <v>0</v>
      </c>
      <c r="J295" s="24">
        <f t="shared" si="30"/>
        <v>1.0658607692307694E-3</v>
      </c>
      <c r="K295" s="25">
        <v>800</v>
      </c>
    </row>
    <row r="296" spans="2:11" ht="20" customHeight="1" x14ac:dyDescent="0.2">
      <c r="B296" s="18">
        <f>ROWS(B$10:B296)-1</f>
        <v>286</v>
      </c>
      <c r="C296" s="19">
        <f t="shared" si="27"/>
        <v>11</v>
      </c>
      <c r="D296" s="20">
        <f>-PMT(J296,COUNT(B296:$B$530),G295)</f>
        <v>16207.034197242219</v>
      </c>
      <c r="E296" s="20">
        <f t="shared" si="28"/>
        <v>3589.32310623598</v>
      </c>
      <c r="F296" s="21">
        <f t="shared" si="29"/>
        <v>12617.71109100624</v>
      </c>
      <c r="G296" s="21">
        <f t="shared" si="26"/>
        <v>3354116.9705976639</v>
      </c>
      <c r="H296" s="22">
        <f t="shared" ref="H296:H359" si="31">J295</f>
        <v>1.0658607692307694E-3</v>
      </c>
      <c r="I296" s="23">
        <v>0</v>
      </c>
      <c r="J296" s="24">
        <f t="shared" si="30"/>
        <v>1.0658607692307694E-3</v>
      </c>
      <c r="K296" s="25">
        <v>800</v>
      </c>
    </row>
    <row r="297" spans="2:11" ht="20" customHeight="1" x14ac:dyDescent="0.2">
      <c r="B297" s="18">
        <f>ROWS(B$10:B297)-1</f>
        <v>287</v>
      </c>
      <c r="C297" s="19">
        <f t="shared" si="27"/>
        <v>11.038461538461538</v>
      </c>
      <c r="D297" s="20">
        <f>-PMT(J297,COUNT(B297:$B$530),G296)</f>
        <v>16203.169533087659</v>
      </c>
      <c r="E297" s="20">
        <f t="shared" si="28"/>
        <v>3575.0216943712039</v>
      </c>
      <c r="F297" s="21">
        <f t="shared" si="29"/>
        <v>12628.147838716455</v>
      </c>
      <c r="G297" s="21">
        <f t="shared" si="26"/>
        <v>3340688.8227589475</v>
      </c>
      <c r="H297" s="22">
        <f t="shared" si="31"/>
        <v>1.0658607692307694E-3</v>
      </c>
      <c r="I297" s="23">
        <v>0</v>
      </c>
      <c r="J297" s="24">
        <f t="shared" si="30"/>
        <v>1.0658607692307694E-3</v>
      </c>
      <c r="K297" s="25">
        <v>800</v>
      </c>
    </row>
    <row r="298" spans="2:11" ht="20" customHeight="1" x14ac:dyDescent="0.2">
      <c r="B298" s="18">
        <f>ROWS(B$10:B298)-1</f>
        <v>288</v>
      </c>
      <c r="C298" s="19">
        <f t="shared" si="27"/>
        <v>11.076923076923077</v>
      </c>
      <c r="D298" s="20">
        <f>-PMT(J298,COUNT(B298:$B$530),G297)</f>
        <v>16199.290263602099</v>
      </c>
      <c r="E298" s="20">
        <f t="shared" si="28"/>
        <v>3560.7091583864853</v>
      </c>
      <c r="F298" s="21">
        <f t="shared" si="29"/>
        <v>12638.581105215613</v>
      </c>
      <c r="G298" s="21">
        <f t="shared" si="26"/>
        <v>3327250.241653732</v>
      </c>
      <c r="H298" s="22">
        <f t="shared" si="31"/>
        <v>1.0658607692307694E-3</v>
      </c>
      <c r="I298" s="23">
        <v>0</v>
      </c>
      <c r="J298" s="24">
        <f t="shared" si="30"/>
        <v>1.0658607692307694E-3</v>
      </c>
      <c r="K298" s="25">
        <v>800</v>
      </c>
    </row>
    <row r="299" spans="2:11" ht="20" customHeight="1" x14ac:dyDescent="0.2">
      <c r="B299" s="18">
        <f>ROWS(B$10:B299)-1</f>
        <v>289</v>
      </c>
      <c r="C299" s="19">
        <f t="shared" si="27"/>
        <v>11.115384615384615</v>
      </c>
      <c r="D299" s="20">
        <f>-PMT(J299,COUNT(B299:$B$530),G298)</f>
        <v>16195.396262228958</v>
      </c>
      <c r="E299" s="20">
        <f t="shared" si="28"/>
        <v>3546.3855019923103</v>
      </c>
      <c r="F299" s="21">
        <f t="shared" si="29"/>
        <v>12649.010760236648</v>
      </c>
      <c r="G299" s="21">
        <f t="shared" si="26"/>
        <v>3313801.2308934955</v>
      </c>
      <c r="H299" s="22">
        <f t="shared" si="31"/>
        <v>1.0658607692307694E-3</v>
      </c>
      <c r="I299" s="23">
        <v>0</v>
      </c>
      <c r="J299" s="24">
        <f t="shared" si="30"/>
        <v>1.0658607692307694E-3</v>
      </c>
      <c r="K299" s="25">
        <v>800</v>
      </c>
    </row>
    <row r="300" spans="2:11" ht="20" customHeight="1" x14ac:dyDescent="0.2">
      <c r="B300" s="18">
        <f>ROWS(B$10:B300)-1</f>
        <v>290</v>
      </c>
      <c r="C300" s="19">
        <f t="shared" si="27"/>
        <v>11.153846153846153</v>
      </c>
      <c r="D300" s="20">
        <f>-PMT(J300,COUNT(B300:$B$530),G299)</f>
        <v>16191.487400768032</v>
      </c>
      <c r="E300" s="20">
        <f t="shared" si="28"/>
        <v>3532.0507290380115</v>
      </c>
      <c r="F300" s="21">
        <f t="shared" si="29"/>
        <v>12659.43667173002</v>
      </c>
      <c r="G300" s="21">
        <f t="shared" si="26"/>
        <v>3300341.7942217654</v>
      </c>
      <c r="H300" s="22">
        <f t="shared" si="31"/>
        <v>1.0658607692307694E-3</v>
      </c>
      <c r="I300" s="23">
        <v>0</v>
      </c>
      <c r="J300" s="24">
        <f t="shared" si="30"/>
        <v>1.0658607692307694E-3</v>
      </c>
      <c r="K300" s="25">
        <v>800</v>
      </c>
    </row>
    <row r="301" spans="2:11" ht="20" customHeight="1" x14ac:dyDescent="0.2">
      <c r="B301" s="18">
        <f>ROWS(B$10:B301)-1</f>
        <v>291</v>
      </c>
      <c r="C301" s="19">
        <f t="shared" si="27"/>
        <v>11.192307692307692</v>
      </c>
      <c r="D301" s="20">
        <f>-PMT(J301,COUNT(B301:$B$530),G300)</f>
        <v>16187.563549346898</v>
      </c>
      <c r="E301" s="20">
        <f t="shared" si="28"/>
        <v>3517.7048435136685</v>
      </c>
      <c r="F301" s="21">
        <f t="shared" si="29"/>
        <v>12669.85870583323</v>
      </c>
      <c r="G301" s="21">
        <f t="shared" si="26"/>
        <v>3286871.9355159323</v>
      </c>
      <c r="H301" s="22">
        <f t="shared" si="31"/>
        <v>1.0658607692307694E-3</v>
      </c>
      <c r="I301" s="23">
        <v>0</v>
      </c>
      <c r="J301" s="24">
        <f t="shared" si="30"/>
        <v>1.0658607692307694E-3</v>
      </c>
      <c r="K301" s="25">
        <v>800</v>
      </c>
    </row>
    <row r="302" spans="2:11" ht="20" customHeight="1" x14ac:dyDescent="0.2">
      <c r="B302" s="18">
        <f>ROWS(B$10:B302)-1</f>
        <v>292</v>
      </c>
      <c r="C302" s="19">
        <f t="shared" si="27"/>
        <v>11.23076923076923</v>
      </c>
      <c r="D302" s="20">
        <f>-PMT(J302,COUNT(B302:$B$530),G301)</f>
        <v>16183.624576391729</v>
      </c>
      <c r="E302" s="20">
        <f t="shared" si="28"/>
        <v>3503.3478495520394</v>
      </c>
      <c r="F302" s="21">
        <f t="shared" si="29"/>
        <v>12680.276726839689</v>
      </c>
      <c r="G302" s="21">
        <f t="shared" si="26"/>
        <v>3273391.6587890927</v>
      </c>
      <c r="H302" s="22">
        <f t="shared" si="31"/>
        <v>1.0658607692307694E-3</v>
      </c>
      <c r="I302" s="23">
        <v>0</v>
      </c>
      <c r="J302" s="24">
        <f t="shared" si="30"/>
        <v>1.0658607692307694E-3</v>
      </c>
      <c r="K302" s="25">
        <v>800</v>
      </c>
    </row>
    <row r="303" spans="2:11" ht="20" customHeight="1" x14ac:dyDescent="0.2">
      <c r="B303" s="18">
        <f>ROWS(B$10:B303)-1</f>
        <v>293</v>
      </c>
      <c r="C303" s="19">
        <f t="shared" si="27"/>
        <v>11.26923076923077</v>
      </c>
      <c r="D303" s="20">
        <f>-PMT(J303,COUNT(B303:$B$530),G302)</f>
        <v>16179.670348597409</v>
      </c>
      <c r="E303" s="20">
        <f t="shared" si="28"/>
        <v>3488.9797514305264</v>
      </c>
      <c r="F303" s="21">
        <f t="shared" si="29"/>
        <v>12690.690597166882</v>
      </c>
      <c r="G303" s="21">
        <f t="shared" si="26"/>
        <v>3259900.9681919259</v>
      </c>
      <c r="H303" s="22">
        <f t="shared" si="31"/>
        <v>1.0658607692307694E-3</v>
      </c>
      <c r="I303" s="23">
        <v>0</v>
      </c>
      <c r="J303" s="24">
        <f t="shared" si="30"/>
        <v>1.0658607692307694E-3</v>
      </c>
      <c r="K303" s="25">
        <v>800</v>
      </c>
    </row>
    <row r="304" spans="2:11" ht="20" customHeight="1" x14ac:dyDescent="0.2">
      <c r="B304" s="18">
        <f>ROWS(B$10:B304)-1</f>
        <v>294</v>
      </c>
      <c r="C304" s="19">
        <f t="shared" si="27"/>
        <v>11.307692307692308</v>
      </c>
      <c r="D304" s="20">
        <f>-PMT(J304,COUNT(B304:$B$530),G303)</f>
        <v>16175.700730897059</v>
      </c>
      <c r="E304" s="20">
        <f t="shared" si="28"/>
        <v>3474.6005535731761</v>
      </c>
      <c r="F304" s="21">
        <f t="shared" si="29"/>
        <v>12701.100177323882</v>
      </c>
      <c r="G304" s="21">
        <f t="shared" si="26"/>
        <v>3246399.868014602</v>
      </c>
      <c r="H304" s="22">
        <f t="shared" si="31"/>
        <v>1.0658607692307694E-3</v>
      </c>
      <c r="I304" s="23">
        <v>0</v>
      </c>
      <c r="J304" s="24">
        <f t="shared" si="30"/>
        <v>1.0658607692307694E-3</v>
      </c>
      <c r="K304" s="25">
        <v>800</v>
      </c>
    </row>
    <row r="305" spans="2:11" ht="20" customHeight="1" x14ac:dyDescent="0.2">
      <c r="B305" s="18">
        <f>ROWS(B$10:B305)-1</f>
        <v>295</v>
      </c>
      <c r="C305" s="19">
        <f t="shared" si="27"/>
        <v>11.346153846153847</v>
      </c>
      <c r="D305" s="20">
        <f>-PMT(J305,COUNT(B305:$B$530),G304)</f>
        <v>16171.715586430846</v>
      </c>
      <c r="E305" s="20">
        <f t="shared" si="28"/>
        <v>3460.210260552712</v>
      </c>
      <c r="F305" s="21">
        <f t="shared" si="29"/>
        <v>12711.505325878134</v>
      </c>
      <c r="G305" s="21">
        <f t="shared" si="26"/>
        <v>3232888.362688724</v>
      </c>
      <c r="H305" s="22">
        <f t="shared" si="31"/>
        <v>1.0658607692307694E-3</v>
      </c>
      <c r="I305" s="23">
        <v>0</v>
      </c>
      <c r="J305" s="24">
        <f t="shared" si="30"/>
        <v>1.0658607692307694E-3</v>
      </c>
      <c r="K305" s="25">
        <v>800</v>
      </c>
    </row>
    <row r="306" spans="2:11" ht="20" customHeight="1" x14ac:dyDescent="0.2">
      <c r="B306" s="18">
        <f>ROWS(B$10:B306)-1</f>
        <v>296</v>
      </c>
      <c r="C306" s="19">
        <f t="shared" si="27"/>
        <v>11.384615384615385</v>
      </c>
      <c r="D306" s="20">
        <f>-PMT(J306,COUNT(B306:$B$530),G305)</f>
        <v>16167.714776514089</v>
      </c>
      <c r="E306" s="20">
        <f t="shared" si="28"/>
        <v>3445.8088770926061</v>
      </c>
      <c r="F306" s="21">
        <f t="shared" si="29"/>
        <v>12721.905899421483</v>
      </c>
      <c r="G306" s="21">
        <f t="shared" si="26"/>
        <v>3219366.4567893026</v>
      </c>
      <c r="H306" s="22">
        <f t="shared" si="31"/>
        <v>1.0658607692307694E-3</v>
      </c>
      <c r="I306" s="23">
        <v>0</v>
      </c>
      <c r="J306" s="24">
        <f t="shared" si="30"/>
        <v>1.0658607692307694E-3</v>
      </c>
      <c r="K306" s="25">
        <v>800</v>
      </c>
    </row>
    <row r="307" spans="2:11" ht="20" customHeight="1" x14ac:dyDescent="0.2">
      <c r="B307" s="18">
        <f>ROWS(B$10:B307)-1</f>
        <v>297</v>
      </c>
      <c r="C307" s="19">
        <f t="shared" si="27"/>
        <v>11.423076923076923</v>
      </c>
      <c r="D307" s="20">
        <f>-PMT(J307,COUNT(B307:$B$530),G306)</f>
        <v>16163.698160604703</v>
      </c>
      <c r="E307" s="20">
        <f t="shared" si="28"/>
        <v>3431.3964080691826</v>
      </c>
      <c r="F307" s="21">
        <f t="shared" si="29"/>
        <v>12732.301752535521</v>
      </c>
      <c r="G307" s="21">
        <f t="shared" si="26"/>
        <v>3205834.155036767</v>
      </c>
      <c r="H307" s="22">
        <f t="shared" si="31"/>
        <v>1.0658607692307694E-3</v>
      </c>
      <c r="I307" s="23">
        <v>0</v>
      </c>
      <c r="J307" s="24">
        <f t="shared" si="30"/>
        <v>1.0658607692307694E-3</v>
      </c>
      <c r="K307" s="25">
        <v>800</v>
      </c>
    </row>
    <row r="308" spans="2:11" ht="20" customHeight="1" x14ac:dyDescent="0.2">
      <c r="B308" s="18">
        <f>ROWS(B$10:B308)-1</f>
        <v>298</v>
      </c>
      <c r="C308" s="19">
        <f t="shared" si="27"/>
        <v>11.461538461538462</v>
      </c>
      <c r="D308" s="20">
        <f>-PMT(J308,COUNT(B308:$B$530),G307)</f>
        <v>16159.665596269861</v>
      </c>
      <c r="E308" s="20">
        <f t="shared" si="28"/>
        <v>3416.9728585137623</v>
      </c>
      <c r="F308" s="21">
        <f t="shared" si="29"/>
        <v>12742.692737756099</v>
      </c>
      <c r="G308" s="21">
        <f t="shared" si="26"/>
        <v>3192291.4622990107</v>
      </c>
      <c r="H308" s="22">
        <f t="shared" si="31"/>
        <v>1.0658607692307694E-3</v>
      </c>
      <c r="I308" s="23">
        <v>0</v>
      </c>
      <c r="J308" s="24">
        <f t="shared" si="30"/>
        <v>1.0658607692307694E-3</v>
      </c>
      <c r="K308" s="25">
        <v>800</v>
      </c>
    </row>
    <row r="309" spans="2:11" ht="20" customHeight="1" x14ac:dyDescent="0.2">
      <c r="B309" s="18">
        <f>ROWS(B$10:B309)-1</f>
        <v>299</v>
      </c>
      <c r="C309" s="19">
        <f t="shared" si="27"/>
        <v>11.5</v>
      </c>
      <c r="D309" s="20">
        <f>-PMT(J309,COUNT(B309:$B$530),G308)</f>
        <v>16155.616939151938</v>
      </c>
      <c r="E309" s="20">
        <f t="shared" si="28"/>
        <v>3402.5382336148414</v>
      </c>
      <c r="F309" s="21">
        <f t="shared" si="29"/>
        <v>12753.078705537097</v>
      </c>
      <c r="G309" s="21">
        <f t="shared" si="26"/>
        <v>3178738.3835934736</v>
      </c>
      <c r="H309" s="22">
        <f t="shared" si="31"/>
        <v>1.0658607692307694E-3</v>
      </c>
      <c r="I309" s="23">
        <v>0</v>
      </c>
      <c r="J309" s="24">
        <f t="shared" si="30"/>
        <v>1.0658607692307694E-3</v>
      </c>
      <c r="K309" s="25">
        <v>800</v>
      </c>
    </row>
    <row r="310" spans="2:11" ht="20" customHeight="1" x14ac:dyDescent="0.2">
      <c r="B310" s="18">
        <f>ROWS(B$10:B310)-1</f>
        <v>300</v>
      </c>
      <c r="C310" s="19">
        <f t="shared" si="27"/>
        <v>11.538461538461538</v>
      </c>
      <c r="D310" s="20">
        <f>-PMT(J310,COUNT(B310:$B$530),G309)</f>
        <v>16151.552042933665</v>
      </c>
      <c r="E310" s="20">
        <f t="shared" si="28"/>
        <v>3388.0925387203124</v>
      </c>
      <c r="F310" s="21">
        <f t="shared" si="29"/>
        <v>12763.459504213351</v>
      </c>
      <c r="G310" s="21">
        <f t="shared" si="26"/>
        <v>3165174.9240892604</v>
      </c>
      <c r="H310" s="22">
        <f t="shared" si="31"/>
        <v>1.0658607692307694E-3</v>
      </c>
      <c r="I310" s="23">
        <v>0</v>
      </c>
      <c r="J310" s="24">
        <f t="shared" si="30"/>
        <v>1.0658607692307694E-3</v>
      </c>
      <c r="K310" s="25">
        <v>800</v>
      </c>
    </row>
    <row r="311" spans="2:11" ht="20" customHeight="1" x14ac:dyDescent="0.2">
      <c r="B311" s="18">
        <f>ROWS(B$10:B311)-1</f>
        <v>301</v>
      </c>
      <c r="C311" s="19">
        <f t="shared" si="27"/>
        <v>11.576923076923077</v>
      </c>
      <c r="D311" s="20">
        <f>-PMT(J311,COUNT(B311:$B$530),G310)</f>
        <v>16147.470759302505</v>
      </c>
      <c r="E311" s="20">
        <f t="shared" si="28"/>
        <v>3373.6357793397215</v>
      </c>
      <c r="F311" s="21">
        <f t="shared" si="29"/>
        <v>12773.834979962783</v>
      </c>
      <c r="G311" s="21">
        <f t="shared" si="26"/>
        <v>3151601.0891092978</v>
      </c>
      <c r="H311" s="22">
        <f t="shared" si="31"/>
        <v>1.0658607692307694E-3</v>
      </c>
      <c r="I311" s="23">
        <v>0</v>
      </c>
      <c r="J311" s="24">
        <f t="shared" si="30"/>
        <v>1.0658607692307694E-3</v>
      </c>
      <c r="K311" s="25">
        <v>800</v>
      </c>
    </row>
    <row r="312" spans="2:11" ht="20" customHeight="1" x14ac:dyDescent="0.2">
      <c r="B312" s="18">
        <f>ROWS(B$10:B312)-1</f>
        <v>302</v>
      </c>
      <c r="C312" s="19">
        <f t="shared" si="27"/>
        <v>11.615384615384615</v>
      </c>
      <c r="D312" s="20">
        <f>-PMT(J312,COUNT(B312:$B$530),G311)</f>
        <v>16143.37293791421</v>
      </c>
      <c r="E312" s="20">
        <f t="shared" si="28"/>
        <v>3359.167961146567</v>
      </c>
      <c r="F312" s="21">
        <f t="shared" si="29"/>
        <v>12784.204976767644</v>
      </c>
      <c r="G312" s="21">
        <f t="shared" si="26"/>
        <v>3138016.8841325301</v>
      </c>
      <c r="H312" s="22">
        <f t="shared" si="31"/>
        <v>1.0658607692307694E-3</v>
      </c>
      <c r="I312" s="23">
        <v>0</v>
      </c>
      <c r="J312" s="24">
        <f t="shared" si="30"/>
        <v>1.0658607692307694E-3</v>
      </c>
      <c r="K312" s="25">
        <v>800</v>
      </c>
    </row>
    <row r="313" spans="2:11" ht="20" customHeight="1" x14ac:dyDescent="0.2">
      <c r="B313" s="18">
        <f>ROWS(B$10:B313)-1</f>
        <v>303</v>
      </c>
      <c r="C313" s="19">
        <f t="shared" si="27"/>
        <v>11.653846153846153</v>
      </c>
      <c r="D313" s="20">
        <f>-PMT(J313,COUNT(B313:$B$530),G312)</f>
        <v>16139.258426355533</v>
      </c>
      <c r="E313" s="20">
        <f t="shared" si="28"/>
        <v>3344.6890899806408</v>
      </c>
      <c r="F313" s="21">
        <f t="shared" si="29"/>
        <v>12794.569336374892</v>
      </c>
      <c r="G313" s="21">
        <f t="shared" si="26"/>
        <v>3124422.3147961553</v>
      </c>
      <c r="H313" s="22">
        <f t="shared" si="31"/>
        <v>1.0658607692307694E-3</v>
      </c>
      <c r="I313" s="23">
        <v>0</v>
      </c>
      <c r="J313" s="24">
        <f t="shared" si="30"/>
        <v>1.0658607692307694E-3</v>
      </c>
      <c r="K313" s="25">
        <v>800</v>
      </c>
    </row>
    <row r="314" spans="2:11" ht="20" customHeight="1" x14ac:dyDescent="0.2">
      <c r="B314" s="18">
        <f>ROWS(B$10:B314)-1</f>
        <v>304</v>
      </c>
      <c r="C314" s="19">
        <f t="shared" si="27"/>
        <v>11.692307692307692</v>
      </c>
      <c r="D314" s="20">
        <f>-PMT(J314,COUNT(B314:$B$530),G313)</f>
        <v>16135.127070106108</v>
      </c>
      <c r="E314" s="20">
        <f t="shared" si="28"/>
        <v>3330.1991718504114</v>
      </c>
      <c r="F314" s="21">
        <f t="shared" si="29"/>
        <v>12804.927898255697</v>
      </c>
      <c r="G314" s="21">
        <f t="shared" si="26"/>
        <v>3110817.3868978997</v>
      </c>
      <c r="H314" s="22">
        <f t="shared" si="31"/>
        <v>1.0658607692307694E-3</v>
      </c>
      <c r="I314" s="23">
        <v>0</v>
      </c>
      <c r="J314" s="24">
        <f t="shared" si="30"/>
        <v>1.0658607692307694E-3</v>
      </c>
      <c r="K314" s="25">
        <v>800</v>
      </c>
    </row>
    <row r="315" spans="2:11" ht="20" customHeight="1" x14ac:dyDescent="0.2">
      <c r="B315" s="18">
        <f>ROWS(B$10:B315)-1</f>
        <v>305</v>
      </c>
      <c r="C315" s="19">
        <f t="shared" si="27"/>
        <v>11.73076923076923</v>
      </c>
      <c r="D315" s="20">
        <f>-PMT(J315,COUNT(B315:$B$530),G314)</f>
        <v>16130.978712499404</v>
      </c>
      <c r="E315" s="20">
        <f t="shared" si="28"/>
        <v>3315.6982129354474</v>
      </c>
      <c r="F315" s="21">
        <f t="shared" si="29"/>
        <v>12815.280499563956</v>
      </c>
      <c r="G315" s="21">
        <f t="shared" si="26"/>
        <v>3097202.1063983357</v>
      </c>
      <c r="H315" s="22">
        <f t="shared" si="31"/>
        <v>1.0658607692307694E-3</v>
      </c>
      <c r="I315" s="23">
        <v>0</v>
      </c>
      <c r="J315" s="24">
        <f t="shared" si="30"/>
        <v>1.0658607692307694E-3</v>
      </c>
      <c r="K315" s="25">
        <v>800</v>
      </c>
    </row>
    <row r="316" spans="2:11" ht="20" customHeight="1" x14ac:dyDescent="0.2">
      <c r="B316" s="18">
        <f>ROWS(B$10:B316)-1</f>
        <v>306</v>
      </c>
      <c r="C316" s="19">
        <f t="shared" si="27"/>
        <v>11.76923076923077</v>
      </c>
      <c r="D316" s="20">
        <f>-PMT(J316,COUNT(B316:$B$530),G315)</f>
        <v>16126.813194682825</v>
      </c>
      <c r="E316" s="20">
        <f t="shared" si="28"/>
        <v>3301.1862195888893</v>
      </c>
      <c r="F316" s="21">
        <f t="shared" si="29"/>
        <v>12825.626975093935</v>
      </c>
      <c r="G316" s="21">
        <f t="shared" si="26"/>
        <v>3083576.4794232417</v>
      </c>
      <c r="H316" s="22">
        <f t="shared" si="31"/>
        <v>1.0658607692307694E-3</v>
      </c>
      <c r="I316" s="23">
        <v>0</v>
      </c>
      <c r="J316" s="24">
        <f t="shared" si="30"/>
        <v>1.0658607692307694E-3</v>
      </c>
      <c r="K316" s="25">
        <v>800</v>
      </c>
    </row>
    <row r="317" spans="2:11" ht="20" customHeight="1" x14ac:dyDescent="0.2">
      <c r="B317" s="18">
        <f>ROWS(B$10:B317)-1</f>
        <v>307</v>
      </c>
      <c r="C317" s="19">
        <f t="shared" si="27"/>
        <v>11.807692307692308</v>
      </c>
      <c r="D317" s="20">
        <f>-PMT(J317,COUNT(B317:$B$530),G316)</f>
        <v>16122.630355576826</v>
      </c>
      <c r="E317" s="20">
        <f t="shared" si="28"/>
        <v>3286.6631983399643</v>
      </c>
      <c r="F317" s="21">
        <f t="shared" si="29"/>
        <v>12835.967157236862</v>
      </c>
      <c r="G317" s="21">
        <f t="shared" si="26"/>
        <v>3069940.5122660049</v>
      </c>
      <c r="H317" s="22">
        <f t="shared" si="31"/>
        <v>1.0658607692307694E-3</v>
      </c>
      <c r="I317" s="23">
        <v>0</v>
      </c>
      <c r="J317" s="24">
        <f t="shared" si="30"/>
        <v>1.0658607692307694E-3</v>
      </c>
      <c r="K317" s="25">
        <v>800</v>
      </c>
    </row>
    <row r="318" spans="2:11" ht="20" customHeight="1" x14ac:dyDescent="0.2">
      <c r="B318" s="18">
        <f>ROWS(B$10:B318)-1</f>
        <v>308</v>
      </c>
      <c r="C318" s="19">
        <f t="shared" si="27"/>
        <v>11.846153846153847</v>
      </c>
      <c r="D318" s="20">
        <f>-PMT(J318,COUNT(B318:$B$530),G317)</f>
        <v>16118.430031833117</v>
      </c>
      <c r="E318" s="20">
        <f t="shared" si="28"/>
        <v>3272.1291558965463</v>
      </c>
      <c r="F318" s="21">
        <f t="shared" si="29"/>
        <v>12846.300875936571</v>
      </c>
      <c r="G318" s="21">
        <f t="shared" si="26"/>
        <v>3056294.2113900683</v>
      </c>
      <c r="H318" s="22">
        <f t="shared" si="31"/>
        <v>1.0658607692307694E-3</v>
      </c>
      <c r="I318" s="23">
        <v>0</v>
      </c>
      <c r="J318" s="24">
        <f t="shared" si="30"/>
        <v>1.0658607692307694E-3</v>
      </c>
      <c r="K318" s="25">
        <v>800</v>
      </c>
    </row>
    <row r="319" spans="2:11" ht="20" customHeight="1" x14ac:dyDescent="0.2">
      <c r="B319" s="18">
        <f>ROWS(B$10:B319)-1</f>
        <v>309</v>
      </c>
      <c r="C319" s="19">
        <f t="shared" si="27"/>
        <v>11.884615384615385</v>
      </c>
      <c r="D319" s="20">
        <f>-PMT(J319,COUNT(B319:$B$530),G318)</f>
        <v>16114.212057791809</v>
      </c>
      <c r="E319" s="20">
        <f t="shared" si="28"/>
        <v>3257.5840991477662</v>
      </c>
      <c r="F319" s="21">
        <f t="shared" si="29"/>
        <v>12856.627958644043</v>
      </c>
      <c r="G319" s="21">
        <f t="shared" si="26"/>
        <v>3042637.5834314241</v>
      </c>
      <c r="H319" s="22">
        <f t="shared" si="31"/>
        <v>1.0658607692307694E-3</v>
      </c>
      <c r="I319" s="23">
        <v>0</v>
      </c>
      <c r="J319" s="24">
        <f t="shared" si="30"/>
        <v>1.0658607692307694E-3</v>
      </c>
      <c r="K319" s="25">
        <v>800</v>
      </c>
    </row>
    <row r="320" spans="2:11" ht="20" customHeight="1" x14ac:dyDescent="0.2">
      <c r="B320" s="18">
        <f>ROWS(B$10:B320)-1</f>
        <v>310</v>
      </c>
      <c r="C320" s="19">
        <f t="shared" si="27"/>
        <v>11.923076923076923</v>
      </c>
      <c r="D320" s="20">
        <f>-PMT(J320,COUNT(B320:$B$530),G319)</f>
        <v>16109.976265437657</v>
      </c>
      <c r="E320" s="20">
        <f t="shared" si="28"/>
        <v>3243.028035166667</v>
      </c>
      <c r="F320" s="21">
        <f t="shared" si="29"/>
        <v>12866.948230270991</v>
      </c>
      <c r="G320" s="21">
        <f t="shared" si="26"/>
        <v>3028970.6352011533</v>
      </c>
      <c r="H320" s="22">
        <f t="shared" si="31"/>
        <v>1.0658607692307694E-3</v>
      </c>
      <c r="I320" s="23">
        <v>0</v>
      </c>
      <c r="J320" s="24">
        <f t="shared" si="30"/>
        <v>1.0658607692307694E-3</v>
      </c>
      <c r="K320" s="25">
        <v>800</v>
      </c>
    </row>
    <row r="321" spans="2:11" ht="20" customHeight="1" x14ac:dyDescent="0.2">
      <c r="B321" s="18">
        <f>ROWS(B$10:B321)-1</f>
        <v>311</v>
      </c>
      <c r="C321" s="19">
        <f t="shared" si="27"/>
        <v>11.961538461538462</v>
      </c>
      <c r="D321" s="20">
        <f>-PMT(J321,COUNT(B321:$B$530),G320)</f>
        <v>16105.72248435515</v>
      </c>
      <c r="E321" s="20">
        <f t="shared" si="28"/>
        <v>3228.4609712129136</v>
      </c>
      <c r="F321" s="21">
        <f t="shared" si="29"/>
        <v>12877.261513142237</v>
      </c>
      <c r="G321" s="21">
        <f t="shared" si="26"/>
        <v>3015293.373688011</v>
      </c>
      <c r="H321" s="22">
        <f t="shared" si="31"/>
        <v>1.0658607692307694E-3</v>
      </c>
      <c r="I321" s="23">
        <v>0</v>
      </c>
      <c r="J321" s="24">
        <f t="shared" si="30"/>
        <v>1.0658607692307694E-3</v>
      </c>
      <c r="K321" s="25">
        <v>800</v>
      </c>
    </row>
    <row r="322" spans="2:11" ht="20" customHeight="1" x14ac:dyDescent="0.2">
      <c r="B322" s="18">
        <f>ROWS(B$10:B322)-1</f>
        <v>312</v>
      </c>
      <c r="C322" s="19">
        <f t="shared" si="27"/>
        <v>12</v>
      </c>
      <c r="D322" s="20">
        <f>-PMT(J322,COUNT(B322:$B$530),G321)</f>
        <v>16101.450541682594</v>
      </c>
      <c r="E322" s="20">
        <f t="shared" si="28"/>
        <v>3213.8829147355455</v>
      </c>
      <c r="F322" s="21">
        <f t="shared" si="29"/>
        <v>12887.56762694705</v>
      </c>
      <c r="G322" s="21">
        <f t="shared" si="26"/>
        <v>3001605.8060610639</v>
      </c>
      <c r="H322" s="22">
        <f t="shared" si="31"/>
        <v>1.0658607692307694E-3</v>
      </c>
      <c r="I322" s="23">
        <v>0</v>
      </c>
      <c r="J322" s="24">
        <f t="shared" si="30"/>
        <v>1.0658607692307694E-3</v>
      </c>
      <c r="K322" s="25">
        <v>800</v>
      </c>
    </row>
    <row r="323" spans="2:11" ht="20" customHeight="1" x14ac:dyDescent="0.2">
      <c r="B323" s="18">
        <f>ROWS(B$10:B323)-1</f>
        <v>313</v>
      </c>
      <c r="C323" s="19">
        <f t="shared" si="27"/>
        <v>12.038461538461538</v>
      </c>
      <c r="D323" s="20">
        <f>-PMT(J323,COUNT(B323:$B$530),G322)</f>
        <v>16097.160262065045</v>
      </c>
      <c r="E323" s="20">
        <f t="shared" si="28"/>
        <v>3199.2938733757892</v>
      </c>
      <c r="F323" s="21">
        <f t="shared" si="29"/>
        <v>12897.866388689255</v>
      </c>
      <c r="G323" s="21">
        <f t="shared" si="26"/>
        <v>2987907.9396723746</v>
      </c>
      <c r="H323" s="22">
        <f t="shared" si="31"/>
        <v>1.0658607692307694E-3</v>
      </c>
      <c r="I323" s="23">
        <v>0</v>
      </c>
      <c r="J323" s="24">
        <f t="shared" si="30"/>
        <v>1.0658607692307694E-3</v>
      </c>
      <c r="K323" s="25">
        <v>800</v>
      </c>
    </row>
    <row r="324" spans="2:11" ht="20" customHeight="1" x14ac:dyDescent="0.2">
      <c r="B324" s="18">
        <f>ROWS(B$10:B324)-1</f>
        <v>314</v>
      </c>
      <c r="C324" s="19">
        <f t="shared" si="27"/>
        <v>12.076923076923077</v>
      </c>
      <c r="D324" s="20">
        <f>-PMT(J324,COUNT(B324:$B$530),G323)</f>
        <v>16092.851467606171</v>
      </c>
      <c r="E324" s="20">
        <f t="shared" si="28"/>
        <v>3184.6938549699207</v>
      </c>
      <c r="F324" s="21">
        <f t="shared" si="29"/>
        <v>12908.157612636251</v>
      </c>
      <c r="G324" s="21">
        <f t="shared" si="26"/>
        <v>2974199.7820597384</v>
      </c>
      <c r="H324" s="22">
        <f t="shared" si="31"/>
        <v>1.0658607692307694E-3</v>
      </c>
      <c r="I324" s="23">
        <v>0</v>
      </c>
      <c r="J324" s="24">
        <f t="shared" si="30"/>
        <v>1.0658607692307694E-3</v>
      </c>
      <c r="K324" s="25">
        <v>800</v>
      </c>
    </row>
    <row r="325" spans="2:11" ht="20" customHeight="1" x14ac:dyDescent="0.2">
      <c r="B325" s="18">
        <f>ROWS(B$10:B325)-1</f>
        <v>315</v>
      </c>
      <c r="C325" s="19">
        <f t="shared" si="27"/>
        <v>12.115384615384615</v>
      </c>
      <c r="D325" s="20">
        <f>-PMT(J325,COUNT(B325:$B$530),G324)</f>
        <v>16088.523977818872</v>
      </c>
      <c r="E325" s="20">
        <f t="shared" si="28"/>
        <v>3170.0828675521798</v>
      </c>
      <c r="F325" s="21">
        <f t="shared" si="29"/>
        <v>12918.441110266693</v>
      </c>
      <c r="G325" s="21">
        <f t="shared" si="26"/>
        <v>2960481.3409494716</v>
      </c>
      <c r="H325" s="22">
        <f t="shared" si="31"/>
        <v>1.0658607692307694E-3</v>
      </c>
      <c r="I325" s="23">
        <v>0</v>
      </c>
      <c r="J325" s="24">
        <f t="shared" si="30"/>
        <v>1.0658607692307694E-3</v>
      </c>
      <c r="K325" s="25">
        <v>800</v>
      </c>
    </row>
    <row r="326" spans="2:11" ht="20" customHeight="1" x14ac:dyDescent="0.2">
      <c r="B326" s="18">
        <f>ROWS(B$10:B326)-1</f>
        <v>316</v>
      </c>
      <c r="C326" s="19">
        <f t="shared" si="27"/>
        <v>12.153846153846153</v>
      </c>
      <c r="D326" s="20">
        <f>-PMT(J326,COUNT(B326:$B$530),G325)</f>
        <v>16084.177609574737</v>
      </c>
      <c r="E326" s="20">
        <f t="shared" si="28"/>
        <v>3155.4609193577435</v>
      </c>
      <c r="F326" s="21">
        <f t="shared" si="29"/>
        <v>12928.716690216994</v>
      </c>
      <c r="G326" s="21">
        <f t="shared" si="26"/>
        <v>2946752.6242592544</v>
      </c>
      <c r="H326" s="22">
        <f t="shared" si="31"/>
        <v>1.0658607692307694E-3</v>
      </c>
      <c r="I326" s="23">
        <v>0</v>
      </c>
      <c r="J326" s="24">
        <f t="shared" si="30"/>
        <v>1.0658607692307694E-3</v>
      </c>
      <c r="K326" s="25">
        <v>800</v>
      </c>
    </row>
    <row r="327" spans="2:11" ht="20" customHeight="1" x14ac:dyDescent="0.2">
      <c r="B327" s="18">
        <f>ROWS(B$10:B327)-1</f>
        <v>317</v>
      </c>
      <c r="C327" s="19">
        <f t="shared" si="27"/>
        <v>12.192307692307692</v>
      </c>
      <c r="D327" s="20">
        <f>-PMT(J327,COUNT(B327:$B$530),G326)</f>
        <v>16079.812177052254</v>
      </c>
      <c r="E327" s="20">
        <f t="shared" si="28"/>
        <v>3140.8280188257572</v>
      </c>
      <c r="F327" s="21">
        <f t="shared" si="29"/>
        <v>12938.984158226496</v>
      </c>
      <c r="G327" s="21">
        <f t="shared" si="26"/>
        <v>2933013.6401010281</v>
      </c>
      <c r="H327" s="22">
        <f t="shared" si="31"/>
        <v>1.0658607692307694E-3</v>
      </c>
      <c r="I327" s="23">
        <v>0</v>
      </c>
      <c r="J327" s="24">
        <f t="shared" si="30"/>
        <v>1.0658607692307694E-3</v>
      </c>
      <c r="K327" s="25">
        <v>800</v>
      </c>
    </row>
    <row r="328" spans="2:11" ht="20" customHeight="1" x14ac:dyDescent="0.2">
      <c r="B328" s="18">
        <f>ROWS(B$10:B328)-1</f>
        <v>318</v>
      </c>
      <c r="C328" s="19">
        <f t="shared" si="27"/>
        <v>12.23076923076923</v>
      </c>
      <c r="D328" s="20">
        <f>-PMT(J328,COUNT(B328:$B$530),G327)</f>
        <v>16075.42749168376</v>
      </c>
      <c r="E328" s="20">
        <f t="shared" si="28"/>
        <v>3126.1841746024211</v>
      </c>
      <c r="F328" s="21">
        <f t="shared" si="29"/>
        <v>12949.243317081338</v>
      </c>
      <c r="G328" s="21">
        <f t="shared" si="26"/>
        <v>2919264.396783947</v>
      </c>
      <c r="H328" s="22">
        <f t="shared" si="31"/>
        <v>1.0658607692307694E-3</v>
      </c>
      <c r="I328" s="23">
        <v>0</v>
      </c>
      <c r="J328" s="24">
        <f t="shared" si="30"/>
        <v>1.0658607692307694E-3</v>
      </c>
      <c r="K328" s="25">
        <v>800</v>
      </c>
    </row>
    <row r="329" spans="2:11" ht="20" customHeight="1" x14ac:dyDescent="0.2">
      <c r="B329" s="18">
        <f>ROWS(B$10:B329)-1</f>
        <v>319</v>
      </c>
      <c r="C329" s="19">
        <f t="shared" si="27"/>
        <v>12.26923076923077</v>
      </c>
      <c r="D329" s="20">
        <f>-PMT(J329,COUNT(B329:$B$530),G328)</f>
        <v>16071.023362101036</v>
      </c>
      <c r="E329" s="20">
        <f t="shared" si="28"/>
        <v>3111.5293955441357</v>
      </c>
      <c r="F329" s="21">
        <f t="shared" si="29"/>
        <v>12959.4939665569</v>
      </c>
      <c r="G329" s="21">
        <f t="shared" si="26"/>
        <v>2905504.9028173899</v>
      </c>
      <c r="H329" s="22">
        <f t="shared" si="31"/>
        <v>1.0658607692307694E-3</v>
      </c>
      <c r="I329" s="23">
        <v>0</v>
      </c>
      <c r="J329" s="24">
        <f t="shared" si="30"/>
        <v>1.0658607692307694E-3</v>
      </c>
      <c r="K329" s="25">
        <v>800</v>
      </c>
    </row>
    <row r="330" spans="2:11" ht="20" customHeight="1" x14ac:dyDescent="0.2">
      <c r="B330" s="18">
        <f>ROWS(B$10:B330)-1</f>
        <v>320</v>
      </c>
      <c r="C330" s="19">
        <f t="shared" si="27"/>
        <v>12.307692307692308</v>
      </c>
      <c r="D330" s="20">
        <f>-PMT(J330,COUNT(B330:$B$530),G329)</f>
        <v>16066.599594079578</v>
      </c>
      <c r="E330" s="20">
        <f t="shared" si="28"/>
        <v>3096.8636907207151</v>
      </c>
      <c r="F330" s="21">
        <f t="shared" si="29"/>
        <v>12969.735903358864</v>
      </c>
      <c r="G330" s="21">
        <f t="shared" si="26"/>
        <v>2891735.1669140309</v>
      </c>
      <c r="H330" s="22">
        <f t="shared" si="31"/>
        <v>1.0658607692307694E-3</v>
      </c>
      <c r="I330" s="23">
        <v>0</v>
      </c>
      <c r="J330" s="24">
        <f t="shared" si="30"/>
        <v>1.0658607692307694E-3</v>
      </c>
      <c r="K330" s="25">
        <v>800</v>
      </c>
    </row>
    <row r="331" spans="2:11" ht="20" customHeight="1" x14ac:dyDescent="0.2">
      <c r="B331" s="18">
        <f>ROWS(B$10:B331)-1</f>
        <v>321</v>
      </c>
      <c r="C331" s="19">
        <f t="shared" si="27"/>
        <v>12.346153846153847</v>
      </c>
      <c r="D331" s="20">
        <f>-PMT(J331,COUNT(B331:$B$530),G330)</f>
        <v>16062.155990481499</v>
      </c>
      <c r="E331" s="20">
        <f t="shared" si="28"/>
        <v>3082.1870694186564</v>
      </c>
      <c r="F331" s="21">
        <f t="shared" si="29"/>
        <v>12979.968921062842</v>
      </c>
      <c r="G331" s="21">
        <f t="shared" ref="G331:G394" si="32">G330-F331-K331</f>
        <v>2877955.1979929679</v>
      </c>
      <c r="H331" s="22">
        <f t="shared" si="31"/>
        <v>1.0658607692307694E-3</v>
      </c>
      <c r="I331" s="23">
        <v>0</v>
      </c>
      <c r="J331" s="24">
        <f t="shared" si="30"/>
        <v>1.0658607692307694E-3</v>
      </c>
      <c r="K331" s="25">
        <v>800</v>
      </c>
    </row>
    <row r="332" spans="2:11" ht="20" customHeight="1" x14ac:dyDescent="0.2">
      <c r="B332" s="18">
        <f>ROWS(B$10:B332)-1</f>
        <v>322</v>
      </c>
      <c r="C332" s="19">
        <f t="shared" ref="C332:C395" si="33">(B332/$G$3)</f>
        <v>12.384615384615385</v>
      </c>
      <c r="D332" s="20">
        <f>-PMT(J332,COUNT(B332:$B$530),G331)</f>
        <v>16057.69235119694</v>
      </c>
      <c r="E332" s="20">
        <f t="shared" ref="E332:E395" si="34">G331*J332</f>
        <v>3067.4995411444761</v>
      </c>
      <c r="F332" s="21">
        <f t="shared" ref="F332:F395" si="35">D332-E332</f>
        <v>12990.192810052464</v>
      </c>
      <c r="G332" s="21">
        <f t="shared" si="32"/>
        <v>2864165.0051829154</v>
      </c>
      <c r="H332" s="22">
        <f t="shared" si="31"/>
        <v>1.0658607692307694E-3</v>
      </c>
      <c r="I332" s="23">
        <v>0</v>
      </c>
      <c r="J332" s="24">
        <f t="shared" ref="J332:J395" si="36">H332+(H332*I332)</f>
        <v>1.0658607692307694E-3</v>
      </c>
      <c r="K332" s="25">
        <v>800</v>
      </c>
    </row>
    <row r="333" spans="2:11" ht="20" customHeight="1" x14ac:dyDescent="0.2">
      <c r="B333" s="18">
        <f>ROWS(B$10:B333)-1</f>
        <v>323</v>
      </c>
      <c r="C333" s="19">
        <f t="shared" si="33"/>
        <v>12.423076923076923</v>
      </c>
      <c r="D333" s="20">
        <f>-PMT(J333,COUNT(B333:$B$530),G332)</f>
        <v>16053.208473084043</v>
      </c>
      <c r="E333" s="20">
        <f t="shared" si="34"/>
        <v>3052.8011156281127</v>
      </c>
      <c r="F333" s="21">
        <f t="shared" si="35"/>
        <v>13000.40735745593</v>
      </c>
      <c r="G333" s="21">
        <f t="shared" si="32"/>
        <v>2850364.5978254592</v>
      </c>
      <c r="H333" s="22">
        <f t="shared" si="31"/>
        <v>1.0658607692307694E-3</v>
      </c>
      <c r="I333" s="23">
        <v>0</v>
      </c>
      <c r="J333" s="24">
        <f t="shared" si="36"/>
        <v>1.0658607692307694E-3</v>
      </c>
      <c r="K333" s="25">
        <v>800</v>
      </c>
    </row>
    <row r="334" spans="2:11" ht="20" customHeight="1" x14ac:dyDescent="0.2">
      <c r="B334" s="18">
        <f>ROWS(B$10:B334)-1</f>
        <v>324</v>
      </c>
      <c r="C334" s="19">
        <f t="shared" si="33"/>
        <v>12.461538461538462</v>
      </c>
      <c r="D334" s="20">
        <f>-PMT(J334,COUNT(B334:$B$530),G333)</f>
        <v>16048.704149907378</v>
      </c>
      <c r="E334" s="20">
        <f t="shared" si="34"/>
        <v>3038.0918028263968</v>
      </c>
      <c r="F334" s="21">
        <f t="shared" si="35"/>
        <v>13010.612347080982</v>
      </c>
      <c r="G334" s="21">
        <f t="shared" si="32"/>
        <v>2836553.9854783784</v>
      </c>
      <c r="H334" s="22">
        <f t="shared" si="31"/>
        <v>1.0658607692307694E-3</v>
      </c>
      <c r="I334" s="23">
        <v>0</v>
      </c>
      <c r="J334" s="24">
        <f t="shared" si="36"/>
        <v>1.0658607692307694E-3</v>
      </c>
      <c r="K334" s="25">
        <v>800</v>
      </c>
    </row>
    <row r="335" spans="2:11" ht="20" customHeight="1" x14ac:dyDescent="0.2">
      <c r="B335" s="18">
        <f>ROWS(B$10:B335)-1</f>
        <v>325</v>
      </c>
      <c r="C335" s="19">
        <f t="shared" si="33"/>
        <v>12.5</v>
      </c>
      <c r="D335" s="20">
        <f>-PMT(J335,COUNT(B335:$B$530),G334)</f>
        <v>16044.179172274828</v>
      </c>
      <c r="E335" s="20">
        <f t="shared" si="34"/>
        <v>3023.371612926589</v>
      </c>
      <c r="F335" s="21">
        <f t="shared" si="35"/>
        <v>13020.807559348239</v>
      </c>
      <c r="G335" s="21">
        <f t="shared" si="32"/>
        <v>2822733.1779190302</v>
      </c>
      <c r="H335" s="22">
        <f t="shared" si="31"/>
        <v>1.0658607692307694E-3</v>
      </c>
      <c r="I335" s="23">
        <v>0</v>
      </c>
      <c r="J335" s="24">
        <f t="shared" si="36"/>
        <v>1.0658607692307694E-3</v>
      </c>
      <c r="K335" s="25">
        <v>800</v>
      </c>
    </row>
    <row r="336" spans="2:11" ht="20" customHeight="1" x14ac:dyDescent="0.2">
      <c r="B336" s="18">
        <f>ROWS(B$10:B336)-1</f>
        <v>326</v>
      </c>
      <c r="C336" s="19">
        <f t="shared" si="33"/>
        <v>12.538461538461538</v>
      </c>
      <c r="D336" s="20">
        <f>-PMT(J336,COUNT(B336:$B$530),G335)</f>
        <v>16039.633327572808</v>
      </c>
      <c r="E336" s="20">
        <f t="shared" si="34"/>
        <v>3008.640556349992</v>
      </c>
      <c r="F336" s="21">
        <f t="shared" si="35"/>
        <v>13030.992771222816</v>
      </c>
      <c r="G336" s="21">
        <f t="shared" si="32"/>
        <v>2808902.1851478075</v>
      </c>
      <c r="H336" s="22">
        <f t="shared" si="31"/>
        <v>1.0658607692307694E-3</v>
      </c>
      <c r="I336" s="23">
        <v>0</v>
      </c>
      <c r="J336" s="24">
        <f t="shared" si="36"/>
        <v>1.0658607692307694E-3</v>
      </c>
      <c r="K336" s="25">
        <v>800</v>
      </c>
    </row>
    <row r="337" spans="2:11" ht="20" customHeight="1" x14ac:dyDescent="0.2">
      <c r="B337" s="18">
        <f>ROWS(B$10:B337)-1</f>
        <v>327</v>
      </c>
      <c r="C337" s="19">
        <f t="shared" si="33"/>
        <v>12.576923076923077</v>
      </c>
      <c r="D337" s="20">
        <f>-PMT(J337,COUNT(B337:$B$530),G336)</f>
        <v>16035.06639989987</v>
      </c>
      <c r="E337" s="20">
        <f t="shared" si="34"/>
        <v>2993.8986437556314</v>
      </c>
      <c r="F337" s="21">
        <f t="shared" si="35"/>
        <v>13041.167756144238</v>
      </c>
      <c r="G337" s="21">
        <f t="shared" si="32"/>
        <v>2795061.017391663</v>
      </c>
      <c r="H337" s="22">
        <f t="shared" si="31"/>
        <v>1.0658607692307694E-3</v>
      </c>
      <c r="I337" s="23">
        <v>0</v>
      </c>
      <c r="J337" s="24">
        <f t="shared" si="36"/>
        <v>1.0658607692307694E-3</v>
      </c>
      <c r="K337" s="25">
        <v>800</v>
      </c>
    </row>
    <row r="338" spans="2:11" ht="20" customHeight="1" x14ac:dyDescent="0.2">
      <c r="B338" s="18">
        <f>ROWS(B$10:B338)-1</f>
        <v>328</v>
      </c>
      <c r="C338" s="19">
        <f t="shared" si="33"/>
        <v>12.615384615384615</v>
      </c>
      <c r="D338" s="20">
        <f>-PMT(J338,COUNT(B338:$B$530),G337)</f>
        <v>16030.478169998556</v>
      </c>
      <c r="E338" s="20">
        <f t="shared" si="34"/>
        <v>2979.1458860440148</v>
      </c>
      <c r="F338" s="21">
        <f t="shared" si="35"/>
        <v>13051.332283954542</v>
      </c>
      <c r="G338" s="21">
        <f t="shared" si="32"/>
        <v>2781209.6851077084</v>
      </c>
      <c r="H338" s="22">
        <f t="shared" si="31"/>
        <v>1.0658607692307694E-3</v>
      </c>
      <c r="I338" s="23">
        <v>0</v>
      </c>
      <c r="J338" s="24">
        <f t="shared" si="36"/>
        <v>1.0658607692307694E-3</v>
      </c>
      <c r="K338" s="25">
        <v>800</v>
      </c>
    </row>
    <row r="339" spans="2:11" ht="20" customHeight="1" x14ac:dyDescent="0.2">
      <c r="B339" s="18">
        <f>ROWS(B$10:B339)-1</f>
        <v>329</v>
      </c>
      <c r="C339" s="19">
        <f t="shared" si="33"/>
        <v>12.653846153846153</v>
      </c>
      <c r="D339" s="20">
        <f>-PMT(J339,COUNT(B339:$B$530),G338)</f>
        <v>16025.868415185461</v>
      </c>
      <c r="E339" s="20">
        <f t="shared" si="34"/>
        <v>2964.382294360968</v>
      </c>
      <c r="F339" s="21">
        <f t="shared" si="35"/>
        <v>13061.486120824493</v>
      </c>
      <c r="G339" s="21">
        <f t="shared" si="32"/>
        <v>2767348.1989868837</v>
      </c>
      <c r="H339" s="22">
        <f t="shared" si="31"/>
        <v>1.0658607692307694E-3</v>
      </c>
      <c r="I339" s="23">
        <v>0</v>
      </c>
      <c r="J339" s="24">
        <f t="shared" si="36"/>
        <v>1.0658607692307694E-3</v>
      </c>
      <c r="K339" s="25">
        <v>800</v>
      </c>
    </row>
    <row r="340" spans="2:11" ht="20" customHeight="1" x14ac:dyDescent="0.2">
      <c r="B340" s="18">
        <f>ROWS(B$10:B340)-1</f>
        <v>330</v>
      </c>
      <c r="C340" s="19">
        <f t="shared" si="33"/>
        <v>12.692307692307692</v>
      </c>
      <c r="D340" s="20">
        <f>-PMT(J340,COUNT(B340:$B$530),G339)</f>
        <v>16021.236909279511</v>
      </c>
      <c r="E340" s="20">
        <f t="shared" si="34"/>
        <v>2949.6078801015442</v>
      </c>
      <c r="F340" s="21">
        <f t="shared" si="35"/>
        <v>13071.629029177966</v>
      </c>
      <c r="G340" s="21">
        <f t="shared" si="32"/>
        <v>2753476.5699577057</v>
      </c>
      <c r="H340" s="22">
        <f t="shared" si="31"/>
        <v>1.0658607692307694E-3</v>
      </c>
      <c r="I340" s="23">
        <v>0</v>
      </c>
      <c r="J340" s="24">
        <f t="shared" si="36"/>
        <v>1.0658607692307694E-3</v>
      </c>
      <c r="K340" s="25">
        <v>800</v>
      </c>
    </row>
    <row r="341" spans="2:11" ht="20" customHeight="1" x14ac:dyDescent="0.2">
      <c r="B341" s="18">
        <f>ROWS(B$10:B341)-1</f>
        <v>331</v>
      </c>
      <c r="C341" s="19">
        <f t="shared" si="33"/>
        <v>12.73076923076923</v>
      </c>
      <c r="D341" s="20">
        <f>-PMT(J341,COUNT(B341:$B$530),G340)</f>
        <v>16016.583422528318</v>
      </c>
      <c r="E341" s="20">
        <f t="shared" si="34"/>
        <v>2934.8226549140209</v>
      </c>
      <c r="F341" s="21">
        <f t="shared" si="35"/>
        <v>13081.760767614298</v>
      </c>
      <c r="G341" s="21">
        <f t="shared" si="32"/>
        <v>2739594.8091900912</v>
      </c>
      <c r="H341" s="22">
        <f t="shared" si="31"/>
        <v>1.0658607692307694E-3</v>
      </c>
      <c r="I341" s="23">
        <v>0</v>
      </c>
      <c r="J341" s="24">
        <f t="shared" si="36"/>
        <v>1.0658607692307694E-3</v>
      </c>
      <c r="K341" s="25">
        <v>800</v>
      </c>
    </row>
    <row r="342" spans="2:11" ht="20" customHeight="1" x14ac:dyDescent="0.2">
      <c r="B342" s="18">
        <f>ROWS(B$10:B342)-1</f>
        <v>332</v>
      </c>
      <c r="C342" s="19">
        <f t="shared" si="33"/>
        <v>12.76923076923077</v>
      </c>
      <c r="D342" s="20">
        <f>-PMT(J342,COUNT(B342:$B$530),G341)</f>
        <v>16011.907721532587</v>
      </c>
      <c r="E342" s="20">
        <f t="shared" si="34"/>
        <v>2920.0266307039738</v>
      </c>
      <c r="F342" s="21">
        <f t="shared" si="35"/>
        <v>13091.881090828614</v>
      </c>
      <c r="G342" s="21">
        <f t="shared" si="32"/>
        <v>2725702.9280992625</v>
      </c>
      <c r="H342" s="22">
        <f t="shared" si="31"/>
        <v>1.0658607692307694E-3</v>
      </c>
      <c r="I342" s="23">
        <v>0</v>
      </c>
      <c r="J342" s="24">
        <f t="shared" si="36"/>
        <v>1.0658607692307694E-3</v>
      </c>
      <c r="K342" s="25">
        <v>800</v>
      </c>
    </row>
    <row r="343" spans="2:11" ht="20" customHeight="1" x14ac:dyDescent="0.2">
      <c r="B343" s="18">
        <f>ROWS(B$10:B343)-1</f>
        <v>333</v>
      </c>
      <c r="C343" s="19">
        <f t="shared" si="33"/>
        <v>12.807692307692308</v>
      </c>
      <c r="D343" s="20">
        <f>-PMT(J343,COUNT(B343:$B$530),G342)</f>
        <v>16007.209569168541</v>
      </c>
      <c r="E343" s="20">
        <f t="shared" si="34"/>
        <v>2905.2198196384406</v>
      </c>
      <c r="F343" s="21">
        <f t="shared" si="35"/>
        <v>13101.989749530101</v>
      </c>
      <c r="G343" s="21">
        <f t="shared" si="32"/>
        <v>2711800.9383497322</v>
      </c>
      <c r="H343" s="22">
        <f t="shared" si="31"/>
        <v>1.0658607692307694E-3</v>
      </c>
      <c r="I343" s="23">
        <v>0</v>
      </c>
      <c r="J343" s="24">
        <f t="shared" si="36"/>
        <v>1.0658607692307694E-3</v>
      </c>
      <c r="K343" s="25">
        <v>800</v>
      </c>
    </row>
    <row r="344" spans="2:11" ht="20" customHeight="1" x14ac:dyDescent="0.2">
      <c r="B344" s="18">
        <f>ROWS(B$10:B344)-1</f>
        <v>334</v>
      </c>
      <c r="C344" s="19">
        <f t="shared" si="33"/>
        <v>12.846153846153847</v>
      </c>
      <c r="D344" s="20">
        <f>-PMT(J344,COUNT(B344:$B$530),G343)</f>
        <v>16002.488724508239</v>
      </c>
      <c r="E344" s="20">
        <f t="shared" si="34"/>
        <v>2890.4022341501677</v>
      </c>
      <c r="F344" s="21">
        <f t="shared" si="35"/>
        <v>13112.086490358071</v>
      </c>
      <c r="G344" s="21">
        <f t="shared" si="32"/>
        <v>2697888.851859374</v>
      </c>
      <c r="H344" s="22">
        <f t="shared" si="31"/>
        <v>1.0658607692307694E-3</v>
      </c>
      <c r="I344" s="23">
        <v>0</v>
      </c>
      <c r="J344" s="24">
        <f t="shared" si="36"/>
        <v>1.0658607692307694E-3</v>
      </c>
      <c r="K344" s="25">
        <v>800</v>
      </c>
    </row>
    <row r="345" spans="2:11" ht="20" customHeight="1" x14ac:dyDescent="0.2">
      <c r="B345" s="18">
        <f>ROWS(B$10:B345)-1</f>
        <v>335</v>
      </c>
      <c r="C345" s="19">
        <f t="shared" si="33"/>
        <v>12.884615384615385</v>
      </c>
      <c r="D345" s="20">
        <f>-PMT(J345,COUNT(B345:$B$530),G344)</f>
        <v>15997.744942737774</v>
      </c>
      <c r="E345" s="20">
        <f t="shared" si="34"/>
        <v>2875.5738869419497</v>
      </c>
      <c r="F345" s="21">
        <f t="shared" si="35"/>
        <v>13122.171055795825</v>
      </c>
      <c r="G345" s="21">
        <f t="shared" si="32"/>
        <v>2683966.6808035783</v>
      </c>
      <c r="H345" s="22">
        <f t="shared" si="31"/>
        <v>1.0658607692307694E-3</v>
      </c>
      <c r="I345" s="23">
        <v>0</v>
      </c>
      <c r="J345" s="24">
        <f t="shared" si="36"/>
        <v>1.0658607692307694E-3</v>
      </c>
      <c r="K345" s="25">
        <v>800</v>
      </c>
    </row>
    <row r="346" spans="2:11" ht="20" customHeight="1" x14ac:dyDescent="0.2">
      <c r="B346" s="18">
        <f>ROWS(B$10:B346)-1</f>
        <v>336</v>
      </c>
      <c r="C346" s="19">
        <f t="shared" si="33"/>
        <v>12.923076923076923</v>
      </c>
      <c r="D346" s="20">
        <f>-PMT(J346,COUNT(B346:$B$530),G345)</f>
        <v>15992.977975073247</v>
      </c>
      <c r="E346" s="20">
        <f t="shared" si="34"/>
        <v>2860.7347909910568</v>
      </c>
      <c r="F346" s="21">
        <f t="shared" si="35"/>
        <v>13132.24318408219</v>
      </c>
      <c r="G346" s="21">
        <f t="shared" si="32"/>
        <v>2670034.4376194961</v>
      </c>
      <c r="H346" s="22">
        <f t="shared" si="31"/>
        <v>1.0658607692307694E-3</v>
      </c>
      <c r="I346" s="23">
        <v>0</v>
      </c>
      <c r="J346" s="24">
        <f t="shared" si="36"/>
        <v>1.0658607692307694E-3</v>
      </c>
      <c r="K346" s="25">
        <v>800</v>
      </c>
    </row>
    <row r="347" spans="2:11" ht="20" customHeight="1" x14ac:dyDescent="0.2">
      <c r="B347" s="18">
        <f>ROWS(B$10:B347)-1</f>
        <v>337</v>
      </c>
      <c r="C347" s="19">
        <f t="shared" si="33"/>
        <v>12.961538461538462</v>
      </c>
      <c r="D347" s="20">
        <f>-PMT(J347,COUNT(B347:$B$530),G346)</f>
        <v>15988.187568674464</v>
      </c>
      <c r="E347" s="20">
        <f t="shared" si="34"/>
        <v>2845.8849595537608</v>
      </c>
      <c r="F347" s="21">
        <f t="shared" si="35"/>
        <v>13142.302609120703</v>
      </c>
      <c r="G347" s="21">
        <f t="shared" si="32"/>
        <v>2656092.1350103756</v>
      </c>
      <c r="H347" s="22">
        <f t="shared" si="31"/>
        <v>1.0658607692307694E-3</v>
      </c>
      <c r="I347" s="23">
        <v>0</v>
      </c>
      <c r="J347" s="24">
        <f t="shared" si="36"/>
        <v>1.0658607692307694E-3</v>
      </c>
      <c r="K347" s="25">
        <v>800</v>
      </c>
    </row>
    <row r="348" spans="2:11" ht="20" customHeight="1" x14ac:dyDescent="0.2">
      <c r="B348" s="18">
        <f>ROWS(B$10:B348)-1</f>
        <v>338</v>
      </c>
      <c r="C348" s="19">
        <f t="shared" si="33"/>
        <v>13</v>
      </c>
      <c r="D348" s="20">
        <f>-PMT(J348,COUNT(B348:$B$530),G347)</f>
        <v>15983.373466556282</v>
      </c>
      <c r="E348" s="20">
        <f t="shared" si="34"/>
        <v>2831.0244061699555</v>
      </c>
      <c r="F348" s="21">
        <f t="shared" si="35"/>
        <v>13152.349060386327</v>
      </c>
      <c r="G348" s="21">
        <f t="shared" si="32"/>
        <v>2642139.7859499892</v>
      </c>
      <c r="H348" s="22">
        <f t="shared" si="31"/>
        <v>1.0658607692307694E-3</v>
      </c>
      <c r="I348" s="23">
        <v>0</v>
      </c>
      <c r="J348" s="24">
        <f t="shared" si="36"/>
        <v>1.0658607692307694E-3</v>
      </c>
      <c r="K348" s="25">
        <v>800</v>
      </c>
    </row>
    <row r="349" spans="2:11" ht="20" customHeight="1" x14ac:dyDescent="0.2">
      <c r="B349" s="18">
        <f>ROWS(B$10:B349)-1</f>
        <v>339</v>
      </c>
      <c r="C349" s="19">
        <f t="shared" si="33"/>
        <v>13.038461538461538</v>
      </c>
      <c r="D349" s="20">
        <f>-PMT(J349,COUNT(B349:$B$530),G348)</f>
        <v>15978.535407497497</v>
      </c>
      <c r="E349" s="20">
        <f t="shared" si="34"/>
        <v>2816.1531446678759</v>
      </c>
      <c r="F349" s="21">
        <f t="shared" si="35"/>
        <v>13162.38226282962</v>
      </c>
      <c r="G349" s="21">
        <f t="shared" si="32"/>
        <v>2628177.4036871595</v>
      </c>
      <c r="H349" s="22">
        <f t="shared" si="31"/>
        <v>1.0658607692307694E-3</v>
      </c>
      <c r="I349" s="23">
        <v>0</v>
      </c>
      <c r="J349" s="24">
        <f t="shared" si="36"/>
        <v>1.0658607692307694E-3</v>
      </c>
      <c r="K349" s="25">
        <v>800</v>
      </c>
    </row>
    <row r="350" spans="2:11" ht="20" customHeight="1" x14ac:dyDescent="0.2">
      <c r="B350" s="18">
        <f>ROWS(B$10:B350)-1</f>
        <v>340</v>
      </c>
      <c r="C350" s="19">
        <f t="shared" si="33"/>
        <v>13.076923076923077</v>
      </c>
      <c r="D350" s="20">
        <f>-PMT(J350,COUNT(B350:$B$530),G349)</f>
        <v>15973.673125947233</v>
      </c>
      <c r="E350" s="20">
        <f t="shared" si="34"/>
        <v>2801.2711891689223</v>
      </c>
      <c r="F350" s="21">
        <f t="shared" si="35"/>
        <v>13172.401936778311</v>
      </c>
      <c r="G350" s="21">
        <f t="shared" si="32"/>
        <v>2614205.0017503812</v>
      </c>
      <c r="H350" s="22">
        <f t="shared" si="31"/>
        <v>1.0658607692307694E-3</v>
      </c>
      <c r="I350" s="23">
        <v>0</v>
      </c>
      <c r="J350" s="24">
        <f t="shared" si="36"/>
        <v>1.0658607692307694E-3</v>
      </c>
      <c r="K350" s="25">
        <v>800</v>
      </c>
    </row>
    <row r="351" spans="2:11" ht="20" customHeight="1" x14ac:dyDescent="0.2">
      <c r="B351" s="18">
        <f>ROWS(B$10:B351)-1</f>
        <v>341</v>
      </c>
      <c r="C351" s="19">
        <f t="shared" si="33"/>
        <v>13.115384615384615</v>
      </c>
      <c r="D351" s="20">
        <f>-PMT(J351,COUNT(B351:$B$530),G350)</f>
        <v>15968.786351928753</v>
      </c>
      <c r="E351" s="20">
        <f t="shared" si="34"/>
        <v>2786.3785540925865</v>
      </c>
      <c r="F351" s="21">
        <f t="shared" si="35"/>
        <v>13182.407797836167</v>
      </c>
      <c r="G351" s="21">
        <f t="shared" si="32"/>
        <v>2600222.593952545</v>
      </c>
      <c r="H351" s="22">
        <f t="shared" si="31"/>
        <v>1.0658607692307694E-3</v>
      </c>
      <c r="I351" s="23">
        <v>0</v>
      </c>
      <c r="J351" s="24">
        <f t="shared" si="36"/>
        <v>1.0658607692307694E-3</v>
      </c>
      <c r="K351" s="25">
        <v>800</v>
      </c>
    </row>
    <row r="352" spans="2:11" ht="20" customHeight="1" x14ac:dyDescent="0.2">
      <c r="B352" s="18">
        <f>ROWS(B$10:B352)-1</f>
        <v>342</v>
      </c>
      <c r="C352" s="19">
        <f t="shared" si="33"/>
        <v>13.153846153846153</v>
      </c>
      <c r="D352" s="20">
        <f>-PMT(J352,COUNT(B352:$B$530),G351)</f>
        <v>15963.874810940506</v>
      </c>
      <c r="E352" s="20">
        <f t="shared" si="34"/>
        <v>2771.4752541614862</v>
      </c>
      <c r="F352" s="21">
        <f t="shared" si="35"/>
        <v>13192.399556779019</v>
      </c>
      <c r="G352" s="21">
        <f t="shared" si="32"/>
        <v>2586230.1943957661</v>
      </c>
      <c r="H352" s="22">
        <f t="shared" si="31"/>
        <v>1.0658607692307694E-3</v>
      </c>
      <c r="I352" s="23">
        <v>0</v>
      </c>
      <c r="J352" s="24">
        <f t="shared" si="36"/>
        <v>1.0658607692307694E-3</v>
      </c>
      <c r="K352" s="25">
        <v>800</v>
      </c>
    </row>
    <row r="353" spans="2:11" ht="20" customHeight="1" x14ac:dyDescent="0.2">
      <c r="B353" s="18">
        <f>ROWS(B$10:B353)-1</f>
        <v>343</v>
      </c>
      <c r="C353" s="19">
        <f t="shared" si="33"/>
        <v>13.192307692307692</v>
      </c>
      <c r="D353" s="20">
        <f>-PMT(J353,COUNT(B353:$B$530),G352)</f>
        <v>15958.938223854509</v>
      </c>
      <c r="E353" s="20">
        <f t="shared" si="34"/>
        <v>2756.5613044065135</v>
      </c>
      <c r="F353" s="21">
        <f t="shared" si="35"/>
        <v>13202.376919447996</v>
      </c>
      <c r="G353" s="21">
        <f t="shared" si="32"/>
        <v>2572227.8174763182</v>
      </c>
      <c r="H353" s="22">
        <f t="shared" si="31"/>
        <v>1.0658607692307694E-3</v>
      </c>
      <c r="I353" s="23">
        <v>0</v>
      </c>
      <c r="J353" s="24">
        <f t="shared" si="36"/>
        <v>1.0658607692307694E-3</v>
      </c>
      <c r="K353" s="25">
        <v>800</v>
      </c>
    </row>
    <row r="354" spans="2:11" ht="20" customHeight="1" x14ac:dyDescent="0.2">
      <c r="B354" s="18">
        <f>ROWS(B$10:B354)-1</f>
        <v>344</v>
      </c>
      <c r="C354" s="19">
        <f t="shared" si="33"/>
        <v>13.23076923076923</v>
      </c>
      <c r="D354" s="20">
        <f>-PMT(J354,COUNT(B354:$B$530),G353)</f>
        <v>15953.976306811724</v>
      </c>
      <c r="E354" s="20">
        <f t="shared" si="34"/>
        <v>2741.6367201720918</v>
      </c>
      <c r="F354" s="21">
        <f t="shared" si="35"/>
        <v>13212.339586639633</v>
      </c>
      <c r="G354" s="21">
        <f t="shared" si="32"/>
        <v>2558215.4778896784</v>
      </c>
      <c r="H354" s="22">
        <f t="shared" si="31"/>
        <v>1.0658607692307694E-3</v>
      </c>
      <c r="I354" s="23">
        <v>0</v>
      </c>
      <c r="J354" s="24">
        <f t="shared" si="36"/>
        <v>1.0658607692307694E-3</v>
      </c>
      <c r="K354" s="25">
        <v>800</v>
      </c>
    </row>
    <row r="355" spans="2:11" ht="20" customHeight="1" x14ac:dyDescent="0.2">
      <c r="B355" s="18">
        <f>ROWS(B$10:B355)-1</f>
        <v>345</v>
      </c>
      <c r="C355" s="19">
        <f t="shared" si="33"/>
        <v>13.26923076923077</v>
      </c>
      <c r="D355" s="20">
        <f>-PMT(J355,COUNT(B355:$B$530),G354)</f>
        <v>15948.988771114608</v>
      </c>
      <c r="E355" s="20">
        <f t="shared" si="34"/>
        <v>2726.701517121553</v>
      </c>
      <c r="F355" s="21">
        <f t="shared" si="35"/>
        <v>13222.287253993054</v>
      </c>
      <c r="G355" s="21">
        <f t="shared" si="32"/>
        <v>2544193.1906356853</v>
      </c>
      <c r="H355" s="22">
        <f t="shared" si="31"/>
        <v>1.0658607692307694E-3</v>
      </c>
      <c r="I355" s="23">
        <v>0</v>
      </c>
      <c r="J355" s="24">
        <f t="shared" si="36"/>
        <v>1.0658607692307694E-3</v>
      </c>
      <c r="K355" s="25">
        <v>800</v>
      </c>
    </row>
    <row r="356" spans="2:11" ht="20" customHeight="1" x14ac:dyDescent="0.2">
      <c r="B356" s="18">
        <f>ROWS(B$10:B356)-1</f>
        <v>346</v>
      </c>
      <c r="C356" s="19">
        <f t="shared" si="33"/>
        <v>13.307692307692308</v>
      </c>
      <c r="D356" s="20">
        <f>-PMT(J356,COUNT(B356:$B$530),G355)</f>
        <v>15943.975323116461</v>
      </c>
      <c r="E356" s="20">
        <f t="shared" si="34"/>
        <v>2711.7557112426371</v>
      </c>
      <c r="F356" s="21">
        <f t="shared" si="35"/>
        <v>13232.219611873825</v>
      </c>
      <c r="G356" s="21">
        <f t="shared" si="32"/>
        <v>2530160.9710238115</v>
      </c>
      <c r="H356" s="22">
        <f t="shared" si="31"/>
        <v>1.0658607692307694E-3</v>
      </c>
      <c r="I356" s="23">
        <v>0</v>
      </c>
      <c r="J356" s="24">
        <f t="shared" si="36"/>
        <v>1.0658607692307694E-3</v>
      </c>
      <c r="K356" s="25">
        <v>800</v>
      </c>
    </row>
    <row r="357" spans="2:11" ht="20" customHeight="1" x14ac:dyDescent="0.2">
      <c r="B357" s="18">
        <f>ROWS(B$10:B357)-1</f>
        <v>347</v>
      </c>
      <c r="C357" s="19">
        <f t="shared" si="33"/>
        <v>13.346153846153847</v>
      </c>
      <c r="D357" s="20">
        <f>-PMT(J357,COUNT(B357:$B$530),G356)</f>
        <v>15938.935664107681</v>
      </c>
      <c r="E357" s="20">
        <f t="shared" si="34"/>
        <v>2696.7993188531104</v>
      </c>
      <c r="F357" s="21">
        <f t="shared" si="35"/>
        <v>13242.13634525457</v>
      </c>
      <c r="G357" s="21">
        <f t="shared" si="32"/>
        <v>2516118.8346785568</v>
      </c>
      <c r="H357" s="22">
        <f t="shared" si="31"/>
        <v>1.0658607692307694E-3</v>
      </c>
      <c r="I357" s="23">
        <v>0</v>
      </c>
      <c r="J357" s="24">
        <f t="shared" si="36"/>
        <v>1.0658607692307694E-3</v>
      </c>
      <c r="K357" s="25">
        <v>800</v>
      </c>
    </row>
    <row r="358" spans="2:11" ht="20" customHeight="1" x14ac:dyDescent="0.2">
      <c r="B358" s="18">
        <f>ROWS(B$10:B358)-1</f>
        <v>348</v>
      </c>
      <c r="C358" s="19">
        <f t="shared" si="33"/>
        <v>13.384615384615385</v>
      </c>
      <c r="D358" s="20">
        <f>-PMT(J358,COUNT(B358:$B$530),G357)</f>
        <v>15933.869490198689</v>
      </c>
      <c r="E358" s="20">
        <f t="shared" si="34"/>
        <v>2681.8323566065137</v>
      </c>
      <c r="F358" s="21">
        <f t="shared" si="35"/>
        <v>13252.037133592175</v>
      </c>
      <c r="G358" s="21">
        <f t="shared" si="32"/>
        <v>2502066.7975449646</v>
      </c>
      <c r="H358" s="22">
        <f t="shared" si="31"/>
        <v>1.0658607692307694E-3</v>
      </c>
      <c r="I358" s="23">
        <v>0</v>
      </c>
      <c r="J358" s="24">
        <f t="shared" si="36"/>
        <v>1.0658607692307694E-3</v>
      </c>
      <c r="K358" s="25">
        <v>800</v>
      </c>
    </row>
    <row r="359" spans="2:11" ht="20" customHeight="1" x14ac:dyDescent="0.2">
      <c r="B359" s="18">
        <f>ROWS(B$10:B359)-1</f>
        <v>349</v>
      </c>
      <c r="C359" s="19">
        <f t="shared" si="33"/>
        <v>13.423076923076923</v>
      </c>
      <c r="D359" s="20">
        <f>-PMT(J359,COUNT(B359:$B$530),G358)</f>
        <v>15928.776492199493</v>
      </c>
      <c r="E359" s="20">
        <f t="shared" si="34"/>
        <v>2666.8548414980437</v>
      </c>
      <c r="F359" s="21">
        <f t="shared" si="35"/>
        <v>13261.92165070145</v>
      </c>
      <c r="G359" s="21">
        <f t="shared" si="32"/>
        <v>2488004.8758942629</v>
      </c>
      <c r="H359" s="22">
        <f t="shared" si="31"/>
        <v>1.0658607692307694E-3</v>
      </c>
      <c r="I359" s="23">
        <v>0</v>
      </c>
      <c r="J359" s="24">
        <f t="shared" si="36"/>
        <v>1.0658607692307694E-3</v>
      </c>
      <c r="K359" s="25">
        <v>800</v>
      </c>
    </row>
    <row r="360" spans="2:11" ht="20" customHeight="1" x14ac:dyDescent="0.2">
      <c r="B360" s="18">
        <f>ROWS(B$10:B360)-1</f>
        <v>350</v>
      </c>
      <c r="C360" s="19">
        <f t="shared" si="33"/>
        <v>13.461538461538462</v>
      </c>
      <c r="D360" s="20">
        <f>-PMT(J360,COUNT(B360:$B$530),G359)</f>
        <v>15923.656355495648</v>
      </c>
      <c r="E360" s="20">
        <f t="shared" si="34"/>
        <v>2651.8667908705643</v>
      </c>
      <c r="F360" s="21">
        <f t="shared" si="35"/>
        <v>13271.789564625084</v>
      </c>
      <c r="G360" s="21">
        <f t="shared" si="32"/>
        <v>2473933.086329638</v>
      </c>
      <c r="H360" s="22">
        <f t="shared" ref="H360:H423" si="37">J359</f>
        <v>1.0658607692307694E-3</v>
      </c>
      <c r="I360" s="23">
        <v>0</v>
      </c>
      <c r="J360" s="24">
        <f t="shared" si="36"/>
        <v>1.0658607692307694E-3</v>
      </c>
      <c r="K360" s="25">
        <v>800</v>
      </c>
    </row>
    <row r="361" spans="2:11" ht="20" customHeight="1" x14ac:dyDescent="0.2">
      <c r="B361" s="18">
        <f>ROWS(B$10:B361)-1</f>
        <v>351</v>
      </c>
      <c r="C361" s="19">
        <f t="shared" si="33"/>
        <v>13.5</v>
      </c>
      <c r="D361" s="20">
        <f>-PMT(J361,COUNT(B361:$B$530),G360)</f>
        <v>15918.508759920695</v>
      </c>
      <c r="E361" s="20">
        <f t="shared" si="34"/>
        <v>2636.8682224207596</v>
      </c>
      <c r="F361" s="21">
        <f t="shared" si="35"/>
        <v>13281.640537499934</v>
      </c>
      <c r="G361" s="21">
        <f t="shared" si="32"/>
        <v>2459851.4457921381</v>
      </c>
      <c r="H361" s="22">
        <f t="shared" si="37"/>
        <v>1.0658607692307694E-3</v>
      </c>
      <c r="I361" s="23">
        <v>0</v>
      </c>
      <c r="J361" s="24">
        <f t="shared" si="36"/>
        <v>1.0658607692307694E-3</v>
      </c>
      <c r="K361" s="25">
        <v>800</v>
      </c>
    </row>
    <row r="362" spans="2:11" ht="20" customHeight="1" x14ac:dyDescent="0.2">
      <c r="B362" s="18">
        <f>ROWS(B$10:B362)-1</f>
        <v>352</v>
      </c>
      <c r="C362" s="19">
        <f t="shared" si="33"/>
        <v>13.538461538461538</v>
      </c>
      <c r="D362" s="20">
        <f>-PMT(J362,COUNT(B362:$B$530),G361)</f>
        <v>15913.333379624668</v>
      </c>
      <c r="E362" s="20">
        <f t="shared" si="34"/>
        <v>2621.8591542054287</v>
      </c>
      <c r="F362" s="21">
        <f t="shared" si="35"/>
        <v>13291.474225419239</v>
      </c>
      <c r="G362" s="21">
        <f t="shared" si="32"/>
        <v>2445759.971566719</v>
      </c>
      <c r="H362" s="22">
        <f t="shared" si="37"/>
        <v>1.0658607692307694E-3</v>
      </c>
      <c r="I362" s="23">
        <v>0</v>
      </c>
      <c r="J362" s="24">
        <f t="shared" si="36"/>
        <v>1.0658607692307694E-3</v>
      </c>
      <c r="K362" s="25">
        <v>800</v>
      </c>
    </row>
    <row r="363" spans="2:11" ht="20" customHeight="1" x14ac:dyDescent="0.2">
      <c r="B363" s="18">
        <f>ROWS(B$10:B363)-1</f>
        <v>353</v>
      </c>
      <c r="C363" s="19">
        <f t="shared" si="33"/>
        <v>13.576923076923077</v>
      </c>
      <c r="D363" s="20">
        <f>-PMT(J363,COUNT(B363:$B$530),G362)</f>
        <v>15908.129882938854</v>
      </c>
      <c r="E363" s="20">
        <f t="shared" si="34"/>
        <v>2606.8396046479279</v>
      </c>
      <c r="F363" s="21">
        <f t="shared" si="35"/>
        <v>13301.290278290926</v>
      </c>
      <c r="G363" s="21">
        <f t="shared" si="32"/>
        <v>2431658.6812884281</v>
      </c>
      <c r="H363" s="22">
        <f t="shared" si="37"/>
        <v>1.0658607692307694E-3</v>
      </c>
      <c r="I363" s="23">
        <v>0</v>
      </c>
      <c r="J363" s="24">
        <f t="shared" si="36"/>
        <v>1.0658607692307694E-3</v>
      </c>
      <c r="K363" s="25">
        <v>800</v>
      </c>
    </row>
    <row r="364" spans="2:11" ht="20" customHeight="1" x14ac:dyDescent="0.2">
      <c r="B364" s="18">
        <f>ROWS(B$10:B364)-1</f>
        <v>354</v>
      </c>
      <c r="C364" s="19">
        <f t="shared" si="33"/>
        <v>13.615384615384615</v>
      </c>
      <c r="D364" s="20">
        <f>-PMT(J364,COUNT(B364:$B$530),G363)</f>
        <v>15902.897932236359</v>
      </c>
      <c r="E364" s="20">
        <f t="shared" si="34"/>
        <v>2591.8095925447624</v>
      </c>
      <c r="F364" s="21">
        <f t="shared" si="35"/>
        <v>13311.088339691596</v>
      </c>
      <c r="G364" s="21">
        <f t="shared" si="32"/>
        <v>2417547.5929487366</v>
      </c>
      <c r="H364" s="22">
        <f t="shared" si="37"/>
        <v>1.0658607692307694E-3</v>
      </c>
      <c r="I364" s="23">
        <v>0</v>
      </c>
      <c r="J364" s="24">
        <f t="shared" si="36"/>
        <v>1.0658607692307694E-3</v>
      </c>
      <c r="K364" s="25">
        <v>800</v>
      </c>
    </row>
    <row r="365" spans="2:11" ht="20" customHeight="1" x14ac:dyDescent="0.2">
      <c r="B365" s="18">
        <f>ROWS(B$10:B365)-1</f>
        <v>355</v>
      </c>
      <c r="C365" s="19">
        <f t="shared" si="33"/>
        <v>13.653846153846153</v>
      </c>
      <c r="D365" s="20">
        <f>-PMT(J365,COUNT(B365:$B$530),G364)</f>
        <v>15897.637183788585</v>
      </c>
      <c r="E365" s="20">
        <f t="shared" si="34"/>
        <v>2576.7691370723355</v>
      </c>
      <c r="F365" s="21">
        <f t="shared" si="35"/>
        <v>13320.86804671625</v>
      </c>
      <c r="G365" s="21">
        <f t="shared" si="32"/>
        <v>2403426.7249020203</v>
      </c>
      <c r="H365" s="22">
        <f t="shared" si="37"/>
        <v>1.0658607692307694E-3</v>
      </c>
      <c r="I365" s="23">
        <v>0</v>
      </c>
      <c r="J365" s="24">
        <f t="shared" si="36"/>
        <v>1.0658607692307694E-3</v>
      </c>
      <c r="K365" s="25">
        <v>800</v>
      </c>
    </row>
    <row r="366" spans="2:11" ht="20" customHeight="1" x14ac:dyDescent="0.2">
      <c r="B366" s="18">
        <f>ROWS(B$10:B366)-1</f>
        <v>356</v>
      </c>
      <c r="C366" s="19">
        <f t="shared" si="33"/>
        <v>13.692307692307692</v>
      </c>
      <c r="D366" s="20">
        <f>-PMT(J366,COUNT(B366:$B$530),G365)</f>
        <v>15892.347287617267</v>
      </c>
      <c r="E366" s="20">
        <f t="shared" si="34"/>
        <v>2561.7182577938561</v>
      </c>
      <c r="F366" s="21">
        <f t="shared" si="35"/>
        <v>13330.629029823411</v>
      </c>
      <c r="G366" s="21">
        <f t="shared" si="32"/>
        <v>2389296.0958721968</v>
      </c>
      <c r="H366" s="22">
        <f t="shared" si="37"/>
        <v>1.0658607692307694E-3</v>
      </c>
      <c r="I366" s="23">
        <v>0</v>
      </c>
      <c r="J366" s="24">
        <f t="shared" si="36"/>
        <v>1.0658607692307694E-3</v>
      </c>
      <c r="K366" s="25">
        <v>800</v>
      </c>
    </row>
    <row r="367" spans="2:11" ht="20" customHeight="1" x14ac:dyDescent="0.2">
      <c r="B367" s="18">
        <f>ROWS(B$10:B367)-1</f>
        <v>357</v>
      </c>
      <c r="C367" s="19">
        <f t="shared" si="33"/>
        <v>13.73076923076923</v>
      </c>
      <c r="D367" s="20">
        <f>-PMT(J367,COUNT(B367:$B$530),G366)</f>
        <v>15887.027887342088</v>
      </c>
      <c r="E367" s="20">
        <f t="shared" si="34"/>
        <v>2546.656974666414</v>
      </c>
      <c r="F367" s="21">
        <f t="shared" si="35"/>
        <v>13340.370912675675</v>
      </c>
      <c r="G367" s="21">
        <f t="shared" si="32"/>
        <v>2375155.7249595211</v>
      </c>
      <c r="H367" s="22">
        <f t="shared" si="37"/>
        <v>1.0658607692307694E-3</v>
      </c>
      <c r="I367" s="23">
        <v>0</v>
      </c>
      <c r="J367" s="24">
        <f t="shared" si="36"/>
        <v>1.0658607692307694E-3</v>
      </c>
      <c r="K367" s="25">
        <v>800</v>
      </c>
    </row>
    <row r="368" spans="2:11" ht="20" customHeight="1" x14ac:dyDescent="0.2">
      <c r="B368" s="18">
        <f>ROWS(B$10:B368)-1</f>
        <v>358</v>
      </c>
      <c r="C368" s="19">
        <f t="shared" si="33"/>
        <v>13.76923076923077</v>
      </c>
      <c r="D368" s="20">
        <f>-PMT(J368,COUNT(B368:$B$530),G367)</f>
        <v>15881.678620023526</v>
      </c>
      <c r="E368" s="20">
        <f t="shared" si="34"/>
        <v>2531.5853080482211</v>
      </c>
      <c r="F368" s="21">
        <f t="shared" si="35"/>
        <v>13350.093311975304</v>
      </c>
      <c r="G368" s="21">
        <f t="shared" si="32"/>
        <v>2361005.6316475458</v>
      </c>
      <c r="H368" s="22">
        <f t="shared" si="37"/>
        <v>1.0658607692307694E-3</v>
      </c>
      <c r="I368" s="23">
        <v>0</v>
      </c>
      <c r="J368" s="24">
        <f t="shared" si="36"/>
        <v>1.0658607692307694E-3</v>
      </c>
      <c r="K368" s="25">
        <v>800</v>
      </c>
    </row>
    <row r="369" spans="2:11" ht="20" customHeight="1" x14ac:dyDescent="0.2">
      <c r="B369" s="18">
        <f>ROWS(B$10:B369)-1</f>
        <v>359</v>
      </c>
      <c r="C369" s="19">
        <f t="shared" si="33"/>
        <v>13.807692307692308</v>
      </c>
      <c r="D369" s="20">
        <f>-PMT(J369,COUNT(B369:$B$530),G368)</f>
        <v>15876.299116000939</v>
      </c>
      <c r="E369" s="20">
        <f t="shared" si="34"/>
        <v>2516.5032787060318</v>
      </c>
      <c r="F369" s="21">
        <f t="shared" si="35"/>
        <v>13359.795837294907</v>
      </c>
      <c r="G369" s="21">
        <f t="shared" si="32"/>
        <v>2346845.8358102511</v>
      </c>
      <c r="H369" s="22">
        <f t="shared" si="37"/>
        <v>1.0658607692307694E-3</v>
      </c>
      <c r="I369" s="23">
        <v>0</v>
      </c>
      <c r="J369" s="24">
        <f t="shared" si="36"/>
        <v>1.0658607692307694E-3</v>
      </c>
      <c r="K369" s="25">
        <v>800</v>
      </c>
    </row>
    <row r="370" spans="2:11" ht="20" customHeight="1" x14ac:dyDescent="0.2">
      <c r="B370" s="18">
        <f>ROWS(B$10:B370)-1</f>
        <v>360</v>
      </c>
      <c r="C370" s="19">
        <f t="shared" si="33"/>
        <v>13.846153846153847</v>
      </c>
      <c r="D370" s="20">
        <f>-PMT(J370,COUNT(B370:$B$530),G369)</f>
        <v>15870.888998725555</v>
      </c>
      <c r="E370" s="20">
        <f t="shared" si="34"/>
        <v>2501.410907822742</v>
      </c>
      <c r="F370" s="21">
        <f t="shared" si="35"/>
        <v>13369.478090902812</v>
      </c>
      <c r="G370" s="21">
        <f t="shared" si="32"/>
        <v>2332676.3577193483</v>
      </c>
      <c r="H370" s="22">
        <f t="shared" si="37"/>
        <v>1.0658607692307694E-3</v>
      </c>
      <c r="I370" s="23">
        <v>0</v>
      </c>
      <c r="J370" s="24">
        <f t="shared" si="36"/>
        <v>1.0658607692307694E-3</v>
      </c>
      <c r="K370" s="25">
        <v>800</v>
      </c>
    </row>
    <row r="371" spans="2:11" ht="20" customHeight="1" x14ac:dyDescent="0.2">
      <c r="B371" s="18">
        <f>ROWS(B$10:B371)-1</f>
        <v>361</v>
      </c>
      <c r="C371" s="19">
        <f t="shared" si="33"/>
        <v>13.884615384615385</v>
      </c>
      <c r="D371" s="20">
        <f>-PMT(J371,COUNT(B371:$B$530),G370)</f>
        <v>15865.447884588282</v>
      </c>
      <c r="E371" s="20">
        <f t="shared" si="34"/>
        <v>2486.3082170051739</v>
      </c>
      <c r="F371" s="21">
        <f t="shared" si="35"/>
        <v>13379.139667583109</v>
      </c>
      <c r="G371" s="21">
        <f t="shared" si="32"/>
        <v>2318497.2180517651</v>
      </c>
      <c r="H371" s="22">
        <f t="shared" si="37"/>
        <v>1.0658607692307694E-3</v>
      </c>
      <c r="I371" s="23">
        <v>0</v>
      </c>
      <c r="J371" s="24">
        <f t="shared" si="36"/>
        <v>1.0658607692307694E-3</v>
      </c>
      <c r="K371" s="25">
        <v>800</v>
      </c>
    </row>
    <row r="372" spans="2:11" ht="20" customHeight="1" x14ac:dyDescent="0.2">
      <c r="B372" s="18">
        <f>ROWS(B$10:B372)-1</f>
        <v>362</v>
      </c>
      <c r="C372" s="19">
        <f t="shared" si="33"/>
        <v>13.923076923076923</v>
      </c>
      <c r="D372" s="20">
        <f>-PMT(J372,COUNT(B372:$B$530),G371)</f>
        <v>15859.975382742085</v>
      </c>
      <c r="E372" s="20">
        <f t="shared" si="34"/>
        <v>2471.1952282920533</v>
      </c>
      <c r="F372" s="21">
        <f t="shared" si="35"/>
        <v>13388.780154450031</v>
      </c>
      <c r="G372" s="21">
        <f t="shared" si="32"/>
        <v>2304308.4378973152</v>
      </c>
      <c r="H372" s="22">
        <f t="shared" si="37"/>
        <v>1.0658607692307694E-3</v>
      </c>
      <c r="I372" s="23">
        <v>0</v>
      </c>
      <c r="J372" s="24">
        <f t="shared" si="36"/>
        <v>1.0658607692307694E-3</v>
      </c>
      <c r="K372" s="25">
        <v>800</v>
      </c>
    </row>
    <row r="373" spans="2:11" ht="20" customHeight="1" x14ac:dyDescent="0.2">
      <c r="B373" s="18">
        <f>ROWS(B$10:B373)-1</f>
        <v>363</v>
      </c>
      <c r="C373" s="19">
        <f t="shared" si="33"/>
        <v>13.961538461538462</v>
      </c>
      <c r="D373" s="20">
        <f>-PMT(J373,COUNT(B373:$B$530),G372)</f>
        <v>15854.471094918747</v>
      </c>
      <c r="E373" s="20">
        <f t="shared" si="34"/>
        <v>2456.0719641621849</v>
      </c>
      <c r="F373" s="21">
        <f t="shared" si="35"/>
        <v>13398.399130756561</v>
      </c>
      <c r="G373" s="21">
        <f t="shared" si="32"/>
        <v>2290110.0387665587</v>
      </c>
      <c r="H373" s="22">
        <f t="shared" si="37"/>
        <v>1.0658607692307694E-3</v>
      </c>
      <c r="I373" s="23">
        <v>0</v>
      </c>
      <c r="J373" s="24">
        <f t="shared" si="36"/>
        <v>1.0658607692307694E-3</v>
      </c>
      <c r="K373" s="25">
        <v>800</v>
      </c>
    </row>
    <row r="374" spans="2:11" ht="20" customHeight="1" x14ac:dyDescent="0.2">
      <c r="B374" s="18">
        <f>ROWS(B$10:B374)-1</f>
        <v>364</v>
      </c>
      <c r="C374" s="19">
        <f t="shared" si="33"/>
        <v>14</v>
      </c>
      <c r="D374" s="20">
        <f>-PMT(J374,COUNT(B374:$B$530),G373)</f>
        <v>15848.934615239797</v>
      </c>
      <c r="E374" s="20">
        <f t="shared" si="34"/>
        <v>2440.9384475428315</v>
      </c>
      <c r="F374" s="21">
        <f t="shared" si="35"/>
        <v>13407.996167696965</v>
      </c>
      <c r="G374" s="21">
        <f t="shared" si="32"/>
        <v>2275902.0425988617</v>
      </c>
      <c r="H374" s="22">
        <f t="shared" si="37"/>
        <v>1.0658607692307694E-3</v>
      </c>
      <c r="I374" s="23">
        <v>0</v>
      </c>
      <c r="J374" s="24">
        <f t="shared" si="36"/>
        <v>1.0658607692307694E-3</v>
      </c>
      <c r="K374" s="25">
        <v>800</v>
      </c>
    </row>
    <row r="375" spans="2:11" ht="20" customHeight="1" x14ac:dyDescent="0.2">
      <c r="B375" s="18">
        <f>ROWS(B$10:B375)-1</f>
        <v>365</v>
      </c>
      <c r="C375" s="19">
        <f t="shared" si="33"/>
        <v>14.038461538461538</v>
      </c>
      <c r="D375" s="20">
        <f>-PMT(J375,COUNT(B375:$B$530),G374)</f>
        <v>15843.365530021372</v>
      </c>
      <c r="E375" s="20">
        <f t="shared" si="34"/>
        <v>2425.7947018183022</v>
      </c>
      <c r="F375" s="21">
        <f t="shared" si="35"/>
        <v>13417.57082820307</v>
      </c>
      <c r="G375" s="21">
        <f t="shared" si="32"/>
        <v>2261684.4717706586</v>
      </c>
      <c r="H375" s="22">
        <f t="shared" si="37"/>
        <v>1.0658607692307694E-3</v>
      </c>
      <c r="I375" s="23">
        <v>0</v>
      </c>
      <c r="J375" s="24">
        <f t="shared" si="36"/>
        <v>1.0658607692307694E-3</v>
      </c>
      <c r="K375" s="25">
        <v>800</v>
      </c>
    </row>
    <row r="376" spans="2:11" ht="20" customHeight="1" x14ac:dyDescent="0.2">
      <c r="B376" s="18">
        <f>ROWS(B$10:B376)-1</f>
        <v>366</v>
      </c>
      <c r="C376" s="19">
        <f t="shared" si="33"/>
        <v>14.076923076923077</v>
      </c>
      <c r="D376" s="20">
        <f>-PMT(J376,COUNT(B376:$B$530),G375)</f>
        <v>15837.763417572796</v>
      </c>
      <c r="E376" s="20">
        <f t="shared" si="34"/>
        <v>2410.6407508387606</v>
      </c>
      <c r="F376" s="21">
        <f t="shared" si="35"/>
        <v>13427.122666734036</v>
      </c>
      <c r="G376" s="21">
        <f t="shared" si="32"/>
        <v>2247457.3491039248</v>
      </c>
      <c r="H376" s="22">
        <f t="shared" si="37"/>
        <v>1.0658607692307694E-3</v>
      </c>
      <c r="I376" s="23">
        <v>0</v>
      </c>
      <c r="J376" s="24">
        <f t="shared" si="36"/>
        <v>1.0658607692307694E-3</v>
      </c>
      <c r="K376" s="25">
        <v>800</v>
      </c>
    </row>
    <row r="377" spans="2:11" ht="20" customHeight="1" x14ac:dyDescent="0.2">
      <c r="B377" s="18">
        <f>ROWS(B$10:B377)-1</f>
        <v>367</v>
      </c>
      <c r="C377" s="19">
        <f t="shared" si="33"/>
        <v>14.115384615384615</v>
      </c>
      <c r="D377" s="20">
        <f>-PMT(J377,COUNT(B377:$B$530),G376)</f>
        <v>15832.127847988602</v>
      </c>
      <c r="E377" s="20">
        <f t="shared" si="34"/>
        <v>2395.4766189292554</v>
      </c>
      <c r="F377" s="21">
        <f t="shared" si="35"/>
        <v>13436.651229059347</v>
      </c>
      <c r="G377" s="21">
        <f t="shared" si="32"/>
        <v>2233220.6978748655</v>
      </c>
      <c r="H377" s="22">
        <f t="shared" si="37"/>
        <v>1.0658607692307694E-3</v>
      </c>
      <c r="I377" s="23">
        <v>0</v>
      </c>
      <c r="J377" s="24">
        <f t="shared" si="36"/>
        <v>1.0658607692307694E-3</v>
      </c>
      <c r="K377" s="25">
        <v>800</v>
      </c>
    </row>
    <row r="378" spans="2:11" ht="20" customHeight="1" x14ac:dyDescent="0.2">
      <c r="B378" s="18">
        <f>ROWS(B$10:B378)-1</f>
        <v>368</v>
      </c>
      <c r="C378" s="19">
        <f t="shared" si="33"/>
        <v>14.153846153846153</v>
      </c>
      <c r="D378" s="20">
        <f>-PMT(J378,COUNT(B378:$B$530),G377)</f>
        <v>15826.458382933757</v>
      </c>
      <c r="E378" s="20">
        <f t="shared" si="34"/>
        <v>2380.30233089898</v>
      </c>
      <c r="F378" s="21">
        <f t="shared" si="35"/>
        <v>13446.156052034778</v>
      </c>
      <c r="G378" s="21">
        <f t="shared" si="32"/>
        <v>2218974.5418228307</v>
      </c>
      <c r="H378" s="22">
        <f t="shared" si="37"/>
        <v>1.0658607692307694E-3</v>
      </c>
      <c r="I378" s="23">
        <v>0</v>
      </c>
      <c r="J378" s="24">
        <f t="shared" si="36"/>
        <v>1.0658607692307694E-3</v>
      </c>
      <c r="K378" s="25">
        <v>800</v>
      </c>
    </row>
    <row r="379" spans="2:11" ht="20" customHeight="1" x14ac:dyDescent="0.2">
      <c r="B379" s="18">
        <f>ROWS(B$10:B379)-1</f>
        <v>369</v>
      </c>
      <c r="C379" s="19">
        <f t="shared" si="33"/>
        <v>14.192307692307692</v>
      </c>
      <c r="D379" s="20">
        <f>-PMT(J379,COUNT(B379:$B$530),G378)</f>
        <v>15820.754575421872</v>
      </c>
      <c r="E379" s="20">
        <f t="shared" si="34"/>
        <v>2365.1179120507763</v>
      </c>
      <c r="F379" s="21">
        <f t="shared" si="35"/>
        <v>13455.636663371095</v>
      </c>
      <c r="G379" s="21">
        <f t="shared" si="32"/>
        <v>2204718.9051594594</v>
      </c>
      <c r="H379" s="22">
        <f t="shared" si="37"/>
        <v>1.0658607692307694E-3</v>
      </c>
      <c r="I379" s="23">
        <v>0</v>
      </c>
      <c r="J379" s="24">
        <f t="shared" si="36"/>
        <v>1.0658607692307694E-3</v>
      </c>
      <c r="K379" s="25">
        <v>800</v>
      </c>
    </row>
    <row r="380" spans="2:11" ht="20" customHeight="1" x14ac:dyDescent="0.2">
      <c r="B380" s="18">
        <f>ROWS(B$10:B380)-1</f>
        <v>370</v>
      </c>
      <c r="C380" s="19">
        <f t="shared" si="33"/>
        <v>14.23076923076923</v>
      </c>
      <c r="D380" s="20">
        <f>-PMT(J380,COUNT(B380:$B$530),G379)</f>
        <v>15815.015969585969</v>
      </c>
      <c r="E380" s="20">
        <f t="shared" si="34"/>
        <v>2349.9233881908813</v>
      </c>
      <c r="F380" s="21">
        <f t="shared" si="35"/>
        <v>13465.092581395089</v>
      </c>
      <c r="G380" s="21">
        <f t="shared" si="32"/>
        <v>2190453.8125780644</v>
      </c>
      <c r="H380" s="22">
        <f t="shared" si="37"/>
        <v>1.0658607692307694E-3</v>
      </c>
      <c r="I380" s="23">
        <v>0</v>
      </c>
      <c r="J380" s="24">
        <f t="shared" si="36"/>
        <v>1.0658607692307694E-3</v>
      </c>
      <c r="K380" s="25">
        <v>800</v>
      </c>
    </row>
    <row r="381" spans="2:11" ht="20" customHeight="1" x14ac:dyDescent="0.2">
      <c r="B381" s="18">
        <f>ROWS(B$10:B381)-1</f>
        <v>371</v>
      </c>
      <c r="C381" s="19">
        <f t="shared" si="33"/>
        <v>14.26923076923077</v>
      </c>
      <c r="D381" s="20">
        <f>-PMT(J381,COUNT(B381:$B$530),G380)</f>
        <v>15809.242100441719</v>
      </c>
      <c r="E381" s="20">
        <f t="shared" si="34"/>
        <v>2334.7187856389273</v>
      </c>
      <c r="F381" s="21">
        <f t="shared" si="35"/>
        <v>13474.523314802791</v>
      </c>
      <c r="G381" s="21">
        <f t="shared" si="32"/>
        <v>2176179.2892632615</v>
      </c>
      <c r="H381" s="22">
        <f t="shared" si="37"/>
        <v>1.0658607692307694E-3</v>
      </c>
      <c r="I381" s="23">
        <v>0</v>
      </c>
      <c r="J381" s="24">
        <f t="shared" si="36"/>
        <v>1.0658607692307694E-3</v>
      </c>
      <c r="K381" s="25">
        <v>800</v>
      </c>
    </row>
    <row r="382" spans="2:11" ht="20" customHeight="1" x14ac:dyDescent="0.2">
      <c r="B382" s="18">
        <f>ROWS(B$10:B382)-1</f>
        <v>372</v>
      </c>
      <c r="C382" s="19">
        <f t="shared" si="33"/>
        <v>14.307692307692308</v>
      </c>
      <c r="D382" s="20">
        <f>-PMT(J382,COUNT(B382:$B$530),G381)</f>
        <v>15803.432493642638</v>
      </c>
      <c r="E382" s="20">
        <f t="shared" si="34"/>
        <v>2319.5041312382091</v>
      </c>
      <c r="F382" s="21">
        <f t="shared" si="35"/>
        <v>13483.928362404429</v>
      </c>
      <c r="G382" s="21">
        <f t="shared" si="32"/>
        <v>2161895.360900857</v>
      </c>
      <c r="H382" s="22">
        <f t="shared" si="37"/>
        <v>1.0658607692307694E-3</v>
      </c>
      <c r="I382" s="23">
        <v>0</v>
      </c>
      <c r="J382" s="24">
        <f t="shared" si="36"/>
        <v>1.0658607692307694E-3</v>
      </c>
      <c r="K382" s="25">
        <v>800</v>
      </c>
    </row>
    <row r="383" spans="2:11" ht="20" customHeight="1" x14ac:dyDescent="0.2">
      <c r="B383" s="18">
        <f>ROWS(B$10:B383)-1</f>
        <v>373</v>
      </c>
      <c r="C383" s="19">
        <f t="shared" si="33"/>
        <v>14.346153846153847</v>
      </c>
      <c r="D383" s="20">
        <f>-PMT(J383,COUNT(B383:$B$530),G382)</f>
        <v>15797.5866652271</v>
      </c>
      <c r="E383" s="20">
        <f t="shared" si="34"/>
        <v>2304.2794523662192</v>
      </c>
      <c r="F383" s="21">
        <f t="shared" si="35"/>
        <v>13493.30721286088</v>
      </c>
      <c r="G383" s="21">
        <f t="shared" si="32"/>
        <v>2147602.0536879962</v>
      </c>
      <c r="H383" s="22">
        <f t="shared" si="37"/>
        <v>1.0658607692307694E-3</v>
      </c>
      <c r="I383" s="23">
        <v>0</v>
      </c>
      <c r="J383" s="24">
        <f t="shared" si="36"/>
        <v>1.0658607692307694E-3</v>
      </c>
      <c r="K383" s="25">
        <v>800</v>
      </c>
    </row>
    <row r="384" spans="2:11" ht="20" customHeight="1" x14ac:dyDescent="0.2">
      <c r="B384" s="18">
        <f>ROWS(B$10:B384)-1</f>
        <v>374</v>
      </c>
      <c r="C384" s="19">
        <f t="shared" si="33"/>
        <v>14.384615384615385</v>
      </c>
      <c r="D384" s="20">
        <f>-PMT(J384,COUNT(B384:$B$530),G383)</f>
        <v>15791.704121356648</v>
      </c>
      <c r="E384" s="20">
        <f t="shared" si="34"/>
        <v>2289.0447769454677</v>
      </c>
      <c r="F384" s="21">
        <f t="shared" si="35"/>
        <v>13502.65934441118</v>
      </c>
      <c r="G384" s="21">
        <f t="shared" si="32"/>
        <v>2133299.3943435852</v>
      </c>
      <c r="H384" s="22">
        <f t="shared" si="37"/>
        <v>1.0658607692307694E-3</v>
      </c>
      <c r="I384" s="23">
        <v>0</v>
      </c>
      <c r="J384" s="24">
        <f t="shared" si="36"/>
        <v>1.0658607692307694E-3</v>
      </c>
      <c r="K384" s="25">
        <v>800</v>
      </c>
    </row>
    <row r="385" spans="2:11" ht="20" customHeight="1" x14ac:dyDescent="0.2">
      <c r="B385" s="18">
        <f>ROWS(B$10:B385)-1</f>
        <v>375</v>
      </c>
      <c r="C385" s="19">
        <f t="shared" si="33"/>
        <v>14.423076923076923</v>
      </c>
      <c r="D385" s="20">
        <f>-PMT(J385,COUNT(B385:$B$530),G384)</f>
        <v>15785.784358045456</v>
      </c>
      <c r="E385" s="20">
        <f t="shared" si="34"/>
        <v>2273.8001334545884</v>
      </c>
      <c r="F385" s="21">
        <f t="shared" si="35"/>
        <v>13511.984224590868</v>
      </c>
      <c r="G385" s="21">
        <f t="shared" si="32"/>
        <v>2118987.4101189943</v>
      </c>
      <c r="H385" s="22">
        <f t="shared" si="37"/>
        <v>1.0658607692307694E-3</v>
      </c>
      <c r="I385" s="23">
        <v>0</v>
      </c>
      <c r="J385" s="24">
        <f t="shared" si="36"/>
        <v>1.0658607692307694E-3</v>
      </c>
      <c r="K385" s="25">
        <v>800</v>
      </c>
    </row>
    <row r="386" spans="2:11" ht="20" customHeight="1" x14ac:dyDescent="0.2">
      <c r="B386" s="18">
        <f>ROWS(B$10:B386)-1</f>
        <v>376</v>
      </c>
      <c r="C386" s="19">
        <f t="shared" si="33"/>
        <v>14.461538461538462</v>
      </c>
      <c r="D386" s="20">
        <f>-PMT(J386,COUNT(B386:$B$530),G385)</f>
        <v>15779.826860880337</v>
      </c>
      <c r="E386" s="20">
        <f t="shared" si="34"/>
        <v>2258.545550939747</v>
      </c>
      <c r="F386" s="21">
        <f t="shared" si="35"/>
        <v>13521.28130994059</v>
      </c>
      <c r="G386" s="21">
        <f t="shared" si="32"/>
        <v>2104666.1288090539</v>
      </c>
      <c r="H386" s="22">
        <f t="shared" si="37"/>
        <v>1.0658607692307694E-3</v>
      </c>
      <c r="I386" s="23">
        <v>0</v>
      </c>
      <c r="J386" s="24">
        <f t="shared" si="36"/>
        <v>1.0658607692307694E-3</v>
      </c>
      <c r="K386" s="25">
        <v>800</v>
      </c>
    </row>
    <row r="387" spans="2:11" ht="20" customHeight="1" x14ac:dyDescent="0.2">
      <c r="B387" s="18">
        <f>ROWS(B$10:B387)-1</f>
        <v>377</v>
      </c>
      <c r="C387" s="19">
        <f t="shared" si="33"/>
        <v>14.5</v>
      </c>
      <c r="D387" s="20">
        <f>-PMT(J387,COUNT(B387:$B$530),G386)</f>
        <v>15773.831104731154</v>
      </c>
      <c r="E387" s="20">
        <f t="shared" si="34"/>
        <v>2243.2810590263639</v>
      </c>
      <c r="F387" s="21">
        <f t="shared" si="35"/>
        <v>13530.550045704791</v>
      </c>
      <c r="G387" s="21">
        <f t="shared" si="32"/>
        <v>2090335.5787633492</v>
      </c>
      <c r="H387" s="22">
        <f t="shared" si="37"/>
        <v>1.0658607692307694E-3</v>
      </c>
      <c r="I387" s="23">
        <v>0</v>
      </c>
      <c r="J387" s="24">
        <f t="shared" si="36"/>
        <v>1.0658607692307694E-3</v>
      </c>
      <c r="K387" s="25">
        <v>800</v>
      </c>
    </row>
    <row r="388" spans="2:11" ht="20" customHeight="1" x14ac:dyDescent="0.2">
      <c r="B388" s="18">
        <f>ROWS(B$10:B388)-1</f>
        <v>378</v>
      </c>
      <c r="C388" s="19">
        <f t="shared" si="33"/>
        <v>14.538461538461538</v>
      </c>
      <c r="D388" s="20">
        <f>-PMT(J388,COUNT(B388:$B$530),G387)</f>
        <v>15767.796553451006</v>
      </c>
      <c r="E388" s="20">
        <f t="shared" si="34"/>
        <v>2228.0066879311489</v>
      </c>
      <c r="F388" s="21">
        <f t="shared" si="35"/>
        <v>13539.789865519857</v>
      </c>
      <c r="G388" s="21">
        <f t="shared" si="32"/>
        <v>2075995.7888978294</v>
      </c>
      <c r="H388" s="22">
        <f t="shared" si="37"/>
        <v>1.0658607692307694E-3</v>
      </c>
      <c r="I388" s="23">
        <v>0</v>
      </c>
      <c r="J388" s="24">
        <f t="shared" si="36"/>
        <v>1.0658607692307694E-3</v>
      </c>
      <c r="K388" s="25">
        <v>800</v>
      </c>
    </row>
    <row r="389" spans="2:11" ht="20" customHeight="1" x14ac:dyDescent="0.2">
      <c r="B389" s="18">
        <f>ROWS(B$10:B389)-1</f>
        <v>379</v>
      </c>
      <c r="C389" s="19">
        <f t="shared" si="33"/>
        <v>14.576923076923077</v>
      </c>
      <c r="D389" s="20">
        <f>-PMT(J389,COUNT(B389:$B$530),G388)</f>
        <v>15761.722659565921</v>
      </c>
      <c r="E389" s="20">
        <f t="shared" si="34"/>
        <v>2212.7224684744783</v>
      </c>
      <c r="F389" s="21">
        <f t="shared" si="35"/>
        <v>13549.000191091443</v>
      </c>
      <c r="G389" s="21">
        <f t="shared" si="32"/>
        <v>2061646.788706738</v>
      </c>
      <c r="H389" s="22">
        <f t="shared" si="37"/>
        <v>1.0658607692307694E-3</v>
      </c>
      <c r="I389" s="23">
        <v>0</v>
      </c>
      <c r="J389" s="24">
        <f t="shared" si="36"/>
        <v>1.0658607692307694E-3</v>
      </c>
      <c r="K389" s="25">
        <v>800</v>
      </c>
    </row>
    <row r="390" spans="2:11" ht="20" customHeight="1" x14ac:dyDescent="0.2">
      <c r="B390" s="18">
        <f>ROWS(B$10:B390)-1</f>
        <v>380</v>
      </c>
      <c r="C390" s="19">
        <f t="shared" si="33"/>
        <v>14.615384615384615</v>
      </c>
      <c r="D390" s="20">
        <f>-PMT(J390,COUNT(B390:$B$530),G389)</f>
        <v>15755.608863953497</v>
      </c>
      <c r="E390" s="20">
        <f t="shared" si="34"/>
        <v>2197.4284320931092</v>
      </c>
      <c r="F390" s="21">
        <f t="shared" si="35"/>
        <v>13558.180431860388</v>
      </c>
      <c r="G390" s="21">
        <f t="shared" si="32"/>
        <v>2047288.6082748775</v>
      </c>
      <c r="H390" s="22">
        <f t="shared" si="37"/>
        <v>1.0658607692307694E-3</v>
      </c>
      <c r="I390" s="23">
        <v>0</v>
      </c>
      <c r="J390" s="24">
        <f t="shared" si="36"/>
        <v>1.0658607692307694E-3</v>
      </c>
      <c r="K390" s="25">
        <v>800</v>
      </c>
    </row>
    <row r="391" spans="2:11" ht="20" customHeight="1" x14ac:dyDescent="0.2">
      <c r="B391" s="18">
        <f>ROWS(B$10:B391)-1</f>
        <v>381</v>
      </c>
      <c r="C391" s="19">
        <f t="shared" si="33"/>
        <v>14.653846153846153</v>
      </c>
      <c r="D391" s="20">
        <f>-PMT(J391,COUNT(B391:$B$530),G390)</f>
        <v>15749.454595510113</v>
      </c>
      <c r="E391" s="20">
        <f t="shared" si="34"/>
        <v>2182.1246108532523</v>
      </c>
      <c r="F391" s="21">
        <f t="shared" si="35"/>
        <v>13567.329984656861</v>
      </c>
      <c r="G391" s="21">
        <f t="shared" si="32"/>
        <v>2032921.2782902208</v>
      </c>
      <c r="H391" s="22">
        <f t="shared" si="37"/>
        <v>1.0658607692307694E-3</v>
      </c>
      <c r="I391" s="23">
        <v>0</v>
      </c>
      <c r="J391" s="24">
        <f t="shared" si="36"/>
        <v>1.0658607692307694E-3</v>
      </c>
      <c r="K391" s="25">
        <v>800</v>
      </c>
    </row>
    <row r="392" spans="2:11" ht="20" customHeight="1" x14ac:dyDescent="0.2">
      <c r="B392" s="18">
        <f>ROWS(B$10:B392)-1</f>
        <v>382</v>
      </c>
      <c r="C392" s="19">
        <f t="shared" si="33"/>
        <v>14.692307692307692</v>
      </c>
      <c r="D392" s="20">
        <f>-PMT(J392,COUNT(B392:$B$530),G391)</f>
        <v>15743.259270806131</v>
      </c>
      <c r="E392" s="20">
        <f t="shared" si="34"/>
        <v>2166.8110374640137</v>
      </c>
      <c r="F392" s="21">
        <f t="shared" si="35"/>
        <v>13576.448233342118</v>
      </c>
      <c r="G392" s="21">
        <f t="shared" si="32"/>
        <v>2018544.8300568787</v>
      </c>
      <c r="H392" s="22">
        <f t="shared" si="37"/>
        <v>1.0658607692307694E-3</v>
      </c>
      <c r="I392" s="23">
        <v>0</v>
      </c>
      <c r="J392" s="24">
        <f t="shared" si="36"/>
        <v>1.0658607692307694E-3</v>
      </c>
      <c r="K392" s="25">
        <v>800</v>
      </c>
    </row>
    <row r="393" spans="2:11" ht="20" customHeight="1" x14ac:dyDescent="0.2">
      <c r="B393" s="18">
        <f>ROWS(B$10:B393)-1</f>
        <v>383</v>
      </c>
      <c r="C393" s="19">
        <f t="shared" si="33"/>
        <v>14.73076923076923</v>
      </c>
      <c r="D393" s="20">
        <f>-PMT(J393,COUNT(B393:$B$530),G392)</f>
        <v>15737.022293728623</v>
      </c>
      <c r="E393" s="20">
        <f t="shared" si="34"/>
        <v>2151.4877452912174</v>
      </c>
      <c r="F393" s="21">
        <f t="shared" si="35"/>
        <v>13585.534548437407</v>
      </c>
      <c r="G393" s="21">
        <f t="shared" si="32"/>
        <v>2004159.2955084413</v>
      </c>
      <c r="H393" s="22">
        <f t="shared" si="37"/>
        <v>1.0658607692307694E-3</v>
      </c>
      <c r="I393" s="23">
        <v>0</v>
      </c>
      <c r="J393" s="24">
        <f t="shared" si="36"/>
        <v>1.0658607692307694E-3</v>
      </c>
      <c r="K393" s="25">
        <v>800</v>
      </c>
    </row>
    <row r="394" spans="2:11" ht="20" customHeight="1" x14ac:dyDescent="0.2">
      <c r="B394" s="18">
        <f>ROWS(B$10:B394)-1</f>
        <v>384</v>
      </c>
      <c r="C394" s="19">
        <f t="shared" si="33"/>
        <v>14.76923076923077</v>
      </c>
      <c r="D394" s="20">
        <f>-PMT(J394,COUNT(B394:$B$530),G393)</f>
        <v>15730.743055111068</v>
      </c>
      <c r="E394" s="20">
        <f t="shared" si="34"/>
        <v>2136.154768371624</v>
      </c>
      <c r="F394" s="21">
        <f t="shared" si="35"/>
        <v>13594.588286739445</v>
      </c>
      <c r="G394" s="21">
        <f t="shared" si="32"/>
        <v>1989764.7072217017</v>
      </c>
      <c r="H394" s="22">
        <f t="shared" si="37"/>
        <v>1.0658607692307694E-3</v>
      </c>
      <c r="I394" s="23">
        <v>0</v>
      </c>
      <c r="J394" s="24">
        <f t="shared" si="36"/>
        <v>1.0658607692307694E-3</v>
      </c>
      <c r="K394" s="25">
        <v>800</v>
      </c>
    </row>
    <row r="395" spans="2:11" ht="20" customHeight="1" x14ac:dyDescent="0.2">
      <c r="B395" s="18">
        <f>ROWS(B$10:B395)-1</f>
        <v>385</v>
      </c>
      <c r="C395" s="19">
        <f t="shared" si="33"/>
        <v>14.807692307692308</v>
      </c>
      <c r="D395" s="20">
        <f>-PMT(J395,COUNT(B395:$B$530),G394)</f>
        <v>15724.420932349407</v>
      </c>
      <c r="E395" s="20">
        <f t="shared" si="34"/>
        <v>2120.8121414275597</v>
      </c>
      <c r="F395" s="21">
        <f t="shared" si="35"/>
        <v>13603.608790921848</v>
      </c>
      <c r="G395" s="21">
        <f t="shared" ref="G395:G458" si="38">G394-F395-K395</f>
        <v>1975361.09843078</v>
      </c>
      <c r="H395" s="22">
        <f t="shared" si="37"/>
        <v>1.0658607692307694E-3</v>
      </c>
      <c r="I395" s="23">
        <v>0</v>
      </c>
      <c r="J395" s="24">
        <f t="shared" si="36"/>
        <v>1.0658607692307694E-3</v>
      </c>
      <c r="K395" s="25">
        <v>800</v>
      </c>
    </row>
    <row r="396" spans="2:11" ht="20" customHeight="1" x14ac:dyDescent="0.2">
      <c r="B396" s="18">
        <f>ROWS(B$10:B396)-1</f>
        <v>386</v>
      </c>
      <c r="C396" s="19">
        <f t="shared" ref="C396:C459" si="39">(B396/$G$3)</f>
        <v>14.846153846153847</v>
      </c>
      <c r="D396" s="20">
        <f>-PMT(J396,COUNT(B396:$B$530),G395)</f>
        <v>15718.055289003896</v>
      </c>
      <c r="E396" s="20">
        <f t="shared" ref="E396:E459" si="40">G395*J396</f>
        <v>2105.4598998819688</v>
      </c>
      <c r="F396" s="21">
        <f t="shared" ref="F396:F459" si="41">D396-E396</f>
        <v>13612.595389121927</v>
      </c>
      <c r="G396" s="21">
        <f t="shared" si="38"/>
        <v>1960948.5030416581</v>
      </c>
      <c r="H396" s="22">
        <f t="shared" si="37"/>
        <v>1.0658607692307694E-3</v>
      </c>
      <c r="I396" s="23">
        <v>0</v>
      </c>
      <c r="J396" s="24">
        <f t="shared" ref="J396:J459" si="42">H396+(H396*I396)</f>
        <v>1.0658607692307694E-3</v>
      </c>
      <c r="K396" s="25">
        <v>800</v>
      </c>
    </row>
    <row r="397" spans="2:11" ht="20" customHeight="1" x14ac:dyDescent="0.2">
      <c r="B397" s="18">
        <f>ROWS(B$10:B397)-1</f>
        <v>387</v>
      </c>
      <c r="C397" s="19">
        <f t="shared" si="39"/>
        <v>14.884615384615385</v>
      </c>
      <c r="D397" s="20">
        <f>-PMT(J397,COUNT(B397:$B$530),G396)</f>
        <v>15711.64547438612</v>
      </c>
      <c r="E397" s="20">
        <f t="shared" si="40"/>
        <v>2090.0980798739074</v>
      </c>
      <c r="F397" s="21">
        <f t="shared" si="41"/>
        <v>13621.547394512212</v>
      </c>
      <c r="G397" s="21">
        <f t="shared" si="38"/>
        <v>1946526.9556471459</v>
      </c>
      <c r="H397" s="22">
        <f t="shared" si="37"/>
        <v>1.0658607692307694E-3</v>
      </c>
      <c r="I397" s="23">
        <v>0</v>
      </c>
      <c r="J397" s="24">
        <f t="shared" si="42"/>
        <v>1.0658607692307694E-3</v>
      </c>
      <c r="K397" s="25">
        <v>800</v>
      </c>
    </row>
    <row r="398" spans="2:11" ht="20" customHeight="1" x14ac:dyDescent="0.2">
      <c r="B398" s="18">
        <f>ROWS(B$10:B398)-1</f>
        <v>388</v>
      </c>
      <c r="C398" s="19">
        <f t="shared" si="39"/>
        <v>14.923076923076923</v>
      </c>
      <c r="D398" s="20">
        <f>-PMT(J398,COUNT(B398:$B$530),G397)</f>
        <v>15705.190823130426</v>
      </c>
      <c r="E398" s="20">
        <f t="shared" si="40"/>
        <v>2074.7267182744945</v>
      </c>
      <c r="F398" s="21">
        <f t="shared" si="41"/>
        <v>13630.464104855932</v>
      </c>
      <c r="G398" s="21">
        <f t="shared" si="38"/>
        <v>1932096.49154229</v>
      </c>
      <c r="H398" s="22">
        <f t="shared" si="37"/>
        <v>1.0658607692307694E-3</v>
      </c>
      <c r="I398" s="23">
        <v>0</v>
      </c>
      <c r="J398" s="24">
        <f t="shared" si="42"/>
        <v>1.0658607692307694E-3</v>
      </c>
      <c r="K398" s="25">
        <v>800</v>
      </c>
    </row>
    <row r="399" spans="2:11" ht="20" customHeight="1" x14ac:dyDescent="0.2">
      <c r="B399" s="18">
        <f>ROWS(B$10:B399)-1</f>
        <v>389</v>
      </c>
      <c r="C399" s="19">
        <f t="shared" si="39"/>
        <v>14.961538461538462</v>
      </c>
      <c r="D399" s="20">
        <f>-PMT(J399,COUNT(B399:$B$530),G398)</f>
        <v>15698.690654749204</v>
      </c>
      <c r="E399" s="20">
        <f t="shared" si="40"/>
        <v>2059.3458527033358</v>
      </c>
      <c r="F399" s="21">
        <f t="shared" si="41"/>
        <v>13639.344802045867</v>
      </c>
      <c r="G399" s="21">
        <f t="shared" si="38"/>
        <v>1917657.146740244</v>
      </c>
      <c r="H399" s="22">
        <f t="shared" si="37"/>
        <v>1.0658607692307694E-3</v>
      </c>
      <c r="I399" s="23">
        <v>0</v>
      </c>
      <c r="J399" s="24">
        <f t="shared" si="42"/>
        <v>1.0658607692307694E-3</v>
      </c>
      <c r="K399" s="25">
        <v>800</v>
      </c>
    </row>
    <row r="400" spans="2:11" ht="20" customHeight="1" x14ac:dyDescent="0.2">
      <c r="B400" s="18">
        <f>ROWS(B$10:B400)-1</f>
        <v>390</v>
      </c>
      <c r="C400" s="19">
        <f t="shared" si="39"/>
        <v>15</v>
      </c>
      <c r="D400" s="20">
        <f>-PMT(J400,COUNT(B400:$B$530),G399)</f>
        <v>15692.144273171099</v>
      </c>
      <c r="E400" s="20">
        <f t="shared" si="40"/>
        <v>2043.9555215454391</v>
      </c>
      <c r="F400" s="21">
        <f t="shared" si="41"/>
        <v>13648.188751625661</v>
      </c>
      <c r="G400" s="21">
        <f t="shared" si="38"/>
        <v>1903208.9579886184</v>
      </c>
      <c r="H400" s="22">
        <f t="shared" si="37"/>
        <v>1.0658607692307694E-3</v>
      </c>
      <c r="I400" s="23">
        <v>0</v>
      </c>
      <c r="J400" s="24">
        <f t="shared" si="42"/>
        <v>1.0658607692307694E-3</v>
      </c>
      <c r="K400" s="25">
        <v>800</v>
      </c>
    </row>
    <row r="401" spans="2:11" ht="20" customHeight="1" x14ac:dyDescent="0.2">
      <c r="B401" s="18">
        <f>ROWS(B$10:B401)-1</f>
        <v>391</v>
      </c>
      <c r="C401" s="19">
        <f t="shared" si="39"/>
        <v>15.038461538461538</v>
      </c>
      <c r="D401" s="20">
        <f>-PMT(J401,COUNT(B401:$B$530),G400)</f>
        <v>15685.550966261559</v>
      </c>
      <c r="E401" s="20">
        <f t="shared" si="40"/>
        <v>2028.5557639686399</v>
      </c>
      <c r="F401" s="21">
        <f t="shared" si="41"/>
        <v>13656.995202292919</v>
      </c>
      <c r="G401" s="21">
        <f t="shared" si="38"/>
        <v>1888751.9627863255</v>
      </c>
      <c r="H401" s="22">
        <f t="shared" si="37"/>
        <v>1.0658607692307694E-3</v>
      </c>
      <c r="I401" s="23">
        <v>0</v>
      </c>
      <c r="J401" s="24">
        <f t="shared" si="42"/>
        <v>1.0658607692307694E-3</v>
      </c>
      <c r="K401" s="25">
        <v>800</v>
      </c>
    </row>
    <row r="402" spans="2:11" ht="20" customHeight="1" x14ac:dyDescent="0.2">
      <c r="B402" s="18">
        <f>ROWS(B$10:B402)-1</f>
        <v>392</v>
      </c>
      <c r="C402" s="19">
        <f t="shared" si="39"/>
        <v>15.076923076923077</v>
      </c>
      <c r="D402" s="20">
        <f>-PMT(J402,COUNT(B402:$B$530),G401)</f>
        <v>15678.910005324709</v>
      </c>
      <c r="E402" s="20">
        <f t="shared" si="40"/>
        <v>2013.1466199415586</v>
      </c>
      <c r="F402" s="21">
        <f t="shared" si="41"/>
        <v>13665.76338538315</v>
      </c>
      <c r="G402" s="21">
        <f t="shared" si="38"/>
        <v>1874286.1994009423</v>
      </c>
      <c r="H402" s="22">
        <f t="shared" si="37"/>
        <v>1.0658607692307694E-3</v>
      </c>
      <c r="I402" s="23">
        <v>0</v>
      </c>
      <c r="J402" s="24">
        <f t="shared" si="42"/>
        <v>1.0658607692307694E-3</v>
      </c>
      <c r="K402" s="25">
        <v>800</v>
      </c>
    </row>
    <row r="403" spans="2:11" ht="20" customHeight="1" x14ac:dyDescent="0.2">
      <c r="B403" s="18">
        <f>ROWS(B$10:B403)-1</f>
        <v>393</v>
      </c>
      <c r="C403" s="19">
        <f t="shared" si="39"/>
        <v>15.115384615384615</v>
      </c>
      <c r="D403" s="20">
        <f>-PMT(J403,COUNT(B403:$B$530),G402)</f>
        <v>15672.220644585843</v>
      </c>
      <c r="E403" s="20">
        <f t="shared" si="40"/>
        <v>1997.7281302521037</v>
      </c>
      <c r="F403" s="21">
        <f t="shared" si="41"/>
        <v>13674.492514333739</v>
      </c>
      <c r="G403" s="21">
        <f t="shared" si="38"/>
        <v>1859811.7068866086</v>
      </c>
      <c r="H403" s="22">
        <f t="shared" si="37"/>
        <v>1.0658607692307694E-3</v>
      </c>
      <c r="I403" s="23">
        <v>0</v>
      </c>
      <c r="J403" s="24">
        <f t="shared" si="42"/>
        <v>1.0658607692307694E-3</v>
      </c>
      <c r="K403" s="25">
        <v>800</v>
      </c>
    </row>
    <row r="404" spans="2:11" ht="20" customHeight="1" x14ac:dyDescent="0.2">
      <c r="B404" s="18">
        <f>ROWS(B$10:B404)-1</f>
        <v>394</v>
      </c>
      <c r="C404" s="19">
        <f t="shared" si="39"/>
        <v>15.153846153846153</v>
      </c>
      <c r="D404" s="20">
        <f>-PMT(J404,COUNT(B404:$B$530),G403)</f>
        <v>15665.482120653494</v>
      </c>
      <c r="E404" s="20">
        <f t="shared" si="40"/>
        <v>1982.3003365265508</v>
      </c>
      <c r="F404" s="21">
        <f t="shared" si="41"/>
        <v>13683.181784126944</v>
      </c>
      <c r="G404" s="21">
        <f t="shared" si="38"/>
        <v>1845328.5251024817</v>
      </c>
      <c r="H404" s="22">
        <f t="shared" si="37"/>
        <v>1.0658607692307694E-3</v>
      </c>
      <c r="I404" s="23">
        <v>0</v>
      </c>
      <c r="J404" s="24">
        <f t="shared" si="42"/>
        <v>1.0658607692307694E-3</v>
      </c>
      <c r="K404" s="25">
        <v>800</v>
      </c>
    </row>
    <row r="405" spans="2:11" ht="20" customHeight="1" x14ac:dyDescent="0.2">
      <c r="B405" s="18">
        <f>ROWS(B$10:B405)-1</f>
        <v>395</v>
      </c>
      <c r="C405" s="19">
        <f t="shared" si="39"/>
        <v>15.192307692307692</v>
      </c>
      <c r="D405" s="20">
        <f>-PMT(J405,COUNT(B405:$B$530),G404)</f>
        <v>15658.693651960162</v>
      </c>
      <c r="E405" s="20">
        <f t="shared" si="40"/>
        <v>1966.8632812492124</v>
      </c>
      <c r="F405" s="21">
        <f t="shared" si="41"/>
        <v>13691.83037071095</v>
      </c>
      <c r="G405" s="21">
        <f t="shared" si="38"/>
        <v>1830836.6947317708</v>
      </c>
      <c r="H405" s="22">
        <f t="shared" si="37"/>
        <v>1.0658607692307694E-3</v>
      </c>
      <c r="I405" s="23">
        <v>0</v>
      </c>
      <c r="J405" s="24">
        <f t="shared" si="42"/>
        <v>1.0658607692307694E-3</v>
      </c>
      <c r="K405" s="25">
        <v>800</v>
      </c>
    </row>
    <row r="406" spans="2:11" ht="20" customHeight="1" x14ac:dyDescent="0.2">
      <c r="B406" s="18">
        <f>ROWS(B$10:B406)-1</f>
        <v>396</v>
      </c>
      <c r="C406" s="19">
        <f t="shared" si="39"/>
        <v>15.23076923076923</v>
      </c>
      <c r="D406" s="20">
        <f>-PMT(J406,COUNT(B406:$B$530),G405)</f>
        <v>15651.854438180708</v>
      </c>
      <c r="E406" s="20">
        <f t="shared" si="40"/>
        <v>1951.4170077827246</v>
      </c>
      <c r="F406" s="21">
        <f t="shared" si="41"/>
        <v>13700.437430397984</v>
      </c>
      <c r="G406" s="21">
        <f t="shared" si="38"/>
        <v>1816336.2573013727</v>
      </c>
      <c r="H406" s="22">
        <f t="shared" si="37"/>
        <v>1.0658607692307694E-3</v>
      </c>
      <c r="I406" s="23">
        <v>0</v>
      </c>
      <c r="J406" s="24">
        <f t="shared" si="42"/>
        <v>1.0658607692307694E-3</v>
      </c>
      <c r="K406" s="25">
        <v>800</v>
      </c>
    </row>
    <row r="407" spans="2:11" ht="20" customHeight="1" x14ac:dyDescent="0.2">
      <c r="B407" s="18">
        <f>ROWS(B$10:B407)-1</f>
        <v>397</v>
      </c>
      <c r="C407" s="19">
        <f t="shared" si="39"/>
        <v>15.26923076923077</v>
      </c>
      <c r="D407" s="20">
        <f>-PMT(J407,COUNT(B407:$B$530),G406)</f>
        <v>15644.963659627234</v>
      </c>
      <c r="E407" s="20">
        <f t="shared" si="40"/>
        <v>1935.9615603889779</v>
      </c>
      <c r="F407" s="21">
        <f t="shared" si="41"/>
        <v>13709.002099238256</v>
      </c>
      <c r="G407" s="21">
        <f t="shared" si="38"/>
        <v>1801827.2552021344</v>
      </c>
      <c r="H407" s="22">
        <f t="shared" si="37"/>
        <v>1.0658607692307694E-3</v>
      </c>
      <c r="I407" s="23">
        <v>0</v>
      </c>
      <c r="J407" s="24">
        <f t="shared" si="42"/>
        <v>1.0658607692307694E-3</v>
      </c>
      <c r="K407" s="25">
        <v>800</v>
      </c>
    </row>
    <row r="408" spans="2:11" ht="20" customHeight="1" x14ac:dyDescent="0.2">
      <c r="B408" s="18">
        <f>ROWS(B$10:B408)-1</f>
        <v>398</v>
      </c>
      <c r="C408" s="19">
        <f t="shared" si="39"/>
        <v>15.307692307692308</v>
      </c>
      <c r="D408" s="20">
        <f>-PMT(J408,COUNT(B408:$B$530),G407)</f>
        <v>15638.020476619444</v>
      </c>
      <c r="E408" s="20">
        <f t="shared" si="40"/>
        <v>1920.4969842507128</v>
      </c>
      <c r="F408" s="21">
        <f t="shared" si="41"/>
        <v>13717.523492368731</v>
      </c>
      <c r="G408" s="21">
        <f t="shared" si="38"/>
        <v>1787309.7317097657</v>
      </c>
      <c r="H408" s="22">
        <f t="shared" si="37"/>
        <v>1.0658607692307694E-3</v>
      </c>
      <c r="I408" s="23">
        <v>0</v>
      </c>
      <c r="J408" s="24">
        <f t="shared" si="42"/>
        <v>1.0658607692307694E-3</v>
      </c>
      <c r="K408" s="25">
        <v>800</v>
      </c>
    </row>
    <row r="409" spans="2:11" ht="20" customHeight="1" x14ac:dyDescent="0.2">
      <c r="B409" s="18">
        <f>ROWS(B$10:B409)-1</f>
        <v>399</v>
      </c>
      <c r="C409" s="19">
        <f t="shared" si="39"/>
        <v>15.346153846153847</v>
      </c>
      <c r="D409" s="20">
        <f>-PMT(J409,COUNT(B409:$B$530),G408)</f>
        <v>15631.02402882911</v>
      </c>
      <c r="E409" s="20">
        <f t="shared" si="40"/>
        <v>1905.0233254938109</v>
      </c>
      <c r="F409" s="21">
        <f t="shared" si="41"/>
        <v>13726.000703335299</v>
      </c>
      <c r="G409" s="21">
        <f t="shared" si="38"/>
        <v>1772783.7310064305</v>
      </c>
      <c r="H409" s="22">
        <f t="shared" si="37"/>
        <v>1.0658607692307694E-3</v>
      </c>
      <c r="I409" s="23">
        <v>0</v>
      </c>
      <c r="J409" s="24">
        <f t="shared" si="42"/>
        <v>1.0658607692307694E-3</v>
      </c>
      <c r="K409" s="25">
        <v>800</v>
      </c>
    </row>
    <row r="410" spans="2:11" ht="20" customHeight="1" x14ac:dyDescent="0.2">
      <c r="B410" s="18">
        <f>ROWS(B$10:B410)-1</f>
        <v>400</v>
      </c>
      <c r="C410" s="19">
        <f t="shared" si="39"/>
        <v>15.384615384615385</v>
      </c>
      <c r="D410" s="20">
        <f>-PMT(J410,COUNT(B410:$B$530),G409)</f>
        <v>15623.973434597527</v>
      </c>
      <c r="E410" s="20">
        <f t="shared" si="40"/>
        <v>1889.5406312103073</v>
      </c>
      <c r="F410" s="21">
        <f t="shared" si="41"/>
        <v>13734.432803387219</v>
      </c>
      <c r="G410" s="21">
        <f t="shared" si="38"/>
        <v>1758249.2982030432</v>
      </c>
      <c r="H410" s="22">
        <f t="shared" si="37"/>
        <v>1.0658607692307694E-3</v>
      </c>
      <c r="I410" s="23">
        <v>0</v>
      </c>
      <c r="J410" s="24">
        <f t="shared" si="42"/>
        <v>1.0658607692307694E-3</v>
      </c>
      <c r="K410" s="25">
        <v>800</v>
      </c>
    </row>
    <row r="411" spans="2:11" ht="20" customHeight="1" x14ac:dyDescent="0.2">
      <c r="B411" s="18">
        <f>ROWS(B$10:B411)-1</f>
        <v>401</v>
      </c>
      <c r="C411" s="19">
        <f t="shared" si="39"/>
        <v>15.423076923076923</v>
      </c>
      <c r="D411" s="20">
        <f>-PMT(J411,COUNT(B411:$B$530),G410)</f>
        <v>15616.867790224484</v>
      </c>
      <c r="E411" s="20">
        <f t="shared" si="40"/>
        <v>1874.0489494821561</v>
      </c>
      <c r="F411" s="21">
        <f t="shared" si="41"/>
        <v>13742.818840742328</v>
      </c>
      <c r="G411" s="21">
        <f t="shared" si="38"/>
        <v>1743706.4793623008</v>
      </c>
      <c r="H411" s="22">
        <f t="shared" si="37"/>
        <v>1.0658607692307694E-3</v>
      </c>
      <c r="I411" s="23">
        <v>0</v>
      </c>
      <c r="J411" s="24">
        <f t="shared" si="42"/>
        <v>1.0658607692307694E-3</v>
      </c>
      <c r="K411" s="25">
        <v>800</v>
      </c>
    </row>
    <row r="412" spans="2:11" ht="20" customHeight="1" x14ac:dyDescent="0.2">
      <c r="B412" s="18">
        <f>ROWS(B$10:B412)-1</f>
        <v>402</v>
      </c>
      <c r="C412" s="19">
        <f t="shared" si="39"/>
        <v>15.461538461538462</v>
      </c>
      <c r="D412" s="20">
        <f>-PMT(J412,COUNT(B412:$B$530),G411)</f>
        <v>15609.706169227386</v>
      </c>
      <c r="E412" s="20">
        <f t="shared" si="40"/>
        <v>1858.5483294057788</v>
      </c>
      <c r="F412" s="21">
        <f t="shared" si="41"/>
        <v>13751.157839821606</v>
      </c>
      <c r="G412" s="21">
        <f t="shared" si="38"/>
        <v>1729155.3215224792</v>
      </c>
      <c r="H412" s="22">
        <f t="shared" si="37"/>
        <v>1.0658607692307694E-3</v>
      </c>
      <c r="I412" s="23">
        <v>0</v>
      </c>
      <c r="J412" s="24">
        <f t="shared" si="42"/>
        <v>1.0658607692307694E-3</v>
      </c>
      <c r="K412" s="25">
        <v>800</v>
      </c>
    </row>
    <row r="413" spans="2:11" ht="20" customHeight="1" x14ac:dyDescent="0.2">
      <c r="B413" s="18">
        <f>ROWS(B$10:B413)-1</f>
        <v>403</v>
      </c>
      <c r="C413" s="19">
        <f t="shared" si="39"/>
        <v>15.5</v>
      </c>
      <c r="D413" s="20">
        <f>-PMT(J413,COUNT(B413:$B$530),G412)</f>
        <v>15602.487621568944</v>
      </c>
      <c r="E413" s="20">
        <f t="shared" si="40"/>
        <v>1843.0388211174281</v>
      </c>
      <c r="F413" s="21">
        <f t="shared" si="41"/>
        <v>13759.448800451515</v>
      </c>
      <c r="G413" s="21">
        <f t="shared" si="38"/>
        <v>1714595.8727220276</v>
      </c>
      <c r="H413" s="22">
        <f t="shared" si="37"/>
        <v>1.0658607692307694E-3</v>
      </c>
      <c r="I413" s="23">
        <v>0</v>
      </c>
      <c r="J413" s="24">
        <f t="shared" si="42"/>
        <v>1.0658607692307694E-3</v>
      </c>
      <c r="K413" s="25">
        <v>800</v>
      </c>
    </row>
    <row r="414" spans="2:11" ht="20" customHeight="1" x14ac:dyDescent="0.2">
      <c r="B414" s="18">
        <f>ROWS(B$10:B414)-1</f>
        <v>404</v>
      </c>
      <c r="C414" s="19">
        <f t="shared" si="39"/>
        <v>15.538461538461538</v>
      </c>
      <c r="D414" s="20">
        <f>-PMT(J414,COUNT(B414:$B$530),G413)</f>
        <v>15595.211172851921</v>
      </c>
      <c r="E414" s="20">
        <f t="shared" si="40"/>
        <v>1827.5204758194027</v>
      </c>
      <c r="F414" s="21">
        <f t="shared" si="41"/>
        <v>13767.690697032518</v>
      </c>
      <c r="G414" s="21">
        <f t="shared" si="38"/>
        <v>1700028.1820249951</v>
      </c>
      <c r="H414" s="22">
        <f t="shared" si="37"/>
        <v>1.0658607692307694E-3</v>
      </c>
      <c r="I414" s="23">
        <v>0</v>
      </c>
      <c r="J414" s="24">
        <f t="shared" si="42"/>
        <v>1.0658607692307694E-3</v>
      </c>
      <c r="K414" s="25">
        <v>800</v>
      </c>
    </row>
    <row r="415" spans="2:11" ht="20" customHeight="1" x14ac:dyDescent="0.2">
      <c r="B415" s="18">
        <f>ROWS(B$10:B415)-1</f>
        <v>405</v>
      </c>
      <c r="C415" s="19">
        <f t="shared" si="39"/>
        <v>15.576923076923077</v>
      </c>
      <c r="D415" s="20">
        <f>-PMT(J415,COUNT(B415:$B$530),G414)</f>
        <v>15587.875823479104</v>
      </c>
      <c r="E415" s="20">
        <f t="shared" si="40"/>
        <v>1811.9933458071478</v>
      </c>
      <c r="F415" s="21">
        <f t="shared" si="41"/>
        <v>13775.882477671956</v>
      </c>
      <c r="G415" s="21">
        <f t="shared" si="38"/>
        <v>1685452.299547323</v>
      </c>
      <c r="H415" s="22">
        <f t="shared" si="37"/>
        <v>1.0658607692307694E-3</v>
      </c>
      <c r="I415" s="23">
        <v>0</v>
      </c>
      <c r="J415" s="24">
        <f t="shared" si="42"/>
        <v>1.0658607692307694E-3</v>
      </c>
      <c r="K415" s="25">
        <v>800</v>
      </c>
    </row>
    <row r="416" spans="2:11" ht="20" customHeight="1" x14ac:dyDescent="0.2">
      <c r="B416" s="18">
        <f>ROWS(B$10:B416)-1</f>
        <v>406</v>
      </c>
      <c r="C416" s="19">
        <f t="shared" si="39"/>
        <v>15.615384615384615</v>
      </c>
      <c r="D416" s="20">
        <f>-PMT(J416,COUNT(B416:$B$530),G415)</f>
        <v>15580.48054777681</v>
      </c>
      <c r="E416" s="20">
        <f t="shared" si="40"/>
        <v>1796.457484497279</v>
      </c>
      <c r="F416" s="21">
        <f t="shared" si="41"/>
        <v>13784.02306327953</v>
      </c>
      <c r="G416" s="21">
        <f t="shared" si="38"/>
        <v>1670868.2764840436</v>
      </c>
      <c r="H416" s="22">
        <f t="shared" si="37"/>
        <v>1.0658607692307694E-3</v>
      </c>
      <c r="I416" s="23">
        <v>0</v>
      </c>
      <c r="J416" s="24">
        <f t="shared" si="42"/>
        <v>1.0658607692307694E-3</v>
      </c>
      <c r="K416" s="25">
        <v>800</v>
      </c>
    </row>
    <row r="417" spans="2:11" ht="20" customHeight="1" x14ac:dyDescent="0.2">
      <c r="B417" s="18">
        <f>ROWS(B$10:B417)-1</f>
        <v>407</v>
      </c>
      <c r="C417" s="19">
        <f t="shared" si="39"/>
        <v>15.653846153846153</v>
      </c>
      <c r="D417" s="20">
        <f>-PMT(J417,COUNT(B417:$B$530),G416)</f>
        <v>15573.02429307989</v>
      </c>
      <c r="E417" s="20">
        <f t="shared" si="40"/>
        <v>1780.9129464565726</v>
      </c>
      <c r="F417" s="21">
        <f t="shared" si="41"/>
        <v>13792.111346623318</v>
      </c>
      <c r="G417" s="21">
        <f t="shared" si="38"/>
        <v>1656276.1651374202</v>
      </c>
      <c r="H417" s="22">
        <f t="shared" si="37"/>
        <v>1.0658607692307694E-3</v>
      </c>
      <c r="I417" s="23">
        <v>0</v>
      </c>
      <c r="J417" s="24">
        <f t="shared" si="42"/>
        <v>1.0658607692307694E-3</v>
      </c>
      <c r="K417" s="25">
        <v>800</v>
      </c>
    </row>
    <row r="418" spans="2:11" ht="20" customHeight="1" x14ac:dyDescent="0.2">
      <c r="B418" s="18">
        <f>ROWS(B$10:B418)-1</f>
        <v>408</v>
      </c>
      <c r="C418" s="19">
        <f t="shared" si="39"/>
        <v>15.692307692307692</v>
      </c>
      <c r="D418" s="20">
        <f>-PMT(J418,COUNT(B418:$B$530),G417)</f>
        <v>15565.505978776317</v>
      </c>
      <c r="E418" s="20">
        <f t="shared" si="40"/>
        <v>1765.3597874319596</v>
      </c>
      <c r="F418" s="21">
        <f t="shared" si="41"/>
        <v>13800.146191344356</v>
      </c>
      <c r="G418" s="21">
        <f t="shared" si="38"/>
        <v>1641676.0189460758</v>
      </c>
      <c r="H418" s="22">
        <f t="shared" si="37"/>
        <v>1.0658607692307694E-3</v>
      </c>
      <c r="I418" s="23">
        <v>0</v>
      </c>
      <c r="J418" s="24">
        <f t="shared" si="42"/>
        <v>1.0658607692307694E-3</v>
      </c>
      <c r="K418" s="25">
        <v>800</v>
      </c>
    </row>
    <row r="419" spans="2:11" ht="20" customHeight="1" x14ac:dyDescent="0.2">
      <c r="B419" s="18">
        <f>ROWS(B$10:B419)-1</f>
        <v>409</v>
      </c>
      <c r="C419" s="19">
        <f t="shared" si="39"/>
        <v>15.73076923076923</v>
      </c>
      <c r="D419" s="20">
        <f>-PMT(J419,COUNT(B419:$B$530),G418)</f>
        <v>15557.924495309051</v>
      </c>
      <c r="E419" s="20">
        <f t="shared" si="40"/>
        <v>1749.7980643815715</v>
      </c>
      <c r="F419" s="21">
        <f t="shared" si="41"/>
        <v>13808.126430927479</v>
      </c>
      <c r="G419" s="21">
        <f t="shared" si="38"/>
        <v>1627067.8925151483</v>
      </c>
      <c r="H419" s="22">
        <f t="shared" si="37"/>
        <v>1.0658607692307694E-3</v>
      </c>
      <c r="I419" s="23">
        <v>0</v>
      </c>
      <c r="J419" s="24">
        <f t="shared" si="42"/>
        <v>1.0658607692307694E-3</v>
      </c>
      <c r="K419" s="25">
        <v>800</v>
      </c>
    </row>
    <row r="420" spans="2:11" ht="20" customHeight="1" x14ac:dyDescent="0.2">
      <c r="B420" s="18">
        <f>ROWS(B$10:B420)-1</f>
        <v>410</v>
      </c>
      <c r="C420" s="19">
        <f t="shared" si="39"/>
        <v>15.76923076923077</v>
      </c>
      <c r="D420" s="20">
        <f>-PMT(J420,COUNT(B420:$B$530),G419)</f>
        <v>15550.278703132994</v>
      </c>
      <c r="E420" s="20">
        <f t="shared" si="40"/>
        <v>1734.2278355068829</v>
      </c>
      <c r="F420" s="21">
        <f t="shared" si="41"/>
        <v>13816.050867626111</v>
      </c>
      <c r="G420" s="21">
        <f t="shared" si="38"/>
        <v>1612451.8416475221</v>
      </c>
      <c r="H420" s="22">
        <f t="shared" si="37"/>
        <v>1.0658607692307694E-3</v>
      </c>
      <c r="I420" s="23">
        <v>0</v>
      </c>
      <c r="J420" s="24">
        <f t="shared" si="42"/>
        <v>1.0658607692307694E-3</v>
      </c>
      <c r="K420" s="25">
        <v>800</v>
      </c>
    </row>
    <row r="421" spans="2:11" ht="20" customHeight="1" x14ac:dyDescent="0.2">
      <c r="B421" s="18">
        <f>ROWS(B$10:B421)-1</f>
        <v>411</v>
      </c>
      <c r="C421" s="19">
        <f t="shared" si="39"/>
        <v>15.807692307692308</v>
      </c>
      <c r="D421" s="20">
        <f>-PMT(J421,COUNT(B421:$B$530),G420)</f>
        <v>15542.567431624506</v>
      </c>
      <c r="E421" s="20">
        <f t="shared" si="40"/>
        <v>1718.6491602859987</v>
      </c>
      <c r="F421" s="21">
        <f t="shared" si="41"/>
        <v>13823.918271338507</v>
      </c>
      <c r="G421" s="21">
        <f t="shared" si="38"/>
        <v>1597827.9233761835</v>
      </c>
      <c r="H421" s="22">
        <f t="shared" si="37"/>
        <v>1.0658607692307694E-3</v>
      </c>
      <c r="I421" s="23">
        <v>0</v>
      </c>
      <c r="J421" s="24">
        <f t="shared" si="42"/>
        <v>1.0658607692307694E-3</v>
      </c>
      <c r="K421" s="25">
        <v>800</v>
      </c>
    </row>
    <row r="422" spans="2:11" ht="20" customHeight="1" x14ac:dyDescent="0.2">
      <c r="B422" s="18">
        <f>ROWS(B$10:B422)-1</f>
        <v>412</v>
      </c>
      <c r="C422" s="19">
        <f t="shared" si="39"/>
        <v>15.846153846153847</v>
      </c>
      <c r="D422" s="20">
        <f>-PMT(J422,COUNT(B422:$B$530),G421)</f>
        <v>15534.789477940927</v>
      </c>
      <c r="E422" s="20">
        <f t="shared" si="40"/>
        <v>1703.062099508142</v>
      </c>
      <c r="F422" s="21">
        <f t="shared" si="41"/>
        <v>13831.727378432784</v>
      </c>
      <c r="G422" s="21">
        <f t="shared" si="38"/>
        <v>1583196.1959977506</v>
      </c>
      <c r="H422" s="22">
        <f t="shared" si="37"/>
        <v>1.0658607692307694E-3</v>
      </c>
      <c r="I422" s="23">
        <v>0</v>
      </c>
      <c r="J422" s="24">
        <f t="shared" si="42"/>
        <v>1.0658607692307694E-3</v>
      </c>
      <c r="K422" s="25">
        <v>800</v>
      </c>
    </row>
    <row r="423" spans="2:11" ht="20" customHeight="1" x14ac:dyDescent="0.2">
      <c r="B423" s="18">
        <f>ROWS(B$10:B423)-1</f>
        <v>413</v>
      </c>
      <c r="C423" s="19">
        <f t="shared" si="39"/>
        <v>15.884615384615385</v>
      </c>
      <c r="D423" s="20">
        <f>-PMT(J423,COUNT(B423:$B$530),G422)</f>
        <v>15526.943605827246</v>
      </c>
      <c r="E423" s="20">
        <f t="shared" si="40"/>
        <v>1687.4667153093906</v>
      </c>
      <c r="F423" s="21">
        <f t="shared" si="41"/>
        <v>13839.476890517855</v>
      </c>
      <c r="G423" s="21">
        <f t="shared" si="38"/>
        <v>1568556.7191072328</v>
      </c>
      <c r="H423" s="22">
        <f t="shared" si="37"/>
        <v>1.0658607692307694E-3</v>
      </c>
      <c r="I423" s="23">
        <v>0</v>
      </c>
      <c r="J423" s="24">
        <f t="shared" si="42"/>
        <v>1.0658607692307694E-3</v>
      </c>
      <c r="K423" s="25">
        <v>800</v>
      </c>
    </row>
    <row r="424" spans="2:11" ht="20" customHeight="1" x14ac:dyDescent="0.2">
      <c r="B424" s="18">
        <f>ROWS(B$10:B424)-1</f>
        <v>414</v>
      </c>
      <c r="C424" s="19">
        <f t="shared" si="39"/>
        <v>15.923076923076923</v>
      </c>
      <c r="D424" s="20">
        <f>-PMT(J424,COUNT(B424:$B$530),G423)</f>
        <v>15519.028544367078</v>
      </c>
      <c r="E424" s="20">
        <f t="shared" si="40"/>
        <v>1671.863071209727</v>
      </c>
      <c r="F424" s="21">
        <f t="shared" si="41"/>
        <v>13847.165473157351</v>
      </c>
      <c r="G424" s="21">
        <f t="shared" si="38"/>
        <v>1553909.5536340754</v>
      </c>
      <c r="H424" s="22">
        <f t="shared" ref="H424:H487" si="43">J423</f>
        <v>1.0658607692307694E-3</v>
      </c>
      <c r="I424" s="23">
        <v>0</v>
      </c>
      <c r="J424" s="24">
        <f t="shared" si="42"/>
        <v>1.0658607692307694E-3</v>
      </c>
      <c r="K424" s="25">
        <v>800</v>
      </c>
    </row>
    <row r="425" spans="2:11" ht="20" customHeight="1" x14ac:dyDescent="0.2">
      <c r="B425" s="18">
        <f>ROWS(B$10:B425)-1</f>
        <v>415</v>
      </c>
      <c r="C425" s="19">
        <f t="shared" si="39"/>
        <v>15.961538461538462</v>
      </c>
      <c r="D425" s="20">
        <f>-PMT(J425,COUNT(B425:$B$530),G424)</f>
        <v>15511.042986674662</v>
      </c>
      <c r="E425" s="20">
        <f t="shared" si="40"/>
        <v>1656.2512321514573</v>
      </c>
      <c r="F425" s="21">
        <f t="shared" si="41"/>
        <v>13854.791754523205</v>
      </c>
      <c r="G425" s="21">
        <f t="shared" si="38"/>
        <v>1539254.7618795522</v>
      </c>
      <c r="H425" s="22">
        <f t="shared" si="43"/>
        <v>1.0658607692307694E-3</v>
      </c>
      <c r="I425" s="23">
        <v>0</v>
      </c>
      <c r="J425" s="24">
        <f t="shared" si="42"/>
        <v>1.0658607692307694E-3</v>
      </c>
      <c r="K425" s="25">
        <v>800</v>
      </c>
    </row>
    <row r="426" spans="2:11" ht="20" customHeight="1" x14ac:dyDescent="0.2">
      <c r="B426" s="18">
        <f>ROWS(B$10:B426)-1</f>
        <v>416</v>
      </c>
      <c r="C426" s="19">
        <f t="shared" si="39"/>
        <v>16</v>
      </c>
      <c r="D426" s="20">
        <f>-PMT(J426,COUNT(B426:$B$530),G425)</f>
        <v>15502.985588524614</v>
      </c>
      <c r="E426" s="20">
        <f t="shared" si="40"/>
        <v>1640.6312645390642</v>
      </c>
      <c r="F426" s="21">
        <f t="shared" si="41"/>
        <v>13862.35432398555</v>
      </c>
      <c r="G426" s="21">
        <f t="shared" si="38"/>
        <v>1524592.4075555666</v>
      </c>
      <c r="H426" s="22">
        <f t="shared" si="43"/>
        <v>1.0658607692307694E-3</v>
      </c>
      <c r="I426" s="23">
        <v>0</v>
      </c>
      <c r="J426" s="24">
        <f t="shared" si="42"/>
        <v>1.0658607692307694E-3</v>
      </c>
      <c r="K426" s="25">
        <v>800</v>
      </c>
    </row>
    <row r="427" spans="2:11" ht="20" customHeight="1" x14ac:dyDescent="0.2">
      <c r="B427" s="18">
        <f>ROWS(B$10:B427)-1</f>
        <v>417</v>
      </c>
      <c r="C427" s="19">
        <f t="shared" si="39"/>
        <v>16.03846153846154</v>
      </c>
      <c r="D427" s="20">
        <f>-PMT(J427,COUNT(B427:$B$530),G426)</f>
        <v>15494.854966915786</v>
      </c>
      <c r="E427" s="20">
        <f t="shared" si="40"/>
        <v>1625.0032362805671</v>
      </c>
      <c r="F427" s="21">
        <f t="shared" si="41"/>
        <v>13869.851730635219</v>
      </c>
      <c r="G427" s="21">
        <f t="shared" si="38"/>
        <v>1509922.5558249315</v>
      </c>
      <c r="H427" s="22">
        <f t="shared" si="43"/>
        <v>1.0658607692307694E-3</v>
      </c>
      <c r="I427" s="23">
        <v>0</v>
      </c>
      <c r="J427" s="24">
        <f t="shared" si="42"/>
        <v>1.0658607692307694E-3</v>
      </c>
      <c r="K427" s="25">
        <v>800</v>
      </c>
    </row>
    <row r="428" spans="2:11" ht="20" customHeight="1" x14ac:dyDescent="0.2">
      <c r="B428" s="18">
        <f>ROWS(B$10:B428)-1</f>
        <v>418</v>
      </c>
      <c r="C428" s="19">
        <f t="shared" si="39"/>
        <v>16.076923076923077</v>
      </c>
      <c r="D428" s="20">
        <f>-PMT(J428,COUNT(B428:$B$530),G427)</f>
        <v>15486.649698565394</v>
      </c>
      <c r="E428" s="20">
        <f t="shared" si="40"/>
        <v>1609.3672168304508</v>
      </c>
      <c r="F428" s="21">
        <f t="shared" si="41"/>
        <v>13877.282481734943</v>
      </c>
      <c r="G428" s="21">
        <f t="shared" si="38"/>
        <v>1495245.2733431966</v>
      </c>
      <c r="H428" s="22">
        <f t="shared" si="43"/>
        <v>1.0658607692307694E-3</v>
      </c>
      <c r="I428" s="23">
        <v>0</v>
      </c>
      <c r="J428" s="24">
        <f t="shared" si="42"/>
        <v>1.0658607692307694E-3</v>
      </c>
      <c r="K428" s="25">
        <v>800</v>
      </c>
    </row>
    <row r="429" spans="2:11" ht="20" customHeight="1" x14ac:dyDescent="0.2">
      <c r="B429" s="18">
        <f>ROWS(B$10:B429)-1</f>
        <v>419</v>
      </c>
      <c r="C429" s="19">
        <f t="shared" si="39"/>
        <v>16.115384615384617</v>
      </c>
      <c r="D429" s="20">
        <f>-PMT(J429,COUNT(B429:$B$530),G428)</f>
        <v>15478.368318329374</v>
      </c>
      <c r="E429" s="20">
        <f t="shared" si="40"/>
        <v>1593.7232772342516</v>
      </c>
      <c r="F429" s="21">
        <f t="shared" si="41"/>
        <v>13884.645041095122</v>
      </c>
      <c r="G429" s="21">
        <f t="shared" si="38"/>
        <v>1480560.6283021015</v>
      </c>
      <c r="H429" s="22">
        <f t="shared" si="43"/>
        <v>1.0658607692307694E-3</v>
      </c>
      <c r="I429" s="23">
        <v>0</v>
      </c>
      <c r="J429" s="24">
        <f t="shared" si="42"/>
        <v>1.0658607692307694E-3</v>
      </c>
      <c r="K429" s="25">
        <v>800</v>
      </c>
    </row>
    <row r="430" spans="2:11" ht="20" customHeight="1" x14ac:dyDescent="0.2">
      <c r="B430" s="18">
        <f>ROWS(B$10:B430)-1</f>
        <v>420</v>
      </c>
      <c r="C430" s="19">
        <f t="shared" si="39"/>
        <v>16.153846153846153</v>
      </c>
      <c r="D430" s="20">
        <f>-PMT(J430,COUNT(B430:$B$530),G429)</f>
        <v>15470.009317544494</v>
      </c>
      <c r="E430" s="20">
        <f t="shared" si="40"/>
        <v>1578.0714901748693</v>
      </c>
      <c r="F430" s="21">
        <f t="shared" si="41"/>
        <v>13891.937827369626</v>
      </c>
      <c r="G430" s="21">
        <f t="shared" si="38"/>
        <v>1465868.6904747318</v>
      </c>
      <c r="H430" s="22">
        <f t="shared" si="43"/>
        <v>1.0658607692307694E-3</v>
      </c>
      <c r="I430" s="23">
        <v>0</v>
      </c>
      <c r="J430" s="24">
        <f t="shared" si="42"/>
        <v>1.0658607692307694E-3</v>
      </c>
      <c r="K430" s="25">
        <v>800</v>
      </c>
    </row>
    <row r="431" spans="2:11" ht="20" customHeight="1" x14ac:dyDescent="0.2">
      <c r="B431" s="18">
        <f>ROWS(B$10:B431)-1</f>
        <v>421</v>
      </c>
      <c r="C431" s="19">
        <f t="shared" si="39"/>
        <v>16.192307692307693</v>
      </c>
      <c r="D431" s="20">
        <f>-PMT(J431,COUNT(B431:$B$530),G430)</f>
        <v>15461.571142287599</v>
      </c>
      <c r="E431" s="20">
        <f t="shared" si="40"/>
        <v>1562.4119300206983</v>
      </c>
      <c r="F431" s="21">
        <f t="shared" si="41"/>
        <v>13899.159212266901</v>
      </c>
      <c r="G431" s="21">
        <f t="shared" si="38"/>
        <v>1451169.5312624651</v>
      </c>
      <c r="H431" s="22">
        <f t="shared" si="43"/>
        <v>1.0658607692307694E-3</v>
      </c>
      <c r="I431" s="23">
        <v>0</v>
      </c>
      <c r="J431" s="24">
        <f t="shared" si="42"/>
        <v>1.0658607692307694E-3</v>
      </c>
      <c r="K431" s="25">
        <v>800</v>
      </c>
    </row>
    <row r="432" spans="2:11" ht="20" customHeight="1" x14ac:dyDescent="0.2">
      <c r="B432" s="18">
        <f>ROWS(B$10:B432)-1</f>
        <v>422</v>
      </c>
      <c r="C432" s="19">
        <f t="shared" si="39"/>
        <v>16.23076923076923</v>
      </c>
      <c r="D432" s="20">
        <f>-PMT(J432,COUNT(B432:$B$530),G431)</f>
        <v>15453.052191546894</v>
      </c>
      <c r="E432" s="20">
        <f t="shared" si="40"/>
        <v>1546.7446728756661</v>
      </c>
      <c r="F432" s="21">
        <f t="shared" si="41"/>
        <v>13906.307518671229</v>
      </c>
      <c r="G432" s="21">
        <f t="shared" si="38"/>
        <v>1436463.2237437938</v>
      </c>
      <c r="H432" s="22">
        <f t="shared" si="43"/>
        <v>1.0658607692307694E-3</v>
      </c>
      <c r="I432" s="23">
        <v>0</v>
      </c>
      <c r="J432" s="24">
        <f t="shared" si="42"/>
        <v>1.0658607692307694E-3</v>
      </c>
      <c r="K432" s="25">
        <v>800</v>
      </c>
    </row>
    <row r="433" spans="2:11" ht="20" customHeight="1" x14ac:dyDescent="0.2">
      <c r="B433" s="18">
        <f>ROWS(B$10:B433)-1</f>
        <v>423</v>
      </c>
      <c r="C433" s="19">
        <f t="shared" si="39"/>
        <v>16.26923076923077</v>
      </c>
      <c r="D433" s="20">
        <f>-PMT(J433,COUNT(B433:$B$530),G432)</f>
        <v>15444.450815300004</v>
      </c>
      <c r="E433" s="20">
        <f t="shared" si="40"/>
        <v>1531.0697966312709</v>
      </c>
      <c r="F433" s="21">
        <f t="shared" si="41"/>
        <v>13913.381018668733</v>
      </c>
      <c r="G433" s="21">
        <f t="shared" si="38"/>
        <v>1421749.8427251251</v>
      </c>
      <c r="H433" s="22">
        <f t="shared" si="43"/>
        <v>1.0658607692307694E-3</v>
      </c>
      <c r="I433" s="23">
        <v>0</v>
      </c>
      <c r="J433" s="24">
        <f t="shared" si="42"/>
        <v>1.0658607692307694E-3</v>
      </c>
      <c r="K433" s="25">
        <v>800</v>
      </c>
    </row>
    <row r="434" spans="2:11" ht="20" customHeight="1" x14ac:dyDescent="0.2">
      <c r="B434" s="18">
        <f>ROWS(B$10:B434)-1</f>
        <v>424</v>
      </c>
      <c r="C434" s="19">
        <f t="shared" si="39"/>
        <v>16.307692307692307</v>
      </c>
      <c r="D434" s="20">
        <f>-PMT(J434,COUNT(B434:$B$530),G433)</f>
        <v>15435.765312492895</v>
      </c>
      <c r="E434" s="20">
        <f t="shared" si="40"/>
        <v>1515.3873810207274</v>
      </c>
      <c r="F434" s="21">
        <f t="shared" si="41"/>
        <v>13920.377931472167</v>
      </c>
      <c r="G434" s="21">
        <f t="shared" si="38"/>
        <v>1407029.464793653</v>
      </c>
      <c r="H434" s="22">
        <f t="shared" si="43"/>
        <v>1.0658607692307694E-3</v>
      </c>
      <c r="I434" s="23">
        <v>0</v>
      </c>
      <c r="J434" s="24">
        <f t="shared" si="42"/>
        <v>1.0658607692307694E-3</v>
      </c>
      <c r="K434" s="25">
        <v>800</v>
      </c>
    </row>
    <row r="435" spans="2:11" ht="20" customHeight="1" x14ac:dyDescent="0.2">
      <c r="B435" s="18">
        <f>ROWS(B$10:B435)-1</f>
        <v>425</v>
      </c>
      <c r="C435" s="19">
        <f t="shared" si="39"/>
        <v>16.346153846153847</v>
      </c>
      <c r="D435" s="20">
        <f>-PMT(J435,COUNT(B435:$B$530),G434)</f>
        <v>15426.993928913562</v>
      </c>
      <c r="E435" s="20">
        <f t="shared" si="40"/>
        <v>1499.6975076753208</v>
      </c>
      <c r="F435" s="21">
        <f t="shared" si="41"/>
        <v>13927.296421238241</v>
      </c>
      <c r="G435" s="21">
        <f t="shared" si="38"/>
        <v>1392302.1683724148</v>
      </c>
      <c r="H435" s="22">
        <f t="shared" si="43"/>
        <v>1.0658607692307694E-3</v>
      </c>
      <c r="I435" s="23">
        <v>0</v>
      </c>
      <c r="J435" s="24">
        <f t="shared" si="42"/>
        <v>1.0658607692307694E-3</v>
      </c>
      <c r="K435" s="25">
        <v>800</v>
      </c>
    </row>
    <row r="436" spans="2:11" ht="20" customHeight="1" x14ac:dyDescent="0.2">
      <c r="B436" s="18">
        <f>ROWS(B$10:B436)-1</f>
        <v>426</v>
      </c>
      <c r="C436" s="19">
        <f t="shared" si="39"/>
        <v>16.384615384615383</v>
      </c>
      <c r="D436" s="20">
        <f>-PMT(J436,COUNT(B436:$B$530),G435)</f>
        <v>15418.134854953791</v>
      </c>
      <c r="E436" s="20">
        <f t="shared" si="40"/>
        <v>1484.0002601830902</v>
      </c>
      <c r="F436" s="21">
        <f t="shared" si="41"/>
        <v>13934.134594770701</v>
      </c>
      <c r="G436" s="21">
        <f t="shared" si="38"/>
        <v>1377568.0337776442</v>
      </c>
      <c r="H436" s="22">
        <f t="shared" si="43"/>
        <v>1.0658607692307694E-3</v>
      </c>
      <c r="I436" s="23">
        <v>0</v>
      </c>
      <c r="J436" s="24">
        <f t="shared" si="42"/>
        <v>1.0658607692307694E-3</v>
      </c>
      <c r="K436" s="25">
        <v>800</v>
      </c>
    </row>
    <row r="437" spans="2:11" ht="20" customHeight="1" x14ac:dyDescent="0.2">
      <c r="B437" s="18">
        <f>ROWS(B$10:B437)-1</f>
        <v>427</v>
      </c>
      <c r="C437" s="19">
        <f t="shared" si="39"/>
        <v>16.423076923076923</v>
      </c>
      <c r="D437" s="20">
        <f>-PMT(J437,COUNT(B437:$B$530),G436)</f>
        <v>15409.186223251882</v>
      </c>
      <c r="E437" s="20">
        <f t="shared" si="40"/>
        <v>1468.2957241499585</v>
      </c>
      <c r="F437" s="21">
        <f t="shared" si="41"/>
        <v>13940.890499101923</v>
      </c>
      <c r="G437" s="21">
        <f t="shared" si="38"/>
        <v>1362827.1432785422</v>
      </c>
      <c r="H437" s="22">
        <f t="shared" si="43"/>
        <v>1.0658607692307694E-3</v>
      </c>
      <c r="I437" s="23">
        <v>0</v>
      </c>
      <c r="J437" s="24">
        <f t="shared" si="42"/>
        <v>1.0658607692307694E-3</v>
      </c>
      <c r="K437" s="25">
        <v>800</v>
      </c>
    </row>
    <row r="438" spans="2:11" ht="20" customHeight="1" x14ac:dyDescent="0.2">
      <c r="B438" s="18">
        <f>ROWS(B$10:B438)-1</f>
        <v>428</v>
      </c>
      <c r="C438" s="19">
        <f t="shared" si="39"/>
        <v>16.46153846153846</v>
      </c>
      <c r="D438" s="20">
        <f>-PMT(J438,COUNT(B438:$B$530),G437)</f>
        <v>15400.146106208622</v>
      </c>
      <c r="E438" s="20">
        <f t="shared" si="40"/>
        <v>1452.583987263439</v>
      </c>
      <c r="F438" s="21">
        <f t="shared" si="41"/>
        <v>13947.562118945183</v>
      </c>
      <c r="G438" s="21">
        <f t="shared" si="38"/>
        <v>1348079.581159597</v>
      </c>
      <c r="H438" s="22">
        <f t="shared" si="43"/>
        <v>1.0658607692307694E-3</v>
      </c>
      <c r="I438" s="23">
        <v>0</v>
      </c>
      <c r="J438" s="24">
        <f t="shared" si="42"/>
        <v>1.0658607692307694E-3</v>
      </c>
      <c r="K438" s="25">
        <v>800</v>
      </c>
    </row>
    <row r="439" spans="2:11" ht="20" customHeight="1" x14ac:dyDescent="0.2">
      <c r="B439" s="18">
        <f>ROWS(B$10:B439)-1</f>
        <v>429</v>
      </c>
      <c r="C439" s="19">
        <f t="shared" si="39"/>
        <v>16.5</v>
      </c>
      <c r="D439" s="20">
        <f>-PMT(J439,COUNT(B439:$B$530),G438)</f>
        <v>15391.012513368278</v>
      </c>
      <c r="E439" s="20">
        <f t="shared" si="40"/>
        <v>1436.8651393590615</v>
      </c>
      <c r="F439" s="21">
        <f t="shared" si="41"/>
        <v>13954.147374009217</v>
      </c>
      <c r="G439" s="21">
        <f t="shared" si="38"/>
        <v>1333325.4337855878</v>
      </c>
      <c r="H439" s="22">
        <f t="shared" si="43"/>
        <v>1.0658607692307694E-3</v>
      </c>
      <c r="I439" s="23">
        <v>0</v>
      </c>
      <c r="J439" s="24">
        <f t="shared" si="42"/>
        <v>1.0658607692307694E-3</v>
      </c>
      <c r="K439" s="25">
        <v>800</v>
      </c>
    </row>
    <row r="440" spans="2:11" ht="20" customHeight="1" x14ac:dyDescent="0.2">
      <c r="B440" s="18">
        <f>ROWS(B$10:B440)-1</f>
        <v>430</v>
      </c>
      <c r="C440" s="19">
        <f t="shared" si="39"/>
        <v>16.53846153846154</v>
      </c>
      <c r="D440" s="20">
        <f>-PMT(J440,COUNT(B440:$B$530),G439)</f>
        <v>15381.783388655653</v>
      </c>
      <c r="E440" s="20">
        <f t="shared" si="40"/>
        <v>1421.1392724896559</v>
      </c>
      <c r="F440" s="21">
        <f t="shared" si="41"/>
        <v>13960.644116165997</v>
      </c>
      <c r="G440" s="21">
        <f t="shared" si="38"/>
        <v>1318564.7896694217</v>
      </c>
      <c r="H440" s="22">
        <f t="shared" si="43"/>
        <v>1.0658607692307694E-3</v>
      </c>
      <c r="I440" s="23">
        <v>0</v>
      </c>
      <c r="J440" s="24">
        <f t="shared" si="42"/>
        <v>1.0658607692307694E-3</v>
      </c>
      <c r="K440" s="25">
        <v>800</v>
      </c>
    </row>
    <row r="441" spans="2:11" ht="20" customHeight="1" x14ac:dyDescent="0.2">
      <c r="B441" s="18">
        <f>ROWS(B$10:B441)-1</f>
        <v>431</v>
      </c>
      <c r="C441" s="19">
        <f t="shared" si="39"/>
        <v>16.576923076923077</v>
      </c>
      <c r="D441" s="20">
        <f>-PMT(J441,COUNT(B441:$B$530),G440)</f>
        <v>15372.456607459671</v>
      </c>
      <c r="E441" s="20">
        <f t="shared" si="40"/>
        <v>1405.4064809976576</v>
      </c>
      <c r="F441" s="21">
        <f t="shared" si="41"/>
        <v>13967.050126462014</v>
      </c>
      <c r="G441" s="21">
        <f t="shared" si="38"/>
        <v>1303797.7395429597</v>
      </c>
      <c r="H441" s="22">
        <f t="shared" si="43"/>
        <v>1.0658607692307694E-3</v>
      </c>
      <c r="I441" s="23">
        <v>0</v>
      </c>
      <c r="J441" s="24">
        <f t="shared" si="42"/>
        <v>1.0658607692307694E-3</v>
      </c>
      <c r="K441" s="25">
        <v>800</v>
      </c>
    </row>
    <row r="442" spans="2:11" ht="20" customHeight="1" x14ac:dyDescent="0.2">
      <c r="B442" s="18">
        <f>ROWS(B$10:B442)-1</f>
        <v>432</v>
      </c>
      <c r="C442" s="19">
        <f t="shared" si="39"/>
        <v>16.615384615384617</v>
      </c>
      <c r="D442" s="20">
        <f>-PMT(J442,COUNT(B442:$B$530),G441)</f>
        <v>15363.029973553135</v>
      </c>
      <c r="E442" s="20">
        <f t="shared" si="40"/>
        <v>1389.6668615905974</v>
      </c>
      <c r="F442" s="21">
        <f t="shared" si="41"/>
        <v>13973.363111962539</v>
      </c>
      <c r="G442" s="21">
        <f t="shared" si="38"/>
        <v>1289024.3764309972</v>
      </c>
      <c r="H442" s="22">
        <f t="shared" si="43"/>
        <v>1.0658607692307694E-3</v>
      </c>
      <c r="I442" s="23">
        <v>0</v>
      </c>
      <c r="J442" s="24">
        <f t="shared" si="42"/>
        <v>1.0658607692307694E-3</v>
      </c>
      <c r="K442" s="25">
        <v>800</v>
      </c>
    </row>
    <row r="443" spans="2:11" ht="20" customHeight="1" x14ac:dyDescent="0.2">
      <c r="B443" s="18">
        <f>ROWS(B$10:B443)-1</f>
        <v>433</v>
      </c>
      <c r="C443" s="19">
        <f t="shared" si="39"/>
        <v>16.653846153846153</v>
      </c>
      <c r="D443" s="20">
        <f>-PMT(J443,COUNT(B443:$B$530),G442)</f>
        <v>15353.501215837412</v>
      </c>
      <c r="E443" s="20">
        <f t="shared" si="40"/>
        <v>1373.9205134199556</v>
      </c>
      <c r="F443" s="21">
        <f t="shared" si="41"/>
        <v>13979.580702417457</v>
      </c>
      <c r="G443" s="21">
        <f t="shared" si="38"/>
        <v>1274244.7957285796</v>
      </c>
      <c r="H443" s="22">
        <f t="shared" si="43"/>
        <v>1.0658607692307694E-3</v>
      </c>
      <c r="I443" s="23">
        <v>0</v>
      </c>
      <c r="J443" s="24">
        <f t="shared" si="42"/>
        <v>1.0658607692307694E-3</v>
      </c>
      <c r="K443" s="25">
        <v>800</v>
      </c>
    </row>
    <row r="444" spans="2:11" ht="20" customHeight="1" x14ac:dyDescent="0.2">
      <c r="B444" s="18">
        <f>ROWS(B$10:B444)-1</f>
        <v>434</v>
      </c>
      <c r="C444" s="19">
        <f t="shared" si="39"/>
        <v>16.692307692307693</v>
      </c>
      <c r="D444" s="20">
        <f>-PMT(J444,COUNT(B444:$B$530),G443)</f>
        <v>15343.8679849001</v>
      </c>
      <c r="E444" s="20">
        <f t="shared" si="40"/>
        <v>1358.1675381635685</v>
      </c>
      <c r="F444" s="21">
        <f t="shared" si="41"/>
        <v>13985.700446736531</v>
      </c>
      <c r="G444" s="21">
        <f t="shared" si="38"/>
        <v>1259459.0952818431</v>
      </c>
      <c r="H444" s="22">
        <f t="shared" si="43"/>
        <v>1.0658607692307694E-3</v>
      </c>
      <c r="I444" s="23">
        <v>0</v>
      </c>
      <c r="J444" s="24">
        <f t="shared" si="42"/>
        <v>1.0658607692307694E-3</v>
      </c>
      <c r="K444" s="25">
        <v>800</v>
      </c>
    </row>
    <row r="445" spans="2:11" ht="20" customHeight="1" x14ac:dyDescent="0.2">
      <c r="B445" s="18">
        <f>ROWS(B$10:B445)-1</f>
        <v>435</v>
      </c>
      <c r="C445" s="19">
        <f t="shared" si="39"/>
        <v>16.73076923076923</v>
      </c>
      <c r="D445" s="20">
        <f>-PMT(J445,COUNT(B445:$B$530),G444)</f>
        <v>15334.127849372513</v>
      </c>
      <c r="E445" s="20">
        <f t="shared" si="40"/>
        <v>1342.4080401117942</v>
      </c>
      <c r="F445" s="21">
        <f t="shared" si="41"/>
        <v>13991.71980926072</v>
      </c>
      <c r="G445" s="21">
        <f t="shared" si="38"/>
        <v>1244667.3754725824</v>
      </c>
      <c r="H445" s="22">
        <f t="shared" si="43"/>
        <v>1.0658607692307694E-3</v>
      </c>
      <c r="I445" s="23">
        <v>0</v>
      </c>
      <c r="J445" s="24">
        <f t="shared" si="42"/>
        <v>1.0658607692307694E-3</v>
      </c>
      <c r="K445" s="25">
        <v>800</v>
      </c>
    </row>
    <row r="446" spans="2:11" ht="20" customHeight="1" x14ac:dyDescent="0.2">
      <c r="B446" s="18">
        <f>ROWS(B$10:B446)-1</f>
        <v>436</v>
      </c>
      <c r="C446" s="19">
        <f t="shared" si="39"/>
        <v>16.76923076923077</v>
      </c>
      <c r="D446" s="20">
        <f>-PMT(J446,COUNT(B446:$B$530),G445)</f>
        <v>15324.278292072911</v>
      </c>
      <c r="E446" s="20">
        <f t="shared" si="40"/>
        <v>1326.6421262576496</v>
      </c>
      <c r="F446" s="21">
        <f t="shared" si="41"/>
        <v>13997.636165815262</v>
      </c>
      <c r="G446" s="21">
        <f t="shared" si="38"/>
        <v>1229869.7393067672</v>
      </c>
      <c r="H446" s="22">
        <f t="shared" si="43"/>
        <v>1.0658607692307694E-3</v>
      </c>
      <c r="I446" s="23">
        <v>0</v>
      </c>
      <c r="J446" s="24">
        <f t="shared" si="42"/>
        <v>1.0658607692307694E-3</v>
      </c>
      <c r="K446" s="25">
        <v>800</v>
      </c>
    </row>
    <row r="447" spans="2:11" ht="20" customHeight="1" x14ac:dyDescent="0.2">
      <c r="B447" s="18">
        <f>ROWS(B$10:B447)-1</f>
        <v>437</v>
      </c>
      <c r="C447" s="19">
        <f t="shared" si="39"/>
        <v>16.807692307692307</v>
      </c>
      <c r="D447" s="20">
        <f>-PMT(J447,COUNT(B447:$B$530),G446)</f>
        <v>15314.316705920188</v>
      </c>
      <c r="E447" s="20">
        <f t="shared" si="40"/>
        <v>1310.8699063911567</v>
      </c>
      <c r="F447" s="21">
        <f t="shared" si="41"/>
        <v>14003.446799529031</v>
      </c>
      <c r="G447" s="21">
        <f t="shared" si="38"/>
        <v>1215066.2925072382</v>
      </c>
      <c r="H447" s="22">
        <f t="shared" si="43"/>
        <v>1.0658607692307694E-3</v>
      </c>
      <c r="I447" s="23">
        <v>0</v>
      </c>
      <c r="J447" s="24">
        <f t="shared" si="42"/>
        <v>1.0658607692307694E-3</v>
      </c>
      <c r="K447" s="25">
        <v>800</v>
      </c>
    </row>
    <row r="448" spans="2:11" ht="20" customHeight="1" x14ac:dyDescent="0.2">
      <c r="B448" s="18">
        <f>ROWS(B$10:B448)-1</f>
        <v>438</v>
      </c>
      <c r="C448" s="19">
        <f t="shared" si="39"/>
        <v>16.846153846153847</v>
      </c>
      <c r="D448" s="20">
        <f>-PMT(J448,COUNT(B448:$B$530),G447)</f>
        <v>15304.240389601335</v>
      </c>
      <c r="E448" s="20">
        <f t="shared" si="40"/>
        <v>1295.091493198144</v>
      </c>
      <c r="F448" s="21">
        <f t="shared" si="41"/>
        <v>14009.148896403191</v>
      </c>
      <c r="G448" s="21">
        <f t="shared" si="38"/>
        <v>1200257.1436108351</v>
      </c>
      <c r="H448" s="22">
        <f t="shared" si="43"/>
        <v>1.0658607692307694E-3</v>
      </c>
      <c r="I448" s="23">
        <v>0</v>
      </c>
      <c r="J448" s="24">
        <f t="shared" si="42"/>
        <v>1.0658607692307694E-3</v>
      </c>
      <c r="K448" s="25">
        <v>800</v>
      </c>
    </row>
    <row r="449" spans="2:11" ht="20" customHeight="1" x14ac:dyDescent="0.2">
      <c r="B449" s="18">
        <f>ROWS(B$10:B449)-1</f>
        <v>439</v>
      </c>
      <c r="C449" s="19">
        <f t="shared" si="39"/>
        <v>16.884615384615383</v>
      </c>
      <c r="D449" s="20">
        <f>-PMT(J449,COUNT(B449:$B$530),G448)</f>
        <v>15294.046542974793</v>
      </c>
      <c r="E449" s="20">
        <f t="shared" si="40"/>
        <v>1279.3070023637708</v>
      </c>
      <c r="F449" s="21">
        <f t="shared" si="41"/>
        <v>14014.739540611023</v>
      </c>
      <c r="G449" s="21">
        <f t="shared" si="38"/>
        <v>1185442.4040702241</v>
      </c>
      <c r="H449" s="22">
        <f t="shared" si="43"/>
        <v>1.0658607692307694E-3</v>
      </c>
      <c r="I449" s="23">
        <v>0</v>
      </c>
      <c r="J449" s="24">
        <f t="shared" si="42"/>
        <v>1.0658607692307694E-3</v>
      </c>
      <c r="K449" s="25">
        <v>800</v>
      </c>
    </row>
    <row r="450" spans="2:11" ht="20" customHeight="1" x14ac:dyDescent="0.2">
      <c r="B450" s="18">
        <f>ROWS(B$10:B450)-1</f>
        <v>440</v>
      </c>
      <c r="C450" s="19">
        <f t="shared" si="39"/>
        <v>16.923076923076923</v>
      </c>
      <c r="D450" s="20">
        <f>-PMT(J450,COUNT(B450:$B$530),G449)</f>
        <v>15283.732262190024</v>
      </c>
      <c r="E450" s="20">
        <f t="shared" si="40"/>
        <v>1263.5165526810617</v>
      </c>
      <c r="F450" s="21">
        <f t="shared" si="41"/>
        <v>14020.215709508962</v>
      </c>
      <c r="G450" s="21">
        <f t="shared" si="38"/>
        <v>1170622.1883607153</v>
      </c>
      <c r="H450" s="22">
        <f t="shared" si="43"/>
        <v>1.0658607692307694E-3</v>
      </c>
      <c r="I450" s="23">
        <v>0</v>
      </c>
      <c r="J450" s="24">
        <f t="shared" si="42"/>
        <v>1.0658607692307694E-3</v>
      </c>
      <c r="K450" s="25">
        <v>800</v>
      </c>
    </row>
    <row r="451" spans="2:11" ht="20" customHeight="1" x14ac:dyDescent="0.2">
      <c r="B451" s="18">
        <f>ROWS(B$10:B451)-1</f>
        <v>441</v>
      </c>
      <c r="C451" s="19">
        <f t="shared" si="39"/>
        <v>16.96153846153846</v>
      </c>
      <c r="D451" s="20">
        <f>-PMT(J451,COUNT(B451:$B$530),G450)</f>
        <v>15273.29453450206</v>
      </c>
      <c r="E451" s="20">
        <f t="shared" si="40"/>
        <v>1247.7202661647586</v>
      </c>
      <c r="F451" s="21">
        <f t="shared" si="41"/>
        <v>14025.574268337301</v>
      </c>
      <c r="G451" s="21">
        <f t="shared" si="38"/>
        <v>1155796.6140923779</v>
      </c>
      <c r="H451" s="22">
        <f t="shared" si="43"/>
        <v>1.0658607692307694E-3</v>
      </c>
      <c r="I451" s="23">
        <v>0</v>
      </c>
      <c r="J451" s="24">
        <f t="shared" si="42"/>
        <v>1.0658607692307694E-3</v>
      </c>
      <c r="K451" s="25">
        <v>800</v>
      </c>
    </row>
    <row r="452" spans="2:11" ht="20" customHeight="1" x14ac:dyDescent="0.2">
      <c r="B452" s="18">
        <f>ROWS(B$10:B452)-1</f>
        <v>442</v>
      </c>
      <c r="C452" s="19">
        <f t="shared" si="39"/>
        <v>17</v>
      </c>
      <c r="D452" s="20">
        <f>-PMT(J452,COUNT(B452:$B$530),G451)</f>
        <v>15262.730232757849</v>
      </c>
      <c r="E452" s="20">
        <f t="shared" si="40"/>
        <v>1231.9182681708207</v>
      </c>
      <c r="F452" s="21">
        <f t="shared" si="41"/>
        <v>14030.811964587028</v>
      </c>
      <c r="G452" s="21">
        <f t="shared" si="38"/>
        <v>1140965.8021277909</v>
      </c>
      <c r="H452" s="22">
        <f t="shared" si="43"/>
        <v>1.0658607692307694E-3</v>
      </c>
      <c r="I452" s="23">
        <v>0</v>
      </c>
      <c r="J452" s="24">
        <f t="shared" si="42"/>
        <v>1.0658607692307694E-3</v>
      </c>
      <c r="K452" s="25">
        <v>800</v>
      </c>
    </row>
    <row r="453" spans="2:11" ht="20" customHeight="1" x14ac:dyDescent="0.2">
      <c r="B453" s="18">
        <f>ROWS(B$10:B453)-1</f>
        <v>443</v>
      </c>
      <c r="C453" s="19">
        <f t="shared" si="39"/>
        <v>17.03846153846154</v>
      </c>
      <c r="D453" s="20">
        <f>-PMT(J453,COUNT(B453:$B$530),G452)</f>
        <v>15252.036109529205</v>
      </c>
      <c r="E453" s="20">
        <f t="shared" si="40"/>
        <v>1216.1106875219291</v>
      </c>
      <c r="F453" s="21">
        <f t="shared" si="41"/>
        <v>14035.925422007276</v>
      </c>
      <c r="G453" s="21">
        <f t="shared" si="38"/>
        <v>1126129.8767057837</v>
      </c>
      <c r="H453" s="22">
        <f t="shared" si="43"/>
        <v>1.0658607692307694E-3</v>
      </c>
      <c r="I453" s="23">
        <v>0</v>
      </c>
      <c r="J453" s="24">
        <f t="shared" si="42"/>
        <v>1.0658607692307694E-3</v>
      </c>
      <c r="K453" s="25">
        <v>800</v>
      </c>
    </row>
    <row r="454" spans="2:11" ht="20" customHeight="1" x14ac:dyDescent="0.2">
      <c r="B454" s="18">
        <f>ROWS(B$10:B454)-1</f>
        <v>444</v>
      </c>
      <c r="C454" s="19">
        <f t="shared" si="39"/>
        <v>17.076923076923077</v>
      </c>
      <c r="D454" s="20">
        <f>-PMT(J454,COUNT(B454:$B$530),G453)</f>
        <v>15241.208790864721</v>
      </c>
      <c r="E454" s="20">
        <f t="shared" si="40"/>
        <v>1200.2976566393781</v>
      </c>
      <c r="F454" s="21">
        <f t="shared" si="41"/>
        <v>14040.911134225342</v>
      </c>
      <c r="G454" s="21">
        <f t="shared" si="38"/>
        <v>1111288.9655715583</v>
      </c>
      <c r="H454" s="22">
        <f t="shared" si="43"/>
        <v>1.0658607692307694E-3</v>
      </c>
      <c r="I454" s="23">
        <v>0</v>
      </c>
      <c r="J454" s="24">
        <f t="shared" si="42"/>
        <v>1.0658607692307694E-3</v>
      </c>
      <c r="K454" s="25">
        <v>800</v>
      </c>
    </row>
    <row r="455" spans="2:11" ht="20" customHeight="1" x14ac:dyDescent="0.2">
      <c r="B455" s="18">
        <f>ROWS(B$10:B455)-1</f>
        <v>445</v>
      </c>
      <c r="C455" s="19">
        <f t="shared" si="39"/>
        <v>17.115384615384617</v>
      </c>
      <c r="D455" s="20">
        <f>-PMT(J455,COUNT(B455:$B$530),G454)</f>
        <v>15230.244769630659</v>
      </c>
      <c r="E455" s="20">
        <f t="shared" si="40"/>
        <v>1184.4793116817673</v>
      </c>
      <c r="F455" s="21">
        <f t="shared" si="41"/>
        <v>14045.765457948892</v>
      </c>
      <c r="G455" s="21">
        <f t="shared" si="38"/>
        <v>1096443.2001136094</v>
      </c>
      <c r="H455" s="22">
        <f t="shared" si="43"/>
        <v>1.0658607692307694E-3</v>
      </c>
      <c r="I455" s="23">
        <v>0</v>
      </c>
      <c r="J455" s="24">
        <f t="shared" si="42"/>
        <v>1.0658607692307694E-3</v>
      </c>
      <c r="K455" s="25">
        <v>800</v>
      </c>
    </row>
    <row r="456" spans="2:11" ht="20" customHeight="1" x14ac:dyDescent="0.2">
      <c r="B456" s="18">
        <f>ROWS(B$10:B456)-1</f>
        <v>446</v>
      </c>
      <c r="C456" s="19">
        <f t="shared" si="39"/>
        <v>17.153846153846153</v>
      </c>
      <c r="D456" s="20">
        <f>-PMT(J456,COUNT(B456:$B$530),G455)</f>
        <v>15219.140398407904</v>
      </c>
      <c r="E456" s="20">
        <f t="shared" si="40"/>
        <v>1168.6557926909381</v>
      </c>
      <c r="F456" s="21">
        <f t="shared" si="41"/>
        <v>14050.484605716967</v>
      </c>
      <c r="G456" s="21">
        <f t="shared" si="38"/>
        <v>1081592.7155078924</v>
      </c>
      <c r="H456" s="22">
        <f t="shared" si="43"/>
        <v>1.0658607692307694E-3</v>
      </c>
      <c r="I456" s="23">
        <v>0</v>
      </c>
      <c r="J456" s="24">
        <f t="shared" si="42"/>
        <v>1.0658607692307694E-3</v>
      </c>
      <c r="K456" s="25">
        <v>800</v>
      </c>
    </row>
    <row r="457" spans="2:11" ht="20" customHeight="1" x14ac:dyDescent="0.2">
      <c r="B457" s="18">
        <f>ROWS(B$10:B457)-1</f>
        <v>447</v>
      </c>
      <c r="C457" s="19">
        <f t="shared" si="39"/>
        <v>17.192307692307693</v>
      </c>
      <c r="D457" s="20">
        <f>-PMT(J457,COUNT(B457:$B$530),G456)</f>
        <v>15207.891881908961</v>
      </c>
      <c r="E457" s="20">
        <f t="shared" si="40"/>
        <v>1152.827243745639</v>
      </c>
      <c r="F457" s="21">
        <f t="shared" si="41"/>
        <v>14055.064638163323</v>
      </c>
      <c r="G457" s="21">
        <f t="shared" si="38"/>
        <v>1066737.650869729</v>
      </c>
      <c r="H457" s="22">
        <f t="shared" si="43"/>
        <v>1.0658607692307694E-3</v>
      </c>
      <c r="I457" s="23">
        <v>0</v>
      </c>
      <c r="J457" s="24">
        <f t="shared" si="42"/>
        <v>1.0658607692307694E-3</v>
      </c>
      <c r="K457" s="25">
        <v>800</v>
      </c>
    </row>
    <row r="458" spans="2:11" ht="20" customHeight="1" x14ac:dyDescent="0.2">
      <c r="B458" s="18">
        <f>ROWS(B$10:B458)-1</f>
        <v>448</v>
      </c>
      <c r="C458" s="19">
        <f t="shared" si="39"/>
        <v>17.23076923076923</v>
      </c>
      <c r="D458" s="20">
        <f>-PMT(J458,COUNT(B458:$B$530),G457)</f>
        <v>15196.495268875578</v>
      </c>
      <c r="E458" s="20">
        <f t="shared" si="40"/>
        <v>1136.9938131234333</v>
      </c>
      <c r="F458" s="21">
        <f t="shared" si="41"/>
        <v>14059.501455752144</v>
      </c>
      <c r="G458" s="21">
        <f t="shared" si="38"/>
        <v>1051878.1494139768</v>
      </c>
      <c r="H458" s="22">
        <f t="shared" si="43"/>
        <v>1.0658607692307694E-3</v>
      </c>
      <c r="I458" s="23">
        <v>0</v>
      </c>
      <c r="J458" s="24">
        <f t="shared" si="42"/>
        <v>1.0658607692307694E-3</v>
      </c>
      <c r="K458" s="25">
        <v>800</v>
      </c>
    </row>
    <row r="459" spans="2:11" ht="20" customHeight="1" x14ac:dyDescent="0.2">
      <c r="B459" s="18">
        <f>ROWS(B$10:B459)-1</f>
        <v>449</v>
      </c>
      <c r="C459" s="19">
        <f t="shared" si="39"/>
        <v>17.26923076923077</v>
      </c>
      <c r="D459" s="20">
        <f>-PMT(J459,COUNT(B459:$B$530),G458)</f>
        <v>15184.946443413712</v>
      </c>
      <c r="E459" s="20">
        <f t="shared" si="40"/>
        <v>1121.1556534714196</v>
      </c>
      <c r="F459" s="21">
        <f t="shared" si="41"/>
        <v>14063.790789942292</v>
      </c>
      <c r="G459" s="21">
        <f t="shared" ref="G459:G483" si="44">G458-F459-K459</f>
        <v>1037014.3586240346</v>
      </c>
      <c r="H459" s="22">
        <f t="shared" si="43"/>
        <v>1.0658607692307694E-3</v>
      </c>
      <c r="I459" s="23">
        <v>0</v>
      </c>
      <c r="J459" s="24">
        <f t="shared" si="42"/>
        <v>1.0658607692307694E-3</v>
      </c>
      <c r="K459" s="25">
        <v>800</v>
      </c>
    </row>
    <row r="460" spans="2:11" ht="20" customHeight="1" x14ac:dyDescent="0.2">
      <c r="B460" s="18">
        <f>ROWS(B$10:B460)-1</f>
        <v>450</v>
      </c>
      <c r="C460" s="19">
        <f t="shared" ref="C460:C523" si="45">(B460/$G$3)</f>
        <v>17.307692307692307</v>
      </c>
      <c r="D460" s="20">
        <f>-PMT(J460,COUNT(B460:$B$530),G459)</f>
        <v>15173.241115718271</v>
      </c>
      <c r="E460" s="20">
        <f t="shared" ref="E460:E483" si="46">G459*J460</f>
        <v>1105.3129219863665</v>
      </c>
      <c r="F460" s="21">
        <f t="shared" ref="F460:F523" si="47">D460-E460</f>
        <v>14067.928193731905</v>
      </c>
      <c r="G460" s="21">
        <f t="shared" si="44"/>
        <v>1022146.4304303026</v>
      </c>
      <c r="H460" s="22">
        <f t="shared" si="43"/>
        <v>1.0658607692307694E-3</v>
      </c>
      <c r="I460" s="23">
        <v>0</v>
      </c>
      <c r="J460" s="24">
        <f t="shared" ref="J460:J523" si="48">H460+(H460*I460)</f>
        <v>1.0658607692307694E-3</v>
      </c>
      <c r="K460" s="25">
        <v>800</v>
      </c>
    </row>
    <row r="461" spans="2:11" ht="20" customHeight="1" x14ac:dyDescent="0.2">
      <c r="B461" s="18">
        <f>ROWS(B$10:B461)-1</f>
        <v>451</v>
      </c>
      <c r="C461" s="19">
        <f t="shared" si="45"/>
        <v>17.346153846153847</v>
      </c>
      <c r="D461" s="20">
        <f>-PMT(J461,COUNT(B461:$B$530),G460)</f>
        <v>15161.374812135324</v>
      </c>
      <c r="E461" s="20">
        <f t="shared" si="46"/>
        <v>1089.4657806049274</v>
      </c>
      <c r="F461" s="21">
        <f t="shared" si="47"/>
        <v>14071.909031530397</v>
      </c>
      <c r="G461" s="21">
        <f t="shared" si="44"/>
        <v>1007274.5213987723</v>
      </c>
      <c r="H461" s="22">
        <f t="shared" si="43"/>
        <v>1.0658607692307694E-3</v>
      </c>
      <c r="I461" s="23">
        <v>0</v>
      </c>
      <c r="J461" s="24">
        <f t="shared" si="48"/>
        <v>1.0658607692307694E-3</v>
      </c>
      <c r="K461" s="25">
        <v>800</v>
      </c>
    </row>
    <row r="462" spans="2:11" ht="20" customHeight="1" x14ac:dyDescent="0.2">
      <c r="B462" s="18">
        <f>ROWS(B$10:B462)-1</f>
        <v>452</v>
      </c>
      <c r="C462" s="19">
        <f t="shared" si="45"/>
        <v>17.384615384615383</v>
      </c>
      <c r="D462" s="20">
        <f>-PMT(J462,COUNT(B462:$B$530),G461)</f>
        <v>15149.342864504233</v>
      </c>
      <c r="E462" s="20">
        <f t="shared" si="46"/>
        <v>1073.6143962046506</v>
      </c>
      <c r="F462" s="21">
        <f t="shared" si="47"/>
        <v>14075.728468299583</v>
      </c>
      <c r="G462" s="21">
        <f t="shared" si="44"/>
        <v>992398.79293047264</v>
      </c>
      <c r="H462" s="22">
        <f t="shared" si="43"/>
        <v>1.0658607692307694E-3</v>
      </c>
      <c r="I462" s="23">
        <v>0</v>
      </c>
      <c r="J462" s="24">
        <f t="shared" si="48"/>
        <v>1.0658607692307694E-3</v>
      </c>
      <c r="K462" s="25">
        <v>800</v>
      </c>
    </row>
    <row r="463" spans="2:11" ht="20" customHeight="1" x14ac:dyDescent="0.2">
      <c r="B463" s="18">
        <f>ROWS(B$10:B463)-1</f>
        <v>453</v>
      </c>
      <c r="C463" s="19">
        <f t="shared" si="45"/>
        <v>17.423076923076923</v>
      </c>
      <c r="D463" s="20">
        <f>-PMT(J463,COUNT(B463:$B$530),G462)</f>
        <v>15137.140398716047</v>
      </c>
      <c r="E463" s="20">
        <f t="shared" si="46"/>
        <v>1057.7589408165607</v>
      </c>
      <c r="F463" s="21">
        <f t="shared" si="47"/>
        <v>14079.381457899486</v>
      </c>
      <c r="G463" s="21">
        <f t="shared" si="44"/>
        <v>977519.41147257318</v>
      </c>
      <c r="H463" s="22">
        <f t="shared" si="43"/>
        <v>1.0658607692307694E-3</v>
      </c>
      <c r="I463" s="23">
        <v>0</v>
      </c>
      <c r="J463" s="24">
        <f t="shared" si="48"/>
        <v>1.0658607692307694E-3</v>
      </c>
      <c r="K463" s="25">
        <v>800</v>
      </c>
    </row>
    <row r="464" spans="2:11" ht="20" customHeight="1" x14ac:dyDescent="0.2">
      <c r="B464" s="18">
        <f>ROWS(B$10:B464)-1</f>
        <v>454</v>
      </c>
      <c r="C464" s="19">
        <f t="shared" si="45"/>
        <v>17.46153846153846</v>
      </c>
      <c r="D464" s="20">
        <f>-PMT(J464,COUNT(B464:$B$530),G463)</f>
        <v>15124.762322418095</v>
      </c>
      <c r="E464" s="20">
        <f t="shared" si="46"/>
        <v>1041.899591850166</v>
      </c>
      <c r="F464" s="21">
        <f t="shared" si="47"/>
        <v>14082.862730567929</v>
      </c>
      <c r="G464" s="21">
        <f t="shared" si="44"/>
        <v>962636.54874200525</v>
      </c>
      <c r="H464" s="22">
        <f t="shared" si="43"/>
        <v>1.0658607692307694E-3</v>
      </c>
      <c r="I464" s="23">
        <v>0</v>
      </c>
      <c r="J464" s="24">
        <f t="shared" si="48"/>
        <v>1.0658607692307694E-3</v>
      </c>
      <c r="K464" s="25">
        <v>800</v>
      </c>
    </row>
    <row r="465" spans="2:11" ht="20" customHeight="1" x14ac:dyDescent="0.2">
      <c r="B465" s="18">
        <f>ROWS(B$10:B465)-1</f>
        <v>455</v>
      </c>
      <c r="C465" s="19">
        <f t="shared" si="45"/>
        <v>17.5</v>
      </c>
      <c r="D465" s="20">
        <f>-PMT(J465,COUNT(B465:$B$530),G464)</f>
        <v>15112.203311787107</v>
      </c>
      <c r="E465" s="20">
        <f t="shared" si="46"/>
        <v>1026.0365323318067</v>
      </c>
      <c r="F465" s="21">
        <f t="shared" si="47"/>
        <v>14086.1667794553</v>
      </c>
      <c r="G465" s="21">
        <f t="shared" si="44"/>
        <v>947750.38196254999</v>
      </c>
      <c r="H465" s="22">
        <f t="shared" si="43"/>
        <v>1.0658607692307694E-3</v>
      </c>
      <c r="I465" s="23">
        <v>0</v>
      </c>
      <c r="J465" s="24">
        <f t="shared" si="48"/>
        <v>1.0658607692307694E-3</v>
      </c>
      <c r="K465" s="25">
        <v>800</v>
      </c>
    </row>
    <row r="466" spans="2:11" ht="20" customHeight="1" x14ac:dyDescent="0.2">
      <c r="B466" s="18">
        <f>ROWS(B$10:B466)-1</f>
        <v>456</v>
      </c>
      <c r="C466" s="19">
        <f t="shared" si="45"/>
        <v>17.53846153846154</v>
      </c>
      <c r="D466" s="20">
        <f>-PMT(J466,COUNT(B466:$B$530),G465)</f>
        <v>15099.457797284847</v>
      </c>
      <c r="E466" s="20">
        <f t="shared" si="46"/>
        <v>1010.169951157359</v>
      </c>
      <c r="F466" s="21">
        <f t="shared" si="47"/>
        <v>14089.287846127489</v>
      </c>
      <c r="G466" s="21">
        <f t="shared" si="44"/>
        <v>932861.09411642246</v>
      </c>
      <c r="H466" s="22">
        <f t="shared" si="43"/>
        <v>1.0658607692307694E-3</v>
      </c>
      <c r="I466" s="23">
        <v>0</v>
      </c>
      <c r="J466" s="24">
        <f t="shared" si="48"/>
        <v>1.0658607692307694E-3</v>
      </c>
      <c r="K466" s="25">
        <v>800</v>
      </c>
    </row>
    <row r="467" spans="2:11" ht="20" customHeight="1" x14ac:dyDescent="0.2">
      <c r="B467" s="18">
        <f>ROWS(B$10:B467)-1</f>
        <v>457</v>
      </c>
      <c r="C467" s="19">
        <f t="shared" si="45"/>
        <v>17.576923076923077</v>
      </c>
      <c r="D467" s="20">
        <f>-PMT(J467,COUNT(B467:$B$530),G466)</f>
        <v>15086.519948300936</v>
      </c>
      <c r="E467" s="20">
        <f t="shared" si="46"/>
        <v>994.30004336038724</v>
      </c>
      <c r="F467" s="21">
        <f t="shared" si="47"/>
        <v>14092.21990494055</v>
      </c>
      <c r="G467" s="21">
        <f t="shared" si="44"/>
        <v>917968.87421148189</v>
      </c>
      <c r="H467" s="22">
        <f t="shared" si="43"/>
        <v>1.0658607692307694E-3</v>
      </c>
      <c r="I467" s="23">
        <v>0</v>
      </c>
      <c r="J467" s="24">
        <f t="shared" si="48"/>
        <v>1.0658607692307694E-3</v>
      </c>
      <c r="K467" s="25">
        <v>800</v>
      </c>
    </row>
    <row r="468" spans="2:11" ht="20" customHeight="1" x14ac:dyDescent="0.2">
      <c r="B468" s="18">
        <f>ROWS(B$10:B468)-1</f>
        <v>458</v>
      </c>
      <c r="C468" s="19">
        <f t="shared" si="45"/>
        <v>17.615384615384617</v>
      </c>
      <c r="D468" s="20">
        <f>-PMT(J468,COUNT(B468:$B$530),G467)</f>
        <v>15073.383656576863</v>
      </c>
      <c r="E468" s="20">
        <f t="shared" si="46"/>
        <v>978.42701039695351</v>
      </c>
      <c r="F468" s="21">
        <f t="shared" si="47"/>
        <v>14094.95664617991</v>
      </c>
      <c r="G468" s="21">
        <f t="shared" si="44"/>
        <v>903073.91756530199</v>
      </c>
      <c r="H468" s="22">
        <f t="shared" si="43"/>
        <v>1.0658607692307694E-3</v>
      </c>
      <c r="I468" s="23">
        <v>0</v>
      </c>
      <c r="J468" s="24">
        <f t="shared" si="48"/>
        <v>1.0658607692307694E-3</v>
      </c>
      <c r="K468" s="25">
        <v>800</v>
      </c>
    </row>
    <row r="469" spans="2:11" ht="20" customHeight="1" x14ac:dyDescent="0.2">
      <c r="B469" s="18">
        <f>ROWS(B$10:B469)-1</f>
        <v>459</v>
      </c>
      <c r="C469" s="19">
        <f t="shared" si="45"/>
        <v>17.653846153846153</v>
      </c>
      <c r="D469" s="20">
        <f>-PMT(J469,COUNT(B469:$B$530),G468)</f>
        <v>15060.04251829317</v>
      </c>
      <c r="E469" s="20">
        <f t="shared" si="46"/>
        <v>962.55106044839727</v>
      </c>
      <c r="F469" s="21">
        <f t="shared" si="47"/>
        <v>14097.491457844773</v>
      </c>
      <c r="G469" s="21">
        <f t="shared" si="44"/>
        <v>888176.42610745726</v>
      </c>
      <c r="H469" s="22">
        <f t="shared" si="43"/>
        <v>1.0658607692307694E-3</v>
      </c>
      <c r="I469" s="23">
        <v>0</v>
      </c>
      <c r="J469" s="24">
        <f t="shared" si="48"/>
        <v>1.0658607692307694E-3</v>
      </c>
      <c r="K469" s="25">
        <v>800</v>
      </c>
    </row>
    <row r="470" spans="2:11" ht="20" customHeight="1" x14ac:dyDescent="0.2">
      <c r="B470" s="18">
        <f>ROWS(B$10:B470)-1</f>
        <v>460</v>
      </c>
      <c r="C470" s="19">
        <f t="shared" si="45"/>
        <v>17.692307692307693</v>
      </c>
      <c r="D470" s="20">
        <f>-PMT(J470,COUNT(B470:$B$530),G469)</f>
        <v>15046.489814688433</v>
      </c>
      <c r="E470" s="20">
        <f t="shared" si="46"/>
        <v>946.67240874353001</v>
      </c>
      <c r="F470" s="21">
        <f t="shared" si="47"/>
        <v>14099.817405944903</v>
      </c>
      <c r="G470" s="21">
        <f t="shared" si="44"/>
        <v>873276.60870151233</v>
      </c>
      <c r="H470" s="22">
        <f t="shared" si="43"/>
        <v>1.0658607692307694E-3</v>
      </c>
      <c r="I470" s="23">
        <v>0</v>
      </c>
      <c r="J470" s="24">
        <f t="shared" si="48"/>
        <v>1.0658607692307694E-3</v>
      </c>
      <c r="K470" s="25">
        <v>800</v>
      </c>
    </row>
    <row r="471" spans="2:11" ht="20" customHeight="1" x14ac:dyDescent="0.2">
      <c r="B471" s="18">
        <f>ROWS(B$10:B471)-1</f>
        <v>461</v>
      </c>
      <c r="C471" s="19">
        <f t="shared" si="45"/>
        <v>17.73076923076923</v>
      </c>
      <c r="D471" s="20">
        <f>-PMT(J471,COUNT(B471:$B$530),G470)</f>
        <v>15032.718491063109</v>
      </c>
      <c r="E471" s="20">
        <f t="shared" si="46"/>
        <v>930.79127790183156</v>
      </c>
      <c r="F471" s="21">
        <f t="shared" si="47"/>
        <v>14101.927213161278</v>
      </c>
      <c r="G471" s="21">
        <f t="shared" si="44"/>
        <v>858374.68148835108</v>
      </c>
      <c r="H471" s="22">
        <f t="shared" si="43"/>
        <v>1.0658607692307694E-3</v>
      </c>
      <c r="I471" s="23">
        <v>0</v>
      </c>
      <c r="J471" s="24">
        <f t="shared" si="48"/>
        <v>1.0658607692307694E-3</v>
      </c>
      <c r="K471" s="25">
        <v>800</v>
      </c>
    </row>
    <row r="472" spans="2:11" ht="20" customHeight="1" x14ac:dyDescent="0.2">
      <c r="B472" s="18">
        <f>ROWS(B$10:B472)-1</f>
        <v>462</v>
      </c>
      <c r="C472" s="19">
        <f t="shared" si="45"/>
        <v>17.76923076923077</v>
      </c>
      <c r="D472" s="20">
        <f>-PMT(J472,COUNT(B472:$B$530),G471)</f>
        <v>15018.721134004107</v>
      </c>
      <c r="E472" s="20">
        <f t="shared" si="46"/>
        <v>914.90789829939058</v>
      </c>
      <c r="F472" s="21">
        <f t="shared" si="47"/>
        <v>14103.813235704716</v>
      </c>
      <c r="G472" s="21">
        <f t="shared" si="44"/>
        <v>843470.86825264641</v>
      </c>
      <c r="H472" s="22">
        <f t="shared" si="43"/>
        <v>1.0658607692307694E-3</v>
      </c>
      <c r="I472" s="23">
        <v>0</v>
      </c>
      <c r="J472" s="24">
        <f t="shared" si="48"/>
        <v>1.0658607692307694E-3</v>
      </c>
      <c r="K472" s="25">
        <v>800</v>
      </c>
    </row>
    <row r="473" spans="2:11" ht="20" customHeight="1" x14ac:dyDescent="0.2">
      <c r="B473" s="18">
        <f>ROWS(B$10:B473)-1</f>
        <v>463</v>
      </c>
      <c r="C473" s="19">
        <f t="shared" si="45"/>
        <v>17.807692307692307</v>
      </c>
      <c r="D473" s="20">
        <f>-PMT(J473,COUNT(B473:$B$530),G472)</f>
        <v>15004.489946645872</v>
      </c>
      <c r="E473" s="20">
        <f t="shared" si="46"/>
        <v>899.02250845951073</v>
      </c>
      <c r="F473" s="21">
        <f t="shared" si="47"/>
        <v>14105.467438186361</v>
      </c>
      <c r="G473" s="21">
        <f t="shared" si="44"/>
        <v>828565.40081446001</v>
      </c>
      <c r="H473" s="22">
        <f t="shared" si="43"/>
        <v>1.0658607692307694E-3</v>
      </c>
      <c r="I473" s="23">
        <v>0</v>
      </c>
      <c r="J473" s="24">
        <f t="shared" si="48"/>
        <v>1.0658607692307694E-3</v>
      </c>
      <c r="K473" s="25">
        <v>800</v>
      </c>
    </row>
    <row r="474" spans="2:11" ht="20" customHeight="1" x14ac:dyDescent="0.2">
      <c r="B474" s="18">
        <f>ROWS(B$10:B474)-1</f>
        <v>464</v>
      </c>
      <c r="C474" s="19">
        <f t="shared" si="45"/>
        <v>17.846153846153847</v>
      </c>
      <c r="D474" s="20">
        <f>-PMT(J474,COUNT(B474:$B$530),G473)</f>
        <v>14990.016721761485</v>
      </c>
      <c r="E474" s="20">
        <f t="shared" si="46"/>
        <v>883.1353554701011</v>
      </c>
      <c r="F474" s="21">
        <f t="shared" si="47"/>
        <v>14106.881366291384</v>
      </c>
      <c r="G474" s="21">
        <f t="shared" si="44"/>
        <v>813658.51944816858</v>
      </c>
      <c r="H474" s="22">
        <f t="shared" si="43"/>
        <v>1.0658607692307694E-3</v>
      </c>
      <c r="I474" s="23">
        <v>0</v>
      </c>
      <c r="J474" s="24">
        <f t="shared" si="48"/>
        <v>1.0658607692307694E-3</v>
      </c>
      <c r="K474" s="25">
        <v>800</v>
      </c>
    </row>
    <row r="475" spans="2:11" ht="20" customHeight="1" x14ac:dyDescent="0.2">
      <c r="B475" s="18">
        <f>ROWS(B$10:B475)-1</f>
        <v>465</v>
      </c>
      <c r="C475" s="19">
        <f t="shared" si="45"/>
        <v>17.884615384615383</v>
      </c>
      <c r="D475" s="20">
        <f>-PMT(J475,COUNT(B475:$B$530),G474)</f>
        <v>14975.292812451118</v>
      </c>
      <c r="E475" s="20">
        <f t="shared" si="46"/>
        <v>867.24669543019388</v>
      </c>
      <c r="F475" s="21">
        <f t="shared" si="47"/>
        <v>14108.046117020924</v>
      </c>
      <c r="G475" s="21">
        <f t="shared" si="44"/>
        <v>798750.47333114769</v>
      </c>
      <c r="H475" s="22">
        <f t="shared" si="43"/>
        <v>1.0658607692307694E-3</v>
      </c>
      <c r="I475" s="23">
        <v>0</v>
      </c>
      <c r="J475" s="24">
        <f t="shared" si="48"/>
        <v>1.0658607692307694E-3</v>
      </c>
      <c r="K475" s="25">
        <v>800</v>
      </c>
    </row>
    <row r="476" spans="2:11" ht="20" customHeight="1" x14ac:dyDescent="0.2">
      <c r="B476" s="18">
        <f>ROWS(B$10:B476)-1</f>
        <v>466</v>
      </c>
      <c r="C476" s="19">
        <f t="shared" si="45"/>
        <v>17.923076923076923</v>
      </c>
      <c r="D476" s="20">
        <f>-PMT(J476,COUNT(B476:$B$530),G475)</f>
        <v>14960.30910016583</v>
      </c>
      <c r="E476" s="20">
        <f t="shared" si="46"/>
        <v>851.35679392817826</v>
      </c>
      <c r="F476" s="21">
        <f t="shared" si="47"/>
        <v>14108.952306237652</v>
      </c>
      <c r="G476" s="21">
        <f t="shared" si="44"/>
        <v>783841.52102491003</v>
      </c>
      <c r="H476" s="22">
        <f t="shared" si="43"/>
        <v>1.0658607692307694E-3</v>
      </c>
      <c r="I476" s="23">
        <v>0</v>
      </c>
      <c r="J476" s="24">
        <f t="shared" si="48"/>
        <v>1.0658607692307694E-3</v>
      </c>
      <c r="K476" s="25">
        <v>800</v>
      </c>
    </row>
    <row r="477" spans="2:11" ht="20" customHeight="1" x14ac:dyDescent="0.2">
      <c r="B477" s="18">
        <f>ROWS(B$10:B477)-1</f>
        <v>467</v>
      </c>
      <c r="C477" s="19">
        <f t="shared" si="45"/>
        <v>17.96153846153846</v>
      </c>
      <c r="D477" s="20">
        <f>-PMT(J477,COUNT(B477:$B$530),G476)</f>
        <v>14945.055959770583</v>
      </c>
      <c r="E477" s="20">
        <f t="shared" si="46"/>
        <v>835.46592655462689</v>
      </c>
      <c r="F477" s="21">
        <f t="shared" si="47"/>
        <v>14109.590033215956</v>
      </c>
      <c r="G477" s="21">
        <f t="shared" si="44"/>
        <v>768931.9309916941</v>
      </c>
      <c r="H477" s="22">
        <f t="shared" si="43"/>
        <v>1.0658607692307694E-3</v>
      </c>
      <c r="I477" s="23">
        <v>0</v>
      </c>
      <c r="J477" s="24">
        <f t="shared" si="48"/>
        <v>1.0658607692307694E-3</v>
      </c>
      <c r="K477" s="25">
        <v>800</v>
      </c>
    </row>
    <row r="478" spans="2:11" ht="20" customHeight="1" x14ac:dyDescent="0.2">
      <c r="B478" s="18">
        <f>ROWS(B$10:B478)-1</f>
        <v>468</v>
      </c>
      <c r="C478" s="19">
        <f t="shared" si="45"/>
        <v>18</v>
      </c>
      <c r="D478" s="20">
        <f>-PMT(J478,COUNT(B478:$B$530),G477)</f>
        <v>14929.523221311349</v>
      </c>
      <c r="E478" s="20">
        <f t="shared" si="46"/>
        <v>819.57437945290803</v>
      </c>
      <c r="F478" s="21">
        <f t="shared" si="47"/>
        <v>14109.948841858441</v>
      </c>
      <c r="G478" s="21">
        <f t="shared" si="44"/>
        <v>754021.98214983568</v>
      </c>
      <c r="H478" s="22">
        <f t="shared" si="43"/>
        <v>1.0658607692307694E-3</v>
      </c>
      <c r="I478" s="23">
        <v>0</v>
      </c>
      <c r="J478" s="24">
        <f t="shared" si="48"/>
        <v>1.0658607692307694E-3</v>
      </c>
      <c r="K478" s="25">
        <v>800</v>
      </c>
    </row>
    <row r="479" spans="2:11" ht="20" customHeight="1" x14ac:dyDescent="0.2">
      <c r="B479" s="18">
        <f>ROWS(B$10:B479)-1</f>
        <v>469</v>
      </c>
      <c r="C479" s="19">
        <f t="shared" si="45"/>
        <v>18.03846153846154</v>
      </c>
      <c r="D479" s="20">
        <f>-PMT(J479,COUNT(B479:$B$530),G478)</f>
        <v>14913.700128105938</v>
      </c>
      <c r="E479" s="20">
        <f t="shared" si="46"/>
        <v>803.6824499111334</v>
      </c>
      <c r="F479" s="21">
        <f t="shared" si="47"/>
        <v>14110.017678194805</v>
      </c>
      <c r="G479" s="21">
        <f t="shared" si="44"/>
        <v>739111.96447164088</v>
      </c>
      <c r="H479" s="22">
        <f t="shared" si="43"/>
        <v>1.0658607692307694E-3</v>
      </c>
      <c r="I479" s="23">
        <v>0</v>
      </c>
      <c r="J479" s="24">
        <f t="shared" si="48"/>
        <v>1.0658607692307694E-3</v>
      </c>
      <c r="K479" s="25">
        <v>800</v>
      </c>
    </row>
    <row r="480" spans="2:11" ht="20" customHeight="1" x14ac:dyDescent="0.2">
      <c r="B480" s="18">
        <f>ROWS(B$10:B480)-1</f>
        <v>470</v>
      </c>
      <c r="C480" s="19">
        <f t="shared" si="45"/>
        <v>18.076923076923077</v>
      </c>
      <c r="D480" s="20">
        <f>-PMT(J480,COUNT(B480:$B$530),G479)</f>
        <v>14897.575290726123</v>
      </c>
      <c r="E480" s="20">
        <f t="shared" si="46"/>
        <v>787.79044699940823</v>
      </c>
      <c r="F480" s="21">
        <f t="shared" si="47"/>
        <v>14109.784843726715</v>
      </c>
      <c r="G480" s="21">
        <f t="shared" si="44"/>
        <v>724202.17962791421</v>
      </c>
      <c r="H480" s="22">
        <f t="shared" si="43"/>
        <v>1.0658607692307694E-3</v>
      </c>
      <c r="I480" s="23">
        <v>0</v>
      </c>
      <c r="J480" s="24">
        <f t="shared" si="48"/>
        <v>1.0658607692307694E-3</v>
      </c>
      <c r="K480" s="25">
        <v>800</v>
      </c>
    </row>
    <row r="481" spans="2:11" ht="20" customHeight="1" x14ac:dyDescent="0.2">
      <c r="B481" s="18">
        <f>ROWS(B$10:B481)-1</f>
        <v>471</v>
      </c>
      <c r="C481" s="19">
        <f t="shared" si="45"/>
        <v>18.115384615384617</v>
      </c>
      <c r="D481" s="20">
        <f>-PMT(J481,COUNT(B481:$B$530),G480)</f>
        <v>14881.136636377943</v>
      </c>
      <c r="E481" s="20">
        <f t="shared" si="46"/>
        <v>771.89869225680854</v>
      </c>
      <c r="F481" s="21">
        <f t="shared" si="47"/>
        <v>14109.237944121134</v>
      </c>
      <c r="G481" s="21">
        <f t="shared" si="44"/>
        <v>709292.94168379309</v>
      </c>
      <c r="H481" s="22">
        <f t="shared" si="43"/>
        <v>1.0658607692307694E-3</v>
      </c>
      <c r="I481" s="23">
        <v>0</v>
      </c>
      <c r="J481" s="24">
        <f t="shared" si="48"/>
        <v>1.0658607692307694E-3</v>
      </c>
      <c r="K481" s="25">
        <v>800</v>
      </c>
    </row>
    <row r="482" spans="2:11" ht="20" customHeight="1" x14ac:dyDescent="0.2">
      <c r="B482" s="18">
        <f>ROWS(B$10:B482)-1</f>
        <v>472</v>
      </c>
      <c r="C482" s="19">
        <f t="shared" si="45"/>
        <v>18.153846153846153</v>
      </c>
      <c r="D482" s="20">
        <f>-PMT(J482,COUNT(B482:$B$530),G481)</f>
        <v>14864.371353116752</v>
      </c>
      <c r="E482" s="20">
        <f t="shared" si="46"/>
        <v>756.00752043304294</v>
      </c>
      <c r="F482" s="21">
        <f t="shared" si="47"/>
        <v>14108.36383268371</v>
      </c>
      <c r="G482" s="21">
        <f t="shared" si="44"/>
        <v>694384.57785110944</v>
      </c>
      <c r="H482" s="22">
        <f t="shared" si="43"/>
        <v>1.0658607692307694E-3</v>
      </c>
      <c r="I482" s="23">
        <v>0</v>
      </c>
      <c r="J482" s="24">
        <f t="shared" si="48"/>
        <v>1.0658607692307694E-3</v>
      </c>
      <c r="K482" s="25">
        <v>800</v>
      </c>
    </row>
    <row r="483" spans="2:11" ht="20" customHeight="1" x14ac:dyDescent="0.2">
      <c r="B483" s="18">
        <f>ROWS(B$10:B483)-1</f>
        <v>473</v>
      </c>
      <c r="C483" s="19">
        <f t="shared" si="45"/>
        <v>18.192307692307693</v>
      </c>
      <c r="D483" s="20">
        <f>-PMT(J483,COUNT(B483:$B$530),G482)</f>
        <v>14847.265828251324</v>
      </c>
      <c r="E483" s="20">
        <f t="shared" si="46"/>
        <v>740.11728029036658</v>
      </c>
      <c r="F483" s="21">
        <f t="shared" si="47"/>
        <v>14107.148547960958</v>
      </c>
      <c r="G483" s="21">
        <f t="shared" si="44"/>
        <v>679477.42930314853</v>
      </c>
      <c r="H483" s="22">
        <f t="shared" si="43"/>
        <v>1.0658607692307694E-3</v>
      </c>
      <c r="I483" s="23">
        <v>0</v>
      </c>
      <c r="J483" s="24">
        <f t="shared" si="48"/>
        <v>1.0658607692307694E-3</v>
      </c>
      <c r="K483" s="25">
        <v>800</v>
      </c>
    </row>
    <row r="484" spans="2:11" ht="20" customHeight="1" x14ac:dyDescent="0.2">
      <c r="B484" s="18">
        <f>ROWS(B$10:B484)-1</f>
        <v>474</v>
      </c>
      <c r="C484" s="19">
        <f t="shared" si="45"/>
        <v>18.23076923076923</v>
      </c>
      <c r="D484" s="20">
        <f>-PMT(J484,COUNT(B484:$B$530),G483)</f>
        <v>14829.805580195227</v>
      </c>
      <c r="E484" s="20">
        <f t="shared" ref="E484:E490" si="49">G483*J484</f>
        <v>724.22833547199969</v>
      </c>
      <c r="F484" s="21">
        <f t="shared" si="47"/>
        <v>14105.577244723227</v>
      </c>
      <c r="G484" s="21">
        <f t="shared" ref="G484:G490" si="50">G483-F484-K484</f>
        <v>664571.85205842531</v>
      </c>
      <c r="H484" s="22">
        <f t="shared" si="43"/>
        <v>1.0658607692307694E-3</v>
      </c>
      <c r="I484" s="23">
        <v>0</v>
      </c>
      <c r="J484" s="24">
        <f t="shared" si="48"/>
        <v>1.0658607692307694E-3</v>
      </c>
      <c r="K484" s="25">
        <v>800</v>
      </c>
    </row>
    <row r="485" spans="2:11" ht="20" customHeight="1" x14ac:dyDescent="0.2">
      <c r="B485" s="18">
        <f>ROWS(B$10:B485)-1</f>
        <v>475</v>
      </c>
      <c r="C485" s="19">
        <f t="shared" si="45"/>
        <v>18.26923076923077</v>
      </c>
      <c r="D485" s="20">
        <f>-PMT(J485,COUNT(B485:$B$530),G484)</f>
        <v>14811.975182910683</v>
      </c>
      <c r="E485" s="20">
        <f t="shared" si="49"/>
        <v>708.34106544411031</v>
      </c>
      <c r="F485" s="21">
        <f t="shared" si="47"/>
        <v>14103.634117466572</v>
      </c>
      <c r="G485" s="21">
        <f t="shared" si="50"/>
        <v>649668.21794095868</v>
      </c>
      <c r="H485" s="22">
        <f t="shared" si="43"/>
        <v>1.0658607692307694E-3</v>
      </c>
      <c r="I485" s="23">
        <v>0</v>
      </c>
      <c r="J485" s="24">
        <f t="shared" si="48"/>
        <v>1.0658607692307694E-3</v>
      </c>
      <c r="K485" s="25">
        <v>800</v>
      </c>
    </row>
    <row r="486" spans="2:11" ht="20" customHeight="1" x14ac:dyDescent="0.2">
      <c r="B486" s="18">
        <f>ROWS(B$10:B486)-1</f>
        <v>476</v>
      </c>
      <c r="C486" s="19">
        <f t="shared" si="45"/>
        <v>18.307692307692307</v>
      </c>
      <c r="D486" s="20">
        <f>-PMT(J486,COUNT(B486:$B$530),G485)</f>
        <v>14793.758181957368</v>
      </c>
      <c r="E486" s="20">
        <f t="shared" si="49"/>
        <v>692.45586651933343</v>
      </c>
      <c r="F486" s="21">
        <f t="shared" si="47"/>
        <v>14101.302315438035</v>
      </c>
      <c r="G486" s="21">
        <f t="shared" si="50"/>
        <v>634766.91562552063</v>
      </c>
      <c r="H486" s="22">
        <f t="shared" si="43"/>
        <v>1.0658607692307694E-3</v>
      </c>
      <c r="I486" s="23">
        <v>0</v>
      </c>
      <c r="J486" s="24">
        <f t="shared" si="48"/>
        <v>1.0658607692307694E-3</v>
      </c>
      <c r="K486" s="25">
        <v>800</v>
      </c>
    </row>
    <row r="487" spans="2:11" ht="20" customHeight="1" x14ac:dyDescent="0.2">
      <c r="B487" s="18">
        <f>ROWS(B$10:B487)-1</f>
        <v>477</v>
      </c>
      <c r="C487" s="19">
        <f t="shared" si="45"/>
        <v>18.346153846153847</v>
      </c>
      <c r="D487" s="20">
        <f>-PMT(J487,COUNT(B487:$B$530),G486)</f>
        <v>14775.137001001278</v>
      </c>
      <c r="E487" s="20">
        <f t="shared" si="49"/>
        <v>676.57315297086029</v>
      </c>
      <c r="F487" s="21">
        <f t="shared" si="47"/>
        <v>14098.563848030417</v>
      </c>
      <c r="G487" s="21">
        <f t="shared" si="50"/>
        <v>619868.35177749023</v>
      </c>
      <c r="H487" s="22">
        <f t="shared" si="43"/>
        <v>1.0658607692307694E-3</v>
      </c>
      <c r="I487" s="23">
        <v>0</v>
      </c>
      <c r="J487" s="24">
        <f t="shared" si="48"/>
        <v>1.0658607692307694E-3</v>
      </c>
      <c r="K487" s="25">
        <v>800</v>
      </c>
    </row>
    <row r="488" spans="2:11" ht="20" customHeight="1" x14ac:dyDescent="0.2">
      <c r="B488" s="18">
        <f>ROWS(B$10:B488)-1</f>
        <v>478</v>
      </c>
      <c r="C488" s="19">
        <f t="shared" si="45"/>
        <v>18.384615384615383</v>
      </c>
      <c r="D488" s="20">
        <f>-PMT(J488,COUNT(B488:$B$530),G487)</f>
        <v>14756.092837452501</v>
      </c>
      <c r="E488" s="20">
        <f t="shared" si="49"/>
        <v>660.69335824736493</v>
      </c>
      <c r="F488" s="21">
        <f t="shared" si="47"/>
        <v>14095.399479205136</v>
      </c>
      <c r="G488" s="21">
        <f t="shared" si="50"/>
        <v>604972.95229828509</v>
      </c>
      <c r="H488" s="22">
        <f t="shared" ref="H488:H530" si="51">J487</f>
        <v>1.0658607692307694E-3</v>
      </c>
      <c r="I488" s="23">
        <v>0</v>
      </c>
      <c r="J488" s="24">
        <f t="shared" si="48"/>
        <v>1.0658607692307694E-3</v>
      </c>
      <c r="K488" s="25">
        <v>800</v>
      </c>
    </row>
    <row r="489" spans="2:11" ht="20" customHeight="1" x14ac:dyDescent="0.2">
      <c r="B489" s="18">
        <f>ROWS(B$10:B489)-1</f>
        <v>479</v>
      </c>
      <c r="C489" s="19">
        <f t="shared" si="45"/>
        <v>18.423076923076923</v>
      </c>
      <c r="D489" s="20">
        <f>-PMT(J489,COUNT(B489:$B$530),G488)</f>
        <v>14736.605545678947</v>
      </c>
      <c r="E489" s="20">
        <f t="shared" si="49"/>
        <v>644.8169363004597</v>
      </c>
      <c r="F489" s="21">
        <f t="shared" si="47"/>
        <v>14091.788609378487</v>
      </c>
      <c r="G489" s="21">
        <f t="shared" si="50"/>
        <v>590081.16368890658</v>
      </c>
      <c r="H489" s="22">
        <f t="shared" si="51"/>
        <v>1.0658607692307694E-3</v>
      </c>
      <c r="I489" s="23">
        <v>0</v>
      </c>
      <c r="J489" s="24">
        <f t="shared" si="48"/>
        <v>1.0658607692307694E-3</v>
      </c>
      <c r="K489" s="25">
        <v>800</v>
      </c>
    </row>
    <row r="490" spans="2:11" ht="20" customHeight="1" x14ac:dyDescent="0.2">
      <c r="B490" s="18">
        <f>ROWS(B$10:B490)-1</f>
        <v>480</v>
      </c>
      <c r="C490" s="19">
        <f t="shared" si="45"/>
        <v>18.46153846153846</v>
      </c>
      <c r="D490" s="20">
        <f>-PMT(J490,COUNT(B490:$B$530),G489)</f>
        <v>14716.653505977865</v>
      </c>
      <c r="E490" s="20">
        <f t="shared" si="49"/>
        <v>628.94436303804559</v>
      </c>
      <c r="F490" s="21">
        <f t="shared" si="47"/>
        <v>14087.709142939821</v>
      </c>
      <c r="G490" s="21">
        <f t="shared" si="50"/>
        <v>575193.45454596682</v>
      </c>
      <c r="H490" s="22">
        <f t="shared" si="51"/>
        <v>1.0658607692307694E-3</v>
      </c>
      <c r="I490" s="23">
        <v>0</v>
      </c>
      <c r="J490" s="24">
        <f t="shared" si="48"/>
        <v>1.0658607692307694E-3</v>
      </c>
      <c r="K490" s="25">
        <v>800</v>
      </c>
    </row>
    <row r="491" spans="2:11" ht="20" customHeight="1" x14ac:dyDescent="0.2">
      <c r="B491" s="18">
        <f>ROWS(B$10:B491)-1</f>
        <v>481</v>
      </c>
      <c r="C491" s="19">
        <f t="shared" si="45"/>
        <v>18.5</v>
      </c>
      <c r="D491" s="20">
        <f>-PMT(J491,COUNT(B491:$B$530),G490)</f>
        <v>14696.213477168749</v>
      </c>
      <c r="E491" s="20">
        <f t="shared" ref="E491:E528" si="52">G490*J491</f>
        <v>613.07613791886786</v>
      </c>
      <c r="F491" s="21">
        <f t="shared" si="47"/>
        <v>14083.137339249881</v>
      </c>
      <c r="G491" s="21">
        <f t="shared" ref="G491:G528" si="53">G490-F491-K491</f>
        <v>560310.31720671698</v>
      </c>
      <c r="H491" s="22">
        <f t="shared" si="51"/>
        <v>1.0658607692307694E-3</v>
      </c>
      <c r="I491" s="23">
        <v>0</v>
      </c>
      <c r="J491" s="24">
        <f t="shared" si="48"/>
        <v>1.0658607692307694E-3</v>
      </c>
      <c r="K491" s="25">
        <v>800</v>
      </c>
    </row>
    <row r="492" spans="2:11" ht="20" customHeight="1" x14ac:dyDescent="0.2">
      <c r="B492" s="18">
        <f>ROWS(B$10:B492)-1</f>
        <v>482</v>
      </c>
      <c r="C492" s="19">
        <f t="shared" si="45"/>
        <v>18.53846153846154</v>
      </c>
      <c r="D492" s="20">
        <f>-PMT(J492,COUNT(B492:$B$530),G491)</f>
        <v>14675.260430287948</v>
      </c>
      <c r="E492" s="20">
        <f t="shared" si="52"/>
        <v>597.21278570588777</v>
      </c>
      <c r="F492" s="21">
        <f t="shared" si="47"/>
        <v>14078.04764458206</v>
      </c>
      <c r="G492" s="21">
        <f t="shared" si="53"/>
        <v>545432.26956213487</v>
      </c>
      <c r="H492" s="22">
        <f t="shared" si="51"/>
        <v>1.0658607692307694E-3</v>
      </c>
      <c r="I492" s="23">
        <v>0</v>
      </c>
      <c r="J492" s="24">
        <f t="shared" si="48"/>
        <v>1.0658607692307694E-3</v>
      </c>
      <c r="K492" s="25">
        <v>800</v>
      </c>
    </row>
    <row r="493" spans="2:11" ht="20" customHeight="1" x14ac:dyDescent="0.2">
      <c r="B493" s="18">
        <f>ROWS(B$10:B493)-1</f>
        <v>483</v>
      </c>
      <c r="C493" s="19">
        <f t="shared" si="45"/>
        <v>18.576923076923077</v>
      </c>
      <c r="D493" s="20">
        <f>-PMT(J493,COUNT(B493:$B$530),G492)</f>
        <v>14653.767360400952</v>
      </c>
      <c r="E493" s="20">
        <f t="shared" si="52"/>
        <v>581.3548583987814</v>
      </c>
      <c r="F493" s="21">
        <f t="shared" si="47"/>
        <v>14072.412502002171</v>
      </c>
      <c r="G493" s="21">
        <f t="shared" si="53"/>
        <v>530559.85706013266</v>
      </c>
      <c r="H493" s="22">
        <f t="shared" si="51"/>
        <v>1.0658607692307694E-3</v>
      </c>
      <c r="I493" s="23">
        <v>0</v>
      </c>
      <c r="J493" s="24">
        <f t="shared" si="48"/>
        <v>1.0658607692307694E-3</v>
      </c>
      <c r="K493" s="25">
        <v>800</v>
      </c>
    </row>
    <row r="494" spans="2:11" ht="20" customHeight="1" x14ac:dyDescent="0.2">
      <c r="B494" s="18">
        <f>ROWS(B$10:B494)-1</f>
        <v>484</v>
      </c>
      <c r="C494" s="19">
        <f t="shared" si="45"/>
        <v>18.615384615384617</v>
      </c>
      <c r="D494" s="20">
        <f>-PMT(J494,COUNT(B494:$B$530),G493)</f>
        <v>14631.705072983945</v>
      </c>
      <c r="E494" s="20">
        <f t="shared" si="52"/>
        <v>565.50293736908009</v>
      </c>
      <c r="F494" s="21">
        <f t="shared" si="47"/>
        <v>14066.202135614865</v>
      </c>
      <c r="G494" s="21">
        <f t="shared" si="53"/>
        <v>515693.65492451779</v>
      </c>
      <c r="H494" s="22">
        <f t="shared" si="51"/>
        <v>1.0658607692307694E-3</v>
      </c>
      <c r="I494" s="23">
        <v>0</v>
      </c>
      <c r="J494" s="24">
        <f t="shared" si="48"/>
        <v>1.0658607692307694E-3</v>
      </c>
      <c r="K494" s="25">
        <v>800</v>
      </c>
    </row>
    <row r="495" spans="2:11" ht="20" customHeight="1" x14ac:dyDescent="0.2">
      <c r="B495" s="18">
        <f>ROWS(B$10:B495)-1</f>
        <v>485</v>
      </c>
      <c r="C495" s="19">
        <f t="shared" si="45"/>
        <v>18.653846153846153</v>
      </c>
      <c r="D495" s="20">
        <f>-PMT(J495,COUNT(B495:$B$530),G494)</f>
        <v>14609.041940636078</v>
      </c>
      <c r="E495" s="20">
        <f t="shared" si="52"/>
        <v>549.65763572527351</v>
      </c>
      <c r="F495" s="21">
        <f t="shared" si="47"/>
        <v>14059.384304910804</v>
      </c>
      <c r="G495" s="21">
        <f t="shared" si="53"/>
        <v>500834.27061960701</v>
      </c>
      <c r="H495" s="22">
        <f t="shared" si="51"/>
        <v>1.0658607692307694E-3</v>
      </c>
      <c r="I495" s="23">
        <v>0</v>
      </c>
      <c r="J495" s="24">
        <f t="shared" si="48"/>
        <v>1.0658607692307694E-3</v>
      </c>
      <c r="K495" s="25">
        <v>800</v>
      </c>
    </row>
    <row r="496" spans="2:11" ht="20" customHeight="1" x14ac:dyDescent="0.2">
      <c r="B496" s="18">
        <f>ROWS(B$10:B496)-1</f>
        <v>486</v>
      </c>
      <c r="C496" s="19">
        <f t="shared" si="45"/>
        <v>18.692307692307693</v>
      </c>
      <c r="D496" s="20">
        <f>-PMT(J496,COUNT(B496:$B$530),G495)</f>
        <v>14585.743625036403</v>
      </c>
      <c r="E496" s="20">
        <f t="shared" si="52"/>
        <v>533.81960093974567</v>
      </c>
      <c r="F496" s="21">
        <f t="shared" si="47"/>
        <v>14051.924024096657</v>
      </c>
      <c r="G496" s="21">
        <f t="shared" si="53"/>
        <v>485982.34659551037</v>
      </c>
      <c r="H496" s="22">
        <f t="shared" si="51"/>
        <v>1.0658607692307694E-3</v>
      </c>
      <c r="I496" s="23">
        <v>0</v>
      </c>
      <c r="J496" s="24">
        <f t="shared" si="48"/>
        <v>1.0658607692307694E-3</v>
      </c>
      <c r="K496" s="25">
        <v>800</v>
      </c>
    </row>
    <row r="497" spans="2:11" ht="20" customHeight="1" x14ac:dyDescent="0.2">
      <c r="B497" s="18">
        <f>ROWS(B$10:B497)-1</f>
        <v>487</v>
      </c>
      <c r="C497" s="19">
        <f t="shared" si="45"/>
        <v>18.73076923076923</v>
      </c>
      <c r="D497" s="20">
        <f>-PMT(J497,COUNT(B497:$B$530),G496)</f>
        <v>14561.772758012079</v>
      </c>
      <c r="E497" s="20">
        <f t="shared" si="52"/>
        <v>517.98951777486513</v>
      </c>
      <c r="F497" s="21">
        <f t="shared" si="47"/>
        <v>14043.783240237213</v>
      </c>
      <c r="G497" s="21">
        <f t="shared" si="53"/>
        <v>471138.56335527316</v>
      </c>
      <c r="H497" s="22">
        <f t="shared" si="51"/>
        <v>1.0658607692307694E-3</v>
      </c>
      <c r="I497" s="23">
        <v>0</v>
      </c>
      <c r="J497" s="24">
        <f t="shared" si="48"/>
        <v>1.0658607692307694E-3</v>
      </c>
      <c r="K497" s="25">
        <v>800</v>
      </c>
    </row>
    <row r="498" spans="2:11" ht="20" customHeight="1" x14ac:dyDescent="0.2">
      <c r="B498" s="18">
        <f>ROWS(B$10:B498)-1</f>
        <v>488</v>
      </c>
      <c r="C498" s="19">
        <f t="shared" si="45"/>
        <v>18.76923076923077</v>
      </c>
      <c r="D498" s="20">
        <f>-PMT(J498,COUNT(B498:$B$530),G497)</f>
        <v>14537.088574283614</v>
      </c>
      <c r="E498" s="20">
        <f t="shared" si="52"/>
        <v>502.16811155213105</v>
      </c>
      <c r="F498" s="21">
        <f t="shared" si="47"/>
        <v>14034.920462731483</v>
      </c>
      <c r="G498" s="21">
        <f t="shared" si="53"/>
        <v>456303.64289254165</v>
      </c>
      <c r="H498" s="22">
        <f t="shared" si="51"/>
        <v>1.0658607692307694E-3</v>
      </c>
      <c r="I498" s="23">
        <v>0</v>
      </c>
      <c r="J498" s="24">
        <f t="shared" si="48"/>
        <v>1.0658607692307694E-3</v>
      </c>
      <c r="K498" s="25">
        <v>800</v>
      </c>
    </row>
    <row r="499" spans="2:11" ht="20" customHeight="1" x14ac:dyDescent="0.2">
      <c r="B499" s="18">
        <f>ROWS(B$10:B499)-1</f>
        <v>489</v>
      </c>
      <c r="C499" s="19">
        <f t="shared" si="45"/>
        <v>18.807692307692307</v>
      </c>
      <c r="D499" s="20">
        <f>-PMT(J499,COUNT(B499:$B$530),G498)</f>
        <v>14511.646486826525</v>
      </c>
      <c r="E499" s="20">
        <f t="shared" si="52"/>
        <v>486.35615181624678</v>
      </c>
      <c r="F499" s="21">
        <f t="shared" si="47"/>
        <v>14025.290335010279</v>
      </c>
      <c r="G499" s="21">
        <f t="shared" si="53"/>
        <v>441478.35255753138</v>
      </c>
      <c r="H499" s="22">
        <f t="shared" si="51"/>
        <v>1.0658607692307694E-3</v>
      </c>
      <c r="I499" s="23">
        <v>0</v>
      </c>
      <c r="J499" s="24">
        <f t="shared" si="48"/>
        <v>1.0658607692307694E-3</v>
      </c>
      <c r="K499" s="25">
        <v>800</v>
      </c>
    </row>
    <row r="500" spans="2:11" ht="20" customHeight="1" x14ac:dyDescent="0.2">
      <c r="B500" s="18">
        <f>ROWS(B$10:B500)-1</f>
        <v>490</v>
      </c>
      <c r="C500" s="19">
        <f t="shared" si="45"/>
        <v>18.846153846153847</v>
      </c>
      <c r="D500" s="20">
        <f>-PMT(J500,COUNT(B500:$B$530),G499)</f>
        <v>14485.397593742948</v>
      </c>
      <c r="E500" s="20">
        <f t="shared" si="52"/>
        <v>470.55445645570325</v>
      </c>
      <c r="F500" s="21">
        <f t="shared" si="47"/>
        <v>14014.843137287244</v>
      </c>
      <c r="G500" s="21">
        <f t="shared" si="53"/>
        <v>426663.50942024414</v>
      </c>
      <c r="H500" s="22">
        <f t="shared" si="51"/>
        <v>1.0658607692307694E-3</v>
      </c>
      <c r="I500" s="23">
        <v>0</v>
      </c>
      <c r="J500" s="24">
        <f t="shared" si="48"/>
        <v>1.0658607692307694E-3</v>
      </c>
      <c r="K500" s="25">
        <v>800</v>
      </c>
    </row>
    <row r="501" spans="2:11" ht="20" customHeight="1" x14ac:dyDescent="0.2">
      <c r="B501" s="18">
        <f>ROWS(B$10:B501)-1</f>
        <v>491</v>
      </c>
      <c r="C501" s="19">
        <f t="shared" si="45"/>
        <v>18.884615384615383</v>
      </c>
      <c r="D501" s="20">
        <f>-PMT(J501,COUNT(B501:$B$530),G500)</f>
        <v>14458.288102945216</v>
      </c>
      <c r="E501" s="20">
        <f t="shared" si="52"/>
        <v>454.76389635336108</v>
      </c>
      <c r="F501" s="21">
        <f t="shared" si="47"/>
        <v>14003.524206591856</v>
      </c>
      <c r="G501" s="21">
        <f t="shared" si="53"/>
        <v>411859.98521365231</v>
      </c>
      <c r="H501" s="22">
        <f t="shared" si="51"/>
        <v>1.0658607692307694E-3</v>
      </c>
      <c r="I501" s="23">
        <v>0</v>
      </c>
      <c r="J501" s="24">
        <f t="shared" si="48"/>
        <v>1.0658607692307694E-3</v>
      </c>
      <c r="K501" s="25">
        <v>800</v>
      </c>
    </row>
    <row r="502" spans="2:11" ht="20" customHeight="1" x14ac:dyDescent="0.2">
      <c r="B502" s="18">
        <f>ROWS(B$10:B502)-1</f>
        <v>492</v>
      </c>
      <c r="C502" s="19">
        <f t="shared" si="45"/>
        <v>18.923076923076923</v>
      </c>
      <c r="D502" s="20">
        <f>-PMT(J502,COUNT(B502:$B$530),G501)</f>
        <v>14430.258657646889</v>
      </c>
      <c r="E502" s="20">
        <f t="shared" si="52"/>
        <v>438.98540065519677</v>
      </c>
      <c r="F502" s="21">
        <f t="shared" si="47"/>
        <v>13991.273256991693</v>
      </c>
      <c r="G502" s="21">
        <f t="shared" si="53"/>
        <v>397068.71195666061</v>
      </c>
      <c r="H502" s="22">
        <f t="shared" si="51"/>
        <v>1.0658607692307694E-3</v>
      </c>
      <c r="I502" s="23">
        <v>0</v>
      </c>
      <c r="J502" s="24">
        <f t="shared" si="48"/>
        <v>1.0658607692307694E-3</v>
      </c>
      <c r="K502" s="25">
        <v>800</v>
      </c>
    </row>
    <row r="503" spans="2:11" ht="20" customHeight="1" x14ac:dyDescent="0.2">
      <c r="B503" s="18">
        <f>ROWS(B$10:B503)-1</f>
        <v>493</v>
      </c>
      <c r="C503" s="19">
        <f t="shared" si="45"/>
        <v>18.96153846153846</v>
      </c>
      <c r="D503" s="20">
        <f>-PMT(J503,COUNT(B503:$B$530),G502)</f>
        <v>14401.243541405791</v>
      </c>
      <c r="E503" s="20">
        <f t="shared" si="52"/>
        <v>423.2199627635971</v>
      </c>
      <c r="F503" s="21">
        <f t="shared" si="47"/>
        <v>13978.023578642194</v>
      </c>
      <c r="G503" s="21">
        <f t="shared" si="53"/>
        <v>382290.68837801844</v>
      </c>
      <c r="H503" s="22">
        <f t="shared" si="51"/>
        <v>1.0658607692307694E-3</v>
      </c>
      <c r="I503" s="23">
        <v>0</v>
      </c>
      <c r="J503" s="24">
        <f t="shared" si="48"/>
        <v>1.0658607692307694E-3</v>
      </c>
      <c r="K503" s="25">
        <v>800</v>
      </c>
    </row>
    <row r="504" spans="2:11" ht="20" customHeight="1" x14ac:dyDescent="0.2">
      <c r="B504" s="18">
        <f>ROWS(B$10:B504)-1</f>
        <v>494</v>
      </c>
      <c r="C504" s="19">
        <f t="shared" si="45"/>
        <v>19</v>
      </c>
      <c r="D504" s="20">
        <f>-PMT(J504,COUNT(B504:$B$530),G503)</f>
        <v>14371.169735952823</v>
      </c>
      <c r="E504" s="20">
        <f t="shared" si="52"/>
        <v>407.46864718435512</v>
      </c>
      <c r="F504" s="21">
        <f t="shared" si="47"/>
        <v>13963.701088768468</v>
      </c>
      <c r="G504" s="21">
        <f t="shared" si="53"/>
        <v>367526.98728924996</v>
      </c>
      <c r="H504" s="22">
        <f t="shared" si="51"/>
        <v>1.0658607692307694E-3</v>
      </c>
      <c r="I504" s="23">
        <v>0</v>
      </c>
      <c r="J504" s="24">
        <f t="shared" si="48"/>
        <v>1.0658607692307694E-3</v>
      </c>
      <c r="K504" s="25">
        <v>800</v>
      </c>
    </row>
    <row r="505" spans="2:11" ht="20" customHeight="1" x14ac:dyDescent="0.2">
      <c r="B505" s="18">
        <f>ROWS(B$10:B505)-1</f>
        <v>495</v>
      </c>
      <c r="C505" s="19">
        <f t="shared" si="45"/>
        <v>19.03846153846154</v>
      </c>
      <c r="D505" s="20">
        <f>-PMT(J505,COUNT(B505:$B$530),G504)</f>
        <v>14339.955797833936</v>
      </c>
      <c r="E505" s="20">
        <f t="shared" si="52"/>
        <v>391.73259738518715</v>
      </c>
      <c r="F505" s="21">
        <f t="shared" si="47"/>
        <v>13948.223200448749</v>
      </c>
      <c r="G505" s="21">
        <f t="shared" si="53"/>
        <v>352778.76408880122</v>
      </c>
      <c r="H505" s="22">
        <f t="shared" si="51"/>
        <v>1.0658607692307694E-3</v>
      </c>
      <c r="I505" s="23">
        <v>0</v>
      </c>
      <c r="J505" s="24">
        <f t="shared" si="48"/>
        <v>1.0658607692307694E-3</v>
      </c>
      <c r="K505" s="25">
        <v>800</v>
      </c>
    </row>
    <row r="506" spans="2:11" ht="20" customHeight="1" x14ac:dyDescent="0.2">
      <c r="B506" s="18">
        <f>ROWS(B$10:B506)-1</f>
        <v>496</v>
      </c>
      <c r="C506" s="19">
        <f t="shared" si="45"/>
        <v>19.076923076923077</v>
      </c>
      <c r="D506" s="20">
        <f>-PMT(J506,COUNT(B506:$B$530),G505)</f>
        <v>14307.510510380569</v>
      </c>
      <c r="E506" s="20">
        <f t="shared" si="52"/>
        <v>376.0130448599698</v>
      </c>
      <c r="F506" s="21">
        <f t="shared" si="47"/>
        <v>13931.497465520599</v>
      </c>
      <c r="G506" s="21">
        <f t="shared" si="53"/>
        <v>338047.26662328065</v>
      </c>
      <c r="H506" s="22">
        <f t="shared" si="51"/>
        <v>1.0658607692307694E-3</v>
      </c>
      <c r="I506" s="23">
        <v>0</v>
      </c>
      <c r="J506" s="24">
        <f t="shared" si="48"/>
        <v>1.0658607692307694E-3</v>
      </c>
      <c r="K506" s="25">
        <v>800</v>
      </c>
    </row>
    <row r="507" spans="2:11" ht="20" customHeight="1" x14ac:dyDescent="0.2">
      <c r="B507" s="18">
        <f>ROWS(B$10:B507)-1</f>
        <v>497</v>
      </c>
      <c r="C507" s="19">
        <f t="shared" si="45"/>
        <v>19.115384615384617</v>
      </c>
      <c r="D507" s="20">
        <f>-PMT(J507,COUNT(B507:$B$530),G506)</f>
        <v>14273.731254840552</v>
      </c>
      <c r="E507" s="20">
        <f t="shared" si="52"/>
        <v>360.31131963944893</v>
      </c>
      <c r="F507" s="21">
        <f t="shared" si="47"/>
        <v>13913.419935201102</v>
      </c>
      <c r="G507" s="21">
        <f t="shared" si="53"/>
        <v>323333.84668807953</v>
      </c>
      <c r="H507" s="22">
        <f t="shared" si="51"/>
        <v>1.0658607692307694E-3</v>
      </c>
      <c r="I507" s="23">
        <v>0</v>
      </c>
      <c r="J507" s="24">
        <f t="shared" si="48"/>
        <v>1.0658607692307694E-3</v>
      </c>
      <c r="K507" s="25">
        <v>800</v>
      </c>
    </row>
    <row r="508" spans="2:11" ht="20" customHeight="1" x14ac:dyDescent="0.2">
      <c r="B508" s="18">
        <f>ROWS(B$10:B508)-1</f>
        <v>498</v>
      </c>
      <c r="C508" s="19">
        <f t="shared" si="45"/>
        <v>19.153846153846153</v>
      </c>
      <c r="D508" s="20">
        <f>-PMT(J508,COUNT(B508:$B$530),G507)</f>
        <v>14238.502027407047</v>
      </c>
      <c r="E508" s="20">
        <f t="shared" si="52"/>
        <v>344.62886254930009</v>
      </c>
      <c r="F508" s="21">
        <f t="shared" si="47"/>
        <v>13893.873164857747</v>
      </c>
      <c r="G508" s="21">
        <f t="shared" si="53"/>
        <v>308639.97352322179</v>
      </c>
      <c r="H508" s="22">
        <f t="shared" si="51"/>
        <v>1.0658607692307694E-3</v>
      </c>
      <c r="I508" s="23">
        <v>0</v>
      </c>
      <c r="J508" s="24">
        <f t="shared" si="48"/>
        <v>1.0658607692307694E-3</v>
      </c>
      <c r="K508" s="25">
        <v>800</v>
      </c>
    </row>
    <row r="509" spans="2:11" ht="20" customHeight="1" x14ac:dyDescent="0.2">
      <c r="B509" s="18">
        <f>ROWS(B$10:B509)-1</f>
        <v>499</v>
      </c>
      <c r="C509" s="19">
        <f t="shared" si="45"/>
        <v>19.192307692307693</v>
      </c>
      <c r="D509" s="20">
        <f>-PMT(J509,COUNT(B509:$B$530),G508)</f>
        <v>14201.691005572238</v>
      </c>
      <c r="E509" s="20">
        <f t="shared" si="52"/>
        <v>328.96723959482551</v>
      </c>
      <c r="F509" s="21">
        <f t="shared" si="47"/>
        <v>13872.723765977413</v>
      </c>
      <c r="G509" s="21">
        <f t="shared" si="53"/>
        <v>293967.24975724437</v>
      </c>
      <c r="H509" s="22">
        <f t="shared" si="51"/>
        <v>1.0658607692307694E-3</v>
      </c>
      <c r="I509" s="23">
        <v>0</v>
      </c>
      <c r="J509" s="24">
        <f t="shared" si="48"/>
        <v>1.0658607692307694E-3</v>
      </c>
      <c r="K509" s="25">
        <v>800</v>
      </c>
    </row>
    <row r="510" spans="2:11" ht="20" customHeight="1" x14ac:dyDescent="0.2">
      <c r="B510" s="18">
        <f>ROWS(B$10:B510)-1</f>
        <v>500</v>
      </c>
      <c r="C510" s="19">
        <f t="shared" si="45"/>
        <v>19.23076923076923</v>
      </c>
      <c r="D510" s="20">
        <f>-PMT(J510,COUNT(B510:$B$530),G509)</f>
        <v>14163.147535041455</v>
      </c>
      <c r="E510" s="20">
        <f t="shared" si="52"/>
        <v>313.32815895491018</v>
      </c>
      <c r="F510" s="21">
        <f t="shared" si="47"/>
        <v>13849.819376086545</v>
      </c>
      <c r="G510" s="21">
        <f t="shared" si="53"/>
        <v>279317.43038115784</v>
      </c>
      <c r="H510" s="22">
        <f t="shared" si="51"/>
        <v>1.0658607692307694E-3</v>
      </c>
      <c r="I510" s="23">
        <v>0</v>
      </c>
      <c r="J510" s="24">
        <f t="shared" si="48"/>
        <v>1.0658607692307694E-3</v>
      </c>
      <c r="K510" s="25">
        <v>800</v>
      </c>
    </row>
    <row r="511" spans="2:11" ht="20" customHeight="1" x14ac:dyDescent="0.2">
      <c r="B511" s="18">
        <f>ROWS(B$10:B511)-1</f>
        <v>501</v>
      </c>
      <c r="C511" s="19">
        <f t="shared" si="45"/>
        <v>19.26923076923077</v>
      </c>
      <c r="D511" s="20">
        <f>-PMT(J511,COUNT(B511:$B$530),G510)</f>
        <v>14122.69836337579</v>
      </c>
      <c r="E511" s="20">
        <f t="shared" si="52"/>
        <v>297.7134912056228</v>
      </c>
      <c r="F511" s="21">
        <f t="shared" si="47"/>
        <v>13824.984872170167</v>
      </c>
      <c r="G511" s="21">
        <f t="shared" si="53"/>
        <v>264692.4455089877</v>
      </c>
      <c r="H511" s="22">
        <f t="shared" si="51"/>
        <v>1.0658607692307694E-3</v>
      </c>
      <c r="I511" s="23">
        <v>0</v>
      </c>
      <c r="J511" s="24">
        <f t="shared" si="48"/>
        <v>1.0658607692307694E-3</v>
      </c>
      <c r="K511" s="25">
        <v>800</v>
      </c>
    </row>
    <row r="512" spans="2:11" ht="20" customHeight="1" x14ac:dyDescent="0.2">
      <c r="B512" s="18">
        <f>ROWS(B$10:B512)-1</f>
        <v>502</v>
      </c>
      <c r="C512" s="19">
        <f t="shared" si="45"/>
        <v>19.307692307692307</v>
      </c>
      <c r="D512" s="20">
        <f>-PMT(J512,COUNT(B512:$B$530),G511)</f>
        <v>14080.142882488037</v>
      </c>
      <c r="E512" s="20">
        <f t="shared" si="52"/>
        <v>282.12529357978315</v>
      </c>
      <c r="F512" s="21">
        <f t="shared" si="47"/>
        <v>13798.017588908253</v>
      </c>
      <c r="G512" s="21">
        <f t="shared" si="53"/>
        <v>250094.42792007944</v>
      </c>
      <c r="H512" s="22">
        <f t="shared" si="51"/>
        <v>1.0658607692307694E-3</v>
      </c>
      <c r="I512" s="23">
        <v>0</v>
      </c>
      <c r="J512" s="24">
        <f t="shared" si="48"/>
        <v>1.0658607692307694E-3</v>
      </c>
      <c r="K512" s="25">
        <v>800</v>
      </c>
    </row>
    <row r="513" spans="2:11" ht="20" customHeight="1" x14ac:dyDescent="0.2">
      <c r="B513" s="18">
        <f>ROWS(B$10:B513)-1</f>
        <v>503</v>
      </c>
      <c r="C513" s="19">
        <f t="shared" si="45"/>
        <v>19.346153846153847</v>
      </c>
      <c r="D513" s="20">
        <f>-PMT(J513,COUNT(B513:$B$530),G512)</f>
        <v>14035.247049609763</v>
      </c>
      <c r="E513" s="20">
        <f t="shared" si="52"/>
        <v>266.56583932322508</v>
      </c>
      <c r="F513" s="21">
        <f t="shared" si="47"/>
        <v>13768.681210286539</v>
      </c>
      <c r="G513" s="21">
        <f t="shared" si="53"/>
        <v>235525.7467097929</v>
      </c>
      <c r="H513" s="22">
        <f t="shared" si="51"/>
        <v>1.0658607692307694E-3</v>
      </c>
      <c r="I513" s="23">
        <v>0</v>
      </c>
      <c r="J513" s="24">
        <f t="shared" si="48"/>
        <v>1.0658607692307694E-3</v>
      </c>
      <c r="K513" s="25">
        <v>800</v>
      </c>
    </row>
    <row r="514" spans="2:11" ht="20" customHeight="1" x14ac:dyDescent="0.2">
      <c r="B514" s="18">
        <f>ROWS(B$10:B514)-1</f>
        <v>504</v>
      </c>
      <c r="C514" s="19">
        <f t="shared" si="45"/>
        <v>19.384615384615383</v>
      </c>
      <c r="D514" s="20">
        <f>-PMT(J514,COUNT(B514:$B$530),G513)</f>
        <v>13987.735520307469</v>
      </c>
      <c r="E514" s="20">
        <f t="shared" si="52"/>
        <v>251.03765356175123</v>
      </c>
      <c r="F514" s="21">
        <f t="shared" si="47"/>
        <v>13736.697866745719</v>
      </c>
      <c r="G514" s="21">
        <f t="shared" si="53"/>
        <v>220989.04884304717</v>
      </c>
      <c r="H514" s="22">
        <f t="shared" si="51"/>
        <v>1.0658607692307694E-3</v>
      </c>
      <c r="I514" s="23">
        <v>0</v>
      </c>
      <c r="J514" s="24">
        <f t="shared" si="48"/>
        <v>1.0658607692307694E-3</v>
      </c>
      <c r="K514" s="25">
        <v>800</v>
      </c>
    </row>
    <row r="515" spans="2:11" ht="20" customHeight="1" x14ac:dyDescent="0.2">
      <c r="B515" s="18">
        <f>ROWS(B$10:B515)-1</f>
        <v>505</v>
      </c>
      <c r="C515" s="19">
        <f t="shared" si="45"/>
        <v>19.423076923076923</v>
      </c>
      <c r="D515" s="20">
        <f>-PMT(J515,COUNT(B515:$B$530),G514)</f>
        <v>13937.281323066358</v>
      </c>
      <c r="E515" s="20">
        <f t="shared" si="52"/>
        <v>235.54355759142635</v>
      </c>
      <c r="F515" s="21">
        <f t="shared" si="47"/>
        <v>13701.737765474931</v>
      </c>
      <c r="G515" s="21">
        <f t="shared" si="53"/>
        <v>206487.31107757223</v>
      </c>
      <c r="H515" s="22">
        <f t="shared" si="51"/>
        <v>1.0658607692307694E-3</v>
      </c>
      <c r="I515" s="23">
        <v>0</v>
      </c>
      <c r="J515" s="24">
        <f t="shared" si="48"/>
        <v>1.0658607692307694E-3</v>
      </c>
      <c r="K515" s="25">
        <v>800</v>
      </c>
    </row>
    <row r="516" spans="2:11" ht="20" customHeight="1" x14ac:dyDescent="0.2">
      <c r="B516" s="18">
        <f>ROWS(B$10:B516)-1</f>
        <v>506</v>
      </c>
      <c r="C516" s="19">
        <f t="shared" si="45"/>
        <v>19.46153846153846</v>
      </c>
      <c r="D516" s="20">
        <f>-PMT(J516,COUNT(B516:$B$530),G515)</f>
        <v>13883.492092068611</v>
      </c>
      <c r="E516" s="20">
        <f t="shared" si="52"/>
        <v>220.08672422153433</v>
      </c>
      <c r="F516" s="21">
        <f t="shared" si="47"/>
        <v>13663.405367847077</v>
      </c>
      <c r="G516" s="21">
        <f t="shared" si="53"/>
        <v>192023.90570972516</v>
      </c>
      <c r="H516" s="22">
        <f t="shared" si="51"/>
        <v>1.0658607692307694E-3</v>
      </c>
      <c r="I516" s="23">
        <v>0</v>
      </c>
      <c r="J516" s="24">
        <f t="shared" si="48"/>
        <v>1.0658607692307694E-3</v>
      </c>
      <c r="K516" s="25">
        <v>800</v>
      </c>
    </row>
    <row r="517" spans="2:11" ht="20" customHeight="1" x14ac:dyDescent="0.2">
      <c r="B517" s="18">
        <f>ROWS(B$10:B517)-1</f>
        <v>507</v>
      </c>
      <c r="C517" s="19">
        <f t="shared" si="45"/>
        <v>19.5</v>
      </c>
      <c r="D517" s="20">
        <f>-PMT(J517,COUNT(B517:$B$530),G516)</f>
        <v>13825.891383106855</v>
      </c>
      <c r="E517" s="20">
        <f t="shared" si="52"/>
        <v>204.67074785046441</v>
      </c>
      <c r="F517" s="21">
        <f t="shared" si="47"/>
        <v>13621.22063525639</v>
      </c>
      <c r="G517" s="21">
        <f t="shared" si="53"/>
        <v>177602.68507446878</v>
      </c>
      <c r="H517" s="22">
        <f t="shared" si="51"/>
        <v>1.0658607692307694E-3</v>
      </c>
      <c r="I517" s="23">
        <v>0</v>
      </c>
      <c r="J517" s="24">
        <f t="shared" si="48"/>
        <v>1.0658607692307694E-3</v>
      </c>
      <c r="K517" s="25">
        <v>800</v>
      </c>
    </row>
    <row r="518" spans="2:11" ht="20" customHeight="1" x14ac:dyDescent="0.2">
      <c r="B518" s="18">
        <f>ROWS(B$10:B518)-1</f>
        <v>508</v>
      </c>
      <c r="C518" s="19">
        <f t="shared" si="45"/>
        <v>19.53846153846154</v>
      </c>
      <c r="D518" s="20">
        <f>-PMT(J518,COUNT(B518:$B$530),G517)</f>
        <v>13763.892803310435</v>
      </c>
      <c r="E518" s="20">
        <f t="shared" si="52"/>
        <v>189.29973453092339</v>
      </c>
      <c r="F518" s="21">
        <f t="shared" si="47"/>
        <v>13574.593068779512</v>
      </c>
      <c r="G518" s="21">
        <f t="shared" si="53"/>
        <v>163228.09200568928</v>
      </c>
      <c r="H518" s="22">
        <f t="shared" si="51"/>
        <v>1.0658607692307694E-3</v>
      </c>
      <c r="I518" s="23">
        <v>0</v>
      </c>
      <c r="J518" s="24">
        <f t="shared" si="48"/>
        <v>1.0658607692307694E-3</v>
      </c>
      <c r="K518" s="25">
        <v>800</v>
      </c>
    </row>
    <row r="519" spans="2:11" ht="20" customHeight="1" x14ac:dyDescent="0.2">
      <c r="B519" s="18">
        <f>ROWS(B$10:B519)-1</f>
        <v>509</v>
      </c>
      <c r="C519" s="19">
        <f t="shared" si="45"/>
        <v>19.576923076923077</v>
      </c>
      <c r="D519" s="20">
        <f>-PMT(J519,COUNT(B519:$B$530),G518)</f>
        <v>13696.763361590984</v>
      </c>
      <c r="E519" s="20">
        <f t="shared" si="52"/>
        <v>173.97841970525479</v>
      </c>
      <c r="F519" s="21">
        <f t="shared" si="47"/>
        <v>13522.784941885729</v>
      </c>
      <c r="G519" s="21">
        <f t="shared" si="53"/>
        <v>148905.30706380354</v>
      </c>
      <c r="H519" s="22">
        <f t="shared" si="51"/>
        <v>1.0658607692307694E-3</v>
      </c>
      <c r="I519" s="23">
        <v>0</v>
      </c>
      <c r="J519" s="24">
        <f t="shared" si="48"/>
        <v>1.0658607692307694E-3</v>
      </c>
      <c r="K519" s="25">
        <v>800</v>
      </c>
    </row>
    <row r="520" spans="2:11" ht="20" customHeight="1" x14ac:dyDescent="0.2">
      <c r="B520" s="18">
        <f>ROWS(B$10:B520)-1</f>
        <v>510</v>
      </c>
      <c r="C520" s="19">
        <f t="shared" si="45"/>
        <v>19.615384615384617</v>
      </c>
      <c r="D520" s="20">
        <f>-PMT(J520,COUNT(B520:$B$530),G519)</f>
        <v>13623.570160199648</v>
      </c>
      <c r="E520" s="20">
        <f t="shared" si="52"/>
        <v>158.71232512956956</v>
      </c>
      <c r="F520" s="21">
        <f t="shared" si="47"/>
        <v>13464.857835070079</v>
      </c>
      <c r="G520" s="21">
        <f t="shared" si="53"/>
        <v>134640.44922873346</v>
      </c>
      <c r="H520" s="22">
        <f t="shared" si="51"/>
        <v>1.0658607692307694E-3</v>
      </c>
      <c r="I520" s="23">
        <v>0</v>
      </c>
      <c r="J520" s="24">
        <f t="shared" si="48"/>
        <v>1.0658607692307694E-3</v>
      </c>
      <c r="K520" s="25">
        <v>800</v>
      </c>
    </row>
    <row r="521" spans="2:11" ht="20" customHeight="1" x14ac:dyDescent="0.2">
      <c r="B521" s="18">
        <f>ROWS(B$10:B521)-1</f>
        <v>511</v>
      </c>
      <c r="C521" s="19">
        <f t="shared" si="45"/>
        <v>19.653846153846153</v>
      </c>
      <c r="D521" s="20">
        <f>-PMT(J521,COUNT(B521:$B$530),G520)</f>
        <v>13543.100432062869</v>
      </c>
      <c r="E521" s="20">
        <f t="shared" si="52"/>
        <v>143.50797278451421</v>
      </c>
      <c r="F521" s="21">
        <f t="shared" si="47"/>
        <v>13399.592459278354</v>
      </c>
      <c r="G521" s="21">
        <f t="shared" si="53"/>
        <v>120440.8567694551</v>
      </c>
      <c r="H521" s="22">
        <f t="shared" si="51"/>
        <v>1.0658607692307694E-3</v>
      </c>
      <c r="I521" s="23">
        <v>0</v>
      </c>
      <c r="J521" s="24">
        <f t="shared" si="48"/>
        <v>1.0658607692307694E-3</v>
      </c>
      <c r="K521" s="25">
        <v>800</v>
      </c>
    </row>
    <row r="522" spans="2:11" ht="20" customHeight="1" x14ac:dyDescent="0.2">
      <c r="B522" s="18">
        <f>ROWS(B$10:B522)-1</f>
        <v>512</v>
      </c>
      <c r="C522" s="19">
        <f t="shared" si="45"/>
        <v>19.692307692307693</v>
      </c>
      <c r="D522" s="20">
        <f>-PMT(J522,COUNT(B522:$B$530),G521)</f>
        <v>13453.737154415856</v>
      </c>
      <c r="E522" s="20">
        <f t="shared" si="52"/>
        <v>128.37318424310433</v>
      </c>
      <c r="F522" s="21">
        <f t="shared" si="47"/>
        <v>13325.363970172752</v>
      </c>
      <c r="G522" s="21">
        <f t="shared" si="53"/>
        <v>106315.49279928235</v>
      </c>
      <c r="H522" s="22">
        <f t="shared" si="51"/>
        <v>1.0658607692307694E-3</v>
      </c>
      <c r="I522" s="23">
        <v>0</v>
      </c>
      <c r="J522" s="24">
        <f t="shared" si="48"/>
        <v>1.0658607692307694E-3</v>
      </c>
      <c r="K522" s="25">
        <v>800</v>
      </c>
    </row>
    <row r="523" spans="2:11" ht="20" customHeight="1" x14ac:dyDescent="0.2">
      <c r="B523" s="18">
        <f>ROWS(B$10:B523)-1</f>
        <v>513</v>
      </c>
      <c r="C523" s="19">
        <f t="shared" si="45"/>
        <v>19.73076923076923</v>
      </c>
      <c r="D523" s="20">
        <f>-PMT(J523,COUNT(B523:$B$530),G522)</f>
        <v>13353.256920956997</v>
      </c>
      <c r="E523" s="20">
        <f t="shared" si="52"/>
        <v>113.31751293619142</v>
      </c>
      <c r="F523" s="21">
        <f t="shared" si="47"/>
        <v>13239.939408020806</v>
      </c>
      <c r="G523" s="21">
        <f t="shared" si="53"/>
        <v>92275.55339126155</v>
      </c>
      <c r="H523" s="22">
        <f t="shared" si="51"/>
        <v>1.0658607692307694E-3</v>
      </c>
      <c r="I523" s="23">
        <v>0</v>
      </c>
      <c r="J523" s="24">
        <f t="shared" si="48"/>
        <v>1.0658607692307694E-3</v>
      </c>
      <c r="K523" s="25">
        <v>800</v>
      </c>
    </row>
    <row r="524" spans="2:11" ht="20" customHeight="1" x14ac:dyDescent="0.2">
      <c r="B524" s="18">
        <f>ROWS(B$10:B524)-1</f>
        <v>514</v>
      </c>
      <c r="C524" s="19">
        <f t="shared" ref="C524:C530" si="54">(B524/$G$3)</f>
        <v>19.76923076923077</v>
      </c>
      <c r="D524" s="20">
        <f>-PMT(J524,COUNT(B524:$B$530),G523)</f>
        <v>13238.483436969647</v>
      </c>
      <c r="E524" s="20">
        <f t="shared" si="52"/>
        <v>98.352892318804976</v>
      </c>
      <c r="F524" s="21">
        <f t="shared" ref="F524:F530" si="55">D524-E524</f>
        <v>13140.130544650843</v>
      </c>
      <c r="G524" s="21">
        <f t="shared" si="53"/>
        <v>78335.422846610702</v>
      </c>
      <c r="H524" s="22">
        <f t="shared" si="51"/>
        <v>1.0658607692307694E-3</v>
      </c>
      <c r="I524" s="23">
        <v>0</v>
      </c>
      <c r="J524" s="24">
        <f t="shared" ref="J524:J530" si="56">H524+(H524*I524)</f>
        <v>1.0658607692307694E-3</v>
      </c>
      <c r="K524" s="25">
        <v>800</v>
      </c>
    </row>
    <row r="525" spans="2:11" ht="20" customHeight="1" x14ac:dyDescent="0.2">
      <c r="B525" s="18">
        <f>ROWS(B$10:B525)-1</f>
        <v>515</v>
      </c>
      <c r="C525" s="19">
        <f t="shared" si="54"/>
        <v>19.807692307692307</v>
      </c>
      <c r="D525" s="20">
        <f>-PMT(J525,COUNT(B525:$B$530),G524)</f>
        <v>13104.652260378802</v>
      </c>
      <c r="E525" s="20">
        <f t="shared" si="52"/>
        <v>83.494654053306078</v>
      </c>
      <c r="F525" s="21">
        <f t="shared" si="55"/>
        <v>13021.157606325496</v>
      </c>
      <c r="G525" s="21">
        <f t="shared" si="53"/>
        <v>64514.265240285204</v>
      </c>
      <c r="H525" s="22">
        <f t="shared" si="51"/>
        <v>1.0658607692307694E-3</v>
      </c>
      <c r="I525" s="23">
        <v>0</v>
      </c>
      <c r="J525" s="24">
        <f t="shared" si="56"/>
        <v>1.0658607692307694E-3</v>
      </c>
      <c r="K525" s="25">
        <v>800</v>
      </c>
    </row>
    <row r="526" spans="2:11" ht="20" customHeight="1" x14ac:dyDescent="0.2">
      <c r="B526" s="18">
        <f>ROWS(B$10:B526)-1</f>
        <v>516</v>
      </c>
      <c r="C526" s="19">
        <f t="shared" si="54"/>
        <v>19.846153846153847</v>
      </c>
      <c r="D526" s="20">
        <f>-PMT(J526,COUNT(B526:$B$530),G525)</f>
        <v>12944.140283864419</v>
      </c>
      <c r="E526" s="20">
        <f t="shared" si="52"/>
        <v>68.763224375368281</v>
      </c>
      <c r="F526" s="21">
        <f t="shared" si="55"/>
        <v>12875.37705948905</v>
      </c>
      <c r="G526" s="21">
        <f t="shared" si="53"/>
        <v>50838.888180796152</v>
      </c>
      <c r="H526" s="22">
        <f t="shared" si="51"/>
        <v>1.0658607692307694E-3</v>
      </c>
      <c r="I526" s="23">
        <v>0</v>
      </c>
      <c r="J526" s="24">
        <f t="shared" si="56"/>
        <v>1.0658607692307694E-3</v>
      </c>
      <c r="K526" s="25">
        <v>800</v>
      </c>
    </row>
    <row r="527" spans="2:11" ht="20" customHeight="1" x14ac:dyDescent="0.2">
      <c r="B527" s="18">
        <f>ROWS(B$10:B527)-1</f>
        <v>517</v>
      </c>
      <c r="C527" s="19">
        <f t="shared" si="54"/>
        <v>19.884615384615383</v>
      </c>
      <c r="D527" s="20">
        <f>-PMT(J527,COUNT(B527:$B$530),G526)</f>
        <v>12743.607069616352</v>
      </c>
      <c r="E527" s="20">
        <f t="shared" si="52"/>
        <v>54.18717646322046</v>
      </c>
      <c r="F527" s="21">
        <f t="shared" si="55"/>
        <v>12689.419893153132</v>
      </c>
      <c r="G527" s="21">
        <f t="shared" si="53"/>
        <v>37349.468287643016</v>
      </c>
      <c r="H527" s="22">
        <f t="shared" si="51"/>
        <v>1.0658607692307694E-3</v>
      </c>
      <c r="I527" s="23">
        <v>0</v>
      </c>
      <c r="J527" s="24">
        <f t="shared" si="56"/>
        <v>1.0658607692307694E-3</v>
      </c>
      <c r="K527" s="25">
        <v>800</v>
      </c>
    </row>
    <row r="528" spans="2:11" ht="20" customHeight="1" x14ac:dyDescent="0.2">
      <c r="B528" s="18">
        <f>ROWS(B$10:B528)-1</f>
        <v>518</v>
      </c>
      <c r="C528" s="19">
        <f t="shared" si="54"/>
        <v>19.923076923076923</v>
      </c>
      <c r="D528" s="20">
        <f>-PMT(J528,COUNT(B528:$B$530),G527)</f>
        <v>12476.371742014278</v>
      </c>
      <c r="E528" s="20">
        <f t="shared" si="52"/>
        <v>39.809332999427411</v>
      </c>
      <c r="F528" s="21">
        <f t="shared" si="55"/>
        <v>12436.56240901485</v>
      </c>
      <c r="G528" s="21">
        <f t="shared" si="53"/>
        <v>24112.905878628168</v>
      </c>
      <c r="H528" s="22">
        <f t="shared" si="51"/>
        <v>1.0658607692307694E-3</v>
      </c>
      <c r="I528" s="23">
        <v>0</v>
      </c>
      <c r="J528" s="24">
        <f t="shared" si="56"/>
        <v>1.0658607692307694E-3</v>
      </c>
      <c r="K528" s="25">
        <v>800</v>
      </c>
    </row>
    <row r="529" spans="2:11" ht="20" customHeight="1" x14ac:dyDescent="0.2">
      <c r="B529" s="18">
        <f>ROWS(B$10:B529)-1</f>
        <v>519</v>
      </c>
      <c r="C529" s="19">
        <f t="shared" si="54"/>
        <v>19.96153846153846</v>
      </c>
      <c r="D529" s="20">
        <f>-PMT(J529,COUNT(B529:$B$530),G528)</f>
        <v>12075.732112007336</v>
      </c>
      <c r="E529" s="20">
        <f>G528*J529</f>
        <v>25.701000408183759</v>
      </c>
      <c r="F529" s="21">
        <f t="shared" si="55"/>
        <v>12050.031111599152</v>
      </c>
      <c r="G529" s="21">
        <f>G528-F529-K529</f>
        <v>11262.874767029016</v>
      </c>
      <c r="H529" s="22">
        <f t="shared" si="51"/>
        <v>1.0658607692307694E-3</v>
      </c>
      <c r="I529" s="23">
        <v>0</v>
      </c>
      <c r="J529" s="24">
        <f t="shared" si="56"/>
        <v>1.0658607692307694E-3</v>
      </c>
      <c r="K529" s="25">
        <v>800</v>
      </c>
    </row>
    <row r="530" spans="2:11" ht="20" customHeight="1" x14ac:dyDescent="0.2">
      <c r="B530" s="18">
        <f>ROWS(B$10:B530)-1</f>
        <v>520</v>
      </c>
      <c r="C530" s="19">
        <f t="shared" si="54"/>
        <v>20</v>
      </c>
      <c r="D530" s="20">
        <f>-PMT(J530,COUNT(B530:$B$530),G529)</f>
        <v>11274.879423391953</v>
      </c>
      <c r="E530" s="20">
        <f>G529*J530</f>
        <v>12.00465636293537</v>
      </c>
      <c r="F530" s="21">
        <f t="shared" si="55"/>
        <v>11262.874767029018</v>
      </c>
      <c r="G530" s="21">
        <f>G529-F530-K530</f>
        <v>-1.8189894035458565E-12</v>
      </c>
      <c r="H530" s="22">
        <f t="shared" si="51"/>
        <v>1.0658607692307694E-3</v>
      </c>
      <c r="I530" s="23">
        <v>0</v>
      </c>
      <c r="J530" s="24">
        <f t="shared" si="56"/>
        <v>1.0658607692307694E-3</v>
      </c>
      <c r="K530" s="25">
        <v>0</v>
      </c>
    </row>
  </sheetData>
  <mergeCells count="8">
    <mergeCell ref="B10:F10"/>
    <mergeCell ref="H10:K10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Workings</vt:lpstr>
    </vt:vector>
  </TitlesOfParts>
  <Company>University of Wollongong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Freda Hui</dc:creator>
  <cp:lastModifiedBy>Microsoft Office User</cp:lastModifiedBy>
  <dcterms:created xsi:type="dcterms:W3CDTF">2022-03-17T23:02:23Z</dcterms:created>
  <dcterms:modified xsi:type="dcterms:W3CDTF">2022-08-22T09:54:18Z</dcterms:modified>
</cp:coreProperties>
</file>