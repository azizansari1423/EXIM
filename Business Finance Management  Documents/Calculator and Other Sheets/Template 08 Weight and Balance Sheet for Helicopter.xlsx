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DACD4A2B-0FA2-6240-8846-ECA9BCDB9853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AS355F2" sheetId="1" r:id="rId1"/>
  </sheets>
  <externalReferences>
    <externalReference r:id="rId2"/>
    <externalReference r:id="rId3"/>
  </externalReferences>
  <definedNames>
    <definedName name="_xlnm.Print_Area" localSheetId="0">AS355F2!$A$1:$U$38</definedName>
    <definedName name="Name">[1]Sheet2!$A$1:$A$2</definedName>
    <definedName name="VALIDOPS">[2]Details!$A$1:$A$2</definedName>
    <definedName name="Z_13B3A949_6C5E_4A6E_8FD6_4B97A6575080_.wvu.PrintArea" localSheetId="0" hidden="1">AS355F2!$B$2:$H$44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12" i="1" l="1"/>
  <c r="Z13" i="1"/>
  <c r="Z14" i="1" s="1"/>
  <c r="D22" i="1"/>
  <c r="G22" i="1" s="1"/>
  <c r="F21" i="1"/>
  <c r="F20" i="1"/>
  <c r="G19" i="1"/>
  <c r="F19" i="1"/>
  <c r="G18" i="1"/>
  <c r="F18" i="1"/>
  <c r="G17" i="1"/>
  <c r="F17" i="1"/>
  <c r="F16" i="1"/>
  <c r="F15" i="1"/>
  <c r="F14" i="1"/>
  <c r="F22" i="1" l="1"/>
  <c r="H20" i="1" l="1"/>
  <c r="E22" i="1"/>
</calcChain>
</file>

<file path=xl/sharedStrings.xml><?xml version="1.0" encoding="utf-8"?>
<sst xmlns="http://schemas.openxmlformats.org/spreadsheetml/2006/main" count="42" uniqueCount="40">
  <si>
    <t>WEIGHT &amp; BALANCE SHEET</t>
  </si>
  <si>
    <t xml:space="preserve">PILOT : </t>
  </si>
  <si>
    <t>A/C TYPE :</t>
  </si>
  <si>
    <t>AS355F2</t>
  </si>
  <si>
    <t>CO-PILOT/CREW :</t>
  </si>
  <si>
    <t>A/C REGN :</t>
  </si>
  <si>
    <t>9M-SSV</t>
  </si>
  <si>
    <t>ROUTE :</t>
  </si>
  <si>
    <t>DATE :</t>
  </si>
  <si>
    <t>ITEM</t>
  </si>
  <si>
    <t>WEIGHT (kg)</t>
  </si>
  <si>
    <t>ARM (mm)</t>
  </si>
  <si>
    <t>MOMENT (kg/mm)</t>
  </si>
  <si>
    <t>BASIC WEIGHT</t>
  </si>
  <si>
    <t>PILOT</t>
  </si>
  <si>
    <t>FWD PAX</t>
  </si>
  <si>
    <t>REAR PAX</t>
  </si>
  <si>
    <t>CARGO LH max 120kg</t>
  </si>
  <si>
    <t>CARGO RH max 100kg</t>
  </si>
  <si>
    <t xml:space="preserve"> </t>
  </si>
  <si>
    <t>CARGO REAR max 80kg</t>
  </si>
  <si>
    <t>FUEL FRONT max 45%</t>
  </si>
  <si>
    <t>C of G</t>
  </si>
  <si>
    <t>FUEL MAIN max 55%</t>
  </si>
  <si>
    <t xml:space="preserve">MTOW   </t>
  </si>
  <si>
    <t>2540kg</t>
  </si>
  <si>
    <t>TOTAL</t>
  </si>
  <si>
    <t>FUEL CAPACITY</t>
  </si>
  <si>
    <t>%</t>
  </si>
  <si>
    <t>kg</t>
  </si>
  <si>
    <t>I hereby certify that the loading of weight and balance of the helicopter is within the approved</t>
  </si>
  <si>
    <t>limit as stated in the Approved Flight Manual</t>
  </si>
  <si>
    <t>PILOT SIGN</t>
  </si>
  <si>
    <t>:</t>
  </si>
  <si>
    <t>PILOT LIC NO</t>
  </si>
  <si>
    <t>DATE</t>
  </si>
  <si>
    <t>Other Infos</t>
  </si>
  <si>
    <t>Graph Data</t>
  </si>
  <si>
    <t>ABC Aerospace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</si>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</sst>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dd\ mmmm\ yyyy;@"/>
    <numFmt numFmtId="165" formatCode="#,##0.0"/>
    <numFmt numFmtId="166" formatCode="h:mm;@"/>
  </numFmts>
  <fonts count="15" x14ac:knownFonts="1"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25"/>
      <color theme="1"/>
      <name val="Times New Roman"/>
      <family val="1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4" fontId="2" fillId="0" borderId="0" xfId="0" applyNumberFormat="1" applyFont="1" applyBorder="1" applyAlignment="1" applyProtection="1">
      <alignment horizontal="righ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4" fontId="2" fillId="0" borderId="0" xfId="0" applyNumberFormat="1" applyFont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5" fontId="2" fillId="0" borderId="2" xfId="0" applyNumberFormat="1" applyFont="1" applyBorder="1" applyAlignment="1" applyProtection="1">
      <alignment horizontal="right" vertical="center" indent="1"/>
      <protection locked="0"/>
    </xf>
    <xf numFmtId="4" fontId="2" fillId="0" borderId="2" xfId="0" applyNumberFormat="1" applyFont="1" applyBorder="1" applyAlignment="1" applyProtection="1">
      <alignment horizontal="right" vertical="center" indent="1"/>
    </xf>
    <xf numFmtId="165" fontId="2" fillId="0" borderId="2" xfId="0" applyNumberFormat="1" applyFont="1" applyBorder="1" applyAlignment="1" applyProtection="1">
      <alignment horizontal="righ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</xf>
    <xf numFmtId="0" fontId="0" fillId="0" borderId="4" xfId="0" applyBorder="1"/>
    <xf numFmtId="0" fontId="9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left"/>
    </xf>
    <xf numFmtId="0" fontId="10" fillId="0" borderId="4" xfId="0" applyFont="1" applyBorder="1"/>
    <xf numFmtId="166" fontId="0" fillId="0" borderId="0" xfId="0" applyNumberFormat="1"/>
    <xf numFmtId="0" fontId="2" fillId="0" borderId="0" xfId="0" applyFont="1" applyBorder="1" applyAlignment="1">
      <alignment horizontal="left" vertical="center"/>
    </xf>
    <xf numFmtId="0" fontId="0" fillId="0" borderId="2" xfId="0" applyBorder="1"/>
    <xf numFmtId="0" fontId="1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/>
    </xf>
    <xf numFmtId="4" fontId="7" fillId="2" borderId="2" xfId="0" applyNumberFormat="1" applyFont="1" applyFill="1" applyBorder="1" applyAlignment="1" applyProtection="1">
      <alignment horizontal="center" vertical="center"/>
    </xf>
    <xf numFmtId="4" fontId="8" fillId="2" borderId="2" xfId="0" applyNumberFormat="1" applyFont="1" applyFill="1" applyBorder="1" applyAlignment="1" applyProtection="1">
      <alignment horizontal="center" vertical="center"/>
    </xf>
    <xf numFmtId="4" fontId="7" fillId="2" borderId="2" xfId="0" applyNumberFormat="1" applyFont="1" applyFill="1" applyBorder="1" applyAlignment="1" applyProtection="1">
      <alignment horizontal="right" vertical="center" indent="1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/>
    <xf numFmtId="2" fontId="7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</xf>
    <xf numFmtId="164" fontId="0" fillId="0" borderId="4" xfId="0" applyNumberFormat="1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7" fillId="2" borderId="2" xfId="0" applyFont="1" applyFill="1" applyBorder="1" applyAlignment="1" applyProtection="1">
      <alignment horizontal="left" vertical="center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</cellXfs>
  <cellStyles count="2">
    <cellStyle name="Normal 2" xfId="1" xr:uid="{00000000-0005-0000-0000-000001000000}"/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graph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AS355F2!$T$13:$T$26</c:f>
              <c:numCache>
                <c:formatCode>0.00</c:formatCode>
                <c:ptCount val="14"/>
                <c:pt idx="0">
                  <c:v>3480</c:v>
                </c:pt>
                <c:pt idx="1">
                  <c:v>3540</c:v>
                </c:pt>
                <c:pt idx="2">
                  <c:v>3540</c:v>
                </c:pt>
                <c:pt idx="3">
                  <c:v>3170</c:v>
                </c:pt>
                <c:pt idx="4">
                  <c:v>3170</c:v>
                </c:pt>
                <c:pt idx="5">
                  <c:v>3250</c:v>
                </c:pt>
                <c:pt idx="6">
                  <c:v>3450</c:v>
                </c:pt>
                <c:pt idx="9" formatCode="General">
                  <c:v>3230</c:v>
                </c:pt>
                <c:pt idx="10" formatCode="General">
                  <c:v>3250</c:v>
                </c:pt>
                <c:pt idx="12" formatCode="General">
                  <c:v>3450</c:v>
                </c:pt>
                <c:pt idx="13" formatCode="General">
                  <c:v>3480</c:v>
                </c:pt>
              </c:numCache>
            </c:numRef>
          </c:xVal>
          <c:yVal>
            <c:numRef>
              <c:f>AS355F2!$S$13:$S$26</c:f>
              <c:numCache>
                <c:formatCode>General</c:formatCode>
                <c:ptCount val="14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  <c:pt idx="3">
                  <c:v>1800</c:v>
                </c:pt>
                <c:pt idx="4">
                  <c:v>2000</c:v>
                </c:pt>
                <c:pt idx="5">
                  <c:v>2540</c:v>
                </c:pt>
                <c:pt idx="6">
                  <c:v>2540</c:v>
                </c:pt>
                <c:pt idx="9">
                  <c:v>2400</c:v>
                </c:pt>
                <c:pt idx="10">
                  <c:v>2540</c:v>
                </c:pt>
                <c:pt idx="12">
                  <c:v>2540</c:v>
                </c:pt>
                <c:pt idx="13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4-44E2-99BE-A06026EB5160}"/>
            </c:ext>
          </c:extLst>
        </c:ser>
        <c:ser>
          <c:idx val="1"/>
          <c:order val="1"/>
          <c:tx>
            <c:v>CoG</c:v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</c:spPr>
          </c:marker>
          <c:dLbls>
            <c:dLbl>
              <c:idx val="0"/>
              <c:layout>
                <c:manualLayout>
                  <c:x val="0"/>
                  <c:y val="6.3400576368876096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4-44E2-99BE-A06026EB51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1"/>
            <c:showSerName val="1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AS355F2!$H$20</c:f>
              <c:numCache>
                <c:formatCode>0.00</c:formatCode>
                <c:ptCount val="1"/>
                <c:pt idx="0">
                  <c:v>3264.2061403508774</c:v>
                </c:pt>
              </c:numCache>
            </c:numRef>
          </c:xVal>
          <c:yVal>
            <c:numRef>
              <c:f>AS355F2!$D$22</c:f>
              <c:numCache>
                <c:formatCode>#,##0.00</c:formatCode>
                <c:ptCount val="1"/>
                <c:pt idx="0">
                  <c:v>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4-44E2-99BE-A06026EB5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78688"/>
        <c:axId val="81265792"/>
      </c:scatterChart>
      <c:valAx>
        <c:axId val="81378688"/>
        <c:scaling>
          <c:orientation val="minMax"/>
          <c:max val="3550"/>
          <c:min val="3150"/>
        </c:scaling>
        <c:delete val="0"/>
        <c:axPos val="b"/>
        <c:majorGridlines/>
        <c:minorGridlines>
          <c:spPr>
            <a:ln w="0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MY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Arm (mm)</a:t>
                </a:r>
              </a:p>
            </c:rich>
          </c:tx>
          <c:layout>
            <c:manualLayout>
              <c:xMode val="edge"/>
              <c:yMode val="edge"/>
              <c:x val="0.42805057312242284"/>
              <c:y val="0.90486268649651935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MY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265792"/>
        <c:crosses val="autoZero"/>
        <c:crossBetween val="midCat"/>
        <c:majorUnit val="50"/>
      </c:valAx>
      <c:valAx>
        <c:axId val="81265792"/>
        <c:scaling>
          <c:orientation val="minMax"/>
          <c:max val="2600"/>
          <c:min val="1700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MY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Mass (kg)</a:t>
                </a:r>
              </a:p>
            </c:rich>
          </c:tx>
          <c:layout>
            <c:manualLayout>
              <c:xMode val="edge"/>
              <c:yMode val="edge"/>
              <c:x val="2.23251413288467E-2"/>
              <c:y val="0.20888972112284199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spPr>
          <a:solidFill>
            <a:schemeClr val="bg1"/>
          </a:solidFill>
          <a:ln w="0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MY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78688"/>
        <c:crosses val="autoZero"/>
        <c:crossBetween val="midCat"/>
        <c:majorUnit val="100"/>
        <c:minorUnit val="100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spPr>
    <a:ln w="6350">
      <a:solidFill>
        <a:sysClr val="windowText" lastClr="000000"/>
      </a:solidFill>
    </a:ln>
  </c:spPr>
  <c:txPr>
    <a:bodyPr/>
    <a:lstStyle/>
    <a:p>
      <a:pPr>
        <a:defRPr lang="en-US"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11</xdr:row>
      <xdr:rowOff>0</xdr:rowOff>
    </xdr:from>
    <xdr:to>
      <xdr:col>14</xdr:col>
      <xdr:colOff>640080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Owner/Application%20Data/Microsoft/Excel/W&amp;B/W&amp;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ropbox/W&amp;B/AS355F1%209M%20L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&amp;B with instruction"/>
      <sheetName val="9M-SHB W&amp;B &amp; MANIFEST (2)"/>
      <sheetName val="Sheet2"/>
      <sheetName val="Sheet3"/>
      <sheetName val="Compatibility Repor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LP"/>
      <sheetName val="COG"/>
      <sheetName val="LLP BLANK"/>
      <sheetName val="Detail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AE51"/>
  <sheetViews>
    <sheetView showGridLines="0" tabSelected="1" topLeftCell="B1" zoomScaleNormal="100" workbookViewId="0">
      <selection activeCell="L8" sqref="L8:N8"/>
    </sheetView>
  </sheetViews>
  <sheetFormatPr baseColWidth="10" defaultColWidth="9" defaultRowHeight="15" x14ac:dyDescent="0.2"/>
  <cols>
    <col min="1" max="1" width="1.83203125" customWidth="1"/>
    <col min="2" max="2" width="19.83203125" customWidth="1"/>
    <col min="3" max="3" width="7.1640625" style="1" customWidth="1"/>
    <col min="4" max="4" width="12.83203125" customWidth="1"/>
    <col min="5" max="5" width="11.83203125" customWidth="1"/>
    <col min="6" max="6" width="18.33203125" customWidth="1"/>
    <col min="7" max="7" width="9.5" customWidth="1"/>
    <col min="9" max="9" width="9.5" customWidth="1"/>
    <col min="11" max="11" width="9.1640625" customWidth="1"/>
    <col min="15" max="15" width="9.83203125" customWidth="1"/>
    <col min="18" max="18" width="0.83203125" customWidth="1"/>
    <col min="19" max="20" width="8.83203125" style="1" customWidth="1"/>
    <col min="21" max="21" width="1.83203125" customWidth="1"/>
  </cols>
  <sheetData>
    <row r="3" spans="2:26" ht="25" x14ac:dyDescent="0.2">
      <c r="B3" s="60" t="s">
        <v>38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2:26" ht="15" customHeight="1" x14ac:dyDescent="0.3">
      <c r="F4" s="4"/>
      <c r="G4" s="29"/>
      <c r="H4" s="29"/>
      <c r="I4" s="29"/>
      <c r="J4" s="29"/>
      <c r="K4" s="29"/>
      <c r="L4" s="29"/>
    </row>
    <row r="5" spans="2:26" ht="15" customHeight="1" x14ac:dyDescent="0.2">
      <c r="F5" s="13"/>
      <c r="G5" s="13"/>
      <c r="I5" s="14" t="s">
        <v>0</v>
      </c>
      <c r="J5" s="13"/>
      <c r="K5" s="13"/>
      <c r="L5" s="13"/>
    </row>
    <row r="6" spans="2:26" ht="18" x14ac:dyDescent="0.2">
      <c r="G6" s="5"/>
      <c r="H6" s="5"/>
      <c r="I6" s="5"/>
      <c r="J6" s="14"/>
      <c r="K6" s="14"/>
      <c r="L6" s="14"/>
    </row>
    <row r="7" spans="2:26" s="42" customFormat="1" ht="25.5" customHeight="1" x14ac:dyDescent="0.2">
      <c r="C7" s="28"/>
      <c r="F7" s="15" t="s">
        <v>1</v>
      </c>
      <c r="G7" s="61" t="s">
        <v>39</v>
      </c>
      <c r="H7" s="61"/>
      <c r="I7" s="61"/>
      <c r="K7" s="15" t="s">
        <v>2</v>
      </c>
      <c r="L7" s="61" t="s">
        <v>3</v>
      </c>
      <c r="M7" s="61"/>
      <c r="N7" s="61"/>
      <c r="S7" s="28"/>
      <c r="T7" s="28"/>
    </row>
    <row r="8" spans="2:26" s="42" customFormat="1" ht="25.5" customHeight="1" x14ac:dyDescent="0.2">
      <c r="C8" s="28"/>
      <c r="F8" s="15" t="s">
        <v>4</v>
      </c>
      <c r="G8" s="62"/>
      <c r="H8" s="62"/>
      <c r="I8" s="62"/>
      <c r="K8" s="15" t="s">
        <v>5</v>
      </c>
      <c r="L8" s="62" t="s">
        <v>6</v>
      </c>
      <c r="M8" s="62"/>
      <c r="N8" s="62"/>
      <c r="S8" s="28"/>
      <c r="T8" s="28"/>
    </row>
    <row r="9" spans="2:26" s="42" customFormat="1" ht="31.5" customHeight="1" x14ac:dyDescent="0.2">
      <c r="C9" s="28"/>
      <c r="F9" s="15" t="s">
        <v>7</v>
      </c>
      <c r="G9" s="62"/>
      <c r="H9" s="62"/>
      <c r="I9" s="62"/>
      <c r="K9" s="15" t="s">
        <v>8</v>
      </c>
      <c r="L9" s="62"/>
      <c r="M9" s="62"/>
      <c r="N9" s="62"/>
      <c r="S9" s="28"/>
      <c r="T9" s="28"/>
    </row>
    <row r="10" spans="2:26" x14ac:dyDescent="0.2">
      <c r="I10" s="16"/>
      <c r="J10" s="63"/>
      <c r="K10" s="63"/>
      <c r="L10" s="63"/>
      <c r="M10" s="16"/>
      <c r="N10" s="2"/>
    </row>
    <row r="11" spans="2:26" x14ac:dyDescent="0.2">
      <c r="B11" s="16"/>
      <c r="C11" s="32"/>
      <c r="D11" s="32"/>
      <c r="E11" s="32"/>
      <c r="F11" s="16"/>
      <c r="G11" s="2"/>
    </row>
    <row r="12" spans="2:26" ht="30" customHeight="1" x14ac:dyDescent="0.2">
      <c r="B12" s="53" t="s">
        <v>9</v>
      </c>
      <c r="C12" s="53"/>
      <c r="D12" s="34" t="s">
        <v>10</v>
      </c>
      <c r="E12" s="34" t="s">
        <v>11</v>
      </c>
      <c r="F12" s="34" t="s">
        <v>12</v>
      </c>
      <c r="G12" s="53" t="s">
        <v>36</v>
      </c>
      <c r="H12" s="53"/>
      <c r="I12" s="8"/>
      <c r="K12" s="11"/>
      <c r="L12" s="2"/>
      <c r="P12" s="55" t="s">
        <v>27</v>
      </c>
      <c r="Q12" s="55"/>
      <c r="R12" s="31"/>
      <c r="S12" s="55" t="s">
        <v>37</v>
      </c>
      <c r="T12" s="55"/>
      <c r="Z12">
        <f>574/195</f>
        <v>2.9435897435897438</v>
      </c>
    </row>
    <row r="13" spans="2:26" ht="25" customHeight="1" x14ac:dyDescent="0.2">
      <c r="B13" s="46" t="s">
        <v>13</v>
      </c>
      <c r="C13" s="46"/>
      <c r="D13" s="20">
        <v>1638</v>
      </c>
      <c r="E13" s="19">
        <v>3440</v>
      </c>
      <c r="F13" s="19">
        <v>5653080</v>
      </c>
      <c r="G13" s="56"/>
      <c r="H13" s="57"/>
      <c r="P13" s="26" t="s">
        <v>28</v>
      </c>
      <c r="Q13" s="26" t="s">
        <v>29</v>
      </c>
      <c r="S13" s="12">
        <v>2400</v>
      </c>
      <c r="T13" s="41">
        <v>3480</v>
      </c>
      <c r="Z13">
        <f>Z12*60</f>
        <v>176.61538461538464</v>
      </c>
    </row>
    <row r="14" spans="2:26" ht="25" customHeight="1" x14ac:dyDescent="0.2">
      <c r="B14" s="46" t="s">
        <v>14</v>
      </c>
      <c r="C14" s="46"/>
      <c r="D14" s="18">
        <v>75</v>
      </c>
      <c r="E14" s="19">
        <v>1550</v>
      </c>
      <c r="F14" s="19">
        <f>D14*E14</f>
        <v>116250</v>
      </c>
      <c r="G14" s="56"/>
      <c r="H14" s="57"/>
      <c r="P14" s="27">
        <v>100</v>
      </c>
      <c r="Q14" s="27">
        <v>577</v>
      </c>
      <c r="S14" s="12">
        <v>2100</v>
      </c>
      <c r="T14" s="41">
        <v>3540</v>
      </c>
      <c r="Z14">
        <f>Z13/574</f>
        <v>0.30769230769230776</v>
      </c>
    </row>
    <row r="15" spans="2:26" ht="25" customHeight="1" x14ac:dyDescent="0.2">
      <c r="B15" s="46" t="s">
        <v>15</v>
      </c>
      <c r="C15" s="46"/>
      <c r="D15" s="18">
        <v>75</v>
      </c>
      <c r="E15" s="19">
        <v>1550</v>
      </c>
      <c r="F15" s="19">
        <f t="shared" ref="F15:F21" si="0">D15*E15</f>
        <v>116250</v>
      </c>
      <c r="G15" s="58"/>
      <c r="H15" s="59"/>
      <c r="P15" s="27">
        <v>90</v>
      </c>
      <c r="Q15" s="27">
        <v>519</v>
      </c>
      <c r="S15" s="12">
        <v>1800</v>
      </c>
      <c r="T15" s="41">
        <v>3540</v>
      </c>
    </row>
    <row r="16" spans="2:26" ht="25" customHeight="1" x14ac:dyDescent="0.2">
      <c r="B16" s="46" t="s">
        <v>16</v>
      </c>
      <c r="C16" s="46"/>
      <c r="D16" s="18">
        <v>204</v>
      </c>
      <c r="E16" s="19">
        <v>2540</v>
      </c>
      <c r="F16" s="19">
        <f t="shared" si="0"/>
        <v>518160</v>
      </c>
      <c r="G16" s="51"/>
      <c r="H16" s="52"/>
      <c r="P16" s="27">
        <v>80</v>
      </c>
      <c r="Q16" s="27">
        <v>461</v>
      </c>
      <c r="S16" s="12">
        <v>1800</v>
      </c>
      <c r="T16" s="41">
        <v>3170</v>
      </c>
    </row>
    <row r="17" spans="2:20" ht="25" customHeight="1" x14ac:dyDescent="0.2">
      <c r="B17" s="46" t="s">
        <v>17</v>
      </c>
      <c r="C17" s="46"/>
      <c r="D17" s="18">
        <v>0</v>
      </c>
      <c r="E17" s="19">
        <v>3200</v>
      </c>
      <c r="F17" s="19">
        <f t="shared" si="0"/>
        <v>0</v>
      </c>
      <c r="G17" s="51" t="str">
        <f>IF(D17&gt;120,"◄OVERWEIGHT"," ")</f>
        <v xml:space="preserve"> </v>
      </c>
      <c r="H17" s="52"/>
      <c r="P17" s="27">
        <v>70</v>
      </c>
      <c r="Q17" s="27">
        <v>404</v>
      </c>
      <c r="S17" s="12">
        <v>2000</v>
      </c>
      <c r="T17" s="41">
        <v>3170</v>
      </c>
    </row>
    <row r="18" spans="2:20" ht="25" customHeight="1" x14ac:dyDescent="0.2">
      <c r="B18" s="46" t="s">
        <v>18</v>
      </c>
      <c r="C18" s="46"/>
      <c r="D18" s="18">
        <v>0</v>
      </c>
      <c r="E18" s="19">
        <v>3200</v>
      </c>
      <c r="F18" s="19">
        <f t="shared" si="0"/>
        <v>0</v>
      </c>
      <c r="G18" s="51" t="str">
        <f>IF(D18&gt;100,"◄OVERWEIGHT"," ")</f>
        <v xml:space="preserve"> </v>
      </c>
      <c r="H18" s="52"/>
      <c r="K18" t="s">
        <v>19</v>
      </c>
      <c r="P18" s="27">
        <v>60</v>
      </c>
      <c r="Q18" s="27">
        <v>346</v>
      </c>
      <c r="S18" s="12">
        <v>2540</v>
      </c>
      <c r="T18" s="41">
        <v>3250</v>
      </c>
    </row>
    <row r="19" spans="2:20" ht="25" customHeight="1" x14ac:dyDescent="0.2">
      <c r="B19" s="46" t="s">
        <v>20</v>
      </c>
      <c r="C19" s="46"/>
      <c r="D19" s="18">
        <v>0</v>
      </c>
      <c r="E19" s="19">
        <v>4600</v>
      </c>
      <c r="F19" s="19">
        <f t="shared" si="0"/>
        <v>0</v>
      </c>
      <c r="G19" s="51" t="str">
        <f>IF(D19&gt;80,"◄OVERWEIGHT"," ")</f>
        <v xml:space="preserve"> </v>
      </c>
      <c r="H19" s="52"/>
      <c r="P19" s="27">
        <v>55</v>
      </c>
      <c r="Q19" s="27">
        <v>317</v>
      </c>
      <c r="S19" s="12">
        <v>2540</v>
      </c>
      <c r="T19" s="41">
        <v>3450</v>
      </c>
    </row>
    <row r="20" spans="2:20" ht="25" customHeight="1" x14ac:dyDescent="0.2">
      <c r="B20" s="35" t="s">
        <v>21</v>
      </c>
      <c r="C20" s="36">
        <v>20</v>
      </c>
      <c r="D20" s="20">
        <v>115</v>
      </c>
      <c r="E20" s="19">
        <v>3240</v>
      </c>
      <c r="F20" s="19">
        <f t="shared" si="0"/>
        <v>372600</v>
      </c>
      <c r="G20" s="45" t="s">
        <v>22</v>
      </c>
      <c r="H20" s="43">
        <f>F22/D22</f>
        <v>3264.2061403508774</v>
      </c>
      <c r="P20" s="27">
        <v>50</v>
      </c>
      <c r="Q20" s="27">
        <v>288</v>
      </c>
      <c r="S20" s="12"/>
      <c r="T20" s="12"/>
    </row>
    <row r="21" spans="2:20" ht="25" customHeight="1" x14ac:dyDescent="0.2">
      <c r="B21" s="35" t="s">
        <v>23</v>
      </c>
      <c r="C21" s="36">
        <v>30</v>
      </c>
      <c r="D21" s="20">
        <v>173</v>
      </c>
      <c r="E21" s="19">
        <v>3850</v>
      </c>
      <c r="F21" s="19">
        <f t="shared" si="0"/>
        <v>666050</v>
      </c>
      <c r="G21" s="44" t="s">
        <v>24</v>
      </c>
      <c r="H21" s="37" t="s">
        <v>25</v>
      </c>
      <c r="P21" s="27">
        <v>45</v>
      </c>
      <c r="Q21" s="27">
        <v>260</v>
      </c>
      <c r="S21" s="12"/>
      <c r="T21" s="12"/>
    </row>
    <row r="22" spans="2:20" ht="25" customHeight="1" x14ac:dyDescent="0.2">
      <c r="B22" s="50" t="s">
        <v>26</v>
      </c>
      <c r="C22" s="50"/>
      <c r="D22" s="38">
        <f>SUM(D13:D21)</f>
        <v>2280</v>
      </c>
      <c r="E22" s="39">
        <f>F22/D22</f>
        <v>3264.2061403508774</v>
      </c>
      <c r="F22" s="40">
        <f>SUM(F13:F21)</f>
        <v>7442390</v>
      </c>
      <c r="G22" s="54" t="str">
        <f>IF(D22&gt;2540,"◄OVERWEIGHT"," ")</f>
        <v xml:space="preserve"> </v>
      </c>
      <c r="H22" s="54"/>
      <c r="P22" s="27">
        <v>40</v>
      </c>
      <c r="Q22" s="27">
        <v>231</v>
      </c>
      <c r="S22" s="12">
        <v>2400</v>
      </c>
      <c r="T22" s="12">
        <v>3230</v>
      </c>
    </row>
    <row r="23" spans="2:20" ht="25" customHeight="1" x14ac:dyDescent="0.2">
      <c r="B23" s="21"/>
      <c r="C23" s="22"/>
      <c r="D23" s="21"/>
      <c r="E23" s="21"/>
      <c r="F23" s="21"/>
      <c r="G23" s="23"/>
      <c r="P23" s="27">
        <v>30</v>
      </c>
      <c r="Q23" s="27">
        <v>173</v>
      </c>
      <c r="S23" s="12">
        <v>2540</v>
      </c>
      <c r="T23" s="12">
        <v>3250</v>
      </c>
    </row>
    <row r="24" spans="2:20" ht="25" customHeight="1" x14ac:dyDescent="0.2">
      <c r="P24" s="27">
        <v>20</v>
      </c>
      <c r="Q24" s="27">
        <v>115</v>
      </c>
      <c r="S24" s="12"/>
      <c r="T24" s="12"/>
    </row>
    <row r="25" spans="2:20" ht="25" customHeight="1" x14ac:dyDescent="0.2">
      <c r="B25" s="23" t="s">
        <v>30</v>
      </c>
      <c r="P25" s="27">
        <v>0</v>
      </c>
      <c r="Q25" s="27">
        <v>0</v>
      </c>
      <c r="S25" s="12">
        <v>2540</v>
      </c>
      <c r="T25" s="12">
        <v>3450</v>
      </c>
    </row>
    <row r="26" spans="2:20" ht="25" customHeight="1" x14ac:dyDescent="0.2">
      <c r="B26" s="23" t="s">
        <v>31</v>
      </c>
      <c r="P26" s="33"/>
      <c r="Q26" s="33"/>
      <c r="S26" s="12">
        <v>2400</v>
      </c>
      <c r="T26" s="12">
        <v>3480</v>
      </c>
    </row>
    <row r="27" spans="2:20" ht="15" customHeight="1" x14ac:dyDescent="0.2"/>
    <row r="28" spans="2:20" ht="15" customHeight="1" x14ac:dyDescent="0.2">
      <c r="C28" s="23"/>
      <c r="D28" s="23"/>
      <c r="E28" s="23"/>
      <c r="F28" s="23"/>
    </row>
    <row r="29" spans="2:20" x14ac:dyDescent="0.2">
      <c r="C29" s="23"/>
      <c r="D29" s="23"/>
      <c r="E29" s="23"/>
      <c r="F29" s="23"/>
    </row>
    <row r="30" spans="2:20" ht="15" customHeight="1" x14ac:dyDescent="0.2"/>
    <row r="31" spans="2:20" x14ac:dyDescent="0.2">
      <c r="B31" s="6" t="s">
        <v>32</v>
      </c>
      <c r="C31" s="1" t="s">
        <v>33</v>
      </c>
      <c r="D31" s="24"/>
      <c r="E31" s="24"/>
      <c r="F31" s="2"/>
    </row>
    <row r="32" spans="2:20" ht="15" customHeight="1" x14ac:dyDescent="0.2">
      <c r="B32" s="17"/>
      <c r="D32" s="25"/>
      <c r="F32" s="2"/>
    </row>
    <row r="33" spans="2:31" ht="15" customHeight="1" x14ac:dyDescent="0.2">
      <c r="B33" s="15" t="s">
        <v>34</v>
      </c>
      <c r="C33" s="1" t="s">
        <v>33</v>
      </c>
      <c r="D33" s="30"/>
      <c r="E33" s="24"/>
      <c r="F33" s="9"/>
      <c r="G33" s="2"/>
    </row>
    <row r="34" spans="2:31" x14ac:dyDescent="0.2">
      <c r="B34" s="7"/>
      <c r="D34" s="25"/>
      <c r="F34" s="2"/>
      <c r="G34" s="2"/>
    </row>
    <row r="35" spans="2:31" x14ac:dyDescent="0.2">
      <c r="B35" s="6" t="s">
        <v>35</v>
      </c>
      <c r="C35" s="1" t="s">
        <v>33</v>
      </c>
      <c r="D35" s="47"/>
      <c r="E35" s="48"/>
      <c r="F35" s="9"/>
      <c r="G35" s="9"/>
      <c r="AD35" s="1">
        <v>35</v>
      </c>
      <c r="AE35" s="1">
        <v>202</v>
      </c>
    </row>
    <row r="36" spans="2:31" x14ac:dyDescent="0.2">
      <c r="AD36" s="28">
        <v>25</v>
      </c>
      <c r="AE36" s="28">
        <v>144</v>
      </c>
    </row>
    <row r="37" spans="2:31" x14ac:dyDescent="0.2">
      <c r="AD37" s="28">
        <v>15</v>
      </c>
      <c r="AE37" s="28">
        <v>86.25</v>
      </c>
    </row>
    <row r="38" spans="2:31" x14ac:dyDescent="0.2">
      <c r="AD38" s="28">
        <v>10</v>
      </c>
      <c r="AE38" s="28">
        <v>57.5</v>
      </c>
    </row>
    <row r="41" spans="2:31" x14ac:dyDescent="0.2">
      <c r="H41" s="2"/>
    </row>
    <row r="42" spans="2:31" x14ac:dyDescent="0.2">
      <c r="B42" s="4"/>
      <c r="C42" s="3"/>
      <c r="D42" s="49"/>
      <c r="E42" s="49"/>
      <c r="F42" s="49"/>
      <c r="G42" s="9"/>
      <c r="H42" s="2"/>
    </row>
    <row r="43" spans="2:31" x14ac:dyDescent="0.2">
      <c r="C43"/>
      <c r="H43" s="2"/>
    </row>
    <row r="44" spans="2:31" x14ac:dyDescent="0.2">
      <c r="C44"/>
      <c r="H44" s="10"/>
    </row>
    <row r="45" spans="2:31" x14ac:dyDescent="0.2">
      <c r="C45"/>
    </row>
    <row r="46" spans="2:31" x14ac:dyDescent="0.2">
      <c r="C46"/>
    </row>
    <row r="47" spans="2:31" x14ac:dyDescent="0.2">
      <c r="C47"/>
    </row>
    <row r="48" spans="2:31" x14ac:dyDescent="0.2">
      <c r="C48"/>
    </row>
    <row r="49" spans="3:3" x14ac:dyDescent="0.2">
      <c r="C49"/>
    </row>
    <row r="51" spans="3:3" x14ac:dyDescent="0.2">
      <c r="C51"/>
    </row>
  </sheetData>
  <sheetProtection selectLockedCells="1"/>
  <mergeCells count="30">
    <mergeCell ref="S12:T12"/>
    <mergeCell ref="B3:T3"/>
    <mergeCell ref="G7:I7"/>
    <mergeCell ref="G8:I8"/>
    <mergeCell ref="G9:I9"/>
    <mergeCell ref="L7:N7"/>
    <mergeCell ref="L8:N8"/>
    <mergeCell ref="L9:N9"/>
    <mergeCell ref="J10:L10"/>
    <mergeCell ref="B12:C12"/>
    <mergeCell ref="G18:H18"/>
    <mergeCell ref="G19:H19"/>
    <mergeCell ref="G12:H12"/>
    <mergeCell ref="G22:H22"/>
    <mergeCell ref="P12:Q12"/>
    <mergeCell ref="G13:H13"/>
    <mergeCell ref="G14:H14"/>
    <mergeCell ref="G15:H15"/>
    <mergeCell ref="G16:H16"/>
    <mergeCell ref="G17:H17"/>
    <mergeCell ref="B13:C13"/>
    <mergeCell ref="B14:C14"/>
    <mergeCell ref="B15:C15"/>
    <mergeCell ref="D35:E35"/>
    <mergeCell ref="D42:F42"/>
    <mergeCell ref="B16:C16"/>
    <mergeCell ref="B17:C17"/>
    <mergeCell ref="B18:C18"/>
    <mergeCell ref="B19:C19"/>
    <mergeCell ref="B22:C22"/>
  </mergeCells>
  <printOptions horizontalCentered="1"/>
  <pageMargins left="0" right="0" top="0.25" bottom="0" header="0.31388888888888899" footer="0.31388888888888899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AS355F2</vt:lpstr>
      <vt:lpstr>AS355F2!Area_stampa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Lalo</dc:creator>
  <cp:lastModifiedBy>Microsoft Office User</cp:lastModifiedBy>
  <cp:lastPrinted>2022-04-06T15:51:40Z</cp:lastPrinted>
  <dcterms:created xsi:type="dcterms:W3CDTF">2015-08-13T03:29:00Z</dcterms:created>
  <dcterms:modified xsi:type="dcterms:W3CDTF">2022-08-22T09:53:25Z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F9509FA13CA84FF4B99DCF12AA20C65E</vt:lpwstr>
  </property>
</Properties>
</file>