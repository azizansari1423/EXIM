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204"/>
  </bookViews>
  <sheets>
    <sheet name="1" sheetId="2" r:id="rId1"/>
  </sheets>
  <externalReferences>
    <externalReference r:id="rId2"/>
  </externalReferences>
  <definedNames>
    <definedName name="_xlnm.Print_Area" localSheetId="0">'1'!$A$1:$L$169</definedName>
    <definedName name="_xlnm.Print_Titles" localSheetId="0">'1'!$1:$7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45" i="2" l="1"/>
  <c r="D28" i="2" l="1"/>
  <c r="D27" i="2"/>
  <c r="D26" i="2"/>
  <c r="D147" i="2"/>
  <c r="D148" i="2" s="1"/>
  <c r="D142" i="2" l="1"/>
  <c r="D135" i="2" l="1"/>
  <c r="D134" i="2"/>
  <c r="D133" i="2"/>
  <c r="D14" i="2" l="1"/>
  <c r="J14" i="2" l="1"/>
  <c r="J12" i="2"/>
  <c r="D127" i="2" l="1"/>
  <c r="D106" i="2" l="1"/>
  <c r="D125" i="2"/>
  <c r="D124" i="2"/>
  <c r="D37" i="2" l="1"/>
  <c r="D99" i="2"/>
  <c r="L149" i="2" l="1"/>
  <c r="L129" i="2"/>
  <c r="L137" i="2"/>
  <c r="J30" i="2" l="1"/>
  <c r="F93" i="2" l="1"/>
  <c r="D162" i="2" l="1"/>
  <c r="D164" i="2" s="1"/>
  <c r="L146" i="2" l="1"/>
  <c r="L143" i="2"/>
  <c r="J146" i="2" l="1"/>
  <c r="J143" i="2"/>
  <c r="D84" i="2"/>
  <c r="D150" i="2" l="1"/>
  <c r="D152" i="2" s="1"/>
  <c r="L163" i="2"/>
  <c r="J163" i="2"/>
  <c r="L151" i="2"/>
  <c r="J149" i="2"/>
  <c r="D39" i="2"/>
  <c r="D29" i="2"/>
  <c r="D31" i="2" s="1"/>
  <c r="D21" i="2"/>
  <c r="D23" i="2" s="1"/>
  <c r="D13" i="2"/>
  <c r="D15" i="2" s="1"/>
  <c r="J129" i="2"/>
  <c r="J137" i="2"/>
  <c r="D41" i="2" l="1"/>
  <c r="J151" i="2"/>
  <c r="F81" i="2" l="1"/>
  <c r="F78" i="2"/>
  <c r="D136" i="2"/>
  <c r="D138" i="2" s="1"/>
  <c r="D128" i="2" l="1"/>
  <c r="D130" i="2" l="1"/>
  <c r="D166" i="2" s="1"/>
  <c r="H52" i="2"/>
  <c r="L52" i="2" s="1"/>
  <c r="J52" i="2" l="1"/>
  <c r="F55" i="2" l="1"/>
  <c r="D55" i="2"/>
  <c r="L35" i="2"/>
  <c r="J35" i="2"/>
  <c r="L34" i="2"/>
  <c r="J34" i="2"/>
  <c r="L28" i="2"/>
  <c r="J28" i="2"/>
  <c r="L27" i="2"/>
  <c r="J27" i="2"/>
  <c r="L26" i="2"/>
  <c r="J26" i="2"/>
  <c r="L20" i="2"/>
  <c r="J20" i="2"/>
  <c r="L19" i="2"/>
  <c r="J19" i="2"/>
  <c r="L18" i="2"/>
  <c r="J18" i="2"/>
  <c r="L12" i="2"/>
  <c r="L11" i="2"/>
  <c r="J11" i="2"/>
  <c r="L10" i="2"/>
  <c r="J10" i="2"/>
  <c r="L36" i="2"/>
  <c r="J36" i="2"/>
  <c r="J37" i="2" l="1"/>
  <c r="J39" i="2" s="1"/>
  <c r="J13" i="2"/>
  <c r="J15" i="2" s="1"/>
  <c r="J29" i="2"/>
  <c r="J31" i="2" s="1"/>
  <c r="J21" i="2"/>
  <c r="J23" i="2" s="1"/>
  <c r="F58" i="2"/>
  <c r="F61" i="2" s="1"/>
  <c r="F64" i="2" s="1"/>
  <c r="F67" i="2" s="1"/>
  <c r="F70" i="2" s="1"/>
  <c r="F73" i="2" s="1"/>
  <c r="F76" i="2" s="1"/>
  <c r="H55" i="2"/>
  <c r="L55" i="2" s="1"/>
  <c r="D58" i="2"/>
  <c r="J41" i="2" l="1"/>
  <c r="F79" i="2"/>
  <c r="F82" i="2" s="1"/>
  <c r="F85" i="2" s="1"/>
  <c r="F88" i="2" s="1"/>
  <c r="D61" i="2"/>
  <c r="D64" i="2" s="1"/>
  <c r="H58" i="2"/>
  <c r="L58" i="2" s="1"/>
  <c r="J55" i="2"/>
  <c r="F91" i="2" l="1"/>
  <c r="D67" i="2"/>
  <c r="D70" i="2" s="1"/>
  <c r="D73" i="2" s="1"/>
  <c r="D76" i="2" s="1"/>
  <c r="H64" i="2"/>
  <c r="L64" i="2" s="1"/>
  <c r="H61" i="2"/>
  <c r="L61" i="2" s="1"/>
  <c r="J58" i="2"/>
  <c r="F94" i="2" l="1"/>
  <c r="H67" i="2"/>
  <c r="L67" i="2" s="1"/>
  <c r="J61" i="2"/>
  <c r="J64" i="2"/>
  <c r="H70" i="2"/>
  <c r="J70" i="2" s="1"/>
  <c r="D79" i="2"/>
  <c r="H73" i="2"/>
  <c r="L73" i="2" s="1"/>
  <c r="H76" i="2"/>
  <c r="J76" i="2" s="1"/>
  <c r="F97" i="2" l="1"/>
  <c r="F100" i="2" s="1"/>
  <c r="F107" i="2" s="1"/>
  <c r="F110" i="2" s="1"/>
  <c r="J67" i="2"/>
  <c r="H79" i="2"/>
  <c r="L79" i="2" s="1"/>
  <c r="D82" i="2"/>
  <c r="D85" i="2" s="1"/>
  <c r="L70" i="2"/>
  <c r="J73" i="2"/>
  <c r="L76" i="2"/>
  <c r="F113" i="2" l="1"/>
  <c r="H85" i="2"/>
  <c r="D88" i="2"/>
  <c r="J79" i="2"/>
  <c r="H82" i="2"/>
  <c r="L82" i="2" s="1"/>
  <c r="H88" i="2" l="1"/>
  <c r="L88" i="2" s="1"/>
  <c r="D91" i="2"/>
  <c r="J82" i="2"/>
  <c r="J85" i="2"/>
  <c r="L85" i="2"/>
  <c r="H91" i="2" l="1"/>
  <c r="L91" i="2" s="1"/>
  <c r="D94" i="2"/>
  <c r="J88" i="2"/>
  <c r="L157" i="2" l="1"/>
  <c r="L156" i="2"/>
  <c r="D97" i="2"/>
  <c r="D100" i="2" s="1"/>
  <c r="D107" i="2" s="1"/>
  <c r="D110" i="2" s="1"/>
  <c r="H94" i="2"/>
  <c r="L94" i="2" s="1"/>
  <c r="L158" i="2" s="1"/>
  <c r="J91" i="2"/>
  <c r="D113" i="2" l="1"/>
  <c r="H113" i="2" s="1"/>
  <c r="H110" i="2"/>
  <c r="H100" i="2"/>
  <c r="H97" i="2"/>
  <c r="L97" i="2" s="1"/>
  <c r="J94" i="2"/>
  <c r="J158" i="2" s="1"/>
  <c r="J157" i="2"/>
  <c r="J156" i="2"/>
  <c r="J113" i="2" l="1"/>
  <c r="F148" i="2" s="1"/>
  <c r="J148" i="2" s="1"/>
  <c r="L113" i="2"/>
  <c r="H148" i="2" s="1"/>
  <c r="L148" i="2" s="1"/>
  <c r="J110" i="2"/>
  <c r="L110" i="2"/>
  <c r="H107" i="2"/>
  <c r="L159" i="2"/>
  <c r="L160" i="2"/>
  <c r="J97" i="2"/>
  <c r="J100" i="2"/>
  <c r="L100" i="2"/>
  <c r="F147" i="2" l="1"/>
  <c r="J147" i="2" s="1"/>
  <c r="F145" i="2"/>
  <c r="J145" i="2" s="1"/>
  <c r="H145" i="2"/>
  <c r="L145" i="2" s="1"/>
  <c r="H147" i="2"/>
  <c r="L147" i="2" s="1"/>
  <c r="H133" i="2"/>
  <c r="L133" i="2" s="1"/>
  <c r="L107" i="2"/>
  <c r="H135" i="2"/>
  <c r="L135" i="2" s="1"/>
  <c r="H134" i="2"/>
  <c r="L134" i="2" s="1"/>
  <c r="F125" i="2"/>
  <c r="J125" i="2" s="1"/>
  <c r="F126" i="2"/>
  <c r="J126" i="2" s="1"/>
  <c r="F124" i="2"/>
  <c r="H125" i="2"/>
  <c r="L125" i="2" s="1"/>
  <c r="H124" i="2"/>
  <c r="L124" i="2" s="1"/>
  <c r="H126" i="2"/>
  <c r="L126" i="2" s="1"/>
  <c r="J107" i="2"/>
  <c r="J161" i="2"/>
  <c r="J124" i="2"/>
  <c r="L161" i="2"/>
  <c r="L162" i="2" s="1"/>
  <c r="L164" i="2" s="1"/>
  <c r="J159" i="2"/>
  <c r="J160" i="2"/>
  <c r="H127" i="2" l="1"/>
  <c r="L127" i="2" s="1"/>
  <c r="L128" i="2" s="1"/>
  <c r="L130" i="2" s="1"/>
  <c r="H144" i="2"/>
  <c r="L144" i="2" s="1"/>
  <c r="H142" i="2"/>
  <c r="L142" i="2" s="1"/>
  <c r="F144" i="2"/>
  <c r="J144" i="2" s="1"/>
  <c r="F142" i="2"/>
  <c r="J142" i="2" s="1"/>
  <c r="L136" i="2"/>
  <c r="L138" i="2" s="1"/>
  <c r="F127" i="2"/>
  <c r="J127" i="2" s="1"/>
  <c r="F134" i="2"/>
  <c r="J134" i="2" s="1"/>
  <c r="F135" i="2"/>
  <c r="J135" i="2" s="1"/>
  <c r="F133" i="2"/>
  <c r="J133" i="2" s="1"/>
  <c r="J162" i="2"/>
  <c r="J164" i="2" s="1"/>
  <c r="L150" i="2" l="1"/>
  <c r="L152" i="2" s="1"/>
  <c r="L166" i="2" s="1"/>
  <c r="J150" i="2"/>
  <c r="J152" i="2" s="1"/>
  <c r="J128" i="2"/>
  <c r="J130" i="2" s="1"/>
  <c r="J136" i="2"/>
  <c r="J138" i="2" s="1"/>
  <c r="J166" i="2" l="1"/>
  <c r="J169" i="2" s="1"/>
</calcChain>
</file>

<file path=xl/sharedStrings.xml><?xml version="1.0" encoding="utf-8"?>
<sst xmlns="http://schemas.openxmlformats.org/spreadsheetml/2006/main" count="99" uniqueCount="36">
  <si>
    <t>Loan</t>
  </si>
  <si>
    <t>Equity</t>
  </si>
  <si>
    <t>%</t>
  </si>
  <si>
    <t>Total</t>
  </si>
  <si>
    <t>Income Portion</t>
  </si>
  <si>
    <t>%age</t>
  </si>
  <si>
    <t>Interest Income USD</t>
  </si>
  <si>
    <t>Adjustment</t>
  </si>
  <si>
    <t>Interest Income PKR</t>
  </si>
  <si>
    <t>Injected</t>
  </si>
  <si>
    <t>Income Portion Loan</t>
  </si>
  <si>
    <t>Equity         %age</t>
  </si>
  <si>
    <t>Loan         %age</t>
  </si>
  <si>
    <t>Qtr wise working</t>
  </si>
  <si>
    <t>Interest Income Net Off</t>
  </si>
  <si>
    <t>Month Wise Working</t>
  </si>
  <si>
    <t>Working for the year Interest Income Offshore</t>
  </si>
  <si>
    <t>Total for the Qtr</t>
  </si>
  <si>
    <t>PKR</t>
  </si>
  <si>
    <t xml:space="preserve">Adjustment </t>
  </si>
  <si>
    <t>2nd Qtr</t>
  </si>
  <si>
    <t>1st Qtr</t>
  </si>
  <si>
    <t>3rd Qtr</t>
  </si>
  <si>
    <t>4th Qtr</t>
  </si>
  <si>
    <t>Total Interest Income NetOff</t>
  </si>
  <si>
    <t>Working of Interest Income (Onshore) for the year 2012-13</t>
  </si>
  <si>
    <t>Sept-12 (uptill September 18)</t>
  </si>
  <si>
    <t>08-06-2012 to Sept 18 ,2012</t>
  </si>
  <si>
    <t>19-Sept-12 to 30-Sept-12</t>
  </si>
  <si>
    <t>Jan to Jul-12 Adjustment</t>
  </si>
  <si>
    <t>Total for the Year 2012-13</t>
  </si>
  <si>
    <t>01-03-2013 (uptill 5th Mar-13)</t>
  </si>
  <si>
    <t>06-03-2013 to 31-03-2013</t>
  </si>
  <si>
    <t>01-02-2013 to 13-02-2013</t>
  </si>
  <si>
    <t>14-02-2013 to 28-02-2013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</si>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</sst>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u val="singleAccounting"/>
      <sz val="12"/>
      <color theme="1"/>
      <name val="Times New Roman"/>
      <family val="1"/>
    </font>
    <font>
      <b/>
      <u val="singleAccounting"/>
      <sz val="12"/>
      <color theme="1"/>
      <name val="Times New Roman"/>
      <family val="1"/>
    </font>
    <font>
      <u val="singleAccounting"/>
      <sz val="12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3" tint="-0.499984740745262"/>
      <name val="Times New Roman"/>
      <family val="1"/>
    </font>
    <font>
      <b/>
      <u/>
      <sz val="18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 applyBorder="1"/>
    <xf numFmtId="164" fontId="2" fillId="0" borderId="0" xfId="1" applyNumberFormat="1" applyFont="1" applyBorder="1" applyAlignment="1">
      <alignment horizontal="center" wrapText="1"/>
    </xf>
    <xf numFmtId="43" fontId="3" fillId="0" borderId="0" xfId="1" applyFont="1" applyFill="1" applyBorder="1"/>
    <xf numFmtId="165" fontId="2" fillId="0" borderId="0" xfId="0" applyNumberFormat="1" applyFont="1" applyBorder="1"/>
    <xf numFmtId="0" fontId="4" fillId="0" borderId="0" xfId="0" applyFont="1" applyFill="1" applyBorder="1"/>
    <xf numFmtId="0" fontId="5" fillId="0" borderId="0" xfId="0" applyFont="1" applyFill="1" applyBorder="1"/>
    <xf numFmtId="165" fontId="5" fillId="0" borderId="0" xfId="1" applyNumberFormat="1" applyFont="1" applyFill="1" applyBorder="1"/>
    <xf numFmtId="9" fontId="5" fillId="0" borderId="0" xfId="2" applyFont="1" applyFill="1" applyBorder="1"/>
    <xf numFmtId="0" fontId="3" fillId="0" borderId="0" xfId="0" applyFont="1"/>
    <xf numFmtId="15" fontId="3" fillId="0" borderId="0" xfId="0" applyNumberFormat="1" applyFont="1" applyBorder="1"/>
    <xf numFmtId="0" fontId="4" fillId="0" borderId="0" xfId="0" applyFont="1" applyFill="1" applyBorder="1" applyAlignment="1">
      <alignment horizontal="center"/>
    </xf>
    <xf numFmtId="17" fontId="3" fillId="0" borderId="0" xfId="0" applyNumberFormat="1" applyFont="1" applyBorder="1" applyAlignment="1">
      <alignment horizontal="right"/>
    </xf>
    <xf numFmtId="17" fontId="3" fillId="0" borderId="0" xfId="0" applyNumberFormat="1" applyFont="1" applyBorder="1" applyAlignment="1">
      <alignment horizontal="right" wrapText="1"/>
    </xf>
    <xf numFmtId="43" fontId="3" fillId="0" borderId="0" xfId="1" applyFont="1" applyFill="1" applyBorder="1" applyAlignment="1">
      <alignment horizontal="center"/>
    </xf>
    <xf numFmtId="0" fontId="3" fillId="0" borderId="4" xfId="0" applyFont="1" applyBorder="1"/>
    <xf numFmtId="165" fontId="3" fillId="0" borderId="0" xfId="0" applyNumberFormat="1" applyFont="1" applyBorder="1"/>
    <xf numFmtId="0" fontId="3" fillId="0" borderId="3" xfId="0" applyFont="1" applyBorder="1"/>
    <xf numFmtId="165" fontId="2" fillId="0" borderId="0" xfId="1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15" fontId="2" fillId="0" borderId="0" xfId="0" applyNumberFormat="1" applyFont="1" applyBorder="1"/>
    <xf numFmtId="0" fontId="3" fillId="0" borderId="0" xfId="0" applyFont="1" applyFill="1" applyBorder="1"/>
    <xf numFmtId="165" fontId="2" fillId="0" borderId="0" xfId="1" applyNumberFormat="1" applyFont="1" applyFill="1" applyBorder="1" applyAlignment="1">
      <alignment horizontal="center" wrapText="1"/>
    </xf>
    <xf numFmtId="43" fontId="2" fillId="0" borderId="0" xfId="0" applyNumberFormat="1" applyFont="1" applyFill="1" applyBorder="1"/>
    <xf numFmtId="165" fontId="3" fillId="0" borderId="0" xfId="1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/>
    <xf numFmtId="165" fontId="3" fillId="0" borderId="0" xfId="1" applyNumberFormat="1" applyFont="1" applyFill="1"/>
    <xf numFmtId="165" fontId="3" fillId="0" borderId="4" xfId="0" applyNumberFormat="1" applyFont="1" applyFill="1" applyBorder="1"/>
    <xf numFmtId="0" fontId="3" fillId="0" borderId="0" xfId="0" applyFont="1" applyFill="1"/>
    <xf numFmtId="165" fontId="3" fillId="0" borderId="0" xfId="0" applyNumberFormat="1" applyFont="1" applyFill="1" applyBorder="1"/>
    <xf numFmtId="165" fontId="2" fillId="4" borderId="0" xfId="1" applyNumberFormat="1" applyFont="1" applyFill="1" applyBorder="1" applyAlignment="1">
      <alignment horizontal="center" vertical="center"/>
    </xf>
    <xf numFmtId="9" fontId="5" fillId="6" borderId="0" xfId="2" applyFont="1" applyFill="1" applyBorder="1"/>
    <xf numFmtId="0" fontId="4" fillId="0" borderId="4" xfId="0" applyFont="1" applyFill="1" applyBorder="1" applyAlignment="1">
      <alignment horizontal="center"/>
    </xf>
    <xf numFmtId="15" fontId="2" fillId="0" borderId="0" xfId="0" applyNumberFormat="1" applyFont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15" fontId="2" fillId="0" borderId="0" xfId="0" applyNumberFormat="1" applyFont="1" applyBorder="1" applyAlignment="1">
      <alignment vertical="center"/>
    </xf>
    <xf numFmtId="0" fontId="0" fillId="0" borderId="0" xfId="0" applyBorder="1" applyAlignment="1"/>
    <xf numFmtId="165" fontId="5" fillId="9" borderId="0" xfId="1" applyNumberFormat="1" applyFont="1" applyFill="1" applyBorder="1"/>
    <xf numFmtId="165" fontId="5" fillId="10" borderId="0" xfId="1" applyNumberFormat="1" applyFont="1" applyFill="1" applyBorder="1"/>
    <xf numFmtId="165" fontId="2" fillId="11" borderId="0" xfId="1" applyNumberFormat="1" applyFont="1" applyFill="1" applyBorder="1" applyAlignment="1">
      <alignment horizontal="center" vertical="center"/>
    </xf>
    <xf numFmtId="165" fontId="8" fillId="4" borderId="0" xfId="1" applyNumberFormat="1" applyFont="1" applyFill="1" applyBorder="1" applyAlignment="1">
      <alignment horizontal="center" vertical="center"/>
    </xf>
    <xf numFmtId="165" fontId="9" fillId="2" borderId="0" xfId="1" applyNumberFormat="1" applyFont="1" applyFill="1" applyBorder="1"/>
    <xf numFmtId="165" fontId="9" fillId="3" borderId="0" xfId="1" applyNumberFormat="1" applyFont="1" applyFill="1" applyBorder="1"/>
    <xf numFmtId="165" fontId="7" fillId="2" borderId="0" xfId="1" applyNumberFormat="1" applyFont="1" applyFill="1" applyBorder="1" applyAlignment="1">
      <alignment horizontal="center" vertical="center"/>
    </xf>
    <xf numFmtId="165" fontId="7" fillId="3" borderId="0" xfId="1" applyNumberFormat="1" applyFont="1" applyFill="1" applyBorder="1" applyAlignment="1">
      <alignment horizontal="center" vertical="center"/>
    </xf>
    <xf numFmtId="165" fontId="7" fillId="2" borderId="0" xfId="1" applyNumberFormat="1" applyFont="1" applyFill="1" applyBorder="1"/>
    <xf numFmtId="165" fontId="7" fillId="3" borderId="0" xfId="1" applyNumberFormat="1" applyFont="1" applyFill="1" applyBorder="1"/>
    <xf numFmtId="9" fontId="3" fillId="2" borderId="0" xfId="1" applyNumberFormat="1" applyFont="1" applyFill="1" applyBorder="1"/>
    <xf numFmtId="43" fontId="3" fillId="3" borderId="0" xfId="1" applyFont="1" applyFill="1" applyBorder="1"/>
    <xf numFmtId="43" fontId="3" fillId="4" borderId="0" xfId="1" applyFont="1" applyFill="1" applyBorder="1"/>
    <xf numFmtId="43" fontId="3" fillId="5" borderId="0" xfId="1" applyFont="1" applyFill="1" applyBorder="1" applyAlignment="1">
      <alignment horizontal="center"/>
    </xf>
    <xf numFmtId="43" fontId="2" fillId="6" borderId="0" xfId="1" applyFont="1" applyFill="1" applyBorder="1" applyAlignment="1">
      <alignment horizontal="center"/>
    </xf>
    <xf numFmtId="0" fontId="2" fillId="0" borderId="0" xfId="0" applyFont="1" applyBorder="1" applyAlignment="1">
      <alignment wrapText="1"/>
    </xf>
    <xf numFmtId="0" fontId="6" fillId="0" borderId="0" xfId="0" applyFont="1" applyBorder="1" applyAlignment="1"/>
    <xf numFmtId="9" fontId="5" fillId="8" borderId="0" xfId="2" applyFont="1" applyFill="1" applyBorder="1"/>
    <xf numFmtId="9" fontId="5" fillId="2" borderId="0" xfId="2" applyFont="1" applyFill="1" applyBorder="1"/>
    <xf numFmtId="165" fontId="2" fillId="0" borderId="4" xfId="1" applyNumberFormat="1" applyFont="1" applyBorder="1"/>
    <xf numFmtId="165" fontId="2" fillId="0" borderId="4" xfId="0" applyNumberFormat="1" applyFont="1" applyBorder="1"/>
    <xf numFmtId="9" fontId="5" fillId="12" borderId="0" xfId="2" applyFont="1" applyFill="1" applyBorder="1"/>
    <xf numFmtId="0" fontId="2" fillId="12" borderId="0" xfId="0" applyFont="1" applyFill="1"/>
    <xf numFmtId="0" fontId="3" fillId="12" borderId="0" xfId="0" applyFont="1" applyFill="1"/>
    <xf numFmtId="0" fontId="2" fillId="0" borderId="0" xfId="0" applyFont="1" applyBorder="1" applyAlignment="1">
      <alignment horizontal="center" vertical="top" wrapText="1"/>
    </xf>
    <xf numFmtId="165" fontId="2" fillId="0" borderId="3" xfId="0" applyNumberFormat="1" applyFont="1" applyBorder="1"/>
    <xf numFmtId="164" fontId="2" fillId="0" borderId="0" xfId="1" applyNumberFormat="1" applyFont="1" applyBorder="1" applyAlignment="1">
      <alignment horizontal="center" vertical="center" wrapText="1"/>
    </xf>
    <xf numFmtId="9" fontId="5" fillId="13" borderId="0" xfId="2" applyFont="1" applyFill="1" applyBorder="1"/>
    <xf numFmtId="165" fontId="11" fillId="0" borderId="0" xfId="1" applyNumberFormat="1" applyFont="1" applyBorder="1" applyAlignment="1">
      <alignment horizontal="center" wrapText="1"/>
    </xf>
    <xf numFmtId="165" fontId="11" fillId="0" borderId="0" xfId="1" applyNumberFormat="1" applyFont="1" applyFill="1" applyBorder="1" applyAlignment="1">
      <alignment horizont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wrapText="1"/>
    </xf>
    <xf numFmtId="9" fontId="3" fillId="0" borderId="0" xfId="1" applyNumberFormat="1" applyFont="1" applyFill="1" applyBorder="1"/>
    <xf numFmtId="43" fontId="2" fillId="0" borderId="0" xfId="1" applyFont="1" applyFill="1" applyBorder="1" applyAlignment="1">
      <alignment horizontal="center"/>
    </xf>
    <xf numFmtId="43" fontId="2" fillId="3" borderId="4" xfId="1" applyFont="1" applyFill="1" applyBorder="1"/>
    <xf numFmtId="43" fontId="2" fillId="5" borderId="4" xfId="1" applyFont="1" applyFill="1" applyBorder="1" applyAlignment="1">
      <alignment horizontal="center"/>
    </xf>
    <xf numFmtId="43" fontId="3" fillId="14" borderId="0" xfId="1" applyFont="1" applyFill="1" applyBorder="1"/>
    <xf numFmtId="9" fontId="3" fillId="14" borderId="0" xfId="1" applyNumberFormat="1" applyFont="1" applyFill="1" applyBorder="1"/>
    <xf numFmtId="43" fontId="3" fillId="14" borderId="0" xfId="1" applyFont="1" applyFill="1" applyBorder="1" applyAlignment="1">
      <alignment horizontal="center"/>
    </xf>
    <xf numFmtId="43" fontId="2" fillId="14" borderId="0" xfId="1" applyFont="1" applyFill="1" applyBorder="1" applyAlignment="1">
      <alignment horizontal="center"/>
    </xf>
    <xf numFmtId="43" fontId="2" fillId="0" borderId="3" xfId="1" applyFont="1" applyFill="1" applyBorder="1"/>
    <xf numFmtId="43" fontId="3" fillId="12" borderId="0" xfId="1" applyFont="1" applyFill="1" applyBorder="1"/>
    <xf numFmtId="9" fontId="3" fillId="12" borderId="0" xfId="1" applyNumberFormat="1" applyFont="1" applyFill="1" applyBorder="1"/>
    <xf numFmtId="43" fontId="3" fillId="12" borderId="0" xfId="1" applyFont="1" applyFill="1" applyBorder="1" applyAlignment="1">
      <alignment horizontal="center"/>
    </xf>
    <xf numFmtId="43" fontId="2" fillId="12" borderId="0" xfId="1" applyFont="1" applyFill="1" applyBorder="1" applyAlignment="1">
      <alignment horizontal="center"/>
    </xf>
    <xf numFmtId="0" fontId="2" fillId="0" borderId="0" xfId="0" applyFont="1" applyBorder="1"/>
    <xf numFmtId="0" fontId="3" fillId="0" borderId="1" xfId="0" applyFont="1" applyBorder="1"/>
    <xf numFmtId="165" fontId="3" fillId="0" borderId="1" xfId="0" applyNumberFormat="1" applyFont="1" applyBorder="1"/>
    <xf numFmtId="165" fontId="2" fillId="0" borderId="1" xfId="0" applyNumberFormat="1" applyFont="1" applyBorder="1"/>
    <xf numFmtId="165" fontId="2" fillId="15" borderId="1" xfId="0" applyNumberFormat="1" applyFont="1" applyFill="1" applyBorder="1"/>
    <xf numFmtId="165" fontId="2" fillId="15" borderId="4" xfId="0" applyNumberFormat="1" applyFont="1" applyFill="1" applyBorder="1"/>
    <xf numFmtId="0" fontId="2" fillId="0" borderId="0" xfId="0" applyFont="1" applyAlignment="1">
      <alignment horizontal="left" vertical="top"/>
    </xf>
    <xf numFmtId="17" fontId="2" fillId="0" borderId="0" xfId="0" quotePrefix="1" applyNumberFormat="1" applyFont="1" applyAlignment="1">
      <alignment horizontal="left" vertical="top"/>
    </xf>
    <xf numFmtId="165" fontId="3" fillId="5" borderId="0" xfId="1" applyNumberFormat="1" applyFont="1" applyFill="1"/>
    <xf numFmtId="165" fontId="3" fillId="4" borderId="0" xfId="1" applyNumberFormat="1" applyFont="1" applyFill="1"/>
    <xf numFmtId="165" fontId="3" fillId="12" borderId="0" xfId="1" applyNumberFormat="1" applyFont="1" applyFill="1"/>
    <xf numFmtId="165" fontId="2" fillId="0" borderId="1" xfId="1" applyNumberFormat="1" applyFont="1" applyBorder="1"/>
    <xf numFmtId="17" fontId="2" fillId="0" borderId="0" xfId="0" applyNumberFormat="1" applyFont="1" applyAlignment="1">
      <alignment horizontal="left" vertical="top"/>
    </xf>
    <xf numFmtId="15" fontId="2" fillId="0" borderId="0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10" fontId="5" fillId="6" borderId="0" xfId="2" applyNumberFormat="1" applyFont="1" applyFill="1" applyBorder="1"/>
    <xf numFmtId="10" fontId="5" fillId="5" borderId="0" xfId="2" applyNumberFormat="1" applyFont="1" applyFill="1" applyBorder="1"/>
    <xf numFmtId="10" fontId="5" fillId="0" borderId="0" xfId="2" applyNumberFormat="1" applyFont="1" applyFill="1" applyBorder="1"/>
    <xf numFmtId="10" fontId="2" fillId="0" borderId="0" xfId="2" applyNumberFormat="1" applyFont="1" applyBorder="1" applyAlignment="1">
      <alignment horizontal="center" wrapText="1"/>
    </xf>
    <xf numFmtId="10" fontId="2" fillId="6" borderId="0" xfId="2" applyNumberFormat="1" applyFont="1" applyFill="1" applyBorder="1" applyAlignment="1">
      <alignment horizontal="center" vertical="center"/>
    </xf>
    <xf numFmtId="10" fontId="2" fillId="6" borderId="0" xfId="2" applyNumberFormat="1" applyFont="1" applyFill="1" applyBorder="1" applyAlignment="1">
      <alignment horizontal="center" wrapText="1"/>
    </xf>
    <xf numFmtId="10" fontId="3" fillId="0" borderId="0" xfId="2" applyNumberFormat="1" applyFont="1" applyFill="1" applyBorder="1" applyAlignment="1">
      <alignment horizontal="center" vertical="center"/>
    </xf>
    <xf numFmtId="10" fontId="3" fillId="0" borderId="0" xfId="2" applyNumberFormat="1" applyFont="1" applyFill="1" applyBorder="1"/>
    <xf numFmtId="43" fontId="3" fillId="0" borderId="0" xfId="1" applyFont="1"/>
    <xf numFmtId="165" fontId="3" fillId="7" borderId="0" xfId="1" applyNumberFormat="1" applyFont="1" applyFill="1"/>
    <xf numFmtId="165" fontId="2" fillId="5" borderId="1" xfId="1" applyNumberFormat="1" applyFont="1" applyFill="1" applyBorder="1"/>
    <xf numFmtId="165" fontId="2" fillId="0" borderId="0" xfId="1" applyNumberFormat="1" applyFont="1" applyBorder="1"/>
    <xf numFmtId="165" fontId="3" fillId="0" borderId="0" xfId="1" applyNumberFormat="1" applyFont="1" applyBorder="1"/>
    <xf numFmtId="165" fontId="3" fillId="0" borderId="0" xfId="1" applyNumberFormat="1" applyFont="1"/>
    <xf numFmtId="165" fontId="12" fillId="7" borderId="0" xfId="1" applyNumberFormat="1" applyFont="1" applyFill="1"/>
    <xf numFmtId="165" fontId="12" fillId="0" borderId="0" xfId="1" applyNumberFormat="1" applyFont="1" applyFill="1"/>
    <xf numFmtId="165" fontId="2" fillId="0" borderId="3" xfId="1" applyNumberFormat="1" applyFont="1" applyBorder="1"/>
    <xf numFmtId="165" fontId="3" fillId="0" borderId="0" xfId="0" applyNumberFormat="1" applyFont="1"/>
    <xf numFmtId="165" fontId="3" fillId="0" borderId="0" xfId="0" applyNumberFormat="1" applyFont="1" applyFill="1"/>
    <xf numFmtId="165" fontId="2" fillId="5" borderId="4" xfId="0" applyNumberFormat="1" applyFont="1" applyFill="1" applyBorder="1"/>
    <xf numFmtId="43" fontId="2" fillId="0" borderId="17" xfId="0" applyNumberFormat="1" applyFont="1" applyBorder="1"/>
    <xf numFmtId="15" fontId="2" fillId="0" borderId="0" xfId="0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3" fillId="0" borderId="0" xfId="0" applyFont="1"/>
    <xf numFmtId="15" fontId="2" fillId="0" borderId="0" xfId="0" applyNumberFormat="1" applyFont="1" applyBorder="1" applyAlignment="1">
      <alignment horizontal="center" vertical="center"/>
    </xf>
    <xf numFmtId="43" fontId="3" fillId="14" borderId="2" xfId="1" applyFont="1" applyFill="1" applyBorder="1"/>
    <xf numFmtId="43" fontId="2" fillId="3" borderId="2" xfId="1" applyFont="1" applyFill="1" applyBorder="1"/>
    <xf numFmtId="17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5" fontId="2" fillId="0" borderId="0" xfId="0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5" fontId="2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Border="1" applyAlignment="1">
      <alignment horizontal="center" vertical="center"/>
    </xf>
    <xf numFmtId="15" fontId="2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5" fontId="2" fillId="0" borderId="5" xfId="0" applyNumberFormat="1" applyFont="1" applyBorder="1" applyAlignment="1">
      <alignment horizontal="center" vertical="center"/>
    </xf>
    <xf numFmtId="15" fontId="2" fillId="0" borderId="6" xfId="0" applyNumberFormat="1" applyFont="1" applyBorder="1" applyAlignment="1">
      <alignment horizontal="center" vertical="center"/>
    </xf>
    <xf numFmtId="15" fontId="2" fillId="0" borderId="15" xfId="0" applyNumberFormat="1" applyFont="1" applyBorder="1" applyAlignment="1">
      <alignment horizontal="center" vertical="center"/>
    </xf>
    <xf numFmtId="15" fontId="2" fillId="0" borderId="16" xfId="0" applyNumberFormat="1" applyFont="1" applyBorder="1" applyAlignment="1">
      <alignment horizontal="center" vertical="center"/>
    </xf>
    <xf numFmtId="15" fontId="2" fillId="0" borderId="7" xfId="0" applyNumberFormat="1" applyFont="1" applyBorder="1" applyAlignment="1">
      <alignment horizontal="center" vertical="center"/>
    </xf>
    <xf numFmtId="15" fontId="2" fillId="0" borderId="9" xfId="0" applyNumberFormat="1" applyFont="1" applyBorder="1" applyAlignment="1">
      <alignment horizontal="center" vertical="center"/>
    </xf>
    <xf numFmtId="164" fontId="2" fillId="0" borderId="12" xfId="1" applyNumberFormat="1" applyFont="1" applyBorder="1" applyAlignment="1">
      <alignment horizontal="center" vertical="center" wrapText="1"/>
    </xf>
    <xf numFmtId="164" fontId="2" fillId="0" borderId="11" xfId="1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15" fontId="10" fillId="0" borderId="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165" fontId="2" fillId="0" borderId="10" xfId="1" applyNumberFormat="1" applyFont="1" applyBorder="1" applyAlignment="1">
      <alignment horizontal="center" wrapText="1"/>
    </xf>
    <xf numFmtId="165" fontId="2" fillId="0" borderId="12" xfId="1" applyNumberFormat="1" applyFont="1" applyBorder="1" applyAlignment="1">
      <alignment horizontal="center" wrapText="1"/>
    </xf>
    <xf numFmtId="165" fontId="2" fillId="0" borderId="11" xfId="1" applyNumberFormat="1" applyFont="1" applyBorder="1" applyAlignment="1">
      <alignment horizont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5" fontId="2" fillId="0" borderId="10" xfId="1" applyNumberFormat="1" applyFont="1" applyBorder="1" applyAlignment="1">
      <alignment horizontal="center" vertical="center" wrapText="1"/>
    </xf>
    <xf numFmtId="165" fontId="2" fillId="0" borderId="11" xfId="1" applyNumberFormat="1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mshed%20Ali\Downloads\5.%20%20Schedule%20of%20Interest%20Income%20Ear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of Interest Income "/>
    </sheetNames>
    <sheetDataSet>
      <sheetData sheetId="0">
        <row r="8">
          <cell r="E8">
            <v>823628.88888888888</v>
          </cell>
        </row>
        <row r="9">
          <cell r="E9">
            <v>244469.61111111109</v>
          </cell>
        </row>
        <row r="10">
          <cell r="E10">
            <v>1252244.9222222222</v>
          </cell>
        </row>
        <row r="13">
          <cell r="E13">
            <v>2746397.3222222221</v>
          </cell>
        </row>
        <row r="14">
          <cell r="E14">
            <v>2338366.6555555556</v>
          </cell>
        </row>
        <row r="15">
          <cell r="E15">
            <v>1368530.9111111111</v>
          </cell>
        </row>
        <row r="17">
          <cell r="E17">
            <v>242944.24444444446</v>
          </cell>
          <cell r="O17">
            <v>77969.673999999999</v>
          </cell>
        </row>
        <row r="18">
          <cell r="E18">
            <v>311595.5777777778</v>
          </cell>
          <cell r="O18">
            <v>66719.828999999998</v>
          </cell>
        </row>
        <row r="19">
          <cell r="E19">
            <v>1562125.3777777778</v>
          </cell>
          <cell r="O19">
            <v>284888.46599999996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9"/>
  <sheetViews>
    <sheetView showGridLines="0" tabSelected="1" zoomScale="85" zoomScaleNormal="85" workbookViewId="0">
      <selection activeCell="Q147" sqref="Q147"/>
    </sheetView>
  </sheetViews>
  <sheetFormatPr defaultColWidth="9.21875" defaultRowHeight="15.6" x14ac:dyDescent="0.3"/>
  <cols>
    <col min="1" max="1" width="29.5546875" style="9" customWidth="1"/>
    <col min="2" max="2" width="9.5546875" style="9" bestFit="1" customWidth="1"/>
    <col min="3" max="3" width="1.77734375" style="28" customWidth="1"/>
    <col min="4" max="4" width="29.77734375" style="9" bestFit="1" customWidth="1"/>
    <col min="5" max="5" width="1.77734375" style="28" customWidth="1"/>
    <col min="6" max="6" width="18.77734375" style="9" bestFit="1" customWidth="1"/>
    <col min="7" max="7" width="1.77734375" style="28" customWidth="1"/>
    <col min="8" max="8" width="20.21875" style="9" bestFit="1" customWidth="1"/>
    <col min="9" max="9" width="1.77734375" style="28" customWidth="1"/>
    <col min="10" max="10" width="23.5546875" style="9" bestFit="1" customWidth="1"/>
    <col min="11" max="11" width="1.77734375" style="28" customWidth="1"/>
    <col min="12" max="12" width="12.44140625" style="9" bestFit="1" customWidth="1"/>
    <col min="13" max="16384" width="9.21875" style="9"/>
  </cols>
  <sheetData>
    <row r="1" spans="1:12" ht="22.8" x14ac:dyDescent="0.4">
      <c r="L1" s="123"/>
    </row>
    <row r="2" spans="1:12" x14ac:dyDescent="0.3">
      <c r="A2" s="140" t="s">
        <v>16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3" spans="1:12" x14ac:dyDescent="0.3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</row>
    <row r="4" spans="1:12" x14ac:dyDescent="0.3">
      <c r="A4" s="1"/>
      <c r="B4" s="1"/>
      <c r="C4" s="21"/>
      <c r="D4" s="1"/>
      <c r="E4" s="21"/>
      <c r="F4" s="150" t="s">
        <v>2</v>
      </c>
      <c r="G4" s="151"/>
      <c r="H4" s="152"/>
      <c r="I4" s="21"/>
      <c r="J4" s="150" t="s">
        <v>2</v>
      </c>
      <c r="K4" s="151"/>
      <c r="L4" s="152"/>
    </row>
    <row r="5" spans="1:12" x14ac:dyDescent="0.3">
      <c r="A5" s="138" t="s">
        <v>15</v>
      </c>
      <c r="B5" s="138"/>
      <c r="C5" s="22"/>
      <c r="D5" s="162" t="s">
        <v>6</v>
      </c>
      <c r="E5" s="22"/>
      <c r="F5" s="160" t="s">
        <v>0</v>
      </c>
      <c r="G5" s="54"/>
      <c r="H5" s="160" t="s">
        <v>1</v>
      </c>
      <c r="I5" s="19"/>
      <c r="J5" s="155" t="s">
        <v>10</v>
      </c>
      <c r="K5" s="54"/>
      <c r="L5" s="148" t="s">
        <v>1</v>
      </c>
    </row>
    <row r="6" spans="1:12" ht="17.25" customHeight="1" x14ac:dyDescent="0.3">
      <c r="A6" s="138"/>
      <c r="B6" s="138"/>
      <c r="C6" s="22"/>
      <c r="D6" s="163"/>
      <c r="E6" s="22"/>
      <c r="F6" s="161"/>
      <c r="G6" s="22"/>
      <c r="H6" s="161"/>
      <c r="I6" s="22"/>
      <c r="J6" s="156"/>
      <c r="K6" s="22"/>
      <c r="L6" s="149"/>
    </row>
    <row r="7" spans="1:12" x14ac:dyDescent="0.3">
      <c r="A7" s="1"/>
      <c r="B7" s="1"/>
      <c r="C7" s="22"/>
      <c r="D7" s="67" t="s">
        <v>18</v>
      </c>
      <c r="E7" s="68"/>
      <c r="F7" s="69"/>
      <c r="G7" s="68"/>
      <c r="H7" s="70"/>
      <c r="I7" s="68"/>
      <c r="J7" s="67" t="s">
        <v>18</v>
      </c>
      <c r="K7" s="22"/>
      <c r="L7" s="2"/>
    </row>
    <row r="8" spans="1:12" x14ac:dyDescent="0.3">
      <c r="A8" s="138" t="s">
        <v>21</v>
      </c>
      <c r="B8" s="1"/>
      <c r="C8" s="22"/>
      <c r="D8" s="67"/>
      <c r="E8" s="68"/>
      <c r="F8" s="69"/>
      <c r="G8" s="68"/>
      <c r="H8" s="70"/>
      <c r="I8" s="68"/>
      <c r="J8" s="67"/>
      <c r="K8" s="22"/>
      <c r="L8" s="2"/>
    </row>
    <row r="9" spans="1:12" x14ac:dyDescent="0.3">
      <c r="A9" s="138"/>
      <c r="B9" s="1"/>
      <c r="C9" s="22"/>
      <c r="D9" s="67"/>
      <c r="E9" s="68"/>
      <c r="F9" s="69"/>
      <c r="G9" s="68"/>
      <c r="H9" s="70"/>
      <c r="I9" s="68"/>
      <c r="J9" s="67"/>
      <c r="K9" s="22"/>
      <c r="L9" s="2"/>
    </row>
    <row r="10" spans="1:12" x14ac:dyDescent="0.3">
      <c r="A10" s="12">
        <v>41091</v>
      </c>
      <c r="B10" s="12"/>
      <c r="C10" s="3"/>
      <c r="D10" s="50">
        <v>44822.3</v>
      </c>
      <c r="E10" s="3"/>
      <c r="F10" s="49">
        <v>1</v>
      </c>
      <c r="G10" s="3"/>
      <c r="H10" s="51">
        <v>0</v>
      </c>
      <c r="I10" s="3"/>
      <c r="J10" s="52">
        <f t="shared" ref="J10:J35" si="0">+D10*F10</f>
        <v>44822.3</v>
      </c>
      <c r="K10" s="3"/>
      <c r="L10" s="53">
        <f t="shared" ref="L10:L35" si="1">D10*H10</f>
        <v>0</v>
      </c>
    </row>
    <row r="11" spans="1:12" x14ac:dyDescent="0.3">
      <c r="A11" s="12">
        <v>41122</v>
      </c>
      <c r="B11" s="12"/>
      <c r="C11" s="3"/>
      <c r="D11" s="50">
        <v>5824.65</v>
      </c>
      <c r="E11" s="3"/>
      <c r="F11" s="49">
        <v>1</v>
      </c>
      <c r="G11" s="3"/>
      <c r="H11" s="51">
        <v>0</v>
      </c>
      <c r="I11" s="3"/>
      <c r="J11" s="52">
        <f t="shared" si="0"/>
        <v>5824.65</v>
      </c>
      <c r="K11" s="3"/>
      <c r="L11" s="53">
        <f t="shared" si="1"/>
        <v>0</v>
      </c>
    </row>
    <row r="12" spans="1:12" x14ac:dyDescent="0.3">
      <c r="A12" s="12">
        <v>41153</v>
      </c>
      <c r="B12" s="12"/>
      <c r="C12" s="3"/>
      <c r="D12" s="50">
        <v>118111.77</v>
      </c>
      <c r="E12" s="3"/>
      <c r="F12" s="49">
        <v>1</v>
      </c>
      <c r="G12" s="3"/>
      <c r="H12" s="51">
        <v>0</v>
      </c>
      <c r="I12" s="3"/>
      <c r="J12" s="52">
        <f>+D12*F12</f>
        <v>118111.77</v>
      </c>
      <c r="K12" s="3"/>
      <c r="L12" s="53">
        <f t="shared" si="1"/>
        <v>0</v>
      </c>
    </row>
    <row r="13" spans="1:12" x14ac:dyDescent="0.3">
      <c r="A13" s="12"/>
      <c r="B13" s="12"/>
      <c r="C13" s="3"/>
      <c r="D13" s="126">
        <f>SUM(D10:D12)</f>
        <v>168758.72</v>
      </c>
      <c r="E13" s="3"/>
      <c r="F13" s="49"/>
      <c r="G13" s="3"/>
      <c r="H13" s="51"/>
      <c r="I13" s="3"/>
      <c r="J13" s="74">
        <f>SUM(J10:J12)</f>
        <v>168758.72</v>
      </c>
      <c r="K13" s="3"/>
      <c r="L13" s="53"/>
    </row>
    <row r="14" spans="1:12" x14ac:dyDescent="0.3">
      <c r="A14" s="12" t="s">
        <v>29</v>
      </c>
      <c r="B14" s="12"/>
      <c r="C14" s="3"/>
      <c r="D14" s="125">
        <f>63.03*94.2</f>
        <v>5937.4260000000004</v>
      </c>
      <c r="E14" s="3"/>
      <c r="F14" s="76">
        <v>1</v>
      </c>
      <c r="G14" s="3"/>
      <c r="H14" s="75"/>
      <c r="I14" s="3"/>
      <c r="J14" s="77">
        <f>+D14*F14</f>
        <v>5937.4260000000004</v>
      </c>
      <c r="K14" s="3"/>
      <c r="L14" s="78"/>
    </row>
    <row r="15" spans="1:12" ht="16.2" thickBot="1" x14ac:dyDescent="0.35">
      <c r="A15" s="12" t="s">
        <v>3</v>
      </c>
      <c r="B15" s="12"/>
      <c r="C15" s="3"/>
      <c r="D15" s="79">
        <f>SUM(D13:D14)</f>
        <v>174696.14600000001</v>
      </c>
      <c r="E15" s="3"/>
      <c r="F15" s="3"/>
      <c r="G15" s="3"/>
      <c r="H15" s="3"/>
      <c r="I15" s="3"/>
      <c r="J15" s="79">
        <f>SUM(J13:J14)</f>
        <v>174696.14600000001</v>
      </c>
      <c r="K15" s="3"/>
      <c r="L15" s="72"/>
    </row>
    <row r="16" spans="1:12" ht="16.2" thickTop="1" x14ac:dyDescent="0.3">
      <c r="A16" s="138" t="s">
        <v>20</v>
      </c>
      <c r="B16" s="12"/>
      <c r="C16" s="3"/>
      <c r="D16" s="3"/>
      <c r="E16" s="3"/>
      <c r="F16" s="71"/>
      <c r="G16" s="3"/>
      <c r="H16" s="3"/>
      <c r="I16" s="3"/>
      <c r="J16" s="14"/>
      <c r="K16" s="3"/>
      <c r="L16" s="72"/>
    </row>
    <row r="17" spans="1:12" x14ac:dyDescent="0.3">
      <c r="A17" s="138"/>
      <c r="B17" s="12"/>
      <c r="C17" s="3"/>
      <c r="D17" s="3"/>
      <c r="E17" s="3"/>
      <c r="F17" s="71"/>
      <c r="G17" s="3"/>
      <c r="H17" s="3"/>
      <c r="I17" s="3"/>
      <c r="J17" s="14"/>
      <c r="K17" s="3"/>
      <c r="L17" s="72"/>
    </row>
    <row r="18" spans="1:12" x14ac:dyDescent="0.3">
      <c r="A18" s="12">
        <v>41183</v>
      </c>
      <c r="B18" s="12"/>
      <c r="C18" s="3"/>
      <c r="D18" s="50">
        <v>283777.13</v>
      </c>
      <c r="E18" s="3"/>
      <c r="F18" s="49">
        <v>1</v>
      </c>
      <c r="G18" s="3"/>
      <c r="H18" s="51">
        <v>0</v>
      </c>
      <c r="I18" s="3"/>
      <c r="J18" s="52">
        <f t="shared" si="0"/>
        <v>283777.13</v>
      </c>
      <c r="K18" s="3"/>
      <c r="L18" s="53">
        <f t="shared" si="1"/>
        <v>0</v>
      </c>
    </row>
    <row r="19" spans="1:12" x14ac:dyDescent="0.3">
      <c r="A19" s="12">
        <v>41214</v>
      </c>
      <c r="B19" s="12"/>
      <c r="C19" s="3"/>
      <c r="D19" s="50">
        <v>204410.88</v>
      </c>
      <c r="E19" s="3"/>
      <c r="F19" s="49">
        <v>1</v>
      </c>
      <c r="G19" s="3"/>
      <c r="H19" s="51">
        <v>0</v>
      </c>
      <c r="I19" s="3"/>
      <c r="J19" s="52">
        <f t="shared" si="0"/>
        <v>204410.88</v>
      </c>
      <c r="K19" s="3"/>
      <c r="L19" s="53">
        <f t="shared" si="1"/>
        <v>0</v>
      </c>
    </row>
    <row r="20" spans="1:12" x14ac:dyDescent="0.3">
      <c r="A20" s="12">
        <v>41244</v>
      </c>
      <c r="B20" s="12"/>
      <c r="C20" s="3"/>
      <c r="D20" s="50">
        <v>216057.21</v>
      </c>
      <c r="E20" s="3"/>
      <c r="F20" s="49">
        <v>1</v>
      </c>
      <c r="G20" s="3"/>
      <c r="H20" s="51">
        <v>0</v>
      </c>
      <c r="I20" s="3"/>
      <c r="J20" s="52">
        <f t="shared" si="0"/>
        <v>216057.21</v>
      </c>
      <c r="K20" s="3"/>
      <c r="L20" s="53">
        <f t="shared" si="1"/>
        <v>0</v>
      </c>
    </row>
    <row r="21" spans="1:12" x14ac:dyDescent="0.3">
      <c r="A21" s="12"/>
      <c r="B21" s="12"/>
      <c r="C21" s="3"/>
      <c r="D21" s="73">
        <f>SUM(D18:D20)</f>
        <v>704245.22</v>
      </c>
      <c r="E21" s="3"/>
      <c r="F21" s="49"/>
      <c r="G21" s="3"/>
      <c r="H21" s="51"/>
      <c r="I21" s="3"/>
      <c r="J21" s="73">
        <f>SUM(J18:J20)</f>
        <v>704245.22</v>
      </c>
      <c r="K21" s="3"/>
      <c r="L21" s="53"/>
    </row>
    <row r="22" spans="1:12" x14ac:dyDescent="0.3">
      <c r="A22" s="12" t="s">
        <v>7</v>
      </c>
      <c r="B22" s="12"/>
      <c r="C22" s="3"/>
      <c r="D22" s="80"/>
      <c r="E22" s="3"/>
      <c r="F22" s="81"/>
      <c r="G22" s="3"/>
      <c r="H22" s="80"/>
      <c r="I22" s="3"/>
      <c r="J22" s="82"/>
      <c r="K22" s="3"/>
      <c r="L22" s="83"/>
    </row>
    <row r="23" spans="1:12" ht="16.2" thickBot="1" x14ac:dyDescent="0.35">
      <c r="A23" s="12" t="s">
        <v>3</v>
      </c>
      <c r="B23" s="12"/>
      <c r="C23" s="3"/>
      <c r="D23" s="79">
        <f>SUM(D21:D22)</f>
        <v>704245.22</v>
      </c>
      <c r="E23" s="3"/>
      <c r="F23" s="3"/>
      <c r="G23" s="3"/>
      <c r="H23" s="3"/>
      <c r="I23" s="3"/>
      <c r="J23" s="79">
        <f>SUM(J21:J22)</f>
        <v>704245.22</v>
      </c>
      <c r="K23" s="3"/>
      <c r="L23" s="72"/>
    </row>
    <row r="24" spans="1:12" ht="16.2" thickTop="1" x14ac:dyDescent="0.3">
      <c r="A24" s="138" t="s">
        <v>22</v>
      </c>
      <c r="B24" s="12"/>
      <c r="C24" s="3"/>
      <c r="D24" s="3"/>
      <c r="E24" s="3"/>
      <c r="F24" s="71"/>
      <c r="G24" s="3"/>
      <c r="H24" s="3"/>
      <c r="I24" s="3"/>
      <c r="J24" s="14"/>
      <c r="K24" s="3"/>
      <c r="L24" s="72"/>
    </row>
    <row r="25" spans="1:12" x14ac:dyDescent="0.3">
      <c r="A25" s="138"/>
      <c r="B25" s="12"/>
      <c r="C25" s="3"/>
      <c r="D25" s="3"/>
      <c r="E25" s="3"/>
      <c r="F25" s="71"/>
      <c r="G25" s="3"/>
      <c r="H25" s="3"/>
      <c r="I25" s="3"/>
      <c r="J25" s="14"/>
      <c r="K25" s="3"/>
      <c r="L25" s="72"/>
    </row>
    <row r="26" spans="1:12" x14ac:dyDescent="0.3">
      <c r="A26" s="12">
        <v>41275</v>
      </c>
      <c r="B26" s="12"/>
      <c r="C26" s="3"/>
      <c r="D26" s="50">
        <f>+'[1]Schedule of Interest Income '!$O$17</f>
        <v>77969.673999999999</v>
      </c>
      <c r="E26" s="3"/>
      <c r="F26" s="49">
        <v>1</v>
      </c>
      <c r="G26" s="3"/>
      <c r="H26" s="51">
        <v>0</v>
      </c>
      <c r="I26" s="3"/>
      <c r="J26" s="52">
        <f t="shared" si="0"/>
        <v>77969.673999999999</v>
      </c>
      <c r="K26" s="3"/>
      <c r="L26" s="53">
        <f t="shared" si="1"/>
        <v>0</v>
      </c>
    </row>
    <row r="27" spans="1:12" x14ac:dyDescent="0.3">
      <c r="A27" s="12">
        <v>41306</v>
      </c>
      <c r="B27" s="12"/>
      <c r="C27" s="3"/>
      <c r="D27" s="50">
        <f>+'[1]Schedule of Interest Income '!$O$18</f>
        <v>66719.828999999998</v>
      </c>
      <c r="E27" s="3"/>
      <c r="F27" s="49">
        <v>1</v>
      </c>
      <c r="G27" s="3"/>
      <c r="H27" s="51">
        <v>0</v>
      </c>
      <c r="I27" s="3"/>
      <c r="J27" s="52">
        <f t="shared" si="0"/>
        <v>66719.828999999998</v>
      </c>
      <c r="K27" s="3"/>
      <c r="L27" s="53">
        <f t="shared" si="1"/>
        <v>0</v>
      </c>
    </row>
    <row r="28" spans="1:12" x14ac:dyDescent="0.3">
      <c r="A28" s="12">
        <v>41334</v>
      </c>
      <c r="B28" s="12"/>
      <c r="C28" s="3"/>
      <c r="D28" s="50">
        <f>+'[1]Schedule of Interest Income '!$O$19</f>
        <v>284888.46599999996</v>
      </c>
      <c r="E28" s="3"/>
      <c r="F28" s="49">
        <v>1</v>
      </c>
      <c r="G28" s="3"/>
      <c r="H28" s="51">
        <v>0</v>
      </c>
      <c r="I28" s="3"/>
      <c r="J28" s="52">
        <f t="shared" si="0"/>
        <v>284888.46599999996</v>
      </c>
      <c r="K28" s="3"/>
      <c r="L28" s="53">
        <f t="shared" si="1"/>
        <v>0</v>
      </c>
    </row>
    <row r="29" spans="1:12" x14ac:dyDescent="0.3">
      <c r="A29" s="12"/>
      <c r="B29" s="12"/>
      <c r="C29" s="3"/>
      <c r="D29" s="73">
        <f>SUM(D26:D28)</f>
        <v>429577.96899999992</v>
      </c>
      <c r="E29" s="3"/>
      <c r="F29" s="49"/>
      <c r="G29" s="3"/>
      <c r="H29" s="51"/>
      <c r="I29" s="3"/>
      <c r="J29" s="74">
        <f>SUM(J26:J28)</f>
        <v>429577.96899999992</v>
      </c>
      <c r="K29" s="3"/>
      <c r="L29" s="53"/>
    </row>
    <row r="30" spans="1:12" x14ac:dyDescent="0.3">
      <c r="A30" s="12" t="s">
        <v>7</v>
      </c>
      <c r="B30" s="12"/>
      <c r="C30" s="3"/>
      <c r="D30" s="80"/>
      <c r="E30" s="3"/>
      <c r="F30" s="49">
        <v>1</v>
      </c>
      <c r="G30" s="3"/>
      <c r="H30" s="80"/>
      <c r="I30" s="3"/>
      <c r="J30" s="80">
        <f t="shared" si="0"/>
        <v>0</v>
      </c>
      <c r="K30" s="3"/>
      <c r="L30" s="83"/>
    </row>
    <row r="31" spans="1:12" ht="16.2" thickBot="1" x14ac:dyDescent="0.35">
      <c r="A31" s="12" t="s">
        <v>3</v>
      </c>
      <c r="B31" s="12"/>
      <c r="C31" s="3"/>
      <c r="D31" s="79">
        <f>SUM(D29:D30)</f>
        <v>429577.96899999992</v>
      </c>
      <c r="E31" s="3"/>
      <c r="F31" s="3"/>
      <c r="G31" s="3"/>
      <c r="H31" s="3"/>
      <c r="I31" s="3"/>
      <c r="J31" s="79">
        <f>SUM(J29:J30)</f>
        <v>429577.96899999992</v>
      </c>
      <c r="K31" s="3"/>
      <c r="L31" s="72"/>
    </row>
    <row r="32" spans="1:12" ht="16.2" hidden="1" thickTop="1" x14ac:dyDescent="0.3">
      <c r="A32" s="138" t="s">
        <v>23</v>
      </c>
      <c r="B32" s="12"/>
      <c r="C32" s="3"/>
      <c r="D32" s="3"/>
      <c r="E32" s="3"/>
      <c r="F32" s="71"/>
      <c r="G32" s="3"/>
      <c r="H32" s="3"/>
      <c r="I32" s="3"/>
      <c r="J32" s="14"/>
      <c r="K32" s="3"/>
      <c r="L32" s="72"/>
    </row>
    <row r="33" spans="1:12" ht="16.2" hidden="1" thickTop="1" x14ac:dyDescent="0.3">
      <c r="A33" s="138"/>
      <c r="B33" s="12"/>
      <c r="C33" s="3"/>
      <c r="D33" s="3"/>
      <c r="E33" s="3"/>
      <c r="F33" s="71"/>
      <c r="G33" s="3"/>
      <c r="H33" s="3"/>
      <c r="I33" s="3"/>
      <c r="J33" s="14"/>
      <c r="K33" s="3"/>
      <c r="L33" s="72"/>
    </row>
    <row r="34" spans="1:12" ht="16.2" hidden="1" thickTop="1" x14ac:dyDescent="0.3">
      <c r="A34" s="12">
        <v>41365</v>
      </c>
      <c r="B34" s="12"/>
      <c r="C34" s="3"/>
      <c r="D34" s="50"/>
      <c r="E34" s="3"/>
      <c r="F34" s="49">
        <v>1</v>
      </c>
      <c r="G34" s="3"/>
      <c r="H34" s="51">
        <v>0</v>
      </c>
      <c r="I34" s="3"/>
      <c r="J34" s="52">
        <f t="shared" si="0"/>
        <v>0</v>
      </c>
      <c r="K34" s="3"/>
      <c r="L34" s="53">
        <f t="shared" si="1"/>
        <v>0</v>
      </c>
    </row>
    <row r="35" spans="1:12" ht="16.2" hidden="1" thickTop="1" x14ac:dyDescent="0.3">
      <c r="A35" s="12">
        <v>41395</v>
      </c>
      <c r="B35" s="12"/>
      <c r="C35" s="3"/>
      <c r="D35" s="50"/>
      <c r="E35" s="3"/>
      <c r="F35" s="49">
        <v>1</v>
      </c>
      <c r="G35" s="3"/>
      <c r="H35" s="51">
        <v>0</v>
      </c>
      <c r="I35" s="3"/>
      <c r="J35" s="52">
        <f t="shared" si="0"/>
        <v>0</v>
      </c>
      <c r="K35" s="3"/>
      <c r="L35" s="53">
        <f t="shared" si="1"/>
        <v>0</v>
      </c>
    </row>
    <row r="36" spans="1:12" ht="16.2" hidden="1" thickTop="1" x14ac:dyDescent="0.3">
      <c r="A36" s="12">
        <v>41426</v>
      </c>
      <c r="B36" s="12"/>
      <c r="C36" s="3"/>
      <c r="D36" s="50"/>
      <c r="E36" s="3"/>
      <c r="F36" s="49">
        <v>1</v>
      </c>
      <c r="G36" s="3"/>
      <c r="H36" s="51">
        <v>0</v>
      </c>
      <c r="I36" s="3"/>
      <c r="J36" s="52">
        <f t="shared" ref="J36" si="2">+D36*F36</f>
        <v>0</v>
      </c>
      <c r="K36" s="3"/>
      <c r="L36" s="53">
        <f t="shared" ref="L36" si="3">D36*H36</f>
        <v>0</v>
      </c>
    </row>
    <row r="37" spans="1:12" ht="16.2" hidden="1" thickTop="1" x14ac:dyDescent="0.3">
      <c r="A37" s="12"/>
      <c r="B37" s="12"/>
      <c r="C37" s="3"/>
      <c r="D37" s="73">
        <f>SUM(D34:D36)</f>
        <v>0</v>
      </c>
      <c r="E37" s="3"/>
      <c r="F37" s="49"/>
      <c r="G37" s="3"/>
      <c r="H37" s="51"/>
      <c r="I37" s="3"/>
      <c r="J37" s="73">
        <f>SUM(J34:J36)</f>
        <v>0</v>
      </c>
      <c r="K37" s="3"/>
      <c r="L37" s="53"/>
    </row>
    <row r="38" spans="1:12" ht="16.2" hidden="1" thickTop="1" x14ac:dyDescent="0.3">
      <c r="A38" s="13" t="s">
        <v>7</v>
      </c>
      <c r="B38" s="13"/>
      <c r="C38" s="3"/>
      <c r="D38" s="80"/>
      <c r="E38" s="3"/>
      <c r="F38" s="81"/>
      <c r="G38" s="3"/>
      <c r="H38" s="80"/>
      <c r="I38" s="3"/>
      <c r="J38" s="82"/>
      <c r="K38" s="3"/>
      <c r="L38" s="83"/>
    </row>
    <row r="39" spans="1:12" ht="16.8" hidden="1" thickTop="1" thickBot="1" x14ac:dyDescent="0.35">
      <c r="A39" s="13"/>
      <c r="B39" s="13"/>
      <c r="C39" s="3"/>
      <c r="D39" s="79">
        <f>SUM(D37:D38)</f>
        <v>0</v>
      </c>
      <c r="E39" s="3"/>
      <c r="F39" s="3"/>
      <c r="G39" s="3"/>
      <c r="H39" s="3"/>
      <c r="I39" s="3"/>
      <c r="J39" s="79">
        <f>SUM(J37:J38)</f>
        <v>0</v>
      </c>
      <c r="K39" s="3"/>
      <c r="L39" s="72"/>
    </row>
    <row r="40" spans="1:12" ht="16.2" hidden="1" thickTop="1" x14ac:dyDescent="0.3">
      <c r="A40" s="13"/>
      <c r="B40" s="13"/>
      <c r="C40" s="3"/>
      <c r="D40" s="3"/>
      <c r="E40" s="3"/>
      <c r="F40" s="71"/>
      <c r="G40" s="3"/>
      <c r="H40" s="3"/>
      <c r="I40" s="3"/>
      <c r="J40" s="14"/>
      <c r="K40" s="3"/>
      <c r="L40" s="72"/>
    </row>
    <row r="41" spans="1:12" ht="16.8" thickTop="1" thickBot="1" x14ac:dyDescent="0.35">
      <c r="A41" s="84" t="s">
        <v>30</v>
      </c>
      <c r="B41" s="1"/>
      <c r="C41" s="23"/>
      <c r="D41" s="64">
        <f>+D15+D23+D31+D39</f>
        <v>1308519.335</v>
      </c>
      <c r="E41" s="23"/>
      <c r="F41" s="1"/>
      <c r="G41" s="23"/>
      <c r="H41" s="1"/>
      <c r="I41" s="23"/>
      <c r="J41" s="64">
        <f>+J15+J23+J31+J39</f>
        <v>1308519.335</v>
      </c>
      <c r="K41" s="23"/>
      <c r="L41" s="1"/>
    </row>
    <row r="42" spans="1:12" ht="16.2" thickTop="1" x14ac:dyDescent="0.3">
      <c r="A42" s="1"/>
      <c r="B42" s="1"/>
      <c r="C42" s="21"/>
      <c r="D42" s="1"/>
      <c r="E42" s="21"/>
      <c r="F42" s="1"/>
      <c r="G42" s="21"/>
      <c r="H42" s="1"/>
      <c r="I42" s="21"/>
      <c r="J42" s="1"/>
      <c r="K42" s="21"/>
      <c r="L42" s="1"/>
    </row>
    <row r="43" spans="1:12" hidden="1" x14ac:dyDescent="0.3">
      <c r="A43" s="1"/>
      <c r="B43" s="1"/>
      <c r="C43" s="21"/>
      <c r="D43" s="1"/>
      <c r="E43" s="21"/>
      <c r="F43" s="1"/>
      <c r="G43" s="21"/>
      <c r="H43" s="1"/>
      <c r="I43" s="21"/>
      <c r="J43" s="1"/>
      <c r="K43" s="21"/>
      <c r="L43" s="1"/>
    </row>
    <row r="44" spans="1:12" hidden="1" x14ac:dyDescent="0.3">
      <c r="A44" s="1"/>
      <c r="B44" s="1"/>
      <c r="C44" s="21"/>
      <c r="D44" s="1"/>
      <c r="E44" s="21"/>
      <c r="F44" s="1"/>
      <c r="G44" s="21"/>
      <c r="H44" s="1"/>
      <c r="I44" s="21"/>
      <c r="J44" s="1"/>
      <c r="K44" s="21"/>
      <c r="L44" s="1"/>
    </row>
    <row r="45" spans="1:12" hidden="1" x14ac:dyDescent="0.3">
      <c r="A45" s="1"/>
      <c r="B45" s="1"/>
      <c r="C45" s="21"/>
      <c r="D45" s="1"/>
      <c r="E45" s="21"/>
      <c r="F45" s="1"/>
      <c r="G45" s="21"/>
      <c r="H45" s="1"/>
      <c r="I45" s="21"/>
      <c r="J45" s="1"/>
      <c r="K45" s="21"/>
      <c r="L45" s="1"/>
    </row>
    <row r="46" spans="1:12" x14ac:dyDescent="0.3">
      <c r="A46" s="140" t="s">
        <v>25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</row>
    <row r="47" spans="1:12" x14ac:dyDescent="0.3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</row>
    <row r="48" spans="1:12" x14ac:dyDescent="0.3">
      <c r="A48" s="164"/>
      <c r="B48" s="35"/>
      <c r="C48" s="32"/>
      <c r="D48" s="164" t="s">
        <v>0</v>
      </c>
      <c r="E48" s="32"/>
      <c r="F48" s="164" t="s">
        <v>1</v>
      </c>
      <c r="G48" s="32"/>
      <c r="H48" s="164" t="s">
        <v>3</v>
      </c>
      <c r="I48" s="32"/>
      <c r="J48" s="164" t="s">
        <v>0</v>
      </c>
      <c r="K48" s="32"/>
      <c r="L48" s="164" t="s">
        <v>1</v>
      </c>
    </row>
    <row r="49" spans="1:12" x14ac:dyDescent="0.3">
      <c r="A49" s="165"/>
      <c r="B49" s="36"/>
      <c r="C49" s="6"/>
      <c r="D49" s="165"/>
      <c r="E49" s="6"/>
      <c r="F49" s="165"/>
      <c r="G49" s="6"/>
      <c r="H49" s="165"/>
      <c r="I49" s="6"/>
      <c r="J49" s="165" t="s">
        <v>5</v>
      </c>
      <c r="K49" s="38"/>
      <c r="L49" s="165"/>
    </row>
    <row r="50" spans="1:12" x14ac:dyDescent="0.3">
      <c r="A50" s="5"/>
      <c r="B50" s="5"/>
      <c r="C50" s="6"/>
      <c r="D50" s="6"/>
      <c r="E50" s="6"/>
      <c r="F50" s="6"/>
      <c r="G50" s="6"/>
      <c r="H50" s="6"/>
      <c r="I50" s="6"/>
      <c r="J50" s="11"/>
      <c r="K50" s="6"/>
      <c r="L50" s="11"/>
    </row>
    <row r="51" spans="1:12" hidden="1" x14ac:dyDescent="0.3">
      <c r="A51" s="139">
        <v>40185</v>
      </c>
      <c r="B51" s="33" t="s">
        <v>9</v>
      </c>
      <c r="C51" s="6"/>
      <c r="D51" s="39">
        <v>0</v>
      </c>
      <c r="E51" s="6"/>
      <c r="F51" s="40">
        <v>0</v>
      </c>
      <c r="G51" s="6"/>
      <c r="H51" s="41"/>
      <c r="I51" s="6"/>
      <c r="J51" s="31"/>
      <c r="K51" s="6"/>
      <c r="L51" s="31"/>
    </row>
    <row r="52" spans="1:12" ht="19.2" hidden="1" x14ac:dyDescent="0.45">
      <c r="A52" s="139"/>
      <c r="B52" s="33" t="s">
        <v>3</v>
      </c>
      <c r="C52" s="7"/>
      <c r="D52" s="44">
        <v>555000000</v>
      </c>
      <c r="E52" s="7"/>
      <c r="F52" s="43">
        <v>1097338843</v>
      </c>
      <c r="G52" s="7"/>
      <c r="H52" s="42">
        <f>SUM(D52:F52)</f>
        <v>1652338843</v>
      </c>
      <c r="I52" s="7"/>
      <c r="J52" s="100">
        <f>D52/H52</f>
        <v>0.33588752231493718</v>
      </c>
      <c r="K52" s="101"/>
      <c r="L52" s="99">
        <f>F52/H52</f>
        <v>0.66411247768506276</v>
      </c>
    </row>
    <row r="53" spans="1:12" ht="10.5" hidden="1" customHeight="1" x14ac:dyDescent="0.3">
      <c r="A53" s="20"/>
      <c r="B53" s="20"/>
      <c r="C53" s="7"/>
      <c r="D53" s="7"/>
      <c r="E53" s="7"/>
      <c r="F53" s="7"/>
      <c r="G53" s="7"/>
      <c r="H53" s="34"/>
      <c r="I53" s="7"/>
      <c r="J53" s="101"/>
      <c r="K53" s="101"/>
      <c r="L53" s="101"/>
    </row>
    <row r="54" spans="1:12" hidden="1" x14ac:dyDescent="0.3">
      <c r="A54" s="139">
        <v>40361</v>
      </c>
      <c r="B54" s="33" t="s">
        <v>9</v>
      </c>
      <c r="C54" s="24"/>
      <c r="D54" s="39">
        <v>0</v>
      </c>
      <c r="E54" s="24"/>
      <c r="F54" s="40">
        <v>40000000</v>
      </c>
      <c r="G54" s="24"/>
      <c r="H54" s="41">
        <v>0</v>
      </c>
      <c r="I54" s="24"/>
      <c r="J54" s="99"/>
      <c r="K54" s="105"/>
      <c r="L54" s="103"/>
    </row>
    <row r="55" spans="1:12" ht="17.399999999999999" hidden="1" x14ac:dyDescent="0.3">
      <c r="A55" s="139"/>
      <c r="B55" s="33" t="s">
        <v>3</v>
      </c>
      <c r="C55" s="24"/>
      <c r="D55" s="46">
        <f>SUM(D52:D54)</f>
        <v>555000000</v>
      </c>
      <c r="E55" s="24"/>
      <c r="F55" s="45">
        <f>SUM(F52:F54)</f>
        <v>1137338843</v>
      </c>
      <c r="G55" s="24"/>
      <c r="H55" s="30">
        <f>SUM(D55:F55)</f>
        <v>1692338843</v>
      </c>
      <c r="I55" s="24"/>
      <c r="J55" s="100">
        <f>D55/H55</f>
        <v>0.32794850883180965</v>
      </c>
      <c r="K55" s="105"/>
      <c r="L55" s="99">
        <f>F55/H55</f>
        <v>0.67205149116819041</v>
      </c>
    </row>
    <row r="56" spans="1:12" ht="10.5" hidden="1" customHeight="1" x14ac:dyDescent="0.3">
      <c r="A56" s="37"/>
      <c r="B56" s="37"/>
      <c r="C56" s="7"/>
      <c r="D56" s="7"/>
      <c r="E56" s="7"/>
      <c r="F56" s="7"/>
      <c r="G56" s="7"/>
      <c r="H56" s="34"/>
      <c r="I56" s="7"/>
      <c r="J56" s="101"/>
      <c r="K56" s="101"/>
      <c r="L56" s="101"/>
    </row>
    <row r="57" spans="1:12" hidden="1" x14ac:dyDescent="0.3">
      <c r="A57" s="139">
        <v>40373</v>
      </c>
      <c r="B57" s="33" t="s">
        <v>9</v>
      </c>
      <c r="C57" s="24"/>
      <c r="D57" s="39">
        <v>0</v>
      </c>
      <c r="E57" s="24"/>
      <c r="F57" s="40">
        <v>71446542</v>
      </c>
      <c r="G57" s="24"/>
      <c r="H57" s="41">
        <v>0</v>
      </c>
      <c r="I57" s="24"/>
      <c r="J57" s="99"/>
      <c r="K57" s="105"/>
      <c r="L57" s="103"/>
    </row>
    <row r="58" spans="1:12" ht="17.399999999999999" hidden="1" x14ac:dyDescent="0.3">
      <c r="A58" s="139"/>
      <c r="B58" s="33" t="s">
        <v>3</v>
      </c>
      <c r="C58" s="24"/>
      <c r="D58" s="46">
        <f>SUM(D55:D57)</f>
        <v>555000000</v>
      </c>
      <c r="E58" s="24"/>
      <c r="F58" s="45">
        <f>SUM(F55:F57)</f>
        <v>1208785385</v>
      </c>
      <c r="G58" s="24"/>
      <c r="H58" s="30">
        <f>SUM(D58:F58)</f>
        <v>1763785385</v>
      </c>
      <c r="I58" s="24"/>
      <c r="J58" s="100">
        <f>D58/H58</f>
        <v>0.3146641335844837</v>
      </c>
      <c r="K58" s="105"/>
      <c r="L58" s="99">
        <f>F58/H58</f>
        <v>0.68533586641551636</v>
      </c>
    </row>
    <row r="59" spans="1:12" ht="10.5" hidden="1" customHeight="1" x14ac:dyDescent="0.3">
      <c r="A59" s="37"/>
      <c r="B59" s="37"/>
      <c r="C59" s="7"/>
      <c r="D59" s="7"/>
      <c r="E59" s="7"/>
      <c r="F59" s="7"/>
      <c r="G59" s="7"/>
      <c r="H59" s="34"/>
      <c r="I59" s="7"/>
      <c r="J59" s="101"/>
      <c r="K59" s="101"/>
      <c r="L59" s="101"/>
    </row>
    <row r="60" spans="1:12" hidden="1" x14ac:dyDescent="0.3">
      <c r="A60" s="139">
        <v>40407</v>
      </c>
      <c r="B60" s="33" t="s">
        <v>9</v>
      </c>
      <c r="C60" s="24"/>
      <c r="D60" s="39">
        <v>0</v>
      </c>
      <c r="E60" s="24"/>
      <c r="F60" s="40">
        <v>420175000</v>
      </c>
      <c r="G60" s="24"/>
      <c r="H60" s="41">
        <v>0</v>
      </c>
      <c r="I60" s="24"/>
      <c r="J60" s="99"/>
      <c r="K60" s="105"/>
      <c r="L60" s="99"/>
    </row>
    <row r="61" spans="1:12" ht="17.399999999999999" hidden="1" x14ac:dyDescent="0.45">
      <c r="A61" s="139"/>
      <c r="B61" s="33" t="s">
        <v>3</v>
      </c>
      <c r="C61" s="25"/>
      <c r="D61" s="48">
        <f>SUM(D58:D60)</f>
        <v>555000000</v>
      </c>
      <c r="E61" s="25"/>
      <c r="F61" s="47">
        <f>SUM(F58:F60)</f>
        <v>1628960385</v>
      </c>
      <c r="G61" s="25"/>
      <c r="H61" s="30">
        <f>SUM(D61:F61)</f>
        <v>2183960385</v>
      </c>
      <c r="I61" s="25"/>
      <c r="J61" s="100">
        <f>D61/H61</f>
        <v>0.25412548863609541</v>
      </c>
      <c r="K61" s="106"/>
      <c r="L61" s="99">
        <f>F61/H61</f>
        <v>0.74587451136390459</v>
      </c>
    </row>
    <row r="62" spans="1:12" ht="10.5" hidden="1" customHeight="1" x14ac:dyDescent="0.3">
      <c r="A62" s="37"/>
      <c r="B62" s="37"/>
      <c r="C62" s="7"/>
      <c r="D62" s="7"/>
      <c r="E62" s="7"/>
      <c r="F62" s="7"/>
      <c r="G62" s="7"/>
      <c r="H62" s="34"/>
      <c r="I62" s="7"/>
      <c r="J62" s="101"/>
      <c r="K62" s="101"/>
      <c r="L62" s="101"/>
    </row>
    <row r="63" spans="1:12" hidden="1" x14ac:dyDescent="0.3">
      <c r="A63" s="139">
        <v>40429</v>
      </c>
      <c r="B63" s="33" t="s">
        <v>9</v>
      </c>
      <c r="C63" s="25"/>
      <c r="D63" s="39">
        <v>480000000</v>
      </c>
      <c r="E63" s="25"/>
      <c r="F63" s="40">
        <v>0</v>
      </c>
      <c r="G63" s="25"/>
      <c r="H63" s="41">
        <v>0</v>
      </c>
      <c r="I63" s="25"/>
      <c r="J63" s="99"/>
      <c r="K63" s="106"/>
      <c r="L63" s="104"/>
    </row>
    <row r="64" spans="1:12" ht="17.399999999999999" hidden="1" x14ac:dyDescent="0.45">
      <c r="A64" s="139"/>
      <c r="B64" s="33" t="s">
        <v>3</v>
      </c>
      <c r="C64" s="25"/>
      <c r="D64" s="48">
        <f>SUM(D61:D63)</f>
        <v>1035000000</v>
      </c>
      <c r="E64" s="25"/>
      <c r="F64" s="47">
        <f>SUM(F61:F63)</f>
        <v>1628960385</v>
      </c>
      <c r="G64" s="25"/>
      <c r="H64" s="30">
        <f>SUM(D64:F64)</f>
        <v>2663960385</v>
      </c>
      <c r="I64" s="25"/>
      <c r="J64" s="100">
        <f>D64/H64</f>
        <v>0.38851929098788007</v>
      </c>
      <c r="K64" s="106"/>
      <c r="L64" s="99">
        <f>F64/H64</f>
        <v>0.61148070901211993</v>
      </c>
    </row>
    <row r="65" spans="1:12" ht="10.5" hidden="1" customHeight="1" x14ac:dyDescent="0.3">
      <c r="A65" s="37"/>
      <c r="B65" s="37"/>
      <c r="C65" s="7"/>
      <c r="D65" s="7"/>
      <c r="E65" s="7"/>
      <c r="F65" s="7"/>
      <c r="G65" s="7"/>
      <c r="H65" s="34"/>
      <c r="I65" s="7"/>
      <c r="J65" s="101"/>
      <c r="K65" s="101"/>
      <c r="L65" s="101"/>
    </row>
    <row r="66" spans="1:12" hidden="1" x14ac:dyDescent="0.3">
      <c r="A66" s="139">
        <v>40506</v>
      </c>
      <c r="B66" s="33" t="s">
        <v>9</v>
      </c>
      <c r="C66" s="25"/>
      <c r="D66" s="39">
        <v>0</v>
      </c>
      <c r="E66" s="25"/>
      <c r="F66" s="40">
        <v>559000000</v>
      </c>
      <c r="G66" s="25"/>
      <c r="H66" s="41">
        <v>0</v>
      </c>
      <c r="I66" s="25"/>
      <c r="J66" s="99"/>
      <c r="K66" s="106"/>
      <c r="L66" s="104"/>
    </row>
    <row r="67" spans="1:12" ht="17.399999999999999" hidden="1" x14ac:dyDescent="0.45">
      <c r="A67" s="139"/>
      <c r="B67" s="33" t="s">
        <v>3</v>
      </c>
      <c r="C67" s="25"/>
      <c r="D67" s="48">
        <f>SUM(D64:D66)</f>
        <v>1035000000</v>
      </c>
      <c r="E67" s="25"/>
      <c r="F67" s="47">
        <f>SUM(F64:F66)</f>
        <v>2187960385</v>
      </c>
      <c r="G67" s="25"/>
      <c r="H67" s="30">
        <f>SUM(D67:F67)</f>
        <v>3222960385</v>
      </c>
      <c r="I67" s="25"/>
      <c r="J67" s="100">
        <f>D67/H67</f>
        <v>0.32113332972288455</v>
      </c>
      <c r="K67" s="106"/>
      <c r="L67" s="99">
        <f>F67/H67</f>
        <v>0.67886667027711545</v>
      </c>
    </row>
    <row r="68" spans="1:12" ht="10.5" hidden="1" customHeight="1" x14ac:dyDescent="0.3">
      <c r="A68" s="37"/>
      <c r="B68" s="37"/>
      <c r="C68" s="7"/>
      <c r="D68" s="7"/>
      <c r="E68" s="7"/>
      <c r="F68" s="7"/>
      <c r="G68" s="7"/>
      <c r="H68" s="34"/>
      <c r="I68" s="7"/>
      <c r="J68" s="101"/>
      <c r="K68" s="101"/>
      <c r="L68" s="101"/>
    </row>
    <row r="69" spans="1:12" hidden="1" x14ac:dyDescent="0.3">
      <c r="A69" s="139">
        <v>40522</v>
      </c>
      <c r="B69" s="33" t="s">
        <v>9</v>
      </c>
      <c r="C69" s="25"/>
      <c r="D69" s="39">
        <v>350000000</v>
      </c>
      <c r="E69" s="25"/>
      <c r="F69" s="40">
        <v>0</v>
      </c>
      <c r="G69" s="25"/>
      <c r="H69" s="41"/>
      <c r="I69" s="25"/>
      <c r="J69" s="99"/>
      <c r="K69" s="106"/>
      <c r="L69" s="99"/>
    </row>
    <row r="70" spans="1:12" ht="17.399999999999999" hidden="1" x14ac:dyDescent="0.45">
      <c r="A70" s="139"/>
      <c r="B70" s="33" t="s">
        <v>3</v>
      </c>
      <c r="C70" s="25"/>
      <c r="D70" s="48">
        <f>SUM(D67:D69)</f>
        <v>1385000000</v>
      </c>
      <c r="E70" s="25"/>
      <c r="F70" s="47">
        <f>SUM(F67:F69)</f>
        <v>2187960385</v>
      </c>
      <c r="G70" s="25"/>
      <c r="H70" s="30">
        <f>SUM(D70:F70)</f>
        <v>3572960385</v>
      </c>
      <c r="I70" s="25"/>
      <c r="J70" s="100">
        <f>D70/H70</f>
        <v>0.3876337408649998</v>
      </c>
      <c r="K70" s="106"/>
      <c r="L70" s="99">
        <f>F70/H70</f>
        <v>0.6123662591350002</v>
      </c>
    </row>
    <row r="71" spans="1:12" ht="10.5" hidden="1" customHeight="1" x14ac:dyDescent="0.3">
      <c r="A71" s="37"/>
      <c r="B71" s="37"/>
      <c r="C71" s="7"/>
      <c r="D71" s="7"/>
      <c r="E71" s="7"/>
      <c r="F71" s="7"/>
      <c r="G71" s="7"/>
      <c r="H71" s="34"/>
      <c r="I71" s="7"/>
      <c r="J71" s="101"/>
      <c r="K71" s="101"/>
      <c r="L71" s="101"/>
    </row>
    <row r="72" spans="1:12" hidden="1" x14ac:dyDescent="0.3">
      <c r="A72" s="139">
        <v>40721</v>
      </c>
      <c r="B72" s="33" t="s">
        <v>9</v>
      </c>
      <c r="C72" s="25"/>
      <c r="D72" s="39">
        <v>0</v>
      </c>
      <c r="E72" s="25"/>
      <c r="F72" s="40">
        <v>808400000</v>
      </c>
      <c r="G72" s="25"/>
      <c r="H72" s="41"/>
      <c r="I72" s="25"/>
      <c r="J72" s="99"/>
      <c r="K72" s="106"/>
      <c r="L72" s="99"/>
    </row>
    <row r="73" spans="1:12" ht="17.399999999999999" hidden="1" x14ac:dyDescent="0.45">
      <c r="A73" s="139"/>
      <c r="B73" s="33" t="s">
        <v>3</v>
      </c>
      <c r="C73" s="25"/>
      <c r="D73" s="48">
        <f>SUM(D70:D72)</f>
        <v>1385000000</v>
      </c>
      <c r="E73" s="25"/>
      <c r="F73" s="47">
        <f>SUM(F70:F72)</f>
        <v>2996360385</v>
      </c>
      <c r="G73" s="25"/>
      <c r="H73" s="30">
        <f>SUM(D73:F73)</f>
        <v>4381360385</v>
      </c>
      <c r="I73" s="25"/>
      <c r="J73" s="100">
        <f>D73/H73</f>
        <v>0.3161118644203928</v>
      </c>
      <c r="K73" s="106"/>
      <c r="L73" s="99">
        <f>F73/H73</f>
        <v>0.68388813557960715</v>
      </c>
    </row>
    <row r="74" spans="1:12" ht="10.5" hidden="1" customHeight="1" x14ac:dyDescent="0.3">
      <c r="A74" s="37"/>
      <c r="B74" s="37"/>
      <c r="C74" s="7"/>
      <c r="D74" s="7"/>
      <c r="E74" s="7"/>
      <c r="F74" s="7"/>
      <c r="G74" s="7"/>
      <c r="H74" s="34"/>
      <c r="I74" s="7"/>
      <c r="J74" s="101"/>
      <c r="K74" s="101"/>
      <c r="L74" s="101"/>
    </row>
    <row r="75" spans="1:12" hidden="1" x14ac:dyDescent="0.3">
      <c r="A75" s="139">
        <v>40772</v>
      </c>
      <c r="B75" s="33" t="s">
        <v>9</v>
      </c>
      <c r="C75" s="25"/>
      <c r="D75" s="39">
        <v>490000000</v>
      </c>
      <c r="E75" s="25"/>
      <c r="F75" s="40">
        <v>0</v>
      </c>
      <c r="G75" s="25"/>
      <c r="H75" s="41"/>
      <c r="I75" s="25"/>
      <c r="J75" s="99"/>
      <c r="K75" s="106"/>
      <c r="L75" s="99"/>
    </row>
    <row r="76" spans="1:12" ht="17.399999999999999" hidden="1" x14ac:dyDescent="0.45">
      <c r="A76" s="139"/>
      <c r="B76" s="33" t="s">
        <v>3</v>
      </c>
      <c r="C76" s="25"/>
      <c r="D76" s="48">
        <f>SUM(D73:D75)</f>
        <v>1875000000</v>
      </c>
      <c r="E76" s="25"/>
      <c r="F76" s="47">
        <f>SUM(F73:F75)</f>
        <v>2996360385</v>
      </c>
      <c r="G76" s="25"/>
      <c r="H76" s="30">
        <f>SUM(D76:F76)</f>
        <v>4871360385</v>
      </c>
      <c r="I76" s="25"/>
      <c r="J76" s="100">
        <f>D76/H76</f>
        <v>0.38490274826997839</v>
      </c>
      <c r="K76" s="106"/>
      <c r="L76" s="99">
        <f>F76/H76</f>
        <v>0.61509725173002161</v>
      </c>
    </row>
    <row r="77" spans="1:12" ht="10.5" hidden="1" customHeight="1" x14ac:dyDescent="0.3">
      <c r="A77" s="37"/>
      <c r="B77" s="37"/>
      <c r="C77" s="7"/>
      <c r="D77" s="7"/>
      <c r="E77" s="7"/>
      <c r="F77" s="7"/>
      <c r="G77" s="7"/>
      <c r="H77" s="34"/>
      <c r="I77" s="7"/>
      <c r="J77" s="101"/>
      <c r="K77" s="101"/>
      <c r="L77" s="101"/>
    </row>
    <row r="78" spans="1:12" hidden="1" x14ac:dyDescent="0.3">
      <c r="A78" s="139">
        <v>40938</v>
      </c>
      <c r="B78" s="33" t="s">
        <v>9</v>
      </c>
      <c r="C78" s="25"/>
      <c r="D78" s="39"/>
      <c r="E78" s="25"/>
      <c r="F78" s="40">
        <f>48195842</f>
        <v>48195842</v>
      </c>
      <c r="G78" s="25"/>
      <c r="H78" s="41"/>
      <c r="I78" s="25"/>
      <c r="J78" s="99"/>
      <c r="K78" s="106"/>
      <c r="L78" s="99"/>
    </row>
    <row r="79" spans="1:12" ht="17.399999999999999" hidden="1" x14ac:dyDescent="0.45">
      <c r="A79" s="139"/>
      <c r="B79" s="33" t="s">
        <v>3</v>
      </c>
      <c r="C79" s="25"/>
      <c r="D79" s="48">
        <f>SUM(D76:D78)</f>
        <v>1875000000</v>
      </c>
      <c r="E79" s="25"/>
      <c r="F79" s="47">
        <f>SUM(F76:F78)</f>
        <v>3044556227</v>
      </c>
      <c r="G79" s="25"/>
      <c r="H79" s="30">
        <f>SUM(D79:F79)</f>
        <v>4919556227</v>
      </c>
      <c r="I79" s="25"/>
      <c r="J79" s="100">
        <f>D79/H79</f>
        <v>0.38113193822431335</v>
      </c>
      <c r="K79" s="106"/>
      <c r="L79" s="99">
        <f>F79/H79</f>
        <v>0.61886806177568665</v>
      </c>
    </row>
    <row r="80" spans="1:12" ht="10.5" hidden="1" customHeight="1" x14ac:dyDescent="0.3">
      <c r="A80" s="37"/>
      <c r="B80" s="37"/>
      <c r="C80" s="7"/>
      <c r="D80" s="7"/>
      <c r="E80" s="7"/>
      <c r="F80" s="7"/>
      <c r="G80" s="7"/>
      <c r="H80" s="34"/>
      <c r="I80" s="7"/>
      <c r="J80" s="101"/>
      <c r="K80" s="101"/>
      <c r="L80" s="101"/>
    </row>
    <row r="81" spans="1:12" hidden="1" x14ac:dyDescent="0.3">
      <c r="A81" s="139">
        <v>40942</v>
      </c>
      <c r="B81" s="33" t="s">
        <v>9</v>
      </c>
      <c r="C81" s="25"/>
      <c r="D81" s="39"/>
      <c r="E81" s="25"/>
      <c r="F81" s="40">
        <f>98434676+440265324</f>
        <v>538700000</v>
      </c>
      <c r="G81" s="25"/>
      <c r="H81" s="41"/>
      <c r="I81" s="25"/>
      <c r="J81" s="99"/>
      <c r="K81" s="106"/>
      <c r="L81" s="99"/>
    </row>
    <row r="82" spans="1:12" ht="17.399999999999999" hidden="1" x14ac:dyDescent="0.45">
      <c r="A82" s="139"/>
      <c r="B82" s="33" t="s">
        <v>3</v>
      </c>
      <c r="C82" s="25"/>
      <c r="D82" s="48">
        <f>SUM(D79:D81)</f>
        <v>1875000000</v>
      </c>
      <c r="E82" s="25"/>
      <c r="F82" s="47">
        <f>SUM(F79:F81)</f>
        <v>3583256227</v>
      </c>
      <c r="G82" s="25"/>
      <c r="H82" s="30">
        <f>SUM(D82:F82)</f>
        <v>5458256227</v>
      </c>
      <c r="I82" s="25"/>
      <c r="J82" s="100">
        <f>D82/H82</f>
        <v>0.34351630301359981</v>
      </c>
      <c r="K82" s="106"/>
      <c r="L82" s="99">
        <f>F82/H82</f>
        <v>0.65648369698640019</v>
      </c>
    </row>
    <row r="83" spans="1:12" ht="10.5" hidden="1" customHeight="1" x14ac:dyDescent="0.3">
      <c r="A83" s="37"/>
      <c r="B83" s="37"/>
      <c r="C83" s="7"/>
      <c r="D83" s="7"/>
      <c r="E83" s="7"/>
      <c r="F83" s="7"/>
      <c r="G83" s="7"/>
      <c r="H83" s="34"/>
      <c r="I83" s="7"/>
      <c r="J83" s="101"/>
      <c r="K83" s="101"/>
      <c r="L83" s="101"/>
    </row>
    <row r="84" spans="1:12" hidden="1" x14ac:dyDescent="0.3">
      <c r="A84" s="139">
        <v>40966</v>
      </c>
      <c r="B84" s="33" t="s">
        <v>9</v>
      </c>
      <c r="C84" s="25"/>
      <c r="D84" s="39">
        <f>156000000*2</f>
        <v>312000000</v>
      </c>
      <c r="E84" s="25"/>
      <c r="F84" s="40">
        <v>0</v>
      </c>
      <c r="G84" s="25"/>
      <c r="H84" s="41"/>
      <c r="I84" s="25"/>
      <c r="J84" s="99"/>
      <c r="K84" s="106"/>
      <c r="L84" s="99"/>
    </row>
    <row r="85" spans="1:12" ht="17.399999999999999" hidden="1" x14ac:dyDescent="0.45">
      <c r="A85" s="139"/>
      <c r="B85" s="33" t="s">
        <v>3</v>
      </c>
      <c r="C85" s="25"/>
      <c r="D85" s="48">
        <f>SUM(D82:D84)</f>
        <v>2187000000</v>
      </c>
      <c r="E85" s="25"/>
      <c r="F85" s="47">
        <f>SUM(F82:F84)</f>
        <v>3583256227</v>
      </c>
      <c r="G85" s="25"/>
      <c r="H85" s="30">
        <f>SUM(D85:F85)</f>
        <v>5770256227</v>
      </c>
      <c r="I85" s="25"/>
      <c r="J85" s="100">
        <f>D85/H85</f>
        <v>0.37901263201565627</v>
      </c>
      <c r="K85" s="106"/>
      <c r="L85" s="99">
        <f>F85/H85</f>
        <v>0.62098736798434373</v>
      </c>
    </row>
    <row r="86" spans="1:12" hidden="1" x14ac:dyDescent="0.3">
      <c r="A86" s="10"/>
      <c r="B86" s="10"/>
      <c r="C86" s="21"/>
      <c r="D86" s="1"/>
      <c r="E86" s="21"/>
      <c r="F86" s="1"/>
      <c r="G86" s="21"/>
      <c r="H86" s="1"/>
      <c r="I86" s="21"/>
      <c r="J86" s="102"/>
      <c r="K86" s="106"/>
      <c r="L86" s="102"/>
    </row>
    <row r="87" spans="1:12" hidden="1" x14ac:dyDescent="0.3">
      <c r="A87" s="139">
        <v>40999</v>
      </c>
      <c r="B87" s="97" t="s">
        <v>9</v>
      </c>
      <c r="C87" s="25"/>
      <c r="D87" s="39">
        <v>0</v>
      </c>
      <c r="E87" s="25"/>
      <c r="F87" s="40">
        <v>0</v>
      </c>
      <c r="G87" s="25"/>
      <c r="H87" s="41"/>
      <c r="I87" s="25"/>
      <c r="J87" s="99"/>
      <c r="K87" s="106"/>
      <c r="L87" s="99"/>
    </row>
    <row r="88" spans="1:12" ht="17.399999999999999" hidden="1" x14ac:dyDescent="0.45">
      <c r="A88" s="139"/>
      <c r="B88" s="97" t="s">
        <v>3</v>
      </c>
      <c r="C88" s="25"/>
      <c r="D88" s="48">
        <f>SUM(D85:D87)</f>
        <v>2187000000</v>
      </c>
      <c r="E88" s="25"/>
      <c r="F88" s="47">
        <f>SUM(F85:F87)</f>
        <v>3583256227</v>
      </c>
      <c r="G88" s="25"/>
      <c r="H88" s="30">
        <f>SUM(D88:F88)</f>
        <v>5770256227</v>
      </c>
      <c r="I88" s="25"/>
      <c r="J88" s="100">
        <f>D88/H88</f>
        <v>0.37901263201565627</v>
      </c>
      <c r="K88" s="106"/>
      <c r="L88" s="99">
        <f>F88/H88</f>
        <v>0.62098736798434373</v>
      </c>
    </row>
    <row r="89" spans="1:12" hidden="1" x14ac:dyDescent="0.3">
      <c r="A89" s="10"/>
      <c r="B89" s="10"/>
      <c r="C89" s="21"/>
      <c r="D89" s="1"/>
      <c r="E89" s="21"/>
      <c r="F89" s="1"/>
      <c r="G89" s="21"/>
      <c r="H89" s="1"/>
      <c r="I89" s="21"/>
      <c r="J89" s="102"/>
      <c r="K89" s="106"/>
      <c r="L89" s="102"/>
    </row>
    <row r="90" spans="1:12" hidden="1" x14ac:dyDescent="0.3">
      <c r="A90" s="139">
        <v>41029</v>
      </c>
      <c r="B90" s="97" t="s">
        <v>9</v>
      </c>
      <c r="C90" s="25"/>
      <c r="D90" s="39">
        <v>0</v>
      </c>
      <c r="E90" s="25"/>
      <c r="F90" s="40">
        <v>0</v>
      </c>
      <c r="G90" s="25"/>
      <c r="H90" s="41"/>
      <c r="I90" s="25"/>
      <c r="J90" s="99"/>
      <c r="K90" s="106"/>
      <c r="L90" s="99"/>
    </row>
    <row r="91" spans="1:12" ht="17.399999999999999" hidden="1" x14ac:dyDescent="0.45">
      <c r="A91" s="139"/>
      <c r="B91" s="97" t="s">
        <v>3</v>
      </c>
      <c r="C91" s="25"/>
      <c r="D91" s="48">
        <f>SUM(D88:D90)</f>
        <v>2187000000</v>
      </c>
      <c r="E91" s="25"/>
      <c r="F91" s="47">
        <f>SUM(F88:F90)</f>
        <v>3583256227</v>
      </c>
      <c r="G91" s="25"/>
      <c r="H91" s="30">
        <f>SUM(D91:F91)</f>
        <v>5770256227</v>
      </c>
      <c r="I91" s="25"/>
      <c r="J91" s="100">
        <f>D91/H91</f>
        <v>0.37901263201565627</v>
      </c>
      <c r="K91" s="106"/>
      <c r="L91" s="99">
        <f>F91/H91</f>
        <v>0.62098736798434373</v>
      </c>
    </row>
    <row r="92" spans="1:12" hidden="1" x14ac:dyDescent="0.3">
      <c r="A92" s="10"/>
      <c r="B92" s="10"/>
      <c r="C92" s="21"/>
      <c r="D92" s="1"/>
      <c r="E92" s="21"/>
      <c r="F92" s="1"/>
      <c r="G92" s="21"/>
      <c r="H92" s="1"/>
      <c r="I92" s="21"/>
      <c r="J92" s="102"/>
      <c r="K92" s="106"/>
      <c r="L92" s="102"/>
    </row>
    <row r="93" spans="1:12" hidden="1" x14ac:dyDescent="0.3">
      <c r="A93" s="139">
        <v>41043</v>
      </c>
      <c r="B93" s="97" t="s">
        <v>9</v>
      </c>
      <c r="C93" s="25"/>
      <c r="D93" s="39">
        <v>0</v>
      </c>
      <c r="E93" s="25"/>
      <c r="F93" s="40">
        <f>99563000+100000000</f>
        <v>199563000</v>
      </c>
      <c r="G93" s="25"/>
      <c r="H93" s="41"/>
      <c r="I93" s="25"/>
      <c r="J93" s="99"/>
      <c r="K93" s="106"/>
      <c r="L93" s="99"/>
    </row>
    <row r="94" spans="1:12" ht="17.399999999999999" hidden="1" x14ac:dyDescent="0.45">
      <c r="A94" s="139"/>
      <c r="B94" s="97" t="s">
        <v>3</v>
      </c>
      <c r="C94" s="25"/>
      <c r="D94" s="48">
        <f>SUM(D91:D93)</f>
        <v>2187000000</v>
      </c>
      <c r="E94" s="25"/>
      <c r="F94" s="47">
        <f>SUM(F91:F93)</f>
        <v>3782819227</v>
      </c>
      <c r="G94" s="25"/>
      <c r="H94" s="30">
        <f>SUM(D94:F94)</f>
        <v>5969819227</v>
      </c>
      <c r="I94" s="25"/>
      <c r="J94" s="100">
        <f>D94/H94</f>
        <v>0.36634275123587423</v>
      </c>
      <c r="K94" s="106"/>
      <c r="L94" s="99">
        <f>F94/H94</f>
        <v>0.63365724876412577</v>
      </c>
    </row>
    <row r="95" spans="1:12" hidden="1" x14ac:dyDescent="0.3">
      <c r="A95" s="10"/>
      <c r="B95" s="10"/>
      <c r="C95" s="21"/>
      <c r="D95" s="1"/>
      <c r="E95" s="21"/>
      <c r="F95" s="1"/>
      <c r="G95" s="21"/>
      <c r="H95" s="1"/>
      <c r="I95" s="21"/>
      <c r="J95" s="102"/>
      <c r="K95" s="106"/>
      <c r="L95" s="102"/>
    </row>
    <row r="96" spans="1:12" x14ac:dyDescent="0.3">
      <c r="A96" s="139">
        <v>41050</v>
      </c>
      <c r="B96" s="97" t="s">
        <v>9</v>
      </c>
      <c r="C96" s="25"/>
      <c r="D96" s="39">
        <v>0</v>
      </c>
      <c r="E96" s="25"/>
      <c r="F96" s="40">
        <v>74481188</v>
      </c>
      <c r="G96" s="25"/>
      <c r="H96" s="41"/>
      <c r="I96" s="25"/>
      <c r="J96" s="99"/>
      <c r="K96" s="106"/>
      <c r="L96" s="99"/>
    </row>
    <row r="97" spans="1:12" ht="17.399999999999999" x14ac:dyDescent="0.45">
      <c r="A97" s="139"/>
      <c r="B97" s="97" t="s">
        <v>3</v>
      </c>
      <c r="C97" s="25"/>
      <c r="D97" s="48">
        <f>SUM(D94:D96)</f>
        <v>2187000000</v>
      </c>
      <c r="E97" s="25"/>
      <c r="F97" s="47">
        <f>SUM(F94:F96)</f>
        <v>3857300415</v>
      </c>
      <c r="G97" s="25"/>
      <c r="H97" s="30">
        <f>SUM(D97:F97)</f>
        <v>6044300415</v>
      </c>
      <c r="I97" s="25"/>
      <c r="J97" s="100">
        <f>D97/H97</f>
        <v>0.3618284747350699</v>
      </c>
      <c r="K97" s="106"/>
      <c r="L97" s="99">
        <f>F97/H97</f>
        <v>0.63817152526493015</v>
      </c>
    </row>
    <row r="98" spans="1:12" x14ac:dyDescent="0.3">
      <c r="A98" s="10"/>
      <c r="B98" s="10"/>
      <c r="C98" s="21"/>
      <c r="D98" s="1"/>
      <c r="E98" s="21"/>
      <c r="F98" s="1"/>
      <c r="G98" s="21"/>
      <c r="H98" s="1"/>
      <c r="I98" s="21"/>
      <c r="J98" s="19"/>
      <c r="K98" s="21"/>
      <c r="L98" s="19"/>
    </row>
    <row r="99" spans="1:12" x14ac:dyDescent="0.3">
      <c r="A99" s="139" t="s">
        <v>27</v>
      </c>
      <c r="B99" s="120" t="s">
        <v>9</v>
      </c>
      <c r="C99" s="25"/>
      <c r="D99" s="39">
        <f>96000000*2</f>
        <v>192000000</v>
      </c>
      <c r="E99" s="25"/>
      <c r="F99" s="40">
        <v>0</v>
      </c>
      <c r="G99" s="25"/>
      <c r="H99" s="41"/>
      <c r="I99" s="25"/>
      <c r="J99" s="99"/>
      <c r="K99" s="106"/>
      <c r="L99" s="99"/>
    </row>
    <row r="100" spans="1:12" ht="17.399999999999999" x14ac:dyDescent="0.45">
      <c r="A100" s="139"/>
      <c r="B100" s="120" t="s">
        <v>3</v>
      </c>
      <c r="C100" s="25"/>
      <c r="D100" s="48">
        <f>SUM(D97:D99)</f>
        <v>2379000000</v>
      </c>
      <c r="E100" s="25"/>
      <c r="F100" s="47">
        <f>SUM(F97:F99)</f>
        <v>3857300415</v>
      </c>
      <c r="G100" s="25"/>
      <c r="H100" s="30">
        <f>SUM(D100:F100)</f>
        <v>6236300415</v>
      </c>
      <c r="I100" s="25"/>
      <c r="J100" s="100">
        <f>D100/H100</f>
        <v>0.38147617043557708</v>
      </c>
      <c r="K100" s="106"/>
      <c r="L100" s="99">
        <f>F100/H100</f>
        <v>0.61852382956442298</v>
      </c>
    </row>
    <row r="101" spans="1:12" x14ac:dyDescent="0.3">
      <c r="A101" s="10"/>
      <c r="B101" s="10"/>
      <c r="C101" s="21"/>
      <c r="D101" s="1"/>
      <c r="E101" s="21"/>
      <c r="F101" s="1"/>
      <c r="G101" s="21"/>
      <c r="H101" s="1"/>
      <c r="I101" s="21"/>
      <c r="J101" s="19"/>
      <c r="K101" s="21"/>
      <c r="L101" s="19"/>
    </row>
    <row r="102" spans="1:12" hidden="1" x14ac:dyDescent="0.3">
      <c r="A102" s="10"/>
      <c r="B102" s="10"/>
      <c r="C102" s="21"/>
      <c r="D102" s="1"/>
      <c r="E102" s="21"/>
      <c r="F102" s="1"/>
      <c r="G102" s="21"/>
      <c r="H102" s="1"/>
      <c r="I102" s="21"/>
      <c r="J102" s="19"/>
      <c r="K102" s="21"/>
      <c r="L102" s="19"/>
    </row>
    <row r="103" spans="1:12" hidden="1" x14ac:dyDescent="0.3">
      <c r="A103" s="10"/>
      <c r="B103" s="10"/>
      <c r="C103" s="21"/>
      <c r="D103" s="1"/>
      <c r="E103" s="21"/>
      <c r="F103" s="1"/>
      <c r="G103" s="21"/>
      <c r="H103" s="1"/>
      <c r="I103" s="21"/>
      <c r="J103" s="19"/>
      <c r="K103" s="21"/>
      <c r="L103" s="19"/>
    </row>
    <row r="104" spans="1:12" hidden="1" x14ac:dyDescent="0.3">
      <c r="A104" s="10"/>
      <c r="B104" s="10"/>
      <c r="C104" s="21"/>
      <c r="D104" s="1"/>
      <c r="E104" s="21"/>
      <c r="F104" s="1"/>
      <c r="G104" s="21"/>
      <c r="H104" s="1"/>
      <c r="I104" s="21"/>
      <c r="J104" s="19"/>
      <c r="K104" s="21"/>
      <c r="L104" s="19"/>
    </row>
    <row r="105" spans="1:12" ht="6.75" hidden="1" customHeight="1" x14ac:dyDescent="0.3">
      <c r="A105" s="10"/>
      <c r="B105" s="10"/>
      <c r="C105" s="21"/>
      <c r="D105" s="1"/>
      <c r="E105" s="21"/>
      <c r="F105" s="1"/>
      <c r="G105" s="21"/>
      <c r="H105" s="1"/>
      <c r="I105" s="21"/>
      <c r="J105" s="19"/>
      <c r="K105" s="21"/>
      <c r="L105" s="19"/>
    </row>
    <row r="106" spans="1:12" x14ac:dyDescent="0.3">
      <c r="A106" s="139">
        <v>41171</v>
      </c>
      <c r="B106" s="124" t="s">
        <v>9</v>
      </c>
      <c r="C106" s="25"/>
      <c r="D106" s="39">
        <f>300500000*2</f>
        <v>601000000</v>
      </c>
      <c r="E106" s="25"/>
      <c r="F106" s="40">
        <v>0</v>
      </c>
      <c r="G106" s="25"/>
      <c r="H106" s="41"/>
      <c r="I106" s="25"/>
      <c r="J106" s="99"/>
      <c r="K106" s="106"/>
      <c r="L106" s="99"/>
    </row>
    <row r="107" spans="1:12" ht="17.399999999999999" x14ac:dyDescent="0.45">
      <c r="A107" s="139"/>
      <c r="B107" s="124" t="s">
        <v>3</v>
      </c>
      <c r="C107" s="25"/>
      <c r="D107" s="48">
        <f>SUM(D100:D106)</f>
        <v>2980000000</v>
      </c>
      <c r="E107" s="25"/>
      <c r="F107" s="47">
        <f>SUM(F100:F106)</f>
        <v>3857300415</v>
      </c>
      <c r="G107" s="25"/>
      <c r="H107" s="30">
        <f>SUM(D107:F107)</f>
        <v>6837300415</v>
      </c>
      <c r="I107" s="25"/>
      <c r="J107" s="100">
        <f>D107/H107</f>
        <v>0.43584453207033758</v>
      </c>
      <c r="K107" s="106"/>
      <c r="L107" s="99">
        <f>F107/H107</f>
        <v>0.56415546792966242</v>
      </c>
    </row>
    <row r="108" spans="1:12" x14ac:dyDescent="0.3">
      <c r="A108" s="10"/>
      <c r="B108" s="10"/>
      <c r="C108" s="21"/>
      <c r="D108" s="1"/>
      <c r="E108" s="21"/>
      <c r="F108" s="1"/>
      <c r="G108" s="21"/>
      <c r="H108" s="1"/>
      <c r="I108" s="21"/>
      <c r="J108" s="19"/>
      <c r="K108" s="21"/>
      <c r="L108" s="19"/>
    </row>
    <row r="109" spans="1:12" x14ac:dyDescent="0.3">
      <c r="A109" s="139">
        <v>41319</v>
      </c>
      <c r="B109" s="132" t="s">
        <v>9</v>
      </c>
      <c r="C109" s="25"/>
      <c r="D109" s="39">
        <v>80395200</v>
      </c>
      <c r="E109" s="25"/>
      <c r="F109" s="40">
        <v>0</v>
      </c>
      <c r="G109" s="25"/>
      <c r="H109" s="41"/>
      <c r="I109" s="25"/>
      <c r="J109" s="99"/>
      <c r="K109" s="106"/>
      <c r="L109" s="99"/>
    </row>
    <row r="110" spans="1:12" ht="17.399999999999999" x14ac:dyDescent="0.45">
      <c r="A110" s="139"/>
      <c r="B110" s="132" t="s">
        <v>3</v>
      </c>
      <c r="C110" s="25"/>
      <c r="D110" s="48">
        <f>SUM(D107:D109)</f>
        <v>3060395200</v>
      </c>
      <c r="E110" s="25"/>
      <c r="F110" s="47">
        <f>SUM(F107:F109)</f>
        <v>3857300415</v>
      </c>
      <c r="G110" s="25"/>
      <c r="H110" s="30">
        <f>SUM(D110:F110)</f>
        <v>6917695615</v>
      </c>
      <c r="I110" s="25"/>
      <c r="J110" s="100">
        <f>D110/H110</f>
        <v>0.44240096273735802</v>
      </c>
      <c r="K110" s="106"/>
      <c r="L110" s="99">
        <f>F110/H110</f>
        <v>0.55759903726264193</v>
      </c>
    </row>
    <row r="111" spans="1:12" x14ac:dyDescent="0.3">
      <c r="A111" s="10"/>
      <c r="B111" s="10"/>
      <c r="C111" s="21"/>
      <c r="D111" s="1"/>
      <c r="E111" s="21"/>
      <c r="F111" s="1"/>
      <c r="G111" s="21"/>
      <c r="H111" s="1"/>
      <c r="I111" s="21"/>
      <c r="J111" s="19"/>
      <c r="K111" s="21"/>
      <c r="L111" s="19"/>
    </row>
    <row r="112" spans="1:12" x14ac:dyDescent="0.3">
      <c r="A112" s="139">
        <v>41339</v>
      </c>
      <c r="B112" s="129" t="s">
        <v>9</v>
      </c>
      <c r="C112" s="25"/>
      <c r="D112" s="39">
        <v>270000000</v>
      </c>
      <c r="E112" s="25"/>
      <c r="F112" s="40">
        <v>0</v>
      </c>
      <c r="G112" s="25"/>
      <c r="H112" s="41"/>
      <c r="I112" s="25"/>
      <c r="J112" s="99"/>
      <c r="K112" s="106"/>
      <c r="L112" s="99"/>
    </row>
    <row r="113" spans="1:12" ht="17.399999999999999" x14ac:dyDescent="0.45">
      <c r="A113" s="139"/>
      <c r="B113" s="129" t="s">
        <v>3</v>
      </c>
      <c r="C113" s="25"/>
      <c r="D113" s="48">
        <f>SUM(D110:D112)</f>
        <v>3330395200</v>
      </c>
      <c r="E113" s="25"/>
      <c r="F113" s="47">
        <f>SUM(F110:F112)</f>
        <v>3857300415</v>
      </c>
      <c r="G113" s="25"/>
      <c r="H113" s="30">
        <f>SUM(D113:F113)</f>
        <v>7187695615</v>
      </c>
      <c r="I113" s="25"/>
      <c r="J113" s="100">
        <f>D113/H113</f>
        <v>0.46334672172953445</v>
      </c>
      <c r="K113" s="106"/>
      <c r="L113" s="99">
        <f>F113/H113</f>
        <v>0.53665327827046549</v>
      </c>
    </row>
    <row r="114" spans="1:12" x14ac:dyDescent="0.3">
      <c r="A114" s="10"/>
      <c r="B114" s="10"/>
      <c r="C114" s="21"/>
      <c r="D114" s="1"/>
      <c r="E114" s="21"/>
      <c r="F114" s="1"/>
      <c r="G114" s="21"/>
      <c r="H114" s="1"/>
      <c r="I114" s="21"/>
      <c r="J114" s="19"/>
      <c r="K114" s="21"/>
      <c r="L114" s="19"/>
    </row>
    <row r="115" spans="1:12" x14ac:dyDescent="0.3">
      <c r="A115" s="10"/>
      <c r="B115" s="10"/>
      <c r="C115" s="21"/>
      <c r="D115" s="1"/>
      <c r="E115" s="21"/>
      <c r="F115" s="1"/>
      <c r="G115" s="21"/>
      <c r="H115" s="1"/>
      <c r="I115" s="21"/>
      <c r="J115" s="19"/>
      <c r="K115" s="21"/>
      <c r="L115" s="19"/>
    </row>
    <row r="116" spans="1:12" x14ac:dyDescent="0.3">
      <c r="A116" s="10"/>
      <c r="B116" s="10"/>
      <c r="C116" s="21"/>
      <c r="D116" s="1"/>
      <c r="E116" s="21"/>
      <c r="F116" s="1"/>
      <c r="G116" s="21"/>
      <c r="H116" s="1"/>
      <c r="I116" s="21"/>
      <c r="J116" s="19"/>
      <c r="K116" s="21"/>
      <c r="L116" s="19"/>
    </row>
    <row r="117" spans="1:12" ht="29.25" customHeight="1" x14ac:dyDescent="0.3">
      <c r="A117" s="153" t="s">
        <v>14</v>
      </c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</row>
    <row r="118" spans="1:12" x14ac:dyDescent="0.3">
      <c r="A118" s="142" t="s">
        <v>13</v>
      </c>
      <c r="B118" s="143"/>
      <c r="C118" s="55"/>
      <c r="D118" s="157" t="s">
        <v>8</v>
      </c>
      <c r="E118" s="55"/>
      <c r="F118" s="154" t="s">
        <v>12</v>
      </c>
      <c r="G118" s="55"/>
      <c r="H118" s="154" t="s">
        <v>11</v>
      </c>
      <c r="I118" s="55"/>
      <c r="J118" s="150" t="s">
        <v>4</v>
      </c>
      <c r="K118" s="151"/>
      <c r="L118" s="152"/>
    </row>
    <row r="119" spans="1:12" ht="15.75" customHeight="1" x14ac:dyDescent="0.3">
      <c r="A119" s="144"/>
      <c r="B119" s="145"/>
      <c r="C119" s="22"/>
      <c r="D119" s="158"/>
      <c r="E119" s="22"/>
      <c r="F119" s="155"/>
      <c r="G119" s="54"/>
      <c r="H119" s="155"/>
      <c r="I119" s="19"/>
      <c r="J119" s="148" t="s">
        <v>0</v>
      </c>
      <c r="K119" s="54"/>
      <c r="L119" s="148" t="s">
        <v>1</v>
      </c>
    </row>
    <row r="120" spans="1:12" x14ac:dyDescent="0.3">
      <c r="A120" s="146"/>
      <c r="B120" s="147"/>
      <c r="C120" s="22"/>
      <c r="D120" s="159"/>
      <c r="E120" s="22"/>
      <c r="F120" s="156"/>
      <c r="G120" s="22"/>
      <c r="H120" s="156"/>
      <c r="I120" s="22"/>
      <c r="J120" s="149"/>
      <c r="K120" s="22"/>
      <c r="L120" s="149"/>
    </row>
    <row r="121" spans="1:12" x14ac:dyDescent="0.3">
      <c r="A121" s="33"/>
      <c r="B121" s="33"/>
      <c r="C121" s="22"/>
      <c r="D121" s="18"/>
      <c r="E121" s="22"/>
      <c r="F121" s="63"/>
      <c r="G121" s="22"/>
      <c r="H121" s="63"/>
      <c r="I121" s="22"/>
      <c r="J121" s="65"/>
      <c r="K121" s="22"/>
      <c r="L121" s="65"/>
    </row>
    <row r="122" spans="1:12" x14ac:dyDescent="0.3">
      <c r="A122" s="134" t="s">
        <v>21</v>
      </c>
      <c r="B122" s="134"/>
      <c r="C122" s="22"/>
      <c r="D122" s="18"/>
      <c r="E122" s="22"/>
      <c r="F122" s="63"/>
      <c r="G122" s="22"/>
      <c r="H122" s="63"/>
      <c r="I122" s="22"/>
      <c r="J122" s="65"/>
      <c r="K122" s="22"/>
      <c r="L122" s="65"/>
    </row>
    <row r="123" spans="1:12" x14ac:dyDescent="0.3">
      <c r="A123" s="134"/>
      <c r="B123" s="134"/>
      <c r="C123" s="22"/>
      <c r="D123" s="18"/>
      <c r="E123" s="22"/>
      <c r="F123" s="63"/>
      <c r="G123" s="22"/>
      <c r="H123" s="63"/>
      <c r="I123" s="22"/>
      <c r="J123" s="65"/>
      <c r="K123" s="22"/>
      <c r="L123" s="65"/>
    </row>
    <row r="124" spans="1:12" x14ac:dyDescent="0.3">
      <c r="A124" s="135">
        <v>41091</v>
      </c>
      <c r="B124" s="136"/>
      <c r="C124" s="26"/>
      <c r="D124" s="108">
        <f>+'[1]Schedule of Interest Income '!$E$8</f>
        <v>823628.88888888888</v>
      </c>
      <c r="E124" s="26"/>
      <c r="F124" s="57">
        <f>+J100</f>
        <v>0.38147617043557708</v>
      </c>
      <c r="G124" s="26"/>
      <c r="H124" s="56">
        <f>+L100</f>
        <v>0.61852382956442298</v>
      </c>
      <c r="I124" s="26"/>
      <c r="J124" s="93">
        <f>D124*F124</f>
        <v>314194.79439344275</v>
      </c>
      <c r="K124" s="26"/>
      <c r="L124" s="92">
        <f>D124*H124</f>
        <v>509434.09449544619</v>
      </c>
    </row>
    <row r="125" spans="1:12" x14ac:dyDescent="0.3">
      <c r="A125" s="135">
        <v>41122</v>
      </c>
      <c r="B125" s="136"/>
      <c r="C125" s="26"/>
      <c r="D125" s="108">
        <f>+'[1]Schedule of Interest Income '!$E$9</f>
        <v>244469.61111111109</v>
      </c>
      <c r="E125" s="26"/>
      <c r="F125" s="57">
        <f>+J100</f>
        <v>0.38147617043557708</v>
      </c>
      <c r="G125" s="26"/>
      <c r="H125" s="56">
        <f>+L100</f>
        <v>0.61852382956442298</v>
      </c>
      <c r="I125" s="26"/>
      <c r="J125" s="93">
        <f>D125*F125</f>
        <v>93259.331034541465</v>
      </c>
      <c r="K125" s="26"/>
      <c r="L125" s="92">
        <f>D125*H125</f>
        <v>151210.28007656964</v>
      </c>
    </row>
    <row r="126" spans="1:12" x14ac:dyDescent="0.3">
      <c r="A126" s="136" t="s">
        <v>26</v>
      </c>
      <c r="B126" s="136"/>
      <c r="C126" s="26"/>
      <c r="D126" s="108">
        <v>49249.03</v>
      </c>
      <c r="E126" s="26"/>
      <c r="F126" s="57">
        <f>+J100</f>
        <v>0.38147617043557708</v>
      </c>
      <c r="G126" s="26"/>
      <c r="H126" s="56">
        <f>+L100</f>
        <v>0.61852382956442298</v>
      </c>
      <c r="I126" s="26"/>
      <c r="J126" s="93">
        <f>D126*F126</f>
        <v>18787.331362066849</v>
      </c>
      <c r="K126" s="26"/>
      <c r="L126" s="92">
        <f>D126*H126</f>
        <v>30461.698637933154</v>
      </c>
    </row>
    <row r="127" spans="1:12" x14ac:dyDescent="0.3">
      <c r="A127" s="136" t="s">
        <v>28</v>
      </c>
      <c r="B127" s="136"/>
      <c r="C127" s="25"/>
      <c r="D127" s="108">
        <f>+'[1]Schedule of Interest Income '!$E$10-D126</f>
        <v>1202995.8922222222</v>
      </c>
      <c r="E127" s="26"/>
      <c r="F127" s="57">
        <f>+J107</f>
        <v>0.43584453207033758</v>
      </c>
      <c r="G127" s="26"/>
      <c r="H127" s="56">
        <f>+L107</f>
        <v>0.56415546792966242</v>
      </c>
      <c r="I127" s="26"/>
      <c r="J127" s="93">
        <f>D127*F127</f>
        <v>524319.18172813265</v>
      </c>
      <c r="K127" s="26"/>
      <c r="L127" s="92">
        <f>D127*H127</f>
        <v>678676.71049408952</v>
      </c>
    </row>
    <row r="128" spans="1:12" x14ac:dyDescent="0.3">
      <c r="C128" s="29"/>
      <c r="D128" s="58">
        <f>SUM(D124:D127)</f>
        <v>2320343.4222222222</v>
      </c>
      <c r="E128" s="27"/>
      <c r="F128" s="15"/>
      <c r="G128" s="27"/>
      <c r="H128" s="15"/>
      <c r="I128" s="27"/>
      <c r="J128" s="58">
        <f>SUM(J124:J127)</f>
        <v>950560.63851818372</v>
      </c>
      <c r="K128" s="27"/>
      <c r="L128" s="58">
        <f>SUM(L124:L127)</f>
        <v>1369782.7837040385</v>
      </c>
    </row>
    <row r="129" spans="1:12" x14ac:dyDescent="0.3">
      <c r="A129" s="61" t="s">
        <v>7</v>
      </c>
      <c r="B129" s="62"/>
      <c r="C129" s="21"/>
      <c r="D129" s="94">
        <v>0</v>
      </c>
      <c r="E129" s="21"/>
      <c r="F129" s="60"/>
      <c r="G129" s="21"/>
      <c r="H129" s="60"/>
      <c r="I129" s="21"/>
      <c r="J129" s="94">
        <f>D129*F129</f>
        <v>0</v>
      </c>
      <c r="K129" s="29"/>
      <c r="L129" s="94">
        <f>D129*H129</f>
        <v>0</v>
      </c>
    </row>
    <row r="130" spans="1:12" ht="16.2" thickBot="1" x14ac:dyDescent="0.35">
      <c r="A130" s="133" t="s">
        <v>17</v>
      </c>
      <c r="B130" s="133"/>
      <c r="C130" s="29"/>
      <c r="D130" s="109">
        <f>SUM(D128:D129)</f>
        <v>2320343.4222222222</v>
      </c>
      <c r="E130" s="29"/>
      <c r="F130" s="86"/>
      <c r="G130" s="29"/>
      <c r="H130" s="86"/>
      <c r="I130" s="29"/>
      <c r="J130" s="88">
        <f t="shared" ref="J130" si="4">SUM(J128:J129)</f>
        <v>950560.63851818372</v>
      </c>
      <c r="K130" s="29"/>
      <c r="L130" s="87">
        <f>SUM(L128:L129)</f>
        <v>1369782.7837040385</v>
      </c>
    </row>
    <row r="131" spans="1:12" x14ac:dyDescent="0.3">
      <c r="A131" s="134" t="s">
        <v>20</v>
      </c>
      <c r="B131" s="134"/>
      <c r="C131" s="29"/>
      <c r="D131" s="110"/>
      <c r="E131" s="29"/>
      <c r="F131" s="16"/>
      <c r="G131" s="29"/>
      <c r="H131" s="16"/>
      <c r="I131" s="29"/>
      <c r="J131" s="4"/>
      <c r="K131" s="29"/>
      <c r="L131" s="4"/>
    </row>
    <row r="132" spans="1:12" x14ac:dyDescent="0.3">
      <c r="A132" s="134"/>
      <c r="B132" s="134"/>
      <c r="C132" s="29"/>
      <c r="D132" s="111"/>
      <c r="E132" s="29"/>
      <c r="F132" s="16"/>
      <c r="G132" s="29"/>
      <c r="H132" s="16"/>
      <c r="I132" s="29"/>
      <c r="J132" s="16"/>
      <c r="K132" s="29"/>
      <c r="L132" s="16"/>
    </row>
    <row r="133" spans="1:12" x14ac:dyDescent="0.3">
      <c r="A133" s="135">
        <v>41183</v>
      </c>
      <c r="B133" s="136"/>
      <c r="C133" s="26"/>
      <c r="D133" s="92">
        <f>+'[1]Schedule of Interest Income '!$E13</f>
        <v>2746397.3222222221</v>
      </c>
      <c r="E133" s="26"/>
      <c r="F133" s="57">
        <f>+J107</f>
        <v>0.43584453207033758</v>
      </c>
      <c r="G133" s="26"/>
      <c r="H133" s="56">
        <f>F107/H107</f>
        <v>0.56415546792966242</v>
      </c>
      <c r="I133" s="26"/>
      <c r="J133" s="93">
        <f t="shared" ref="J133:J135" si="5">D133*F133</f>
        <v>1197002.2557831726</v>
      </c>
      <c r="K133" s="26"/>
      <c r="L133" s="92">
        <f>D133*H133</f>
        <v>1549395.0664390496</v>
      </c>
    </row>
    <row r="134" spans="1:12" x14ac:dyDescent="0.3">
      <c r="A134" s="135">
        <v>41214</v>
      </c>
      <c r="B134" s="136"/>
      <c r="C134" s="26"/>
      <c r="D134" s="92">
        <f>+'[1]Schedule of Interest Income '!$E14</f>
        <v>2338366.6555555556</v>
      </c>
      <c r="E134" s="26"/>
      <c r="F134" s="57">
        <f>+J107</f>
        <v>0.43584453207033758</v>
      </c>
      <c r="G134" s="26"/>
      <c r="H134" s="56">
        <f>F107/H107</f>
        <v>0.56415546792966242</v>
      </c>
      <c r="I134" s="26"/>
      <c r="J134" s="93">
        <f t="shared" si="5"/>
        <v>1019164.3207994914</v>
      </c>
      <c r="K134" s="26"/>
      <c r="L134" s="92">
        <f>D134*H134</f>
        <v>1319202.3347560642</v>
      </c>
    </row>
    <row r="135" spans="1:12" x14ac:dyDescent="0.3">
      <c r="A135" s="135">
        <v>41244</v>
      </c>
      <c r="B135" s="136"/>
      <c r="C135" s="25"/>
      <c r="D135" s="92">
        <f>+'[1]Schedule of Interest Income '!$E15</f>
        <v>1368530.9111111111</v>
      </c>
      <c r="E135" s="25"/>
      <c r="F135" s="57">
        <f>+J107</f>
        <v>0.43584453207033758</v>
      </c>
      <c r="G135" s="25"/>
      <c r="H135" s="56">
        <f>F107/H107</f>
        <v>0.56415546792966242</v>
      </c>
      <c r="I135" s="25"/>
      <c r="J135" s="93">
        <f t="shared" si="5"/>
        <v>596466.71457701491</v>
      </c>
      <c r="K135" s="25"/>
      <c r="L135" s="92">
        <f>D135*H135</f>
        <v>772064.19653409615</v>
      </c>
    </row>
    <row r="136" spans="1:12" x14ac:dyDescent="0.3">
      <c r="C136" s="29"/>
      <c r="D136" s="58">
        <f>SUM(D133:D135)</f>
        <v>6453294.8888888881</v>
      </c>
      <c r="E136" s="29"/>
      <c r="F136" s="15"/>
      <c r="G136" s="29"/>
      <c r="H136" s="15"/>
      <c r="I136" s="29"/>
      <c r="J136" s="89">
        <f t="shared" ref="J136" si="6">SUM(J133:J135)</f>
        <v>2812633.2911596787</v>
      </c>
      <c r="K136" s="29"/>
      <c r="L136" s="59">
        <f>SUM(L133:L135)</f>
        <v>3640661.5977292098</v>
      </c>
    </row>
    <row r="137" spans="1:12" x14ac:dyDescent="0.3">
      <c r="A137" s="61" t="s">
        <v>19</v>
      </c>
      <c r="B137" s="62"/>
      <c r="C137" s="29"/>
      <c r="D137" s="94"/>
      <c r="E137" s="29"/>
      <c r="F137" s="66"/>
      <c r="G137" s="29"/>
      <c r="H137" s="66"/>
      <c r="I137" s="29"/>
      <c r="J137" s="94">
        <f>D137*F137</f>
        <v>0</v>
      </c>
      <c r="K137" s="29"/>
      <c r="L137" s="94">
        <f>D137*H137</f>
        <v>0</v>
      </c>
    </row>
    <row r="138" spans="1:12" ht="16.2" thickBot="1" x14ac:dyDescent="0.35">
      <c r="A138" s="133" t="s">
        <v>17</v>
      </c>
      <c r="B138" s="133"/>
      <c r="C138" s="29"/>
      <c r="D138" s="95">
        <f>SUM(D136:D137)</f>
        <v>6453294.8888888881</v>
      </c>
      <c r="E138" s="29"/>
      <c r="F138" s="85"/>
      <c r="G138" s="29"/>
      <c r="H138" s="85"/>
      <c r="I138" s="29"/>
      <c r="J138" s="95">
        <f>SUM(J136:J137)</f>
        <v>2812633.2911596787</v>
      </c>
      <c r="K138" s="29"/>
      <c r="L138" s="95">
        <f>SUM(L136:L137)</f>
        <v>3640661.5977292098</v>
      </c>
    </row>
    <row r="139" spans="1:12" x14ac:dyDescent="0.3">
      <c r="D139" s="112"/>
      <c r="J139" s="116"/>
      <c r="K139" s="117"/>
      <c r="L139" s="116"/>
    </row>
    <row r="140" spans="1:12" x14ac:dyDescent="0.3">
      <c r="A140" s="134" t="s">
        <v>22</v>
      </c>
      <c r="B140" s="134"/>
      <c r="C140" s="29"/>
      <c r="D140" s="110"/>
      <c r="E140" s="29"/>
      <c r="F140" s="16"/>
      <c r="G140" s="29"/>
      <c r="H140" s="16"/>
      <c r="I140" s="29"/>
      <c r="J140" s="4"/>
      <c r="K140" s="29"/>
      <c r="L140" s="4"/>
    </row>
    <row r="141" spans="1:12" x14ac:dyDescent="0.3">
      <c r="A141" s="134"/>
      <c r="B141" s="134"/>
      <c r="C141" s="29"/>
      <c r="D141" s="111"/>
      <c r="E141" s="29"/>
      <c r="F141" s="16"/>
      <c r="G141" s="29"/>
      <c r="H141" s="16"/>
      <c r="I141" s="29"/>
      <c r="J141" s="16"/>
      <c r="K141" s="29"/>
      <c r="L141" s="16"/>
    </row>
    <row r="142" spans="1:12" x14ac:dyDescent="0.3">
      <c r="A142" s="135">
        <v>41275</v>
      </c>
      <c r="B142" s="136"/>
      <c r="C142" s="26"/>
      <c r="D142" s="113">
        <f>+'[1]Schedule of Interest Income '!$E$17</f>
        <v>242944.24444444446</v>
      </c>
      <c r="E142" s="26"/>
      <c r="F142" s="57">
        <f>+J107</f>
        <v>0.43584453207033758</v>
      </c>
      <c r="G142" s="26"/>
      <c r="H142" s="56">
        <f>+L107</f>
        <v>0.56415546792966242</v>
      </c>
      <c r="I142" s="26"/>
      <c r="J142" s="93">
        <f t="shared" ref="J142:J149" si="7">D142*F142</f>
        <v>105885.9205390706</v>
      </c>
      <c r="K142" s="26"/>
      <c r="L142" s="92">
        <f t="shared" ref="L142:L149" si="8">D142*H142</f>
        <v>137058.32390537387</v>
      </c>
    </row>
    <row r="143" spans="1:12" x14ac:dyDescent="0.3">
      <c r="A143" s="91"/>
      <c r="B143" s="90"/>
      <c r="C143" s="26"/>
      <c r="D143" s="114"/>
      <c r="E143" s="26"/>
      <c r="F143" s="8"/>
      <c r="G143" s="26"/>
      <c r="H143" s="8"/>
      <c r="I143" s="26"/>
      <c r="J143" s="26">
        <f t="shared" si="7"/>
        <v>0</v>
      </c>
      <c r="K143" s="26"/>
      <c r="L143" s="26">
        <f t="shared" si="8"/>
        <v>0</v>
      </c>
    </row>
    <row r="144" spans="1:12" x14ac:dyDescent="0.3">
      <c r="A144" s="135" t="s">
        <v>33</v>
      </c>
      <c r="B144" s="136"/>
      <c r="C144" s="26"/>
      <c r="D144" s="108">
        <v>57201</v>
      </c>
      <c r="E144" s="26"/>
      <c r="F144" s="57">
        <f>+J107</f>
        <v>0.43584453207033758</v>
      </c>
      <c r="G144" s="26"/>
      <c r="H144" s="56">
        <f>+L107</f>
        <v>0.56415546792966242</v>
      </c>
      <c r="I144" s="26"/>
      <c r="J144" s="93">
        <f t="shared" si="7"/>
        <v>24930.74307895538</v>
      </c>
      <c r="K144" s="26"/>
      <c r="L144" s="92">
        <f t="shared" si="8"/>
        <v>32270.25692104462</v>
      </c>
    </row>
    <row r="145" spans="1:12" x14ac:dyDescent="0.3">
      <c r="A145" s="130" t="s">
        <v>34</v>
      </c>
      <c r="B145" s="131"/>
      <c r="C145" s="26"/>
      <c r="D145" s="108">
        <f>+'[1]Schedule of Interest Income '!$E$18-D144</f>
        <v>254394.5777777778</v>
      </c>
      <c r="E145" s="26"/>
      <c r="F145" s="57">
        <f>+J110</f>
        <v>0.44240096273735802</v>
      </c>
      <c r="G145" s="26"/>
      <c r="H145" s="56">
        <f>+L110</f>
        <v>0.55759903726264193</v>
      </c>
      <c r="I145" s="26"/>
      <c r="J145" s="93">
        <f t="shared" si="7"/>
        <v>112544.40612405261</v>
      </c>
      <c r="K145" s="26"/>
      <c r="L145" s="92">
        <f t="shared" si="8"/>
        <v>141850.17165372518</v>
      </c>
    </row>
    <row r="146" spans="1:12" x14ac:dyDescent="0.3">
      <c r="A146" s="91"/>
      <c r="B146" s="90"/>
      <c r="C146" s="26"/>
      <c r="D146" s="26"/>
      <c r="E146" s="26"/>
      <c r="F146" s="8"/>
      <c r="G146" s="26"/>
      <c r="H146" s="8"/>
      <c r="I146" s="26"/>
      <c r="J146" s="26">
        <f t="shared" si="7"/>
        <v>0</v>
      </c>
      <c r="K146" s="26"/>
      <c r="L146" s="26">
        <f t="shared" si="8"/>
        <v>0</v>
      </c>
    </row>
    <row r="147" spans="1:12" x14ac:dyDescent="0.3">
      <c r="A147" s="127" t="s">
        <v>31</v>
      </c>
      <c r="B147" s="90"/>
      <c r="C147" s="26"/>
      <c r="D147" s="108">
        <f>69487.09</f>
        <v>69487.09</v>
      </c>
      <c r="E147" s="26"/>
      <c r="F147" s="57">
        <f>+J110</f>
        <v>0.44240096273735802</v>
      </c>
      <c r="G147" s="26"/>
      <c r="H147" s="56">
        <f>+L110</f>
        <v>0.55759903726264193</v>
      </c>
      <c r="I147" s="26"/>
      <c r="J147" s="93">
        <f t="shared" si="7"/>
        <v>30741.155513817441</v>
      </c>
      <c r="K147" s="26"/>
      <c r="L147" s="92">
        <f t="shared" si="8"/>
        <v>38745.934486182552</v>
      </c>
    </row>
    <row r="148" spans="1:12" x14ac:dyDescent="0.3">
      <c r="A148" s="127" t="s">
        <v>32</v>
      </c>
      <c r="B148" s="128"/>
      <c r="C148" s="26"/>
      <c r="D148" s="108">
        <f>+'[1]Schedule of Interest Income '!$E$19-D147</f>
        <v>1492638.2877777778</v>
      </c>
      <c r="E148" s="26"/>
      <c r="F148" s="57">
        <f>+J113</f>
        <v>0.46334672172953445</v>
      </c>
      <c r="G148" s="26"/>
      <c r="H148" s="56">
        <f>+L113</f>
        <v>0.53665327827046549</v>
      </c>
      <c r="I148" s="26"/>
      <c r="J148" s="93">
        <f t="shared" si="7"/>
        <v>691609.05736981879</v>
      </c>
      <c r="K148" s="26"/>
      <c r="L148" s="92">
        <f t="shared" si="8"/>
        <v>801029.23040795897</v>
      </c>
    </row>
    <row r="149" spans="1:12" x14ac:dyDescent="0.3">
      <c r="A149" s="135"/>
      <c r="B149" s="136"/>
      <c r="C149" s="25"/>
      <c r="D149" s="26"/>
      <c r="E149" s="25"/>
      <c r="F149" s="8"/>
      <c r="G149" s="25"/>
      <c r="H149" s="8"/>
      <c r="I149" s="25"/>
      <c r="J149" s="26">
        <f t="shared" si="7"/>
        <v>0</v>
      </c>
      <c r="K149" s="25"/>
      <c r="L149" s="26">
        <f t="shared" si="8"/>
        <v>0</v>
      </c>
    </row>
    <row r="150" spans="1:12" x14ac:dyDescent="0.3">
      <c r="C150" s="29"/>
      <c r="D150" s="58">
        <f>SUM(D142:D149)</f>
        <v>2116665.2000000002</v>
      </c>
      <c r="E150" s="29"/>
      <c r="F150" s="15"/>
      <c r="G150" s="29"/>
      <c r="H150" s="15"/>
      <c r="I150" s="29"/>
      <c r="J150" s="118">
        <f>SUM(J142:J149)</f>
        <v>965711.28262571478</v>
      </c>
      <c r="K150" s="29"/>
      <c r="L150" s="59">
        <f>SUM(L142:L149)</f>
        <v>1150953.9173742852</v>
      </c>
    </row>
    <row r="151" spans="1:12" x14ac:dyDescent="0.3">
      <c r="A151" s="61" t="s">
        <v>19</v>
      </c>
      <c r="B151" s="62"/>
      <c r="C151" s="29"/>
      <c r="D151" s="94"/>
      <c r="E151" s="29"/>
      <c r="F151" s="66"/>
      <c r="G151" s="29"/>
      <c r="H151" s="66"/>
      <c r="I151" s="29"/>
      <c r="J151" s="94">
        <f>D151*F151</f>
        <v>0</v>
      </c>
      <c r="K151" s="29"/>
      <c r="L151" s="94">
        <f>D151*H151</f>
        <v>0</v>
      </c>
    </row>
    <row r="152" spans="1:12" ht="16.2" thickBot="1" x14ac:dyDescent="0.35">
      <c r="A152" s="133" t="s">
        <v>17</v>
      </c>
      <c r="B152" s="133"/>
      <c r="C152" s="29"/>
      <c r="D152" s="95">
        <f>SUM(D150:D151)</f>
        <v>2116665.2000000002</v>
      </c>
      <c r="E152" s="29"/>
      <c r="F152" s="85"/>
      <c r="G152" s="29"/>
      <c r="H152" s="85"/>
      <c r="I152" s="29"/>
      <c r="J152" s="95">
        <f>SUM(J150:J151)</f>
        <v>965711.28262571478</v>
      </c>
      <c r="K152" s="29"/>
      <c r="L152" s="95">
        <f>SUM(L150:L151)</f>
        <v>1150953.9173742852</v>
      </c>
    </row>
    <row r="153" spans="1:12" x14ac:dyDescent="0.3">
      <c r="D153" s="112"/>
      <c r="J153" s="116"/>
      <c r="K153" s="117"/>
      <c r="L153" s="116"/>
    </row>
    <row r="154" spans="1:12" hidden="1" x14ac:dyDescent="0.3">
      <c r="A154" s="134" t="s">
        <v>23</v>
      </c>
      <c r="B154" s="134"/>
      <c r="C154" s="29"/>
      <c r="D154" s="110"/>
      <c r="E154" s="29"/>
      <c r="F154" s="16"/>
      <c r="G154" s="29"/>
      <c r="H154" s="16"/>
      <c r="I154" s="29"/>
      <c r="J154" s="4"/>
      <c r="K154" s="29"/>
      <c r="L154" s="4"/>
    </row>
    <row r="155" spans="1:12" hidden="1" x14ac:dyDescent="0.3">
      <c r="A155" s="134"/>
      <c r="B155" s="134"/>
      <c r="C155" s="29"/>
      <c r="D155" s="111"/>
      <c r="E155" s="29"/>
      <c r="F155" s="16"/>
      <c r="G155" s="29"/>
      <c r="H155" s="16"/>
      <c r="I155" s="29"/>
      <c r="J155" s="16"/>
      <c r="K155" s="29"/>
      <c r="L155" s="16"/>
    </row>
    <row r="156" spans="1:12" hidden="1" x14ac:dyDescent="0.3">
      <c r="A156" s="135"/>
      <c r="B156" s="136"/>
      <c r="C156" s="26"/>
      <c r="D156" s="108"/>
      <c r="E156" s="26"/>
      <c r="F156" s="57"/>
      <c r="G156" s="26"/>
      <c r="H156" s="56"/>
      <c r="I156" s="26"/>
      <c r="J156" s="93">
        <f t="shared" ref="J156:J161" si="9">D156*F156</f>
        <v>0</v>
      </c>
      <c r="K156" s="26"/>
      <c r="L156" s="92">
        <f>D156*H156</f>
        <v>0</v>
      </c>
    </row>
    <row r="157" spans="1:12" s="28" customFormat="1" hidden="1" x14ac:dyDescent="0.3">
      <c r="A157" s="135"/>
      <c r="B157" s="136"/>
      <c r="C157" s="26"/>
      <c r="D157" s="26"/>
      <c r="E157" s="26"/>
      <c r="F157" s="8"/>
      <c r="G157" s="26"/>
      <c r="H157" s="8"/>
      <c r="I157" s="26"/>
      <c r="J157" s="26">
        <f t="shared" si="9"/>
        <v>0</v>
      </c>
      <c r="K157" s="26"/>
      <c r="L157" s="26">
        <f>D157*H157</f>
        <v>0</v>
      </c>
    </row>
    <row r="158" spans="1:12" hidden="1" x14ac:dyDescent="0.3">
      <c r="A158" s="135"/>
      <c r="B158" s="136"/>
      <c r="C158" s="26"/>
      <c r="D158" s="108"/>
      <c r="E158" s="26"/>
      <c r="F158" s="57"/>
      <c r="G158" s="26"/>
      <c r="H158" s="56"/>
      <c r="I158" s="26"/>
      <c r="J158" s="93">
        <f t="shared" si="9"/>
        <v>0</v>
      </c>
      <c r="K158" s="26"/>
      <c r="L158" s="92">
        <f>D158*H158</f>
        <v>0</v>
      </c>
    </row>
    <row r="159" spans="1:12" s="28" customFormat="1" hidden="1" x14ac:dyDescent="0.3">
      <c r="A159" s="96"/>
      <c r="B159" s="98"/>
      <c r="C159" s="26"/>
      <c r="D159" s="26"/>
      <c r="E159" s="26"/>
      <c r="F159" s="8"/>
      <c r="G159" s="26"/>
      <c r="H159" s="8"/>
      <c r="I159" s="26"/>
      <c r="J159" s="26">
        <f t="shared" si="9"/>
        <v>0</v>
      </c>
      <c r="K159" s="26"/>
      <c r="L159" s="26">
        <f>D159*H159</f>
        <v>0</v>
      </c>
    </row>
    <row r="160" spans="1:12" hidden="1" x14ac:dyDescent="0.3">
      <c r="A160" s="135"/>
      <c r="B160" s="136"/>
      <c r="C160" s="25"/>
      <c r="D160" s="108"/>
      <c r="E160" s="25"/>
      <c r="F160" s="57"/>
      <c r="G160" s="25"/>
      <c r="H160" s="56"/>
      <c r="I160" s="25"/>
      <c r="J160" s="93">
        <f t="shared" si="9"/>
        <v>0</v>
      </c>
      <c r="K160" s="25"/>
      <c r="L160" s="92">
        <f t="shared" ref="L160" si="10">D160*H160</f>
        <v>0</v>
      </c>
    </row>
    <row r="161" spans="1:12" hidden="1" x14ac:dyDescent="0.3">
      <c r="A161" s="121"/>
      <c r="B161" s="122"/>
      <c r="C161" s="25"/>
      <c r="D161" s="26"/>
      <c r="E161" s="25"/>
      <c r="F161" s="8"/>
      <c r="G161" s="25"/>
      <c r="H161" s="8"/>
      <c r="I161" s="25"/>
      <c r="J161" s="26">
        <f t="shared" si="9"/>
        <v>0</v>
      </c>
      <c r="K161" s="25"/>
      <c r="L161" s="26">
        <f>D161*H161</f>
        <v>0</v>
      </c>
    </row>
    <row r="162" spans="1:12" hidden="1" x14ac:dyDescent="0.3">
      <c r="C162" s="29"/>
      <c r="D162" s="58">
        <f>SUM(D156:D161)</f>
        <v>0</v>
      </c>
      <c r="E162" s="29"/>
      <c r="F162" s="15"/>
      <c r="G162" s="29"/>
      <c r="H162" s="15"/>
      <c r="I162" s="29"/>
      <c r="J162" s="58">
        <f>SUM(J156:J161)</f>
        <v>0</v>
      </c>
      <c r="K162" s="25"/>
      <c r="L162" s="58">
        <f>SUM(L156:L161)</f>
        <v>0</v>
      </c>
    </row>
    <row r="163" spans="1:12" hidden="1" x14ac:dyDescent="0.3">
      <c r="A163" s="61" t="s">
        <v>19</v>
      </c>
      <c r="B163" s="62"/>
      <c r="C163" s="29"/>
      <c r="D163" s="94">
        <v>0</v>
      </c>
      <c r="E163" s="29"/>
      <c r="F163" s="66"/>
      <c r="G163" s="29"/>
      <c r="H163" s="66"/>
      <c r="I163" s="29"/>
      <c r="J163" s="94">
        <f>D163*F163</f>
        <v>0</v>
      </c>
      <c r="K163" s="25"/>
      <c r="L163" s="94">
        <f>D163*H163</f>
        <v>0</v>
      </c>
    </row>
    <row r="164" spans="1:12" ht="16.2" hidden="1" thickBot="1" x14ac:dyDescent="0.35">
      <c r="A164" s="133" t="s">
        <v>17</v>
      </c>
      <c r="B164" s="133"/>
      <c r="C164" s="29"/>
      <c r="D164" s="95">
        <f>SUM(D162:D163)</f>
        <v>0</v>
      </c>
      <c r="E164" s="29"/>
      <c r="F164" s="85"/>
      <c r="G164" s="29"/>
      <c r="H164" s="85"/>
      <c r="I164" s="29"/>
      <c r="J164" s="95">
        <f>SUM(J162:J163)</f>
        <v>0</v>
      </c>
      <c r="K164" s="25"/>
      <c r="L164" s="95">
        <f>SUM(L162:L163)</f>
        <v>0</v>
      </c>
    </row>
    <row r="165" spans="1:12" hidden="1" x14ac:dyDescent="0.3">
      <c r="D165" s="112"/>
      <c r="J165" s="116"/>
      <c r="K165" s="117"/>
      <c r="L165" s="116"/>
    </row>
    <row r="166" spans="1:12" ht="16.2" thickBot="1" x14ac:dyDescent="0.35">
      <c r="A166" s="137" t="s">
        <v>35</v>
      </c>
      <c r="B166" s="137"/>
      <c r="D166" s="115">
        <f>+D164+D152+D138+D130</f>
        <v>10890303.51111111</v>
      </c>
      <c r="F166" s="17"/>
      <c r="H166" s="17"/>
      <c r="J166" s="64">
        <f>+J164+J152+J138+J130</f>
        <v>4728905.212303577</v>
      </c>
      <c r="K166" s="117"/>
      <c r="L166" s="64">
        <f>+L164+L152+L138+L130</f>
        <v>6161398.2988075335</v>
      </c>
    </row>
    <row r="167" spans="1:12" ht="16.2" thickTop="1" x14ac:dyDescent="0.3"/>
    <row r="168" spans="1:12" x14ac:dyDescent="0.3">
      <c r="A168" s="107"/>
    </row>
    <row r="169" spans="1:12" ht="16.2" thickBot="1" x14ac:dyDescent="0.35">
      <c r="D169" s="9" t="s">
        <v>24</v>
      </c>
      <c r="J169" s="119">
        <f>-+J166-J41</f>
        <v>-6037424.547303577</v>
      </c>
    </row>
    <row r="170" spans="1:12" ht="16.2" thickTop="1" x14ac:dyDescent="0.3"/>
    <row r="179" spans="10:10" x14ac:dyDescent="0.3">
      <c r="J179" s="116"/>
    </row>
  </sheetData>
  <mergeCells count="71">
    <mergeCell ref="D5:D6"/>
    <mergeCell ref="A5:B6"/>
    <mergeCell ref="A2:L3"/>
    <mergeCell ref="A75:A76"/>
    <mergeCell ref="A78:A79"/>
    <mergeCell ref="L48:L49"/>
    <mergeCell ref="J48:J49"/>
    <mergeCell ref="H48:H49"/>
    <mergeCell ref="F48:F49"/>
    <mergeCell ref="D48:D49"/>
    <mergeCell ref="A48:A49"/>
    <mergeCell ref="A72:A73"/>
    <mergeCell ref="A57:A58"/>
    <mergeCell ref="A63:A64"/>
    <mergeCell ref="A69:A70"/>
    <mergeCell ref="A51:A52"/>
    <mergeCell ref="F4:H4"/>
    <mergeCell ref="F5:F6"/>
    <mergeCell ref="H5:H6"/>
    <mergeCell ref="J5:J6"/>
    <mergeCell ref="L5:L6"/>
    <mergeCell ref="J4:L4"/>
    <mergeCell ref="J119:J120"/>
    <mergeCell ref="L119:L120"/>
    <mergeCell ref="J118:L118"/>
    <mergeCell ref="A84:A85"/>
    <mergeCell ref="A81:A82"/>
    <mergeCell ref="A117:L117"/>
    <mergeCell ref="H118:H120"/>
    <mergeCell ref="F118:F120"/>
    <mergeCell ref="D118:D120"/>
    <mergeCell ref="A87:A88"/>
    <mergeCell ref="A90:A91"/>
    <mergeCell ref="A93:A94"/>
    <mergeCell ref="A96:A97"/>
    <mergeCell ref="A99:A100"/>
    <mergeCell ref="A106:A107"/>
    <mergeCell ref="A112:A113"/>
    <mergeCell ref="A8:A9"/>
    <mergeCell ref="A16:A17"/>
    <mergeCell ref="A24:A25"/>
    <mergeCell ref="A32:A33"/>
    <mergeCell ref="A134:B134"/>
    <mergeCell ref="A66:A67"/>
    <mergeCell ref="A46:L47"/>
    <mergeCell ref="A54:A55"/>
    <mergeCell ref="A60:A61"/>
    <mergeCell ref="A109:A110"/>
    <mergeCell ref="A118:B120"/>
    <mergeCell ref="A124:B124"/>
    <mergeCell ref="A125:B125"/>
    <mergeCell ref="A126:B126"/>
    <mergeCell ref="A127:B127"/>
    <mergeCell ref="A133:B133"/>
    <mergeCell ref="A144:B144"/>
    <mergeCell ref="A149:B149"/>
    <mergeCell ref="A152:B152"/>
    <mergeCell ref="A166:B166"/>
    <mergeCell ref="A154:B155"/>
    <mergeCell ref="A156:B156"/>
    <mergeCell ref="A158:B158"/>
    <mergeCell ref="A160:B160"/>
    <mergeCell ref="A164:B164"/>
    <mergeCell ref="A157:B157"/>
    <mergeCell ref="A138:B138"/>
    <mergeCell ref="A131:B132"/>
    <mergeCell ref="A122:B123"/>
    <mergeCell ref="A140:B141"/>
    <mergeCell ref="A142:B142"/>
    <mergeCell ref="A135:B135"/>
    <mergeCell ref="A130:B130"/>
  </mergeCells>
  <pageMargins left="0.7" right="0.7" top="0.75" bottom="0.75" header="0.3" footer="0.3"/>
  <pageSetup paperSize="9" scale="57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'1'!Print_Area</vt:lpstr>
      <vt:lpstr>'1'!Print_Titles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2022-08-12T23:27:44Z</dcterms:modified>
</cp:coreProperties>
</file>