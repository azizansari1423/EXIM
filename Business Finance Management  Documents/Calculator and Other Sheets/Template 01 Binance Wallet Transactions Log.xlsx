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I:\New folder\Accounts and Finance\Calculator\"/>
    </mc:Choice>
  </mc:AlternateContent>
  <bookViews>
    <workbookView xWindow="0" yWindow="0" windowWidth="23040" windowHeight="9204" tabRatio="736"/>
  </bookViews>
  <sheets>
    <sheet name="Dash Board" sheetId="44" r:id="rId1"/>
    <sheet name="Investment Track Table" sheetId="43" r:id="rId2"/>
    <sheet name="Consolidated Wallets" sheetId="1" r:id="rId3"/>
    <sheet name="Cold Wallet" sheetId="39" r:id="rId4"/>
    <sheet name="Exchange Wallet" sheetId="41" r:id="rId5"/>
  </sheets>
  <definedNames>
    <definedName name="_xlnm.Print_Area" localSheetId="2">'Consolidated Wallets'!$A$1:$R$25</definedName>
  </definedNames>
  <calcPr calcId="162913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43" l="1"/>
  <c r="I15" i="43"/>
  <c r="I14" i="43"/>
  <c r="I13" i="43"/>
  <c r="B6" i="43"/>
  <c r="B7" i="43" s="1"/>
  <c r="B8" i="43" s="1"/>
  <c r="B9" i="43" s="1"/>
  <c r="B10" i="43" s="1"/>
  <c r="B11" i="43" s="1"/>
  <c r="B12" i="43" s="1"/>
  <c r="B13" i="43" s="1"/>
  <c r="B14" i="43" s="1"/>
  <c r="B15" i="43" s="1"/>
  <c r="AF13" i="44"/>
  <c r="G16" i="1"/>
  <c r="G15" i="1"/>
  <c r="G14" i="1"/>
  <c r="F16" i="1"/>
  <c r="F15" i="1"/>
  <c r="F14" i="1"/>
  <c r="G11" i="44"/>
  <c r="F11" i="44"/>
  <c r="AG4" i="44"/>
  <c r="I8" i="43" l="1"/>
  <c r="I5" i="43" l="1"/>
  <c r="I6" i="43"/>
  <c r="H11" i="44" s="1"/>
  <c r="I7" i="43"/>
  <c r="I12" i="43"/>
  <c r="I10" i="43"/>
  <c r="I9" i="43"/>
  <c r="S6" i="41"/>
  <c r="S7" i="41"/>
  <c r="S8" i="41"/>
  <c r="K5" i="41"/>
  <c r="K6" i="41"/>
  <c r="K7" i="41"/>
  <c r="K8" i="41"/>
  <c r="K9" i="41"/>
  <c r="K10" i="41"/>
  <c r="K11" i="41"/>
  <c r="K12" i="41"/>
  <c r="K13" i="41"/>
  <c r="G13" i="41"/>
  <c r="H21" i="44" s="1"/>
  <c r="U9" i="41"/>
  <c r="R13" i="41" s="1"/>
  <c r="N13" i="39"/>
  <c r="Q9" i="39"/>
  <c r="G12" i="41"/>
  <c r="G11" i="41"/>
  <c r="G10" i="41"/>
  <c r="G9" i="41"/>
  <c r="G8" i="41"/>
  <c r="F21" i="44" s="1"/>
  <c r="G7" i="41"/>
  <c r="G6" i="41"/>
  <c r="G5" i="41"/>
  <c r="G6" i="39"/>
  <c r="G7" i="39"/>
  <c r="G8" i="39"/>
  <c r="G9" i="39"/>
  <c r="G10" i="39"/>
  <c r="G11" i="39"/>
  <c r="G12" i="39"/>
  <c r="G5" i="39"/>
  <c r="O8" i="39"/>
  <c r="O7" i="39"/>
  <c r="O6" i="39"/>
  <c r="T6" i="41" l="1"/>
  <c r="D21" i="44"/>
  <c r="P8" i="39"/>
  <c r="D16" i="44"/>
  <c r="F16" i="44"/>
  <c r="D21" i="43"/>
  <c r="P6" i="39"/>
  <c r="P7" i="39"/>
  <c r="T8" i="41"/>
  <c r="T7" i="41"/>
  <c r="D19" i="43"/>
  <c r="D23" i="43"/>
  <c r="D13" i="1"/>
  <c r="F13" i="1" s="1"/>
  <c r="H16" i="1"/>
  <c r="H15" i="1"/>
  <c r="H14" i="1"/>
  <c r="D12" i="1"/>
  <c r="F12" i="1" s="1"/>
  <c r="D11" i="1"/>
  <c r="F11" i="1" s="1"/>
  <c r="G13" i="1" l="1"/>
  <c r="H13" i="1" s="1"/>
  <c r="H16" i="44"/>
  <c r="AF4" i="44"/>
  <c r="P9" i="39"/>
  <c r="Q13" i="39" s="1"/>
  <c r="G12" i="1"/>
  <c r="H12" i="1" s="1"/>
  <c r="T9" i="41"/>
  <c r="U13" i="41" s="1"/>
  <c r="G11" i="1" l="1"/>
  <c r="AH4" i="44"/>
  <c r="G8" i="1" l="1"/>
  <c r="AI4" i="44"/>
  <c r="H11" i="1"/>
  <c r="AJ4" i="44" s="1"/>
  <c r="F8" i="1"/>
  <c r="H8" i="1" l="1"/>
  <c r="AF11" i="44" s="1"/>
  <c r="AF10" i="44"/>
  <c r="AF12" i="44" l="1"/>
</calcChain>
</file>

<file path=xl/connections.xml><?xml version="1.0" encoding="utf-8"?>
<connections xmlns="http://schemas.openxmlformats.org/spreadsheetml/2006/main">
  <connection id="1" keepAlive="1" name="Query - ?start=101&amp;limit=100" description="Connection to the '?start=101&amp;limit=100' query in the workbook." type="5" refreshedVersion="0" background="1">
    <dbPr connection="Provider=Microsoft.Mashup.OleDb.1;Data Source=$Workbook$;Location=&quot;?start=101&amp;limit=100&quot;;Extended Properties=&quot;&quot;" command="SELECT * FROM [?start=101&amp;limit=100]"/>
  </connection>
  <connection id="2" keepAlive="1" name="Query - adx-net" description="Connection to the 'adx-net' query in the workbook." type="5" refreshedVersion="6" background="1" saveData="1">
    <dbPr connection="Provider=Microsoft.Mashup.OleDb.1;Data Source=$Workbook$;Location=adx-net;Extended Properties=&quot;&quot;" command="SELECT * FROM [adx-net]"/>
  </connection>
  <connection id="3" keepAlive="1" name="Query - bitcoin" description="Connection to the 'bitcoin' query in the workbook." type="5" refreshedVersion="6" background="1" saveData="1">
    <dbPr connection="Provider=Microsoft.Mashup.OleDb.1;Data Source=$Workbook$;Location=bitcoin;Extended Properties=&quot;&quot;" command="SELECT * FROM [bitcoin]"/>
  </connection>
  <connection id="4" keepAlive="1" name="Query - bitcoin-cash" description="Connection to the 'bitcoin-cash' query in the workbook." type="5" refreshedVersion="6" background="1" saveData="1">
    <dbPr connection="Provider=Microsoft.Mashup.OleDb.1;Data Source=$Workbook$;Location=bitcoin-cash;Extended Properties=&quot;&quot;" command="SELECT * FROM [bitcoin-cash]"/>
  </connection>
  <connection id="5" keepAlive="1" name="Query - bitcoin-gold" description="Connection to the 'bitcoin-gold' query in the workbook." type="5" refreshedVersion="6" background="1" saveData="1">
    <dbPr connection="Provider=Microsoft.Mashup.OleDb.1;Data Source=$Workbook$;Location=bitcoin-gold;Extended Properties=&quot;&quot;" command="SELECT * FROM [bitcoin-gold]"/>
  </connection>
  <connection id="6" keepAlive="1" name="Query - cardano" description="Connection to the 'cardano' query in the workbook." type="5" refreshedVersion="6" background="1" saveData="1">
    <dbPr connection="Provider=Microsoft.Mashup.OleDb.1;Data Source=$Workbook$;Location=cardano;Extended Properties=&quot;&quot;" command="SELECT * FROM [cardano]"/>
  </connection>
  <connection id="7" keepAlive="1" name="Query - CoinMarketCap" description="Connection to the 'CoinMarketCap' query in the workbook." type="5" refreshedVersion="6" background="1" refreshOnLoad="1" saveData="1">
    <dbPr connection="Provider=Microsoft.Mashup.OleDb.1;Data Source=$Workbook$;Location=CoinMarketCap;Extended Properties=&quot;&quot;" command="SELECT * FROM [CoinMarketCap]"/>
  </connection>
  <connection id="8" keepAlive="1" name="Query - ethereum" description="Connection to the 'ethereum' query in the workbook." type="5" refreshedVersion="6" background="1" saveData="1">
    <dbPr connection="Provider=Microsoft.Mashup.OleDb.1;Data Source=$Workbook$;Location=ethereum;Extended Properties=&quot;&quot;" command="SELECT * FROM [ethereum]"/>
  </connection>
  <connection id="9" keepAlive="1" name="Query - golem-network-tokens" description="Connection to the 'golem-network-tokens' query in the workbook." type="5" refreshedVersion="6" background="1" saveData="1">
    <dbPr connection="Provider=Microsoft.Mashup.OleDb.1;Data Source=$Workbook$;Location=golem-network-tokens;Extended Properties=&quot;&quot;" command="SELECT * FROM [golem-network-tokens]"/>
  </connection>
  <connection id="10" keepAlive="1" name="Query - iota" description="Connection to the 'iota' query in the workbook." type="5" refreshedVersion="6" background="1" saveData="1">
    <dbPr connection="Provider=Microsoft.Mashup.OleDb.1;Data Source=$Workbook$;Location=iota;Extended Properties=&quot;&quot;" command="SELECT * FROM [iota]"/>
  </connection>
  <connection id="11" keepAlive="1" name="Query - Query1" description="Connection to the 'Query1' query in the workbook." type="5" refreshedVersion="6" background="1" saveData="1">
    <dbPr connection="Provider=Microsoft.Mashup.OleDb.1;Data Source=$Workbook$;Location=Query1;Extended Properties=&quot;&quot;" command="SELECT * FROM [Query1]"/>
  </connection>
  <connection id="12" keepAlive="1" name="Query - ripple" description="Connection to the 'ripple' query in the workbook." type="5" refreshedVersion="6" background="1" saveData="1">
    <dbPr connection="Provider=Microsoft.Mashup.OleDb.1;Data Source=$Workbook$;Location=ripple;Extended Properties=&quot;&quot;" command="SELECT * FROM [ripple]"/>
  </connection>
  <connection id="13" keepAlive="1" name="Query - sonm" description="Connection to the 'sonm' query in the workbook." type="5" refreshedVersion="6" background="1" saveData="1">
    <dbPr connection="Provider=Microsoft.Mashup.OleDb.1;Data Source=$Workbook$;Location=sonm;Extended Properties=&quot;&quot;" command="SELECT * FROM [sonm]"/>
  </connection>
  <connection id="14" keepAlive="1" name="Query - tenx" description="Connection to the 'tenx' query in the workbook." type="5" refreshedVersion="6" background="1" saveData="1">
    <dbPr connection="Provider=Microsoft.Mashup.OleDb.1;Data Source=$Workbook$;Location=tenx;Extended Properties=&quot;&quot;" command="SELECT * FROM [tenx]"/>
  </connection>
  <connection id="15" keepAlive="1" name="Query - tron" description="Connection to the 'tron' query in the workbook." type="5" refreshedVersion="6" background="1" saveData="1">
    <dbPr connection="Provider=Microsoft.Mashup.OleDb.1;Data Source=$Workbook$;Location=tron;Extended Properties=&quot;&quot;" command="SELECT * FROM [tron]"/>
  </connection>
  <connection id="16" keepAlive="1" name="Query - unify" description="Connection to the 'unify' query in the workbook." type="5" refreshedVersion="6" background="1" saveData="1">
    <dbPr connection="Provider=Microsoft.Mashup.OleDb.1;Data Source=$Workbook$;Location=unify;Extended Properties=&quot;&quot;" command="SELECT * FROM [unify]"/>
  </connection>
  <connection id="17" keepAlive="1" name="Query - zcash" description="Connection to the 'zcash' query in the workbook." type="5" refreshedVersion="6" background="1" saveData="1">
    <dbPr connection="Provider=Microsoft.Mashup.OleDb.1;Data Source=$Workbook$;Location=zcash;Extended Properties=&quot;&quot;" command="SELECT * FROM [zcash]"/>
  </connection>
</connections>
</file>

<file path=xl/sharedStrings.xml><?xml version="1.0" encoding="utf-8"?>
<sst xmlns="http://schemas.openxmlformats.org/spreadsheetml/2006/main" count="194" uniqueCount="78">
  <si>
    <t>BTC</t>
  </si>
  <si>
    <t>ETH</t>
  </si>
  <si>
    <t>XRP</t>
  </si>
  <si>
    <t>BNB</t>
  </si>
  <si>
    <t>Symbol</t>
  </si>
  <si>
    <t>USD</t>
  </si>
  <si>
    <t>Coins</t>
  </si>
  <si>
    <t>Market Value ($)</t>
  </si>
  <si>
    <t>Date</t>
  </si>
  <si>
    <t>ADA</t>
  </si>
  <si>
    <t>$ Totals:</t>
  </si>
  <si>
    <t>TBD</t>
  </si>
  <si>
    <t>KAVA</t>
  </si>
  <si>
    <t>SUSHI</t>
  </si>
  <si>
    <t>Price/USD</t>
  </si>
  <si>
    <t>Asstets</t>
  </si>
  <si>
    <t>Type</t>
  </si>
  <si>
    <t>Currency</t>
  </si>
  <si>
    <t>Fee</t>
  </si>
  <si>
    <t>Transfer-Hash</t>
  </si>
  <si>
    <t>Comments</t>
  </si>
  <si>
    <t>Deposit</t>
  </si>
  <si>
    <t>Trade</t>
  </si>
  <si>
    <t>Withdraw</t>
  </si>
  <si>
    <t>Q</t>
  </si>
  <si>
    <t>Quantity</t>
  </si>
  <si>
    <t>Cold Wallet Transactions Log</t>
  </si>
  <si>
    <t>QQ</t>
  </si>
  <si>
    <t>CC</t>
  </si>
  <si>
    <t>USD Value (on the time of transaction)</t>
  </si>
  <si>
    <t>Market $</t>
  </si>
  <si>
    <t>P/L</t>
  </si>
  <si>
    <t>MRKTXQQ</t>
  </si>
  <si>
    <t>Total in USD Value</t>
  </si>
  <si>
    <t>1.3.21</t>
  </si>
  <si>
    <t>1.4.21</t>
  </si>
  <si>
    <t>8.4.21</t>
  </si>
  <si>
    <t>Total</t>
  </si>
  <si>
    <t>Total Market Value</t>
  </si>
  <si>
    <t>Total Cost</t>
  </si>
  <si>
    <t>Total Cost ($)</t>
  </si>
  <si>
    <t>Exchange Wallet Transactions Log</t>
  </si>
  <si>
    <t>$ (on the time of transaction)</t>
  </si>
  <si>
    <t>Total $</t>
  </si>
  <si>
    <t>Q Sold (Only in trade)</t>
  </si>
  <si>
    <t>Investment Track Table</t>
  </si>
  <si>
    <t>#</t>
  </si>
  <si>
    <t>Investor Name</t>
  </si>
  <si>
    <t>Amount</t>
  </si>
  <si>
    <t>TO</t>
  </si>
  <si>
    <t>Ledger 1</t>
  </si>
  <si>
    <t>Ledger 2</t>
  </si>
  <si>
    <t>Bank</t>
  </si>
  <si>
    <t>Verification Hash/ Bank wire verifacation</t>
  </si>
  <si>
    <t>Yaniv</t>
  </si>
  <si>
    <t>Guy</t>
  </si>
  <si>
    <t>Niv</t>
  </si>
  <si>
    <t>BANK</t>
  </si>
  <si>
    <t>ILS</t>
  </si>
  <si>
    <t>Check</t>
  </si>
  <si>
    <t>Current Price ($)</t>
  </si>
  <si>
    <t>P/L ($)</t>
  </si>
  <si>
    <t>$ Value</t>
  </si>
  <si>
    <t>Select currency from here</t>
  </si>
  <si>
    <t>Net</t>
  </si>
  <si>
    <t>COLD WALLET STATUS ($)</t>
  </si>
  <si>
    <t>EXCHANGE WALLET STATUS ($)</t>
  </si>
  <si>
    <t>CONSOLIDATED</t>
  </si>
  <si>
    <t>Column1</t>
  </si>
  <si>
    <t>Currency2</t>
  </si>
  <si>
    <t>USD Value (on the time of transaction)3</t>
  </si>
  <si>
    <t>Consolidated Wallets</t>
  </si>
  <si>
    <t>Description</t>
  </si>
  <si>
    <t>$ (on the time of transaction)3</t>
  </si>
  <si>
    <t>Total $4</t>
  </si>
  <si>
    <t>Currency5</t>
  </si>
  <si>
    <t>$ (on the time of transaction)6</t>
  </si>
  <si>
    <t>Total $7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</si>
</sst>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 &quot;₪&quot;\ * #,##0.00_ ;_ &quot;₪&quot;\ * \-#,##0.00_ ;_ &quot;₪&quot;\ * &quot;-&quot;??_ ;_ @_ "/>
    <numFmt numFmtId="165" formatCode="_-[$$-409]* #,##0.00_ ;_-[$$-409]* \-#,##0.00\ ;_-[$$-409]* &quot;-&quot;??_ ;_-@_ "/>
    <numFmt numFmtId="166" formatCode="_(* #,##0_);_(* \(#,##0\);_(* &quot;-&quot;??_);_(@_)"/>
    <numFmt numFmtId="167" formatCode="_-[$$-409]* #,##0_ ;_-[$$-409]* \-#,##0\ ;_-[$$-409]* &quot;-&quot;??_ ;_-@_ "/>
  </numFmts>
  <fonts count="3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36"/>
      <color theme="8" tint="-0.249977111117893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20"/>
      <color theme="8" tint="-0.249977111117893"/>
      <name val="Times New Roman"/>
      <family val="1"/>
    </font>
    <font>
      <b/>
      <sz val="11"/>
      <color theme="1"/>
      <name val="Times New Roman"/>
      <family val="1"/>
    </font>
    <font>
      <b/>
      <sz val="14"/>
      <color theme="8" tint="-0.249977111117893"/>
      <name val="Times New Roman"/>
      <family val="1"/>
    </font>
    <font>
      <b/>
      <sz val="20"/>
      <color theme="1"/>
      <name val="Times New Roman"/>
      <family val="1"/>
    </font>
    <font>
      <b/>
      <u/>
      <sz val="12"/>
      <color theme="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9"/>
      <color theme="1"/>
      <name val="Times New Roman"/>
      <family val="1"/>
    </font>
    <font>
      <sz val="11"/>
      <color rgb="FF00B050"/>
      <name val="Times New Roman"/>
      <family val="1"/>
    </font>
    <font>
      <u/>
      <sz val="11"/>
      <color theme="10"/>
      <name val="Times New Roman"/>
      <family val="1"/>
    </font>
    <font>
      <b/>
      <sz val="14"/>
      <color theme="0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2"/>
      <color rgb="FF00B050"/>
      <name val="Times New Roman"/>
      <family val="1"/>
    </font>
    <font>
      <b/>
      <sz val="16"/>
      <color theme="8" tint="-0.249977111117893"/>
      <name val="Times New Roman"/>
      <family val="1"/>
    </font>
    <font>
      <b/>
      <sz val="11"/>
      <color theme="0"/>
      <name val="Times New Roman"/>
      <family val="1"/>
    </font>
    <font>
      <b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8" tint="-0.249977111117893"/>
      </left>
      <right/>
      <top style="medium">
        <color theme="8" tint="-0.249977111117893"/>
      </top>
      <bottom/>
      <diagonal/>
    </border>
    <border>
      <left/>
      <right/>
      <top style="medium">
        <color theme="8" tint="-0.249977111117893"/>
      </top>
      <bottom/>
      <diagonal/>
    </border>
    <border>
      <left/>
      <right style="medium">
        <color theme="8" tint="-0.249977111117893"/>
      </right>
      <top style="medium">
        <color theme="8" tint="-0.249977111117893"/>
      </top>
      <bottom/>
      <diagonal/>
    </border>
    <border>
      <left style="medium">
        <color theme="8" tint="-0.249977111117893"/>
      </left>
      <right/>
      <top/>
      <bottom style="medium">
        <color theme="8" tint="-0.249977111117893"/>
      </bottom>
      <diagonal/>
    </border>
    <border>
      <left/>
      <right/>
      <top/>
      <bottom style="medium">
        <color theme="8" tint="-0.249977111117893"/>
      </bottom>
      <diagonal/>
    </border>
    <border>
      <left/>
      <right style="medium">
        <color theme="8" tint="-0.249977111117893"/>
      </right>
      <top/>
      <bottom style="medium">
        <color theme="8" tint="-0.249977111117893"/>
      </bottom>
      <diagonal/>
    </border>
    <border>
      <left style="medium">
        <color theme="8" tint="-0.249977111117893"/>
      </left>
      <right/>
      <top/>
      <bottom/>
      <diagonal/>
    </border>
    <border>
      <left style="medium">
        <color theme="8" tint="-0.249977111117893"/>
      </left>
      <right/>
      <top style="medium">
        <color theme="8" tint="-0.249977111117893"/>
      </top>
      <bottom style="medium">
        <color theme="8" tint="-0.249977111117893"/>
      </bottom>
      <diagonal/>
    </border>
    <border>
      <left/>
      <right/>
      <top style="medium">
        <color theme="8" tint="-0.249977111117893"/>
      </top>
      <bottom style="medium">
        <color theme="8" tint="-0.249977111117893"/>
      </bottom>
      <diagonal/>
    </border>
    <border>
      <left/>
      <right style="medium">
        <color theme="8" tint="-0.249977111117893"/>
      </right>
      <top style="medium">
        <color theme="8" tint="-0.249977111117893"/>
      </top>
      <bottom style="medium">
        <color theme="8" tint="-0.249977111117893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medium">
        <color theme="8" tint="-0.249977111117893"/>
      </right>
      <top/>
      <bottom/>
      <diagonal/>
    </border>
    <border>
      <left/>
      <right/>
      <top style="medium">
        <color theme="8" tint="-0.249977111117893"/>
      </top>
      <bottom style="thin">
        <color theme="4" tint="0.39997558519241921"/>
      </bottom>
      <diagonal/>
    </border>
    <border>
      <left/>
      <right style="medium">
        <color theme="8" tint="-0.249977111117893"/>
      </right>
      <top style="medium">
        <color theme="8" tint="-0.249977111117893"/>
      </top>
      <bottom style="thin">
        <color theme="4" tint="0.39997558519241921"/>
      </bottom>
      <diagonal/>
    </border>
    <border>
      <left style="medium">
        <color theme="8" tint="-0.249977111117893"/>
      </left>
      <right/>
      <top style="thin">
        <color theme="4" tint="0.39997558519241921"/>
      </top>
      <bottom style="medium">
        <color theme="8" tint="-0.249977111117893"/>
      </bottom>
      <diagonal/>
    </border>
    <border>
      <left/>
      <right/>
      <top style="thin">
        <color theme="4" tint="0.39997558519241921"/>
      </top>
      <bottom style="medium">
        <color theme="8" tint="-0.249977111117893"/>
      </bottom>
      <diagonal/>
    </border>
    <border>
      <left/>
      <right style="medium">
        <color theme="8" tint="-0.249977111117893"/>
      </right>
      <top style="thin">
        <color theme="4" tint="0.39997558519241921"/>
      </top>
      <bottom style="medium">
        <color theme="8" tint="-0.249977111117893"/>
      </bottom>
      <diagonal/>
    </border>
    <border>
      <left style="medium">
        <color theme="8" tint="-0.249977111117893"/>
      </left>
      <right/>
      <top style="medium">
        <color theme="8" tint="-0.249977111117893"/>
      </top>
      <bottom style="thin">
        <color theme="4" tint="0.39997558519241921"/>
      </bottom>
      <diagonal/>
    </border>
    <border>
      <left style="medium">
        <color theme="8" tint="-0.249977111117893"/>
      </left>
      <right/>
      <top style="thin">
        <color theme="4" tint="0.39997558519241921"/>
      </top>
      <bottom/>
      <diagonal/>
    </border>
    <border>
      <left/>
      <right style="medium">
        <color theme="8" tint="-0.249977111117893"/>
      </right>
      <top style="thin">
        <color theme="4" tint="0.39997558519241921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25">
    <xf numFmtId="0" fontId="0" fillId="0" borderId="0" xfId="0"/>
    <xf numFmtId="0" fontId="5" fillId="0" borderId="0" xfId="0" applyFont="1"/>
    <xf numFmtId="0" fontId="5" fillId="2" borderId="0" xfId="0" applyFont="1" applyFill="1" applyBorder="1"/>
    <xf numFmtId="0" fontId="5" fillId="2" borderId="0" xfId="0" applyFont="1" applyFill="1"/>
    <xf numFmtId="166" fontId="0" fillId="0" borderId="0" xfId="3" applyNumberFormat="1" applyFont="1"/>
    <xf numFmtId="0" fontId="0" fillId="0" borderId="1" xfId="0" applyBorder="1"/>
    <xf numFmtId="166" fontId="0" fillId="0" borderId="0" xfId="0" applyNumberFormat="1"/>
    <xf numFmtId="166" fontId="3" fillId="0" borderId="0" xfId="0" applyNumberFormat="1" applyFont="1"/>
    <xf numFmtId="0" fontId="3" fillId="0" borderId="0" xfId="0" applyFont="1"/>
    <xf numFmtId="166" fontId="0" fillId="0" borderId="0" xfId="3" applyNumberFormat="1" applyFont="1" applyBorder="1"/>
    <xf numFmtId="166" fontId="2" fillId="0" borderId="0" xfId="3" applyNumberFormat="1" applyFont="1"/>
    <xf numFmtId="166" fontId="0" fillId="0" borderId="2" xfId="3" applyNumberFormat="1" applyFont="1" applyBorder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11" fillId="0" borderId="0" xfId="0" applyFont="1"/>
    <xf numFmtId="0" fontId="9" fillId="5" borderId="10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vertical="center"/>
    </xf>
    <xf numFmtId="166" fontId="10" fillId="6" borderId="14" xfId="3" applyNumberFormat="1" applyFont="1" applyFill="1" applyBorder="1" applyAlignment="1">
      <alignment horizontal="center" vertical="center"/>
    </xf>
    <xf numFmtId="166" fontId="10" fillId="0" borderId="0" xfId="3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/>
    </xf>
    <xf numFmtId="0" fontId="14" fillId="0" borderId="0" xfId="0" applyFont="1" applyFill="1" applyBorder="1"/>
    <xf numFmtId="14" fontId="14" fillId="0" borderId="0" xfId="0" applyNumberFormat="1" applyFont="1" applyFill="1" applyBorder="1"/>
    <xf numFmtId="2" fontId="14" fillId="0" borderId="0" xfId="0" applyNumberFormat="1" applyFont="1" applyFill="1" applyBorder="1"/>
    <xf numFmtId="165" fontId="14" fillId="0" borderId="0" xfId="0" applyNumberFormat="1" applyFont="1" applyFill="1" applyBorder="1"/>
    <xf numFmtId="165" fontId="14" fillId="0" borderId="0" xfId="2" applyNumberFormat="1" applyFont="1" applyFill="1" applyBorder="1"/>
    <xf numFmtId="0" fontId="14" fillId="0" borderId="0" xfId="0" applyFont="1" applyFill="1" applyBorder="1" applyAlignment="1">
      <alignment horizontal="right"/>
    </xf>
    <xf numFmtId="0" fontId="14" fillId="0" borderId="0" xfId="0" applyFont="1" applyFill="1" applyBorder="1" applyAlignment="1">
      <alignment horizontal="center"/>
    </xf>
    <xf numFmtId="2" fontId="14" fillId="0" borderId="0" xfId="0" applyNumberFormat="1" applyFont="1" applyFill="1" applyBorder="1" applyAlignment="1">
      <alignment horizontal="center"/>
    </xf>
    <xf numFmtId="0" fontId="14" fillId="0" borderId="20" xfId="0" applyFont="1" applyBorder="1"/>
    <xf numFmtId="0" fontId="13" fillId="4" borderId="20" xfId="0" applyFont="1" applyFill="1" applyBorder="1"/>
    <xf numFmtId="0" fontId="14" fillId="0" borderId="19" xfId="0" applyFont="1" applyBorder="1"/>
    <xf numFmtId="1" fontId="14" fillId="0" borderId="0" xfId="0" applyNumberFormat="1" applyFont="1" applyFill="1" applyBorder="1"/>
    <xf numFmtId="167" fontId="14" fillId="0" borderId="0" xfId="2" applyNumberFormat="1" applyFont="1" applyFill="1" applyBorder="1"/>
    <xf numFmtId="167" fontId="14" fillId="0" borderId="0" xfId="0" applyNumberFormat="1" applyFont="1" applyFill="1" applyBorder="1"/>
    <xf numFmtId="0" fontId="14" fillId="4" borderId="20" xfId="0" applyFont="1" applyFill="1" applyBorder="1"/>
    <xf numFmtId="167" fontId="14" fillId="4" borderId="20" xfId="0" applyNumberFormat="1" applyFont="1" applyFill="1" applyBorder="1"/>
    <xf numFmtId="165" fontId="14" fillId="4" borderId="21" xfId="0" applyNumberFormat="1" applyFont="1" applyFill="1" applyBorder="1"/>
    <xf numFmtId="0" fontId="14" fillId="4" borderId="21" xfId="0" applyFont="1" applyFill="1" applyBorder="1"/>
    <xf numFmtId="0" fontId="14" fillId="4" borderId="20" xfId="0" applyFont="1" applyFill="1" applyBorder="1" applyAlignment="1">
      <alignment horizontal="center"/>
    </xf>
    <xf numFmtId="0" fontId="14" fillId="0" borderId="20" xfId="0" applyFont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/>
    </xf>
    <xf numFmtId="167" fontId="14" fillId="4" borderId="20" xfId="0" applyNumberFormat="1" applyFont="1" applyFill="1" applyBorder="1" applyAlignment="1">
      <alignment horizontal="center" vertical="center"/>
    </xf>
    <xf numFmtId="165" fontId="14" fillId="0" borderId="20" xfId="2" applyNumberFormat="1" applyFont="1" applyBorder="1" applyAlignment="1">
      <alignment horizontal="center" vertical="center"/>
    </xf>
    <xf numFmtId="165" fontId="5" fillId="2" borderId="0" xfId="0" applyNumberFormat="1" applyFont="1" applyFill="1"/>
    <xf numFmtId="165" fontId="5" fillId="2" borderId="0" xfId="2" applyNumberFormat="1" applyFont="1" applyFill="1"/>
    <xf numFmtId="0" fontId="19" fillId="2" borderId="0" xfId="0" applyFont="1" applyFill="1"/>
    <xf numFmtId="0" fontId="20" fillId="2" borderId="0" xfId="0" applyFont="1" applyFill="1" applyBorder="1" applyAlignment="1">
      <alignment horizontal="center"/>
    </xf>
    <xf numFmtId="0" fontId="5" fillId="0" borderId="0" xfId="0" applyFont="1" applyFill="1" applyBorder="1"/>
    <xf numFmtId="165" fontId="5" fillId="0" borderId="0" xfId="0" applyNumberFormat="1" applyFont="1" applyFill="1" applyBorder="1"/>
    <xf numFmtId="165" fontId="5" fillId="0" borderId="0" xfId="2" applyNumberFormat="1" applyFont="1" applyFill="1" applyBorder="1"/>
    <xf numFmtId="0" fontId="5" fillId="0" borderId="0" xfId="2" applyNumberFormat="1" applyFont="1" applyFill="1" applyBorder="1"/>
    <xf numFmtId="0" fontId="22" fillId="0" borderId="0" xfId="0" applyFont="1" applyFill="1" applyBorder="1"/>
    <xf numFmtId="14" fontId="5" fillId="2" borderId="0" xfId="0" applyNumberFormat="1" applyFont="1" applyFill="1"/>
    <xf numFmtId="165" fontId="5" fillId="0" borderId="0" xfId="0" applyNumberFormat="1" applyFont="1"/>
    <xf numFmtId="165" fontId="5" fillId="0" borderId="0" xfId="2" applyNumberFormat="1" applyFont="1"/>
    <xf numFmtId="0" fontId="21" fillId="2" borderId="0" xfId="0" applyFont="1" applyFill="1" applyBorder="1"/>
    <xf numFmtId="0" fontId="22" fillId="2" borderId="0" xfId="0" applyFont="1" applyFill="1" applyBorder="1"/>
    <xf numFmtId="0" fontId="5" fillId="0" borderId="0" xfId="0" applyFont="1" applyFill="1"/>
    <xf numFmtId="165" fontId="5" fillId="0" borderId="0" xfId="0" applyNumberFormat="1" applyFont="1" applyFill="1"/>
    <xf numFmtId="165" fontId="5" fillId="0" borderId="0" xfId="2" applyNumberFormat="1" applyFont="1" applyFill="1"/>
    <xf numFmtId="0" fontId="20" fillId="0" borderId="0" xfId="0" applyFont="1" applyAlignment="1">
      <alignment horizontal="center"/>
    </xf>
    <xf numFmtId="165" fontId="17" fillId="0" borderId="0" xfId="0" applyNumberFormat="1" applyFont="1" applyFill="1" applyBorder="1" applyAlignment="1">
      <alignment horizontal="right"/>
    </xf>
    <xf numFmtId="165" fontId="14" fillId="0" borderId="0" xfId="0" applyNumberFormat="1" applyFont="1" applyFill="1" applyBorder="1" applyAlignment="1">
      <alignment horizontal="center"/>
    </xf>
    <xf numFmtId="165" fontId="14" fillId="0" borderId="0" xfId="2" applyNumberFormat="1" applyFont="1" applyFill="1" applyBorder="1" applyAlignment="1">
      <alignment horizontal="center"/>
    </xf>
    <xf numFmtId="165" fontId="5" fillId="0" borderId="0" xfId="0" applyNumberFormat="1" applyFont="1" applyFill="1" applyBorder="1" applyAlignment="1">
      <alignment horizontal="right"/>
    </xf>
    <xf numFmtId="0" fontId="25" fillId="0" borderId="0" xfId="1" applyFont="1" applyFill="1"/>
    <xf numFmtId="0" fontId="5" fillId="0" borderId="0" xfId="0" applyFont="1" applyBorder="1"/>
    <xf numFmtId="0" fontId="26" fillId="0" borderId="0" xfId="0" applyFont="1" applyFill="1" applyBorder="1" applyAlignment="1">
      <alignment horizontal="center" vertical="center" wrapText="1"/>
    </xf>
    <xf numFmtId="165" fontId="26" fillId="0" borderId="0" xfId="0" applyNumberFormat="1" applyFont="1" applyFill="1" applyBorder="1" applyAlignment="1">
      <alignment horizontal="center" vertical="center" wrapText="1"/>
    </xf>
    <xf numFmtId="165" fontId="26" fillId="0" borderId="0" xfId="2" applyNumberFormat="1" applyFont="1" applyFill="1" applyBorder="1" applyAlignment="1">
      <alignment horizontal="center" vertical="center" wrapText="1"/>
    </xf>
    <xf numFmtId="165" fontId="5" fillId="2" borderId="0" xfId="0" applyNumberFormat="1" applyFont="1" applyFill="1" applyBorder="1"/>
    <xf numFmtId="0" fontId="14" fillId="4" borderId="0" xfId="0" applyFont="1" applyFill="1" applyBorder="1" applyAlignment="1">
      <alignment horizontal="center" vertical="center"/>
    </xf>
    <xf numFmtId="165" fontId="14" fillId="4" borderId="0" xfId="0" applyNumberFormat="1" applyFont="1" applyFill="1" applyBorder="1" applyAlignment="1">
      <alignment horizontal="center" vertical="center"/>
    </xf>
    <xf numFmtId="165" fontId="14" fillId="4" borderId="0" xfId="2" applyNumberFormat="1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/>
    </xf>
    <xf numFmtId="165" fontId="14" fillId="0" borderId="0" xfId="0" applyNumberFormat="1" applyFont="1" applyBorder="1" applyAlignment="1">
      <alignment horizontal="center"/>
    </xf>
    <xf numFmtId="165" fontId="14" fillId="0" borderId="0" xfId="2" applyNumberFormat="1" applyFont="1" applyBorder="1" applyAlignment="1">
      <alignment horizontal="center"/>
    </xf>
    <xf numFmtId="0" fontId="14" fillId="4" borderId="0" xfId="0" applyFont="1" applyFill="1" applyBorder="1" applyAlignment="1">
      <alignment horizontal="center"/>
    </xf>
    <xf numFmtId="165" fontId="14" fillId="4" borderId="0" xfId="0" applyNumberFormat="1" applyFont="1" applyFill="1" applyBorder="1" applyAlignment="1">
      <alignment horizontal="center"/>
    </xf>
    <xf numFmtId="165" fontId="14" fillId="4" borderId="0" xfId="2" applyNumberFormat="1" applyFont="1" applyFill="1" applyBorder="1" applyAlignment="1">
      <alignment horizontal="center"/>
    </xf>
    <xf numFmtId="167" fontId="14" fillId="4" borderId="0" xfId="0" applyNumberFormat="1" applyFont="1" applyFill="1" applyBorder="1" applyAlignment="1">
      <alignment horizontal="center"/>
    </xf>
    <xf numFmtId="167" fontId="14" fillId="4" borderId="0" xfId="2" applyNumberFormat="1" applyFont="1" applyFill="1" applyBorder="1" applyAlignment="1">
      <alignment horizontal="center"/>
    </xf>
    <xf numFmtId="167" fontId="14" fillId="0" borderId="0" xfId="0" applyNumberFormat="1" applyFont="1" applyBorder="1" applyAlignment="1">
      <alignment horizontal="center"/>
    </xf>
    <xf numFmtId="167" fontId="14" fillId="0" borderId="0" xfId="2" applyNumberFormat="1" applyFont="1" applyBorder="1" applyAlignment="1">
      <alignment horizontal="center"/>
    </xf>
    <xf numFmtId="0" fontId="15" fillId="3" borderId="10" xfId="0" applyFont="1" applyFill="1" applyBorder="1" applyAlignment="1">
      <alignment horizontal="center" vertical="center"/>
    </xf>
    <xf numFmtId="165" fontId="15" fillId="3" borderId="10" xfId="0" applyNumberFormat="1" applyFont="1" applyFill="1" applyBorder="1" applyAlignment="1">
      <alignment horizontal="center" vertical="center"/>
    </xf>
    <xf numFmtId="165" fontId="15" fillId="3" borderId="10" xfId="2" applyNumberFormat="1" applyFont="1" applyFill="1" applyBorder="1" applyAlignment="1">
      <alignment horizontal="center" vertical="center"/>
    </xf>
    <xf numFmtId="165" fontId="15" fillId="3" borderId="11" xfId="2" applyNumberFormat="1" applyFont="1" applyFill="1" applyBorder="1" applyAlignment="1">
      <alignment horizontal="center" vertical="center"/>
    </xf>
    <xf numFmtId="165" fontId="14" fillId="4" borderId="22" xfId="2" applyNumberFormat="1" applyFont="1" applyFill="1" applyBorder="1" applyAlignment="1">
      <alignment horizontal="center" vertical="center"/>
    </xf>
    <xf numFmtId="0" fontId="14" fillId="0" borderId="15" xfId="0" applyFont="1" applyBorder="1" applyAlignment="1">
      <alignment horizontal="center"/>
    </xf>
    <xf numFmtId="165" fontId="14" fillId="0" borderId="22" xfId="2" applyNumberFormat="1" applyFont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165" fontId="14" fillId="4" borderId="22" xfId="2" applyNumberFormat="1" applyFont="1" applyFill="1" applyBorder="1" applyAlignment="1">
      <alignment horizontal="center"/>
    </xf>
    <xf numFmtId="167" fontId="14" fillId="4" borderId="22" xfId="2" applyNumberFormat="1" applyFont="1" applyFill="1" applyBorder="1" applyAlignment="1">
      <alignment horizontal="center"/>
    </xf>
    <xf numFmtId="167" fontId="14" fillId="0" borderId="22" xfId="2" applyNumberFormat="1" applyFont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167" fontId="14" fillId="4" borderId="13" xfId="0" applyNumberFormat="1" applyFont="1" applyFill="1" applyBorder="1" applyAlignment="1">
      <alignment horizontal="center"/>
    </xf>
    <xf numFmtId="167" fontId="14" fillId="4" borderId="13" xfId="2" applyNumberFormat="1" applyFont="1" applyFill="1" applyBorder="1" applyAlignment="1">
      <alignment horizontal="center"/>
    </xf>
    <xf numFmtId="167" fontId="14" fillId="4" borderId="14" xfId="2" applyNumberFormat="1" applyFont="1" applyFill="1" applyBorder="1" applyAlignment="1">
      <alignment horizontal="center"/>
    </xf>
    <xf numFmtId="14" fontId="14" fillId="0" borderId="29" xfId="0" applyNumberFormat="1" applyFont="1" applyBorder="1"/>
    <xf numFmtId="165" fontId="13" fillId="0" borderId="30" xfId="2" applyNumberFormat="1" applyFont="1" applyBorder="1"/>
    <xf numFmtId="14" fontId="13" fillId="4" borderId="29" xfId="0" applyNumberFormat="1" applyFont="1" applyFill="1" applyBorder="1"/>
    <xf numFmtId="165" fontId="13" fillId="4" borderId="30" xfId="2" applyNumberFormat="1" applyFont="1" applyFill="1" applyBorder="1"/>
    <xf numFmtId="0" fontId="14" fillId="0" borderId="29" xfId="0" applyFont="1" applyBorder="1"/>
    <xf numFmtId="0" fontId="13" fillId="4" borderId="29" xfId="0" applyFont="1" applyFill="1" applyBorder="1"/>
    <xf numFmtId="165" fontId="14" fillId="4" borderId="30" xfId="0" applyNumberFormat="1" applyFont="1" applyFill="1" applyBorder="1"/>
    <xf numFmtId="0" fontId="13" fillId="0" borderId="30" xfId="0" applyFont="1" applyBorder="1"/>
    <xf numFmtId="0" fontId="14" fillId="4" borderId="30" xfId="0" applyFont="1" applyFill="1" applyBorder="1"/>
    <xf numFmtId="0" fontId="17" fillId="0" borderId="25" xfId="0" applyFont="1" applyBorder="1" applyAlignment="1">
      <alignment horizontal="left"/>
    </xf>
    <xf numFmtId="0" fontId="17" fillId="0" borderId="26" xfId="0" applyFont="1" applyBorder="1" applyAlignment="1">
      <alignment horizontal="left"/>
    </xf>
    <xf numFmtId="0" fontId="17" fillId="0" borderId="27" xfId="0" applyFont="1" applyBorder="1"/>
    <xf numFmtId="0" fontId="13" fillId="2" borderId="0" xfId="0" applyFont="1" applyFill="1"/>
    <xf numFmtId="165" fontId="13" fillId="2" borderId="0" xfId="0" applyNumberFormat="1" applyFont="1" applyFill="1"/>
    <xf numFmtId="165" fontId="13" fillId="2" borderId="0" xfId="2" applyNumberFormat="1" applyFont="1" applyFill="1"/>
    <xf numFmtId="0" fontId="13" fillId="0" borderId="0" xfId="0" applyFont="1"/>
    <xf numFmtId="0" fontId="13" fillId="2" borderId="0" xfId="0" applyFont="1" applyFill="1" applyBorder="1"/>
    <xf numFmtId="0" fontId="14" fillId="2" borderId="0" xfId="0" applyFont="1" applyFill="1"/>
    <xf numFmtId="0" fontId="13" fillId="0" borderId="0" xfId="0" applyFont="1" applyFill="1" applyBorder="1"/>
    <xf numFmtId="165" fontId="13" fillId="0" borderId="0" xfId="0" applyNumberFormat="1" applyFont="1" applyFill="1" applyBorder="1"/>
    <xf numFmtId="0" fontId="13" fillId="0" borderId="0" xfId="0" applyFont="1" applyFill="1" applyBorder="1" applyAlignment="1">
      <alignment horizontal="right"/>
    </xf>
    <xf numFmtId="0" fontId="27" fillId="2" borderId="0" xfId="0" applyFont="1" applyFill="1" applyBorder="1"/>
    <xf numFmtId="165" fontId="13" fillId="0" borderId="0" xfId="2" applyNumberFormat="1" applyFont="1" applyFill="1" applyBorder="1"/>
    <xf numFmtId="0" fontId="28" fillId="2" borderId="0" xfId="0" applyFont="1" applyFill="1" applyBorder="1"/>
    <xf numFmtId="14" fontId="13" fillId="2" borderId="0" xfId="0" applyNumberFormat="1" applyFont="1" applyFill="1"/>
    <xf numFmtId="165" fontId="27" fillId="2" borderId="0" xfId="0" applyNumberFormat="1" applyFont="1" applyFill="1"/>
    <xf numFmtId="165" fontId="27" fillId="2" borderId="0" xfId="2" applyNumberFormat="1" applyFont="1" applyFill="1"/>
    <xf numFmtId="0" fontId="29" fillId="2" borderId="0" xfId="0" applyFont="1" applyFill="1"/>
    <xf numFmtId="165" fontId="13" fillId="0" borderId="0" xfId="0" applyNumberFormat="1" applyFont="1"/>
    <xf numFmtId="165" fontId="13" fillId="0" borderId="0" xfId="2" applyNumberFormat="1" applyFont="1"/>
    <xf numFmtId="14" fontId="13" fillId="0" borderId="0" xfId="0" applyNumberFormat="1" applyFont="1" applyFill="1" applyBorder="1"/>
    <xf numFmtId="0" fontId="13" fillId="0" borderId="0" xfId="0" applyFont="1" applyFill="1" applyBorder="1" applyAlignment="1">
      <alignment horizontal="center"/>
    </xf>
    <xf numFmtId="165" fontId="13" fillId="0" borderId="0" xfId="0" applyNumberFormat="1" applyFont="1" applyFill="1" applyBorder="1" applyAlignment="1">
      <alignment horizontal="center"/>
    </xf>
    <xf numFmtId="165" fontId="13" fillId="0" borderId="0" xfId="2" applyNumberFormat="1" applyFont="1" applyFill="1" applyBorder="1" applyAlignment="1">
      <alignment horizontal="center"/>
    </xf>
    <xf numFmtId="0" fontId="14" fillId="2" borderId="0" xfId="0" applyFont="1" applyFill="1" applyAlignment="1"/>
    <xf numFmtId="0" fontId="13" fillId="0" borderId="0" xfId="0" applyFont="1" applyFill="1" applyBorder="1" applyAlignment="1"/>
    <xf numFmtId="167" fontId="13" fillId="0" borderId="0" xfId="0" applyNumberFormat="1" applyFont="1" applyFill="1" applyBorder="1" applyAlignment="1">
      <alignment horizontal="center"/>
    </xf>
    <xf numFmtId="167" fontId="13" fillId="0" borderId="0" xfId="2" applyNumberFormat="1" applyFont="1" applyFill="1" applyBorder="1" applyAlignment="1">
      <alignment horizontal="center"/>
    </xf>
    <xf numFmtId="0" fontId="14" fillId="4" borderId="19" xfId="0" applyFont="1" applyFill="1" applyBorder="1"/>
    <xf numFmtId="165" fontId="14" fillId="4" borderId="20" xfId="2" applyNumberFormat="1" applyFont="1" applyFill="1" applyBorder="1"/>
    <xf numFmtId="165" fontId="14" fillId="4" borderId="21" xfId="2" applyNumberFormat="1" applyFont="1" applyFill="1" applyBorder="1"/>
    <xf numFmtId="0" fontId="13" fillId="0" borderId="20" xfId="0" applyFont="1" applyBorder="1"/>
    <xf numFmtId="165" fontId="13" fillId="0" borderId="20" xfId="2" applyNumberFormat="1" applyFont="1" applyBorder="1"/>
    <xf numFmtId="165" fontId="13" fillId="4" borderId="20" xfId="2" applyNumberFormat="1" applyFont="1" applyFill="1" applyBorder="1"/>
    <xf numFmtId="165" fontId="13" fillId="4" borderId="20" xfId="0" applyNumberFormat="1" applyFont="1" applyFill="1" applyBorder="1"/>
    <xf numFmtId="0" fontId="14" fillId="0" borderId="19" xfId="0" applyFont="1" applyBorder="1" applyAlignment="1">
      <alignment horizontal="left"/>
    </xf>
    <xf numFmtId="0" fontId="14" fillId="0" borderId="20" xfId="0" applyFont="1" applyBorder="1" applyAlignment="1">
      <alignment horizontal="left"/>
    </xf>
    <xf numFmtId="0" fontId="14" fillId="0" borderId="21" xfId="0" applyFont="1" applyBorder="1"/>
    <xf numFmtId="0" fontId="15" fillId="3" borderId="9" xfId="0" applyFont="1" applyFill="1" applyBorder="1" applyAlignment="1">
      <alignment horizontal="center"/>
    </xf>
    <xf numFmtId="0" fontId="15" fillId="3" borderId="10" xfId="0" applyFont="1" applyFill="1" applyBorder="1" applyAlignment="1">
      <alignment horizontal="center"/>
    </xf>
    <xf numFmtId="0" fontId="15" fillId="3" borderId="11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165" fontId="14" fillId="4" borderId="30" xfId="2" applyNumberFormat="1" applyFont="1" applyFill="1" applyBorder="1"/>
    <xf numFmtId="0" fontId="13" fillId="0" borderId="29" xfId="0" applyFont="1" applyBorder="1"/>
    <xf numFmtId="165" fontId="13" fillId="4" borderId="30" xfId="0" applyNumberFormat="1" applyFont="1" applyFill="1" applyBorder="1"/>
    <xf numFmtId="0" fontId="13" fillId="4" borderId="30" xfId="0" applyFont="1" applyFill="1" applyBorder="1"/>
    <xf numFmtId="0" fontId="14" fillId="0" borderId="29" xfId="0" applyFont="1" applyBorder="1" applyAlignment="1">
      <alignment horizontal="left"/>
    </xf>
    <xf numFmtId="0" fontId="14" fillId="0" borderId="30" xfId="0" applyFont="1" applyBorder="1"/>
    <xf numFmtId="165" fontId="13" fillId="4" borderId="25" xfId="0" applyNumberFormat="1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165" fontId="13" fillId="4" borderId="27" xfId="0" applyNumberFormat="1" applyFont="1" applyFill="1" applyBorder="1"/>
    <xf numFmtId="0" fontId="20" fillId="0" borderId="0" xfId="0" applyFont="1" applyFill="1" applyBorder="1" applyAlignment="1">
      <alignment horizontal="center"/>
    </xf>
    <xf numFmtId="0" fontId="19" fillId="0" borderId="0" xfId="0" applyFont="1" applyFill="1" applyBorder="1"/>
    <xf numFmtId="0" fontId="13" fillId="0" borderId="0" xfId="0" applyNumberFormat="1" applyFont="1" applyFill="1" applyBorder="1" applyAlignment="1">
      <alignment horizontal="center"/>
    </xf>
    <xf numFmtId="0" fontId="13" fillId="0" borderId="0" xfId="2" applyNumberFormat="1" applyFont="1" applyFill="1" applyBorder="1" applyAlignment="1">
      <alignment horizontal="center"/>
    </xf>
    <xf numFmtId="14" fontId="5" fillId="0" borderId="0" xfId="0" applyNumberFormat="1" applyFont="1" applyFill="1" applyBorder="1"/>
    <xf numFmtId="0" fontId="17" fillId="0" borderId="0" xfId="0" applyFont="1" applyFill="1" applyBorder="1"/>
    <xf numFmtId="165" fontId="17" fillId="0" borderId="0" xfId="2" applyNumberFormat="1" applyFont="1" applyFill="1" applyBorder="1"/>
    <xf numFmtId="165" fontId="23" fillId="0" borderId="0" xfId="0" applyNumberFormat="1" applyFont="1" applyFill="1" applyBorder="1"/>
    <xf numFmtId="165" fontId="23" fillId="0" borderId="0" xfId="2" applyNumberFormat="1" applyFont="1" applyFill="1" applyBorder="1"/>
    <xf numFmtId="0" fontId="23" fillId="0" borderId="0" xfId="2" applyNumberFormat="1" applyFont="1" applyFill="1" applyBorder="1"/>
    <xf numFmtId="165" fontId="21" fillId="0" borderId="0" xfId="0" applyNumberFormat="1" applyFont="1" applyFill="1" applyBorder="1"/>
    <xf numFmtId="165" fontId="21" fillId="0" borderId="0" xfId="2" applyNumberFormat="1" applyFont="1" applyFill="1" applyBorder="1"/>
    <xf numFmtId="0" fontId="21" fillId="0" borderId="0" xfId="2" applyNumberFormat="1" applyFont="1" applyFill="1" applyBorder="1"/>
    <xf numFmtId="0" fontId="24" fillId="0" borderId="0" xfId="0" applyFont="1" applyFill="1" applyBorder="1"/>
    <xf numFmtId="0" fontId="31" fillId="3" borderId="19" xfId="0" applyFont="1" applyFill="1" applyBorder="1" applyAlignment="1">
      <alignment horizontal="center"/>
    </xf>
    <xf numFmtId="0" fontId="31" fillId="3" borderId="20" xfId="0" applyFont="1" applyFill="1" applyBorder="1" applyAlignment="1">
      <alignment horizontal="center"/>
    </xf>
    <xf numFmtId="0" fontId="31" fillId="3" borderId="21" xfId="0" applyFont="1" applyFill="1" applyBorder="1" applyAlignment="1">
      <alignment horizontal="center"/>
    </xf>
    <xf numFmtId="0" fontId="14" fillId="0" borderId="20" xfId="0" applyNumberFormat="1" applyFont="1" applyBorder="1" applyAlignment="1">
      <alignment horizontal="center" vertical="center"/>
    </xf>
    <xf numFmtId="167" fontId="14" fillId="0" borderId="20" xfId="2" applyNumberFormat="1" applyFont="1" applyBorder="1"/>
    <xf numFmtId="165" fontId="14" fillId="0" borderId="21" xfId="2" applyNumberFormat="1" applyFont="1" applyBorder="1"/>
    <xf numFmtId="0" fontId="14" fillId="4" borderId="20" xfId="0" applyNumberFormat="1" applyFont="1" applyFill="1" applyBorder="1" applyAlignment="1">
      <alignment horizontal="center" vertical="center"/>
    </xf>
    <xf numFmtId="167" fontId="14" fillId="4" borderId="20" xfId="2" applyNumberFormat="1" applyFont="1" applyFill="1" applyBorder="1"/>
    <xf numFmtId="165" fontId="14" fillId="4" borderId="3" xfId="0" applyNumberFormat="1" applyFont="1" applyFill="1" applyBorder="1" applyAlignment="1">
      <alignment horizontal="center"/>
    </xf>
    <xf numFmtId="165" fontId="14" fillId="4" borderId="4" xfId="0" applyNumberFormat="1" applyFont="1" applyFill="1" applyBorder="1" applyAlignment="1">
      <alignment horizontal="center"/>
    </xf>
    <xf numFmtId="165" fontId="14" fillId="4" borderId="5" xfId="0" applyNumberFormat="1" applyFont="1" applyFill="1" applyBorder="1"/>
    <xf numFmtId="14" fontId="17" fillId="0" borderId="0" xfId="0" applyNumberFormat="1" applyFont="1" applyFill="1" applyBorder="1" applyAlignment="1">
      <alignment horizontal="center"/>
    </xf>
    <xf numFmtId="0" fontId="17" fillId="0" borderId="0" xfId="0" applyFont="1" applyFill="1" applyBorder="1" applyAlignment="1"/>
    <xf numFmtId="2" fontId="17" fillId="0" borderId="0" xfId="0" applyNumberFormat="1" applyFont="1" applyFill="1" applyBorder="1"/>
    <xf numFmtId="167" fontId="17" fillId="0" borderId="0" xfId="0" applyNumberFormat="1" applyFont="1" applyFill="1" applyBorder="1"/>
    <xf numFmtId="167" fontId="17" fillId="0" borderId="0" xfId="3" applyNumberFormat="1" applyFont="1" applyFill="1" applyBorder="1"/>
    <xf numFmtId="165" fontId="17" fillId="0" borderId="0" xfId="0" applyNumberFormat="1" applyFont="1" applyFill="1" applyBorder="1"/>
    <xf numFmtId="0" fontId="17" fillId="0" borderId="0" xfId="2" applyNumberFormat="1" applyFont="1" applyFill="1" applyBorder="1"/>
    <xf numFmtId="0" fontId="17" fillId="0" borderId="0" xfId="0" applyFont="1" applyFill="1" applyBorder="1" applyAlignment="1">
      <alignment horizontal="right"/>
    </xf>
    <xf numFmtId="0" fontId="32" fillId="0" borderId="0" xfId="0" applyFont="1" applyFill="1" applyBorder="1"/>
    <xf numFmtId="0" fontId="10" fillId="6" borderId="13" xfId="0" applyFont="1" applyFill="1" applyBorder="1" applyAlignment="1">
      <alignment horizontal="center" vertical="center"/>
    </xf>
    <xf numFmtId="166" fontId="10" fillId="6" borderId="13" xfId="3" applyNumberFormat="1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8" fillId="5" borderId="0" xfId="0" applyFont="1" applyFill="1" applyBorder="1" applyAlignment="1">
      <alignment horizontal="center" vertical="center" wrapText="1"/>
    </xf>
    <xf numFmtId="166" fontId="10" fillId="6" borderId="12" xfId="3" applyNumberFormat="1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43" fontId="10" fillId="6" borderId="13" xfId="3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5" fillId="3" borderId="28" xfId="0" applyFont="1" applyFill="1" applyBorder="1" applyAlignment="1">
      <alignment horizontal="center"/>
    </xf>
    <xf numFmtId="0" fontId="15" fillId="3" borderId="23" xfId="0" applyFont="1" applyFill="1" applyBorder="1" applyAlignment="1">
      <alignment horizontal="center"/>
    </xf>
    <xf numFmtId="0" fontId="15" fillId="3" borderId="24" xfId="0" applyFont="1" applyFill="1" applyBorder="1" applyAlignment="1">
      <alignment horizontal="center"/>
    </xf>
    <xf numFmtId="165" fontId="5" fillId="2" borderId="0" xfId="0" applyNumberFormat="1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16" fillId="6" borderId="16" xfId="0" applyFont="1" applyFill="1" applyBorder="1" applyAlignment="1">
      <alignment horizontal="center"/>
    </xf>
    <xf numFmtId="0" fontId="16" fillId="6" borderId="17" xfId="0" applyFont="1" applyFill="1" applyBorder="1" applyAlignment="1">
      <alignment horizontal="center"/>
    </xf>
    <xf numFmtId="0" fontId="16" fillId="6" borderId="18" xfId="0" applyFont="1" applyFill="1" applyBorder="1" applyAlignment="1">
      <alignment horizontal="center"/>
    </xf>
    <xf numFmtId="0" fontId="15" fillId="3" borderId="9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 wrapText="1"/>
    </xf>
    <xf numFmtId="0" fontId="18" fillId="6" borderId="16" xfId="0" applyFont="1" applyFill="1" applyBorder="1" applyAlignment="1">
      <alignment horizontal="center"/>
    </xf>
    <xf numFmtId="0" fontId="18" fillId="6" borderId="18" xfId="0" applyFont="1" applyFill="1" applyBorder="1" applyAlignment="1">
      <alignment horizontal="center"/>
    </xf>
    <xf numFmtId="0" fontId="30" fillId="6" borderId="16" xfId="0" applyFont="1" applyFill="1" applyBorder="1" applyAlignment="1">
      <alignment horizontal="center"/>
    </xf>
    <xf numFmtId="0" fontId="30" fillId="6" borderId="17" xfId="0" applyFont="1" applyFill="1" applyBorder="1" applyAlignment="1">
      <alignment horizontal="center"/>
    </xf>
    <xf numFmtId="0" fontId="30" fillId="6" borderId="18" xfId="0" applyFont="1" applyFill="1" applyBorder="1" applyAlignment="1">
      <alignment horizontal="center"/>
    </xf>
  </cellXfs>
  <cellStyles count="4">
    <cellStyle name="Comma" xfId="3" builtinId="3"/>
    <cellStyle name="Currency" xfId="2" builtinId="4"/>
    <cellStyle name="Hyperlink" xfId="1" builtinId="8"/>
    <cellStyle name="Normal" xfId="0" builtinId="0"/>
  </cellStyles>
  <dxfs count="4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65" formatCode="_-[$$-409]* #,##0.00_ ;_-[$$-409]* \-#,##0.00\ ;_-[$$-409]* &quot;-&quot;??_ ;_-@_ 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65" formatCode="_-[$$-409]* #,##0.00_ ;_-[$$-409]* \-#,##0.00\ ;_-[$$-409]* &quot;-&quot;??_ ;_-@_ 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65" formatCode="_-[$$-409]* #,##0.00_ ;_-[$$-409]* \-#,##0.00\ ;_-[$$-409]* &quot;-&quot;??_ ;_-@_ 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65" formatCode="_-[$$-409]* #,##0.00_ ;_-[$$-409]* \-#,##0.00\ ;_-[$$-409]* &quot;-&quot;??_ ;_-@_ 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2" formatCode="0.0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67" formatCode="_-[$$-409]* #,##0_ ;_-[$$-409]* \-#,##0\ ;_-[$$-409]* &quot;-&quot;??_ ;_-@_ 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67" formatCode="_-[$$-409]* #,##0_ ;_-[$$-409]* \-#,##0\ ;_-[$$-409]* &quot;-&quot;??_ ;_-@_ 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2" formatCode="0.0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medium">
          <color theme="8" tint="-0.249977111117893"/>
        </left>
        <right style="medium">
          <color theme="8" tint="-0.249977111117893"/>
        </right>
        <top style="medium">
          <color theme="8" tint="-0.249977111117893"/>
        </top>
        <bottom style="medium">
          <color theme="8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_-[$$-409]* #,##0.00_ ;_-[$$-409]* \-#,##0.00\ ;_-[$$-409]* &quot;-&quot;??_ ;_-@_ 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_-[$$-409]* #,##0.00_ ;_-[$$-409]* \-#,##0.00\ ;_-[$$-409]* &quot;-&quot;??_ ;_-@_ 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9" formatCode="m/d/yyyy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border diagonalUp="0" diagonalDown="0">
        <left style="medium">
          <color theme="8" tint="-0.249977111117893"/>
        </left>
        <right style="medium">
          <color theme="8" tint="-0.249977111117893"/>
        </right>
        <top style="medium">
          <color theme="8" tint="-0.249977111117893"/>
        </top>
        <bottom style="medium">
          <color theme="8" tint="-0.249977111117893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0" baseline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1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Composition of Coins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F10-4DB1-A486-BED68EB4CC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F10-4DB1-A486-BED68EB4CC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F10-4DB1-A486-BED68EB4CCD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F10-4DB1-A486-BED68EB4CCD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F10-4DB1-A486-BED68EB4CCD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F10-4DB1-A486-BED68EB4CCDD}"/>
              </c:ext>
            </c:extLst>
          </c:dPt>
          <c:dLbls>
            <c:dLbl>
              <c:idx val="0"/>
              <c:layout>
                <c:manualLayout>
                  <c:x val="4.1402026531629728E-2"/>
                  <c:y val="-1.181926004019372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9F10-4DB1-A486-BED68EB4CC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'Consolidated Wallets'!$C$11:$C$16</c:f>
              <c:strCache>
                <c:ptCount val="6"/>
                <c:pt idx="0">
                  <c:v>BTC</c:v>
                </c:pt>
                <c:pt idx="1">
                  <c:v>ETH</c:v>
                </c:pt>
                <c:pt idx="2">
                  <c:v>BNB</c:v>
                </c:pt>
                <c:pt idx="3">
                  <c:v>XRP</c:v>
                </c:pt>
                <c:pt idx="4">
                  <c:v>SUSHI</c:v>
                </c:pt>
                <c:pt idx="5">
                  <c:v>ADA</c:v>
                </c:pt>
              </c:strCache>
            </c:strRef>
          </c:cat>
          <c:val>
            <c:numRef>
              <c:f>'Consolidated Wallets'!$D$11:$D$16</c:f>
              <c:numCache>
                <c:formatCode>General</c:formatCode>
                <c:ptCount val="6"/>
                <c:pt idx="0">
                  <c:v>16</c:v>
                </c:pt>
                <c:pt idx="1">
                  <c:v>25</c:v>
                </c:pt>
                <c:pt idx="2">
                  <c:v>35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0D-4BF7-87D8-C90A2B80CD36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85000"/>
      </a:schemeClr>
    </a:solidFill>
    <a:ln w="285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95250</xdr:colOff>
      <xdr:row>8</xdr:row>
      <xdr:rowOff>142875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3B50E08-2152-4147-9EB1-7C8B2CD22A12}"/>
            </a:ext>
          </a:extLst>
        </xdr:cNvPr>
        <xdr:cNvSpPr txBox="1"/>
      </xdr:nvSpPr>
      <xdr:spPr>
        <a:xfrm>
          <a:off x="7410450" y="1666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3</xdr:col>
      <xdr:colOff>1</xdr:colOff>
      <xdr:row>2</xdr:row>
      <xdr:rowOff>0</xdr:rowOff>
    </xdr:from>
    <xdr:to>
      <xdr:col>4</xdr:col>
      <xdr:colOff>585789</xdr:colOff>
      <xdr:row>4</xdr:row>
      <xdr:rowOff>114300</xdr:rowOff>
    </xdr:to>
    <xdr:sp macro="" textlink="'Consolidated Wallets'!D10">
      <xdr:nvSpPr>
        <xdr:cNvPr id="2" name="Rectangle: Rounded Corners 1">
          <a:extLst>
            <a:ext uri="{FF2B5EF4-FFF2-40B4-BE49-F238E27FC236}">
              <a16:creationId xmlns:a16="http://schemas.microsoft.com/office/drawing/2014/main" id="{DF272F18-B753-4776-A837-CD04AF950FC2}"/>
            </a:ext>
          </a:extLst>
        </xdr:cNvPr>
        <xdr:cNvSpPr/>
      </xdr:nvSpPr>
      <xdr:spPr>
        <a:xfrm>
          <a:off x="2124076" y="247650"/>
          <a:ext cx="1195388" cy="714375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61DB9DAD-F01B-4585-AEE4-58798D174F8C}" type="TxLink">
            <a:rPr lang="en-US" sz="2800" b="1" i="0" u="none" strike="noStrike" cap="none" spc="0">
              <a:ln w="10160">
                <a:solidFill>
                  <a:schemeClr val="accent5"/>
                </a:solidFill>
                <a:prstDash val="solid"/>
              </a:ln>
              <a:solidFill>
                <a:schemeClr val="bg1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Calibri"/>
              <a:ea typeface="+mn-ea"/>
              <a:cs typeface="Calibri"/>
            </a:rPr>
            <a:pPr marL="0" indent="0" algn="ctr"/>
            <a:t>Coins</a:t>
          </a:fld>
          <a:endParaRPr lang="en-US" sz="2800" b="1" i="0" u="none" strike="noStrike" cap="none" spc="0">
            <a:ln w="10160">
              <a:solidFill>
                <a:schemeClr val="accent5"/>
              </a:solidFill>
              <a:prstDash val="solid"/>
            </a:ln>
            <a:solidFill>
              <a:schemeClr val="bg1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5</xdr:col>
      <xdr:colOff>34926</xdr:colOff>
      <xdr:row>2</xdr:row>
      <xdr:rowOff>0</xdr:rowOff>
    </xdr:from>
    <xdr:to>
      <xdr:col>8</xdr:col>
      <xdr:colOff>320675</xdr:colOff>
      <xdr:row>4</xdr:row>
      <xdr:rowOff>114300</xdr:rowOff>
    </xdr:to>
    <xdr:sp macro="" textlink="'Consolidated Wallets'!E10">
      <xdr:nvSpPr>
        <xdr:cNvPr id="8" name="Rectangle: Rounded Corners 7">
          <a:extLst>
            <a:ext uri="{FF2B5EF4-FFF2-40B4-BE49-F238E27FC236}">
              <a16:creationId xmlns:a16="http://schemas.microsoft.com/office/drawing/2014/main" id="{A5EA372F-378D-4E12-AE80-517118B9029F}"/>
            </a:ext>
          </a:extLst>
        </xdr:cNvPr>
        <xdr:cNvSpPr/>
      </xdr:nvSpPr>
      <xdr:spPr>
        <a:xfrm>
          <a:off x="4168776" y="390525"/>
          <a:ext cx="2114549" cy="714375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76547EBC-A4A7-4F42-8D2A-1D85C0DB937F}" type="TxLink">
            <a:rPr lang="en-US" sz="2000" b="1" i="0" u="none" strike="noStrike" cap="none" spc="0">
              <a:ln w="10160">
                <a:solidFill>
                  <a:schemeClr val="accent5"/>
                </a:solidFill>
                <a:prstDash val="solid"/>
              </a:ln>
              <a:solidFill>
                <a:schemeClr val="bg1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Calibri"/>
              <a:ea typeface="+mn-ea"/>
              <a:cs typeface="Calibri"/>
            </a:rPr>
            <a:pPr marL="0" indent="0" algn="ctr"/>
            <a:t>Current Price ($)</a:t>
          </a:fld>
          <a:endParaRPr lang="en-US" sz="2000" b="1" i="0" u="none" strike="noStrike" cap="none" spc="0">
            <a:ln w="10160">
              <a:solidFill>
                <a:schemeClr val="accent5"/>
              </a:solidFill>
              <a:prstDash val="solid"/>
            </a:ln>
            <a:solidFill>
              <a:schemeClr val="bg1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8</xdr:col>
      <xdr:colOff>379413</xdr:colOff>
      <xdr:row>2</xdr:row>
      <xdr:rowOff>0</xdr:rowOff>
    </xdr:from>
    <xdr:to>
      <xdr:col>12</xdr:col>
      <xdr:colOff>74613</xdr:colOff>
      <xdr:row>4</xdr:row>
      <xdr:rowOff>114300</xdr:rowOff>
    </xdr:to>
    <xdr:sp macro="" textlink="'Consolidated Wallets'!F10">
      <xdr:nvSpPr>
        <xdr:cNvPr id="10" name="Rectangle: Rounded Corners 9">
          <a:extLst>
            <a:ext uri="{FF2B5EF4-FFF2-40B4-BE49-F238E27FC236}">
              <a16:creationId xmlns:a16="http://schemas.microsoft.com/office/drawing/2014/main" id="{292F4CB3-1A04-4FC9-A7F4-1A342FA9A38E}"/>
            </a:ext>
          </a:extLst>
        </xdr:cNvPr>
        <xdr:cNvSpPr/>
      </xdr:nvSpPr>
      <xdr:spPr>
        <a:xfrm>
          <a:off x="6342063" y="390525"/>
          <a:ext cx="2133600" cy="714375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699AFC86-79AA-4834-988F-A70D9ACC7508}" type="TxLink">
            <a:rPr lang="en-US" sz="2000" b="1" i="0" u="none" strike="noStrike" cap="none" spc="0">
              <a:ln w="10160">
                <a:solidFill>
                  <a:schemeClr val="accent5"/>
                </a:solidFill>
                <a:prstDash val="solid"/>
              </a:ln>
              <a:solidFill>
                <a:schemeClr val="bg1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Calibri"/>
              <a:ea typeface="+mn-ea"/>
              <a:cs typeface="Calibri"/>
            </a:rPr>
            <a:pPr marL="0" indent="0" algn="ctr"/>
            <a:t>Market Value ($)</a:t>
          </a:fld>
          <a:endParaRPr lang="en-US" sz="2000" b="1" i="0" u="none" strike="noStrike" cap="none" spc="0">
            <a:ln w="10160">
              <a:solidFill>
                <a:schemeClr val="accent5"/>
              </a:solidFill>
              <a:prstDash val="solid"/>
            </a:ln>
            <a:solidFill>
              <a:schemeClr val="bg1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12</xdr:col>
      <xdr:colOff>133350</xdr:colOff>
      <xdr:row>2</xdr:row>
      <xdr:rowOff>0</xdr:rowOff>
    </xdr:from>
    <xdr:to>
      <xdr:col>15</xdr:col>
      <xdr:colOff>438150</xdr:colOff>
      <xdr:row>4</xdr:row>
      <xdr:rowOff>114300</xdr:rowOff>
    </xdr:to>
    <xdr:sp macro="" textlink="'Consolidated Wallets'!G10">
      <xdr:nvSpPr>
        <xdr:cNvPr id="12" name="Rectangle: Rounded Corners 11">
          <a:extLst>
            <a:ext uri="{FF2B5EF4-FFF2-40B4-BE49-F238E27FC236}">
              <a16:creationId xmlns:a16="http://schemas.microsoft.com/office/drawing/2014/main" id="{90CD0FA4-721D-4FE3-A648-2F0FF8D0C056}"/>
            </a:ext>
          </a:extLst>
        </xdr:cNvPr>
        <xdr:cNvSpPr/>
      </xdr:nvSpPr>
      <xdr:spPr>
        <a:xfrm>
          <a:off x="8534400" y="390525"/>
          <a:ext cx="2133600" cy="714375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F3081D9D-9E97-4758-876F-99061B4E2550}" type="TxLink">
            <a:rPr lang="en-US" sz="2000" b="1" i="0" u="none" strike="noStrike" cap="none" spc="0">
              <a:ln w="10160">
                <a:solidFill>
                  <a:schemeClr val="accent5"/>
                </a:solidFill>
                <a:prstDash val="solid"/>
              </a:ln>
              <a:solidFill>
                <a:schemeClr val="bg1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Calibri"/>
              <a:ea typeface="+mn-ea"/>
              <a:cs typeface="Calibri"/>
            </a:rPr>
            <a:pPr marL="0" indent="0" algn="ctr"/>
            <a:t>Total Cost ($)</a:t>
          </a:fld>
          <a:endParaRPr lang="en-US" sz="2000" b="1" i="0" u="none" strike="noStrike" cap="none" spc="0">
            <a:ln w="10160">
              <a:solidFill>
                <a:schemeClr val="accent5"/>
              </a:solidFill>
              <a:prstDash val="solid"/>
            </a:ln>
            <a:solidFill>
              <a:schemeClr val="bg1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3</xdr:col>
      <xdr:colOff>0</xdr:colOff>
      <xdr:row>5</xdr:row>
      <xdr:rowOff>0</xdr:rowOff>
    </xdr:from>
    <xdr:to>
      <xdr:col>4</xdr:col>
      <xdr:colOff>576263</xdr:colOff>
      <xdr:row>8</xdr:row>
      <xdr:rowOff>47625</xdr:rowOff>
    </xdr:to>
    <xdr:sp macro="" textlink="$AF$4">
      <xdr:nvSpPr>
        <xdr:cNvPr id="6" name="Rectangle: Rounded Corners 5">
          <a:extLst>
            <a:ext uri="{FF2B5EF4-FFF2-40B4-BE49-F238E27FC236}">
              <a16:creationId xmlns:a16="http://schemas.microsoft.com/office/drawing/2014/main" id="{B37D1B5D-F576-4367-9174-373F95D324D3}"/>
            </a:ext>
          </a:extLst>
        </xdr:cNvPr>
        <xdr:cNvSpPr/>
      </xdr:nvSpPr>
      <xdr:spPr>
        <a:xfrm>
          <a:off x="2124075" y="1038225"/>
          <a:ext cx="1185863" cy="62865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68EC7FA1-1A89-46FF-952D-208B86FCD1D9}" type="TxLink">
            <a:rPr lang="en-US" sz="2400" b="1" i="0" u="none" strike="noStrike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Calibri"/>
              <a:cs typeface="Calibri"/>
            </a:rPr>
            <a:pPr algn="ctr"/>
            <a:t> 35 </a:t>
          </a:fld>
          <a:endParaRPr lang="en-US" sz="5400" b="1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22226</xdr:colOff>
      <xdr:row>5</xdr:row>
      <xdr:rowOff>0</xdr:rowOff>
    </xdr:from>
    <xdr:to>
      <xdr:col>8</xdr:col>
      <xdr:colOff>327025</xdr:colOff>
      <xdr:row>8</xdr:row>
      <xdr:rowOff>47625</xdr:rowOff>
    </xdr:to>
    <xdr:sp macro="" textlink="$AG$4">
      <xdr:nvSpPr>
        <xdr:cNvPr id="9" name="Rectangle: Rounded Corners 8">
          <a:extLst>
            <a:ext uri="{FF2B5EF4-FFF2-40B4-BE49-F238E27FC236}">
              <a16:creationId xmlns:a16="http://schemas.microsoft.com/office/drawing/2014/main" id="{DDB8590B-7E51-4F7D-91D4-FDB7481C3178}"/>
            </a:ext>
          </a:extLst>
        </xdr:cNvPr>
        <xdr:cNvSpPr/>
      </xdr:nvSpPr>
      <xdr:spPr>
        <a:xfrm>
          <a:off x="4156076" y="1181100"/>
          <a:ext cx="2133599" cy="619125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CE5BCE6C-EF87-4F78-A2EA-030875CDF3C0}" type="TxLink">
            <a:rPr lang="en-US" sz="2400" b="1" i="0" u="none" strike="noStrike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Calibri"/>
              <a:ea typeface="+mn-ea"/>
              <a:cs typeface="Calibri"/>
            </a:rPr>
            <a:pPr marL="0" indent="0" algn="ctr"/>
            <a:t> 75,000 </a:t>
          </a:fld>
          <a:endParaRPr lang="en-US" sz="2400" b="1" i="0" u="none" strike="noStrike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8</xdr:col>
      <xdr:colOff>382588</xdr:colOff>
      <xdr:row>5</xdr:row>
      <xdr:rowOff>0</xdr:rowOff>
    </xdr:from>
    <xdr:to>
      <xdr:col>12</xdr:col>
      <xdr:colOff>77787</xdr:colOff>
      <xdr:row>8</xdr:row>
      <xdr:rowOff>47625</xdr:rowOff>
    </xdr:to>
    <xdr:sp macro="" textlink="$AH$4">
      <xdr:nvSpPr>
        <xdr:cNvPr id="11" name="Rectangle: Rounded Corners 10">
          <a:extLst>
            <a:ext uri="{FF2B5EF4-FFF2-40B4-BE49-F238E27FC236}">
              <a16:creationId xmlns:a16="http://schemas.microsoft.com/office/drawing/2014/main" id="{1A0832E5-AC08-4C40-8672-9BEF5C5DDAC6}"/>
            </a:ext>
          </a:extLst>
        </xdr:cNvPr>
        <xdr:cNvSpPr/>
      </xdr:nvSpPr>
      <xdr:spPr>
        <a:xfrm>
          <a:off x="6345238" y="1181100"/>
          <a:ext cx="2133599" cy="619125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89646178-8FB5-49B4-B433-1C20E7428C71}" type="TxLink">
            <a:rPr lang="en-US" sz="2400" b="1" i="0" u="none" strike="noStrike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Calibri"/>
              <a:ea typeface="+mn-ea"/>
              <a:cs typeface="Calibri"/>
            </a:rPr>
            <a:pPr marL="0" indent="0" algn="ctr"/>
            <a:t> 2,625,000 </a:t>
          </a:fld>
          <a:endParaRPr lang="en-US" sz="2400" b="1" i="0" u="none" strike="noStrike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12</xdr:col>
      <xdr:colOff>133351</xdr:colOff>
      <xdr:row>5</xdr:row>
      <xdr:rowOff>0</xdr:rowOff>
    </xdr:from>
    <xdr:to>
      <xdr:col>15</xdr:col>
      <xdr:colOff>438150</xdr:colOff>
      <xdr:row>8</xdr:row>
      <xdr:rowOff>47625</xdr:rowOff>
    </xdr:to>
    <xdr:sp macro="" textlink="$AI$4">
      <xdr:nvSpPr>
        <xdr:cNvPr id="13" name="Rectangle: Rounded Corners 12">
          <a:extLst>
            <a:ext uri="{FF2B5EF4-FFF2-40B4-BE49-F238E27FC236}">
              <a16:creationId xmlns:a16="http://schemas.microsoft.com/office/drawing/2014/main" id="{93F2E588-6751-48FE-8293-B34E436C8563}"/>
            </a:ext>
          </a:extLst>
        </xdr:cNvPr>
        <xdr:cNvSpPr/>
      </xdr:nvSpPr>
      <xdr:spPr>
        <a:xfrm>
          <a:off x="8534401" y="1181100"/>
          <a:ext cx="2133599" cy="619125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9F792F04-ED76-4F87-A742-57125A38225C}" type="TxLink">
            <a:rPr lang="en-US" sz="2400" b="1" i="0" u="none" strike="noStrike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Calibri"/>
              <a:ea typeface="+mn-ea"/>
              <a:cs typeface="Calibri"/>
            </a:rPr>
            <a:pPr marL="0" indent="0" algn="ctr"/>
            <a:t> 12,000 </a:t>
          </a:fld>
          <a:endParaRPr lang="en-US" sz="2400" b="1" i="0" u="none" strike="noStrike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8</xdr:col>
      <xdr:colOff>311395</xdr:colOff>
      <xdr:row>9</xdr:row>
      <xdr:rowOff>0</xdr:rowOff>
    </xdr:from>
    <xdr:to>
      <xdr:col>15</xdr:col>
      <xdr:colOff>135915</xdr:colOff>
      <xdr:row>21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07BA390-B0B8-4DF6-B48F-CCEF079895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3" name="Table3" displayName="Table3" ref="B4:K15" totalsRowShown="0" headerRowDxfId="43" dataDxfId="42" tableBorderDxfId="41">
  <tableColumns count="10">
    <tableColumn id="1" name="#" dataDxfId="40"/>
    <tableColumn id="2" name="Date" dataDxfId="39"/>
    <tableColumn id="3" name="Investor Name" dataDxfId="38"/>
    <tableColumn id="4" name="TO" dataDxfId="37"/>
    <tableColumn id="5" name="Currency" dataDxfId="36"/>
    <tableColumn id="6" name="Amount" dataDxfId="35"/>
    <tableColumn id="7" name="USD Value (on the time of transaction)" dataDxfId="34"/>
    <tableColumn id="8" name="Total in USD Value" dataDxfId="33" dataCellStyle="Currency"/>
    <tableColumn id="9" name="Verification Hash/ Bank wire verifacation" dataDxfId="32"/>
    <tableColumn id="12" name="Comments" dataDxfId="3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B4:L12" totalsRowShown="0" headerRowDxfId="30" dataDxfId="29" tableBorderDxfId="28">
  <tableColumns count="11">
    <tableColumn id="1" name="Date" dataDxfId="27"/>
    <tableColumn id="2" name="Type" dataDxfId="26"/>
    <tableColumn id="3" name="Currency" dataDxfId="25"/>
    <tableColumn id="4" name="Quantity" dataDxfId="24"/>
    <tableColumn id="5" name="USD Value (on the time of transaction)" dataDxfId="23"/>
    <tableColumn id="6" name="Total in USD Value" dataDxfId="22" dataCellStyle="Comma">
      <calculatedColumnFormula>F5*E5</calculatedColumnFormula>
    </tableColumn>
    <tableColumn id="7" name="Fee" dataDxfId="21"/>
    <tableColumn id="8" name="Currency2" dataDxfId="20"/>
    <tableColumn id="9" name="USD Value (on the time of transaction)3" dataDxfId="19"/>
    <tableColumn id="10" name="Transfer-Hash" dataDxfId="18"/>
    <tableColumn id="11" name="Comments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B4:P13" totalsRowShown="0" headerRowDxfId="16" dataDxfId="15">
  <tableColumns count="15">
    <tableColumn id="1" name="Date" dataDxfId="14"/>
    <tableColumn id="2" name="Type" dataDxfId="13"/>
    <tableColumn id="3" name="Currency" dataDxfId="12"/>
    <tableColumn id="4" name="Q" dataDxfId="11"/>
    <tableColumn id="5" name="$ (on the time of transaction)" dataDxfId="10"/>
    <tableColumn id="6" name="Total $" dataDxfId="9" dataCellStyle="Currency">
      <calculatedColumnFormula>F5*E5</calculatedColumnFormula>
    </tableColumn>
    <tableColumn id="7" name="Currency2" dataDxfId="8" dataCellStyle="Currency"/>
    <tableColumn id="8" name="Q Sold (Only in trade)" dataDxfId="7" dataCellStyle="Currency"/>
    <tableColumn id="9" name="$ (on the time of transaction)3" dataDxfId="6"/>
    <tableColumn id="10" name="Total $4" dataDxfId="5">
      <calculatedColumnFormula>J5*I5</calculatedColumnFormula>
    </tableColumn>
    <tableColumn id="11" name="Fee" dataDxfId="4"/>
    <tableColumn id="12" name="Currency5" dataDxfId="3"/>
    <tableColumn id="13" name="$ (on the time of transaction)6" dataDxfId="2"/>
    <tableColumn id="14" name="Total $7" dataDxfId="1"/>
    <tableColumn id="15" name="Commen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J22"/>
  <sheetViews>
    <sheetView showGridLines="0" tabSelected="1" zoomScaleNormal="100" workbookViewId="0">
      <selection activeCell="H16" sqref="H16"/>
    </sheetView>
  </sheetViews>
  <sheetFormatPr defaultRowHeight="14.4" x14ac:dyDescent="0.3"/>
  <cols>
    <col min="2" max="2" width="18.33203125" customWidth="1"/>
    <col min="3" max="3" width="4.44140625" customWidth="1"/>
    <col min="8" max="8" width="12.44140625" bestFit="1" customWidth="1"/>
    <col min="20" max="31" width="0" hidden="1" customWidth="1"/>
    <col min="32" max="32" width="12.44140625" hidden="1" customWidth="1"/>
    <col min="33" max="33" width="9.33203125" hidden="1" customWidth="1"/>
    <col min="34" max="34" width="10.5546875" hidden="1" customWidth="1"/>
    <col min="35" max="35" width="10.6640625" hidden="1" customWidth="1"/>
    <col min="36" max="36" width="11.44140625" hidden="1" customWidth="1"/>
    <col min="37" max="44" width="0" hidden="1" customWidth="1"/>
  </cols>
  <sheetData>
    <row r="1" spans="2:36" x14ac:dyDescent="0.3">
      <c r="B1" s="14" t="s">
        <v>63</v>
      </c>
    </row>
    <row r="2" spans="2:36" ht="5.0999999999999996" customHeight="1" thickBot="1" x14ac:dyDescent="0.35">
      <c r="AE2" s="10" t="s">
        <v>39</v>
      </c>
    </row>
    <row r="3" spans="2:36" ht="32.25" customHeight="1" x14ac:dyDescent="0.3">
      <c r="B3" s="199" t="s">
        <v>3</v>
      </c>
      <c r="AF3" s="12" t="s">
        <v>6</v>
      </c>
      <c r="AG3" s="12" t="s">
        <v>60</v>
      </c>
      <c r="AH3" s="13" t="s">
        <v>7</v>
      </c>
      <c r="AI3" s="13" t="s">
        <v>40</v>
      </c>
      <c r="AJ3" s="13" t="s">
        <v>61</v>
      </c>
    </row>
    <row r="4" spans="2:36" x14ac:dyDescent="0.3">
      <c r="B4" s="200"/>
      <c r="AE4" s="5" t="s">
        <v>0</v>
      </c>
      <c r="AF4" s="11">
        <f ca="1">VLOOKUP($B$3,'Consolidated Wallets'!$C$11:$H$16,2,0)</f>
        <v>35</v>
      </c>
      <c r="AG4" s="4">
        <f>VLOOKUP($B$3,'Consolidated Wallets'!$C$11:$H$16,3,0)</f>
        <v>75000</v>
      </c>
      <c r="AH4" s="4">
        <f ca="1">VLOOKUP($B$3,'Consolidated Wallets'!$C$11:$H$16,4,0)</f>
        <v>2625000</v>
      </c>
      <c r="AI4" s="4">
        <f ca="1">VLOOKUP($B$3,'Consolidated Wallets'!$C$11:$H$16,5,0)</f>
        <v>12000</v>
      </c>
      <c r="AJ4" s="4">
        <f ca="1">VLOOKUP($B$3,'Consolidated Wallets'!$C$11:$H$16,6,0)</f>
        <v>2613000</v>
      </c>
    </row>
    <row r="5" spans="2:36" x14ac:dyDescent="0.3">
      <c r="B5" s="200"/>
      <c r="AE5" s="5" t="s">
        <v>1</v>
      </c>
      <c r="AF5" s="9"/>
      <c r="AG5" s="6"/>
      <c r="AH5" s="6"/>
      <c r="AI5" s="6"/>
      <c r="AJ5" s="6"/>
    </row>
    <row r="6" spans="2:36" x14ac:dyDescent="0.3">
      <c r="B6" s="200"/>
      <c r="AE6" s="5" t="s">
        <v>3</v>
      </c>
      <c r="AF6" s="9"/>
      <c r="AG6" s="6"/>
      <c r="AH6" s="6"/>
      <c r="AI6" s="6"/>
      <c r="AJ6" s="6"/>
    </row>
    <row r="7" spans="2:36" x14ac:dyDescent="0.3">
      <c r="B7" s="200"/>
      <c r="AE7" s="5" t="s">
        <v>2</v>
      </c>
      <c r="AF7" s="9"/>
      <c r="AG7" s="6"/>
      <c r="AH7" s="6"/>
      <c r="AI7" s="6"/>
      <c r="AJ7" s="6"/>
    </row>
    <row r="8" spans="2:36" ht="15" thickBot="1" x14ac:dyDescent="0.35">
      <c r="B8" s="201"/>
      <c r="AE8" s="5" t="s">
        <v>13</v>
      </c>
      <c r="AF8" s="9"/>
      <c r="AG8" s="6"/>
      <c r="AH8" s="6"/>
      <c r="AI8" s="6"/>
      <c r="AJ8" s="6"/>
    </row>
    <row r="9" spans="2:36" ht="15" thickBot="1" x14ac:dyDescent="0.35">
      <c r="AE9" s="5" t="s">
        <v>9</v>
      </c>
      <c r="AF9" s="9"/>
      <c r="AG9" s="6"/>
      <c r="AH9" s="6"/>
      <c r="AI9" s="6"/>
      <c r="AJ9" s="6"/>
    </row>
    <row r="10" spans="2:36" ht="39" customHeight="1" x14ac:dyDescent="0.3">
      <c r="D10" s="202" t="s">
        <v>47</v>
      </c>
      <c r="E10" s="203"/>
      <c r="F10" s="15" t="s">
        <v>49</v>
      </c>
      <c r="G10" s="16" t="s">
        <v>17</v>
      </c>
      <c r="H10" s="17" t="s">
        <v>62</v>
      </c>
      <c r="AF10" s="7">
        <f ca="1">SUM(AF4:AF9)</f>
        <v>35</v>
      </c>
    </row>
    <row r="11" spans="2:36" ht="33" customHeight="1" thickBot="1" x14ac:dyDescent="0.35">
      <c r="D11" s="207" t="s">
        <v>54</v>
      </c>
      <c r="E11" s="197"/>
      <c r="F11" s="18" t="str">
        <f>VLOOKUP(D11,'Investment Track Table'!$D$5:$E$15,2,0)</f>
        <v>Ledger 1</v>
      </c>
      <c r="G11" s="18" t="str">
        <f>VLOOKUP(D11,'Investment Track Table'!D5:I15,3,0)</f>
        <v>BTC</v>
      </c>
      <c r="H11" s="19">
        <f>VLOOKUP(D11,'Investment Track Table'!D5:I15,6,0)</f>
        <v>108000</v>
      </c>
      <c r="AF11" s="7">
        <f ca="1">+'Consolidated Wallets'!H8</f>
        <v>4222800</v>
      </c>
    </row>
    <row r="12" spans="2:36" ht="19.5" customHeight="1" thickBot="1" x14ac:dyDescent="0.35">
      <c r="AF12" s="6">
        <f ca="1">+AF10-AF11</f>
        <v>-4222765</v>
      </c>
      <c r="AG12" s="8" t="s">
        <v>59</v>
      </c>
    </row>
    <row r="13" spans="2:36" ht="24.9" customHeight="1" x14ac:dyDescent="0.3">
      <c r="D13" s="202" t="s">
        <v>65</v>
      </c>
      <c r="E13" s="203"/>
      <c r="F13" s="203"/>
      <c r="G13" s="203"/>
      <c r="H13" s="203"/>
      <c r="AF13" t="str">
        <f>+B3</f>
        <v>BNB</v>
      </c>
    </row>
    <row r="14" spans="2:36" ht="24.9" customHeight="1" x14ac:dyDescent="0.3">
      <c r="D14" s="204"/>
      <c r="E14" s="205"/>
      <c r="F14" s="205"/>
      <c r="G14" s="205"/>
      <c r="H14" s="205"/>
    </row>
    <row r="15" spans="2:36" ht="20.100000000000001" customHeight="1" thickBot="1" x14ac:dyDescent="0.35">
      <c r="D15" s="207" t="s">
        <v>21</v>
      </c>
      <c r="E15" s="197"/>
      <c r="F15" s="197" t="s">
        <v>23</v>
      </c>
      <c r="G15" s="197"/>
      <c r="H15" s="19" t="s">
        <v>64</v>
      </c>
    </row>
    <row r="16" spans="2:36" ht="20.100000000000001" customHeight="1" thickBot="1" x14ac:dyDescent="0.35">
      <c r="D16" s="206">
        <f>SUMIF('Cold Wallet'!C5:C15,D15,'Cold Wallet'!G5:G15)</f>
        <v>442500</v>
      </c>
      <c r="E16" s="198"/>
      <c r="F16" s="208">
        <f>SUMIF('Cold Wallet'!C5:C15,F15,'Cold Wallet'!G5:G15)</f>
        <v>-120750</v>
      </c>
      <c r="G16" s="208"/>
      <c r="H16" s="19">
        <f>D16+F16</f>
        <v>321750</v>
      </c>
    </row>
    <row r="17" spans="4:8" ht="18" customHeight="1" thickBot="1" x14ac:dyDescent="0.35">
      <c r="D17" s="21"/>
      <c r="E17" s="21"/>
      <c r="F17" s="209"/>
      <c r="G17" s="209"/>
      <c r="H17" s="20"/>
    </row>
    <row r="18" spans="4:8" ht="24.9" customHeight="1" x14ac:dyDescent="0.3">
      <c r="D18" s="202" t="s">
        <v>66</v>
      </c>
      <c r="E18" s="203"/>
      <c r="F18" s="203"/>
      <c r="G18" s="203"/>
      <c r="H18" s="203"/>
    </row>
    <row r="19" spans="4:8" ht="24.9" customHeight="1" x14ac:dyDescent="0.3">
      <c r="D19" s="204"/>
      <c r="E19" s="205"/>
      <c r="F19" s="205"/>
      <c r="G19" s="205"/>
      <c r="H19" s="205"/>
    </row>
    <row r="20" spans="4:8" ht="20.100000000000001" customHeight="1" thickBot="1" x14ac:dyDescent="0.35">
      <c r="D20" s="207" t="s">
        <v>21</v>
      </c>
      <c r="E20" s="197"/>
      <c r="F20" s="197" t="s">
        <v>23</v>
      </c>
      <c r="G20" s="197"/>
      <c r="H20" s="19" t="s">
        <v>22</v>
      </c>
    </row>
    <row r="21" spans="4:8" ht="20.100000000000001" customHeight="1" thickBot="1" x14ac:dyDescent="0.35">
      <c r="D21" s="206">
        <f>SUMIF('Exchange Wallet'!C5:C15,D20,'Exchange Wallet'!G5:G15)</f>
        <v>442500</v>
      </c>
      <c r="E21" s="198"/>
      <c r="F21" s="198">
        <f>SUMIF('Exchange Wallet'!C5:C15,F20,'Exchange Wallet'!G5:G15)</f>
        <v>-120750</v>
      </c>
      <c r="G21" s="198"/>
      <c r="H21" s="19">
        <f>SUMIF('Exchange Wallet'!C5:C15,H20,'Exchange Wallet'!G5:G15)</f>
        <v>2000</v>
      </c>
    </row>
    <row r="22" spans="4:8" ht="15" customHeight="1" x14ac:dyDescent="0.3"/>
  </sheetData>
  <mergeCells count="14">
    <mergeCell ref="F20:G20"/>
    <mergeCell ref="F21:G21"/>
    <mergeCell ref="B3:B8"/>
    <mergeCell ref="D13:H14"/>
    <mergeCell ref="F15:G15"/>
    <mergeCell ref="D16:E16"/>
    <mergeCell ref="D20:E20"/>
    <mergeCell ref="D21:E21"/>
    <mergeCell ref="F16:G16"/>
    <mergeCell ref="F17:G17"/>
    <mergeCell ref="D18:H19"/>
    <mergeCell ref="D10:E10"/>
    <mergeCell ref="D11:E11"/>
    <mergeCell ref="D15:E15"/>
  </mergeCells>
  <dataValidations count="2">
    <dataValidation type="list" errorStyle="warning" showErrorMessage="1" errorTitle="Invalid Data" error="Please select from the list." sqref="B3">
      <formula1>$AE$4:$AE$9</formula1>
    </dataValidation>
    <dataValidation errorStyle="warning" showErrorMessage="1" errorTitle="Error" error="Please use dropdown menu." sqref="D15:E17 D20:E21"/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showErrorMessage="1" errorTitle="Error" error="Please use dropdown menu.">
          <x14:formula1>
            <xm:f>'Investment Track Table'!$D$5:$D$15</xm:f>
          </x14:formula1>
          <xm:sqref>D11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30"/>
  <sheetViews>
    <sheetView showGridLines="0" zoomScale="70" zoomScaleNormal="80" workbookViewId="0">
      <selection activeCell="G23" sqref="G23"/>
    </sheetView>
  </sheetViews>
  <sheetFormatPr defaultColWidth="9.109375" defaultRowHeight="13.8" x14ac:dyDescent="0.25"/>
  <cols>
    <col min="1" max="1" width="1.6640625" style="1" customWidth="1"/>
    <col min="2" max="3" width="13.44140625" style="1" customWidth="1"/>
    <col min="4" max="4" width="17.109375" style="1" customWidth="1"/>
    <col min="5" max="5" width="13.44140625" style="1" customWidth="1"/>
    <col min="6" max="7" width="22.44140625" style="1" customWidth="1"/>
    <col min="8" max="8" width="35.6640625" style="55" bestFit="1" customWidth="1"/>
    <col min="9" max="9" width="18.109375" style="56" bestFit="1" customWidth="1"/>
    <col min="10" max="10" width="37.109375" style="1" bestFit="1" customWidth="1"/>
    <col min="11" max="11" width="35.6640625" style="1" bestFit="1" customWidth="1"/>
    <col min="12" max="14" width="35.6640625" style="1" customWidth="1"/>
    <col min="15" max="16" width="14.88671875" style="1" customWidth="1"/>
    <col min="17" max="18" width="9.109375" style="1"/>
    <col min="19" max="19" width="7.6640625" style="1" bestFit="1" customWidth="1"/>
    <col min="20" max="20" width="14.88671875" style="1" bestFit="1" customWidth="1"/>
    <col min="21" max="21" width="14" style="1" bestFit="1" customWidth="1"/>
    <col min="22" max="16384" width="9.109375" style="1"/>
  </cols>
  <sheetData>
    <row r="1" spans="2:21" ht="5.0999999999999996" customHeight="1" thickBot="1" x14ac:dyDescent="0.3">
      <c r="B1" s="3"/>
      <c r="C1" s="3"/>
      <c r="D1" s="3"/>
      <c r="E1" s="3"/>
      <c r="F1" s="3"/>
      <c r="G1" s="3"/>
      <c r="H1" s="45"/>
      <c r="I1" s="46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2:21" ht="25.2" thickBot="1" x14ac:dyDescent="0.45">
      <c r="B2" s="215" t="s">
        <v>45</v>
      </c>
      <c r="C2" s="216"/>
      <c r="D2" s="217"/>
      <c r="E2" s="3"/>
      <c r="F2" s="3"/>
      <c r="G2" s="3"/>
      <c r="H2" s="45"/>
      <c r="I2" s="46"/>
      <c r="J2" s="3"/>
      <c r="K2" s="3"/>
      <c r="L2" s="3"/>
      <c r="M2" s="3"/>
      <c r="N2" s="3"/>
      <c r="O2" s="2"/>
      <c r="P2" s="2"/>
      <c r="Q2" s="2"/>
      <c r="R2" s="2"/>
      <c r="S2" s="2"/>
      <c r="T2" s="2"/>
      <c r="U2" s="3"/>
    </row>
    <row r="3" spans="2:21" ht="5.0999999999999996" customHeight="1" x14ac:dyDescent="0.4">
      <c r="B3" s="3"/>
      <c r="C3" s="47"/>
      <c r="D3" s="3"/>
      <c r="E3" s="3"/>
      <c r="F3" s="3"/>
      <c r="G3" s="3"/>
      <c r="H3" s="45"/>
      <c r="I3" s="46"/>
      <c r="J3" s="3"/>
      <c r="K3" s="3"/>
      <c r="L3" s="3"/>
      <c r="M3" s="3"/>
      <c r="N3" s="3"/>
      <c r="O3" s="2"/>
      <c r="P3" s="2"/>
      <c r="Q3" s="2"/>
      <c r="R3" s="2"/>
      <c r="S3" s="2"/>
      <c r="T3" s="2"/>
      <c r="U3" s="3"/>
    </row>
    <row r="4" spans="2:21" ht="46.5" customHeight="1" x14ac:dyDescent="0.3">
      <c r="B4" s="69" t="s">
        <v>46</v>
      </c>
      <c r="C4" s="69" t="s">
        <v>8</v>
      </c>
      <c r="D4" s="69" t="s">
        <v>47</v>
      </c>
      <c r="E4" s="69" t="s">
        <v>49</v>
      </c>
      <c r="F4" s="69" t="s">
        <v>17</v>
      </c>
      <c r="G4" s="69" t="s">
        <v>48</v>
      </c>
      <c r="H4" s="70" t="s">
        <v>29</v>
      </c>
      <c r="I4" s="71" t="s">
        <v>33</v>
      </c>
      <c r="J4" s="69" t="s">
        <v>53</v>
      </c>
      <c r="K4" s="69" t="s">
        <v>20</v>
      </c>
      <c r="L4" s="69"/>
      <c r="M4" s="69"/>
      <c r="N4" s="69"/>
      <c r="O4" s="48"/>
    </row>
    <row r="5" spans="2:21" ht="20.100000000000001" customHeight="1" x14ac:dyDescent="0.3">
      <c r="B5" s="28">
        <v>1</v>
      </c>
      <c r="C5" s="23"/>
      <c r="D5" s="22" t="s">
        <v>56</v>
      </c>
      <c r="E5" s="22" t="s">
        <v>52</v>
      </c>
      <c r="F5" s="29" t="s">
        <v>5</v>
      </c>
      <c r="G5" s="33">
        <v>100000</v>
      </c>
      <c r="H5" s="35">
        <v>1</v>
      </c>
      <c r="I5" s="34">
        <f t="shared" ref="I5:I8" si="0">H5*G5</f>
        <v>100000</v>
      </c>
      <c r="J5" s="22"/>
      <c r="K5" s="22"/>
      <c r="L5" s="22"/>
      <c r="M5" s="22"/>
      <c r="N5" s="22"/>
      <c r="O5" s="2"/>
    </row>
    <row r="6" spans="2:21" ht="20.100000000000001" customHeight="1" x14ac:dyDescent="0.3">
      <c r="B6" s="28">
        <f t="shared" ref="B6:B11" si="1">+B5+1</f>
        <v>2</v>
      </c>
      <c r="C6" s="23"/>
      <c r="D6" s="22" t="s">
        <v>54</v>
      </c>
      <c r="E6" s="22" t="s">
        <v>50</v>
      </c>
      <c r="F6" s="29" t="s">
        <v>0</v>
      </c>
      <c r="G6" s="33">
        <v>3</v>
      </c>
      <c r="H6" s="35">
        <v>36000</v>
      </c>
      <c r="I6" s="34">
        <f t="shared" si="0"/>
        <v>108000</v>
      </c>
      <c r="J6" s="22"/>
      <c r="K6" s="27"/>
      <c r="L6" s="27"/>
      <c r="M6" s="27"/>
      <c r="N6" s="27"/>
      <c r="O6" s="57"/>
    </row>
    <row r="7" spans="2:21" ht="20.100000000000001" customHeight="1" x14ac:dyDescent="0.3">
      <c r="B7" s="28">
        <f t="shared" si="1"/>
        <v>3</v>
      </c>
      <c r="C7" s="23"/>
      <c r="D7" s="22" t="s">
        <v>55</v>
      </c>
      <c r="E7" s="22" t="s">
        <v>51</v>
      </c>
      <c r="F7" s="29" t="s">
        <v>1</v>
      </c>
      <c r="G7" s="33">
        <v>10</v>
      </c>
      <c r="H7" s="35">
        <v>21000</v>
      </c>
      <c r="I7" s="34">
        <f t="shared" si="0"/>
        <v>210000</v>
      </c>
      <c r="J7" s="22"/>
      <c r="K7" s="22"/>
      <c r="L7" s="22"/>
      <c r="M7" s="22"/>
      <c r="N7" s="22"/>
      <c r="O7" s="57"/>
    </row>
    <row r="8" spans="2:21" ht="20.100000000000001" customHeight="1" x14ac:dyDescent="0.3">
      <c r="B8" s="28">
        <f t="shared" si="1"/>
        <v>4</v>
      </c>
      <c r="C8" s="23"/>
      <c r="D8" s="22"/>
      <c r="E8" s="22"/>
      <c r="F8" s="29" t="s">
        <v>58</v>
      </c>
      <c r="G8" s="33">
        <v>150000</v>
      </c>
      <c r="H8" s="35">
        <v>0.3</v>
      </c>
      <c r="I8" s="34">
        <f t="shared" si="0"/>
        <v>45000</v>
      </c>
      <c r="J8" s="22"/>
      <c r="K8" s="22"/>
      <c r="L8" s="22"/>
      <c r="M8" s="22"/>
      <c r="N8" s="22"/>
      <c r="O8" s="2"/>
    </row>
    <row r="9" spans="2:21" ht="20.100000000000001" customHeight="1" x14ac:dyDescent="0.3">
      <c r="B9" s="28">
        <f t="shared" si="1"/>
        <v>5</v>
      </c>
      <c r="C9" s="23"/>
      <c r="D9" s="22"/>
      <c r="E9" s="22"/>
      <c r="F9" s="24"/>
      <c r="G9" s="24"/>
      <c r="H9" s="25"/>
      <c r="I9" s="26">
        <f t="shared" ref="I9:I15" si="2">H9*F9</f>
        <v>0</v>
      </c>
      <c r="J9" s="22"/>
      <c r="K9" s="22"/>
      <c r="L9" s="22"/>
      <c r="M9" s="22"/>
      <c r="N9" s="22"/>
      <c r="O9" s="57"/>
    </row>
    <row r="10" spans="2:21" ht="20.100000000000001" customHeight="1" x14ac:dyDescent="0.3">
      <c r="B10" s="28">
        <f t="shared" si="1"/>
        <v>6</v>
      </c>
      <c r="C10" s="23"/>
      <c r="D10" s="22"/>
      <c r="E10" s="22"/>
      <c r="F10" s="24"/>
      <c r="G10" s="24"/>
      <c r="H10" s="25"/>
      <c r="I10" s="26">
        <f t="shared" si="2"/>
        <v>0</v>
      </c>
      <c r="J10" s="22"/>
      <c r="K10" s="22"/>
      <c r="L10" s="22"/>
      <c r="M10" s="22"/>
      <c r="N10" s="22"/>
      <c r="O10" s="2"/>
    </row>
    <row r="11" spans="2:21" ht="20.100000000000001" customHeight="1" x14ac:dyDescent="0.3">
      <c r="B11" s="28">
        <f t="shared" si="1"/>
        <v>7</v>
      </c>
      <c r="C11" s="23"/>
      <c r="D11" s="22"/>
      <c r="E11" s="22"/>
      <c r="F11" s="24"/>
      <c r="G11" s="24"/>
      <c r="H11" s="25"/>
      <c r="I11" s="26">
        <f>H11*F11</f>
        <v>0</v>
      </c>
      <c r="J11" s="22"/>
      <c r="K11" s="22"/>
      <c r="L11" s="22"/>
      <c r="M11" s="22"/>
      <c r="N11" s="22"/>
      <c r="O11" s="2"/>
    </row>
    <row r="12" spans="2:21" ht="20.100000000000001" customHeight="1" x14ac:dyDescent="0.3">
      <c r="B12" s="28">
        <f t="shared" ref="B12:B15" si="3">+B11+1</f>
        <v>8</v>
      </c>
      <c r="C12" s="23"/>
      <c r="D12" s="22"/>
      <c r="E12" s="22"/>
      <c r="F12" s="24"/>
      <c r="G12" s="24"/>
      <c r="H12" s="25"/>
      <c r="I12" s="26">
        <f t="shared" si="2"/>
        <v>0</v>
      </c>
      <c r="J12" s="22"/>
      <c r="K12" s="22"/>
      <c r="L12" s="22"/>
      <c r="M12" s="22"/>
      <c r="N12" s="22"/>
      <c r="O12" s="57"/>
    </row>
    <row r="13" spans="2:21" ht="20.100000000000001" customHeight="1" x14ac:dyDescent="0.3">
      <c r="B13" s="28">
        <f t="shared" si="3"/>
        <v>9</v>
      </c>
      <c r="C13" s="23"/>
      <c r="D13" s="22"/>
      <c r="E13" s="22"/>
      <c r="F13" s="22"/>
      <c r="G13" s="22"/>
      <c r="H13" s="25"/>
      <c r="I13" s="26">
        <f t="shared" si="2"/>
        <v>0</v>
      </c>
      <c r="J13" s="22"/>
      <c r="K13" s="22"/>
      <c r="L13" s="22"/>
      <c r="M13" s="22"/>
      <c r="N13" s="22"/>
      <c r="O13" s="2"/>
    </row>
    <row r="14" spans="2:21" ht="20.100000000000001" customHeight="1" x14ac:dyDescent="0.3">
      <c r="B14" s="28">
        <f t="shared" si="3"/>
        <v>10</v>
      </c>
      <c r="C14" s="23"/>
      <c r="D14" s="22"/>
      <c r="E14" s="22"/>
      <c r="F14" s="22"/>
      <c r="G14" s="22"/>
      <c r="H14" s="25"/>
      <c r="I14" s="26">
        <f t="shared" si="2"/>
        <v>0</v>
      </c>
      <c r="J14" s="22"/>
      <c r="K14" s="22"/>
      <c r="L14" s="22"/>
      <c r="M14" s="22"/>
      <c r="N14" s="22"/>
      <c r="O14" s="58"/>
    </row>
    <row r="15" spans="2:21" ht="20.100000000000001" customHeight="1" x14ac:dyDescent="0.3">
      <c r="B15" s="28">
        <f t="shared" si="3"/>
        <v>11</v>
      </c>
      <c r="C15" s="23"/>
      <c r="D15" s="22"/>
      <c r="E15" s="22"/>
      <c r="F15" s="22"/>
      <c r="G15" s="22"/>
      <c r="H15" s="25"/>
      <c r="I15" s="26">
        <f t="shared" si="2"/>
        <v>0</v>
      </c>
      <c r="J15" s="22"/>
      <c r="K15" s="22"/>
      <c r="L15" s="22"/>
      <c r="M15" s="22"/>
      <c r="N15" s="22"/>
      <c r="O15" s="2"/>
    </row>
    <row r="16" spans="2:21" ht="20.100000000000001" customHeight="1" thickBot="1" x14ac:dyDescent="0.3">
      <c r="B16" s="3"/>
      <c r="C16" s="54"/>
      <c r="D16" s="3"/>
      <c r="E16" s="3"/>
      <c r="F16" s="3"/>
      <c r="G16" s="3"/>
      <c r="H16" s="45"/>
      <c r="I16" s="46"/>
      <c r="J16" s="59"/>
      <c r="K16" s="59"/>
      <c r="L16" s="59"/>
      <c r="M16" s="3"/>
      <c r="N16" s="3"/>
      <c r="O16" s="2"/>
      <c r="U16" s="3"/>
    </row>
    <row r="17" spans="2:21" ht="15.6" x14ac:dyDescent="0.3">
      <c r="B17" s="210" t="s">
        <v>67</v>
      </c>
      <c r="C17" s="211"/>
      <c r="D17" s="211"/>
      <c r="E17" s="212"/>
      <c r="H17" s="3"/>
      <c r="I17" s="46"/>
      <c r="J17" s="59"/>
      <c r="K17" s="59"/>
      <c r="L17" s="59"/>
      <c r="M17" s="3"/>
      <c r="N17" s="3"/>
      <c r="O17" s="2"/>
      <c r="P17" s="2"/>
      <c r="Q17" s="2"/>
      <c r="R17" s="2"/>
      <c r="S17" s="2"/>
      <c r="T17" s="2"/>
      <c r="U17" s="3"/>
    </row>
    <row r="18" spans="2:21" ht="15.6" x14ac:dyDescent="0.3">
      <c r="B18" s="102" t="s">
        <v>52</v>
      </c>
      <c r="C18" s="41" t="s">
        <v>28</v>
      </c>
      <c r="D18" s="41" t="s">
        <v>37</v>
      </c>
      <c r="E18" s="103"/>
      <c r="G18" s="3"/>
      <c r="H18" s="45"/>
      <c r="I18" s="46"/>
      <c r="J18" s="3"/>
      <c r="K18" s="3"/>
      <c r="L18" s="3"/>
      <c r="M18" s="3"/>
      <c r="N18" s="3"/>
      <c r="O18" s="2"/>
      <c r="P18" s="2"/>
      <c r="Q18" s="3"/>
      <c r="R18" s="3"/>
      <c r="S18" s="3"/>
      <c r="T18" s="3"/>
      <c r="U18" s="3"/>
    </row>
    <row r="19" spans="2:21" ht="15.6" x14ac:dyDescent="0.3">
      <c r="B19" s="104"/>
      <c r="C19" s="42" t="s">
        <v>57</v>
      </c>
      <c r="D19" s="43">
        <f ca="1">(SUMIF($E$5:$I99,C19,$I$5:$I$99))</f>
        <v>100000</v>
      </c>
      <c r="E19" s="105"/>
      <c r="G19" s="3"/>
      <c r="H19" s="45"/>
      <c r="I19" s="46"/>
      <c r="J19" s="3"/>
      <c r="K19" s="3"/>
      <c r="L19" s="3"/>
      <c r="M19" s="3"/>
      <c r="N19" s="3"/>
      <c r="O19" s="2"/>
      <c r="P19" s="2"/>
      <c r="Q19" s="3"/>
      <c r="R19" s="3"/>
      <c r="S19" s="3"/>
      <c r="T19" s="3"/>
      <c r="U19" s="3"/>
    </row>
    <row r="20" spans="2:21" ht="15.6" x14ac:dyDescent="0.3">
      <c r="B20" s="106" t="s">
        <v>50</v>
      </c>
      <c r="C20" s="41" t="s">
        <v>28</v>
      </c>
      <c r="D20" s="44" t="s">
        <v>37</v>
      </c>
      <c r="E20" s="103"/>
      <c r="G20" s="3"/>
      <c r="H20" s="45"/>
      <c r="I20" s="46"/>
      <c r="J20" s="3"/>
      <c r="K20" s="3"/>
      <c r="L20" s="3"/>
      <c r="M20" s="3"/>
      <c r="N20" s="3"/>
      <c r="O20" s="2"/>
      <c r="P20" s="2"/>
      <c r="Q20" s="3"/>
      <c r="R20" s="3"/>
      <c r="S20" s="3"/>
      <c r="T20" s="3"/>
      <c r="U20" s="3"/>
    </row>
    <row r="21" spans="2:21" ht="15.6" x14ac:dyDescent="0.3">
      <c r="B21" s="107"/>
      <c r="C21" s="42" t="s">
        <v>50</v>
      </c>
      <c r="D21" s="43">
        <f ca="1">(SUMIF($E$5:$I101,C21,$I$5:$I$99))</f>
        <v>108000</v>
      </c>
      <c r="E21" s="108"/>
      <c r="G21" s="3"/>
      <c r="H21" s="45"/>
      <c r="I21" s="46"/>
      <c r="J21" s="3"/>
      <c r="K21" s="3"/>
      <c r="L21" s="3"/>
      <c r="M21" s="3"/>
      <c r="N21" s="3"/>
      <c r="O21" s="2"/>
      <c r="P21" s="2"/>
      <c r="Q21" s="3"/>
      <c r="R21" s="3"/>
      <c r="S21" s="3"/>
      <c r="T21" s="3"/>
      <c r="U21" s="3"/>
    </row>
    <row r="22" spans="2:21" ht="15.6" x14ac:dyDescent="0.3">
      <c r="B22" s="106" t="s">
        <v>51</v>
      </c>
      <c r="C22" s="41" t="s">
        <v>28</v>
      </c>
      <c r="D22" s="41" t="s">
        <v>37</v>
      </c>
      <c r="E22" s="109"/>
      <c r="G22" s="3"/>
      <c r="H22" s="45"/>
      <c r="I22" s="46"/>
      <c r="J22" s="3"/>
      <c r="K22" s="3"/>
      <c r="L22" s="3"/>
      <c r="M22" s="3"/>
      <c r="N22" s="3"/>
      <c r="O22" s="2"/>
      <c r="P22" s="2"/>
      <c r="Q22" s="3"/>
      <c r="R22" s="3"/>
      <c r="S22" s="3"/>
      <c r="T22" s="3"/>
      <c r="U22" s="3"/>
    </row>
    <row r="23" spans="2:21" ht="15.6" x14ac:dyDescent="0.3">
      <c r="B23" s="107"/>
      <c r="C23" s="42" t="s">
        <v>51</v>
      </c>
      <c r="D23" s="43">
        <f ca="1">(SUMIF($E$5:$I103,C23,$I$5:$I$99))</f>
        <v>210000</v>
      </c>
      <c r="E23" s="110"/>
      <c r="G23" s="3"/>
      <c r="H23" s="45"/>
      <c r="I23" s="46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2:21" ht="14.4" thickBot="1" x14ac:dyDescent="0.3">
      <c r="B24" s="111"/>
      <c r="C24" s="112"/>
      <c r="D24" s="112"/>
      <c r="E24" s="113"/>
      <c r="P24" s="3"/>
      <c r="Q24" s="2"/>
      <c r="R24" s="2"/>
      <c r="S24" s="2"/>
      <c r="T24" s="2"/>
      <c r="U24" s="2"/>
    </row>
    <row r="25" spans="2:21" x14ac:dyDescent="0.25">
      <c r="B25" s="213"/>
      <c r="C25" s="214"/>
      <c r="D25" s="214"/>
      <c r="E25" s="72"/>
    </row>
    <row r="26" spans="2:21" x14ac:dyDescent="0.25">
      <c r="B26" s="3"/>
      <c r="C26" s="3"/>
      <c r="D26" s="3"/>
      <c r="E26" s="3"/>
    </row>
    <row r="27" spans="2:21" x14ac:dyDescent="0.25">
      <c r="B27" s="3"/>
      <c r="C27" s="3"/>
      <c r="D27" s="3"/>
      <c r="E27" s="3"/>
    </row>
    <row r="28" spans="2:21" x14ac:dyDescent="0.25">
      <c r="B28" s="2"/>
      <c r="C28" s="2"/>
      <c r="D28" s="3"/>
      <c r="E28" s="3"/>
      <c r="F28" s="3"/>
    </row>
    <row r="29" spans="2:21" x14ac:dyDescent="0.25">
      <c r="B29" s="2"/>
      <c r="C29" s="2"/>
      <c r="D29" s="3"/>
      <c r="E29" s="3"/>
      <c r="F29" s="3"/>
    </row>
    <row r="30" spans="2:21" x14ac:dyDescent="0.25">
      <c r="B30" s="2"/>
      <c r="C30" s="2"/>
      <c r="D30" s="2"/>
      <c r="E30" s="2"/>
      <c r="F30" s="2"/>
    </row>
  </sheetData>
  <mergeCells count="3">
    <mergeCell ref="B17:E17"/>
    <mergeCell ref="B25:D25"/>
    <mergeCell ref="B2:D2"/>
  </mergeCells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"/>
  <sheetViews>
    <sheetView showGridLines="0" zoomScale="80" zoomScaleNormal="80" zoomScaleSheetLayoutView="110" workbookViewId="0">
      <selection activeCell="B2" sqref="B2:C2"/>
    </sheetView>
  </sheetViews>
  <sheetFormatPr defaultColWidth="9.109375" defaultRowHeight="13.8" x14ac:dyDescent="0.25"/>
  <cols>
    <col min="1" max="1" width="1.6640625" style="1" customWidth="1"/>
    <col min="2" max="2" width="32.5546875" style="1" customWidth="1"/>
    <col min="3" max="4" width="20.6640625" style="1" customWidth="1"/>
    <col min="5" max="5" width="20.6640625" style="55" customWidth="1"/>
    <col min="6" max="8" width="20.6640625" style="56" customWidth="1"/>
    <col min="9" max="9" width="16.5546875" style="1" customWidth="1"/>
    <col min="10" max="10" width="13" style="68" customWidth="1"/>
    <col min="11" max="16384" width="9.109375" style="1"/>
  </cols>
  <sheetData>
    <row r="1" spans="1:10" ht="5.0999999999999996" customHeight="1" thickBot="1" x14ac:dyDescent="0.3">
      <c r="A1" s="59"/>
      <c r="B1" s="59"/>
      <c r="C1" s="59"/>
      <c r="D1" s="59"/>
      <c r="E1" s="60"/>
      <c r="F1" s="61"/>
      <c r="G1" s="61"/>
      <c r="H1" s="61"/>
    </row>
    <row r="2" spans="1:10" ht="18" thickBot="1" x14ac:dyDescent="0.35">
      <c r="A2" s="59"/>
      <c r="B2" s="220" t="s">
        <v>71</v>
      </c>
      <c r="C2" s="221"/>
      <c r="D2" s="49"/>
      <c r="E2" s="60"/>
      <c r="F2" s="61"/>
      <c r="G2" s="61"/>
      <c r="H2" s="61"/>
    </row>
    <row r="3" spans="1:10" ht="5.0999999999999996" customHeight="1" thickBot="1" x14ac:dyDescent="0.3">
      <c r="A3" s="59"/>
      <c r="B3" s="59"/>
      <c r="C3" s="59"/>
      <c r="D3" s="59"/>
      <c r="E3" s="60"/>
      <c r="F3" s="61"/>
      <c r="G3" s="61"/>
      <c r="H3" s="61"/>
    </row>
    <row r="4" spans="1:10" ht="30" customHeight="1" x14ac:dyDescent="0.25">
      <c r="A4" s="59"/>
      <c r="B4" s="218" t="s">
        <v>72</v>
      </c>
      <c r="C4" s="86" t="s">
        <v>0</v>
      </c>
      <c r="D4" s="86" t="s">
        <v>1</v>
      </c>
      <c r="E4" s="87" t="s">
        <v>12</v>
      </c>
      <c r="F4" s="88" t="s">
        <v>3</v>
      </c>
      <c r="G4" s="88" t="s">
        <v>9</v>
      </c>
      <c r="H4" s="89" t="s">
        <v>68</v>
      </c>
      <c r="J4" s="49"/>
    </row>
    <row r="5" spans="1:10" ht="30" customHeight="1" x14ac:dyDescent="0.25">
      <c r="A5" s="59"/>
      <c r="B5" s="219"/>
      <c r="C5" s="73" t="s">
        <v>14</v>
      </c>
      <c r="D5" s="73" t="s">
        <v>14</v>
      </c>
      <c r="E5" s="74" t="s">
        <v>14</v>
      </c>
      <c r="F5" s="75" t="s">
        <v>14</v>
      </c>
      <c r="G5" s="75" t="s">
        <v>14</v>
      </c>
      <c r="H5" s="90"/>
      <c r="J5" s="49"/>
    </row>
    <row r="6" spans="1:10" ht="15" customHeight="1" x14ac:dyDescent="0.3">
      <c r="A6" s="59"/>
      <c r="B6" s="91"/>
      <c r="C6" s="76"/>
      <c r="D6" s="76"/>
      <c r="E6" s="77"/>
      <c r="F6" s="78"/>
      <c r="G6" s="78"/>
      <c r="H6" s="92"/>
    </row>
    <row r="7" spans="1:10" ht="15" customHeight="1" x14ac:dyDescent="0.3">
      <c r="A7" s="59"/>
      <c r="B7" s="93"/>
      <c r="C7" s="79"/>
      <c r="D7" s="79"/>
      <c r="E7" s="80"/>
      <c r="F7" s="81"/>
      <c r="G7" s="81"/>
      <c r="H7" s="94"/>
    </row>
    <row r="8" spans="1:10" ht="15" customHeight="1" x14ac:dyDescent="0.3">
      <c r="A8" s="59"/>
      <c r="B8" s="91"/>
      <c r="C8" s="76"/>
      <c r="D8" s="76"/>
      <c r="E8" s="77" t="s">
        <v>10</v>
      </c>
      <c r="F8" s="85">
        <f ca="1">SUM(F9:F33)</f>
        <v>4925000</v>
      </c>
      <c r="G8" s="85">
        <f ca="1">SUM(G9:G33)</f>
        <v>702200</v>
      </c>
      <c r="H8" s="96">
        <f ca="1">F8-G8</f>
        <v>4222800</v>
      </c>
    </row>
    <row r="9" spans="1:10" ht="15" customHeight="1" x14ac:dyDescent="0.3">
      <c r="A9" s="59"/>
      <c r="B9" s="93"/>
      <c r="C9" s="79"/>
      <c r="D9" s="79"/>
      <c r="E9" s="80"/>
      <c r="F9" s="81"/>
      <c r="G9" s="81"/>
      <c r="H9" s="94"/>
    </row>
    <row r="10" spans="1:10" ht="15" customHeight="1" x14ac:dyDescent="0.3">
      <c r="A10" s="59"/>
      <c r="B10" s="91" t="s">
        <v>15</v>
      </c>
      <c r="C10" s="76" t="s">
        <v>4</v>
      </c>
      <c r="D10" s="76" t="s">
        <v>6</v>
      </c>
      <c r="E10" s="77" t="s">
        <v>60</v>
      </c>
      <c r="F10" s="78" t="s">
        <v>7</v>
      </c>
      <c r="G10" s="78" t="s">
        <v>40</v>
      </c>
      <c r="H10" s="92" t="s">
        <v>61</v>
      </c>
      <c r="I10" s="62"/>
    </row>
    <row r="11" spans="1:10" ht="15" customHeight="1" x14ac:dyDescent="0.3">
      <c r="A11" s="59"/>
      <c r="B11" s="93"/>
      <c r="C11" s="79" t="s">
        <v>0</v>
      </c>
      <c r="D11" s="79">
        <f ca="1">'Cold Wallet'!O6+'Exchange Wallet'!S6</f>
        <v>16</v>
      </c>
      <c r="E11" s="82">
        <v>50000</v>
      </c>
      <c r="F11" s="83">
        <f t="shared" ref="F11:F16" ca="1" si="0">D11*E11</f>
        <v>800000</v>
      </c>
      <c r="G11" s="83">
        <f ca="1">'Cold Wallet'!P9+'Exchange Wallet'!T9</f>
        <v>643500</v>
      </c>
      <c r="H11" s="95">
        <f ca="1">F11-G11</f>
        <v>156500</v>
      </c>
    </row>
    <row r="12" spans="1:10" ht="15" customHeight="1" x14ac:dyDescent="0.3">
      <c r="A12" s="59"/>
      <c r="B12" s="91"/>
      <c r="C12" s="76" t="s">
        <v>1</v>
      </c>
      <c r="D12" s="76">
        <f ca="1">'Cold Wallet'!O7+'Exchange Wallet'!S7</f>
        <v>25</v>
      </c>
      <c r="E12" s="84">
        <v>60000</v>
      </c>
      <c r="F12" s="85">
        <f t="shared" ca="1" si="0"/>
        <v>1500000</v>
      </c>
      <c r="G12" s="85">
        <f ca="1">'Cold Wallet'!P7+'Exchange Wallet'!T7</f>
        <v>46700</v>
      </c>
      <c r="H12" s="96">
        <f t="shared" ref="H12:H16" ca="1" si="1">F12-G12</f>
        <v>1453300</v>
      </c>
    </row>
    <row r="13" spans="1:10" ht="15" customHeight="1" x14ac:dyDescent="0.3">
      <c r="A13" s="59"/>
      <c r="B13" s="93"/>
      <c r="C13" s="79" t="s">
        <v>3</v>
      </c>
      <c r="D13" s="79">
        <f ca="1">'Cold Wallet'!O8+'Exchange Wallet'!S8</f>
        <v>35</v>
      </c>
      <c r="E13" s="82">
        <v>75000</v>
      </c>
      <c r="F13" s="83">
        <f t="shared" ca="1" si="0"/>
        <v>2625000</v>
      </c>
      <c r="G13" s="83">
        <f ca="1">'Cold Wallet'!P8+'Exchange Wallet'!T8</f>
        <v>12000</v>
      </c>
      <c r="H13" s="95">
        <f t="shared" ca="1" si="1"/>
        <v>2613000</v>
      </c>
    </row>
    <row r="14" spans="1:10" ht="15" customHeight="1" x14ac:dyDescent="0.3">
      <c r="A14" s="59"/>
      <c r="B14" s="91"/>
      <c r="C14" s="76" t="s">
        <v>2</v>
      </c>
      <c r="D14" s="76">
        <v>0</v>
      </c>
      <c r="E14" s="84">
        <v>0</v>
      </c>
      <c r="F14" s="85">
        <f t="shared" si="0"/>
        <v>0</v>
      </c>
      <c r="G14" s="85">
        <f>'Cold Wallet'!P12+'Exchange Wallet'!T12</f>
        <v>0</v>
      </c>
      <c r="H14" s="96">
        <f t="shared" si="1"/>
        <v>0</v>
      </c>
    </row>
    <row r="15" spans="1:10" ht="15" customHeight="1" x14ac:dyDescent="0.3">
      <c r="A15" s="59"/>
      <c r="B15" s="93"/>
      <c r="C15" s="79" t="s">
        <v>13</v>
      </c>
      <c r="D15" s="79">
        <v>0</v>
      </c>
      <c r="E15" s="82">
        <v>0</v>
      </c>
      <c r="F15" s="83">
        <f t="shared" si="0"/>
        <v>0</v>
      </c>
      <c r="G15" s="83">
        <f>'Cold Wallet'!P13+'Exchange Wallet'!T13</f>
        <v>0</v>
      </c>
      <c r="H15" s="95">
        <f t="shared" si="1"/>
        <v>0</v>
      </c>
    </row>
    <row r="16" spans="1:10" ht="15" customHeight="1" x14ac:dyDescent="0.3">
      <c r="A16" s="59"/>
      <c r="B16" s="91"/>
      <c r="C16" s="76" t="s">
        <v>9</v>
      </c>
      <c r="D16" s="76">
        <v>0</v>
      </c>
      <c r="E16" s="84">
        <v>0</v>
      </c>
      <c r="F16" s="85">
        <f t="shared" si="0"/>
        <v>0</v>
      </c>
      <c r="G16" s="85">
        <f>'Cold Wallet'!P14+'Exchange Wallet'!Q14</f>
        <v>0</v>
      </c>
      <c r="H16" s="96">
        <f t="shared" si="1"/>
        <v>0</v>
      </c>
      <c r="I16" s="49"/>
    </row>
    <row r="17" spans="1:10" ht="15" customHeight="1" thickBot="1" x14ac:dyDescent="0.35">
      <c r="A17" s="59"/>
      <c r="B17" s="97"/>
      <c r="C17" s="98" t="s">
        <v>11</v>
      </c>
      <c r="D17" s="98"/>
      <c r="E17" s="99"/>
      <c r="F17" s="100"/>
      <c r="G17" s="100"/>
      <c r="H17" s="101"/>
    </row>
    <row r="18" spans="1:10" x14ac:dyDescent="0.25">
      <c r="C18" s="49"/>
      <c r="D18" s="49"/>
      <c r="E18" s="50"/>
      <c r="F18" s="51"/>
      <c r="G18" s="61"/>
      <c r="H18" s="51"/>
    </row>
    <row r="19" spans="1:10" x14ac:dyDescent="0.25">
      <c r="C19" s="49"/>
      <c r="D19" s="49"/>
      <c r="E19" s="63"/>
      <c r="F19" s="51"/>
      <c r="G19" s="61"/>
      <c r="H19" s="51"/>
    </row>
    <row r="20" spans="1:10" x14ac:dyDescent="0.25">
      <c r="C20" s="49"/>
      <c r="D20" s="49"/>
      <c r="E20" s="50"/>
      <c r="F20" s="51"/>
      <c r="G20" s="61"/>
      <c r="H20" s="51"/>
    </row>
    <row r="21" spans="1:10" ht="15.6" x14ac:dyDescent="0.3">
      <c r="C21" s="28"/>
      <c r="D21" s="28"/>
      <c r="E21" s="64"/>
      <c r="F21" s="65"/>
      <c r="G21" s="61"/>
      <c r="H21" s="65"/>
    </row>
    <row r="22" spans="1:10" x14ac:dyDescent="0.25">
      <c r="C22" s="49"/>
      <c r="D22" s="49"/>
      <c r="E22" s="50"/>
      <c r="F22" s="51"/>
      <c r="G22" s="61"/>
      <c r="H22" s="51"/>
    </row>
    <row r="23" spans="1:10" x14ac:dyDescent="0.25">
      <c r="C23" s="49"/>
      <c r="D23" s="49"/>
      <c r="E23" s="66"/>
      <c r="F23" s="51"/>
      <c r="G23" s="61"/>
      <c r="H23" s="51"/>
      <c r="I23" s="59"/>
    </row>
    <row r="24" spans="1:10" x14ac:dyDescent="0.25">
      <c r="C24" s="49"/>
      <c r="D24" s="49"/>
      <c r="E24" s="66"/>
      <c r="F24" s="51"/>
      <c r="G24" s="61"/>
      <c r="H24" s="51"/>
      <c r="I24" s="59"/>
    </row>
    <row r="25" spans="1:10" x14ac:dyDescent="0.25">
      <c r="C25" s="49"/>
      <c r="D25" s="49"/>
      <c r="E25" s="63"/>
      <c r="F25" s="51"/>
      <c r="G25" s="61"/>
      <c r="H25" s="51"/>
    </row>
    <row r="26" spans="1:10" x14ac:dyDescent="0.25">
      <c r="C26" s="49"/>
      <c r="D26" s="49"/>
      <c r="E26" s="50"/>
      <c r="F26" s="51"/>
      <c r="G26" s="61"/>
      <c r="H26" s="51"/>
    </row>
    <row r="27" spans="1:10" ht="15.6" x14ac:dyDescent="0.3">
      <c r="C27" s="28"/>
      <c r="D27" s="28"/>
      <c r="E27" s="64"/>
      <c r="F27" s="65"/>
      <c r="G27" s="61"/>
      <c r="H27" s="65"/>
    </row>
    <row r="28" spans="1:10" x14ac:dyDescent="0.25">
      <c r="C28" s="49"/>
      <c r="D28" s="49"/>
      <c r="E28" s="50"/>
      <c r="F28" s="51"/>
      <c r="G28" s="61"/>
      <c r="H28" s="51"/>
    </row>
    <row r="29" spans="1:10" x14ac:dyDescent="0.25">
      <c r="C29" s="49"/>
      <c r="D29" s="49"/>
      <c r="E29" s="50"/>
      <c r="F29" s="51"/>
      <c r="G29" s="61"/>
      <c r="H29" s="51"/>
      <c r="I29" s="59"/>
      <c r="J29" s="49"/>
    </row>
    <row r="30" spans="1:10" x14ac:dyDescent="0.25">
      <c r="C30" s="49"/>
      <c r="D30" s="49"/>
      <c r="E30" s="66"/>
      <c r="F30" s="51"/>
      <c r="G30" s="61"/>
      <c r="H30" s="51"/>
      <c r="I30" s="59"/>
      <c r="J30" s="49"/>
    </row>
    <row r="31" spans="1:10" x14ac:dyDescent="0.25">
      <c r="C31" s="49"/>
      <c r="D31" s="49"/>
      <c r="E31" s="63"/>
      <c r="F31" s="51"/>
      <c r="G31" s="61"/>
      <c r="H31" s="51"/>
    </row>
    <row r="32" spans="1:10" x14ac:dyDescent="0.25">
      <c r="C32" s="49"/>
      <c r="D32" s="49"/>
      <c r="E32" s="50"/>
      <c r="F32" s="51"/>
      <c r="G32" s="61"/>
      <c r="H32" s="51"/>
    </row>
    <row r="33" spans="3:8" x14ac:dyDescent="0.25">
      <c r="C33" s="49"/>
      <c r="D33" s="49"/>
      <c r="E33" s="50"/>
      <c r="F33" s="51"/>
      <c r="G33" s="61"/>
      <c r="H33" s="51"/>
    </row>
    <row r="34" spans="3:8" x14ac:dyDescent="0.25">
      <c r="C34" s="49"/>
      <c r="D34" s="49"/>
      <c r="E34" s="50"/>
      <c r="F34" s="51"/>
      <c r="G34" s="51"/>
      <c r="H34" s="51"/>
    </row>
    <row r="35" spans="3:8" x14ac:dyDescent="0.25">
      <c r="C35" s="49"/>
      <c r="D35" s="49"/>
      <c r="E35" s="50"/>
      <c r="F35" s="51"/>
      <c r="G35" s="51"/>
      <c r="H35" s="51"/>
    </row>
    <row r="36" spans="3:8" x14ac:dyDescent="0.25">
      <c r="C36" s="49"/>
      <c r="D36" s="49"/>
      <c r="E36" s="50"/>
      <c r="F36" s="51"/>
      <c r="G36" s="51"/>
      <c r="H36" s="51"/>
    </row>
    <row r="37" spans="3:8" x14ac:dyDescent="0.25">
      <c r="C37" s="49"/>
      <c r="D37" s="49"/>
      <c r="E37" s="50"/>
      <c r="F37" s="51"/>
      <c r="G37" s="51"/>
      <c r="H37" s="51"/>
    </row>
    <row r="38" spans="3:8" x14ac:dyDescent="0.25">
      <c r="C38" s="59"/>
      <c r="D38" s="59"/>
      <c r="E38" s="60"/>
      <c r="F38" s="61"/>
      <c r="G38" s="61"/>
      <c r="H38" s="61"/>
    </row>
    <row r="39" spans="3:8" x14ac:dyDescent="0.25">
      <c r="C39" s="59"/>
      <c r="D39" s="59"/>
      <c r="E39" s="60"/>
      <c r="F39" s="61"/>
      <c r="G39" s="61"/>
      <c r="H39" s="61"/>
    </row>
    <row r="40" spans="3:8" x14ac:dyDescent="0.25">
      <c r="C40" s="59"/>
      <c r="D40" s="59"/>
      <c r="E40" s="60"/>
      <c r="F40" s="61"/>
      <c r="G40" s="61"/>
      <c r="H40" s="61"/>
    </row>
    <row r="41" spans="3:8" x14ac:dyDescent="0.25">
      <c r="C41" s="59"/>
      <c r="D41" s="59"/>
      <c r="E41" s="60"/>
      <c r="F41" s="61"/>
      <c r="G41" s="61"/>
      <c r="H41" s="61"/>
    </row>
    <row r="42" spans="3:8" x14ac:dyDescent="0.25">
      <c r="C42" s="59"/>
      <c r="D42" s="59"/>
      <c r="E42" s="60"/>
      <c r="F42" s="61"/>
      <c r="G42" s="61"/>
      <c r="H42" s="61"/>
    </row>
    <row r="43" spans="3:8" x14ac:dyDescent="0.25">
      <c r="C43" s="59"/>
      <c r="D43" s="59"/>
      <c r="E43" s="60"/>
      <c r="F43" s="61"/>
      <c r="G43" s="61"/>
      <c r="H43" s="61"/>
    </row>
    <row r="44" spans="3:8" x14ac:dyDescent="0.25">
      <c r="C44" s="67"/>
      <c r="D44" s="59"/>
      <c r="E44" s="60"/>
      <c r="F44" s="61"/>
      <c r="G44" s="61"/>
      <c r="H44" s="61"/>
    </row>
    <row r="45" spans="3:8" x14ac:dyDescent="0.25">
      <c r="C45" s="59"/>
      <c r="D45" s="59"/>
      <c r="E45" s="60"/>
      <c r="F45" s="61"/>
      <c r="G45" s="61"/>
      <c r="H45" s="61"/>
    </row>
    <row r="46" spans="3:8" x14ac:dyDescent="0.25">
      <c r="C46" s="59"/>
      <c r="D46" s="59"/>
      <c r="E46" s="60"/>
      <c r="F46" s="61"/>
      <c r="G46" s="61"/>
      <c r="H46" s="61"/>
    </row>
    <row r="47" spans="3:8" x14ac:dyDescent="0.25">
      <c r="C47" s="59"/>
      <c r="D47" s="59"/>
      <c r="E47" s="60"/>
      <c r="F47" s="61"/>
      <c r="G47" s="61"/>
      <c r="H47" s="61"/>
    </row>
    <row r="48" spans="3:8" x14ac:dyDescent="0.25">
      <c r="C48" s="59"/>
      <c r="D48" s="59"/>
      <c r="E48" s="60"/>
      <c r="F48" s="61"/>
      <c r="G48" s="61"/>
      <c r="H48" s="61"/>
    </row>
    <row r="49" spans="3:8" x14ac:dyDescent="0.25">
      <c r="C49" s="59"/>
      <c r="D49" s="59"/>
      <c r="E49" s="60"/>
      <c r="F49" s="61"/>
      <c r="G49" s="61"/>
      <c r="H49" s="61"/>
    </row>
    <row r="50" spans="3:8" x14ac:dyDescent="0.25">
      <c r="C50" s="59"/>
      <c r="D50" s="59"/>
      <c r="E50" s="60"/>
      <c r="F50" s="61"/>
      <c r="G50" s="61"/>
      <c r="H50" s="61"/>
    </row>
    <row r="51" spans="3:8" x14ac:dyDescent="0.25">
      <c r="C51" s="59"/>
      <c r="D51" s="59"/>
      <c r="E51" s="60"/>
      <c r="F51" s="61"/>
      <c r="G51" s="61"/>
      <c r="H51" s="61"/>
    </row>
    <row r="52" spans="3:8" x14ac:dyDescent="0.25">
      <c r="C52" s="59"/>
      <c r="D52" s="59"/>
      <c r="E52" s="60"/>
      <c r="F52" s="61"/>
      <c r="G52" s="61"/>
      <c r="H52" s="61"/>
    </row>
    <row r="53" spans="3:8" x14ac:dyDescent="0.25">
      <c r="C53" s="59"/>
      <c r="D53" s="59"/>
      <c r="E53" s="60"/>
      <c r="F53" s="61"/>
      <c r="G53" s="61"/>
      <c r="H53" s="61"/>
    </row>
    <row r="54" spans="3:8" x14ac:dyDescent="0.25">
      <c r="C54" s="59"/>
      <c r="D54" s="59"/>
      <c r="E54" s="60"/>
      <c r="F54" s="61"/>
      <c r="G54" s="61"/>
      <c r="H54" s="61"/>
    </row>
    <row r="55" spans="3:8" x14ac:dyDescent="0.25">
      <c r="C55" s="59"/>
      <c r="D55" s="59"/>
      <c r="E55" s="60"/>
      <c r="F55" s="61"/>
      <c r="G55" s="61"/>
      <c r="H55" s="61"/>
    </row>
    <row r="56" spans="3:8" x14ac:dyDescent="0.25">
      <c r="C56" s="59"/>
      <c r="D56" s="59"/>
      <c r="E56" s="60"/>
      <c r="F56" s="61"/>
      <c r="G56" s="61"/>
      <c r="H56" s="61"/>
    </row>
    <row r="57" spans="3:8" x14ac:dyDescent="0.25">
      <c r="C57" s="59"/>
      <c r="D57" s="59"/>
      <c r="E57" s="60"/>
      <c r="F57" s="61"/>
      <c r="G57" s="61"/>
      <c r="H57" s="61"/>
    </row>
    <row r="58" spans="3:8" x14ac:dyDescent="0.25">
      <c r="C58" s="59"/>
      <c r="D58" s="59"/>
      <c r="E58" s="60"/>
      <c r="F58" s="61"/>
      <c r="G58" s="61"/>
      <c r="H58" s="61"/>
    </row>
    <row r="59" spans="3:8" x14ac:dyDescent="0.25">
      <c r="C59" s="59"/>
      <c r="D59" s="59"/>
      <c r="E59" s="60"/>
      <c r="F59" s="61"/>
      <c r="G59" s="61"/>
      <c r="H59" s="61"/>
    </row>
    <row r="60" spans="3:8" x14ac:dyDescent="0.25">
      <c r="C60" s="59"/>
      <c r="D60" s="59"/>
      <c r="E60" s="60"/>
      <c r="F60" s="61"/>
      <c r="G60" s="61"/>
      <c r="H60" s="61"/>
    </row>
    <row r="61" spans="3:8" x14ac:dyDescent="0.25">
      <c r="C61" s="59"/>
      <c r="D61" s="59"/>
      <c r="E61" s="60"/>
      <c r="F61" s="61"/>
      <c r="G61" s="61"/>
      <c r="H61" s="61"/>
    </row>
    <row r="62" spans="3:8" x14ac:dyDescent="0.25">
      <c r="C62" s="59"/>
      <c r="D62" s="59"/>
      <c r="E62" s="60"/>
      <c r="F62" s="61"/>
      <c r="G62" s="61"/>
      <c r="H62" s="61"/>
    </row>
    <row r="63" spans="3:8" x14ac:dyDescent="0.25">
      <c r="C63" s="59"/>
      <c r="D63" s="59"/>
      <c r="E63" s="60"/>
      <c r="F63" s="61"/>
      <c r="G63" s="61"/>
      <c r="H63" s="61"/>
    </row>
    <row r="64" spans="3:8" x14ac:dyDescent="0.25">
      <c r="C64" s="59"/>
      <c r="D64" s="59"/>
      <c r="E64" s="60"/>
      <c r="F64" s="61"/>
      <c r="G64" s="61"/>
      <c r="H64" s="61"/>
    </row>
    <row r="65" spans="3:8" x14ac:dyDescent="0.25">
      <c r="C65" s="59"/>
      <c r="D65" s="59"/>
      <c r="E65" s="60"/>
      <c r="F65" s="61"/>
      <c r="G65" s="61"/>
      <c r="H65" s="61"/>
    </row>
    <row r="66" spans="3:8" x14ac:dyDescent="0.25">
      <c r="C66" s="59"/>
      <c r="D66" s="59"/>
      <c r="E66" s="60"/>
      <c r="F66" s="61"/>
      <c r="G66" s="61"/>
      <c r="H66" s="61"/>
    </row>
    <row r="67" spans="3:8" x14ac:dyDescent="0.25">
      <c r="C67" s="59"/>
      <c r="D67" s="59"/>
      <c r="E67" s="60"/>
      <c r="F67" s="61"/>
      <c r="G67" s="61"/>
      <c r="H67" s="61"/>
    </row>
    <row r="68" spans="3:8" x14ac:dyDescent="0.25">
      <c r="C68" s="59"/>
      <c r="D68" s="59"/>
      <c r="E68" s="60"/>
      <c r="F68" s="61"/>
      <c r="G68" s="61"/>
      <c r="H68" s="61"/>
    </row>
    <row r="69" spans="3:8" x14ac:dyDescent="0.25">
      <c r="C69" s="59"/>
      <c r="D69" s="59"/>
      <c r="E69" s="60"/>
      <c r="F69" s="61"/>
      <c r="G69" s="61"/>
      <c r="H69" s="61"/>
    </row>
    <row r="70" spans="3:8" x14ac:dyDescent="0.25">
      <c r="C70" s="59"/>
      <c r="D70" s="59"/>
      <c r="E70" s="60"/>
      <c r="F70" s="61"/>
      <c r="G70" s="61"/>
      <c r="H70" s="61"/>
    </row>
    <row r="71" spans="3:8" x14ac:dyDescent="0.25">
      <c r="C71" s="59"/>
      <c r="D71" s="59"/>
      <c r="E71" s="60"/>
      <c r="F71" s="61"/>
      <c r="G71" s="61"/>
      <c r="H71" s="61"/>
    </row>
    <row r="72" spans="3:8" x14ac:dyDescent="0.25">
      <c r="C72" s="59"/>
      <c r="D72" s="59"/>
      <c r="E72" s="60"/>
      <c r="F72" s="61"/>
      <c r="G72" s="61"/>
      <c r="H72" s="61"/>
    </row>
    <row r="73" spans="3:8" x14ac:dyDescent="0.25">
      <c r="C73" s="59"/>
      <c r="D73" s="59"/>
      <c r="E73" s="60"/>
      <c r="F73" s="61"/>
      <c r="G73" s="61"/>
      <c r="H73" s="61"/>
    </row>
    <row r="74" spans="3:8" x14ac:dyDescent="0.25">
      <c r="C74" s="59"/>
      <c r="D74" s="59"/>
      <c r="E74" s="60"/>
      <c r="F74" s="61"/>
      <c r="G74" s="61"/>
      <c r="H74" s="61"/>
    </row>
    <row r="75" spans="3:8" x14ac:dyDescent="0.25">
      <c r="C75" s="59"/>
      <c r="D75" s="59"/>
      <c r="E75" s="60"/>
      <c r="F75" s="61"/>
      <c r="G75" s="61"/>
      <c r="H75" s="61"/>
    </row>
    <row r="76" spans="3:8" x14ac:dyDescent="0.25">
      <c r="C76" s="59"/>
      <c r="D76" s="59"/>
      <c r="E76" s="60"/>
      <c r="F76" s="61"/>
      <c r="G76" s="61"/>
      <c r="H76" s="61"/>
    </row>
    <row r="77" spans="3:8" x14ac:dyDescent="0.25">
      <c r="C77" s="59"/>
      <c r="D77" s="59"/>
      <c r="E77" s="60"/>
      <c r="F77" s="61"/>
      <c r="G77" s="61"/>
      <c r="H77" s="61"/>
    </row>
    <row r="78" spans="3:8" x14ac:dyDescent="0.25">
      <c r="C78" s="59"/>
      <c r="D78" s="59"/>
      <c r="E78" s="60"/>
      <c r="F78" s="61"/>
      <c r="G78" s="61"/>
      <c r="H78" s="61"/>
    </row>
    <row r="79" spans="3:8" x14ac:dyDescent="0.25">
      <c r="C79" s="59"/>
      <c r="D79" s="59"/>
      <c r="E79" s="60"/>
      <c r="F79" s="61"/>
      <c r="G79" s="61"/>
      <c r="H79" s="61"/>
    </row>
    <row r="80" spans="3:8" x14ac:dyDescent="0.25">
      <c r="E80" s="60"/>
      <c r="F80" s="61"/>
      <c r="G80" s="61"/>
      <c r="H80" s="61"/>
    </row>
    <row r="81" spans="5:8" x14ac:dyDescent="0.25">
      <c r="E81" s="60"/>
      <c r="F81" s="61"/>
      <c r="G81" s="61"/>
      <c r="H81" s="61"/>
    </row>
    <row r="82" spans="5:8" x14ac:dyDescent="0.25">
      <c r="E82" s="60"/>
      <c r="F82" s="61"/>
      <c r="G82" s="61"/>
      <c r="H82" s="61"/>
    </row>
    <row r="83" spans="5:8" x14ac:dyDescent="0.25">
      <c r="E83" s="60"/>
      <c r="F83" s="61"/>
      <c r="G83" s="61"/>
      <c r="H83" s="61"/>
    </row>
    <row r="84" spans="5:8" x14ac:dyDescent="0.25">
      <c r="E84" s="60"/>
      <c r="F84" s="61"/>
      <c r="G84" s="61"/>
      <c r="H84" s="61"/>
    </row>
    <row r="85" spans="5:8" x14ac:dyDescent="0.25">
      <c r="E85" s="60"/>
      <c r="F85" s="61"/>
      <c r="G85" s="61"/>
      <c r="H85" s="61"/>
    </row>
    <row r="86" spans="5:8" x14ac:dyDescent="0.25">
      <c r="E86" s="60"/>
      <c r="F86" s="61"/>
      <c r="G86" s="61"/>
      <c r="H86" s="61"/>
    </row>
    <row r="87" spans="5:8" x14ac:dyDescent="0.25">
      <c r="E87" s="60"/>
      <c r="F87" s="61"/>
      <c r="G87" s="61"/>
      <c r="H87" s="61"/>
    </row>
    <row r="88" spans="5:8" x14ac:dyDescent="0.25">
      <c r="E88" s="60"/>
      <c r="F88" s="61"/>
      <c r="G88" s="61"/>
      <c r="H88" s="61"/>
    </row>
    <row r="89" spans="5:8" x14ac:dyDescent="0.25">
      <c r="E89" s="60"/>
      <c r="F89" s="61"/>
      <c r="G89" s="61"/>
      <c r="H89" s="61"/>
    </row>
    <row r="90" spans="5:8" x14ac:dyDescent="0.25">
      <c r="E90" s="60"/>
      <c r="F90" s="61"/>
      <c r="G90" s="61"/>
      <c r="H90" s="61"/>
    </row>
    <row r="91" spans="5:8" x14ac:dyDescent="0.25">
      <c r="E91" s="60"/>
      <c r="F91" s="61"/>
      <c r="G91" s="61"/>
      <c r="H91" s="61"/>
    </row>
    <row r="92" spans="5:8" x14ac:dyDescent="0.25">
      <c r="E92" s="60"/>
      <c r="F92" s="61"/>
      <c r="G92" s="61"/>
      <c r="H92" s="61"/>
    </row>
    <row r="93" spans="5:8" x14ac:dyDescent="0.25">
      <c r="E93" s="60"/>
      <c r="F93" s="61"/>
      <c r="G93" s="61"/>
      <c r="H93" s="61"/>
    </row>
    <row r="94" spans="5:8" x14ac:dyDescent="0.25">
      <c r="E94" s="60"/>
      <c r="F94" s="61"/>
      <c r="G94" s="61"/>
      <c r="H94" s="61"/>
    </row>
    <row r="95" spans="5:8" x14ac:dyDescent="0.25">
      <c r="E95" s="60"/>
      <c r="F95" s="61"/>
      <c r="G95" s="61"/>
      <c r="H95" s="61"/>
    </row>
    <row r="96" spans="5:8" x14ac:dyDescent="0.25">
      <c r="E96" s="60"/>
      <c r="F96" s="61"/>
      <c r="G96" s="61"/>
      <c r="H96" s="61"/>
    </row>
    <row r="97" spans="5:8" x14ac:dyDescent="0.25">
      <c r="E97" s="60"/>
      <c r="F97" s="61"/>
      <c r="G97" s="61"/>
      <c r="H97" s="61"/>
    </row>
  </sheetData>
  <mergeCells count="2">
    <mergeCell ref="B4:B5"/>
    <mergeCell ref="B2:C2"/>
  </mergeCells>
  <pageMargins left="0.7" right="0.7" top="0.75" bottom="0.75" header="0.3" footer="0.3"/>
  <pageSetup scale="3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showGridLines="0" topLeftCell="D1" zoomScale="80" zoomScaleNormal="80" workbookViewId="0">
      <selection activeCell="B2" sqref="B2:E2"/>
    </sheetView>
  </sheetViews>
  <sheetFormatPr defaultColWidth="9.109375" defaultRowHeight="15.6" x14ac:dyDescent="0.3"/>
  <cols>
    <col min="1" max="1" width="1.6640625" style="117" customWidth="1"/>
    <col min="2" max="2" width="12.88671875" style="117" customWidth="1"/>
    <col min="3" max="3" width="10.6640625" style="117" bestFit="1" customWidth="1"/>
    <col min="4" max="4" width="13.44140625" style="117" customWidth="1"/>
    <col min="5" max="5" width="13" style="117" customWidth="1"/>
    <col min="6" max="6" width="46.109375" style="130" customWidth="1"/>
    <col min="7" max="7" width="25.109375" style="131" customWidth="1"/>
    <col min="8" max="8" width="9.109375" style="117"/>
    <col min="9" max="9" width="14.6640625" style="117" customWidth="1"/>
    <col min="10" max="10" width="45.88671875" style="117" customWidth="1"/>
    <col min="11" max="11" width="18.5546875" style="117" customWidth="1"/>
    <col min="12" max="12" width="14.88671875" style="117" customWidth="1"/>
    <col min="13" max="13" width="9.109375" style="117"/>
    <col min="14" max="14" width="15.6640625" style="117" customWidth="1"/>
    <col min="15" max="15" width="12.109375" style="117" customWidth="1"/>
    <col min="16" max="16" width="15" style="117" bestFit="1" customWidth="1"/>
    <col min="17" max="17" width="15.88671875" style="117" bestFit="1" customWidth="1"/>
    <col min="18" max="16384" width="9.109375" style="117"/>
  </cols>
  <sheetData>
    <row r="1" spans="1:17" ht="5.0999999999999996" customHeight="1" thickBot="1" x14ac:dyDescent="0.35">
      <c r="A1" s="114"/>
      <c r="B1" s="114"/>
      <c r="C1" s="114"/>
      <c r="D1" s="114"/>
      <c r="E1" s="114"/>
      <c r="F1" s="115"/>
      <c r="G1" s="116"/>
      <c r="H1" s="114"/>
      <c r="I1" s="114"/>
      <c r="J1" s="114"/>
      <c r="K1" s="114"/>
      <c r="L1" s="114"/>
      <c r="M1" s="114"/>
      <c r="N1" s="114"/>
      <c r="O1" s="114"/>
      <c r="P1" s="114"/>
      <c r="Q1" s="114"/>
    </row>
    <row r="2" spans="1:17" ht="21" thickBot="1" x14ac:dyDescent="0.4">
      <c r="A2" s="114"/>
      <c r="B2" s="222" t="s">
        <v>26</v>
      </c>
      <c r="C2" s="223"/>
      <c r="D2" s="223"/>
      <c r="E2" s="224"/>
      <c r="F2" s="136"/>
      <c r="G2" s="116"/>
      <c r="H2" s="114"/>
      <c r="I2" s="114"/>
      <c r="J2" s="114"/>
      <c r="K2" s="118"/>
      <c r="L2" s="118"/>
      <c r="M2" s="118"/>
      <c r="N2" s="118"/>
      <c r="O2" s="118"/>
      <c r="P2" s="118"/>
      <c r="Q2" s="114"/>
    </row>
    <row r="3" spans="1:17" ht="5.0999999999999996" customHeight="1" thickBot="1" x14ac:dyDescent="0.35">
      <c r="A3" s="114"/>
      <c r="B3" s="119"/>
      <c r="C3" s="114"/>
      <c r="D3" s="114"/>
      <c r="E3" s="114"/>
      <c r="F3" s="115"/>
      <c r="G3" s="116"/>
      <c r="H3" s="114"/>
      <c r="I3" s="114"/>
      <c r="J3" s="114"/>
      <c r="K3" s="118"/>
      <c r="L3" s="118"/>
      <c r="M3" s="118"/>
      <c r="N3" s="118"/>
      <c r="O3" s="118"/>
      <c r="P3" s="118"/>
      <c r="Q3" s="114"/>
    </row>
    <row r="4" spans="1:17" x14ac:dyDescent="0.3">
      <c r="A4" s="114"/>
      <c r="B4" s="133" t="s">
        <v>8</v>
      </c>
      <c r="C4" s="133" t="s">
        <v>16</v>
      </c>
      <c r="D4" s="137" t="s">
        <v>17</v>
      </c>
      <c r="E4" s="133" t="s">
        <v>25</v>
      </c>
      <c r="F4" s="138" t="s">
        <v>29</v>
      </c>
      <c r="G4" s="139" t="s">
        <v>33</v>
      </c>
      <c r="H4" s="133" t="s">
        <v>18</v>
      </c>
      <c r="I4" s="133" t="s">
        <v>69</v>
      </c>
      <c r="J4" s="133" t="s">
        <v>70</v>
      </c>
      <c r="K4" s="133" t="s">
        <v>19</v>
      </c>
      <c r="L4" s="133" t="s">
        <v>20</v>
      </c>
      <c r="M4" s="48"/>
      <c r="N4" s="150"/>
      <c r="O4" s="151"/>
      <c r="P4" s="151"/>
      <c r="Q4" s="152"/>
    </row>
    <row r="5" spans="1:17" x14ac:dyDescent="0.3">
      <c r="A5" s="114"/>
      <c r="B5" s="188" t="s">
        <v>34</v>
      </c>
      <c r="C5" s="168" t="s">
        <v>21</v>
      </c>
      <c r="D5" s="189" t="s">
        <v>0</v>
      </c>
      <c r="E5" s="190">
        <v>3</v>
      </c>
      <c r="F5" s="191">
        <v>35000</v>
      </c>
      <c r="G5" s="192">
        <f>F5*E5</f>
        <v>105000</v>
      </c>
      <c r="H5" s="120"/>
      <c r="I5" s="120"/>
      <c r="J5" s="120"/>
      <c r="K5" s="120"/>
      <c r="L5" s="120"/>
      <c r="M5" s="118"/>
      <c r="N5" s="153" t="s">
        <v>28</v>
      </c>
      <c r="O5" s="40" t="s">
        <v>27</v>
      </c>
      <c r="P5" s="141" t="s">
        <v>39</v>
      </c>
      <c r="Q5" s="154" t="s">
        <v>30</v>
      </c>
    </row>
    <row r="6" spans="1:17" x14ac:dyDescent="0.3">
      <c r="A6" s="114"/>
      <c r="B6" s="188" t="s">
        <v>34</v>
      </c>
      <c r="C6" s="168" t="s">
        <v>21</v>
      </c>
      <c r="D6" s="189" t="s">
        <v>1</v>
      </c>
      <c r="E6" s="190">
        <v>12</v>
      </c>
      <c r="F6" s="191">
        <v>1800</v>
      </c>
      <c r="G6" s="192">
        <f t="shared" ref="G6:G12" si="0">F6*E6</f>
        <v>21600</v>
      </c>
      <c r="H6" s="120"/>
      <c r="I6" s="120"/>
      <c r="J6" s="120"/>
      <c r="K6" s="122"/>
      <c r="L6" s="122"/>
      <c r="M6" s="123"/>
      <c r="N6" s="155" t="s">
        <v>0</v>
      </c>
      <c r="O6" s="143">
        <f ca="1">SUMIF($D$5:$E102,N6,$E$5:$E$102)</f>
        <v>8</v>
      </c>
      <c r="P6" s="144">
        <f ca="1">(SUMIF($D$5:$G102,N6,$G$5:$G$102))</f>
        <v>292400</v>
      </c>
      <c r="Q6" s="103" t="s">
        <v>32</v>
      </c>
    </row>
    <row r="7" spans="1:17" x14ac:dyDescent="0.3">
      <c r="A7" s="114"/>
      <c r="B7" s="188" t="s">
        <v>34</v>
      </c>
      <c r="C7" s="168" t="s">
        <v>21</v>
      </c>
      <c r="D7" s="189" t="s">
        <v>3</v>
      </c>
      <c r="E7" s="190">
        <v>14</v>
      </c>
      <c r="F7" s="191">
        <v>320</v>
      </c>
      <c r="G7" s="192">
        <f t="shared" si="0"/>
        <v>4480</v>
      </c>
      <c r="H7" s="120"/>
      <c r="I7" s="120"/>
      <c r="J7" s="120"/>
      <c r="K7" s="120"/>
      <c r="L7" s="120"/>
      <c r="M7" s="123"/>
      <c r="N7" s="107" t="s">
        <v>1</v>
      </c>
      <c r="O7" s="31">
        <f ca="1">SUMIF($D$5:$E103,N7,$E$5:$E$102)</f>
        <v>12</v>
      </c>
      <c r="P7" s="145">
        <f ca="1">(SUMIF($D$5:$G103,N7,$G$5:$G$102))</f>
        <v>22350</v>
      </c>
      <c r="Q7" s="105" t="s">
        <v>32</v>
      </c>
    </row>
    <row r="8" spans="1:17" x14ac:dyDescent="0.3">
      <c r="A8" s="114"/>
      <c r="B8" s="188" t="s">
        <v>35</v>
      </c>
      <c r="C8" s="168" t="s">
        <v>23</v>
      </c>
      <c r="D8" s="189" t="s">
        <v>0</v>
      </c>
      <c r="E8" s="190">
        <v>-3</v>
      </c>
      <c r="F8" s="191">
        <v>37000</v>
      </c>
      <c r="G8" s="192">
        <f t="shared" si="0"/>
        <v>-111000</v>
      </c>
      <c r="H8" s="120"/>
      <c r="I8" s="120"/>
      <c r="J8" s="120"/>
      <c r="K8" s="120"/>
      <c r="L8" s="120"/>
      <c r="M8" s="118"/>
      <c r="N8" s="155" t="s">
        <v>3</v>
      </c>
      <c r="O8" s="143">
        <f ca="1">SUMIF($D$5:$E104,N8,$E$5:$E$102)</f>
        <v>20</v>
      </c>
      <c r="P8" s="144">
        <f ca="1">(SUMIF($D$5:$G104,N8,$G$5:$G$102))</f>
        <v>7000</v>
      </c>
      <c r="Q8" s="103" t="s">
        <v>32</v>
      </c>
    </row>
    <row r="9" spans="1:17" x14ac:dyDescent="0.3">
      <c r="A9" s="114"/>
      <c r="B9" s="188" t="s">
        <v>35</v>
      </c>
      <c r="C9" s="168" t="s">
        <v>23</v>
      </c>
      <c r="D9" s="189" t="s">
        <v>1</v>
      </c>
      <c r="E9" s="190">
        <v>-5</v>
      </c>
      <c r="F9" s="191">
        <v>1950</v>
      </c>
      <c r="G9" s="192">
        <f t="shared" si="0"/>
        <v>-9750</v>
      </c>
      <c r="H9" s="120"/>
      <c r="I9" s="120"/>
      <c r="J9" s="120"/>
      <c r="K9" s="120"/>
      <c r="L9" s="120"/>
      <c r="M9" s="123"/>
      <c r="N9" s="107"/>
      <c r="O9" s="31"/>
      <c r="P9" s="146">
        <f ca="1">SUM(P6:P8)</f>
        <v>321750</v>
      </c>
      <c r="Q9" s="156">
        <f>SUM(Q6:Q8)</f>
        <v>0</v>
      </c>
    </row>
    <row r="10" spans="1:17" x14ac:dyDescent="0.3">
      <c r="A10" s="114"/>
      <c r="B10" s="188" t="s">
        <v>35</v>
      </c>
      <c r="C10" s="168" t="s">
        <v>21</v>
      </c>
      <c r="D10" s="189" t="s">
        <v>0</v>
      </c>
      <c r="E10" s="190">
        <v>8</v>
      </c>
      <c r="F10" s="191">
        <v>37300</v>
      </c>
      <c r="G10" s="192">
        <f t="shared" si="0"/>
        <v>298400</v>
      </c>
      <c r="H10" s="120"/>
      <c r="I10" s="120"/>
      <c r="J10" s="120"/>
      <c r="K10" s="120"/>
      <c r="L10" s="120"/>
      <c r="M10" s="118"/>
      <c r="N10" s="155"/>
      <c r="O10" s="143"/>
      <c r="P10" s="143"/>
      <c r="Q10" s="109"/>
    </row>
    <row r="11" spans="1:17" x14ac:dyDescent="0.3">
      <c r="A11" s="114"/>
      <c r="B11" s="188" t="s">
        <v>36</v>
      </c>
      <c r="C11" s="168" t="s">
        <v>21</v>
      </c>
      <c r="D11" s="189" t="s">
        <v>1</v>
      </c>
      <c r="E11" s="190">
        <v>5</v>
      </c>
      <c r="F11" s="191">
        <v>2100</v>
      </c>
      <c r="G11" s="192">
        <f t="shared" si="0"/>
        <v>10500</v>
      </c>
      <c r="H11" s="120"/>
      <c r="I11" s="120"/>
      <c r="J11" s="120"/>
      <c r="K11" s="120"/>
      <c r="L11" s="120"/>
      <c r="M11" s="118"/>
      <c r="N11" s="107"/>
      <c r="O11" s="31"/>
      <c r="P11" s="31"/>
      <c r="Q11" s="157"/>
    </row>
    <row r="12" spans="1:17" x14ac:dyDescent="0.3">
      <c r="A12" s="114"/>
      <c r="B12" s="188" t="s">
        <v>36</v>
      </c>
      <c r="C12" s="168" t="s">
        <v>21</v>
      </c>
      <c r="D12" s="189" t="s">
        <v>3</v>
      </c>
      <c r="E12" s="190">
        <v>6</v>
      </c>
      <c r="F12" s="191">
        <v>420</v>
      </c>
      <c r="G12" s="192">
        <f t="shared" si="0"/>
        <v>2520</v>
      </c>
      <c r="H12" s="120"/>
      <c r="I12" s="120"/>
      <c r="J12" s="120"/>
      <c r="K12" s="120"/>
      <c r="L12" s="120"/>
      <c r="M12" s="123"/>
      <c r="N12" s="158" t="s">
        <v>38</v>
      </c>
      <c r="O12" s="148"/>
      <c r="P12" s="148"/>
      <c r="Q12" s="159" t="s">
        <v>31</v>
      </c>
    </row>
    <row r="13" spans="1:17" ht="16.2" thickBot="1" x14ac:dyDescent="0.35">
      <c r="A13" s="114"/>
      <c r="B13" s="132"/>
      <c r="C13" s="120"/>
      <c r="D13" s="120"/>
      <c r="E13" s="120"/>
      <c r="F13" s="121"/>
      <c r="G13" s="124"/>
      <c r="H13" s="120"/>
      <c r="I13" s="120"/>
      <c r="J13" s="120"/>
      <c r="K13" s="120"/>
      <c r="L13" s="120"/>
      <c r="M13" s="118"/>
      <c r="N13" s="160">
        <f>Q9</f>
        <v>0</v>
      </c>
      <c r="O13" s="161"/>
      <c r="P13" s="161"/>
      <c r="Q13" s="162">
        <f ca="1">N13-P9</f>
        <v>-321750</v>
      </c>
    </row>
    <row r="14" spans="1:17" x14ac:dyDescent="0.3">
      <c r="A14" s="114"/>
      <c r="B14" s="132"/>
      <c r="C14" s="120"/>
      <c r="D14" s="120"/>
      <c r="E14" s="120"/>
      <c r="F14" s="121"/>
      <c r="G14" s="124"/>
      <c r="H14" s="120"/>
      <c r="I14" s="120"/>
      <c r="J14" s="120"/>
      <c r="K14" s="120"/>
      <c r="L14" s="120"/>
      <c r="M14" s="125"/>
      <c r="N14" s="120"/>
      <c r="O14" s="120"/>
      <c r="P14" s="120"/>
      <c r="Q14" s="120"/>
    </row>
    <row r="15" spans="1:17" x14ac:dyDescent="0.3">
      <c r="A15" s="114"/>
      <c r="B15" s="132"/>
      <c r="C15" s="120"/>
      <c r="D15" s="120"/>
      <c r="E15" s="120"/>
      <c r="F15" s="121"/>
      <c r="G15" s="124"/>
      <c r="H15" s="120"/>
      <c r="I15" s="120"/>
      <c r="J15" s="120"/>
      <c r="K15" s="120"/>
      <c r="L15" s="120"/>
      <c r="M15" s="118"/>
      <c r="N15" s="120"/>
      <c r="O15" s="120"/>
      <c r="P15" s="120"/>
      <c r="Q15" s="120"/>
    </row>
    <row r="16" spans="1:17" x14ac:dyDescent="0.3">
      <c r="A16" s="114"/>
      <c r="B16" s="126"/>
      <c r="C16" s="114"/>
      <c r="D16" s="114"/>
      <c r="E16" s="114"/>
      <c r="F16" s="115"/>
      <c r="G16" s="116"/>
      <c r="H16" s="114"/>
      <c r="I16" s="114"/>
      <c r="J16" s="114"/>
      <c r="K16" s="118"/>
      <c r="L16" s="118"/>
      <c r="M16" s="118"/>
      <c r="N16" s="120"/>
      <c r="O16" s="120"/>
      <c r="P16" s="120"/>
      <c r="Q16" s="120"/>
    </row>
    <row r="17" spans="1:17" x14ac:dyDescent="0.3">
      <c r="A17" s="114"/>
      <c r="B17" s="126"/>
      <c r="C17" s="114"/>
      <c r="D17" s="114"/>
      <c r="E17" s="114"/>
      <c r="F17" s="115"/>
      <c r="G17" s="116"/>
      <c r="H17" s="114"/>
      <c r="I17" s="114"/>
      <c r="J17" s="114"/>
      <c r="K17" s="118"/>
      <c r="L17" s="118"/>
      <c r="M17" s="118"/>
      <c r="N17" s="120"/>
      <c r="O17" s="120"/>
      <c r="P17" s="120"/>
      <c r="Q17" s="120"/>
    </row>
    <row r="18" spans="1:17" x14ac:dyDescent="0.3">
      <c r="A18" s="114"/>
      <c r="B18" s="126"/>
      <c r="C18" s="114"/>
      <c r="D18" s="114"/>
      <c r="E18" s="114"/>
      <c r="F18" s="115"/>
      <c r="G18" s="116"/>
      <c r="H18" s="114"/>
      <c r="I18" s="114"/>
      <c r="J18" s="114"/>
      <c r="K18" s="118"/>
      <c r="L18" s="118"/>
      <c r="M18" s="118"/>
      <c r="N18" s="120"/>
      <c r="O18" s="120"/>
      <c r="P18" s="120"/>
      <c r="Q18" s="120"/>
    </row>
    <row r="19" spans="1:17" x14ac:dyDescent="0.3">
      <c r="A19" s="114"/>
      <c r="B19" s="126"/>
      <c r="C19" s="114"/>
      <c r="D19" s="114"/>
      <c r="E19" s="114"/>
      <c r="F19" s="115"/>
      <c r="G19" s="116"/>
      <c r="H19" s="114"/>
      <c r="I19" s="114"/>
      <c r="J19" s="114"/>
      <c r="K19" s="118"/>
      <c r="L19" s="118"/>
      <c r="M19" s="118"/>
      <c r="N19" s="118"/>
      <c r="O19" s="118"/>
      <c r="P19" s="118"/>
      <c r="Q19" s="114"/>
    </row>
    <row r="20" spans="1:17" x14ac:dyDescent="0.3">
      <c r="A20" s="114"/>
      <c r="B20" s="126"/>
      <c r="C20" s="114"/>
      <c r="D20" s="114"/>
      <c r="E20" s="114"/>
      <c r="F20" s="127"/>
      <c r="G20" s="128"/>
      <c r="H20" s="114"/>
      <c r="I20" s="114"/>
      <c r="J20" s="114"/>
      <c r="K20" s="118"/>
      <c r="L20" s="118"/>
      <c r="M20" s="118"/>
      <c r="N20" s="118"/>
      <c r="O20" s="118"/>
      <c r="P20" s="118"/>
      <c r="Q20" s="114"/>
    </row>
    <row r="21" spans="1:17" x14ac:dyDescent="0.3">
      <c r="A21" s="114"/>
      <c r="B21" s="126"/>
      <c r="C21" s="129"/>
      <c r="D21" s="114"/>
      <c r="E21" s="114"/>
      <c r="F21" s="115"/>
      <c r="G21" s="116"/>
      <c r="H21" s="114"/>
      <c r="I21" s="114"/>
      <c r="J21" s="114"/>
      <c r="K21" s="118"/>
      <c r="L21" s="118"/>
      <c r="M21" s="114"/>
      <c r="N21" s="114"/>
      <c r="O21" s="114"/>
      <c r="P21" s="114"/>
      <c r="Q21" s="114"/>
    </row>
    <row r="22" spans="1:17" x14ac:dyDescent="0.3">
      <c r="A22" s="114"/>
      <c r="B22" s="126"/>
      <c r="C22" s="129"/>
      <c r="D22" s="114"/>
      <c r="E22" s="114"/>
      <c r="F22" s="115"/>
      <c r="G22" s="116"/>
      <c r="H22" s="114"/>
      <c r="I22" s="114"/>
      <c r="J22" s="114"/>
      <c r="K22" s="118"/>
      <c r="L22" s="118"/>
      <c r="M22" s="114"/>
      <c r="N22" s="114"/>
      <c r="O22" s="114"/>
      <c r="P22" s="114"/>
      <c r="Q22" s="114"/>
    </row>
    <row r="23" spans="1:17" x14ac:dyDescent="0.3">
      <c r="A23" s="114"/>
      <c r="B23" s="126"/>
      <c r="C23" s="129"/>
      <c r="D23" s="114"/>
      <c r="E23" s="114"/>
      <c r="F23" s="115"/>
      <c r="G23" s="116"/>
      <c r="H23" s="114"/>
      <c r="I23" s="114"/>
      <c r="J23" s="114"/>
      <c r="K23" s="118"/>
      <c r="L23" s="118"/>
      <c r="M23" s="114"/>
      <c r="N23" s="114"/>
      <c r="O23" s="114"/>
      <c r="P23" s="114"/>
      <c r="Q23" s="114"/>
    </row>
    <row r="24" spans="1:17" x14ac:dyDescent="0.3">
      <c r="A24" s="114"/>
      <c r="B24" s="126"/>
      <c r="C24" s="129"/>
      <c r="D24" s="114"/>
      <c r="E24" s="114"/>
      <c r="F24" s="115"/>
      <c r="G24" s="116"/>
      <c r="H24" s="114"/>
      <c r="I24" s="114"/>
      <c r="J24" s="114"/>
      <c r="K24" s="118"/>
      <c r="L24" s="118"/>
      <c r="M24" s="114"/>
      <c r="N24" s="114"/>
      <c r="O24" s="114"/>
      <c r="P24" s="114"/>
      <c r="Q24" s="114"/>
    </row>
    <row r="25" spans="1:17" x14ac:dyDescent="0.3">
      <c r="A25" s="114"/>
      <c r="B25" s="114"/>
      <c r="C25" s="114"/>
      <c r="D25" s="114"/>
      <c r="E25" s="114"/>
      <c r="F25" s="115"/>
      <c r="G25" s="116"/>
      <c r="H25" s="114"/>
      <c r="I25" s="114"/>
      <c r="J25" s="114"/>
      <c r="K25" s="118"/>
      <c r="L25" s="118"/>
      <c r="M25" s="114"/>
      <c r="N25" s="114"/>
      <c r="O25" s="114"/>
      <c r="P25" s="114"/>
      <c r="Q25" s="114"/>
    </row>
    <row r="26" spans="1:17" x14ac:dyDescent="0.3">
      <c r="A26" s="114"/>
      <c r="B26" s="114"/>
      <c r="C26" s="114"/>
      <c r="D26" s="114"/>
      <c r="E26" s="114"/>
      <c r="F26" s="115"/>
      <c r="G26" s="116"/>
      <c r="H26" s="114"/>
      <c r="I26" s="114"/>
      <c r="J26" s="114"/>
      <c r="K26" s="114"/>
      <c r="L26" s="114"/>
      <c r="M26" s="114"/>
      <c r="N26" s="114"/>
      <c r="O26" s="114"/>
      <c r="P26" s="114"/>
      <c r="Q26" s="114"/>
    </row>
    <row r="27" spans="1:17" x14ac:dyDescent="0.3">
      <c r="L27" s="114"/>
      <c r="M27" s="118"/>
      <c r="N27" s="118"/>
      <c r="O27" s="118"/>
      <c r="P27" s="118"/>
      <c r="Q27" s="118"/>
    </row>
  </sheetData>
  <mergeCells count="1">
    <mergeCell ref="B2:E2"/>
  </mergeCells>
  <phoneticPr fontId="4" type="noConversion"/>
  <dataValidations count="1">
    <dataValidation type="list" allowBlank="1" showInputMessage="1" showErrorMessage="1" sqref="C3:C25">
      <formula1>"Deposit, Withdraw"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4"/>
  <sheetViews>
    <sheetView showGridLines="0" zoomScale="64" zoomScaleNormal="80" workbookViewId="0">
      <selection activeCell="I21" sqref="I21"/>
    </sheetView>
  </sheetViews>
  <sheetFormatPr defaultColWidth="9.109375" defaultRowHeight="13.8" x14ac:dyDescent="0.25"/>
  <cols>
    <col min="1" max="1" width="1.6640625" style="49" customWidth="1"/>
    <col min="2" max="2" width="9.109375" style="49"/>
    <col min="3" max="3" width="12.88671875" style="49" bestFit="1" customWidth="1"/>
    <col min="4" max="4" width="13.44140625" style="49" customWidth="1"/>
    <col min="5" max="5" width="9.88671875" style="49" customWidth="1"/>
    <col min="6" max="6" width="35.6640625" style="50" customWidth="1"/>
    <col min="7" max="7" width="18.33203125" style="51" bestFit="1" customWidth="1"/>
    <col min="8" max="8" width="14.6640625" style="52" customWidth="1"/>
    <col min="9" max="9" width="27.33203125" style="52" customWidth="1"/>
    <col min="10" max="10" width="37" style="50" customWidth="1"/>
    <col min="11" max="11" width="14.88671875" style="49" customWidth="1"/>
    <col min="12" max="12" width="9.33203125" style="49" bestFit="1" customWidth="1"/>
    <col min="13" max="13" width="14.6640625" style="49" customWidth="1"/>
    <col min="14" max="14" width="37" style="49" customWidth="1"/>
    <col min="15" max="15" width="13" style="49" customWidth="1"/>
    <col min="16" max="16" width="14.88671875" style="49" customWidth="1"/>
    <col min="17" max="17" width="13.44140625" style="49" bestFit="1" customWidth="1"/>
    <col min="18" max="18" width="15.109375" style="49" customWidth="1"/>
    <col min="19" max="19" width="12.88671875" style="49" customWidth="1"/>
    <col min="20" max="20" width="15" style="49" bestFit="1" customWidth="1"/>
    <col min="21" max="21" width="15.6640625" style="49" bestFit="1" customWidth="1"/>
    <col min="22" max="16384" width="9.109375" style="49"/>
  </cols>
  <sheetData>
    <row r="1" spans="2:22" ht="5.0999999999999996" customHeight="1" thickBot="1" x14ac:dyDescent="0.3"/>
    <row r="2" spans="2:22" ht="21" thickBot="1" x14ac:dyDescent="0.4">
      <c r="B2" s="222" t="s">
        <v>41</v>
      </c>
      <c r="C2" s="223"/>
      <c r="D2" s="223"/>
      <c r="E2" s="223"/>
      <c r="F2" s="224"/>
    </row>
    <row r="3" spans="2:22" ht="5.0999999999999996" customHeight="1" x14ac:dyDescent="0.4">
      <c r="B3" s="164"/>
    </row>
    <row r="4" spans="2:22" ht="15.6" x14ac:dyDescent="0.3">
      <c r="B4" s="133" t="s">
        <v>8</v>
      </c>
      <c r="C4" s="133" t="s">
        <v>16</v>
      </c>
      <c r="D4" s="133" t="s">
        <v>17</v>
      </c>
      <c r="E4" s="133" t="s">
        <v>24</v>
      </c>
      <c r="F4" s="134" t="s">
        <v>42</v>
      </c>
      <c r="G4" s="135" t="s">
        <v>43</v>
      </c>
      <c r="H4" s="165" t="s">
        <v>69</v>
      </c>
      <c r="I4" s="166" t="s">
        <v>44</v>
      </c>
      <c r="J4" s="135" t="s">
        <v>73</v>
      </c>
      <c r="K4" s="135" t="s">
        <v>74</v>
      </c>
      <c r="L4" s="133" t="s">
        <v>18</v>
      </c>
      <c r="M4" s="133" t="s">
        <v>75</v>
      </c>
      <c r="N4" s="135" t="s">
        <v>76</v>
      </c>
      <c r="O4" s="135" t="s">
        <v>77</v>
      </c>
      <c r="P4" s="133" t="s">
        <v>20</v>
      </c>
      <c r="Q4" s="163"/>
      <c r="R4" s="177"/>
      <c r="S4" s="178"/>
      <c r="T4" s="178"/>
      <c r="U4" s="179"/>
    </row>
    <row r="5" spans="2:22" ht="15.6" x14ac:dyDescent="0.3">
      <c r="B5" s="188" t="s">
        <v>34</v>
      </c>
      <c r="C5" s="168" t="s">
        <v>21</v>
      </c>
      <c r="D5" s="168" t="s">
        <v>0</v>
      </c>
      <c r="E5" s="190">
        <v>3</v>
      </c>
      <c r="F5" s="193">
        <v>35000</v>
      </c>
      <c r="G5" s="169">
        <f>F5*E5</f>
        <v>105000</v>
      </c>
      <c r="H5" s="194"/>
      <c r="I5" s="194">
        <v>0</v>
      </c>
      <c r="J5" s="193">
        <v>0</v>
      </c>
      <c r="K5" s="193">
        <f>J5*I5</f>
        <v>0</v>
      </c>
      <c r="L5" s="168"/>
      <c r="M5" s="168"/>
      <c r="N5" s="168"/>
      <c r="O5" s="168"/>
      <c r="P5" s="168"/>
      <c r="Q5" s="22"/>
      <c r="R5" s="140" t="s">
        <v>28</v>
      </c>
      <c r="S5" s="36" t="s">
        <v>27</v>
      </c>
      <c r="T5" s="141" t="s">
        <v>39</v>
      </c>
      <c r="U5" s="142" t="s">
        <v>30</v>
      </c>
      <c r="V5" s="22"/>
    </row>
    <row r="6" spans="2:22" ht="15.6" x14ac:dyDescent="0.3">
      <c r="B6" s="188" t="s">
        <v>34</v>
      </c>
      <c r="C6" s="168" t="s">
        <v>21</v>
      </c>
      <c r="D6" s="168" t="s">
        <v>1</v>
      </c>
      <c r="E6" s="190">
        <v>12</v>
      </c>
      <c r="F6" s="193">
        <v>1800</v>
      </c>
      <c r="G6" s="169">
        <f t="shared" ref="G6:G13" si="0">F6*E6</f>
        <v>21600</v>
      </c>
      <c r="H6" s="194"/>
      <c r="I6" s="194">
        <v>0</v>
      </c>
      <c r="J6" s="193">
        <v>0</v>
      </c>
      <c r="K6" s="193">
        <f t="shared" ref="K6:K12" si="1">J6*I6</f>
        <v>0</v>
      </c>
      <c r="L6" s="195"/>
      <c r="M6" s="195"/>
      <c r="N6" s="196"/>
      <c r="O6" s="168"/>
      <c r="P6" s="168"/>
      <c r="Q6" s="22"/>
      <c r="R6" s="32" t="s">
        <v>0</v>
      </c>
      <c r="S6" s="180">
        <f ca="1">(SUMIF($D$5:$E102,R6,$E$5:$E$102)) + (SUMIF($H$5:$I102,R6,$I$5:$I$102))</f>
        <v>8</v>
      </c>
      <c r="T6" s="181">
        <f ca="1">(SUMIF($D$5:$G102,R6,$G$5:$G$102)) + (SUMIF($H$5:$K102,R6,$K$5:$K$102))</f>
        <v>292400</v>
      </c>
      <c r="U6" s="182" t="s">
        <v>32</v>
      </c>
      <c r="V6" s="22"/>
    </row>
    <row r="7" spans="2:22" ht="15.6" x14ac:dyDescent="0.3">
      <c r="B7" s="188" t="s">
        <v>34</v>
      </c>
      <c r="C7" s="168" t="s">
        <v>21</v>
      </c>
      <c r="D7" s="168" t="s">
        <v>3</v>
      </c>
      <c r="E7" s="190">
        <v>14</v>
      </c>
      <c r="F7" s="193">
        <v>320</v>
      </c>
      <c r="G7" s="169">
        <f t="shared" si="0"/>
        <v>4480</v>
      </c>
      <c r="H7" s="194"/>
      <c r="I7" s="194">
        <v>0</v>
      </c>
      <c r="J7" s="193">
        <v>0</v>
      </c>
      <c r="K7" s="193">
        <f t="shared" si="1"/>
        <v>0</v>
      </c>
      <c r="L7" s="168"/>
      <c r="M7" s="168"/>
      <c r="N7" s="196"/>
      <c r="O7" s="168"/>
      <c r="P7" s="168"/>
      <c r="Q7" s="22"/>
      <c r="R7" s="140" t="s">
        <v>1</v>
      </c>
      <c r="S7" s="183">
        <f ca="1">(SUMIF($D$5:$E103,R7,$E$5:$E$102)) + (SUMIF($H$5:$I103,R7,$I$5:$I$102))</f>
        <v>13</v>
      </c>
      <c r="T7" s="184">
        <f ca="1">(SUMIF($D$5:$G103,R7,$G$5:$G$102)) + (SUMIF($H$5:$K103,R7,$K$5:$K$102))</f>
        <v>24350</v>
      </c>
      <c r="U7" s="142" t="s">
        <v>32</v>
      </c>
      <c r="V7" s="22"/>
    </row>
    <row r="8" spans="2:22" ht="15.6" x14ac:dyDescent="0.3">
      <c r="B8" s="188" t="s">
        <v>35</v>
      </c>
      <c r="C8" s="168" t="s">
        <v>23</v>
      </c>
      <c r="D8" s="168" t="s">
        <v>0</v>
      </c>
      <c r="E8" s="190">
        <v>-3</v>
      </c>
      <c r="F8" s="193">
        <v>37000</v>
      </c>
      <c r="G8" s="169">
        <f t="shared" si="0"/>
        <v>-111000</v>
      </c>
      <c r="H8" s="194"/>
      <c r="I8" s="194">
        <v>0</v>
      </c>
      <c r="J8" s="193">
        <v>0</v>
      </c>
      <c r="K8" s="193">
        <f t="shared" si="1"/>
        <v>0</v>
      </c>
      <c r="L8" s="168"/>
      <c r="M8" s="168"/>
      <c r="N8" s="168"/>
      <c r="O8" s="168"/>
      <c r="P8" s="168"/>
      <c r="Q8" s="22"/>
      <c r="R8" s="32" t="s">
        <v>3</v>
      </c>
      <c r="S8" s="180">
        <f ca="1">(SUMIF($D$5:$E104,R8,$E$5:$E$102)) + (SUMIF($H$5:$I104,R8,$I$5:$I$102))</f>
        <v>15</v>
      </c>
      <c r="T8" s="181">
        <f ca="1">(SUMIF($D$5:$G104,R8,$G$5:$G$102)) + (SUMIF($H$5:$K104,R8,$K$5:$K$102))</f>
        <v>5000</v>
      </c>
      <c r="U8" s="182" t="s">
        <v>32</v>
      </c>
      <c r="V8" s="22"/>
    </row>
    <row r="9" spans="2:22" ht="15.6" x14ac:dyDescent="0.3">
      <c r="B9" s="188" t="s">
        <v>35</v>
      </c>
      <c r="C9" s="168" t="s">
        <v>23</v>
      </c>
      <c r="D9" s="168" t="s">
        <v>1</v>
      </c>
      <c r="E9" s="190">
        <v>-5</v>
      </c>
      <c r="F9" s="193">
        <v>1950</v>
      </c>
      <c r="G9" s="169">
        <f t="shared" si="0"/>
        <v>-9750</v>
      </c>
      <c r="H9" s="194"/>
      <c r="I9" s="194">
        <v>0</v>
      </c>
      <c r="J9" s="193">
        <v>0</v>
      </c>
      <c r="K9" s="193">
        <f t="shared" si="1"/>
        <v>0</v>
      </c>
      <c r="L9" s="168"/>
      <c r="M9" s="168"/>
      <c r="N9" s="196"/>
      <c r="O9" s="168"/>
      <c r="P9" s="168"/>
      <c r="Q9" s="22"/>
      <c r="R9" s="140"/>
      <c r="S9" s="36"/>
      <c r="T9" s="37">
        <f ca="1">SUM(T6:T8)</f>
        <v>321750</v>
      </c>
      <c r="U9" s="38">
        <f>SUM(U6:U8)</f>
        <v>0</v>
      </c>
      <c r="V9" s="22"/>
    </row>
    <row r="10" spans="2:22" ht="15.6" x14ac:dyDescent="0.3">
      <c r="B10" s="188" t="s">
        <v>35</v>
      </c>
      <c r="C10" s="168" t="s">
        <v>21</v>
      </c>
      <c r="D10" s="168" t="s">
        <v>0</v>
      </c>
      <c r="E10" s="190">
        <v>8</v>
      </c>
      <c r="F10" s="193">
        <v>37300</v>
      </c>
      <c r="G10" s="169">
        <f t="shared" si="0"/>
        <v>298400</v>
      </c>
      <c r="H10" s="194"/>
      <c r="I10" s="194">
        <v>0</v>
      </c>
      <c r="J10" s="193">
        <v>0</v>
      </c>
      <c r="K10" s="193">
        <f t="shared" si="1"/>
        <v>0</v>
      </c>
      <c r="L10" s="168"/>
      <c r="M10" s="168"/>
      <c r="N10" s="168"/>
      <c r="O10" s="168"/>
      <c r="P10" s="168"/>
      <c r="Q10" s="22"/>
      <c r="R10" s="32"/>
      <c r="S10" s="30"/>
      <c r="T10" s="30"/>
      <c r="U10" s="149"/>
      <c r="V10" s="22"/>
    </row>
    <row r="11" spans="2:22" ht="15.6" x14ac:dyDescent="0.3">
      <c r="B11" s="188" t="s">
        <v>36</v>
      </c>
      <c r="C11" s="168" t="s">
        <v>21</v>
      </c>
      <c r="D11" s="168" t="s">
        <v>1</v>
      </c>
      <c r="E11" s="190">
        <v>5</v>
      </c>
      <c r="F11" s="193">
        <v>2100</v>
      </c>
      <c r="G11" s="169">
        <f t="shared" si="0"/>
        <v>10500</v>
      </c>
      <c r="H11" s="194"/>
      <c r="I11" s="194">
        <v>0</v>
      </c>
      <c r="J11" s="193">
        <v>0</v>
      </c>
      <c r="K11" s="193">
        <f t="shared" si="1"/>
        <v>0</v>
      </c>
      <c r="L11" s="168"/>
      <c r="M11" s="168"/>
      <c r="N11" s="168"/>
      <c r="O11" s="168"/>
      <c r="P11" s="168"/>
      <c r="Q11" s="22"/>
      <c r="R11" s="140"/>
      <c r="S11" s="36"/>
      <c r="T11" s="36"/>
      <c r="U11" s="39"/>
      <c r="V11" s="22"/>
    </row>
    <row r="12" spans="2:22" ht="15.6" x14ac:dyDescent="0.3">
      <c r="B12" s="188" t="s">
        <v>36</v>
      </c>
      <c r="C12" s="168" t="s">
        <v>21</v>
      </c>
      <c r="D12" s="168" t="s">
        <v>3</v>
      </c>
      <c r="E12" s="190">
        <v>6</v>
      </c>
      <c r="F12" s="193">
        <v>420</v>
      </c>
      <c r="G12" s="169">
        <f t="shared" si="0"/>
        <v>2520</v>
      </c>
      <c r="H12" s="194"/>
      <c r="I12" s="194">
        <v>0</v>
      </c>
      <c r="J12" s="193">
        <v>0</v>
      </c>
      <c r="K12" s="193">
        <f t="shared" si="1"/>
        <v>0</v>
      </c>
      <c r="L12" s="168"/>
      <c r="M12" s="168"/>
      <c r="N12" s="196"/>
      <c r="O12" s="168"/>
      <c r="P12" s="168"/>
      <c r="Q12" s="22"/>
      <c r="R12" s="147" t="s">
        <v>38</v>
      </c>
      <c r="S12" s="148"/>
      <c r="T12" s="148"/>
      <c r="U12" s="149" t="s">
        <v>31</v>
      </c>
      <c r="V12" s="22"/>
    </row>
    <row r="13" spans="2:22" ht="15.6" x14ac:dyDescent="0.3">
      <c r="B13" s="188" t="s">
        <v>36</v>
      </c>
      <c r="C13" s="168" t="s">
        <v>22</v>
      </c>
      <c r="D13" s="168" t="s">
        <v>1</v>
      </c>
      <c r="E13" s="190">
        <v>1</v>
      </c>
      <c r="F13" s="193">
        <v>2000</v>
      </c>
      <c r="G13" s="169">
        <f t="shared" si="0"/>
        <v>2000</v>
      </c>
      <c r="H13" s="194" t="s">
        <v>3</v>
      </c>
      <c r="I13" s="194">
        <v>-5</v>
      </c>
      <c r="J13" s="193">
        <v>400</v>
      </c>
      <c r="K13" s="193">
        <f>J13*I13</f>
        <v>-2000</v>
      </c>
      <c r="L13" s="168"/>
      <c r="M13" s="168"/>
      <c r="N13" s="168"/>
      <c r="O13" s="168"/>
      <c r="P13" s="168"/>
      <c r="Q13" s="22"/>
      <c r="R13" s="185">
        <f>U9</f>
        <v>0</v>
      </c>
      <c r="S13" s="186"/>
      <c r="T13" s="186"/>
      <c r="U13" s="187">
        <f ca="1">R13-T9</f>
        <v>-321750</v>
      </c>
      <c r="V13" s="22"/>
    </row>
    <row r="14" spans="2:22" x14ac:dyDescent="0.25">
      <c r="B14" s="167"/>
      <c r="N14" s="53"/>
    </row>
    <row r="15" spans="2:22" x14ac:dyDescent="0.25">
      <c r="B15" s="167"/>
      <c r="F15" s="170"/>
      <c r="G15" s="171"/>
      <c r="H15" s="172"/>
    </row>
    <row r="16" spans="2:22" x14ac:dyDescent="0.25">
      <c r="B16" s="167"/>
    </row>
    <row r="17" spans="2:8" x14ac:dyDescent="0.25">
      <c r="B17" s="167"/>
    </row>
    <row r="18" spans="2:8" x14ac:dyDescent="0.25">
      <c r="B18" s="167"/>
    </row>
    <row r="19" spans="2:8" x14ac:dyDescent="0.25">
      <c r="B19" s="167"/>
    </row>
    <row r="20" spans="2:8" x14ac:dyDescent="0.25">
      <c r="B20" s="167"/>
      <c r="F20" s="173"/>
      <c r="G20" s="174"/>
      <c r="H20" s="175"/>
    </row>
    <row r="21" spans="2:8" x14ac:dyDescent="0.25">
      <c r="B21" s="167"/>
      <c r="C21" s="176"/>
    </row>
    <row r="22" spans="2:8" x14ac:dyDescent="0.25">
      <c r="B22" s="167"/>
      <c r="C22" s="176"/>
    </row>
    <row r="23" spans="2:8" x14ac:dyDescent="0.25">
      <c r="B23" s="167"/>
      <c r="C23" s="176"/>
    </row>
    <row r="24" spans="2:8" x14ac:dyDescent="0.25">
      <c r="B24" s="167"/>
      <c r="C24" s="176"/>
    </row>
  </sheetData>
  <mergeCells count="1">
    <mergeCell ref="B2:F2"/>
  </mergeCells>
  <dataValidations count="1">
    <dataValidation type="list" allowBlank="1" showInputMessage="1" showErrorMessage="1" sqref="C1 C3:C1048576">
      <formula1>"Trade, Deposit, Withdraw"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F87DF8FF087947AA0D7E5E980F019A" ma:contentTypeVersion="12" ma:contentTypeDescription="Create a new document." ma:contentTypeScope="" ma:versionID="aa4baff5ed5b8ec7e8cd7c9a0af54e3e">
  <xsd:schema xmlns:xsd="http://www.w3.org/2001/XMLSchema" xmlns:xs="http://www.w3.org/2001/XMLSchema" xmlns:p="http://schemas.microsoft.com/office/2006/metadata/properties" xmlns:ns3="79d3dd87-82e8-4c82-b4b2-4c1c570b744b" xmlns:ns4="351094a6-6550-48b2-b76a-37ae13d24d1e" targetNamespace="http://schemas.microsoft.com/office/2006/metadata/properties" ma:root="true" ma:fieldsID="c109ad4694c8bb6c7431f7047de014f3" ns3:_="" ns4:_="">
    <xsd:import namespace="79d3dd87-82e8-4c82-b4b2-4c1c570b744b"/>
    <xsd:import namespace="351094a6-6550-48b2-b76a-37ae13d24d1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d3dd87-82e8-4c82-b4b2-4c1c570b74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1094a6-6550-48b2-b76a-37ae13d24d1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DA1770-CB14-4468-B0F6-5CF9DC179BF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FA8C8BF-999D-4540-A216-89F36476212A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351094a6-6550-48b2-b76a-37ae13d24d1e"/>
    <ds:schemaRef ds:uri="79d3dd87-82e8-4c82-b4b2-4c1c570b744b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026A401-4BCD-4780-BCC5-26747275017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E929102-9487-4583-A788-1538F3C4FB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d3dd87-82e8-4c82-b4b2-4c1c570b744b"/>
    <ds:schemaRef ds:uri="351094a6-6550-48b2-b76a-37ae13d24d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Dash Board</vt:lpstr>
      <vt:lpstr>Investment Track Table</vt:lpstr>
      <vt:lpstr>Consolidated Wallets</vt:lpstr>
      <vt:lpstr>Cold Wallet</vt:lpstr>
      <vt:lpstr>Exchange Wallet</vt:lpstr>
      <vt:lpstr>'Consolidated Wallets'!Print_Area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 Blushinsky</dc:creator>
  <cp:lastModifiedBy>Windows User</cp:lastModifiedBy>
  <cp:lastPrinted>2021-04-09T19:32:49Z</cp:lastPrinted>
  <dcterms:created xsi:type="dcterms:W3CDTF">2017-08-28T02:47:51Z</dcterms:created>
  <dcterms:modified xsi:type="dcterms:W3CDTF">2022-08-08T16:32:31Z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0x010100B7F87DF8FF087947AA0D7E5E980F019A</vt:lpwstr>
  </property>
</Properties>
</file>