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miky/Desktop/EXCEL MDG/Calculator and Other Sheets/"/>
    </mc:Choice>
  </mc:AlternateContent>
  <xr:revisionPtr revIDLastSave="0" documentId="13_ncr:1_{6C3D14E0-C50A-0143-A8B9-33FF39381F2E}" xr6:coauthVersionLast="47" xr6:coauthVersionMax="47" xr10:uidLastSave="{00000000-0000-0000-0000-000000000000}"/>
  <bookViews>
    <workbookView xWindow="0" yWindow="500" windowWidth="23040" windowHeight="9200" tabRatio="487" xr2:uid="{00000000-000D-0000-FFFF-FFFF00000000}"/>
  </bookViews>
  <sheets>
    <sheet name="Sale Closing" sheetId="8" r:id="rId1"/>
  </sheets>
  <definedNames>
    <definedName name="_xlnm.Print_Area" localSheetId="0">'Sale Closing'!$A$1:$K$61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1" i="8" l="1"/>
  <c r="G51" i="8"/>
  <c r="H51" i="8"/>
  <c r="D50" i="8"/>
  <c r="D51" i="8"/>
  <c r="C53" i="8"/>
  <c r="C47" i="8"/>
  <c r="C45" i="8"/>
  <c r="D45" i="8"/>
  <c r="D44" i="8"/>
  <c r="H45" i="8"/>
  <c r="G45" i="8"/>
  <c r="C59" i="8" l="1"/>
  <c r="H57" i="8"/>
  <c r="G57" i="8"/>
  <c r="D57" i="8"/>
  <c r="E45" i="8"/>
  <c r="D56" i="8"/>
  <c r="E38" i="8"/>
  <c r="C34" i="8"/>
  <c r="C51" i="8" s="1"/>
  <c r="C33" i="8"/>
  <c r="C28" i="8"/>
  <c r="C18" i="8"/>
  <c r="C20" i="8" s="1"/>
  <c r="C13" i="8"/>
  <c r="D35" i="8"/>
  <c r="E35" i="8" s="1"/>
  <c r="E14" i="8"/>
  <c r="E9" i="8"/>
  <c r="E8" i="8"/>
  <c r="C10" i="8"/>
  <c r="G10" i="8"/>
  <c r="H10" i="8"/>
  <c r="I10" i="8"/>
  <c r="D15" i="8"/>
  <c r="G15" i="8"/>
  <c r="H15" i="8"/>
  <c r="I15" i="8"/>
  <c r="D20" i="8"/>
  <c r="G20" i="8"/>
  <c r="H20" i="8"/>
  <c r="I20" i="8"/>
  <c r="C25" i="8"/>
  <c r="D25" i="8"/>
  <c r="E25" i="8"/>
  <c r="G25" i="8"/>
  <c r="H25" i="8"/>
  <c r="I25" i="8"/>
  <c r="D30" i="8"/>
  <c r="G30" i="8"/>
  <c r="H30" i="8"/>
  <c r="I30" i="8"/>
  <c r="G35" i="8"/>
  <c r="I50" i="8" s="1"/>
  <c r="H35" i="8"/>
  <c r="I35" i="8"/>
  <c r="D10" i="8"/>
  <c r="D52" i="8"/>
  <c r="C30" i="8"/>
  <c r="H50" i="8" s="1"/>
  <c r="H53" i="8" s="1"/>
  <c r="E19" i="8"/>
  <c r="E10" i="8" l="1"/>
  <c r="I53" i="8"/>
  <c r="G44" i="8"/>
  <c r="C50" i="8"/>
  <c r="C57" i="8"/>
  <c r="E57" i="8" s="1"/>
  <c r="E51" i="8"/>
  <c r="E30" i="8"/>
  <c r="I45" i="8"/>
  <c r="G50" i="8"/>
  <c r="G53" i="8" s="1"/>
  <c r="C44" i="8"/>
  <c r="I44" i="8"/>
  <c r="D58" i="8"/>
  <c r="D46" i="8"/>
  <c r="E18" i="8"/>
  <c r="E20" i="8" s="1"/>
  <c r="E33" i="8"/>
  <c r="C15" i="8"/>
  <c r="H44" i="8" s="1"/>
  <c r="E13" i="8"/>
  <c r="E15" i="8" s="1"/>
  <c r="I57" i="8" l="1"/>
  <c r="E50" i="8"/>
  <c r="C52" i="8"/>
  <c r="E52" i="8" s="1"/>
  <c r="H47" i="8"/>
  <c r="H56" i="8"/>
  <c r="G47" i="8"/>
  <c r="G56" i="8"/>
  <c r="I56" i="8"/>
  <c r="I47" i="8"/>
  <c r="E44" i="8"/>
  <c r="C56" i="8"/>
  <c r="C46" i="8"/>
  <c r="E46" i="8" s="1"/>
  <c r="G59" i="8" l="1"/>
  <c r="I59" i="8"/>
  <c r="C58" i="8"/>
  <c r="C61" i="8" s="1"/>
  <c r="E56" i="8"/>
  <c r="H59" i="8"/>
  <c r="I61" i="8" l="1"/>
  <c r="F61" i="8" s="1"/>
  <c r="E58" i="8"/>
</calcChain>
</file>

<file path=xl/sharedStrings.xml><?xml version="1.0" encoding="utf-8"?>
<sst xmlns="http://schemas.openxmlformats.org/spreadsheetml/2006/main" count="133" uniqueCount="34">
  <si>
    <t>CHARGE</t>
  </si>
  <si>
    <t>T/A</t>
  </si>
  <si>
    <t>LUNCH</t>
  </si>
  <si>
    <t>DINNER</t>
  </si>
  <si>
    <t>TOTAL</t>
  </si>
  <si>
    <t>Mgr.</t>
  </si>
  <si>
    <t>NET SALES</t>
  </si>
  <si>
    <t>D/I</t>
  </si>
  <si>
    <t>DLY</t>
  </si>
  <si>
    <t>TRANS.</t>
  </si>
  <si>
    <t>POS # 1</t>
  </si>
  <si>
    <t>ACTUAL</t>
  </si>
  <si>
    <t>VARIANCE</t>
  </si>
  <si>
    <t>POS # 2</t>
  </si>
  <si>
    <t>Cashier</t>
  </si>
  <si>
    <t>CASH</t>
  </si>
  <si>
    <t>NO OF TRANS.</t>
  </si>
  <si>
    <t>------</t>
  </si>
  <si>
    <t>DISCOUNTS</t>
  </si>
  <si>
    <t>ANALYSIS</t>
  </si>
  <si>
    <t xml:space="preserve">POS </t>
  </si>
  <si>
    <t xml:space="preserve"> SALES</t>
  </si>
  <si>
    <t>AVG. CHECK</t>
  </si>
  <si>
    <t>TL GROSS.SALES</t>
  </si>
  <si>
    <t>LESS  G.S.T.</t>
  </si>
  <si>
    <t>DAILY SALES &amp; CASH REPORT</t>
  </si>
  <si>
    <t>DAY &amp; DATE :</t>
  </si>
  <si>
    <t>HASSAN</t>
  </si>
  <si>
    <t>CREDIT</t>
  </si>
  <si>
    <t>CASHIER</t>
  </si>
  <si>
    <t>REASON OF VARIANCE</t>
  </si>
  <si>
    <t>DINE IN</t>
  </si>
  <si>
    <t>TAKE AWAY</t>
  </si>
  <si>
    <t>HOME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</si>
</sst>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;&quot; (&quot;#,##0.00\);&quot; -&quot;#\ ;@\ "/>
    <numFmt numFmtId="165" formatCode="[$$-409]#,##0.00;[Red]\-[$$-409]#,##0.00"/>
    <numFmt numFmtId="166" formatCode="dddd&quot;, &quot;mmmm\ dd&quot;, &quot;yyyy"/>
    <numFmt numFmtId="167" formatCode="#,##0\ ;&quot; (&quot;#,##0\);&quot; -&quot;#\ ;@\ "/>
  </numFmts>
  <fonts count="31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i/>
      <sz val="16"/>
      <color indexed="8"/>
      <name val="Arial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i/>
      <u/>
      <sz val="11"/>
      <color indexed="8"/>
      <name val="Arial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37"/>
      <name val="Arial"/>
      <family val="2"/>
    </font>
    <font>
      <sz val="10"/>
      <name val="Garamond"/>
      <family val="1"/>
    </font>
    <font>
      <b/>
      <sz val="12"/>
      <name val="Garamond"/>
      <family val="1"/>
    </font>
    <font>
      <b/>
      <sz val="8"/>
      <name val="Garamond"/>
      <family val="1"/>
    </font>
    <font>
      <sz val="8"/>
      <name val="Garamond"/>
      <family val="1"/>
    </font>
    <font>
      <b/>
      <u/>
      <sz val="8"/>
      <name val="Garamond"/>
      <family val="1"/>
    </font>
    <font>
      <b/>
      <u/>
      <sz val="8"/>
      <color indexed="14"/>
      <name val="Garamond"/>
      <family val="1"/>
    </font>
    <font>
      <sz val="10"/>
      <name val="Arial"/>
      <family val="2"/>
    </font>
    <font>
      <b/>
      <sz val="14"/>
      <name val="Garamond"/>
      <family val="1"/>
    </font>
    <font>
      <b/>
      <sz val="9"/>
      <color rgb="FFFF0000"/>
      <name val="Garamond"/>
      <family val="1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50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37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50"/>
        <bgColor indexed="47"/>
      </patternFill>
    </fill>
    <fill>
      <patternFill patternType="solid">
        <fgColor indexed="42"/>
        <bgColor indexed="41"/>
      </patternFill>
    </fill>
    <fill>
      <patternFill patternType="solid">
        <fgColor theme="0"/>
        <bgColor indexed="42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</borders>
  <cellStyleXfs count="179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164" fontId="28" fillId="0" borderId="0" applyFill="0" applyBorder="0" applyAlignment="0" applyProtection="0"/>
    <xf numFmtId="0" fontId="21" fillId="17" borderId="0" applyNumberFormat="0" applyBorder="0" applyAlignment="0" applyProtection="0"/>
    <xf numFmtId="164" fontId="6" fillId="0" borderId="0"/>
    <xf numFmtId="0" fontId="6" fillId="0" borderId="0"/>
    <xf numFmtId="9" fontId="6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>
      <alignment horizontal="center" textRotation="90"/>
    </xf>
    <xf numFmtId="0" fontId="13" fillId="3" borderId="1" applyNumberFormat="0" applyAlignment="0" applyProtection="0"/>
    <xf numFmtId="0" fontId="13" fillId="3" borderId="1" applyNumberFormat="0" applyAlignment="0" applyProtection="0"/>
    <xf numFmtId="0" fontId="13" fillId="3" borderId="1" applyNumberFormat="0" applyAlignment="0" applyProtection="0"/>
    <xf numFmtId="0" fontId="13" fillId="3" borderId="1" applyNumberFormat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4" borderId="7" applyNumberFormat="0" applyAlignment="0" applyProtection="0"/>
    <xf numFmtId="0" fontId="28" fillId="4" borderId="7" applyNumberFormat="0" applyAlignment="0" applyProtection="0"/>
    <xf numFmtId="0" fontId="28" fillId="4" borderId="7" applyNumberFormat="0" applyAlignment="0" applyProtection="0"/>
    <xf numFmtId="0" fontId="28" fillId="4" borderId="7" applyNumberFormat="0" applyAlignment="0" applyProtection="0"/>
    <xf numFmtId="0" fontId="16" fillId="2" borderId="8" applyNumberFormat="0" applyAlignment="0" applyProtection="0"/>
    <xf numFmtId="0" fontId="16" fillId="2" borderId="8" applyNumberFormat="0" applyAlignment="0" applyProtection="0"/>
    <xf numFmtId="0" fontId="16" fillId="2" borderId="8" applyNumberFormat="0" applyAlignment="0" applyProtection="0"/>
    <xf numFmtId="0" fontId="16" fillId="2" borderId="8" applyNumberFormat="0" applyAlignment="0" applyProtection="0"/>
    <xf numFmtId="0" fontId="17" fillId="0" borderId="0"/>
    <xf numFmtId="165" fontId="17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93">
    <xf numFmtId="0" fontId="0" fillId="0" borderId="0" xfId="0"/>
    <xf numFmtId="0" fontId="24" fillId="0" borderId="38" xfId="0" applyFont="1" applyFill="1" applyBorder="1" applyAlignment="1" applyProtection="1">
      <alignment horizontal="center" vertical="center"/>
      <protection hidden="1"/>
    </xf>
    <xf numFmtId="0" fontId="25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5" fillId="0" borderId="0" xfId="0" applyFont="1" applyFill="1" applyAlignment="1">
      <alignment horizontal="center" vertical="center"/>
    </xf>
    <xf numFmtId="0" fontId="24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  <protection locked="0"/>
    </xf>
    <xf numFmtId="0" fontId="24" fillId="0" borderId="25" xfId="0" applyFont="1" applyFill="1" applyBorder="1" applyAlignment="1">
      <alignment horizontal="center" vertical="center"/>
    </xf>
    <xf numFmtId="0" fontId="24" fillId="0" borderId="38" xfId="0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0" fontId="26" fillId="0" borderId="30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1" xfId="0" applyFont="1" applyFill="1" applyBorder="1" applyAlignment="1" applyProtection="1">
      <alignment horizontal="center" vertical="center"/>
      <protection locked="0"/>
    </xf>
    <xf numFmtId="0" fontId="25" fillId="0" borderId="31" xfId="0" applyFont="1" applyFill="1" applyBorder="1" applyAlignment="1" applyProtection="1">
      <alignment horizontal="center" vertical="center"/>
      <protection locked="0"/>
    </xf>
    <xf numFmtId="0" fontId="24" fillId="0" borderId="32" xfId="0" applyFont="1" applyBorder="1" applyAlignment="1" applyProtection="1">
      <alignment horizontal="center" vertical="center"/>
      <protection locked="0"/>
    </xf>
    <xf numFmtId="14" fontId="25" fillId="0" borderId="0" xfId="0" applyNumberFormat="1" applyFont="1" applyAlignment="1">
      <alignment horizontal="center" vertical="center"/>
    </xf>
    <xf numFmtId="0" fontId="24" fillId="0" borderId="33" xfId="0" applyFont="1" applyFill="1" applyBorder="1" applyAlignment="1">
      <alignment vertical="center"/>
    </xf>
    <xf numFmtId="4" fontId="25" fillId="0" borderId="20" xfId="109" applyNumberFormat="1" applyFont="1" applyFill="1" applyBorder="1" applyAlignment="1" applyProtection="1">
      <alignment vertical="center"/>
      <protection locked="0" hidden="1"/>
    </xf>
    <xf numFmtId="4" fontId="24" fillId="0" borderId="20" xfId="109" applyNumberFormat="1" applyFont="1" applyFill="1" applyBorder="1" applyAlignment="1" applyProtection="1">
      <alignment vertical="center"/>
      <protection hidden="1"/>
    </xf>
    <xf numFmtId="4" fontId="24" fillId="0" borderId="20" xfId="109" applyNumberFormat="1" applyFont="1" applyFill="1" applyBorder="1" applyAlignment="1" applyProtection="1">
      <alignment vertical="center"/>
      <protection locked="0" hidden="1"/>
    </xf>
    <xf numFmtId="0" fontId="24" fillId="0" borderId="34" xfId="0" applyFont="1" applyBorder="1" applyAlignment="1" applyProtection="1">
      <alignment vertical="center"/>
      <protection locked="0"/>
    </xf>
    <xf numFmtId="0" fontId="24" fillId="0" borderId="35" xfId="0" applyFont="1" applyFill="1" applyBorder="1" applyAlignment="1">
      <alignment vertical="center"/>
    </xf>
    <xf numFmtId="4" fontId="24" fillId="0" borderId="36" xfId="109" applyNumberFormat="1" applyFont="1" applyFill="1" applyBorder="1" applyAlignment="1" applyProtection="1">
      <alignment vertical="center"/>
      <protection hidden="1"/>
    </xf>
    <xf numFmtId="4" fontId="24" fillId="0" borderId="36" xfId="109" applyNumberFormat="1" applyFont="1" applyFill="1" applyBorder="1" applyAlignment="1" applyProtection="1">
      <alignment vertical="center"/>
      <protection locked="0" hidden="1"/>
    </xf>
    <xf numFmtId="0" fontId="24" fillId="0" borderId="37" xfId="0" applyFont="1" applyBorder="1" applyAlignment="1" applyProtection="1">
      <alignment vertical="center"/>
      <protection locked="0"/>
    </xf>
    <xf numFmtId="0" fontId="24" fillId="0" borderId="26" xfId="0" applyFont="1" applyFill="1" applyBorder="1" applyAlignment="1">
      <alignment vertical="center"/>
    </xf>
    <xf numFmtId="4" fontId="24" fillId="0" borderId="0" xfId="109" applyNumberFormat="1" applyFont="1" applyFill="1" applyBorder="1" applyAlignment="1" applyProtection="1">
      <alignment vertical="center"/>
      <protection hidden="1"/>
    </xf>
    <xf numFmtId="0" fontId="24" fillId="0" borderId="21" xfId="0" applyFont="1" applyBorder="1" applyAlignment="1">
      <alignment vertical="center"/>
    </xf>
    <xf numFmtId="4" fontId="24" fillId="0" borderId="31" xfId="109" applyNumberFormat="1" applyFont="1" applyFill="1" applyBorder="1" applyAlignment="1" applyProtection="1">
      <alignment horizontal="center" vertical="center"/>
      <protection hidden="1"/>
    </xf>
    <xf numFmtId="4" fontId="24" fillId="0" borderId="31" xfId="109" applyNumberFormat="1" applyFont="1" applyFill="1" applyBorder="1" applyAlignment="1" applyProtection="1">
      <alignment horizontal="center" vertical="center"/>
      <protection locked="0" hidden="1"/>
    </xf>
    <xf numFmtId="0" fontId="24" fillId="0" borderId="32" xfId="0" applyFont="1" applyBorder="1" applyAlignment="1" applyProtection="1">
      <alignment vertical="center"/>
      <protection locked="0"/>
    </xf>
    <xf numFmtId="4" fontId="24" fillId="0" borderId="0" xfId="109" applyNumberFormat="1" applyFont="1" applyFill="1" applyBorder="1" applyAlignment="1" applyProtection="1">
      <alignment vertical="center"/>
      <protection locked="0" hidden="1"/>
    </xf>
    <xf numFmtId="0" fontId="24" fillId="0" borderId="21" xfId="0" applyFont="1" applyBorder="1" applyAlignment="1" applyProtection="1">
      <alignment vertical="center"/>
      <protection locked="0"/>
    </xf>
    <xf numFmtId="0" fontId="24" fillId="0" borderId="31" xfId="0" applyFont="1" applyFill="1" applyBorder="1" applyAlignment="1" applyProtection="1">
      <alignment horizontal="center" vertical="center"/>
      <protection locked="0" hidden="1"/>
    </xf>
    <xf numFmtId="0" fontId="25" fillId="0" borderId="31" xfId="0" applyFont="1" applyFill="1" applyBorder="1" applyAlignment="1" applyProtection="1">
      <alignment horizontal="center" vertical="center"/>
      <protection locked="0" hidden="1"/>
    </xf>
    <xf numFmtId="0" fontId="25" fillId="0" borderId="20" xfId="0" applyFont="1" applyFill="1" applyBorder="1" applyAlignment="1" applyProtection="1">
      <alignment vertical="center"/>
      <protection locked="0"/>
    </xf>
    <xf numFmtId="0" fontId="22" fillId="0" borderId="20" xfId="0" applyFont="1" applyFill="1" applyBorder="1" applyAlignment="1" applyProtection="1">
      <alignment vertical="center"/>
      <protection locked="0" hidden="1"/>
    </xf>
    <xf numFmtId="4" fontId="22" fillId="0" borderId="20" xfId="0" applyNumberFormat="1" applyFont="1" applyFill="1" applyBorder="1" applyAlignment="1" applyProtection="1">
      <alignment vertical="center"/>
      <protection locked="0" hidden="1"/>
    </xf>
    <xf numFmtId="167" fontId="24" fillId="0" borderId="34" xfId="109" applyNumberFormat="1" applyFont="1" applyFill="1" applyBorder="1" applyAlignment="1" applyProtection="1">
      <alignment vertical="center"/>
      <protection locked="0"/>
    </xf>
    <xf numFmtId="167" fontId="24" fillId="0" borderId="37" xfId="109" applyNumberFormat="1" applyFont="1" applyFill="1" applyBorder="1" applyAlignment="1" applyProtection="1">
      <alignment vertical="center"/>
      <protection locked="0"/>
    </xf>
    <xf numFmtId="0" fontId="27" fillId="0" borderId="30" xfId="0" applyFont="1" applyFill="1" applyBorder="1" applyAlignment="1">
      <alignment vertical="center"/>
    </xf>
    <xf numFmtId="4" fontId="27" fillId="0" borderId="31" xfId="109" applyNumberFormat="1" applyFont="1" applyFill="1" applyBorder="1" applyAlignment="1" applyProtection="1">
      <alignment vertical="center"/>
      <protection hidden="1"/>
    </xf>
    <xf numFmtId="4" fontId="25" fillId="0" borderId="20" xfId="109" applyNumberFormat="1" applyFont="1" applyFill="1" applyBorder="1" applyAlignment="1" applyProtection="1">
      <alignment horizontal="center" vertical="center"/>
      <protection locked="0" hidden="1"/>
    </xf>
    <xf numFmtId="0" fontId="25" fillId="0" borderId="20" xfId="0" applyFont="1" applyFill="1" applyBorder="1" applyAlignment="1" applyProtection="1">
      <alignment horizontal="center" vertical="center"/>
      <protection locked="0" hidden="1"/>
    </xf>
    <xf numFmtId="4" fontId="24" fillId="0" borderId="36" xfId="109" applyNumberFormat="1" applyFont="1" applyFill="1" applyBorder="1" applyAlignment="1" applyProtection="1">
      <alignment horizontal="center" vertical="center"/>
      <protection locked="0" hidden="1"/>
    </xf>
    <xf numFmtId="4" fontId="25" fillId="0" borderId="36" xfId="109" applyNumberFormat="1" applyFont="1" applyFill="1" applyBorder="1" applyAlignment="1" applyProtection="1">
      <alignment horizontal="center" vertical="center"/>
      <protection locked="0" hidden="1"/>
    </xf>
    <xf numFmtId="0" fontId="25" fillId="0" borderId="36" xfId="0" applyFont="1" applyFill="1" applyBorder="1" applyAlignment="1" applyProtection="1">
      <alignment horizontal="center" vertical="center"/>
      <protection locked="0" hidden="1"/>
    </xf>
    <xf numFmtId="0" fontId="27" fillId="0" borderId="10" xfId="0" applyFont="1" applyFill="1" applyBorder="1" applyAlignment="1" applyProtection="1">
      <alignment vertical="center"/>
      <protection hidden="1"/>
    </xf>
    <xf numFmtId="4" fontId="24" fillId="0" borderId="42" xfId="109" applyNumberFormat="1" applyFont="1" applyFill="1" applyBorder="1" applyAlignment="1" applyProtection="1">
      <alignment horizontal="center" vertical="center"/>
      <protection hidden="1"/>
    </xf>
    <xf numFmtId="4" fontId="24" fillId="0" borderId="17" xfId="109" applyNumberFormat="1" applyFont="1" applyFill="1" applyBorder="1" applyAlignment="1" applyProtection="1">
      <alignment horizontal="center" vertical="center"/>
      <protection hidden="1"/>
    </xf>
    <xf numFmtId="4" fontId="24" fillId="0" borderId="0" xfId="109" applyNumberFormat="1" applyFont="1" applyFill="1" applyBorder="1" applyAlignment="1" applyProtection="1">
      <alignment horizontal="center" vertical="center"/>
      <protection hidden="1"/>
    </xf>
    <xf numFmtId="4" fontId="27" fillId="0" borderId="10" xfId="109" applyNumberFormat="1" applyFont="1" applyFill="1" applyBorder="1" applyAlignment="1" applyProtection="1">
      <alignment horizontal="left" vertical="center"/>
      <protection hidden="1"/>
    </xf>
    <xf numFmtId="4" fontId="24" fillId="0" borderId="15" xfId="109" applyNumberFormat="1" applyFont="1" applyFill="1" applyBorder="1" applyAlignment="1" applyProtection="1">
      <alignment horizontal="center" vertical="center"/>
      <protection hidden="1"/>
    </xf>
    <xf numFmtId="0" fontId="24" fillId="0" borderId="30" xfId="0" applyFont="1" applyFill="1" applyBorder="1" applyAlignment="1" applyProtection="1">
      <alignment vertical="center"/>
      <protection hidden="1"/>
    </xf>
    <xf numFmtId="4" fontId="24" fillId="0" borderId="31" xfId="109" applyNumberFormat="1" applyFont="1" applyFill="1" applyBorder="1" applyAlignment="1" applyProtection="1">
      <alignment vertical="center"/>
      <protection hidden="1"/>
    </xf>
    <xf numFmtId="4" fontId="24" fillId="0" borderId="32" xfId="109" applyNumberFormat="1" applyFont="1" applyFill="1" applyBorder="1" applyAlignment="1" applyProtection="1">
      <alignment vertical="center"/>
      <protection hidden="1"/>
    </xf>
    <xf numFmtId="0" fontId="24" fillId="0" borderId="33" xfId="0" applyFont="1" applyFill="1" applyBorder="1" applyAlignment="1" applyProtection="1">
      <alignment vertical="center"/>
      <protection hidden="1"/>
    </xf>
    <xf numFmtId="4" fontId="24" fillId="0" borderId="34" xfId="109" applyNumberFormat="1" applyFont="1" applyFill="1" applyBorder="1" applyAlignment="1" applyProtection="1">
      <alignment vertical="center"/>
      <protection hidden="1"/>
    </xf>
    <xf numFmtId="0" fontId="24" fillId="0" borderId="35" xfId="0" applyFont="1" applyFill="1" applyBorder="1" applyAlignment="1" applyProtection="1">
      <alignment vertical="center"/>
      <protection hidden="1"/>
    </xf>
    <xf numFmtId="4" fontId="24" fillId="0" borderId="36" xfId="109" applyNumberFormat="1" applyFont="1" applyFill="1" applyBorder="1" applyAlignment="1" applyProtection="1">
      <alignment horizontal="center" vertical="center"/>
      <protection hidden="1"/>
    </xf>
    <xf numFmtId="4" fontId="24" fillId="0" borderId="37" xfId="109" applyNumberFormat="1" applyFont="1" applyFill="1" applyBorder="1" applyAlignment="1" applyProtection="1">
      <alignment vertical="center"/>
      <protection hidden="1"/>
    </xf>
    <xf numFmtId="0" fontId="24" fillId="0" borderId="0" xfId="0" applyFont="1" applyFill="1" applyBorder="1" applyAlignment="1" applyProtection="1">
      <alignment vertical="center"/>
      <protection hidden="1"/>
    </xf>
    <xf numFmtId="0" fontId="27" fillId="0" borderId="41" xfId="0" applyFont="1" applyFill="1" applyBorder="1" applyAlignment="1" applyProtection="1">
      <alignment vertical="center"/>
      <protection hidden="1"/>
    </xf>
    <xf numFmtId="4" fontId="24" fillId="0" borderId="18" xfId="109" applyNumberFormat="1" applyFont="1" applyFill="1" applyBorder="1" applyAlignment="1" applyProtection="1">
      <alignment horizontal="center" vertical="center"/>
      <protection hidden="1"/>
    </xf>
    <xf numFmtId="4" fontId="24" fillId="0" borderId="19" xfId="109" applyNumberFormat="1" applyFont="1" applyFill="1" applyBorder="1" applyAlignment="1" applyProtection="1">
      <alignment horizontal="center" vertical="center"/>
      <protection hidden="1"/>
    </xf>
    <xf numFmtId="4" fontId="24" fillId="0" borderId="14" xfId="109" applyNumberFormat="1" applyFont="1" applyFill="1" applyBorder="1" applyAlignment="1" applyProtection="1">
      <alignment horizontal="center" vertical="center"/>
      <protection hidden="1"/>
    </xf>
    <xf numFmtId="4" fontId="27" fillId="0" borderId="18" xfId="109" applyNumberFormat="1" applyFont="1" applyFill="1" applyBorder="1" applyAlignment="1" applyProtection="1">
      <alignment vertical="center"/>
      <protection hidden="1"/>
    </xf>
    <xf numFmtId="4" fontId="24" fillId="0" borderId="16" xfId="109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Fill="1" applyBorder="1" applyAlignment="1" applyProtection="1">
      <alignment vertical="center"/>
      <protection hidden="1"/>
    </xf>
    <xf numFmtId="0" fontId="26" fillId="0" borderId="18" xfId="0" applyFont="1" applyFill="1" applyBorder="1" applyAlignment="1" applyProtection="1">
      <alignment vertical="center"/>
      <protection hidden="1"/>
    </xf>
    <xf numFmtId="4" fontId="26" fillId="0" borderId="18" xfId="109" applyNumberFormat="1" applyFont="1" applyFill="1" applyBorder="1" applyAlignment="1" applyProtection="1">
      <alignment vertical="center"/>
      <protection hidden="1"/>
    </xf>
    <xf numFmtId="0" fontId="26" fillId="0" borderId="12" xfId="0" applyFont="1" applyFill="1" applyBorder="1" applyAlignment="1">
      <alignment vertical="center"/>
    </xf>
    <xf numFmtId="4" fontId="24" fillId="0" borderId="12" xfId="109" applyNumberFormat="1" applyFont="1" applyFill="1" applyBorder="1" applyAlignment="1" applyProtection="1">
      <alignment vertical="center"/>
      <protection hidden="1"/>
    </xf>
    <xf numFmtId="4" fontId="24" fillId="0" borderId="11" xfId="109" applyNumberFormat="1" applyFont="1" applyFill="1" applyBorder="1" applyAlignment="1" applyProtection="1">
      <alignment horizontal="left" vertical="center"/>
      <protection hidden="1"/>
    </xf>
    <xf numFmtId="4" fontId="24" fillId="0" borderId="13" xfId="109" applyNumberFormat="1" applyFont="1" applyFill="1" applyBorder="1" applyAlignment="1" applyProtection="1">
      <alignment vertical="center"/>
      <protection hidden="1"/>
    </xf>
    <xf numFmtId="4" fontId="24" fillId="0" borderId="12" xfId="109" applyNumberFormat="1" applyFont="1" applyFill="1" applyBorder="1" applyAlignment="1" applyProtection="1">
      <alignment horizontal="left" vertical="center"/>
      <protection hidden="1"/>
    </xf>
    <xf numFmtId="0" fontId="26" fillId="0" borderId="0" xfId="0" applyFont="1" applyFill="1" applyBorder="1" applyAlignment="1">
      <alignment vertical="center"/>
    </xf>
    <xf numFmtId="4" fontId="24" fillId="0" borderId="0" xfId="109" applyNumberFormat="1" applyFont="1" applyFill="1" applyBorder="1" applyAlignment="1" applyProtection="1">
      <alignment vertical="center"/>
    </xf>
    <xf numFmtId="167" fontId="24" fillId="0" borderId="0" xfId="0" applyNumberFormat="1" applyFont="1" applyFill="1" applyAlignment="1">
      <alignment vertical="center"/>
    </xf>
    <xf numFmtId="0" fontId="23" fillId="0" borderId="28" xfId="0" applyFont="1" applyFill="1" applyBorder="1" applyAlignment="1" applyProtection="1">
      <alignment horizontal="center" vertical="center"/>
      <protection hidden="1"/>
    </xf>
    <xf numFmtId="0" fontId="23" fillId="0" borderId="27" xfId="0" applyFont="1" applyFill="1" applyBorder="1" applyAlignment="1" applyProtection="1">
      <alignment horizontal="center" vertical="center"/>
      <protection hidden="1"/>
    </xf>
    <xf numFmtId="0" fontId="23" fillId="0" borderId="29" xfId="0" applyFont="1" applyFill="1" applyBorder="1" applyAlignment="1" applyProtection="1">
      <alignment horizontal="center" vertical="center"/>
      <protection hidden="1"/>
    </xf>
    <xf numFmtId="166" fontId="24" fillId="19" borderId="39" xfId="0" applyNumberFormat="1" applyFont="1" applyFill="1" applyBorder="1" applyAlignment="1" applyProtection="1">
      <alignment horizontal="center" vertical="center"/>
      <protection locked="0"/>
    </xf>
    <xf numFmtId="166" fontId="24" fillId="19" borderId="40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Fill="1" applyAlignment="1">
      <alignment horizontal="center" vertical="center"/>
    </xf>
    <xf numFmtId="0" fontId="23" fillId="0" borderId="26" xfId="0" applyFont="1" applyFill="1" applyBorder="1" applyAlignment="1" applyProtection="1">
      <alignment horizontal="center" vertical="center"/>
      <protection hidden="1"/>
    </xf>
    <xf numFmtId="0" fontId="23" fillId="0" borderId="0" xfId="0" applyFont="1" applyFill="1" applyBorder="1" applyAlignment="1" applyProtection="1">
      <alignment horizontal="center" vertical="center"/>
      <protection hidden="1"/>
    </xf>
  </cellXfs>
  <cellStyles count="179">
    <cellStyle name="20% - Accent1 1" xfId="2" xr:uid="{00000000-0005-0000-0000-000001000000}"/>
    <cellStyle name="20% - Accent1 2" xfId="3" xr:uid="{00000000-0005-0000-0000-000002000000}"/>
    <cellStyle name="20% - Accent1 3" xfId="4" xr:uid="{00000000-0005-0000-0000-000003000000}"/>
    <cellStyle name="20% - Accent2 1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3 1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1" xfId="14" xr:uid="{00000000-0005-0000-0000-00000D000000}"/>
    <cellStyle name="20% - Accent4 2" xfId="15" xr:uid="{00000000-0005-0000-0000-00000E000000}"/>
    <cellStyle name="20% - Accent4 3" xfId="16" xr:uid="{00000000-0005-0000-0000-00000F000000}"/>
    <cellStyle name="20% - Accent5 1" xfId="18" xr:uid="{00000000-0005-0000-0000-000011000000}"/>
    <cellStyle name="20% - Accent5 2" xfId="19" xr:uid="{00000000-0005-0000-0000-000012000000}"/>
    <cellStyle name="20% - Accent5 3" xfId="20" xr:uid="{00000000-0005-0000-0000-000013000000}"/>
    <cellStyle name="20% - Accent6 1" xfId="22" xr:uid="{00000000-0005-0000-0000-000015000000}"/>
    <cellStyle name="20% - Accent6 2" xfId="23" xr:uid="{00000000-0005-0000-0000-000016000000}"/>
    <cellStyle name="20% - Accent6 3" xfId="24" xr:uid="{00000000-0005-0000-0000-000017000000}"/>
    <cellStyle name="20% - Colore 1" xfId="1" builtinId="30" customBuiltin="1"/>
    <cellStyle name="20% - Colore 2" xfId="5" builtinId="34" customBuiltin="1"/>
    <cellStyle name="20% - Colore 3" xfId="9" builtinId="38" customBuiltin="1"/>
    <cellStyle name="20% - Colore 4" xfId="13" builtinId="42" customBuiltin="1"/>
    <cellStyle name="20% - Colore 5" xfId="17" builtinId="46" customBuiltin="1"/>
    <cellStyle name="20% - Colore 6" xfId="21" builtinId="50" customBuiltin="1"/>
    <cellStyle name="40% - Accent1 1" xfId="26" xr:uid="{00000000-0005-0000-0000-000019000000}"/>
    <cellStyle name="40% - Accent1 2" xfId="27" xr:uid="{00000000-0005-0000-0000-00001A000000}"/>
    <cellStyle name="40% - Accent1 3" xfId="28" xr:uid="{00000000-0005-0000-0000-00001B000000}"/>
    <cellStyle name="40% - Accent2 1" xfId="30" xr:uid="{00000000-0005-0000-0000-00001D000000}"/>
    <cellStyle name="40% - Accent2 2" xfId="31" xr:uid="{00000000-0005-0000-0000-00001E000000}"/>
    <cellStyle name="40% - Accent2 3" xfId="32" xr:uid="{00000000-0005-0000-0000-00001F000000}"/>
    <cellStyle name="40% - Accent3 1" xfId="34" xr:uid="{00000000-0005-0000-0000-000021000000}"/>
    <cellStyle name="40% - Accent3 2" xfId="35" xr:uid="{00000000-0005-0000-0000-000022000000}"/>
    <cellStyle name="40% - Accent3 3" xfId="36" xr:uid="{00000000-0005-0000-0000-000023000000}"/>
    <cellStyle name="40% - Accent4 1" xfId="38" xr:uid="{00000000-0005-0000-0000-000025000000}"/>
    <cellStyle name="40% - Accent4 2" xfId="39" xr:uid="{00000000-0005-0000-0000-000026000000}"/>
    <cellStyle name="40% - Accent4 3" xfId="40" xr:uid="{00000000-0005-0000-0000-000027000000}"/>
    <cellStyle name="40% - Accent5 1" xfId="42" xr:uid="{00000000-0005-0000-0000-000029000000}"/>
    <cellStyle name="40% - Accent5 2" xfId="43" xr:uid="{00000000-0005-0000-0000-00002A000000}"/>
    <cellStyle name="40% - Accent5 3" xfId="44" xr:uid="{00000000-0005-0000-0000-00002B000000}"/>
    <cellStyle name="40% - Accent6 1" xfId="46" xr:uid="{00000000-0005-0000-0000-00002D000000}"/>
    <cellStyle name="40% - Accent6 2" xfId="47" xr:uid="{00000000-0005-0000-0000-00002E000000}"/>
    <cellStyle name="40% - Accent6 3" xfId="48" xr:uid="{00000000-0005-0000-0000-00002F000000}"/>
    <cellStyle name="40% - Colore 1" xfId="25" builtinId="31" customBuiltin="1"/>
    <cellStyle name="40% - Colore 2" xfId="29" builtinId="35" customBuiltin="1"/>
    <cellStyle name="40% - Colore 3" xfId="33" builtinId="39" customBuiltin="1"/>
    <cellStyle name="40% - Colore 4" xfId="37" builtinId="43" customBuiltin="1"/>
    <cellStyle name="40% - Colore 5" xfId="41" builtinId="47" customBuiltin="1"/>
    <cellStyle name="40% - Colore 6" xfId="45" builtinId="51" customBuiltin="1"/>
    <cellStyle name="60% - Accent1 1" xfId="50" xr:uid="{00000000-0005-0000-0000-000031000000}"/>
    <cellStyle name="60% - Accent1 2" xfId="51" xr:uid="{00000000-0005-0000-0000-000032000000}"/>
    <cellStyle name="60% - Accent1 3" xfId="52" xr:uid="{00000000-0005-0000-0000-000033000000}"/>
    <cellStyle name="60% - Accent2 1" xfId="54" xr:uid="{00000000-0005-0000-0000-000035000000}"/>
    <cellStyle name="60% - Accent2 2" xfId="55" xr:uid="{00000000-0005-0000-0000-000036000000}"/>
    <cellStyle name="60% - Accent2 3" xfId="56" xr:uid="{00000000-0005-0000-0000-000037000000}"/>
    <cellStyle name="60% - Accent3 1" xfId="58" xr:uid="{00000000-0005-0000-0000-000039000000}"/>
    <cellStyle name="60% - Accent3 2" xfId="59" xr:uid="{00000000-0005-0000-0000-00003A000000}"/>
    <cellStyle name="60% - Accent3 3" xfId="60" xr:uid="{00000000-0005-0000-0000-00003B000000}"/>
    <cellStyle name="60% - Accent4 1" xfId="62" xr:uid="{00000000-0005-0000-0000-00003D000000}"/>
    <cellStyle name="60% - Accent4 2" xfId="63" xr:uid="{00000000-0005-0000-0000-00003E000000}"/>
    <cellStyle name="60% - Accent4 3" xfId="64" xr:uid="{00000000-0005-0000-0000-00003F000000}"/>
    <cellStyle name="60% - Accent5 1" xfId="66" xr:uid="{00000000-0005-0000-0000-000041000000}"/>
    <cellStyle name="60% - Accent5 2" xfId="67" xr:uid="{00000000-0005-0000-0000-000042000000}"/>
    <cellStyle name="60% - Accent5 3" xfId="68" xr:uid="{00000000-0005-0000-0000-000043000000}"/>
    <cellStyle name="60% - Accent6 1" xfId="70" xr:uid="{00000000-0005-0000-0000-000045000000}"/>
    <cellStyle name="60% - Accent6 2" xfId="71" xr:uid="{00000000-0005-0000-0000-000046000000}"/>
    <cellStyle name="60% - Accent6 3" xfId="72" xr:uid="{00000000-0005-0000-0000-000047000000}"/>
    <cellStyle name="60% - Colore 1" xfId="49" builtinId="32" customBuiltin="1"/>
    <cellStyle name="60% - Colore 2" xfId="53" builtinId="36" customBuiltin="1"/>
    <cellStyle name="60% - Colore 3" xfId="57" builtinId="40" customBuiltin="1"/>
    <cellStyle name="60% - Colore 4" xfId="61" builtinId="44" customBuiltin="1"/>
    <cellStyle name="60% - Colore 5" xfId="65" builtinId="48" customBuiltin="1"/>
    <cellStyle name="60% - Colore 6" xfId="69" builtinId="52" customBuiltin="1"/>
    <cellStyle name="Accent1 1" xfId="74" xr:uid="{00000000-0005-0000-0000-000049000000}"/>
    <cellStyle name="Accent1 2" xfId="75" xr:uid="{00000000-0005-0000-0000-00004A000000}"/>
    <cellStyle name="Accent1 3" xfId="76" xr:uid="{00000000-0005-0000-0000-00004B000000}"/>
    <cellStyle name="Accent2 1" xfId="78" xr:uid="{00000000-0005-0000-0000-00004D000000}"/>
    <cellStyle name="Accent2 2" xfId="79" xr:uid="{00000000-0005-0000-0000-00004E000000}"/>
    <cellStyle name="Accent2 3" xfId="80" xr:uid="{00000000-0005-0000-0000-00004F000000}"/>
    <cellStyle name="Accent3 1" xfId="82" xr:uid="{00000000-0005-0000-0000-000051000000}"/>
    <cellStyle name="Accent3 2" xfId="83" xr:uid="{00000000-0005-0000-0000-000052000000}"/>
    <cellStyle name="Accent3 3" xfId="84" xr:uid="{00000000-0005-0000-0000-000053000000}"/>
    <cellStyle name="Accent4 1" xfId="86" xr:uid="{00000000-0005-0000-0000-000055000000}"/>
    <cellStyle name="Accent4 2" xfId="87" xr:uid="{00000000-0005-0000-0000-000056000000}"/>
    <cellStyle name="Accent4 3" xfId="88" xr:uid="{00000000-0005-0000-0000-000057000000}"/>
    <cellStyle name="Accent5 1" xfId="90" xr:uid="{00000000-0005-0000-0000-000059000000}"/>
    <cellStyle name="Accent5 2" xfId="91" xr:uid="{00000000-0005-0000-0000-00005A000000}"/>
    <cellStyle name="Accent5 3" xfId="92" xr:uid="{00000000-0005-0000-0000-00005B000000}"/>
    <cellStyle name="Accent6 1" xfId="94" xr:uid="{00000000-0005-0000-0000-00005D000000}"/>
    <cellStyle name="Accent6 2" xfId="95" xr:uid="{00000000-0005-0000-0000-00005E000000}"/>
    <cellStyle name="Accent6 3" xfId="96" xr:uid="{00000000-0005-0000-0000-00005F000000}"/>
    <cellStyle name="Bad 1" xfId="98" xr:uid="{00000000-0005-0000-0000-000061000000}"/>
    <cellStyle name="Bad 2" xfId="99" xr:uid="{00000000-0005-0000-0000-000062000000}"/>
    <cellStyle name="Bad 3" xfId="100" xr:uid="{00000000-0005-0000-0000-000063000000}"/>
    <cellStyle name="Calcolo" xfId="101" builtinId="22" customBuiltin="1"/>
    <cellStyle name="Calculation 1" xfId="102" xr:uid="{00000000-0005-0000-0000-000065000000}"/>
    <cellStyle name="Calculation 2" xfId="103" xr:uid="{00000000-0005-0000-0000-000066000000}"/>
    <cellStyle name="Calculation 3" xfId="104" xr:uid="{00000000-0005-0000-0000-000067000000}"/>
    <cellStyle name="Cella collegata" xfId="144" builtinId="24" customBuiltin="1"/>
    <cellStyle name="Cella da controllare" xfId="105" builtinId="23" customBuiltin="1"/>
    <cellStyle name="Check Cell 1" xfId="106" xr:uid="{00000000-0005-0000-0000-000069000000}"/>
    <cellStyle name="Check Cell 2" xfId="107" xr:uid="{00000000-0005-0000-0000-00006A000000}"/>
    <cellStyle name="Check Cell 3" xfId="108" xr:uid="{00000000-0005-0000-0000-00006B000000}"/>
    <cellStyle name="Colore 1" xfId="73" builtinId="29" customBuiltin="1"/>
    <cellStyle name="Colore 2" xfId="77" builtinId="33" customBuiltin="1"/>
    <cellStyle name="Colore 3" xfId="81" builtinId="37" customBuiltin="1"/>
    <cellStyle name="Colore 4" xfId="85" builtinId="41" customBuiltin="1"/>
    <cellStyle name="Colore 5" xfId="89" builtinId="45" customBuiltin="1"/>
    <cellStyle name="Colore 6" xfId="93" builtinId="49" customBuiltin="1"/>
    <cellStyle name="ConditionalStyle_2" xfId="110" xr:uid="{00000000-0005-0000-0000-00006D000000}"/>
    <cellStyle name="Excel Built-in Comma" xfId="111" xr:uid="{00000000-0005-0000-0000-00006E000000}"/>
    <cellStyle name="Excel Built-in Normal" xfId="112" xr:uid="{00000000-0005-0000-0000-00006F000000}"/>
    <cellStyle name="Excel Built-in Percent" xfId="113" xr:uid="{00000000-0005-0000-0000-000070000000}"/>
    <cellStyle name="Explanatory Text 1" xfId="115" xr:uid="{00000000-0005-0000-0000-000072000000}"/>
    <cellStyle name="Explanatory Text 2" xfId="116" xr:uid="{00000000-0005-0000-0000-000073000000}"/>
    <cellStyle name="Explanatory Text 3" xfId="117" xr:uid="{00000000-0005-0000-0000-000074000000}"/>
    <cellStyle name="Good 1" xfId="119" xr:uid="{00000000-0005-0000-0000-000076000000}"/>
    <cellStyle name="Good 2" xfId="120" xr:uid="{00000000-0005-0000-0000-000077000000}"/>
    <cellStyle name="Good 3" xfId="121" xr:uid="{00000000-0005-0000-0000-000078000000}"/>
    <cellStyle name="Heading 1 1" xfId="123" xr:uid="{00000000-0005-0000-0000-00007A000000}"/>
    <cellStyle name="Heading 1 2" xfId="124" xr:uid="{00000000-0005-0000-0000-00007B000000}"/>
    <cellStyle name="Heading 1 3" xfId="125" xr:uid="{00000000-0005-0000-0000-00007C000000}"/>
    <cellStyle name="Heading 1 4" xfId="126" xr:uid="{00000000-0005-0000-0000-00007D000000}"/>
    <cellStyle name="Heading 2 1" xfId="128" xr:uid="{00000000-0005-0000-0000-00007F000000}"/>
    <cellStyle name="Heading 2 2" xfId="129" xr:uid="{00000000-0005-0000-0000-000080000000}"/>
    <cellStyle name="Heading 2 3" xfId="130" xr:uid="{00000000-0005-0000-0000-000081000000}"/>
    <cellStyle name="Heading 3 1" xfId="132" xr:uid="{00000000-0005-0000-0000-000083000000}"/>
    <cellStyle name="Heading 3 2" xfId="133" xr:uid="{00000000-0005-0000-0000-000084000000}"/>
    <cellStyle name="Heading 3 3" xfId="134" xr:uid="{00000000-0005-0000-0000-000085000000}"/>
    <cellStyle name="Heading 4 1" xfId="136" xr:uid="{00000000-0005-0000-0000-000087000000}"/>
    <cellStyle name="Heading 4 2" xfId="137" xr:uid="{00000000-0005-0000-0000-000088000000}"/>
    <cellStyle name="Heading 4 3" xfId="138" xr:uid="{00000000-0005-0000-0000-000089000000}"/>
    <cellStyle name="Heading1 1" xfId="139" xr:uid="{00000000-0005-0000-0000-00008A000000}"/>
    <cellStyle name="Input" xfId="140" builtinId="20" customBuiltin="1"/>
    <cellStyle name="Input 1" xfId="141" xr:uid="{00000000-0005-0000-0000-00008C000000}"/>
    <cellStyle name="Input 2" xfId="142" xr:uid="{00000000-0005-0000-0000-00008D000000}"/>
    <cellStyle name="Input 3" xfId="143" xr:uid="{00000000-0005-0000-0000-00008E000000}"/>
    <cellStyle name="Linked Cell 1" xfId="145" xr:uid="{00000000-0005-0000-0000-000090000000}"/>
    <cellStyle name="Linked Cell 2" xfId="146" xr:uid="{00000000-0005-0000-0000-000091000000}"/>
    <cellStyle name="Linked Cell 3" xfId="147" xr:uid="{00000000-0005-0000-0000-000092000000}"/>
    <cellStyle name="Migliaia" xfId="109" builtinId="3"/>
    <cellStyle name="Neutral 1" xfId="149" xr:uid="{00000000-0005-0000-0000-000094000000}"/>
    <cellStyle name="Neutral 2" xfId="150" xr:uid="{00000000-0005-0000-0000-000095000000}"/>
    <cellStyle name="Neutral 3" xfId="151" xr:uid="{00000000-0005-0000-0000-000096000000}"/>
    <cellStyle name="Neutrale" xfId="148" builtinId="28" customBuiltin="1"/>
    <cellStyle name="Normal 2" xfId="152" xr:uid="{00000000-0005-0000-0000-000098000000}"/>
    <cellStyle name="Normal 2 1" xfId="153" xr:uid="{00000000-0005-0000-0000-000099000000}"/>
    <cellStyle name="Normal 2 2" xfId="154" xr:uid="{00000000-0005-0000-0000-00009A000000}"/>
    <cellStyle name="Normal 2 3" xfId="155" xr:uid="{00000000-0005-0000-0000-00009B000000}"/>
    <cellStyle name="Normal 2_Monthly Sales" xfId="156" xr:uid="{00000000-0005-0000-0000-00009C000000}"/>
    <cellStyle name="Normale" xfId="0" builtinId="0"/>
    <cellStyle name="Nota" xfId="157" builtinId="10" customBuiltin="1"/>
    <cellStyle name="Note 1" xfId="158" xr:uid="{00000000-0005-0000-0000-00009E000000}"/>
    <cellStyle name="Note 2" xfId="159" xr:uid="{00000000-0005-0000-0000-00009F000000}"/>
    <cellStyle name="Note 3" xfId="160" xr:uid="{00000000-0005-0000-0000-0000A0000000}"/>
    <cellStyle name="Output" xfId="161" builtinId="21" customBuiltin="1"/>
    <cellStyle name="Output 1" xfId="162" xr:uid="{00000000-0005-0000-0000-0000A2000000}"/>
    <cellStyle name="Output 2" xfId="163" xr:uid="{00000000-0005-0000-0000-0000A3000000}"/>
    <cellStyle name="Output 3" xfId="164" xr:uid="{00000000-0005-0000-0000-0000A4000000}"/>
    <cellStyle name="Result 1" xfId="165" xr:uid="{00000000-0005-0000-0000-0000A5000000}"/>
    <cellStyle name="Result2 1" xfId="166" xr:uid="{00000000-0005-0000-0000-0000A6000000}"/>
    <cellStyle name="Testo avviso" xfId="175" builtinId="11" customBuiltin="1"/>
    <cellStyle name="Testo descrittivo" xfId="114" builtinId="53" customBuiltin="1"/>
    <cellStyle name="Title 1" xfId="168" xr:uid="{00000000-0005-0000-0000-0000A8000000}"/>
    <cellStyle name="Title 2" xfId="169" xr:uid="{00000000-0005-0000-0000-0000A9000000}"/>
    <cellStyle name="Title 3" xfId="170" xr:uid="{00000000-0005-0000-0000-0000AA000000}"/>
    <cellStyle name="Titolo" xfId="167" builtinId="15" customBuiltin="1"/>
    <cellStyle name="Titolo 1" xfId="122" builtinId="16" customBuiltin="1"/>
    <cellStyle name="Titolo 2" xfId="127" builtinId="17" customBuiltin="1"/>
    <cellStyle name="Titolo 3" xfId="131" builtinId="18" customBuiltin="1"/>
    <cellStyle name="Titolo 4" xfId="135" builtinId="19" customBuiltin="1"/>
    <cellStyle name="Total 1" xfId="172" xr:uid="{00000000-0005-0000-0000-0000AC000000}"/>
    <cellStyle name="Total 2" xfId="173" xr:uid="{00000000-0005-0000-0000-0000AD000000}"/>
    <cellStyle name="Total 3" xfId="174" xr:uid="{00000000-0005-0000-0000-0000AE000000}"/>
    <cellStyle name="Totale" xfId="171" builtinId="25" customBuiltin="1"/>
    <cellStyle name="Valore non valido" xfId="97" builtinId="27" customBuiltin="1"/>
    <cellStyle name="Valore valido" xfId="118" builtinId="26" customBuiltin="1"/>
    <cellStyle name="Warning Text 1" xfId="176" xr:uid="{00000000-0005-0000-0000-0000B0000000}"/>
    <cellStyle name="Warning Text 2" xfId="177" xr:uid="{00000000-0005-0000-0000-0000B1000000}"/>
    <cellStyle name="Warning Text 3" xfId="178" xr:uid="{00000000-0005-0000-0000-0000B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29900"/>
      <rgbColor rgb="00800080"/>
      <rgbColor rgb="00008080"/>
      <rgbColor rgb="00C0C0C0"/>
      <rgbColor rgb="00808080"/>
      <rgbColor rgb="00CC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B9C"/>
      <rgbColor rgb="0000FFFF"/>
      <rgbColor rgb="00800080"/>
      <rgbColor rgb="009C0006"/>
      <rgbColor rgb="00008080"/>
      <rgbColor rgb="000000FF"/>
      <rgbColor rgb="0000CCFF"/>
      <rgbColor rgb="00C6EFCE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FFC7CE"/>
      <rgbColor rgb="00FFCC00"/>
      <rgbColor rgb="00FF9900"/>
      <rgbColor rgb="00FF6600"/>
      <rgbColor rgb="00666699"/>
      <rgbColor rgb="00969696"/>
      <rgbColor rgb="00003366"/>
      <rgbColor rgb="00339966"/>
      <rgbColor rgb="00006100"/>
      <rgbColor rgb="00333300"/>
      <rgbColor rgb="00993300"/>
      <rgbColor rgb="009C65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5"/>
  <sheetViews>
    <sheetView showGridLines="0" tabSelected="1" zoomScale="145" zoomScaleNormal="145" zoomScaleSheetLayoutView="130" workbookViewId="0">
      <selection activeCell="B5" sqref="B5:J5"/>
    </sheetView>
  </sheetViews>
  <sheetFormatPr baseColWidth="10" defaultColWidth="9.1640625" defaultRowHeight="11" x14ac:dyDescent="0.15"/>
  <cols>
    <col min="1" max="1" width="1.5" style="2" customWidth="1"/>
    <col min="2" max="2" width="15" style="3" customWidth="1"/>
    <col min="3" max="3" width="9.83203125" style="3" customWidth="1"/>
    <col min="4" max="4" width="12.5" style="3" customWidth="1"/>
    <col min="5" max="5" width="10" style="3" customWidth="1"/>
    <col min="6" max="6" width="23.1640625" style="3" customWidth="1"/>
    <col min="7" max="7" width="10" style="3" customWidth="1"/>
    <col min="8" max="8" width="8.83203125" style="3" customWidth="1"/>
    <col min="9" max="9" width="9.6640625" style="3" customWidth="1"/>
    <col min="10" max="10" width="23.1640625" style="4" customWidth="1"/>
    <col min="11" max="11" width="1.5" style="5" customWidth="1"/>
    <col min="12" max="12" width="11" style="5" customWidth="1"/>
    <col min="13" max="16384" width="9.1640625" style="5"/>
  </cols>
  <sheetData>
    <row r="1" spans="1:12" ht="136.25" customHeight="1" x14ac:dyDescent="0.15"/>
    <row r="2" spans="1:12" ht="18.5" customHeight="1" x14ac:dyDescent="0.15">
      <c r="B2" s="90" t="s">
        <v>25</v>
      </c>
      <c r="C2" s="90"/>
      <c r="D2" s="90"/>
      <c r="E2" s="90"/>
      <c r="F2" s="90"/>
      <c r="G2" s="90"/>
      <c r="H2" s="90"/>
      <c r="I2" s="90"/>
      <c r="J2" s="90"/>
    </row>
    <row r="3" spans="1:12" ht="12" thickBot="1" x14ac:dyDescent="0.2"/>
    <row r="4" spans="1:12" ht="12" thickBot="1" x14ac:dyDescent="0.2">
      <c r="B4" s="1" t="s">
        <v>26</v>
      </c>
      <c r="C4" s="88">
        <v>44774</v>
      </c>
      <c r="D4" s="89"/>
      <c r="E4" s="6"/>
      <c r="F4" s="6"/>
      <c r="G4" s="6"/>
      <c r="H4" s="6"/>
      <c r="I4" s="6"/>
      <c r="J4" s="7"/>
    </row>
    <row r="5" spans="1:12" ht="15" customHeight="1" thickBot="1" x14ac:dyDescent="0.2">
      <c r="B5" s="85" t="s">
        <v>2</v>
      </c>
      <c r="C5" s="86"/>
      <c r="D5" s="86"/>
      <c r="E5" s="86"/>
      <c r="F5" s="86"/>
      <c r="G5" s="86"/>
      <c r="H5" s="86"/>
      <c r="I5" s="86"/>
      <c r="J5" s="87"/>
    </row>
    <row r="6" spans="1:12" s="15" customFormat="1" ht="13" thickBot="1" x14ac:dyDescent="0.2">
      <c r="A6" s="8"/>
      <c r="B6" s="9"/>
      <c r="C6" s="10" t="s">
        <v>10</v>
      </c>
      <c r="D6" s="11" t="s">
        <v>11</v>
      </c>
      <c r="E6" s="11" t="s">
        <v>12</v>
      </c>
      <c r="F6" s="12" t="s">
        <v>30</v>
      </c>
      <c r="G6" s="10" t="s">
        <v>13</v>
      </c>
      <c r="H6" s="11" t="s">
        <v>11</v>
      </c>
      <c r="I6" s="13" t="s">
        <v>12</v>
      </c>
      <c r="J6" s="14" t="s">
        <v>30</v>
      </c>
    </row>
    <row r="7" spans="1:12" s="15" customFormat="1" x14ac:dyDescent="0.15">
      <c r="A7" s="8"/>
      <c r="B7" s="16" t="s">
        <v>31</v>
      </c>
      <c r="C7" s="17" t="s">
        <v>5</v>
      </c>
      <c r="D7" s="18" t="s">
        <v>27</v>
      </c>
      <c r="E7" s="17" t="s">
        <v>29</v>
      </c>
      <c r="F7" s="19"/>
      <c r="G7" s="17" t="s">
        <v>5</v>
      </c>
      <c r="H7" s="18"/>
      <c r="I7" s="17" t="s">
        <v>14</v>
      </c>
      <c r="J7" s="20"/>
      <c r="L7" s="21"/>
    </row>
    <row r="8" spans="1:12" x14ac:dyDescent="0.15">
      <c r="B8" s="22" t="s">
        <v>15</v>
      </c>
      <c r="C8" s="23">
        <v>4888.04</v>
      </c>
      <c r="D8" s="23">
        <v>4890</v>
      </c>
      <c r="E8" s="24">
        <f>D8-C8</f>
        <v>1.9600000000000364</v>
      </c>
      <c r="F8" s="25"/>
      <c r="G8" s="25"/>
      <c r="H8" s="25"/>
      <c r="I8" s="24"/>
      <c r="J8" s="26"/>
    </row>
    <row r="9" spans="1:12" x14ac:dyDescent="0.15">
      <c r="B9" s="22" t="s">
        <v>28</v>
      </c>
      <c r="C9" s="23">
        <v>18065.03</v>
      </c>
      <c r="D9" s="23">
        <v>18065.03</v>
      </c>
      <c r="E9" s="24">
        <f>D9-C9</f>
        <v>0</v>
      </c>
      <c r="F9" s="25"/>
      <c r="G9" s="25"/>
      <c r="H9" s="25"/>
      <c r="I9" s="24"/>
      <c r="J9" s="26"/>
    </row>
    <row r="10" spans="1:12" ht="12" thickBot="1" x14ac:dyDescent="0.2">
      <c r="B10" s="27" t="s">
        <v>4</v>
      </c>
      <c r="C10" s="28">
        <f>SUM(C8:C9)</f>
        <v>22953.07</v>
      </c>
      <c r="D10" s="28">
        <f>SUM(D8:D9)</f>
        <v>22955.03</v>
      </c>
      <c r="E10" s="28">
        <f>SUM(E8:E9)</f>
        <v>1.9600000000000364</v>
      </c>
      <c r="F10" s="29"/>
      <c r="G10" s="28">
        <f>SUM(G8:G9)</f>
        <v>0</v>
      </c>
      <c r="H10" s="28">
        <f>SUM(H8:H9)</f>
        <v>0</v>
      </c>
      <c r="I10" s="28">
        <f>SUM(I8:I9)</f>
        <v>0</v>
      </c>
      <c r="J10" s="30"/>
    </row>
    <row r="11" spans="1:12" ht="4.75" customHeight="1" thickBot="1" x14ac:dyDescent="0.2">
      <c r="B11" s="31"/>
      <c r="C11" s="32"/>
      <c r="D11" s="32"/>
      <c r="E11" s="32"/>
      <c r="F11" s="32"/>
      <c r="G11" s="32"/>
      <c r="H11" s="32"/>
      <c r="I11" s="32"/>
      <c r="J11" s="33"/>
    </row>
    <row r="12" spans="1:12" x14ac:dyDescent="0.15">
      <c r="B12" s="16" t="s">
        <v>32</v>
      </c>
      <c r="C12" s="34" t="s">
        <v>5</v>
      </c>
      <c r="D12" s="18" t="s">
        <v>27</v>
      </c>
      <c r="E12" s="34" t="s">
        <v>14</v>
      </c>
      <c r="F12" s="19"/>
      <c r="G12" s="34" t="s">
        <v>5</v>
      </c>
      <c r="H12" s="35"/>
      <c r="I12" s="34" t="s">
        <v>14</v>
      </c>
      <c r="J12" s="36"/>
    </row>
    <row r="13" spans="1:12" x14ac:dyDescent="0.15">
      <c r="B13" s="22" t="s">
        <v>15</v>
      </c>
      <c r="C13" s="23">
        <f>1650+3021.99</f>
        <v>4671.99</v>
      </c>
      <c r="D13" s="23">
        <v>4670</v>
      </c>
      <c r="E13" s="24">
        <f>D13-C13</f>
        <v>-1.9899999999997817</v>
      </c>
      <c r="F13" s="25"/>
      <c r="G13" s="25"/>
      <c r="H13" s="25"/>
      <c r="I13" s="24"/>
      <c r="J13" s="26"/>
    </row>
    <row r="14" spans="1:12" x14ac:dyDescent="0.15">
      <c r="B14" s="22" t="s">
        <v>28</v>
      </c>
      <c r="C14" s="23">
        <v>3210.04</v>
      </c>
      <c r="D14" s="23">
        <v>3210.04</v>
      </c>
      <c r="E14" s="24">
        <f>D14-C14</f>
        <v>0</v>
      </c>
      <c r="F14" s="25"/>
      <c r="G14" s="25"/>
      <c r="H14" s="25"/>
      <c r="I14" s="24"/>
      <c r="J14" s="26"/>
    </row>
    <row r="15" spans="1:12" ht="12" thickBot="1" x14ac:dyDescent="0.2">
      <c r="B15" s="27" t="s">
        <v>4</v>
      </c>
      <c r="C15" s="28">
        <f>SUM(C13:C14)</f>
        <v>7882.03</v>
      </c>
      <c r="D15" s="28">
        <f>SUM(D13:D14)</f>
        <v>7880.04</v>
      </c>
      <c r="E15" s="28">
        <f>SUM(E13:E14)</f>
        <v>-1.9899999999997817</v>
      </c>
      <c r="F15" s="29"/>
      <c r="G15" s="28">
        <f>SUM(G13:G14)</f>
        <v>0</v>
      </c>
      <c r="H15" s="28">
        <f>SUM(H13:H14)</f>
        <v>0</v>
      </c>
      <c r="I15" s="28">
        <f>SUM(I13:I14)</f>
        <v>0</v>
      </c>
      <c r="J15" s="30"/>
    </row>
    <row r="16" spans="1:12" ht="4.75" customHeight="1" thickBot="1" x14ac:dyDescent="0.2">
      <c r="B16" s="31"/>
      <c r="C16" s="32"/>
      <c r="D16" s="32"/>
      <c r="E16" s="32"/>
      <c r="F16" s="37"/>
      <c r="G16" s="32"/>
      <c r="H16" s="32"/>
      <c r="I16" s="32"/>
      <c r="J16" s="38"/>
    </row>
    <row r="17" spans="1:10" x14ac:dyDescent="0.15">
      <c r="B17" s="16" t="s">
        <v>33</v>
      </c>
      <c r="C17" s="34" t="s">
        <v>5</v>
      </c>
      <c r="D17" s="18" t="s">
        <v>27</v>
      </c>
      <c r="E17" s="34" t="s">
        <v>14</v>
      </c>
      <c r="F17" s="19"/>
      <c r="G17" s="34" t="s">
        <v>5</v>
      </c>
      <c r="H17" s="35"/>
      <c r="I17" s="34" t="s">
        <v>14</v>
      </c>
      <c r="J17" s="36"/>
    </row>
    <row r="18" spans="1:10" x14ac:dyDescent="0.15">
      <c r="A18" s="5"/>
      <c r="B18" s="22" t="s">
        <v>15</v>
      </c>
      <c r="C18" s="23">
        <f>11867.35+8564.34</f>
        <v>20431.690000000002</v>
      </c>
      <c r="D18" s="23">
        <v>20430</v>
      </c>
      <c r="E18" s="24">
        <f>D18-C18</f>
        <v>-1.6900000000023283</v>
      </c>
      <c r="F18" s="25"/>
      <c r="G18" s="25"/>
      <c r="H18" s="25"/>
      <c r="I18" s="24"/>
      <c r="J18" s="26"/>
    </row>
    <row r="19" spans="1:10" x14ac:dyDescent="0.15">
      <c r="A19" s="5"/>
      <c r="B19" s="22" t="s">
        <v>28</v>
      </c>
      <c r="C19" s="23"/>
      <c r="D19" s="23"/>
      <c r="E19" s="24">
        <f>D19-C19</f>
        <v>0</v>
      </c>
      <c r="F19" s="25"/>
      <c r="G19" s="25"/>
      <c r="H19" s="25"/>
      <c r="I19" s="24"/>
      <c r="J19" s="26"/>
    </row>
    <row r="20" spans="1:10" ht="12" thickBot="1" x14ac:dyDescent="0.2">
      <c r="A20" s="5"/>
      <c r="B20" s="27" t="s">
        <v>4</v>
      </c>
      <c r="C20" s="28">
        <f>SUM(C18:C19)</f>
        <v>20431.690000000002</v>
      </c>
      <c r="D20" s="28">
        <f>SUM(D18:D19)</f>
        <v>20430</v>
      </c>
      <c r="E20" s="28">
        <f>SUM(E18:E19)</f>
        <v>-1.6900000000023283</v>
      </c>
      <c r="F20" s="29"/>
      <c r="G20" s="28">
        <f>SUM(G18:G19)</f>
        <v>0</v>
      </c>
      <c r="H20" s="28">
        <f>SUM(H18:H19)</f>
        <v>0</v>
      </c>
      <c r="I20" s="28">
        <f>SUM(I18:I19)</f>
        <v>0</v>
      </c>
      <c r="J20" s="30"/>
    </row>
    <row r="21" spans="1:10" ht="15" customHeight="1" thickBot="1" x14ac:dyDescent="0.2">
      <c r="A21" s="5"/>
      <c r="B21" s="91" t="s">
        <v>3</v>
      </c>
      <c r="C21" s="92"/>
      <c r="D21" s="92"/>
      <c r="E21" s="92"/>
      <c r="F21" s="92"/>
      <c r="G21" s="92"/>
      <c r="H21" s="92"/>
      <c r="I21" s="92"/>
      <c r="J21" s="92"/>
    </row>
    <row r="22" spans="1:10" x14ac:dyDescent="0.15">
      <c r="A22" s="5"/>
      <c r="B22" s="16" t="s">
        <v>31</v>
      </c>
      <c r="C22" s="34" t="s">
        <v>5</v>
      </c>
      <c r="D22" s="39" t="s">
        <v>27</v>
      </c>
      <c r="E22" s="34" t="s">
        <v>14</v>
      </c>
      <c r="F22" s="40"/>
      <c r="G22" s="34" t="s">
        <v>5</v>
      </c>
      <c r="H22" s="35"/>
      <c r="I22" s="34" t="s">
        <v>14</v>
      </c>
      <c r="J22" s="36"/>
    </row>
    <row r="23" spans="1:10" x14ac:dyDescent="0.15">
      <c r="A23" s="5"/>
      <c r="B23" s="22" t="s">
        <v>15</v>
      </c>
      <c r="C23" s="41">
        <v>8515.32</v>
      </c>
      <c r="D23" s="41">
        <v>8515</v>
      </c>
      <c r="E23" s="24"/>
      <c r="F23" s="25"/>
      <c r="G23" s="25"/>
      <c r="H23" s="25"/>
      <c r="I23" s="24"/>
      <c r="J23" s="26"/>
    </row>
    <row r="24" spans="1:10" x14ac:dyDescent="0.15">
      <c r="A24" s="5"/>
      <c r="B24" s="22" t="s">
        <v>28</v>
      </c>
      <c r="C24" s="41">
        <v>4174.7299999999996</v>
      </c>
      <c r="D24" s="41">
        <v>4174.7299999999996</v>
      </c>
      <c r="E24" s="24"/>
      <c r="F24" s="25"/>
      <c r="G24" s="25"/>
      <c r="H24" s="25"/>
      <c r="I24" s="24"/>
      <c r="J24" s="26"/>
    </row>
    <row r="25" spans="1:10" ht="12" thickBot="1" x14ac:dyDescent="0.2">
      <c r="A25" s="5"/>
      <c r="B25" s="27" t="s">
        <v>4</v>
      </c>
      <c r="C25" s="28">
        <f>SUM(C23:C24)</f>
        <v>12690.05</v>
      </c>
      <c r="D25" s="28">
        <f>SUM(D23:D24)</f>
        <v>12689.73</v>
      </c>
      <c r="E25" s="28">
        <f>SUM(E23:E24)</f>
        <v>0</v>
      </c>
      <c r="F25" s="29"/>
      <c r="G25" s="28">
        <f>SUM(G23:G24)</f>
        <v>0</v>
      </c>
      <c r="H25" s="28">
        <f>SUM(H23:H24)</f>
        <v>0</v>
      </c>
      <c r="I25" s="28">
        <f>SUM(I23:I24)</f>
        <v>0</v>
      </c>
      <c r="J25" s="30"/>
    </row>
    <row r="26" spans="1:10" ht="4.75" customHeight="1" thickBot="1" x14ac:dyDescent="0.2">
      <c r="A26" s="5"/>
      <c r="B26" s="31"/>
      <c r="C26" s="32"/>
      <c r="D26" s="32"/>
      <c r="E26" s="32"/>
      <c r="F26" s="37"/>
      <c r="G26" s="32"/>
      <c r="H26" s="32"/>
      <c r="I26" s="32"/>
      <c r="J26" s="38"/>
    </row>
    <row r="27" spans="1:10" x14ac:dyDescent="0.15">
      <c r="A27" s="5"/>
      <c r="B27" s="16" t="s">
        <v>32</v>
      </c>
      <c r="C27" s="34" t="s">
        <v>5</v>
      </c>
      <c r="D27" s="39" t="s">
        <v>27</v>
      </c>
      <c r="E27" s="34" t="s">
        <v>14</v>
      </c>
      <c r="F27" s="40"/>
      <c r="G27" s="34" t="s">
        <v>5</v>
      </c>
      <c r="H27" s="35"/>
      <c r="I27" s="34" t="s">
        <v>14</v>
      </c>
      <c r="J27" s="36"/>
    </row>
    <row r="28" spans="1:10" ht="14" x14ac:dyDescent="0.15">
      <c r="A28" s="5"/>
      <c r="B28" s="22" t="s">
        <v>15</v>
      </c>
      <c r="C28" s="42">
        <f>799+3909.38</f>
        <v>4708.38</v>
      </c>
      <c r="D28" s="42">
        <v>4710</v>
      </c>
      <c r="E28" s="24"/>
      <c r="F28" s="25"/>
      <c r="G28" s="25"/>
      <c r="H28" s="25"/>
      <c r="I28" s="24"/>
      <c r="J28" s="26"/>
    </row>
    <row r="29" spans="1:10" ht="14" x14ac:dyDescent="0.15">
      <c r="A29" s="5"/>
      <c r="B29" s="22" t="s">
        <v>28</v>
      </c>
      <c r="C29" s="42">
        <v>1897.99</v>
      </c>
      <c r="D29" s="42">
        <v>1897.99</v>
      </c>
      <c r="E29" s="24"/>
      <c r="F29" s="25"/>
      <c r="G29" s="25"/>
      <c r="H29" s="25"/>
      <c r="I29" s="24"/>
      <c r="J29" s="26"/>
    </row>
    <row r="30" spans="1:10" ht="12" thickBot="1" x14ac:dyDescent="0.2">
      <c r="A30" s="5"/>
      <c r="B30" s="27" t="s">
        <v>4</v>
      </c>
      <c r="C30" s="28">
        <f>SUM(C28:C29)</f>
        <v>6606.37</v>
      </c>
      <c r="D30" s="28">
        <f>SUM(D28:D29)</f>
        <v>6607.99</v>
      </c>
      <c r="E30" s="28">
        <f>-C30+D30</f>
        <v>1.6199999999998909</v>
      </c>
      <c r="F30" s="29"/>
      <c r="G30" s="28">
        <f>SUM(G28:G29)</f>
        <v>0</v>
      </c>
      <c r="H30" s="28">
        <f>SUM(H28:H29)</f>
        <v>0</v>
      </c>
      <c r="I30" s="28">
        <f>SUM(I28:I29)</f>
        <v>0</v>
      </c>
      <c r="J30" s="30"/>
    </row>
    <row r="31" spans="1:10" ht="4.75" customHeight="1" thickBot="1" x14ac:dyDescent="0.2">
      <c r="A31" s="5"/>
      <c r="B31" s="31"/>
      <c r="C31" s="32"/>
      <c r="D31" s="32"/>
      <c r="E31" s="32"/>
      <c r="F31" s="37"/>
      <c r="G31" s="32"/>
      <c r="H31" s="32"/>
      <c r="I31" s="32"/>
      <c r="J31" s="38"/>
    </row>
    <row r="32" spans="1:10" x14ac:dyDescent="0.15">
      <c r="A32" s="5"/>
      <c r="B32" s="16" t="s">
        <v>33</v>
      </c>
      <c r="C32" s="34" t="s">
        <v>5</v>
      </c>
      <c r="D32" s="39" t="s">
        <v>27</v>
      </c>
      <c r="E32" s="34" t="s">
        <v>14</v>
      </c>
      <c r="F32" s="40"/>
      <c r="G32" s="34" t="s">
        <v>5</v>
      </c>
      <c r="H32" s="35"/>
      <c r="I32" s="34" t="s">
        <v>14</v>
      </c>
      <c r="J32" s="36"/>
    </row>
    <row r="33" spans="1:10" ht="14" x14ac:dyDescent="0.15">
      <c r="A33" s="5"/>
      <c r="B33" s="22" t="s">
        <v>15</v>
      </c>
      <c r="C33" s="43">
        <f>5445.96+1597.98</f>
        <v>7043.9400000000005</v>
      </c>
      <c r="D33" s="43">
        <v>7045</v>
      </c>
      <c r="E33" s="24">
        <f>D33-C33</f>
        <v>1.0599999999994907</v>
      </c>
      <c r="F33" s="25"/>
      <c r="G33" s="25"/>
      <c r="H33" s="25"/>
      <c r="I33" s="24"/>
      <c r="J33" s="44"/>
    </row>
    <row r="34" spans="1:10" x14ac:dyDescent="0.15">
      <c r="A34" s="5"/>
      <c r="B34" s="22" t="s">
        <v>28</v>
      </c>
      <c r="C34" s="23">
        <f>799+803.11</f>
        <v>1602.1100000000001</v>
      </c>
      <c r="D34" s="23">
        <v>1602.11</v>
      </c>
      <c r="E34" s="24"/>
      <c r="F34" s="25"/>
      <c r="G34" s="25"/>
      <c r="H34" s="25"/>
      <c r="I34" s="24"/>
      <c r="J34" s="44"/>
    </row>
    <row r="35" spans="1:10" ht="12" thickBot="1" x14ac:dyDescent="0.2">
      <c r="A35" s="5"/>
      <c r="B35" s="27" t="s">
        <v>4</v>
      </c>
      <c r="C35" s="28"/>
      <c r="D35" s="28">
        <f>SUM(D33:D34)</f>
        <v>8647.11</v>
      </c>
      <c r="E35" s="28">
        <f>-C35+D35</f>
        <v>8647.11</v>
      </c>
      <c r="F35" s="29"/>
      <c r="G35" s="28">
        <f>SUM(G33:G34)</f>
        <v>0</v>
      </c>
      <c r="H35" s="28">
        <f>SUM(H33:H34)</f>
        <v>0</v>
      </c>
      <c r="I35" s="28">
        <f>SUM(I33:I34)</f>
        <v>0</v>
      </c>
      <c r="J35" s="45"/>
    </row>
    <row r="36" spans="1:10" ht="4.75" customHeight="1" thickBot="1" x14ac:dyDescent="0.2">
      <c r="A36" s="5"/>
      <c r="B36" s="31"/>
      <c r="C36" s="32"/>
      <c r="D36" s="32"/>
      <c r="E36" s="32"/>
      <c r="F36" s="32"/>
      <c r="G36" s="32"/>
      <c r="H36" s="32"/>
      <c r="I36" s="32"/>
      <c r="J36" s="38"/>
    </row>
    <row r="37" spans="1:10" x14ac:dyDescent="0.15">
      <c r="A37" s="5"/>
      <c r="B37" s="46" t="s">
        <v>2</v>
      </c>
      <c r="C37" s="34" t="s">
        <v>7</v>
      </c>
      <c r="D37" s="34" t="s">
        <v>1</v>
      </c>
      <c r="E37" s="34" t="s">
        <v>8</v>
      </c>
      <c r="F37" s="47" t="s">
        <v>3</v>
      </c>
      <c r="G37" s="34" t="s">
        <v>7</v>
      </c>
      <c r="H37" s="34" t="s">
        <v>1</v>
      </c>
      <c r="I37" s="34" t="s">
        <v>8</v>
      </c>
      <c r="J37" s="36"/>
    </row>
    <row r="38" spans="1:10" x14ac:dyDescent="0.15">
      <c r="A38" s="5"/>
      <c r="B38" s="22" t="s">
        <v>16</v>
      </c>
      <c r="C38" s="48">
        <v>6</v>
      </c>
      <c r="D38" s="48">
        <v>7</v>
      </c>
      <c r="E38" s="48">
        <f>7+6</f>
        <v>13</v>
      </c>
      <c r="F38" s="24" t="s">
        <v>16</v>
      </c>
      <c r="G38" s="49">
        <v>15</v>
      </c>
      <c r="H38" s="49">
        <v>6</v>
      </c>
      <c r="I38" s="49">
        <v>9</v>
      </c>
      <c r="J38" s="26"/>
    </row>
    <row r="39" spans="1:10" ht="12" thickBot="1" x14ac:dyDescent="0.2">
      <c r="A39" s="5"/>
      <c r="B39" s="27" t="s">
        <v>18</v>
      </c>
      <c r="C39" s="50">
        <v>572.04999999999995</v>
      </c>
      <c r="D39" s="51"/>
      <c r="E39" s="51"/>
      <c r="F39" s="28" t="s">
        <v>18</v>
      </c>
      <c r="G39" s="52"/>
      <c r="H39" s="52">
        <v>788.86</v>
      </c>
      <c r="I39" s="52"/>
      <c r="J39" s="30"/>
    </row>
    <row r="40" spans="1:10" ht="7.5" customHeight="1" x14ac:dyDescent="0.15">
      <c r="A40" s="5"/>
      <c r="C40" s="32"/>
      <c r="D40" s="32"/>
      <c r="E40" s="32"/>
      <c r="F40" s="32"/>
      <c r="G40" s="32"/>
      <c r="H40" s="32"/>
      <c r="I40" s="32"/>
    </row>
    <row r="41" spans="1:10" ht="6.75" customHeight="1" thickBot="1" x14ac:dyDescent="0.2">
      <c r="A41" s="5"/>
      <c r="B41" s="6"/>
      <c r="C41" s="32"/>
      <c r="D41" s="32"/>
      <c r="E41" s="32"/>
      <c r="F41" s="32"/>
      <c r="G41" s="32"/>
      <c r="H41" s="32"/>
      <c r="I41" s="32"/>
    </row>
    <row r="42" spans="1:10" ht="17" thickBot="1" x14ac:dyDescent="0.2">
      <c r="A42" s="5"/>
      <c r="B42" s="85" t="s">
        <v>19</v>
      </c>
      <c r="C42" s="86"/>
      <c r="D42" s="86"/>
      <c r="E42" s="86"/>
      <c r="F42" s="86"/>
      <c r="G42" s="86"/>
      <c r="H42" s="86"/>
      <c r="I42" s="87"/>
    </row>
    <row r="43" spans="1:10" ht="12" thickBot="1" x14ac:dyDescent="0.2">
      <c r="A43" s="5"/>
      <c r="B43" s="53" t="s">
        <v>2</v>
      </c>
      <c r="C43" s="54" t="s">
        <v>20</v>
      </c>
      <c r="D43" s="55" t="s">
        <v>11</v>
      </c>
      <c r="E43" s="56" t="s">
        <v>12</v>
      </c>
      <c r="F43" s="57" t="s">
        <v>2</v>
      </c>
      <c r="G43" s="54" t="s">
        <v>7</v>
      </c>
      <c r="H43" s="58" t="s">
        <v>1</v>
      </c>
      <c r="I43" s="55" t="s">
        <v>8</v>
      </c>
    </row>
    <row r="44" spans="1:10" x14ac:dyDescent="0.15">
      <c r="A44" s="5"/>
      <c r="B44" s="59" t="s">
        <v>15</v>
      </c>
      <c r="C44" s="60">
        <f>C8+G8+C13+G13+C18+G18</f>
        <v>29991.72</v>
      </c>
      <c r="D44" s="60">
        <f>D8+H8+D13+H13+D18+H18</f>
        <v>29990</v>
      </c>
      <c r="E44" s="60">
        <f>D44-C44</f>
        <v>-1.7200000000011642</v>
      </c>
      <c r="F44" s="60" t="s">
        <v>21</v>
      </c>
      <c r="G44" s="60">
        <f>C10+G10</f>
        <v>22953.07</v>
      </c>
      <c r="H44" s="60">
        <f>C15+G15</f>
        <v>7882.03</v>
      </c>
      <c r="I44" s="61">
        <f>C20+G20</f>
        <v>20431.690000000002</v>
      </c>
    </row>
    <row r="45" spans="1:10" x14ac:dyDescent="0.15">
      <c r="A45" s="5"/>
      <c r="B45" s="62" t="s">
        <v>0</v>
      </c>
      <c r="C45" s="24">
        <f>C9+G9+C14+G14+C19+G19</f>
        <v>21275.07</v>
      </c>
      <c r="D45" s="24">
        <f>D9+H9+D14+H14+D19+H19</f>
        <v>21275.07</v>
      </c>
      <c r="E45" s="24">
        <f>D45-C45</f>
        <v>0</v>
      </c>
      <c r="F45" s="24" t="s">
        <v>9</v>
      </c>
      <c r="G45" s="24">
        <f>C38</f>
        <v>6</v>
      </c>
      <c r="H45" s="24">
        <f>D38</f>
        <v>7</v>
      </c>
      <c r="I45" s="63">
        <f>E38</f>
        <v>13</v>
      </c>
    </row>
    <row r="46" spans="1:10" x14ac:dyDescent="0.15">
      <c r="A46" s="5"/>
      <c r="B46" s="62" t="s">
        <v>4</v>
      </c>
      <c r="C46" s="24">
        <f>SUM(C44:C45)</f>
        <v>51266.79</v>
      </c>
      <c r="D46" s="24">
        <f>SUM(D44:D45)</f>
        <v>51265.07</v>
      </c>
      <c r="E46" s="24">
        <f>D46-C46</f>
        <v>-1.7200000000011642</v>
      </c>
      <c r="F46" s="24"/>
      <c r="G46" s="24"/>
      <c r="H46" s="24"/>
      <c r="I46" s="63"/>
    </row>
    <row r="47" spans="1:10" ht="12" thickBot="1" x14ac:dyDescent="0.2">
      <c r="A47" s="5"/>
      <c r="B47" s="64" t="s">
        <v>18</v>
      </c>
      <c r="C47" s="28">
        <f>C39+D39+E39</f>
        <v>572.04999999999995</v>
      </c>
      <c r="D47" s="65" t="s">
        <v>17</v>
      </c>
      <c r="E47" s="65" t="s">
        <v>17</v>
      </c>
      <c r="F47" s="28" t="s">
        <v>22</v>
      </c>
      <c r="G47" s="28">
        <f>G44/G45</f>
        <v>3825.5116666666668</v>
      </c>
      <c r="H47" s="28">
        <f>H44/H45</f>
        <v>1126.0042857142857</v>
      </c>
      <c r="I47" s="66">
        <f>I44/I45</f>
        <v>1571.6684615384618</v>
      </c>
    </row>
    <row r="48" spans="1:10" ht="4.75" customHeight="1" thickBot="1" x14ac:dyDescent="0.2">
      <c r="A48" s="5"/>
      <c r="B48" s="67"/>
      <c r="C48" s="32"/>
      <c r="D48" s="56"/>
      <c r="E48" s="56"/>
      <c r="F48" s="32"/>
      <c r="G48" s="32"/>
      <c r="H48" s="56"/>
      <c r="I48" s="56"/>
    </row>
    <row r="49" spans="1:10" ht="12" thickBot="1" x14ac:dyDescent="0.2">
      <c r="A49" s="5"/>
      <c r="B49" s="68" t="s">
        <v>3</v>
      </c>
      <c r="C49" s="69" t="s">
        <v>20</v>
      </c>
      <c r="D49" s="70" t="s">
        <v>11</v>
      </c>
      <c r="E49" s="71" t="s">
        <v>12</v>
      </c>
      <c r="F49" s="72" t="s">
        <v>3</v>
      </c>
      <c r="G49" s="73" t="s">
        <v>7</v>
      </c>
      <c r="H49" s="73" t="s">
        <v>1</v>
      </c>
      <c r="I49" s="70" t="s">
        <v>8</v>
      </c>
    </row>
    <row r="50" spans="1:10" x14ac:dyDescent="0.15">
      <c r="A50" s="5"/>
      <c r="B50" s="59" t="s">
        <v>15</v>
      </c>
      <c r="C50" s="60">
        <f>C23+G23+C28+G28+C33+G33</f>
        <v>20267.64</v>
      </c>
      <c r="D50" s="60">
        <f>D23+H23+D28+H28+D33+H33</f>
        <v>20270</v>
      </c>
      <c r="E50" s="60">
        <f>D50-C50</f>
        <v>2.3600000000005821</v>
      </c>
      <c r="F50" s="60" t="s">
        <v>21</v>
      </c>
      <c r="G50" s="60">
        <f>C25+G25</f>
        <v>12690.05</v>
      </c>
      <c r="H50" s="60">
        <f>C30+G30</f>
        <v>6606.37</v>
      </c>
      <c r="I50" s="61">
        <f>+C35+G35</f>
        <v>0</v>
      </c>
    </row>
    <row r="51" spans="1:10" x14ac:dyDescent="0.15">
      <c r="A51" s="5"/>
      <c r="B51" s="62" t="s">
        <v>0</v>
      </c>
      <c r="C51" s="24">
        <f>C24+G24+C29+G29+C34+G34</f>
        <v>7674.83</v>
      </c>
      <c r="D51" s="24">
        <f>D24+H24+D29+H29+D34+H34</f>
        <v>7674.829999999999</v>
      </c>
      <c r="E51" s="24">
        <f>D51-C51</f>
        <v>0</v>
      </c>
      <c r="F51" s="24" t="s">
        <v>9</v>
      </c>
      <c r="G51" s="24">
        <f>G38</f>
        <v>15</v>
      </c>
      <c r="H51" s="24">
        <f>H38</f>
        <v>6</v>
      </c>
      <c r="I51" s="63">
        <f>I38</f>
        <v>9</v>
      </c>
    </row>
    <row r="52" spans="1:10" x14ac:dyDescent="0.15">
      <c r="A52" s="5"/>
      <c r="B52" s="62" t="s">
        <v>4</v>
      </c>
      <c r="C52" s="24">
        <f>SUM(C50:C51)</f>
        <v>27942.47</v>
      </c>
      <c r="D52" s="24">
        <f>SUM(D50:D51)</f>
        <v>27944.829999999998</v>
      </c>
      <c r="E52" s="24">
        <f>D52-C52</f>
        <v>2.3599999999969441</v>
      </c>
      <c r="F52" s="24"/>
      <c r="G52" s="24"/>
      <c r="H52" s="24"/>
      <c r="I52" s="63"/>
    </row>
    <row r="53" spans="1:10" ht="14.25" customHeight="1" thickBot="1" x14ac:dyDescent="0.2">
      <c r="A53" s="5"/>
      <c r="B53" s="64" t="s">
        <v>18</v>
      </c>
      <c r="C53" s="28">
        <f>G39+H39+I39</f>
        <v>788.86</v>
      </c>
      <c r="D53" s="65" t="s">
        <v>17</v>
      </c>
      <c r="E53" s="65" t="s">
        <v>17</v>
      </c>
      <c r="F53" s="28" t="s">
        <v>22</v>
      </c>
      <c r="G53" s="28">
        <f>G50/G51</f>
        <v>846.00333333333333</v>
      </c>
      <c r="H53" s="28">
        <f>H50/H51</f>
        <v>1101.0616666666667</v>
      </c>
      <c r="I53" s="66">
        <f>I50/I51</f>
        <v>0</v>
      </c>
      <c r="J53" s="7"/>
    </row>
    <row r="54" spans="1:10" ht="4.75" customHeight="1" thickBot="1" x14ac:dyDescent="0.2">
      <c r="A54" s="5"/>
      <c r="B54" s="74"/>
      <c r="C54" s="32"/>
      <c r="D54" s="32"/>
      <c r="E54" s="32"/>
      <c r="F54" s="32"/>
      <c r="G54" s="32"/>
      <c r="H54" s="32"/>
      <c r="I54" s="32"/>
      <c r="J54" s="7"/>
    </row>
    <row r="55" spans="1:10" ht="12" thickBot="1" x14ac:dyDescent="0.2">
      <c r="A55" s="5"/>
      <c r="B55" s="75" t="s">
        <v>4</v>
      </c>
      <c r="C55" s="73" t="s">
        <v>20</v>
      </c>
      <c r="D55" s="73" t="s">
        <v>11</v>
      </c>
      <c r="E55" s="70" t="s">
        <v>12</v>
      </c>
      <c r="F55" s="76" t="s">
        <v>4</v>
      </c>
      <c r="G55" s="69" t="s">
        <v>7</v>
      </c>
      <c r="H55" s="73" t="s">
        <v>1</v>
      </c>
      <c r="I55" s="70" t="s">
        <v>8</v>
      </c>
    </row>
    <row r="56" spans="1:10" x14ac:dyDescent="0.15">
      <c r="A56" s="5"/>
      <c r="B56" s="59" t="s">
        <v>15</v>
      </c>
      <c r="C56" s="60">
        <f>C44+C50</f>
        <v>50259.360000000001</v>
      </c>
      <c r="D56" s="60">
        <f>D44+D50</f>
        <v>50260</v>
      </c>
      <c r="E56" s="60">
        <f>D56-C56</f>
        <v>0.63999999999941792</v>
      </c>
      <c r="F56" s="60" t="s">
        <v>21</v>
      </c>
      <c r="G56" s="60">
        <f t="shared" ref="G56:I57" si="0">G44+G50</f>
        <v>35643.119999999995</v>
      </c>
      <c r="H56" s="60">
        <f t="shared" si="0"/>
        <v>14488.4</v>
      </c>
      <c r="I56" s="61">
        <f t="shared" si="0"/>
        <v>20431.690000000002</v>
      </c>
    </row>
    <row r="57" spans="1:10" x14ac:dyDescent="0.15">
      <c r="A57" s="5"/>
      <c r="B57" s="62" t="s">
        <v>0</v>
      </c>
      <c r="C57" s="24">
        <f>C45+C51</f>
        <v>28949.9</v>
      </c>
      <c r="D57" s="24">
        <f>D45+D51</f>
        <v>28949.899999999998</v>
      </c>
      <c r="E57" s="24">
        <f>D57-C57</f>
        <v>0</v>
      </c>
      <c r="F57" s="24" t="s">
        <v>9</v>
      </c>
      <c r="G57" s="24">
        <f t="shared" si="0"/>
        <v>21</v>
      </c>
      <c r="H57" s="24">
        <f t="shared" si="0"/>
        <v>13</v>
      </c>
      <c r="I57" s="63">
        <f t="shared" si="0"/>
        <v>22</v>
      </c>
    </row>
    <row r="58" spans="1:10" x14ac:dyDescent="0.15">
      <c r="A58" s="5"/>
      <c r="B58" s="62" t="s">
        <v>4</v>
      </c>
      <c r="C58" s="24">
        <f>C56+C57</f>
        <v>79209.260000000009</v>
      </c>
      <c r="D58" s="24">
        <f>SUM(D56:D57)</f>
        <v>79209.899999999994</v>
      </c>
      <c r="E58" s="24">
        <f>D58-C58</f>
        <v>0.63999999998486601</v>
      </c>
      <c r="F58" s="24"/>
      <c r="G58" s="24"/>
      <c r="H58" s="24"/>
      <c r="I58" s="63"/>
    </row>
    <row r="59" spans="1:10" ht="12" thickBot="1" x14ac:dyDescent="0.2">
      <c r="A59" s="5"/>
      <c r="B59" s="64" t="s">
        <v>18</v>
      </c>
      <c r="C59" s="28">
        <f>C47+C53</f>
        <v>1360.9099999999999</v>
      </c>
      <c r="D59" s="65" t="s">
        <v>17</v>
      </c>
      <c r="E59" s="65" t="s">
        <v>17</v>
      </c>
      <c r="F59" s="28" t="s">
        <v>22</v>
      </c>
      <c r="G59" s="28">
        <f>+G56/G57</f>
        <v>1697.2914285714282</v>
      </c>
      <c r="H59" s="28">
        <f>+H56/H57</f>
        <v>1114.4923076923076</v>
      </c>
      <c r="I59" s="66">
        <f>+I56/I57</f>
        <v>928.71318181818197</v>
      </c>
    </row>
    <row r="60" spans="1:10" ht="6.75" customHeight="1" x14ac:dyDescent="0.15">
      <c r="A60" s="5"/>
      <c r="B60" s="67"/>
      <c r="C60" s="32"/>
      <c r="D60" s="32"/>
      <c r="E60" s="32"/>
      <c r="F60" s="32"/>
      <c r="G60" s="32"/>
      <c r="H60" s="32"/>
      <c r="I60" s="32"/>
    </row>
    <row r="61" spans="1:10" ht="14.25" customHeight="1" x14ac:dyDescent="0.15">
      <c r="A61" s="5"/>
      <c r="B61" s="77" t="s">
        <v>23</v>
      </c>
      <c r="C61" s="78">
        <f>C58+C59</f>
        <v>80570.170000000013</v>
      </c>
      <c r="D61" s="32"/>
      <c r="E61" s="79" t="s">
        <v>24</v>
      </c>
      <c r="F61" s="80">
        <f>(I61*0.16)</f>
        <v>11113.126896551727</v>
      </c>
      <c r="G61" s="32"/>
      <c r="H61" s="81" t="s">
        <v>6</v>
      </c>
      <c r="I61" s="78">
        <f>C61/1.16</f>
        <v>69457.04310344829</v>
      </c>
    </row>
    <row r="62" spans="1:10" ht="14" customHeight="1" x14ac:dyDescent="0.15">
      <c r="A62" s="5"/>
      <c r="B62" s="82"/>
      <c r="C62" s="32"/>
      <c r="D62" s="32"/>
      <c r="E62" s="32"/>
      <c r="F62" s="32"/>
      <c r="G62" s="32"/>
      <c r="H62" s="32"/>
      <c r="I62" s="32"/>
    </row>
    <row r="63" spans="1:10" ht="14" customHeight="1" x14ac:dyDescent="0.15">
      <c r="A63" s="5"/>
      <c r="C63" s="83"/>
      <c r="D63" s="83"/>
      <c r="E63" s="83"/>
      <c r="F63" s="83"/>
      <c r="G63" s="83"/>
      <c r="H63" s="83"/>
      <c r="I63" s="83"/>
    </row>
    <row r="64" spans="1:10" ht="14" customHeight="1" x14ac:dyDescent="0.15">
      <c r="A64" s="5"/>
      <c r="C64" s="83"/>
      <c r="D64" s="83"/>
      <c r="E64" s="83"/>
      <c r="F64" s="83"/>
      <c r="G64" s="83"/>
      <c r="H64" s="83"/>
      <c r="I64" s="83"/>
    </row>
    <row r="65" spans="1:10" ht="14" customHeight="1" x14ac:dyDescent="0.15">
      <c r="A65" s="5"/>
      <c r="B65" s="5"/>
      <c r="C65" s="83"/>
      <c r="D65" s="83"/>
      <c r="E65" s="83"/>
      <c r="F65" s="83"/>
      <c r="G65" s="83"/>
      <c r="H65" s="83"/>
      <c r="I65" s="83"/>
      <c r="J65" s="7"/>
    </row>
    <row r="66" spans="1:10" ht="14" customHeight="1" x14ac:dyDescent="0.15">
      <c r="A66" s="5"/>
      <c r="B66" s="5"/>
      <c r="C66" s="83"/>
      <c r="D66" s="83"/>
      <c r="E66" s="83"/>
      <c r="F66" s="83"/>
      <c r="G66" s="83"/>
      <c r="H66" s="83"/>
      <c r="I66" s="83"/>
    </row>
    <row r="67" spans="1:10" x14ac:dyDescent="0.15">
      <c r="A67" s="5"/>
      <c r="B67" s="5"/>
      <c r="C67" s="83"/>
      <c r="D67" s="83"/>
      <c r="E67" s="83"/>
      <c r="F67" s="83"/>
      <c r="G67" s="83"/>
      <c r="H67" s="83"/>
      <c r="I67" s="83"/>
    </row>
    <row r="68" spans="1:10" x14ac:dyDescent="0.15">
      <c r="A68" s="5"/>
      <c r="B68" s="5"/>
      <c r="C68" s="83"/>
      <c r="D68" s="83"/>
      <c r="E68" s="83"/>
      <c r="F68" s="83"/>
      <c r="G68" s="83"/>
      <c r="H68" s="83"/>
      <c r="I68" s="83"/>
    </row>
    <row r="69" spans="1:10" x14ac:dyDescent="0.15">
      <c r="A69" s="5"/>
      <c r="B69" s="5"/>
      <c r="C69" s="83"/>
      <c r="D69" s="83"/>
      <c r="E69" s="83"/>
      <c r="F69" s="83"/>
      <c r="G69" s="83"/>
      <c r="H69" s="83"/>
      <c r="I69" s="83"/>
    </row>
    <row r="70" spans="1:10" x14ac:dyDescent="0.15">
      <c r="A70" s="5"/>
      <c r="B70" s="5"/>
      <c r="C70" s="83"/>
      <c r="D70" s="83"/>
      <c r="E70" s="83"/>
      <c r="F70" s="83"/>
      <c r="G70" s="83"/>
      <c r="H70" s="83"/>
      <c r="I70" s="83"/>
    </row>
    <row r="71" spans="1:10" ht="9" customHeight="1" x14ac:dyDescent="0.15">
      <c r="A71" s="5"/>
      <c r="B71" s="5"/>
      <c r="C71" s="83"/>
      <c r="D71" s="83"/>
      <c r="E71" s="83"/>
      <c r="F71" s="83"/>
      <c r="G71" s="83"/>
      <c r="H71" s="83"/>
      <c r="I71" s="83"/>
    </row>
    <row r="72" spans="1:10" x14ac:dyDescent="0.15">
      <c r="A72" s="5"/>
      <c r="B72" s="5"/>
      <c r="C72" s="83"/>
      <c r="D72" s="83"/>
      <c r="E72" s="83"/>
      <c r="F72" s="83"/>
      <c r="G72" s="83"/>
      <c r="H72" s="83"/>
      <c r="I72" s="83"/>
    </row>
    <row r="73" spans="1:10" x14ac:dyDescent="0.15">
      <c r="A73" s="5"/>
      <c r="B73" s="5"/>
      <c r="C73" s="83"/>
      <c r="D73" s="83"/>
      <c r="E73" s="83"/>
      <c r="F73" s="83"/>
      <c r="G73" s="83"/>
      <c r="H73" s="83"/>
      <c r="I73" s="83"/>
    </row>
    <row r="74" spans="1:10" x14ac:dyDescent="0.15">
      <c r="A74" s="5"/>
      <c r="B74" s="5"/>
      <c r="C74" s="83"/>
      <c r="D74" s="83"/>
      <c r="E74" s="83"/>
      <c r="F74" s="83"/>
      <c r="G74" s="83"/>
      <c r="H74" s="83"/>
      <c r="I74" s="83"/>
    </row>
    <row r="75" spans="1:10" x14ac:dyDescent="0.15">
      <c r="A75" s="5"/>
      <c r="B75" s="5"/>
      <c r="C75" s="83"/>
      <c r="D75" s="83"/>
      <c r="E75" s="83"/>
      <c r="F75" s="83"/>
      <c r="G75" s="83"/>
      <c r="H75" s="83"/>
      <c r="I75" s="83"/>
    </row>
    <row r="76" spans="1:10" x14ac:dyDescent="0.15">
      <c r="A76" s="5"/>
      <c r="B76" s="5"/>
      <c r="C76" s="83"/>
      <c r="D76" s="83"/>
      <c r="E76" s="83"/>
      <c r="F76" s="83"/>
      <c r="G76" s="83"/>
      <c r="H76" s="83"/>
      <c r="I76" s="83"/>
    </row>
    <row r="77" spans="1:10" x14ac:dyDescent="0.15">
      <c r="A77" s="5"/>
      <c r="B77" s="5"/>
      <c r="C77" s="83"/>
      <c r="D77" s="83"/>
      <c r="E77" s="83"/>
      <c r="F77" s="83"/>
      <c r="G77" s="83"/>
      <c r="H77" s="83"/>
      <c r="I77" s="83"/>
    </row>
    <row r="78" spans="1:10" x14ac:dyDescent="0.15">
      <c r="A78" s="5"/>
      <c r="B78" s="5"/>
      <c r="C78" s="83"/>
      <c r="D78" s="83"/>
      <c r="E78" s="83"/>
      <c r="F78" s="83"/>
      <c r="G78" s="83"/>
      <c r="H78" s="83"/>
      <c r="I78" s="83"/>
    </row>
    <row r="79" spans="1:10" ht="7.5" customHeight="1" x14ac:dyDescent="0.15">
      <c r="A79" s="5"/>
      <c r="B79" s="5"/>
      <c r="D79" s="84"/>
      <c r="E79" s="84"/>
      <c r="F79" s="84"/>
      <c r="G79" s="84"/>
      <c r="H79" s="84"/>
      <c r="I79" s="84"/>
    </row>
    <row r="80" spans="1:10" x14ac:dyDescent="0.15">
      <c r="A80" s="5"/>
      <c r="B80" s="5"/>
      <c r="C80" s="84"/>
      <c r="D80" s="84"/>
      <c r="E80" s="84"/>
      <c r="F80" s="84"/>
      <c r="G80" s="84"/>
      <c r="H80" s="84"/>
      <c r="I80" s="84"/>
    </row>
    <row r="81" spans="1:10" x14ac:dyDescent="0.15">
      <c r="A81" s="5"/>
      <c r="B81" s="5"/>
      <c r="C81" s="84"/>
      <c r="D81" s="84"/>
      <c r="E81" s="84"/>
      <c r="F81" s="84"/>
      <c r="G81" s="84"/>
      <c r="H81" s="84"/>
      <c r="I81" s="84"/>
      <c r="J81" s="5"/>
    </row>
    <row r="82" spans="1:10" x14ac:dyDescent="0.15">
      <c r="A82" s="5"/>
      <c r="B82" s="5"/>
      <c r="C82" s="84"/>
      <c r="D82" s="84"/>
      <c r="E82" s="84"/>
      <c r="F82" s="84"/>
      <c r="G82" s="84"/>
      <c r="H82" s="84"/>
      <c r="I82" s="84"/>
      <c r="J82" s="5"/>
    </row>
    <row r="83" spans="1:10" x14ac:dyDescent="0.15">
      <c r="A83" s="5"/>
      <c r="B83" s="5"/>
      <c r="C83" s="84"/>
      <c r="D83" s="84"/>
      <c r="E83" s="84"/>
      <c r="F83" s="84"/>
      <c r="G83" s="84"/>
      <c r="H83" s="84"/>
      <c r="I83" s="84"/>
      <c r="J83" s="5"/>
    </row>
    <row r="84" spans="1:10" x14ac:dyDescent="0.15">
      <c r="A84" s="5"/>
      <c r="B84" s="5"/>
      <c r="C84" s="84"/>
      <c r="D84" s="84"/>
      <c r="E84" s="84"/>
      <c r="F84" s="84"/>
      <c r="G84" s="84"/>
      <c r="H84" s="84"/>
      <c r="I84" s="84"/>
      <c r="J84" s="5"/>
    </row>
    <row r="85" spans="1:10" x14ac:dyDescent="0.15">
      <c r="A85" s="5"/>
      <c r="B85" s="5"/>
      <c r="C85" s="84"/>
      <c r="D85" s="84"/>
      <c r="E85" s="84"/>
      <c r="F85" s="84"/>
      <c r="G85" s="84"/>
      <c r="H85" s="84"/>
      <c r="I85" s="84"/>
      <c r="J85" s="5"/>
    </row>
    <row r="86" spans="1:10" x14ac:dyDescent="0.15">
      <c r="A86" s="5"/>
      <c r="B86" s="5"/>
      <c r="C86" s="84"/>
      <c r="D86" s="84"/>
      <c r="E86" s="84"/>
      <c r="F86" s="84"/>
      <c r="G86" s="84"/>
      <c r="H86" s="84"/>
      <c r="I86" s="84"/>
      <c r="J86" s="5"/>
    </row>
    <row r="87" spans="1:10" x14ac:dyDescent="0.15">
      <c r="A87" s="5"/>
      <c r="B87" s="5"/>
      <c r="C87" s="84"/>
      <c r="D87" s="84"/>
      <c r="E87" s="84"/>
      <c r="F87" s="84"/>
      <c r="G87" s="84"/>
      <c r="H87" s="84"/>
      <c r="I87" s="84"/>
      <c r="J87" s="5"/>
    </row>
    <row r="88" spans="1:10" x14ac:dyDescent="0.15">
      <c r="A88" s="5"/>
      <c r="B88" s="5"/>
      <c r="C88" s="84"/>
      <c r="D88" s="84"/>
      <c r="E88" s="84"/>
      <c r="F88" s="84"/>
      <c r="G88" s="84"/>
      <c r="H88" s="84"/>
      <c r="I88" s="84"/>
      <c r="J88" s="5"/>
    </row>
    <row r="89" spans="1:10" x14ac:dyDescent="0.15">
      <c r="A89" s="5"/>
      <c r="B89" s="5"/>
      <c r="C89" s="84"/>
      <c r="D89" s="84"/>
      <c r="E89" s="84"/>
      <c r="F89" s="84"/>
      <c r="G89" s="84"/>
      <c r="H89" s="84"/>
      <c r="I89" s="84"/>
      <c r="J89" s="5"/>
    </row>
    <row r="90" spans="1:10" x14ac:dyDescent="0.15">
      <c r="A90" s="5"/>
      <c r="B90" s="5"/>
      <c r="C90" s="84"/>
      <c r="D90" s="84"/>
      <c r="E90" s="84"/>
      <c r="F90" s="84"/>
      <c r="G90" s="84"/>
      <c r="H90" s="84"/>
      <c r="I90" s="84"/>
      <c r="J90" s="5"/>
    </row>
    <row r="91" spans="1:10" x14ac:dyDescent="0.15">
      <c r="A91" s="5"/>
      <c r="B91" s="5"/>
      <c r="C91" s="84"/>
      <c r="D91" s="84"/>
      <c r="E91" s="84"/>
      <c r="F91" s="84"/>
      <c r="G91" s="84"/>
      <c r="H91" s="84"/>
      <c r="I91" s="84"/>
      <c r="J91" s="5"/>
    </row>
    <row r="92" spans="1:10" x14ac:dyDescent="0.15">
      <c r="A92" s="5"/>
      <c r="B92" s="5"/>
      <c r="C92" s="84"/>
      <c r="D92" s="84"/>
      <c r="E92" s="84"/>
      <c r="F92" s="84"/>
      <c r="G92" s="84"/>
      <c r="H92" s="84"/>
      <c r="I92" s="84"/>
      <c r="J92" s="5"/>
    </row>
    <row r="93" spans="1:10" x14ac:dyDescent="0.15">
      <c r="A93" s="5"/>
      <c r="B93" s="5"/>
      <c r="C93" s="84"/>
      <c r="D93" s="84"/>
      <c r="E93" s="84"/>
      <c r="F93" s="84"/>
      <c r="G93" s="84"/>
      <c r="H93" s="84"/>
      <c r="I93" s="84"/>
      <c r="J93" s="5"/>
    </row>
    <row r="94" spans="1:10" x14ac:dyDescent="0.15">
      <c r="A94" s="5"/>
      <c r="B94" s="5"/>
      <c r="C94" s="84"/>
      <c r="D94" s="84"/>
      <c r="E94" s="84"/>
      <c r="F94" s="84"/>
      <c r="G94" s="84"/>
      <c r="H94" s="84"/>
      <c r="I94" s="84"/>
      <c r="J94" s="5"/>
    </row>
    <row r="95" spans="1:10" x14ac:dyDescent="0.15">
      <c r="A95" s="5"/>
      <c r="B95" s="5"/>
      <c r="C95" s="84"/>
      <c r="D95" s="84"/>
      <c r="E95" s="84"/>
      <c r="F95" s="84"/>
      <c r="G95" s="84"/>
      <c r="H95" s="84"/>
      <c r="I95" s="84"/>
      <c r="J95" s="5"/>
    </row>
    <row r="96" spans="1:10" x14ac:dyDescent="0.15">
      <c r="A96" s="5"/>
      <c r="B96" s="5"/>
      <c r="C96" s="84"/>
      <c r="D96" s="84"/>
      <c r="E96" s="84"/>
      <c r="F96" s="84"/>
      <c r="G96" s="84"/>
      <c r="H96" s="84"/>
      <c r="I96" s="84"/>
      <c r="J96" s="5"/>
    </row>
    <row r="97" spans="1:10" x14ac:dyDescent="0.15">
      <c r="A97" s="5"/>
      <c r="B97" s="5"/>
      <c r="C97" s="84"/>
      <c r="D97" s="84"/>
      <c r="E97" s="84"/>
      <c r="F97" s="84"/>
      <c r="G97" s="84"/>
      <c r="H97" s="84"/>
      <c r="I97" s="84"/>
      <c r="J97" s="5"/>
    </row>
    <row r="98" spans="1:10" x14ac:dyDescent="0.15">
      <c r="A98" s="5"/>
      <c r="B98" s="5"/>
      <c r="C98" s="84"/>
      <c r="D98" s="84"/>
      <c r="E98" s="84"/>
      <c r="F98" s="84"/>
      <c r="G98" s="84"/>
      <c r="H98" s="84"/>
      <c r="I98" s="84"/>
      <c r="J98" s="5"/>
    </row>
    <row r="99" spans="1:10" x14ac:dyDescent="0.15">
      <c r="A99" s="5"/>
      <c r="B99" s="5"/>
      <c r="C99" s="84"/>
      <c r="D99" s="84"/>
      <c r="E99" s="84"/>
      <c r="F99" s="84"/>
      <c r="G99" s="84"/>
      <c r="H99" s="84"/>
      <c r="I99" s="84"/>
      <c r="J99" s="5"/>
    </row>
    <row r="100" spans="1:10" x14ac:dyDescent="0.15">
      <c r="A100" s="5"/>
      <c r="B100" s="5"/>
      <c r="C100" s="84"/>
      <c r="D100" s="84"/>
      <c r="E100" s="84"/>
      <c r="F100" s="84"/>
      <c r="G100" s="84"/>
      <c r="H100" s="84"/>
      <c r="I100" s="84"/>
      <c r="J100" s="5"/>
    </row>
    <row r="101" spans="1:10" x14ac:dyDescent="0.15">
      <c r="A101" s="5"/>
      <c r="B101" s="5"/>
      <c r="C101" s="84"/>
      <c r="D101" s="84"/>
      <c r="E101" s="84"/>
      <c r="F101" s="84"/>
      <c r="G101" s="84"/>
      <c r="H101" s="84"/>
      <c r="I101" s="84"/>
      <c r="J101" s="5"/>
    </row>
    <row r="102" spans="1:10" x14ac:dyDescent="0.15">
      <c r="A102" s="5"/>
      <c r="B102" s="5"/>
      <c r="C102" s="84"/>
      <c r="D102" s="84"/>
      <c r="E102" s="84"/>
      <c r="F102" s="84"/>
      <c r="G102" s="84"/>
      <c r="H102" s="84"/>
      <c r="I102" s="84"/>
      <c r="J102" s="5"/>
    </row>
    <row r="103" spans="1:10" x14ac:dyDescent="0.15">
      <c r="A103" s="5"/>
      <c r="B103" s="5"/>
      <c r="C103" s="84"/>
      <c r="D103" s="84"/>
      <c r="E103" s="84"/>
      <c r="F103" s="84"/>
      <c r="G103" s="84"/>
      <c r="H103" s="84"/>
      <c r="I103" s="84"/>
      <c r="J103" s="5"/>
    </row>
    <row r="104" spans="1:10" x14ac:dyDescent="0.15">
      <c r="A104" s="5"/>
      <c r="B104" s="5"/>
      <c r="C104" s="84"/>
      <c r="D104" s="84"/>
      <c r="E104" s="84"/>
      <c r="F104" s="84"/>
      <c r="G104" s="84"/>
      <c r="H104" s="84"/>
      <c r="I104" s="84"/>
      <c r="J104" s="5"/>
    </row>
    <row r="105" spans="1:10" x14ac:dyDescent="0.15">
      <c r="A105" s="5"/>
      <c r="B105" s="5"/>
      <c r="C105" s="84"/>
      <c r="D105" s="84"/>
      <c r="E105" s="84"/>
      <c r="F105" s="84"/>
      <c r="G105" s="84"/>
      <c r="H105" s="84"/>
      <c r="I105" s="84"/>
      <c r="J105" s="5"/>
    </row>
  </sheetData>
  <mergeCells count="5">
    <mergeCell ref="B42:I42"/>
    <mergeCell ref="C4:D4"/>
    <mergeCell ref="B2:J2"/>
    <mergeCell ref="B5:J5"/>
    <mergeCell ref="B21:J21"/>
  </mergeCells>
  <pageMargins left="0.74791666666666667" right="0.74791666666666667" top="0.98402777777777772" bottom="0.98402777777777772" header="0.51180555555555551" footer="0.51180555555555551"/>
  <pageSetup paperSize="9" scale="70" firstPageNumber="0" orientation="portrait" horizontalDpi="300" verticalDpi="300" r:id="rId1"/>
  <headerFooter alignWithMargins="0"/>
  <ignoredErrors>
    <ignoredError sqref="C5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18903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Sale Closing</vt:lpstr>
      <vt:lpstr>'Sale Closing'!Area_stampa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Microsoft Office User</cp:lastModifiedBy>
  <cp:revision>334</cp:revision>
  <cp:lastPrinted>2019-06-22T12:00:52Z</cp:lastPrinted>
  <dcterms:created xsi:type="dcterms:W3CDTF">2003-02-17T05:53:22Z</dcterms:created>
  <dcterms:modified xsi:type="dcterms:W3CDTF">2022-08-22T10:00:04Z</dcterms:modified>
</cp:coreProperties>
</file>