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ky/Desktop/EXCEL MDG/Calculator and Other Sheets/"/>
    </mc:Choice>
  </mc:AlternateContent>
  <xr:revisionPtr revIDLastSave="0" documentId="13_ncr:1_{847510DA-61C9-8847-BCE6-04AEC41DE187}" xr6:coauthVersionLast="47" xr6:coauthVersionMax="47" xr10:uidLastSave="{00000000-0000-0000-0000-000000000000}"/>
  <bookViews>
    <workbookView xWindow="0" yWindow="500" windowWidth="23040" windowHeight="9200" xr2:uid="{00000000-000D-0000-FFFF-FFFF00000000}"/>
  </bookViews>
  <sheets>
    <sheet name="Vehicle Log Book" sheetId="1" r:id="rId1"/>
    <sheet name="calculations" sheetId="2" state="hidden" r:id="rId2"/>
  </sheets>
  <definedNames>
    <definedName name="ChartDates">CHOOSE(ChartTable,Gas[DATE],Maintenance[DATE])</definedName>
    <definedName name="ChartTable">IF(PlotChoice="GAS",1,2)</definedName>
    <definedName name="ChartVals">CHOOSE(ChartTable,Gas[COST],Maintenance[COST])</definedName>
    <definedName name="PlotChoice">'Vehicle Log Book'!$N$6</definedName>
    <definedName name="StartMileage">'Vehicle Log Book'!$N$3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" i="2" l="1"/>
  <c r="C5" i="2"/>
  <c r="C4" i="2"/>
  <c r="C20" i="1" l="1" a="1"/>
  <c r="C20" i="1" s="1"/>
  <c r="G20" i="1" s="1"/>
  <c r="C21" i="1" a="1"/>
  <c r="C21" i="1" s="1"/>
  <c r="G21" i="1" s="1"/>
  <c r="C22" i="1" a="1"/>
  <c r="C22" i="1" s="1"/>
  <c r="G22" i="1" s="1"/>
  <c r="D15" i="1" l="1"/>
  <c r="D11" i="1"/>
  <c r="D7" i="1"/>
  <c r="B15" i="1"/>
  <c r="H20" i="1"/>
  <c r="H21" i="1"/>
  <c r="H22" i="1"/>
  <c r="B11" i="1" l="1"/>
  <c r="B7" i="1"/>
</calcChain>
</file>

<file path=xl/sharedStrings.xml><?xml version="1.0" encoding="utf-8"?>
<sst xmlns="http://schemas.openxmlformats.org/spreadsheetml/2006/main" count="42" uniqueCount="32">
  <si>
    <t>DATE</t>
  </si>
  <si>
    <t>ITEM</t>
  </si>
  <si>
    <t>COST</t>
  </si>
  <si>
    <t>REMARKS</t>
  </si>
  <si>
    <t>MPG</t>
  </si>
  <si>
    <t>AMOUNT</t>
  </si>
  <si>
    <t>CHECK #</t>
  </si>
  <si>
    <t>RANGE</t>
  </si>
  <si>
    <t>GALLONS</t>
  </si>
  <si>
    <t>ODOM</t>
  </si>
  <si>
    <t>TOTAL MILEAGE</t>
  </si>
  <si>
    <t>AVERAGE MPG</t>
  </si>
  <si>
    <t>TOTAL GAS COST</t>
  </si>
  <si>
    <t>GAS LOG</t>
  </si>
  <si>
    <t>MAINTENANCE LOG</t>
  </si>
  <si>
    <t>LOAN PAYMENTS</t>
  </si>
  <si>
    <t>Graph:</t>
  </si>
  <si>
    <t>PREV ODOM</t>
  </si>
  <si>
    <t>January payment</t>
  </si>
  <si>
    <t>February payment</t>
  </si>
  <si>
    <t>Oil change</t>
  </si>
  <si>
    <t>10,000 mi. service</t>
  </si>
  <si>
    <t>MAINTENANCE COST</t>
  </si>
  <si>
    <t>TOTAL</t>
  </si>
  <si>
    <t>GALLONS OF GAS</t>
  </si>
  <si>
    <t>ODOMETER START:</t>
  </si>
  <si>
    <t>Alignment</t>
  </si>
  <si>
    <t>GAS</t>
  </si>
  <si>
    <t>MAINT.</t>
  </si>
  <si>
    <t>LOAN</t>
  </si>
  <si>
    <t>***This Sheet Should Remain Hidden***</t>
  </si>
  <si>
    <t>VEHICLE LOG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</si>
</sst>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"/>
    <numFmt numFmtId="165" formatCode="#,##0.0"/>
    <numFmt numFmtId="166" formatCode="0.0"/>
  </numFmts>
  <fonts count="19" x14ac:knownFonts="1">
    <font>
      <sz val="12"/>
      <color theme="1" tint="0.14993743705557422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sz val="14"/>
      <color theme="1" tint="0.14996795556505021"/>
      <name val="Calibri"/>
      <family val="2"/>
      <scheme val="minor"/>
    </font>
    <font>
      <sz val="14"/>
      <color theme="2"/>
      <name val="Calibri"/>
      <family val="2"/>
      <scheme val="minor"/>
    </font>
    <font>
      <sz val="28"/>
      <color theme="4"/>
      <name val="Calibri"/>
      <family val="2"/>
      <scheme val="minor"/>
    </font>
    <font>
      <sz val="22"/>
      <color theme="1" tint="0.14993743705557422"/>
      <name val="Calibri"/>
      <family val="2"/>
      <scheme val="major"/>
    </font>
    <font>
      <sz val="10"/>
      <color theme="3"/>
      <name val="Calibri"/>
      <family val="2"/>
      <scheme val="minor"/>
    </font>
    <font>
      <sz val="24"/>
      <color rgb="FF0070C0"/>
      <name val="Times New Roman"/>
      <family val="1"/>
    </font>
    <font>
      <sz val="12"/>
      <color theme="1" tint="0.14993743705557422"/>
      <name val="Times New Roman"/>
      <family val="1"/>
    </font>
    <font>
      <sz val="22"/>
      <color theme="1" tint="0.14993743705557422"/>
      <name val="Times New Roman"/>
      <family val="1"/>
    </font>
    <font>
      <sz val="24"/>
      <color rgb="FF002060"/>
      <name val="Times New Roman"/>
      <family val="1"/>
    </font>
    <font>
      <sz val="28"/>
      <color rgb="FF0070C0"/>
      <name val="Times New Roman"/>
      <family val="1"/>
    </font>
    <font>
      <sz val="28"/>
      <color theme="4"/>
      <name val="Times New Roman"/>
      <family val="1"/>
    </font>
    <font>
      <sz val="10"/>
      <color theme="3"/>
      <name val="Times New Roman"/>
      <family val="1"/>
    </font>
    <font>
      <sz val="14"/>
      <color theme="0" tint="-0.499984740745262"/>
      <name val="Times New Roman"/>
      <family val="1"/>
    </font>
    <font>
      <sz val="12"/>
      <color rgb="FF0062AC"/>
      <name val="Times New Roman"/>
      <family val="1"/>
    </font>
    <font>
      <sz val="12"/>
      <color theme="2" tint="-0.749992370372631"/>
      <name val="Times New Roman"/>
      <family val="1"/>
    </font>
    <font>
      <sz val="18"/>
      <color theme="1" tint="0.14993743705557422"/>
      <name val="Times New Roman"/>
      <family val="1"/>
    </font>
    <font>
      <sz val="26"/>
      <color rgb="FF0070C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1" tint="0.14996795556505021"/>
      </bottom>
      <diagonal/>
    </border>
  </borders>
  <cellStyleXfs count="8">
    <xf numFmtId="0" fontId="0" fillId="2" borderId="0">
      <alignment horizontal="left" vertical="center"/>
    </xf>
    <xf numFmtId="0" fontId="5" fillId="0" borderId="0" applyNumberFormat="0" applyFill="0" applyBorder="0" applyAlignment="0" applyProtection="0"/>
    <xf numFmtId="3" fontId="1" fillId="0" borderId="0" applyFont="0" applyFill="0" applyBorder="0" applyProtection="0">
      <alignment horizontal="left" vertical="center"/>
    </xf>
    <xf numFmtId="164" fontId="1" fillId="0" borderId="0" applyFont="0" applyFill="0" applyBorder="0" applyProtection="0">
      <alignment horizontal="left" vertical="center"/>
    </xf>
    <xf numFmtId="0" fontId="4" fillId="0" borderId="0" applyNumberFormat="0" applyFill="0" applyBorder="0" applyProtection="0">
      <alignment vertical="center"/>
    </xf>
    <xf numFmtId="0" fontId="3" fillId="3" borderId="1" applyNumberFormat="0" applyBorder="0" applyProtection="0">
      <alignment horizontal="center" vertical="center"/>
    </xf>
    <xf numFmtId="0" fontId="2" fillId="2" borderId="0" applyFont="0" applyFill="0" applyBorder="0" applyAlignment="0" applyProtection="0">
      <alignment horizontal="left" vertical="center"/>
    </xf>
    <xf numFmtId="0" fontId="6" fillId="0" borderId="0" applyNumberFormat="0" applyFill="0" applyBorder="0" applyAlignment="0" applyProtection="0"/>
  </cellStyleXfs>
  <cellXfs count="31">
    <xf numFmtId="0" fontId="0" fillId="2" borderId="0" xfId="0">
      <alignment horizontal="left" vertical="center"/>
    </xf>
    <xf numFmtId="0" fontId="0" fillId="2" borderId="0" xfId="0">
      <alignment horizontal="left" vertical="center"/>
    </xf>
    <xf numFmtId="0" fontId="7" fillId="4" borderId="0" xfId="0" applyFont="1" applyFill="1" applyAlignment="1">
      <alignment vertical="center"/>
    </xf>
    <xf numFmtId="0" fontId="8" fillId="4" borderId="0" xfId="0" applyFont="1" applyFill="1">
      <alignment horizontal="left" vertical="center"/>
    </xf>
    <xf numFmtId="0" fontId="10" fillId="4" borderId="0" xfId="0" applyFont="1" applyFill="1" applyAlignment="1">
      <alignment vertical="center"/>
    </xf>
    <xf numFmtId="0" fontId="12" fillId="4" borderId="2" xfId="4" applyFont="1" applyFill="1" applyBorder="1" applyAlignment="1">
      <alignment horizontal="left" vertical="center"/>
    </xf>
    <xf numFmtId="0" fontId="13" fillId="4" borderId="0" xfId="7" applyFont="1" applyFill="1" applyAlignment="1">
      <alignment horizontal="left"/>
    </xf>
    <xf numFmtId="0" fontId="8" fillId="4" borderId="0" xfId="0" applyFont="1" applyFill="1" applyAlignment="1">
      <alignment horizontal="right" vertical="center" indent="1"/>
    </xf>
    <xf numFmtId="0" fontId="14" fillId="4" borderId="0" xfId="5" applyFont="1" applyFill="1" applyBorder="1">
      <alignment horizontal="center" vertical="center"/>
    </xf>
    <xf numFmtId="164" fontId="11" fillId="4" borderId="0" xfId="4" applyNumberFormat="1" applyFont="1" applyFill="1" applyAlignment="1">
      <alignment horizontal="left"/>
    </xf>
    <xf numFmtId="0" fontId="13" fillId="4" borderId="0" xfId="7" applyFont="1" applyFill="1" applyAlignment="1">
      <alignment horizontal="left" vertical="center"/>
    </xf>
    <xf numFmtId="0" fontId="9" fillId="4" borderId="0" xfId="1" applyFont="1" applyFill="1" applyAlignment="1">
      <alignment horizontal="left" vertical="center"/>
    </xf>
    <xf numFmtId="0" fontId="15" fillId="4" borderId="0" xfId="0" applyFont="1" applyFill="1" applyBorder="1">
      <alignment horizontal="left" vertical="center"/>
    </xf>
    <xf numFmtId="14" fontId="16" fillId="4" borderId="0" xfId="0" applyNumberFormat="1" applyFont="1" applyFill="1" applyBorder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6" fillId="4" borderId="0" xfId="6" applyFont="1" applyFill="1">
      <alignment horizontal="left" vertical="center"/>
    </xf>
    <xf numFmtId="164" fontId="16" fillId="4" borderId="0" xfId="3" applyFont="1" applyFill="1" applyBorder="1">
      <alignment horizontal="left" vertical="center"/>
    </xf>
    <xf numFmtId="3" fontId="16" fillId="4" borderId="0" xfId="2" applyFont="1" applyFill="1" applyBorder="1">
      <alignment horizontal="left" vertical="center"/>
    </xf>
    <xf numFmtId="0" fontId="16" fillId="4" borderId="0" xfId="0" applyFont="1" applyFill="1" applyAlignment="1">
      <alignment horizontal="center" vertical="center"/>
    </xf>
    <xf numFmtId="166" fontId="16" fillId="4" borderId="0" xfId="0" applyNumberFormat="1" applyFont="1" applyFill="1" applyAlignment="1" applyProtection="1">
      <alignment horizontal="center" vertical="center"/>
    </xf>
    <xf numFmtId="14" fontId="8" fillId="4" borderId="0" xfId="0" applyNumberFormat="1" applyFont="1" applyFill="1" applyBorder="1">
      <alignment horizontal="left" vertical="center"/>
    </xf>
    <xf numFmtId="0" fontId="8" fillId="4" borderId="0" xfId="0" applyFont="1" applyFill="1" applyBorder="1">
      <alignment horizontal="left" vertical="center"/>
    </xf>
    <xf numFmtId="164" fontId="8" fillId="4" borderId="0" xfId="3" applyFont="1" applyFill="1" applyBorder="1">
      <alignment horizontal="left" vertical="center"/>
    </xf>
    <xf numFmtId="14" fontId="8" fillId="4" borderId="0" xfId="0" applyNumberFormat="1" applyFont="1" applyFill="1">
      <alignment horizontal="left" vertical="center"/>
    </xf>
    <xf numFmtId="164" fontId="8" fillId="4" borderId="0" xfId="3" applyFont="1" applyFill="1">
      <alignment horizontal="left" vertical="center"/>
    </xf>
    <xf numFmtId="3" fontId="8" fillId="4" borderId="0" xfId="2" applyFont="1" applyFill="1" applyBorder="1">
      <alignment horizontal="left" vertical="center"/>
    </xf>
    <xf numFmtId="0" fontId="17" fillId="4" borderId="0" xfId="1" applyFont="1" applyFill="1" applyAlignment="1">
      <alignment horizontal="right" vertical="center"/>
    </xf>
    <xf numFmtId="0" fontId="18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3" fontId="11" fillId="4" borderId="0" xfId="4" applyNumberFormat="1" applyFont="1" applyFill="1" applyAlignment="1">
      <alignment horizontal="left"/>
    </xf>
    <xf numFmtId="165" fontId="11" fillId="4" borderId="0" xfId="4" applyNumberFormat="1" applyFont="1" applyFill="1" applyAlignment="1">
      <alignment horizontal="left"/>
    </xf>
  </cellXfs>
  <cellStyles count="8">
    <cellStyle name="Cost" xfId="3" xr:uid="{00000000-0005-0000-0000-000000000000}"/>
    <cellStyle name="Gallons" xfId="6" xr:uid="{00000000-0005-0000-0000-000001000000}"/>
    <cellStyle name="Input" xfId="5" builtinId="20" customBuiltin="1"/>
    <cellStyle name="Normale" xfId="0" builtinId="0" customBuiltin="1"/>
    <cellStyle name="Odom" xfId="2" xr:uid="{00000000-0005-0000-0000-000007000000}"/>
    <cellStyle name="Titolo 1" xfId="4" builtinId="16" customBuiltin="1"/>
    <cellStyle name="Titolo 2" xfId="1" builtinId="17" customBuiltin="1"/>
    <cellStyle name="Titolo 3" xfId="7" builtinId="18" customBuiltin="1"/>
  </cellStyles>
  <dxfs count="25"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167" formatCode="mm/dd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rgb="FF0062AC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2" tint="-0.749992370372631"/>
        <name val="Times New Roman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2" tint="-0.749992370372631"/>
        <name val="Times New Roman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2" tint="-0.749992370372631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2" tint="-0.749992370372631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2" tint="-0.749992370372631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2" tint="-0.749992370372631"/>
        <name val="Times New Roman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center" textRotation="0" wrapText="0" relativeIndent="-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Times New Roman"/>
        <scheme val="none"/>
      </font>
      <numFmt numFmtId="167" formatCode="mm/dd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2" tint="-0.749992370372631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rgb="FF0062AC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167" formatCode="mm/dd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rgb="FF0062AC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color theme="4"/>
      </font>
    </dxf>
    <dxf>
      <border>
        <horizontal style="thin">
          <color theme="5"/>
        </horizontal>
      </border>
    </dxf>
  </dxfs>
  <tableStyles count="1" defaultTableStyle="Vehicle Log Book" defaultPivotStyle="PivotStyleLight16">
    <tableStyle name="Vehicle Log Book" pivot="0" count="2" xr9:uid="{00000000-0011-0000-FFFF-FFFF00000000}">
      <tableStyleElement type="wholeTable" dxfId="24"/>
      <tableStyleElement type="headerRow" dxfId="23"/>
    </tableStyle>
  </tableStyles>
  <colors>
    <mruColors>
      <color rgb="FF0062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2200383761921"/>
          <c:y val="2.8186775412652902E-2"/>
          <c:w val="0.81888159102063462"/>
          <c:h val="0.84187857701445246"/>
        </c:manualLayout>
      </c:layout>
      <c:scatterChart>
        <c:scatterStyle val="lineMarker"/>
        <c:varyColors val="0"/>
        <c:ser>
          <c:idx val="0"/>
          <c:order val="0"/>
          <c:tx>
            <c:v>Plot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15875">
                <a:solidFill>
                  <a:srgbClr val="0070C0"/>
                </a:solidFill>
              </a:ln>
              <a:effectLst/>
            </c:spPr>
          </c:marker>
          <c:xVal>
            <c:numRef>
              <c:f>[0]!ChartDates</c:f>
              <c:numCache>
                <c:formatCode>m/d/yy</c:formatCode>
                <c:ptCount val="3"/>
                <c:pt idx="0">
                  <c:v>41285</c:v>
                </c:pt>
                <c:pt idx="1">
                  <c:v>41290</c:v>
                </c:pt>
                <c:pt idx="2">
                  <c:v>41295</c:v>
                </c:pt>
              </c:numCache>
            </c:numRef>
          </c:xVal>
          <c:yVal>
            <c:numRef>
              <c:f>[0]!ChartVals</c:f>
              <c:numCache>
                <c:formatCode>"$"#,##0.00</c:formatCode>
                <c:ptCount val="3"/>
                <c:pt idx="0">
                  <c:v>96</c:v>
                </c:pt>
                <c:pt idx="1">
                  <c:v>65</c:v>
                </c:pt>
                <c:pt idx="2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61-47F2-9AF5-28A52C251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40760"/>
        <c:axId val="317641152"/>
      </c:scatterChart>
      <c:valAx>
        <c:axId val="317640760"/>
        <c:scaling>
          <c:orientation val="minMax"/>
        </c:scaling>
        <c:delete val="0"/>
        <c:axPos val="b"/>
        <c:numFmt formatCode="m/d;@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641152"/>
        <c:crosses val="autoZero"/>
        <c:crossBetween val="midCat"/>
      </c:valAx>
      <c:valAx>
        <c:axId val="317641152"/>
        <c:scaling>
          <c:orientation val="minMax"/>
          <c:min val="0"/>
        </c:scaling>
        <c:delete val="0"/>
        <c:axPos val="l"/>
        <c:majorGridlines>
          <c:spPr>
            <a:ln w="6350" cap="flat" cmpd="sng" algn="ctr">
              <a:solidFill>
                <a:schemeClr val="accent2"/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640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749793428599204E-2"/>
          <c:y val="2.3148148148148147E-2"/>
          <c:w val="1"/>
          <c:h val="0.95850041314280154"/>
        </c:manualLayout>
      </c:layout>
      <c:doughnutChart>
        <c:varyColors val="1"/>
        <c:ser>
          <c:idx val="0"/>
          <c:order val="0"/>
          <c:tx>
            <c:v>Costs</c:v>
          </c:tx>
          <c:spPr>
            <a:effectLst/>
          </c:spPr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C2-47F2-8672-AE0A9358F59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C2-47F2-8672-AE0A9358F596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C2-47F2-8672-AE0A9358F596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7C2-47F2-8672-AE0A9358F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calculations!$B$4:$B$6</c:f>
              <c:strCache>
                <c:ptCount val="3"/>
                <c:pt idx="0">
                  <c:v>GAS</c:v>
                </c:pt>
                <c:pt idx="1">
                  <c:v>MAINT.</c:v>
                </c:pt>
                <c:pt idx="2">
                  <c:v>LOAN</c:v>
                </c:pt>
              </c:strCache>
            </c:strRef>
          </c:cat>
          <c:val>
            <c:numRef>
              <c:f>calculations!$C$4:$C$6</c:f>
              <c:numCache>
                <c:formatCode>General</c:formatCode>
                <c:ptCount val="3"/>
                <c:pt idx="0">
                  <c:v>216</c:v>
                </c:pt>
                <c:pt idx="1">
                  <c:v>208.87</c:v>
                </c:pt>
                <c:pt idx="2">
                  <c:v>643.17999999999995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C2-47F2-8672-AE0A9358F596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423335</xdr:colOff>
      <xdr:row>6</xdr:row>
      <xdr:rowOff>100012</xdr:rowOff>
    </xdr:from>
    <xdr:to>
      <xdr:col>14</xdr:col>
      <xdr:colOff>228601</xdr:colOff>
      <xdr:row>14</xdr:row>
      <xdr:rowOff>409575</xdr:rowOff>
    </xdr:to>
    <xdr:graphicFrame macro="">
      <xdr:nvGraphicFramePr>
        <xdr:cNvPr id="4" name="Gas &amp; Maintenance Chart" descr="Plots gas or maintenance costs, as chosen by the user." title="Option 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1407582</xdr:colOff>
      <xdr:row>5</xdr:row>
      <xdr:rowOff>5291</xdr:rowOff>
    </xdr:from>
    <xdr:to>
      <xdr:col>8</xdr:col>
      <xdr:colOff>261407</xdr:colOff>
      <xdr:row>14</xdr:row>
      <xdr:rowOff>398991</xdr:rowOff>
    </xdr:to>
    <xdr:graphicFrame macro="">
      <xdr:nvGraphicFramePr>
        <xdr:cNvPr id="5" name="Log Values" descr="Donut chart that plots the vehicle cost factors of Gas, Maint., and Loan. " title="Cost Category 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1049868</xdr:colOff>
      <xdr:row>0</xdr:row>
      <xdr:rowOff>252942</xdr:rowOff>
    </xdr:from>
    <xdr:to>
      <xdr:col>11</xdr:col>
      <xdr:colOff>710142</xdr:colOff>
      <xdr:row>2</xdr:row>
      <xdr:rowOff>313267</xdr:rowOff>
    </xdr:to>
    <xdr:grpSp>
      <xdr:nvGrpSpPr>
        <xdr:cNvPr id="12" name="Odometer Icon" descr="&quot;&quot;" title="Odometer ico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>
          <a:grpSpLocks noChangeAspect="1"/>
        </xdr:cNvGrpSpPr>
      </xdr:nvGrpSpPr>
      <xdr:grpSpPr>
        <a:xfrm>
          <a:off x="9516535" y="252942"/>
          <a:ext cx="1000829" cy="892881"/>
          <a:chOff x="6772275" y="5324475"/>
          <a:chExt cx="1257300" cy="1143000"/>
        </a:xfrm>
        <a:solidFill>
          <a:srgbClr val="0070C0"/>
        </a:solidFill>
      </xdr:grpSpPr>
      <xdr:sp macro="" textlink="">
        <xdr:nvSpPr>
          <xdr:cNvPr id="1038" name="Freeform 14">
            <a:extLst>
              <a:ext uri="{FF2B5EF4-FFF2-40B4-BE49-F238E27FC236}">
                <a16:creationId xmlns:a16="http://schemas.microsoft.com/office/drawing/2014/main" id="{00000000-0008-0000-0000-00000E040000}"/>
              </a:ext>
            </a:extLst>
          </xdr:cNvPr>
          <xdr:cNvSpPr>
            <a:spLocks/>
          </xdr:cNvSpPr>
        </xdr:nvSpPr>
        <xdr:spPr bwMode="auto">
          <a:xfrm>
            <a:off x="7324725" y="5600700"/>
            <a:ext cx="152400" cy="866775"/>
          </a:xfrm>
          <a:custGeom>
            <a:avLst/>
            <a:gdLst>
              <a:gd name="T0" fmla="*/ 211 w 420"/>
              <a:gd name="T1" fmla="*/ 5 h 2357"/>
              <a:gd name="T2" fmla="*/ 214 w 420"/>
              <a:gd name="T3" fmla="*/ 31 h 2357"/>
              <a:gd name="T4" fmla="*/ 219 w 420"/>
              <a:gd name="T5" fmla="*/ 83 h 2357"/>
              <a:gd name="T6" fmla="*/ 227 w 420"/>
              <a:gd name="T7" fmla="*/ 158 h 2357"/>
              <a:gd name="T8" fmla="*/ 237 w 420"/>
              <a:gd name="T9" fmla="*/ 251 h 2357"/>
              <a:gd name="T10" fmla="*/ 248 w 420"/>
              <a:gd name="T11" fmla="*/ 361 h 2357"/>
              <a:gd name="T12" fmla="*/ 261 w 420"/>
              <a:gd name="T13" fmla="*/ 485 h 2357"/>
              <a:gd name="T14" fmla="*/ 274 w 420"/>
              <a:gd name="T15" fmla="*/ 620 h 2357"/>
              <a:gd name="T16" fmla="*/ 289 w 420"/>
              <a:gd name="T17" fmla="*/ 763 h 2357"/>
              <a:gd name="T18" fmla="*/ 304 w 420"/>
              <a:gd name="T19" fmla="*/ 911 h 2357"/>
              <a:gd name="T20" fmla="*/ 319 w 420"/>
              <a:gd name="T21" fmla="*/ 1064 h 2357"/>
              <a:gd name="T22" fmla="*/ 335 w 420"/>
              <a:gd name="T23" fmla="*/ 1215 h 2357"/>
              <a:gd name="T24" fmla="*/ 349 w 420"/>
              <a:gd name="T25" fmla="*/ 1364 h 2357"/>
              <a:gd name="T26" fmla="*/ 364 w 420"/>
              <a:gd name="T27" fmla="*/ 1509 h 2357"/>
              <a:gd name="T28" fmla="*/ 377 w 420"/>
              <a:gd name="T29" fmla="*/ 1644 h 2357"/>
              <a:gd name="T30" fmla="*/ 389 w 420"/>
              <a:gd name="T31" fmla="*/ 1770 h 2357"/>
              <a:gd name="T32" fmla="*/ 399 w 420"/>
              <a:gd name="T33" fmla="*/ 1882 h 2357"/>
              <a:gd name="T34" fmla="*/ 408 w 420"/>
              <a:gd name="T35" fmla="*/ 1977 h 2357"/>
              <a:gd name="T36" fmla="*/ 415 w 420"/>
              <a:gd name="T37" fmla="*/ 2054 h 2357"/>
              <a:gd name="T38" fmla="*/ 419 w 420"/>
              <a:gd name="T39" fmla="*/ 2109 h 2357"/>
              <a:gd name="T40" fmla="*/ 420 w 420"/>
              <a:gd name="T41" fmla="*/ 2139 h 2357"/>
              <a:gd name="T42" fmla="*/ 410 w 420"/>
              <a:gd name="T43" fmla="*/ 2208 h 2357"/>
              <a:gd name="T44" fmla="*/ 380 w 420"/>
              <a:gd name="T45" fmla="*/ 2268 h 2357"/>
              <a:gd name="T46" fmla="*/ 334 w 420"/>
              <a:gd name="T47" fmla="*/ 2314 h 2357"/>
              <a:gd name="T48" fmla="*/ 277 w 420"/>
              <a:gd name="T49" fmla="*/ 2346 h 2357"/>
              <a:gd name="T50" fmla="*/ 211 w 420"/>
              <a:gd name="T51" fmla="*/ 2357 h 2357"/>
              <a:gd name="T52" fmla="*/ 144 w 420"/>
              <a:gd name="T53" fmla="*/ 2346 h 2357"/>
              <a:gd name="T54" fmla="*/ 86 w 420"/>
              <a:gd name="T55" fmla="*/ 2314 h 2357"/>
              <a:gd name="T56" fmla="*/ 41 w 420"/>
              <a:gd name="T57" fmla="*/ 2268 h 2357"/>
              <a:gd name="T58" fmla="*/ 11 w 420"/>
              <a:gd name="T59" fmla="*/ 2208 h 2357"/>
              <a:gd name="T60" fmla="*/ 0 w 420"/>
              <a:gd name="T61" fmla="*/ 2139 h 2357"/>
              <a:gd name="T62" fmla="*/ 2 w 420"/>
              <a:gd name="T63" fmla="*/ 2109 h 2357"/>
              <a:gd name="T64" fmla="*/ 6 w 420"/>
              <a:gd name="T65" fmla="*/ 2054 h 2357"/>
              <a:gd name="T66" fmla="*/ 13 w 420"/>
              <a:gd name="T67" fmla="*/ 1977 h 2357"/>
              <a:gd name="T68" fmla="*/ 21 w 420"/>
              <a:gd name="T69" fmla="*/ 1882 h 2357"/>
              <a:gd name="T70" fmla="*/ 32 w 420"/>
              <a:gd name="T71" fmla="*/ 1770 h 2357"/>
              <a:gd name="T72" fmla="*/ 44 w 420"/>
              <a:gd name="T73" fmla="*/ 1644 h 2357"/>
              <a:gd name="T74" fmla="*/ 57 w 420"/>
              <a:gd name="T75" fmla="*/ 1509 h 2357"/>
              <a:gd name="T76" fmla="*/ 71 w 420"/>
              <a:gd name="T77" fmla="*/ 1364 h 2357"/>
              <a:gd name="T78" fmla="*/ 86 w 420"/>
              <a:gd name="T79" fmla="*/ 1215 h 2357"/>
              <a:gd name="T80" fmla="*/ 101 w 420"/>
              <a:gd name="T81" fmla="*/ 1064 h 2357"/>
              <a:gd name="T82" fmla="*/ 117 w 420"/>
              <a:gd name="T83" fmla="*/ 911 h 2357"/>
              <a:gd name="T84" fmla="*/ 132 w 420"/>
              <a:gd name="T85" fmla="*/ 763 h 2357"/>
              <a:gd name="T86" fmla="*/ 146 w 420"/>
              <a:gd name="T87" fmla="*/ 620 h 2357"/>
              <a:gd name="T88" fmla="*/ 160 w 420"/>
              <a:gd name="T89" fmla="*/ 485 h 2357"/>
              <a:gd name="T90" fmla="*/ 173 w 420"/>
              <a:gd name="T91" fmla="*/ 361 h 2357"/>
              <a:gd name="T92" fmla="*/ 184 w 420"/>
              <a:gd name="T93" fmla="*/ 251 h 2357"/>
              <a:gd name="T94" fmla="*/ 194 w 420"/>
              <a:gd name="T95" fmla="*/ 158 h 2357"/>
              <a:gd name="T96" fmla="*/ 201 w 420"/>
              <a:gd name="T97" fmla="*/ 83 h 2357"/>
              <a:gd name="T98" fmla="*/ 206 w 420"/>
              <a:gd name="T99" fmla="*/ 31 h 2357"/>
              <a:gd name="T100" fmla="*/ 210 w 420"/>
              <a:gd name="T101" fmla="*/ 5 h 23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20" h="2357">
                <a:moveTo>
                  <a:pt x="211" y="0"/>
                </a:moveTo>
                <a:lnTo>
                  <a:pt x="211" y="5"/>
                </a:lnTo>
                <a:lnTo>
                  <a:pt x="212" y="15"/>
                </a:lnTo>
                <a:lnTo>
                  <a:pt x="214" y="31"/>
                </a:lnTo>
                <a:lnTo>
                  <a:pt x="216" y="54"/>
                </a:lnTo>
                <a:lnTo>
                  <a:pt x="219" y="83"/>
                </a:lnTo>
                <a:lnTo>
                  <a:pt x="223" y="118"/>
                </a:lnTo>
                <a:lnTo>
                  <a:pt x="227" y="158"/>
                </a:lnTo>
                <a:lnTo>
                  <a:pt x="232" y="203"/>
                </a:lnTo>
                <a:lnTo>
                  <a:pt x="237" y="251"/>
                </a:lnTo>
                <a:lnTo>
                  <a:pt x="242" y="304"/>
                </a:lnTo>
                <a:lnTo>
                  <a:pt x="248" y="361"/>
                </a:lnTo>
                <a:lnTo>
                  <a:pt x="254" y="421"/>
                </a:lnTo>
                <a:lnTo>
                  <a:pt x="261" y="485"/>
                </a:lnTo>
                <a:lnTo>
                  <a:pt x="267" y="551"/>
                </a:lnTo>
                <a:lnTo>
                  <a:pt x="274" y="620"/>
                </a:lnTo>
                <a:lnTo>
                  <a:pt x="282" y="690"/>
                </a:lnTo>
                <a:lnTo>
                  <a:pt x="289" y="763"/>
                </a:lnTo>
                <a:lnTo>
                  <a:pt x="296" y="836"/>
                </a:lnTo>
                <a:lnTo>
                  <a:pt x="304" y="911"/>
                </a:lnTo>
                <a:lnTo>
                  <a:pt x="312" y="987"/>
                </a:lnTo>
                <a:lnTo>
                  <a:pt x="319" y="1064"/>
                </a:lnTo>
                <a:lnTo>
                  <a:pt x="327" y="1139"/>
                </a:lnTo>
                <a:lnTo>
                  <a:pt x="335" y="1215"/>
                </a:lnTo>
                <a:lnTo>
                  <a:pt x="342" y="1290"/>
                </a:lnTo>
                <a:lnTo>
                  <a:pt x="349" y="1364"/>
                </a:lnTo>
                <a:lnTo>
                  <a:pt x="357" y="1437"/>
                </a:lnTo>
                <a:lnTo>
                  <a:pt x="364" y="1509"/>
                </a:lnTo>
                <a:lnTo>
                  <a:pt x="370" y="1578"/>
                </a:lnTo>
                <a:lnTo>
                  <a:pt x="377" y="1644"/>
                </a:lnTo>
                <a:lnTo>
                  <a:pt x="383" y="1709"/>
                </a:lnTo>
                <a:lnTo>
                  <a:pt x="389" y="1770"/>
                </a:lnTo>
                <a:lnTo>
                  <a:pt x="394" y="1827"/>
                </a:lnTo>
                <a:lnTo>
                  <a:pt x="399" y="1882"/>
                </a:lnTo>
                <a:lnTo>
                  <a:pt x="404" y="1932"/>
                </a:lnTo>
                <a:lnTo>
                  <a:pt x="408" y="1977"/>
                </a:lnTo>
                <a:lnTo>
                  <a:pt x="412" y="2018"/>
                </a:lnTo>
                <a:lnTo>
                  <a:pt x="415" y="2054"/>
                </a:lnTo>
                <a:lnTo>
                  <a:pt x="417" y="2084"/>
                </a:lnTo>
                <a:lnTo>
                  <a:pt x="419" y="2109"/>
                </a:lnTo>
                <a:lnTo>
                  <a:pt x="420" y="2128"/>
                </a:lnTo>
                <a:lnTo>
                  <a:pt x="420" y="2139"/>
                </a:lnTo>
                <a:lnTo>
                  <a:pt x="417" y="2174"/>
                </a:lnTo>
                <a:lnTo>
                  <a:pt x="410" y="2208"/>
                </a:lnTo>
                <a:lnTo>
                  <a:pt x="397" y="2240"/>
                </a:lnTo>
                <a:lnTo>
                  <a:pt x="380" y="2268"/>
                </a:lnTo>
                <a:lnTo>
                  <a:pt x="359" y="2293"/>
                </a:lnTo>
                <a:lnTo>
                  <a:pt x="334" y="2314"/>
                </a:lnTo>
                <a:lnTo>
                  <a:pt x="307" y="2332"/>
                </a:lnTo>
                <a:lnTo>
                  <a:pt x="277" y="2346"/>
                </a:lnTo>
                <a:lnTo>
                  <a:pt x="245" y="2354"/>
                </a:lnTo>
                <a:lnTo>
                  <a:pt x="211" y="2357"/>
                </a:lnTo>
                <a:lnTo>
                  <a:pt x="176" y="2354"/>
                </a:lnTo>
                <a:lnTo>
                  <a:pt x="144" y="2346"/>
                </a:lnTo>
                <a:lnTo>
                  <a:pt x="114" y="2332"/>
                </a:lnTo>
                <a:lnTo>
                  <a:pt x="86" y="2314"/>
                </a:lnTo>
                <a:lnTo>
                  <a:pt x="62" y="2293"/>
                </a:lnTo>
                <a:lnTo>
                  <a:pt x="41" y="2268"/>
                </a:lnTo>
                <a:lnTo>
                  <a:pt x="24" y="2240"/>
                </a:lnTo>
                <a:lnTo>
                  <a:pt x="11" y="2208"/>
                </a:lnTo>
                <a:lnTo>
                  <a:pt x="3" y="2174"/>
                </a:lnTo>
                <a:lnTo>
                  <a:pt x="0" y="2139"/>
                </a:lnTo>
                <a:lnTo>
                  <a:pt x="1" y="2128"/>
                </a:lnTo>
                <a:lnTo>
                  <a:pt x="2" y="2109"/>
                </a:lnTo>
                <a:lnTo>
                  <a:pt x="4" y="2084"/>
                </a:lnTo>
                <a:lnTo>
                  <a:pt x="6" y="2054"/>
                </a:lnTo>
                <a:lnTo>
                  <a:pt x="9" y="2018"/>
                </a:lnTo>
                <a:lnTo>
                  <a:pt x="13" y="1977"/>
                </a:lnTo>
                <a:lnTo>
                  <a:pt x="17" y="1932"/>
                </a:lnTo>
                <a:lnTo>
                  <a:pt x="21" y="1882"/>
                </a:lnTo>
                <a:lnTo>
                  <a:pt x="26" y="1827"/>
                </a:lnTo>
                <a:lnTo>
                  <a:pt x="32" y="1770"/>
                </a:lnTo>
                <a:lnTo>
                  <a:pt x="38" y="1709"/>
                </a:lnTo>
                <a:lnTo>
                  <a:pt x="44" y="1644"/>
                </a:lnTo>
                <a:lnTo>
                  <a:pt x="50" y="1578"/>
                </a:lnTo>
                <a:lnTo>
                  <a:pt x="57" y="1509"/>
                </a:lnTo>
                <a:lnTo>
                  <a:pt x="64" y="1437"/>
                </a:lnTo>
                <a:lnTo>
                  <a:pt x="71" y="1364"/>
                </a:lnTo>
                <a:lnTo>
                  <a:pt x="79" y="1290"/>
                </a:lnTo>
                <a:lnTo>
                  <a:pt x="86" y="1215"/>
                </a:lnTo>
                <a:lnTo>
                  <a:pt x="94" y="1139"/>
                </a:lnTo>
                <a:lnTo>
                  <a:pt x="101" y="1064"/>
                </a:lnTo>
                <a:lnTo>
                  <a:pt x="109" y="987"/>
                </a:lnTo>
                <a:lnTo>
                  <a:pt x="117" y="911"/>
                </a:lnTo>
                <a:lnTo>
                  <a:pt x="124" y="836"/>
                </a:lnTo>
                <a:lnTo>
                  <a:pt x="132" y="763"/>
                </a:lnTo>
                <a:lnTo>
                  <a:pt x="139" y="690"/>
                </a:lnTo>
                <a:lnTo>
                  <a:pt x="146" y="620"/>
                </a:lnTo>
                <a:lnTo>
                  <a:pt x="153" y="551"/>
                </a:lnTo>
                <a:lnTo>
                  <a:pt x="160" y="485"/>
                </a:lnTo>
                <a:lnTo>
                  <a:pt x="166" y="421"/>
                </a:lnTo>
                <a:lnTo>
                  <a:pt x="173" y="361"/>
                </a:lnTo>
                <a:lnTo>
                  <a:pt x="179" y="304"/>
                </a:lnTo>
                <a:lnTo>
                  <a:pt x="184" y="251"/>
                </a:lnTo>
                <a:lnTo>
                  <a:pt x="189" y="203"/>
                </a:lnTo>
                <a:lnTo>
                  <a:pt x="194" y="158"/>
                </a:lnTo>
                <a:lnTo>
                  <a:pt x="198" y="118"/>
                </a:lnTo>
                <a:lnTo>
                  <a:pt x="201" y="83"/>
                </a:lnTo>
                <a:lnTo>
                  <a:pt x="204" y="54"/>
                </a:lnTo>
                <a:lnTo>
                  <a:pt x="206" y="31"/>
                </a:lnTo>
                <a:lnTo>
                  <a:pt x="209" y="15"/>
                </a:lnTo>
                <a:lnTo>
                  <a:pt x="210" y="5"/>
                </a:lnTo>
                <a:lnTo>
                  <a:pt x="211" y="0"/>
                </a:lnTo>
                <a:close/>
              </a:path>
            </a:pathLst>
          </a:custGeom>
          <a:grpFill/>
          <a:ln w="0">
            <a:solidFill>
              <a:srgbClr val="0070C0"/>
            </a:solidFill>
            <a:prstDash val="solid"/>
            <a:round/>
            <a:headEnd/>
            <a:tailEnd/>
          </a:ln>
          <a:effectLst>
            <a:softEdge rad="0"/>
          </a:effectLst>
        </xdr:spPr>
      </xdr:sp>
      <xdr:sp macro="" textlink="">
        <xdr:nvSpPr>
          <xdr:cNvPr id="1040" name="Freeform 16">
            <a:extLst>
              <a:ext uri="{FF2B5EF4-FFF2-40B4-BE49-F238E27FC236}">
                <a16:creationId xmlns:a16="http://schemas.microsoft.com/office/drawing/2014/main" id="{00000000-0008-0000-0000-000010040000}"/>
              </a:ext>
            </a:extLst>
          </xdr:cNvPr>
          <xdr:cNvSpPr>
            <a:spLocks/>
          </xdr:cNvSpPr>
        </xdr:nvSpPr>
        <xdr:spPr bwMode="auto">
          <a:xfrm>
            <a:off x="7124700" y="5372100"/>
            <a:ext cx="114300" cy="209550"/>
          </a:xfrm>
          <a:custGeom>
            <a:avLst/>
            <a:gdLst>
              <a:gd name="T0" fmla="*/ 67 w 311"/>
              <a:gd name="T1" fmla="*/ 0 h 560"/>
              <a:gd name="T2" fmla="*/ 82 w 311"/>
              <a:gd name="T3" fmla="*/ 4 h 560"/>
              <a:gd name="T4" fmla="*/ 95 w 311"/>
              <a:gd name="T5" fmla="*/ 11 h 560"/>
              <a:gd name="T6" fmla="*/ 107 w 311"/>
              <a:gd name="T7" fmla="*/ 23 h 560"/>
              <a:gd name="T8" fmla="*/ 116 w 311"/>
              <a:gd name="T9" fmla="*/ 37 h 560"/>
              <a:gd name="T10" fmla="*/ 306 w 311"/>
              <a:gd name="T11" fmla="*/ 471 h 560"/>
              <a:gd name="T12" fmla="*/ 310 w 311"/>
              <a:gd name="T13" fmla="*/ 487 h 560"/>
              <a:gd name="T14" fmla="*/ 311 w 311"/>
              <a:gd name="T15" fmla="*/ 503 h 560"/>
              <a:gd name="T16" fmla="*/ 307 w 311"/>
              <a:gd name="T17" fmla="*/ 520 h 560"/>
              <a:gd name="T18" fmla="*/ 300 w 311"/>
              <a:gd name="T19" fmla="*/ 533 h 560"/>
              <a:gd name="T20" fmla="*/ 289 w 311"/>
              <a:gd name="T21" fmla="*/ 545 h 560"/>
              <a:gd name="T22" fmla="*/ 276 w 311"/>
              <a:gd name="T23" fmla="*/ 555 h 560"/>
              <a:gd name="T24" fmla="*/ 263 w 311"/>
              <a:gd name="T25" fmla="*/ 559 h 560"/>
              <a:gd name="T26" fmla="*/ 250 w 311"/>
              <a:gd name="T27" fmla="*/ 560 h 560"/>
              <a:gd name="T28" fmla="*/ 233 w 311"/>
              <a:gd name="T29" fmla="*/ 558 h 560"/>
              <a:gd name="T30" fmla="*/ 218 w 311"/>
              <a:gd name="T31" fmla="*/ 551 h 560"/>
              <a:gd name="T32" fmla="*/ 205 w 311"/>
              <a:gd name="T33" fmla="*/ 538 h 560"/>
              <a:gd name="T34" fmla="*/ 195 w 311"/>
              <a:gd name="T35" fmla="*/ 523 h 560"/>
              <a:gd name="T36" fmla="*/ 5 w 311"/>
              <a:gd name="T37" fmla="*/ 89 h 560"/>
              <a:gd name="T38" fmla="*/ 0 w 311"/>
              <a:gd name="T39" fmla="*/ 72 h 560"/>
              <a:gd name="T40" fmla="*/ 0 w 311"/>
              <a:gd name="T41" fmla="*/ 56 h 560"/>
              <a:gd name="T42" fmla="*/ 3 w 311"/>
              <a:gd name="T43" fmla="*/ 40 h 560"/>
              <a:gd name="T44" fmla="*/ 11 w 311"/>
              <a:gd name="T45" fmla="*/ 27 h 560"/>
              <a:gd name="T46" fmla="*/ 21 w 311"/>
              <a:gd name="T47" fmla="*/ 14 h 560"/>
              <a:gd name="T48" fmla="*/ 35 w 311"/>
              <a:gd name="T49" fmla="*/ 5 h 560"/>
              <a:gd name="T50" fmla="*/ 51 w 311"/>
              <a:gd name="T51" fmla="*/ 1 h 560"/>
              <a:gd name="T52" fmla="*/ 67 w 311"/>
              <a:gd name="T53" fmla="*/ 0 h 5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311" h="560">
                <a:moveTo>
                  <a:pt x="67" y="0"/>
                </a:moveTo>
                <a:lnTo>
                  <a:pt x="82" y="4"/>
                </a:lnTo>
                <a:lnTo>
                  <a:pt x="95" y="11"/>
                </a:lnTo>
                <a:lnTo>
                  <a:pt x="107" y="23"/>
                </a:lnTo>
                <a:lnTo>
                  <a:pt x="116" y="37"/>
                </a:lnTo>
                <a:lnTo>
                  <a:pt x="306" y="471"/>
                </a:lnTo>
                <a:lnTo>
                  <a:pt x="310" y="487"/>
                </a:lnTo>
                <a:lnTo>
                  <a:pt x="311" y="503"/>
                </a:lnTo>
                <a:lnTo>
                  <a:pt x="307" y="520"/>
                </a:lnTo>
                <a:lnTo>
                  <a:pt x="300" y="533"/>
                </a:lnTo>
                <a:lnTo>
                  <a:pt x="289" y="545"/>
                </a:lnTo>
                <a:lnTo>
                  <a:pt x="276" y="555"/>
                </a:lnTo>
                <a:lnTo>
                  <a:pt x="263" y="559"/>
                </a:lnTo>
                <a:lnTo>
                  <a:pt x="250" y="560"/>
                </a:lnTo>
                <a:lnTo>
                  <a:pt x="233" y="558"/>
                </a:lnTo>
                <a:lnTo>
                  <a:pt x="218" y="551"/>
                </a:lnTo>
                <a:lnTo>
                  <a:pt x="205" y="538"/>
                </a:lnTo>
                <a:lnTo>
                  <a:pt x="195" y="523"/>
                </a:lnTo>
                <a:lnTo>
                  <a:pt x="5" y="89"/>
                </a:lnTo>
                <a:lnTo>
                  <a:pt x="0" y="72"/>
                </a:lnTo>
                <a:lnTo>
                  <a:pt x="0" y="56"/>
                </a:lnTo>
                <a:lnTo>
                  <a:pt x="3" y="40"/>
                </a:lnTo>
                <a:lnTo>
                  <a:pt x="11" y="27"/>
                </a:lnTo>
                <a:lnTo>
                  <a:pt x="21" y="14"/>
                </a:lnTo>
                <a:lnTo>
                  <a:pt x="35" y="5"/>
                </a:lnTo>
                <a:lnTo>
                  <a:pt x="51" y="1"/>
                </a:lnTo>
                <a:lnTo>
                  <a:pt x="67" y="0"/>
                </a:lnTo>
                <a:close/>
              </a:path>
            </a:pathLst>
          </a:custGeom>
          <a:grpFill/>
          <a:ln w="0">
            <a:solidFill>
              <a:srgbClr val="0070C0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41" name="Freeform 17">
            <a:extLst>
              <a:ext uri="{FF2B5EF4-FFF2-40B4-BE49-F238E27FC236}">
                <a16:creationId xmlns:a16="http://schemas.microsoft.com/office/drawing/2014/main" id="{00000000-0008-0000-0000-000011040000}"/>
              </a:ext>
            </a:extLst>
          </xdr:cNvPr>
          <xdr:cNvSpPr>
            <a:spLocks/>
          </xdr:cNvSpPr>
        </xdr:nvSpPr>
        <xdr:spPr bwMode="auto">
          <a:xfrm>
            <a:off x="6924675" y="5524500"/>
            <a:ext cx="180975" cy="161925"/>
          </a:xfrm>
          <a:custGeom>
            <a:avLst/>
            <a:gdLst>
              <a:gd name="T0" fmla="*/ 58 w 463"/>
              <a:gd name="T1" fmla="*/ 0 h 445"/>
              <a:gd name="T2" fmla="*/ 73 w 463"/>
              <a:gd name="T3" fmla="*/ 1 h 445"/>
              <a:gd name="T4" fmla="*/ 88 w 463"/>
              <a:gd name="T5" fmla="*/ 6 h 445"/>
              <a:gd name="T6" fmla="*/ 102 w 463"/>
              <a:gd name="T7" fmla="*/ 16 h 445"/>
              <a:gd name="T8" fmla="*/ 443 w 463"/>
              <a:gd name="T9" fmla="*/ 335 h 445"/>
              <a:gd name="T10" fmla="*/ 453 w 463"/>
              <a:gd name="T11" fmla="*/ 349 h 445"/>
              <a:gd name="T12" fmla="*/ 460 w 463"/>
              <a:gd name="T13" fmla="*/ 363 h 445"/>
              <a:gd name="T14" fmla="*/ 463 w 463"/>
              <a:gd name="T15" fmla="*/ 379 h 445"/>
              <a:gd name="T16" fmla="*/ 462 w 463"/>
              <a:gd name="T17" fmla="*/ 395 h 445"/>
              <a:gd name="T18" fmla="*/ 456 w 463"/>
              <a:gd name="T19" fmla="*/ 411 h 445"/>
              <a:gd name="T20" fmla="*/ 447 w 463"/>
              <a:gd name="T21" fmla="*/ 424 h 445"/>
              <a:gd name="T22" fmla="*/ 434 w 463"/>
              <a:gd name="T23" fmla="*/ 436 h 445"/>
              <a:gd name="T24" fmla="*/ 418 w 463"/>
              <a:gd name="T25" fmla="*/ 443 h 445"/>
              <a:gd name="T26" fmla="*/ 402 w 463"/>
              <a:gd name="T27" fmla="*/ 445 h 445"/>
              <a:gd name="T28" fmla="*/ 388 w 463"/>
              <a:gd name="T29" fmla="*/ 444 h 445"/>
              <a:gd name="T30" fmla="*/ 374 w 463"/>
              <a:gd name="T31" fmla="*/ 438 h 445"/>
              <a:gd name="T32" fmla="*/ 361 w 463"/>
              <a:gd name="T33" fmla="*/ 430 h 445"/>
              <a:gd name="T34" fmla="*/ 20 w 463"/>
              <a:gd name="T35" fmla="*/ 109 h 445"/>
              <a:gd name="T36" fmla="*/ 10 w 463"/>
              <a:gd name="T37" fmla="*/ 97 h 445"/>
              <a:gd name="T38" fmla="*/ 3 w 463"/>
              <a:gd name="T39" fmla="*/ 82 h 445"/>
              <a:gd name="T40" fmla="*/ 0 w 463"/>
              <a:gd name="T41" fmla="*/ 66 h 445"/>
              <a:gd name="T42" fmla="*/ 1 w 463"/>
              <a:gd name="T43" fmla="*/ 50 h 445"/>
              <a:gd name="T44" fmla="*/ 7 w 463"/>
              <a:gd name="T45" fmla="*/ 34 h 445"/>
              <a:gd name="T46" fmla="*/ 16 w 463"/>
              <a:gd name="T47" fmla="*/ 21 h 445"/>
              <a:gd name="T48" fmla="*/ 28 w 463"/>
              <a:gd name="T49" fmla="*/ 10 h 445"/>
              <a:gd name="T50" fmla="*/ 43 w 463"/>
              <a:gd name="T51" fmla="*/ 2 h 445"/>
              <a:gd name="T52" fmla="*/ 58 w 463"/>
              <a:gd name="T53" fmla="*/ 0 h 4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463" h="445">
                <a:moveTo>
                  <a:pt x="58" y="0"/>
                </a:moveTo>
                <a:lnTo>
                  <a:pt x="73" y="1"/>
                </a:lnTo>
                <a:lnTo>
                  <a:pt x="88" y="6"/>
                </a:lnTo>
                <a:lnTo>
                  <a:pt x="102" y="16"/>
                </a:lnTo>
                <a:lnTo>
                  <a:pt x="443" y="335"/>
                </a:lnTo>
                <a:lnTo>
                  <a:pt x="453" y="349"/>
                </a:lnTo>
                <a:lnTo>
                  <a:pt x="460" y="363"/>
                </a:lnTo>
                <a:lnTo>
                  <a:pt x="463" y="379"/>
                </a:lnTo>
                <a:lnTo>
                  <a:pt x="462" y="395"/>
                </a:lnTo>
                <a:lnTo>
                  <a:pt x="456" y="411"/>
                </a:lnTo>
                <a:lnTo>
                  <a:pt x="447" y="424"/>
                </a:lnTo>
                <a:lnTo>
                  <a:pt x="434" y="436"/>
                </a:lnTo>
                <a:lnTo>
                  <a:pt x="418" y="443"/>
                </a:lnTo>
                <a:lnTo>
                  <a:pt x="402" y="445"/>
                </a:lnTo>
                <a:lnTo>
                  <a:pt x="388" y="444"/>
                </a:lnTo>
                <a:lnTo>
                  <a:pt x="374" y="438"/>
                </a:lnTo>
                <a:lnTo>
                  <a:pt x="361" y="430"/>
                </a:lnTo>
                <a:lnTo>
                  <a:pt x="20" y="109"/>
                </a:lnTo>
                <a:lnTo>
                  <a:pt x="10" y="97"/>
                </a:lnTo>
                <a:lnTo>
                  <a:pt x="3" y="82"/>
                </a:lnTo>
                <a:lnTo>
                  <a:pt x="0" y="66"/>
                </a:lnTo>
                <a:lnTo>
                  <a:pt x="1" y="50"/>
                </a:lnTo>
                <a:lnTo>
                  <a:pt x="7" y="34"/>
                </a:lnTo>
                <a:lnTo>
                  <a:pt x="16" y="21"/>
                </a:lnTo>
                <a:lnTo>
                  <a:pt x="28" y="10"/>
                </a:lnTo>
                <a:lnTo>
                  <a:pt x="43" y="2"/>
                </a:lnTo>
                <a:lnTo>
                  <a:pt x="58" y="0"/>
                </a:lnTo>
                <a:close/>
              </a:path>
            </a:pathLst>
          </a:custGeom>
          <a:grpFill/>
          <a:ln w="0">
            <a:solidFill>
              <a:srgbClr val="0070C0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42" name="Freeform 18">
            <a:extLst>
              <a:ext uri="{FF2B5EF4-FFF2-40B4-BE49-F238E27FC236}">
                <a16:creationId xmlns:a16="http://schemas.microsoft.com/office/drawing/2014/main" id="{00000000-0008-0000-0000-000012040000}"/>
              </a:ext>
            </a:extLst>
          </xdr:cNvPr>
          <xdr:cNvSpPr>
            <a:spLocks/>
          </xdr:cNvSpPr>
        </xdr:nvSpPr>
        <xdr:spPr bwMode="auto">
          <a:xfrm>
            <a:off x="6800850" y="5734050"/>
            <a:ext cx="209550" cy="104775"/>
          </a:xfrm>
          <a:custGeom>
            <a:avLst/>
            <a:gdLst>
              <a:gd name="T0" fmla="*/ 64 w 558"/>
              <a:gd name="T1" fmla="*/ 0 h 277"/>
              <a:gd name="T2" fmla="*/ 80 w 558"/>
              <a:gd name="T3" fmla="*/ 4 h 277"/>
              <a:gd name="T4" fmla="*/ 516 w 558"/>
              <a:gd name="T5" fmla="*/ 155 h 277"/>
              <a:gd name="T6" fmla="*/ 531 w 558"/>
              <a:gd name="T7" fmla="*/ 162 h 277"/>
              <a:gd name="T8" fmla="*/ 543 w 558"/>
              <a:gd name="T9" fmla="*/ 172 h 277"/>
              <a:gd name="T10" fmla="*/ 551 w 558"/>
              <a:gd name="T11" fmla="*/ 186 h 277"/>
              <a:gd name="T12" fmla="*/ 556 w 558"/>
              <a:gd name="T13" fmla="*/ 201 h 277"/>
              <a:gd name="T14" fmla="*/ 558 w 558"/>
              <a:gd name="T15" fmla="*/ 218 h 277"/>
              <a:gd name="T16" fmla="*/ 555 w 558"/>
              <a:gd name="T17" fmla="*/ 235 h 277"/>
              <a:gd name="T18" fmla="*/ 548 w 558"/>
              <a:gd name="T19" fmla="*/ 249 h 277"/>
              <a:gd name="T20" fmla="*/ 538 w 558"/>
              <a:gd name="T21" fmla="*/ 261 h 277"/>
              <a:gd name="T22" fmla="*/ 526 w 558"/>
              <a:gd name="T23" fmla="*/ 270 h 277"/>
              <a:gd name="T24" fmla="*/ 512 w 558"/>
              <a:gd name="T25" fmla="*/ 275 h 277"/>
              <a:gd name="T26" fmla="*/ 497 w 558"/>
              <a:gd name="T27" fmla="*/ 277 h 277"/>
              <a:gd name="T28" fmla="*/ 478 w 558"/>
              <a:gd name="T29" fmla="*/ 274 h 277"/>
              <a:gd name="T30" fmla="*/ 42 w 558"/>
              <a:gd name="T31" fmla="*/ 124 h 277"/>
              <a:gd name="T32" fmla="*/ 27 w 558"/>
              <a:gd name="T33" fmla="*/ 116 h 277"/>
              <a:gd name="T34" fmla="*/ 15 w 558"/>
              <a:gd name="T35" fmla="*/ 105 h 277"/>
              <a:gd name="T36" fmla="*/ 6 w 558"/>
              <a:gd name="T37" fmla="*/ 91 h 277"/>
              <a:gd name="T38" fmla="*/ 1 w 558"/>
              <a:gd name="T39" fmla="*/ 77 h 277"/>
              <a:gd name="T40" fmla="*/ 0 w 558"/>
              <a:gd name="T41" fmla="*/ 60 h 277"/>
              <a:gd name="T42" fmla="*/ 3 w 558"/>
              <a:gd name="T43" fmla="*/ 44 h 277"/>
              <a:gd name="T44" fmla="*/ 10 w 558"/>
              <a:gd name="T45" fmla="*/ 28 h 277"/>
              <a:gd name="T46" fmla="*/ 21 w 558"/>
              <a:gd name="T47" fmla="*/ 16 h 277"/>
              <a:gd name="T48" fmla="*/ 34 w 558"/>
              <a:gd name="T49" fmla="*/ 7 h 277"/>
              <a:gd name="T50" fmla="*/ 48 w 558"/>
              <a:gd name="T51" fmla="*/ 2 h 277"/>
              <a:gd name="T52" fmla="*/ 64 w 558"/>
              <a:gd name="T53" fmla="*/ 0 h 2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558" h="277">
                <a:moveTo>
                  <a:pt x="64" y="0"/>
                </a:moveTo>
                <a:lnTo>
                  <a:pt x="80" y="4"/>
                </a:lnTo>
                <a:lnTo>
                  <a:pt x="516" y="155"/>
                </a:lnTo>
                <a:lnTo>
                  <a:pt x="531" y="162"/>
                </a:lnTo>
                <a:lnTo>
                  <a:pt x="543" y="172"/>
                </a:lnTo>
                <a:lnTo>
                  <a:pt x="551" y="186"/>
                </a:lnTo>
                <a:lnTo>
                  <a:pt x="556" y="201"/>
                </a:lnTo>
                <a:lnTo>
                  <a:pt x="558" y="218"/>
                </a:lnTo>
                <a:lnTo>
                  <a:pt x="555" y="235"/>
                </a:lnTo>
                <a:lnTo>
                  <a:pt x="548" y="249"/>
                </a:lnTo>
                <a:lnTo>
                  <a:pt x="538" y="261"/>
                </a:lnTo>
                <a:lnTo>
                  <a:pt x="526" y="270"/>
                </a:lnTo>
                <a:lnTo>
                  <a:pt x="512" y="275"/>
                </a:lnTo>
                <a:lnTo>
                  <a:pt x="497" y="277"/>
                </a:lnTo>
                <a:lnTo>
                  <a:pt x="478" y="274"/>
                </a:lnTo>
                <a:lnTo>
                  <a:pt x="42" y="124"/>
                </a:lnTo>
                <a:lnTo>
                  <a:pt x="27" y="116"/>
                </a:lnTo>
                <a:lnTo>
                  <a:pt x="15" y="105"/>
                </a:lnTo>
                <a:lnTo>
                  <a:pt x="6" y="91"/>
                </a:lnTo>
                <a:lnTo>
                  <a:pt x="1" y="77"/>
                </a:lnTo>
                <a:lnTo>
                  <a:pt x="0" y="60"/>
                </a:lnTo>
                <a:lnTo>
                  <a:pt x="3" y="44"/>
                </a:lnTo>
                <a:lnTo>
                  <a:pt x="10" y="28"/>
                </a:lnTo>
                <a:lnTo>
                  <a:pt x="21" y="16"/>
                </a:lnTo>
                <a:lnTo>
                  <a:pt x="34" y="7"/>
                </a:lnTo>
                <a:lnTo>
                  <a:pt x="48" y="2"/>
                </a:lnTo>
                <a:lnTo>
                  <a:pt x="64" y="0"/>
                </a:lnTo>
                <a:close/>
              </a:path>
            </a:pathLst>
          </a:custGeom>
          <a:grpFill/>
          <a:ln w="0">
            <a:solidFill>
              <a:srgbClr val="0070C0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43" name="Freeform 19">
            <a:extLst>
              <a:ext uri="{FF2B5EF4-FFF2-40B4-BE49-F238E27FC236}">
                <a16:creationId xmlns:a16="http://schemas.microsoft.com/office/drawing/2014/main" id="{00000000-0008-0000-0000-000013040000}"/>
              </a:ext>
            </a:extLst>
          </xdr:cNvPr>
          <xdr:cNvSpPr>
            <a:spLocks/>
          </xdr:cNvSpPr>
        </xdr:nvSpPr>
        <xdr:spPr bwMode="auto">
          <a:xfrm>
            <a:off x="6772275" y="5972175"/>
            <a:ext cx="219075" cy="66675"/>
          </a:xfrm>
          <a:custGeom>
            <a:avLst/>
            <a:gdLst>
              <a:gd name="T0" fmla="*/ 511 w 578"/>
              <a:gd name="T1" fmla="*/ 0 h 177"/>
              <a:gd name="T2" fmla="*/ 527 w 578"/>
              <a:gd name="T3" fmla="*/ 0 h 177"/>
              <a:gd name="T4" fmla="*/ 543 w 578"/>
              <a:gd name="T5" fmla="*/ 5 h 177"/>
              <a:gd name="T6" fmla="*/ 556 w 578"/>
              <a:gd name="T7" fmla="*/ 13 h 177"/>
              <a:gd name="T8" fmla="*/ 567 w 578"/>
              <a:gd name="T9" fmla="*/ 24 h 177"/>
              <a:gd name="T10" fmla="*/ 574 w 578"/>
              <a:gd name="T11" fmla="*/ 39 h 177"/>
              <a:gd name="T12" fmla="*/ 578 w 578"/>
              <a:gd name="T13" fmla="*/ 56 h 177"/>
              <a:gd name="T14" fmla="*/ 578 w 578"/>
              <a:gd name="T15" fmla="*/ 72 h 177"/>
              <a:gd name="T16" fmla="*/ 573 w 578"/>
              <a:gd name="T17" fmla="*/ 88 h 177"/>
              <a:gd name="T18" fmla="*/ 565 w 578"/>
              <a:gd name="T19" fmla="*/ 102 h 177"/>
              <a:gd name="T20" fmla="*/ 554 w 578"/>
              <a:gd name="T21" fmla="*/ 113 h 177"/>
              <a:gd name="T22" fmla="*/ 540 w 578"/>
              <a:gd name="T23" fmla="*/ 121 h 177"/>
              <a:gd name="T24" fmla="*/ 524 w 578"/>
              <a:gd name="T25" fmla="*/ 125 h 177"/>
              <a:gd name="T26" fmla="*/ 67 w 578"/>
              <a:gd name="T27" fmla="*/ 177 h 177"/>
              <a:gd name="T28" fmla="*/ 61 w 578"/>
              <a:gd name="T29" fmla="*/ 177 h 177"/>
              <a:gd name="T30" fmla="*/ 43 w 578"/>
              <a:gd name="T31" fmla="*/ 174 h 177"/>
              <a:gd name="T32" fmla="*/ 27 w 578"/>
              <a:gd name="T33" fmla="*/ 167 h 177"/>
              <a:gd name="T34" fmla="*/ 14 w 578"/>
              <a:gd name="T35" fmla="*/ 154 h 177"/>
              <a:gd name="T36" fmla="*/ 5 w 578"/>
              <a:gd name="T37" fmla="*/ 139 h 177"/>
              <a:gd name="T38" fmla="*/ 0 w 578"/>
              <a:gd name="T39" fmla="*/ 121 h 177"/>
              <a:gd name="T40" fmla="*/ 1 w 578"/>
              <a:gd name="T41" fmla="*/ 103 h 177"/>
              <a:gd name="T42" fmla="*/ 5 w 578"/>
              <a:gd name="T43" fmla="*/ 88 h 177"/>
              <a:gd name="T44" fmla="*/ 13 w 578"/>
              <a:gd name="T45" fmla="*/ 74 h 177"/>
              <a:gd name="T46" fmla="*/ 25 w 578"/>
              <a:gd name="T47" fmla="*/ 63 h 177"/>
              <a:gd name="T48" fmla="*/ 38 w 578"/>
              <a:gd name="T49" fmla="*/ 55 h 177"/>
              <a:gd name="T50" fmla="*/ 54 w 578"/>
              <a:gd name="T51" fmla="*/ 51 h 177"/>
              <a:gd name="T52" fmla="*/ 511 w 578"/>
              <a:gd name="T53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578" h="177">
                <a:moveTo>
                  <a:pt x="511" y="0"/>
                </a:moveTo>
                <a:lnTo>
                  <a:pt x="527" y="0"/>
                </a:lnTo>
                <a:lnTo>
                  <a:pt x="543" y="5"/>
                </a:lnTo>
                <a:lnTo>
                  <a:pt x="556" y="13"/>
                </a:lnTo>
                <a:lnTo>
                  <a:pt x="567" y="24"/>
                </a:lnTo>
                <a:lnTo>
                  <a:pt x="574" y="39"/>
                </a:lnTo>
                <a:lnTo>
                  <a:pt x="578" y="56"/>
                </a:lnTo>
                <a:lnTo>
                  <a:pt x="578" y="72"/>
                </a:lnTo>
                <a:lnTo>
                  <a:pt x="573" y="88"/>
                </a:lnTo>
                <a:lnTo>
                  <a:pt x="565" y="102"/>
                </a:lnTo>
                <a:lnTo>
                  <a:pt x="554" y="113"/>
                </a:lnTo>
                <a:lnTo>
                  <a:pt x="540" y="121"/>
                </a:lnTo>
                <a:lnTo>
                  <a:pt x="524" y="125"/>
                </a:lnTo>
                <a:lnTo>
                  <a:pt x="67" y="177"/>
                </a:lnTo>
                <a:lnTo>
                  <a:pt x="61" y="177"/>
                </a:lnTo>
                <a:lnTo>
                  <a:pt x="43" y="174"/>
                </a:lnTo>
                <a:lnTo>
                  <a:pt x="27" y="167"/>
                </a:lnTo>
                <a:lnTo>
                  <a:pt x="14" y="154"/>
                </a:lnTo>
                <a:lnTo>
                  <a:pt x="5" y="139"/>
                </a:lnTo>
                <a:lnTo>
                  <a:pt x="0" y="121"/>
                </a:lnTo>
                <a:lnTo>
                  <a:pt x="1" y="103"/>
                </a:lnTo>
                <a:lnTo>
                  <a:pt x="5" y="88"/>
                </a:lnTo>
                <a:lnTo>
                  <a:pt x="13" y="74"/>
                </a:lnTo>
                <a:lnTo>
                  <a:pt x="25" y="63"/>
                </a:lnTo>
                <a:lnTo>
                  <a:pt x="38" y="55"/>
                </a:lnTo>
                <a:lnTo>
                  <a:pt x="54" y="51"/>
                </a:lnTo>
                <a:lnTo>
                  <a:pt x="511" y="0"/>
                </a:lnTo>
                <a:close/>
              </a:path>
            </a:pathLst>
          </a:custGeom>
          <a:grpFill/>
          <a:ln w="0">
            <a:solidFill>
              <a:srgbClr val="0070C0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44" name="Freeform 20">
            <a:extLst>
              <a:ext uri="{FF2B5EF4-FFF2-40B4-BE49-F238E27FC236}">
                <a16:creationId xmlns:a16="http://schemas.microsoft.com/office/drawing/2014/main" id="{00000000-0008-0000-0000-000014040000}"/>
              </a:ext>
            </a:extLst>
          </xdr:cNvPr>
          <xdr:cNvSpPr>
            <a:spLocks/>
          </xdr:cNvSpPr>
        </xdr:nvSpPr>
        <xdr:spPr bwMode="auto">
          <a:xfrm>
            <a:off x="6848475" y="6143625"/>
            <a:ext cx="200025" cy="133350"/>
          </a:xfrm>
          <a:custGeom>
            <a:avLst/>
            <a:gdLst>
              <a:gd name="T0" fmla="*/ 458 w 519"/>
              <a:gd name="T1" fmla="*/ 0 h 367"/>
              <a:gd name="T2" fmla="*/ 473 w 519"/>
              <a:gd name="T3" fmla="*/ 2 h 367"/>
              <a:gd name="T4" fmla="*/ 488 w 519"/>
              <a:gd name="T5" fmla="*/ 8 h 367"/>
              <a:gd name="T6" fmla="*/ 500 w 519"/>
              <a:gd name="T7" fmla="*/ 18 h 367"/>
              <a:gd name="T8" fmla="*/ 510 w 519"/>
              <a:gd name="T9" fmla="*/ 31 h 367"/>
              <a:gd name="T10" fmla="*/ 516 w 519"/>
              <a:gd name="T11" fmla="*/ 47 h 367"/>
              <a:gd name="T12" fmla="*/ 519 w 519"/>
              <a:gd name="T13" fmla="*/ 62 h 367"/>
              <a:gd name="T14" fmla="*/ 517 w 519"/>
              <a:gd name="T15" fmla="*/ 79 h 367"/>
              <a:gd name="T16" fmla="*/ 511 w 519"/>
              <a:gd name="T17" fmla="*/ 94 h 367"/>
              <a:gd name="T18" fmla="*/ 501 w 519"/>
              <a:gd name="T19" fmla="*/ 107 h 367"/>
              <a:gd name="T20" fmla="*/ 488 w 519"/>
              <a:gd name="T21" fmla="*/ 117 h 367"/>
              <a:gd name="T22" fmla="*/ 92 w 519"/>
              <a:gd name="T23" fmla="*/ 358 h 367"/>
              <a:gd name="T24" fmla="*/ 77 w 519"/>
              <a:gd name="T25" fmla="*/ 365 h 367"/>
              <a:gd name="T26" fmla="*/ 61 w 519"/>
              <a:gd name="T27" fmla="*/ 367 h 367"/>
              <a:gd name="T28" fmla="*/ 46 w 519"/>
              <a:gd name="T29" fmla="*/ 365 h 367"/>
              <a:gd name="T30" fmla="*/ 31 w 519"/>
              <a:gd name="T31" fmla="*/ 359 h 367"/>
              <a:gd name="T32" fmla="*/ 19 w 519"/>
              <a:gd name="T33" fmla="*/ 349 h 367"/>
              <a:gd name="T34" fmla="*/ 9 w 519"/>
              <a:gd name="T35" fmla="*/ 336 h 367"/>
              <a:gd name="T36" fmla="*/ 2 w 519"/>
              <a:gd name="T37" fmla="*/ 321 h 367"/>
              <a:gd name="T38" fmla="*/ 0 w 519"/>
              <a:gd name="T39" fmla="*/ 304 h 367"/>
              <a:gd name="T40" fmla="*/ 2 w 519"/>
              <a:gd name="T41" fmla="*/ 288 h 367"/>
              <a:gd name="T42" fmla="*/ 8 w 519"/>
              <a:gd name="T43" fmla="*/ 273 h 367"/>
              <a:gd name="T44" fmla="*/ 17 w 519"/>
              <a:gd name="T45" fmla="*/ 260 h 367"/>
              <a:gd name="T46" fmla="*/ 30 w 519"/>
              <a:gd name="T47" fmla="*/ 249 h 367"/>
              <a:gd name="T48" fmla="*/ 427 w 519"/>
              <a:gd name="T49" fmla="*/ 9 h 367"/>
              <a:gd name="T50" fmla="*/ 442 w 519"/>
              <a:gd name="T51" fmla="*/ 2 h 367"/>
              <a:gd name="T52" fmla="*/ 458 w 519"/>
              <a:gd name="T53" fmla="*/ 0 h 3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519" h="367">
                <a:moveTo>
                  <a:pt x="458" y="0"/>
                </a:moveTo>
                <a:lnTo>
                  <a:pt x="473" y="2"/>
                </a:lnTo>
                <a:lnTo>
                  <a:pt x="488" y="8"/>
                </a:lnTo>
                <a:lnTo>
                  <a:pt x="500" y="18"/>
                </a:lnTo>
                <a:lnTo>
                  <a:pt x="510" y="31"/>
                </a:lnTo>
                <a:lnTo>
                  <a:pt x="516" y="47"/>
                </a:lnTo>
                <a:lnTo>
                  <a:pt x="519" y="62"/>
                </a:lnTo>
                <a:lnTo>
                  <a:pt x="517" y="79"/>
                </a:lnTo>
                <a:lnTo>
                  <a:pt x="511" y="94"/>
                </a:lnTo>
                <a:lnTo>
                  <a:pt x="501" y="107"/>
                </a:lnTo>
                <a:lnTo>
                  <a:pt x="488" y="117"/>
                </a:lnTo>
                <a:lnTo>
                  <a:pt x="92" y="358"/>
                </a:lnTo>
                <a:lnTo>
                  <a:pt x="77" y="365"/>
                </a:lnTo>
                <a:lnTo>
                  <a:pt x="61" y="367"/>
                </a:lnTo>
                <a:lnTo>
                  <a:pt x="46" y="365"/>
                </a:lnTo>
                <a:lnTo>
                  <a:pt x="31" y="359"/>
                </a:lnTo>
                <a:lnTo>
                  <a:pt x="19" y="349"/>
                </a:lnTo>
                <a:lnTo>
                  <a:pt x="9" y="336"/>
                </a:lnTo>
                <a:lnTo>
                  <a:pt x="2" y="321"/>
                </a:lnTo>
                <a:lnTo>
                  <a:pt x="0" y="304"/>
                </a:lnTo>
                <a:lnTo>
                  <a:pt x="2" y="288"/>
                </a:lnTo>
                <a:lnTo>
                  <a:pt x="8" y="273"/>
                </a:lnTo>
                <a:lnTo>
                  <a:pt x="17" y="260"/>
                </a:lnTo>
                <a:lnTo>
                  <a:pt x="30" y="249"/>
                </a:lnTo>
                <a:lnTo>
                  <a:pt x="427" y="9"/>
                </a:lnTo>
                <a:lnTo>
                  <a:pt x="442" y="2"/>
                </a:lnTo>
                <a:lnTo>
                  <a:pt x="458" y="0"/>
                </a:lnTo>
                <a:close/>
              </a:path>
            </a:pathLst>
          </a:custGeom>
          <a:grpFill/>
          <a:ln w="0">
            <a:solidFill>
              <a:srgbClr val="0070C0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45" name="Freeform 21">
            <a:extLst>
              <a:ext uri="{FF2B5EF4-FFF2-40B4-BE49-F238E27FC236}">
                <a16:creationId xmlns:a16="http://schemas.microsoft.com/office/drawing/2014/main" id="{00000000-0008-0000-0000-000015040000}"/>
              </a:ext>
            </a:extLst>
          </xdr:cNvPr>
          <xdr:cNvSpPr>
            <a:spLocks/>
          </xdr:cNvSpPr>
        </xdr:nvSpPr>
        <xdr:spPr bwMode="auto">
          <a:xfrm>
            <a:off x="7743825" y="6143625"/>
            <a:ext cx="200025" cy="133350"/>
          </a:xfrm>
          <a:custGeom>
            <a:avLst/>
            <a:gdLst>
              <a:gd name="T0" fmla="*/ 61 w 519"/>
              <a:gd name="T1" fmla="*/ 0 h 367"/>
              <a:gd name="T2" fmla="*/ 77 w 519"/>
              <a:gd name="T3" fmla="*/ 2 h 367"/>
              <a:gd name="T4" fmla="*/ 92 w 519"/>
              <a:gd name="T5" fmla="*/ 9 h 367"/>
              <a:gd name="T6" fmla="*/ 488 w 519"/>
              <a:gd name="T7" fmla="*/ 249 h 367"/>
              <a:gd name="T8" fmla="*/ 501 w 519"/>
              <a:gd name="T9" fmla="*/ 260 h 367"/>
              <a:gd name="T10" fmla="*/ 511 w 519"/>
              <a:gd name="T11" fmla="*/ 273 h 367"/>
              <a:gd name="T12" fmla="*/ 517 w 519"/>
              <a:gd name="T13" fmla="*/ 288 h 367"/>
              <a:gd name="T14" fmla="*/ 519 w 519"/>
              <a:gd name="T15" fmla="*/ 304 h 367"/>
              <a:gd name="T16" fmla="*/ 516 w 519"/>
              <a:gd name="T17" fmla="*/ 321 h 367"/>
              <a:gd name="T18" fmla="*/ 510 w 519"/>
              <a:gd name="T19" fmla="*/ 336 h 367"/>
              <a:gd name="T20" fmla="*/ 500 w 519"/>
              <a:gd name="T21" fmla="*/ 349 h 367"/>
              <a:gd name="T22" fmla="*/ 487 w 519"/>
              <a:gd name="T23" fmla="*/ 359 h 367"/>
              <a:gd name="T24" fmla="*/ 473 w 519"/>
              <a:gd name="T25" fmla="*/ 365 h 367"/>
              <a:gd name="T26" fmla="*/ 458 w 519"/>
              <a:gd name="T27" fmla="*/ 367 h 367"/>
              <a:gd name="T28" fmla="*/ 442 w 519"/>
              <a:gd name="T29" fmla="*/ 365 h 367"/>
              <a:gd name="T30" fmla="*/ 427 w 519"/>
              <a:gd name="T31" fmla="*/ 358 h 367"/>
              <a:gd name="T32" fmla="*/ 30 w 519"/>
              <a:gd name="T33" fmla="*/ 117 h 367"/>
              <a:gd name="T34" fmla="*/ 17 w 519"/>
              <a:gd name="T35" fmla="*/ 107 h 367"/>
              <a:gd name="T36" fmla="*/ 8 w 519"/>
              <a:gd name="T37" fmla="*/ 94 h 367"/>
              <a:gd name="T38" fmla="*/ 2 w 519"/>
              <a:gd name="T39" fmla="*/ 79 h 367"/>
              <a:gd name="T40" fmla="*/ 0 w 519"/>
              <a:gd name="T41" fmla="*/ 62 h 367"/>
              <a:gd name="T42" fmla="*/ 2 w 519"/>
              <a:gd name="T43" fmla="*/ 47 h 367"/>
              <a:gd name="T44" fmla="*/ 9 w 519"/>
              <a:gd name="T45" fmla="*/ 31 h 367"/>
              <a:gd name="T46" fmla="*/ 19 w 519"/>
              <a:gd name="T47" fmla="*/ 18 h 367"/>
              <a:gd name="T48" fmla="*/ 31 w 519"/>
              <a:gd name="T49" fmla="*/ 9 h 367"/>
              <a:gd name="T50" fmla="*/ 46 w 519"/>
              <a:gd name="T51" fmla="*/ 2 h 367"/>
              <a:gd name="T52" fmla="*/ 61 w 519"/>
              <a:gd name="T53" fmla="*/ 0 h 3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519" h="367">
                <a:moveTo>
                  <a:pt x="61" y="0"/>
                </a:moveTo>
                <a:lnTo>
                  <a:pt x="77" y="2"/>
                </a:lnTo>
                <a:lnTo>
                  <a:pt x="92" y="9"/>
                </a:lnTo>
                <a:lnTo>
                  <a:pt x="488" y="249"/>
                </a:lnTo>
                <a:lnTo>
                  <a:pt x="501" y="260"/>
                </a:lnTo>
                <a:lnTo>
                  <a:pt x="511" y="273"/>
                </a:lnTo>
                <a:lnTo>
                  <a:pt x="517" y="288"/>
                </a:lnTo>
                <a:lnTo>
                  <a:pt x="519" y="304"/>
                </a:lnTo>
                <a:lnTo>
                  <a:pt x="516" y="321"/>
                </a:lnTo>
                <a:lnTo>
                  <a:pt x="510" y="336"/>
                </a:lnTo>
                <a:lnTo>
                  <a:pt x="500" y="349"/>
                </a:lnTo>
                <a:lnTo>
                  <a:pt x="487" y="359"/>
                </a:lnTo>
                <a:lnTo>
                  <a:pt x="473" y="365"/>
                </a:lnTo>
                <a:lnTo>
                  <a:pt x="458" y="367"/>
                </a:lnTo>
                <a:lnTo>
                  <a:pt x="442" y="365"/>
                </a:lnTo>
                <a:lnTo>
                  <a:pt x="427" y="358"/>
                </a:lnTo>
                <a:lnTo>
                  <a:pt x="30" y="117"/>
                </a:lnTo>
                <a:lnTo>
                  <a:pt x="17" y="107"/>
                </a:lnTo>
                <a:lnTo>
                  <a:pt x="8" y="94"/>
                </a:lnTo>
                <a:lnTo>
                  <a:pt x="2" y="79"/>
                </a:lnTo>
                <a:lnTo>
                  <a:pt x="0" y="62"/>
                </a:lnTo>
                <a:lnTo>
                  <a:pt x="2" y="47"/>
                </a:lnTo>
                <a:lnTo>
                  <a:pt x="9" y="31"/>
                </a:lnTo>
                <a:lnTo>
                  <a:pt x="19" y="18"/>
                </a:lnTo>
                <a:lnTo>
                  <a:pt x="31" y="9"/>
                </a:lnTo>
                <a:lnTo>
                  <a:pt x="46" y="2"/>
                </a:lnTo>
                <a:lnTo>
                  <a:pt x="61" y="0"/>
                </a:lnTo>
                <a:close/>
              </a:path>
            </a:pathLst>
          </a:custGeom>
          <a:grpFill/>
          <a:ln w="0">
            <a:solidFill>
              <a:srgbClr val="0070C0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46" name="Freeform 22">
            <a:extLst>
              <a:ext uri="{FF2B5EF4-FFF2-40B4-BE49-F238E27FC236}">
                <a16:creationId xmlns:a16="http://schemas.microsoft.com/office/drawing/2014/main" id="{00000000-0008-0000-0000-000016040000}"/>
              </a:ext>
            </a:extLst>
          </xdr:cNvPr>
          <xdr:cNvSpPr>
            <a:spLocks/>
          </xdr:cNvSpPr>
        </xdr:nvSpPr>
        <xdr:spPr bwMode="auto">
          <a:xfrm>
            <a:off x="7800975" y="5972175"/>
            <a:ext cx="228600" cy="66675"/>
          </a:xfrm>
          <a:custGeom>
            <a:avLst/>
            <a:gdLst>
              <a:gd name="T0" fmla="*/ 67 w 578"/>
              <a:gd name="T1" fmla="*/ 0 h 177"/>
              <a:gd name="T2" fmla="*/ 524 w 578"/>
              <a:gd name="T3" fmla="*/ 50 h 177"/>
              <a:gd name="T4" fmla="*/ 540 w 578"/>
              <a:gd name="T5" fmla="*/ 55 h 177"/>
              <a:gd name="T6" fmla="*/ 554 w 578"/>
              <a:gd name="T7" fmla="*/ 63 h 177"/>
              <a:gd name="T8" fmla="*/ 565 w 578"/>
              <a:gd name="T9" fmla="*/ 74 h 177"/>
              <a:gd name="T10" fmla="*/ 573 w 578"/>
              <a:gd name="T11" fmla="*/ 88 h 177"/>
              <a:gd name="T12" fmla="*/ 578 w 578"/>
              <a:gd name="T13" fmla="*/ 103 h 177"/>
              <a:gd name="T14" fmla="*/ 578 w 578"/>
              <a:gd name="T15" fmla="*/ 120 h 177"/>
              <a:gd name="T16" fmla="*/ 574 w 578"/>
              <a:gd name="T17" fmla="*/ 139 h 177"/>
              <a:gd name="T18" fmla="*/ 565 w 578"/>
              <a:gd name="T19" fmla="*/ 154 h 177"/>
              <a:gd name="T20" fmla="*/ 552 w 578"/>
              <a:gd name="T21" fmla="*/ 167 h 177"/>
              <a:gd name="T22" fmla="*/ 536 w 578"/>
              <a:gd name="T23" fmla="*/ 174 h 177"/>
              <a:gd name="T24" fmla="*/ 518 w 578"/>
              <a:gd name="T25" fmla="*/ 177 h 177"/>
              <a:gd name="T26" fmla="*/ 511 w 578"/>
              <a:gd name="T27" fmla="*/ 176 h 177"/>
              <a:gd name="T28" fmla="*/ 54 w 578"/>
              <a:gd name="T29" fmla="*/ 125 h 177"/>
              <a:gd name="T30" fmla="*/ 39 w 578"/>
              <a:gd name="T31" fmla="*/ 121 h 177"/>
              <a:gd name="T32" fmla="*/ 25 w 578"/>
              <a:gd name="T33" fmla="*/ 113 h 177"/>
              <a:gd name="T34" fmla="*/ 14 w 578"/>
              <a:gd name="T35" fmla="*/ 102 h 177"/>
              <a:gd name="T36" fmla="*/ 5 w 578"/>
              <a:gd name="T37" fmla="*/ 88 h 177"/>
              <a:gd name="T38" fmla="*/ 1 w 578"/>
              <a:gd name="T39" fmla="*/ 72 h 177"/>
              <a:gd name="T40" fmla="*/ 0 w 578"/>
              <a:gd name="T41" fmla="*/ 56 h 177"/>
              <a:gd name="T42" fmla="*/ 4 w 578"/>
              <a:gd name="T43" fmla="*/ 39 h 177"/>
              <a:gd name="T44" fmla="*/ 12 w 578"/>
              <a:gd name="T45" fmla="*/ 24 h 177"/>
              <a:gd name="T46" fmla="*/ 23 w 578"/>
              <a:gd name="T47" fmla="*/ 13 h 177"/>
              <a:gd name="T48" fmla="*/ 36 w 578"/>
              <a:gd name="T49" fmla="*/ 5 h 177"/>
              <a:gd name="T50" fmla="*/ 51 w 578"/>
              <a:gd name="T51" fmla="*/ 0 h 177"/>
              <a:gd name="T52" fmla="*/ 67 w 578"/>
              <a:gd name="T53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578" h="177">
                <a:moveTo>
                  <a:pt x="67" y="0"/>
                </a:moveTo>
                <a:lnTo>
                  <a:pt x="524" y="50"/>
                </a:lnTo>
                <a:lnTo>
                  <a:pt x="540" y="55"/>
                </a:lnTo>
                <a:lnTo>
                  <a:pt x="554" y="63"/>
                </a:lnTo>
                <a:lnTo>
                  <a:pt x="565" y="74"/>
                </a:lnTo>
                <a:lnTo>
                  <a:pt x="573" y="88"/>
                </a:lnTo>
                <a:lnTo>
                  <a:pt x="578" y="103"/>
                </a:lnTo>
                <a:lnTo>
                  <a:pt x="578" y="120"/>
                </a:lnTo>
                <a:lnTo>
                  <a:pt x="574" y="139"/>
                </a:lnTo>
                <a:lnTo>
                  <a:pt x="565" y="154"/>
                </a:lnTo>
                <a:lnTo>
                  <a:pt x="552" y="167"/>
                </a:lnTo>
                <a:lnTo>
                  <a:pt x="536" y="174"/>
                </a:lnTo>
                <a:lnTo>
                  <a:pt x="518" y="177"/>
                </a:lnTo>
                <a:lnTo>
                  <a:pt x="511" y="176"/>
                </a:lnTo>
                <a:lnTo>
                  <a:pt x="54" y="125"/>
                </a:lnTo>
                <a:lnTo>
                  <a:pt x="39" y="121"/>
                </a:lnTo>
                <a:lnTo>
                  <a:pt x="25" y="113"/>
                </a:lnTo>
                <a:lnTo>
                  <a:pt x="14" y="102"/>
                </a:lnTo>
                <a:lnTo>
                  <a:pt x="5" y="88"/>
                </a:lnTo>
                <a:lnTo>
                  <a:pt x="1" y="72"/>
                </a:lnTo>
                <a:lnTo>
                  <a:pt x="0" y="56"/>
                </a:lnTo>
                <a:lnTo>
                  <a:pt x="4" y="39"/>
                </a:lnTo>
                <a:lnTo>
                  <a:pt x="12" y="24"/>
                </a:lnTo>
                <a:lnTo>
                  <a:pt x="23" y="13"/>
                </a:lnTo>
                <a:lnTo>
                  <a:pt x="36" y="5"/>
                </a:lnTo>
                <a:lnTo>
                  <a:pt x="51" y="0"/>
                </a:lnTo>
                <a:lnTo>
                  <a:pt x="67" y="0"/>
                </a:lnTo>
                <a:close/>
              </a:path>
            </a:pathLst>
          </a:custGeom>
          <a:grpFill/>
          <a:ln w="0">
            <a:solidFill>
              <a:srgbClr val="0070C0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47" name="Freeform 23">
            <a:extLst>
              <a:ext uri="{FF2B5EF4-FFF2-40B4-BE49-F238E27FC236}">
                <a16:creationId xmlns:a16="http://schemas.microsoft.com/office/drawing/2014/main" id="{00000000-0008-0000-0000-000017040000}"/>
              </a:ext>
            </a:extLst>
          </xdr:cNvPr>
          <xdr:cNvSpPr>
            <a:spLocks/>
          </xdr:cNvSpPr>
        </xdr:nvSpPr>
        <xdr:spPr bwMode="auto">
          <a:xfrm>
            <a:off x="7781925" y="5734050"/>
            <a:ext cx="219075" cy="104775"/>
          </a:xfrm>
          <a:custGeom>
            <a:avLst/>
            <a:gdLst>
              <a:gd name="T0" fmla="*/ 494 w 558"/>
              <a:gd name="T1" fmla="*/ 0 h 277"/>
              <a:gd name="T2" fmla="*/ 510 w 558"/>
              <a:gd name="T3" fmla="*/ 2 h 277"/>
              <a:gd name="T4" fmla="*/ 524 w 558"/>
              <a:gd name="T5" fmla="*/ 7 h 277"/>
              <a:gd name="T6" fmla="*/ 537 w 558"/>
              <a:gd name="T7" fmla="*/ 16 h 277"/>
              <a:gd name="T8" fmla="*/ 548 w 558"/>
              <a:gd name="T9" fmla="*/ 28 h 277"/>
              <a:gd name="T10" fmla="*/ 555 w 558"/>
              <a:gd name="T11" fmla="*/ 44 h 277"/>
              <a:gd name="T12" fmla="*/ 558 w 558"/>
              <a:gd name="T13" fmla="*/ 60 h 277"/>
              <a:gd name="T14" fmla="*/ 557 w 558"/>
              <a:gd name="T15" fmla="*/ 77 h 277"/>
              <a:gd name="T16" fmla="*/ 551 w 558"/>
              <a:gd name="T17" fmla="*/ 91 h 277"/>
              <a:gd name="T18" fmla="*/ 543 w 558"/>
              <a:gd name="T19" fmla="*/ 105 h 277"/>
              <a:gd name="T20" fmla="*/ 531 w 558"/>
              <a:gd name="T21" fmla="*/ 116 h 277"/>
              <a:gd name="T22" fmla="*/ 516 w 558"/>
              <a:gd name="T23" fmla="*/ 124 h 277"/>
              <a:gd name="T24" fmla="*/ 80 w 558"/>
              <a:gd name="T25" fmla="*/ 274 h 277"/>
              <a:gd name="T26" fmla="*/ 61 w 558"/>
              <a:gd name="T27" fmla="*/ 277 h 277"/>
              <a:gd name="T28" fmla="*/ 46 w 558"/>
              <a:gd name="T29" fmla="*/ 275 h 277"/>
              <a:gd name="T30" fmla="*/ 32 w 558"/>
              <a:gd name="T31" fmla="*/ 270 h 277"/>
              <a:gd name="T32" fmla="*/ 20 w 558"/>
              <a:gd name="T33" fmla="*/ 261 h 277"/>
              <a:gd name="T34" fmla="*/ 10 w 558"/>
              <a:gd name="T35" fmla="*/ 249 h 277"/>
              <a:gd name="T36" fmla="*/ 3 w 558"/>
              <a:gd name="T37" fmla="*/ 235 h 277"/>
              <a:gd name="T38" fmla="*/ 0 w 558"/>
              <a:gd name="T39" fmla="*/ 218 h 277"/>
              <a:gd name="T40" fmla="*/ 1 w 558"/>
              <a:gd name="T41" fmla="*/ 201 h 277"/>
              <a:gd name="T42" fmla="*/ 6 w 558"/>
              <a:gd name="T43" fmla="*/ 186 h 277"/>
              <a:gd name="T44" fmla="*/ 15 w 558"/>
              <a:gd name="T45" fmla="*/ 172 h 277"/>
              <a:gd name="T46" fmla="*/ 27 w 558"/>
              <a:gd name="T47" fmla="*/ 162 h 277"/>
              <a:gd name="T48" fmla="*/ 42 w 558"/>
              <a:gd name="T49" fmla="*/ 155 h 277"/>
              <a:gd name="T50" fmla="*/ 478 w 558"/>
              <a:gd name="T51" fmla="*/ 4 h 277"/>
              <a:gd name="T52" fmla="*/ 494 w 558"/>
              <a:gd name="T53" fmla="*/ 0 h 2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558" h="277">
                <a:moveTo>
                  <a:pt x="494" y="0"/>
                </a:moveTo>
                <a:lnTo>
                  <a:pt x="510" y="2"/>
                </a:lnTo>
                <a:lnTo>
                  <a:pt x="524" y="7"/>
                </a:lnTo>
                <a:lnTo>
                  <a:pt x="537" y="16"/>
                </a:lnTo>
                <a:lnTo>
                  <a:pt x="548" y="28"/>
                </a:lnTo>
                <a:lnTo>
                  <a:pt x="555" y="44"/>
                </a:lnTo>
                <a:lnTo>
                  <a:pt x="558" y="60"/>
                </a:lnTo>
                <a:lnTo>
                  <a:pt x="557" y="77"/>
                </a:lnTo>
                <a:lnTo>
                  <a:pt x="551" y="91"/>
                </a:lnTo>
                <a:lnTo>
                  <a:pt x="543" y="105"/>
                </a:lnTo>
                <a:lnTo>
                  <a:pt x="531" y="116"/>
                </a:lnTo>
                <a:lnTo>
                  <a:pt x="516" y="124"/>
                </a:lnTo>
                <a:lnTo>
                  <a:pt x="80" y="274"/>
                </a:lnTo>
                <a:lnTo>
                  <a:pt x="61" y="277"/>
                </a:lnTo>
                <a:lnTo>
                  <a:pt x="46" y="275"/>
                </a:lnTo>
                <a:lnTo>
                  <a:pt x="32" y="270"/>
                </a:lnTo>
                <a:lnTo>
                  <a:pt x="20" y="261"/>
                </a:lnTo>
                <a:lnTo>
                  <a:pt x="10" y="249"/>
                </a:lnTo>
                <a:lnTo>
                  <a:pt x="3" y="235"/>
                </a:lnTo>
                <a:lnTo>
                  <a:pt x="0" y="218"/>
                </a:lnTo>
                <a:lnTo>
                  <a:pt x="1" y="201"/>
                </a:lnTo>
                <a:lnTo>
                  <a:pt x="6" y="186"/>
                </a:lnTo>
                <a:lnTo>
                  <a:pt x="15" y="172"/>
                </a:lnTo>
                <a:lnTo>
                  <a:pt x="27" y="162"/>
                </a:lnTo>
                <a:lnTo>
                  <a:pt x="42" y="155"/>
                </a:lnTo>
                <a:lnTo>
                  <a:pt x="478" y="4"/>
                </a:lnTo>
                <a:lnTo>
                  <a:pt x="494" y="0"/>
                </a:lnTo>
                <a:close/>
              </a:path>
            </a:pathLst>
          </a:custGeom>
          <a:grpFill/>
          <a:ln w="0">
            <a:solidFill>
              <a:srgbClr val="0070C0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48" name="Freeform 24">
            <a:extLst>
              <a:ext uri="{FF2B5EF4-FFF2-40B4-BE49-F238E27FC236}">
                <a16:creationId xmlns:a16="http://schemas.microsoft.com/office/drawing/2014/main" id="{00000000-0008-0000-0000-000018040000}"/>
              </a:ext>
            </a:extLst>
          </xdr:cNvPr>
          <xdr:cNvSpPr>
            <a:spLocks/>
          </xdr:cNvSpPr>
        </xdr:nvSpPr>
        <xdr:spPr bwMode="auto">
          <a:xfrm>
            <a:off x="7696200" y="5524500"/>
            <a:ext cx="180975" cy="161925"/>
          </a:xfrm>
          <a:custGeom>
            <a:avLst/>
            <a:gdLst>
              <a:gd name="T0" fmla="*/ 405 w 463"/>
              <a:gd name="T1" fmla="*/ 0 h 445"/>
              <a:gd name="T2" fmla="*/ 420 w 463"/>
              <a:gd name="T3" fmla="*/ 2 h 445"/>
              <a:gd name="T4" fmla="*/ 435 w 463"/>
              <a:gd name="T5" fmla="*/ 10 h 445"/>
              <a:gd name="T6" fmla="*/ 447 w 463"/>
              <a:gd name="T7" fmla="*/ 21 h 445"/>
              <a:gd name="T8" fmla="*/ 456 w 463"/>
              <a:gd name="T9" fmla="*/ 34 h 445"/>
              <a:gd name="T10" fmla="*/ 461 w 463"/>
              <a:gd name="T11" fmla="*/ 50 h 445"/>
              <a:gd name="T12" fmla="*/ 463 w 463"/>
              <a:gd name="T13" fmla="*/ 66 h 445"/>
              <a:gd name="T14" fmla="*/ 460 w 463"/>
              <a:gd name="T15" fmla="*/ 82 h 445"/>
              <a:gd name="T16" fmla="*/ 453 w 463"/>
              <a:gd name="T17" fmla="*/ 97 h 445"/>
              <a:gd name="T18" fmla="*/ 443 w 463"/>
              <a:gd name="T19" fmla="*/ 110 h 445"/>
              <a:gd name="T20" fmla="*/ 101 w 463"/>
              <a:gd name="T21" fmla="*/ 430 h 445"/>
              <a:gd name="T22" fmla="*/ 89 w 463"/>
              <a:gd name="T23" fmla="*/ 438 h 445"/>
              <a:gd name="T24" fmla="*/ 75 w 463"/>
              <a:gd name="T25" fmla="*/ 444 h 445"/>
              <a:gd name="T26" fmla="*/ 61 w 463"/>
              <a:gd name="T27" fmla="*/ 445 h 445"/>
              <a:gd name="T28" fmla="*/ 44 w 463"/>
              <a:gd name="T29" fmla="*/ 443 h 445"/>
              <a:gd name="T30" fmla="*/ 29 w 463"/>
              <a:gd name="T31" fmla="*/ 436 h 445"/>
              <a:gd name="T32" fmla="*/ 16 w 463"/>
              <a:gd name="T33" fmla="*/ 424 h 445"/>
              <a:gd name="T34" fmla="*/ 6 w 463"/>
              <a:gd name="T35" fmla="*/ 411 h 445"/>
              <a:gd name="T36" fmla="*/ 1 w 463"/>
              <a:gd name="T37" fmla="*/ 395 h 445"/>
              <a:gd name="T38" fmla="*/ 0 w 463"/>
              <a:gd name="T39" fmla="*/ 379 h 445"/>
              <a:gd name="T40" fmla="*/ 3 w 463"/>
              <a:gd name="T41" fmla="*/ 363 h 445"/>
              <a:gd name="T42" fmla="*/ 9 w 463"/>
              <a:gd name="T43" fmla="*/ 349 h 445"/>
              <a:gd name="T44" fmla="*/ 20 w 463"/>
              <a:gd name="T45" fmla="*/ 335 h 445"/>
              <a:gd name="T46" fmla="*/ 361 w 463"/>
              <a:gd name="T47" fmla="*/ 16 h 445"/>
              <a:gd name="T48" fmla="*/ 375 w 463"/>
              <a:gd name="T49" fmla="*/ 6 h 445"/>
              <a:gd name="T50" fmla="*/ 389 w 463"/>
              <a:gd name="T51" fmla="*/ 1 h 445"/>
              <a:gd name="T52" fmla="*/ 405 w 463"/>
              <a:gd name="T53" fmla="*/ 0 h 4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463" h="445">
                <a:moveTo>
                  <a:pt x="405" y="0"/>
                </a:moveTo>
                <a:lnTo>
                  <a:pt x="420" y="2"/>
                </a:lnTo>
                <a:lnTo>
                  <a:pt x="435" y="10"/>
                </a:lnTo>
                <a:lnTo>
                  <a:pt x="447" y="21"/>
                </a:lnTo>
                <a:lnTo>
                  <a:pt x="456" y="34"/>
                </a:lnTo>
                <a:lnTo>
                  <a:pt x="461" y="50"/>
                </a:lnTo>
                <a:lnTo>
                  <a:pt x="463" y="66"/>
                </a:lnTo>
                <a:lnTo>
                  <a:pt x="460" y="82"/>
                </a:lnTo>
                <a:lnTo>
                  <a:pt x="453" y="97"/>
                </a:lnTo>
                <a:lnTo>
                  <a:pt x="443" y="110"/>
                </a:lnTo>
                <a:lnTo>
                  <a:pt x="101" y="430"/>
                </a:lnTo>
                <a:lnTo>
                  <a:pt x="89" y="438"/>
                </a:lnTo>
                <a:lnTo>
                  <a:pt x="75" y="444"/>
                </a:lnTo>
                <a:lnTo>
                  <a:pt x="61" y="445"/>
                </a:lnTo>
                <a:lnTo>
                  <a:pt x="44" y="443"/>
                </a:lnTo>
                <a:lnTo>
                  <a:pt x="29" y="436"/>
                </a:lnTo>
                <a:lnTo>
                  <a:pt x="16" y="424"/>
                </a:lnTo>
                <a:lnTo>
                  <a:pt x="6" y="411"/>
                </a:lnTo>
                <a:lnTo>
                  <a:pt x="1" y="395"/>
                </a:lnTo>
                <a:lnTo>
                  <a:pt x="0" y="379"/>
                </a:lnTo>
                <a:lnTo>
                  <a:pt x="3" y="363"/>
                </a:lnTo>
                <a:lnTo>
                  <a:pt x="9" y="349"/>
                </a:lnTo>
                <a:lnTo>
                  <a:pt x="20" y="335"/>
                </a:lnTo>
                <a:lnTo>
                  <a:pt x="361" y="16"/>
                </a:lnTo>
                <a:lnTo>
                  <a:pt x="375" y="6"/>
                </a:lnTo>
                <a:lnTo>
                  <a:pt x="389" y="1"/>
                </a:lnTo>
                <a:lnTo>
                  <a:pt x="405" y="0"/>
                </a:lnTo>
                <a:close/>
              </a:path>
            </a:pathLst>
          </a:custGeom>
          <a:grpFill/>
          <a:ln w="0">
            <a:solidFill>
              <a:srgbClr val="0070C0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49" name="Freeform 25">
            <a:extLst>
              <a:ext uri="{FF2B5EF4-FFF2-40B4-BE49-F238E27FC236}">
                <a16:creationId xmlns:a16="http://schemas.microsoft.com/office/drawing/2014/main" id="{00000000-0008-0000-0000-000019040000}"/>
              </a:ext>
            </a:extLst>
          </xdr:cNvPr>
          <xdr:cNvSpPr>
            <a:spLocks/>
          </xdr:cNvSpPr>
        </xdr:nvSpPr>
        <xdr:spPr bwMode="auto">
          <a:xfrm>
            <a:off x="7553325" y="5372100"/>
            <a:ext cx="123825" cy="209550"/>
          </a:xfrm>
          <a:custGeom>
            <a:avLst/>
            <a:gdLst>
              <a:gd name="T0" fmla="*/ 244 w 311"/>
              <a:gd name="T1" fmla="*/ 0 h 560"/>
              <a:gd name="T2" fmla="*/ 260 w 311"/>
              <a:gd name="T3" fmla="*/ 1 h 560"/>
              <a:gd name="T4" fmla="*/ 276 w 311"/>
              <a:gd name="T5" fmla="*/ 5 h 560"/>
              <a:gd name="T6" fmla="*/ 289 w 311"/>
              <a:gd name="T7" fmla="*/ 14 h 560"/>
              <a:gd name="T8" fmla="*/ 300 w 311"/>
              <a:gd name="T9" fmla="*/ 27 h 560"/>
              <a:gd name="T10" fmla="*/ 307 w 311"/>
              <a:gd name="T11" fmla="*/ 40 h 560"/>
              <a:gd name="T12" fmla="*/ 311 w 311"/>
              <a:gd name="T13" fmla="*/ 56 h 560"/>
              <a:gd name="T14" fmla="*/ 310 w 311"/>
              <a:gd name="T15" fmla="*/ 72 h 560"/>
              <a:gd name="T16" fmla="*/ 306 w 311"/>
              <a:gd name="T17" fmla="*/ 89 h 560"/>
              <a:gd name="T18" fmla="*/ 116 w 311"/>
              <a:gd name="T19" fmla="*/ 523 h 560"/>
              <a:gd name="T20" fmla="*/ 106 w 311"/>
              <a:gd name="T21" fmla="*/ 538 h 560"/>
              <a:gd name="T22" fmla="*/ 93 w 311"/>
              <a:gd name="T23" fmla="*/ 551 h 560"/>
              <a:gd name="T24" fmla="*/ 77 w 311"/>
              <a:gd name="T25" fmla="*/ 558 h 560"/>
              <a:gd name="T26" fmla="*/ 60 w 311"/>
              <a:gd name="T27" fmla="*/ 560 h 560"/>
              <a:gd name="T28" fmla="*/ 48 w 311"/>
              <a:gd name="T29" fmla="*/ 559 h 560"/>
              <a:gd name="T30" fmla="*/ 35 w 311"/>
              <a:gd name="T31" fmla="*/ 555 h 560"/>
              <a:gd name="T32" fmla="*/ 21 w 311"/>
              <a:gd name="T33" fmla="*/ 545 h 560"/>
              <a:gd name="T34" fmla="*/ 11 w 311"/>
              <a:gd name="T35" fmla="*/ 533 h 560"/>
              <a:gd name="T36" fmla="*/ 3 w 311"/>
              <a:gd name="T37" fmla="*/ 520 h 560"/>
              <a:gd name="T38" fmla="*/ 0 w 311"/>
              <a:gd name="T39" fmla="*/ 503 h 560"/>
              <a:gd name="T40" fmla="*/ 0 w 311"/>
              <a:gd name="T41" fmla="*/ 487 h 560"/>
              <a:gd name="T42" fmla="*/ 5 w 311"/>
              <a:gd name="T43" fmla="*/ 471 h 560"/>
              <a:gd name="T44" fmla="*/ 195 w 311"/>
              <a:gd name="T45" fmla="*/ 37 h 560"/>
              <a:gd name="T46" fmla="*/ 204 w 311"/>
              <a:gd name="T47" fmla="*/ 23 h 560"/>
              <a:gd name="T48" fmla="*/ 215 w 311"/>
              <a:gd name="T49" fmla="*/ 11 h 560"/>
              <a:gd name="T50" fmla="*/ 229 w 311"/>
              <a:gd name="T51" fmla="*/ 4 h 560"/>
              <a:gd name="T52" fmla="*/ 244 w 311"/>
              <a:gd name="T53" fmla="*/ 0 h 5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311" h="560">
                <a:moveTo>
                  <a:pt x="244" y="0"/>
                </a:moveTo>
                <a:lnTo>
                  <a:pt x="260" y="1"/>
                </a:lnTo>
                <a:lnTo>
                  <a:pt x="276" y="5"/>
                </a:lnTo>
                <a:lnTo>
                  <a:pt x="289" y="14"/>
                </a:lnTo>
                <a:lnTo>
                  <a:pt x="300" y="27"/>
                </a:lnTo>
                <a:lnTo>
                  <a:pt x="307" y="40"/>
                </a:lnTo>
                <a:lnTo>
                  <a:pt x="311" y="56"/>
                </a:lnTo>
                <a:lnTo>
                  <a:pt x="310" y="72"/>
                </a:lnTo>
                <a:lnTo>
                  <a:pt x="306" y="89"/>
                </a:lnTo>
                <a:lnTo>
                  <a:pt x="116" y="523"/>
                </a:lnTo>
                <a:lnTo>
                  <a:pt x="106" y="538"/>
                </a:lnTo>
                <a:lnTo>
                  <a:pt x="93" y="551"/>
                </a:lnTo>
                <a:lnTo>
                  <a:pt x="77" y="558"/>
                </a:lnTo>
                <a:lnTo>
                  <a:pt x="60" y="560"/>
                </a:lnTo>
                <a:lnTo>
                  <a:pt x="48" y="559"/>
                </a:lnTo>
                <a:lnTo>
                  <a:pt x="35" y="555"/>
                </a:lnTo>
                <a:lnTo>
                  <a:pt x="21" y="545"/>
                </a:lnTo>
                <a:lnTo>
                  <a:pt x="11" y="533"/>
                </a:lnTo>
                <a:lnTo>
                  <a:pt x="3" y="520"/>
                </a:lnTo>
                <a:lnTo>
                  <a:pt x="0" y="503"/>
                </a:lnTo>
                <a:lnTo>
                  <a:pt x="0" y="487"/>
                </a:lnTo>
                <a:lnTo>
                  <a:pt x="5" y="471"/>
                </a:lnTo>
                <a:lnTo>
                  <a:pt x="195" y="37"/>
                </a:lnTo>
                <a:lnTo>
                  <a:pt x="204" y="23"/>
                </a:lnTo>
                <a:lnTo>
                  <a:pt x="215" y="11"/>
                </a:lnTo>
                <a:lnTo>
                  <a:pt x="229" y="4"/>
                </a:lnTo>
                <a:lnTo>
                  <a:pt x="244" y="0"/>
                </a:lnTo>
                <a:close/>
              </a:path>
            </a:pathLst>
          </a:custGeom>
          <a:grpFill/>
          <a:ln w="0">
            <a:solidFill>
              <a:srgbClr val="0070C0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50" name="Freeform 26">
            <a:extLst>
              <a:ext uri="{FF2B5EF4-FFF2-40B4-BE49-F238E27FC236}">
                <a16:creationId xmlns:a16="http://schemas.microsoft.com/office/drawing/2014/main" id="{00000000-0008-0000-0000-00001A040000}"/>
              </a:ext>
            </a:extLst>
          </xdr:cNvPr>
          <xdr:cNvSpPr>
            <a:spLocks/>
          </xdr:cNvSpPr>
        </xdr:nvSpPr>
        <xdr:spPr bwMode="auto">
          <a:xfrm>
            <a:off x="7372350" y="5324475"/>
            <a:ext cx="47625" cy="219075"/>
          </a:xfrm>
          <a:custGeom>
            <a:avLst/>
            <a:gdLst>
              <a:gd name="T0" fmla="*/ 60 w 122"/>
              <a:gd name="T1" fmla="*/ 0 h 602"/>
              <a:gd name="T2" fmla="*/ 78 w 122"/>
              <a:gd name="T3" fmla="*/ 2 h 602"/>
              <a:gd name="T4" fmla="*/ 92 w 122"/>
              <a:gd name="T5" fmla="*/ 8 h 602"/>
              <a:gd name="T6" fmla="*/ 104 w 122"/>
              <a:gd name="T7" fmla="*/ 18 h 602"/>
              <a:gd name="T8" fmla="*/ 114 w 122"/>
              <a:gd name="T9" fmla="*/ 31 h 602"/>
              <a:gd name="T10" fmla="*/ 120 w 122"/>
              <a:gd name="T11" fmla="*/ 46 h 602"/>
              <a:gd name="T12" fmla="*/ 122 w 122"/>
              <a:gd name="T13" fmla="*/ 63 h 602"/>
              <a:gd name="T14" fmla="*/ 122 w 122"/>
              <a:gd name="T15" fmla="*/ 539 h 602"/>
              <a:gd name="T16" fmla="*/ 120 w 122"/>
              <a:gd name="T17" fmla="*/ 557 h 602"/>
              <a:gd name="T18" fmla="*/ 114 w 122"/>
              <a:gd name="T19" fmla="*/ 571 h 602"/>
              <a:gd name="T20" fmla="*/ 104 w 122"/>
              <a:gd name="T21" fmla="*/ 584 h 602"/>
              <a:gd name="T22" fmla="*/ 92 w 122"/>
              <a:gd name="T23" fmla="*/ 594 h 602"/>
              <a:gd name="T24" fmla="*/ 78 w 122"/>
              <a:gd name="T25" fmla="*/ 600 h 602"/>
              <a:gd name="T26" fmla="*/ 60 w 122"/>
              <a:gd name="T27" fmla="*/ 602 h 602"/>
              <a:gd name="T28" fmla="*/ 44 w 122"/>
              <a:gd name="T29" fmla="*/ 600 h 602"/>
              <a:gd name="T30" fmla="*/ 30 w 122"/>
              <a:gd name="T31" fmla="*/ 594 h 602"/>
              <a:gd name="T32" fmla="*/ 17 w 122"/>
              <a:gd name="T33" fmla="*/ 584 h 602"/>
              <a:gd name="T34" fmla="*/ 8 w 122"/>
              <a:gd name="T35" fmla="*/ 571 h 602"/>
              <a:gd name="T36" fmla="*/ 2 w 122"/>
              <a:gd name="T37" fmla="*/ 557 h 602"/>
              <a:gd name="T38" fmla="*/ 0 w 122"/>
              <a:gd name="T39" fmla="*/ 539 h 602"/>
              <a:gd name="T40" fmla="*/ 0 w 122"/>
              <a:gd name="T41" fmla="*/ 63 h 602"/>
              <a:gd name="T42" fmla="*/ 2 w 122"/>
              <a:gd name="T43" fmla="*/ 46 h 602"/>
              <a:gd name="T44" fmla="*/ 8 w 122"/>
              <a:gd name="T45" fmla="*/ 31 h 602"/>
              <a:gd name="T46" fmla="*/ 17 w 122"/>
              <a:gd name="T47" fmla="*/ 18 h 602"/>
              <a:gd name="T48" fmla="*/ 30 w 122"/>
              <a:gd name="T49" fmla="*/ 8 h 602"/>
              <a:gd name="T50" fmla="*/ 44 w 122"/>
              <a:gd name="T51" fmla="*/ 2 h 602"/>
              <a:gd name="T52" fmla="*/ 60 w 122"/>
              <a:gd name="T53" fmla="*/ 0 h 6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122" h="602">
                <a:moveTo>
                  <a:pt x="60" y="0"/>
                </a:moveTo>
                <a:lnTo>
                  <a:pt x="78" y="2"/>
                </a:lnTo>
                <a:lnTo>
                  <a:pt x="92" y="8"/>
                </a:lnTo>
                <a:lnTo>
                  <a:pt x="104" y="18"/>
                </a:lnTo>
                <a:lnTo>
                  <a:pt x="114" y="31"/>
                </a:lnTo>
                <a:lnTo>
                  <a:pt x="120" y="46"/>
                </a:lnTo>
                <a:lnTo>
                  <a:pt x="122" y="63"/>
                </a:lnTo>
                <a:lnTo>
                  <a:pt x="122" y="539"/>
                </a:lnTo>
                <a:lnTo>
                  <a:pt x="120" y="557"/>
                </a:lnTo>
                <a:lnTo>
                  <a:pt x="114" y="571"/>
                </a:lnTo>
                <a:lnTo>
                  <a:pt x="104" y="584"/>
                </a:lnTo>
                <a:lnTo>
                  <a:pt x="92" y="594"/>
                </a:lnTo>
                <a:lnTo>
                  <a:pt x="78" y="600"/>
                </a:lnTo>
                <a:lnTo>
                  <a:pt x="60" y="602"/>
                </a:lnTo>
                <a:lnTo>
                  <a:pt x="44" y="600"/>
                </a:lnTo>
                <a:lnTo>
                  <a:pt x="30" y="594"/>
                </a:lnTo>
                <a:lnTo>
                  <a:pt x="17" y="584"/>
                </a:lnTo>
                <a:lnTo>
                  <a:pt x="8" y="571"/>
                </a:lnTo>
                <a:lnTo>
                  <a:pt x="2" y="557"/>
                </a:lnTo>
                <a:lnTo>
                  <a:pt x="0" y="539"/>
                </a:lnTo>
                <a:lnTo>
                  <a:pt x="0" y="63"/>
                </a:lnTo>
                <a:lnTo>
                  <a:pt x="2" y="46"/>
                </a:lnTo>
                <a:lnTo>
                  <a:pt x="8" y="31"/>
                </a:lnTo>
                <a:lnTo>
                  <a:pt x="17" y="18"/>
                </a:lnTo>
                <a:lnTo>
                  <a:pt x="30" y="8"/>
                </a:lnTo>
                <a:lnTo>
                  <a:pt x="44" y="2"/>
                </a:lnTo>
                <a:lnTo>
                  <a:pt x="60" y="0"/>
                </a:lnTo>
                <a:close/>
              </a:path>
            </a:pathLst>
          </a:custGeom>
          <a:grpFill/>
          <a:ln w="0">
            <a:solidFill>
              <a:srgbClr val="0070C0"/>
            </a:solidFill>
            <a:prstDash val="solid"/>
            <a:round/>
            <a:headEnd/>
            <a:tailEnd/>
          </a:ln>
        </xdr:spPr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ntenance" displayName="Maintenance" ref="J25:N28" totalsRowShown="0" headerRowDxfId="22" dataDxfId="21">
  <autoFilter ref="J25:N28" xr:uid="{00000000-0009-0000-0100-000001000000}"/>
  <tableColumns count="5">
    <tableColumn id="1" xr3:uid="{00000000-0010-0000-0000-000001000000}" name="DATE" dataDxfId="20"/>
    <tableColumn id="2" xr3:uid="{00000000-0010-0000-0000-000002000000}" name="ITEM" dataDxfId="19"/>
    <tableColumn id="3" xr3:uid="{00000000-0010-0000-0000-000003000000}" name="COST" dataDxfId="18" dataCellStyle="Cost"/>
    <tableColumn id="4" xr3:uid="{00000000-0010-0000-0000-000004000000}" name="ODOM" dataDxfId="17" dataCellStyle="Odom"/>
    <tableColumn id="6" xr3:uid="{00000000-0010-0000-0000-000006000000}" name="REMARKS" dataDxfId="16"/>
  </tableColumns>
  <tableStyleInfo name="Vehicle Log Book" showFirstColumn="0" showLastColumn="0" showRowStripes="1" showColumnStripes="0"/>
  <extLst>
    <ext xmlns:x14="http://schemas.microsoft.com/office/spreadsheetml/2009/9/main" uri="{504A1905-F514-4f6f-8877-14C23A59335A}">
      <x14:table altText="Maintenance Log" altTextSummary="List of maintenance items such as Date, Item, Cost, Odometer, and Remarks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as" displayName="Gas" ref="B19:H22" totalsRowShown="0" headerRowDxfId="15" dataDxfId="14">
  <autoFilter ref="B19:H22" xr:uid="{00000000-0009-0000-0100-000002000000}"/>
  <tableColumns count="7">
    <tableColumn id="1" xr3:uid="{00000000-0010-0000-0100-000001000000}" name="DATE" dataDxfId="13"/>
    <tableColumn id="12" xr3:uid="{00000000-0010-0000-0100-00000C000000}" name="PREV ODOM" dataDxfId="12">
      <calculatedColumnFormula array="1">IFERROR(MAX(StartMileage,IF(Gas[ODOM]&lt;Gas[[#This Row],[ODOM]],Gas[ODOM])),"")</calculatedColumnFormula>
    </tableColumn>
    <tableColumn id="2" xr3:uid="{00000000-0010-0000-0100-000002000000}" name="GALLONS" dataDxfId="11" dataCellStyle="Gallons"/>
    <tableColumn id="3" xr3:uid="{00000000-0010-0000-0100-000003000000}" name="COST" dataDxfId="10" dataCellStyle="Cost"/>
    <tableColumn id="4" xr3:uid="{00000000-0010-0000-0100-000004000000}" name="ODOM" dataDxfId="9"/>
    <tableColumn id="9" xr3:uid="{00000000-0010-0000-0100-000009000000}" name="RANGE" dataDxfId="8">
      <calculatedColumnFormula>IFERROR(Gas[[#This Row],[ODOM]]-Gas[[#This Row],[PREV ODOM]],"")</calculatedColumnFormula>
    </tableColumn>
    <tableColumn id="5" xr3:uid="{00000000-0010-0000-0100-000005000000}" name="MPG" dataDxfId="7">
      <calculatedColumnFormula>IFERROR(Gas[[#This Row],[RANGE]]/Gas[[#This Row],[GALLONS]],"")</calculatedColumnFormula>
    </tableColumn>
  </tableColumns>
  <tableStyleInfo name="Vehicle Log Book" showFirstColumn="0" showLastColumn="0" showRowStripes="1" showColumnStripes="0"/>
  <extLst>
    <ext xmlns:x14="http://schemas.microsoft.com/office/spreadsheetml/2009/9/main" uri="{504A1905-F514-4f6f-8877-14C23A59335A}">
      <x14:table altText="Gas Log " altTextSummary="List of gas expenses such as Previous Odomoter, Date, Gallons, total cost, current Odomoter, 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yments" displayName="Payments" ref="J19:N21" totalsRowShown="0" headerRowDxfId="6" dataDxfId="5">
  <autoFilter ref="J19:N21" xr:uid="{00000000-0009-0000-0100-000003000000}"/>
  <tableColumns count="5">
    <tableColumn id="1" xr3:uid="{00000000-0010-0000-0200-000001000000}" name="DATE" dataDxfId="4"/>
    <tableColumn id="2" xr3:uid="{00000000-0010-0000-0200-000002000000}" name="ITEM" dataDxfId="3"/>
    <tableColumn id="3" xr3:uid="{00000000-0010-0000-0200-000003000000}" name="AMOUNT" dataDxfId="2" dataCellStyle="Cost"/>
    <tableColumn id="4" xr3:uid="{00000000-0010-0000-0200-000004000000}" name="CHECK #" dataDxfId="1"/>
    <tableColumn id="6" xr3:uid="{00000000-0010-0000-0200-000006000000}" name="REMARKS" dataDxfId="0"/>
  </tableColumns>
  <tableStyleInfo name="Vehicle Log Book" showFirstColumn="0" showLastColumn="0" showRowStripes="1" showColumnStripes="0"/>
  <extLst>
    <ext xmlns:x14="http://schemas.microsoft.com/office/spreadsheetml/2009/9/main" uri="{504A1905-F514-4f6f-8877-14C23A59335A}">
      <x14:table altText="Loan Payments" altTextSummary="List of loan payments details such as Date, Item, Amount, Check #, and Remarks."/>
    </ext>
  </extLst>
</table>
</file>

<file path=xl/theme/theme1.xml><?xml version="1.0" encoding="utf-8"?>
<a:theme xmlns:a="http://schemas.openxmlformats.org/drawingml/2006/main" name="Office Theme">
  <a:themeElements>
    <a:clrScheme name="Vehicle Log Book">
      <a:dk1>
        <a:sysClr val="windowText" lastClr="000000"/>
      </a:dk1>
      <a:lt1>
        <a:sysClr val="window" lastClr="FFFFFF"/>
      </a:lt1>
      <a:dk2>
        <a:srgbClr val="252E2C"/>
      </a:dk2>
      <a:lt2>
        <a:srgbClr val="EBEBE7"/>
      </a:lt2>
      <a:accent1>
        <a:srgbClr val="F79E20"/>
      </a:accent1>
      <a:accent2>
        <a:srgbClr val="94B9AE"/>
      </a:accent2>
      <a:accent3>
        <a:srgbClr val="ECC942"/>
      </a:accent3>
      <a:accent4>
        <a:srgbClr val="68B57F"/>
      </a:accent4>
      <a:accent5>
        <a:srgbClr val="E37437"/>
      </a:accent5>
      <a:accent6>
        <a:srgbClr val="8A6870"/>
      </a:accent6>
      <a:hlink>
        <a:srgbClr val="94B9AE"/>
      </a:hlink>
      <a:folHlink>
        <a:srgbClr val="8A6870"/>
      </a:folHlink>
    </a:clrScheme>
    <a:fontScheme name="Vehicle Log Book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2:N29"/>
  <sheetViews>
    <sheetView showGridLines="0" tabSelected="1" zoomScale="90" zoomScaleNormal="90" workbookViewId="0">
      <selection activeCell="V7" sqref="V7"/>
    </sheetView>
  </sheetViews>
  <sheetFormatPr baseColWidth="10" defaultColWidth="8.83203125" defaultRowHeight="24" customHeight="1" x14ac:dyDescent="0.2"/>
  <cols>
    <col min="1" max="1" width="4.1640625" style="3" customWidth="1"/>
    <col min="2" max="2" width="15.33203125" style="3" customWidth="1"/>
    <col min="3" max="3" width="13.5" style="3" customWidth="1"/>
    <col min="4" max="4" width="26.5" style="3" customWidth="1"/>
    <col min="5" max="6" width="9" style="3" customWidth="1"/>
    <col min="7" max="7" width="9.6640625" style="3" customWidth="1"/>
    <col min="8" max="8" width="7" style="3" customWidth="1"/>
    <col min="9" max="9" width="4.83203125" style="3" customWidth="1"/>
    <col min="10" max="10" width="11.83203125" style="3" customWidth="1"/>
    <col min="11" max="11" width="17.6640625" style="3" customWidth="1"/>
    <col min="12" max="12" width="10.5" style="3" customWidth="1"/>
    <col min="13" max="13" width="10.1640625" style="3" customWidth="1"/>
    <col min="14" max="14" width="20.5" style="3" customWidth="1"/>
    <col min="15" max="15" width="3.1640625" style="3" customWidth="1"/>
    <col min="16" max="16384" width="8.83203125" style="3"/>
  </cols>
  <sheetData>
    <row r="2" spans="2:14" ht="41.25" customHeight="1" x14ac:dyDescent="0.2">
      <c r="B2" s="2"/>
      <c r="C2" s="2"/>
      <c r="D2" s="2"/>
      <c r="E2" s="2"/>
      <c r="N2" s="26" t="s">
        <v>25</v>
      </c>
    </row>
    <row r="3" spans="2:14" ht="27.25" customHeight="1" x14ac:dyDescent="0.2">
      <c r="B3" s="4" t="s">
        <v>31</v>
      </c>
      <c r="C3" s="2"/>
      <c r="D3" s="2"/>
      <c r="E3" s="2"/>
      <c r="N3" s="27">
        <v>9780</v>
      </c>
    </row>
    <row r="4" spans="2:14" ht="24.75" customHeight="1" thickBot="1" x14ac:dyDescent="0.2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2:14" ht="24" customHeight="1" thickTop="1" x14ac:dyDescent="0.2"/>
    <row r="6" spans="2:14" ht="19.5" customHeight="1" x14ac:dyDescent="0.15">
      <c r="B6" s="6" t="s">
        <v>10</v>
      </c>
      <c r="D6" s="6" t="s">
        <v>12</v>
      </c>
      <c r="M6" s="7" t="s">
        <v>16</v>
      </c>
      <c r="N6" s="8" t="s">
        <v>27</v>
      </c>
    </row>
    <row r="7" spans="2:14" ht="32.25" customHeight="1" x14ac:dyDescent="0.35">
      <c r="B7" s="29">
        <f>SUM(Gas[RANGE])</f>
        <v>2107</v>
      </c>
      <c r="C7" s="29"/>
      <c r="D7" s="9">
        <f>SUM(Gas[COST])</f>
        <v>216</v>
      </c>
    </row>
    <row r="8" spans="2:14" ht="15" customHeight="1" x14ac:dyDescent="0.2"/>
    <row r="9" spans="2:14" ht="15" customHeight="1" x14ac:dyDescent="0.15">
      <c r="D9" s="6" t="s">
        <v>23</v>
      </c>
    </row>
    <row r="10" spans="2:14" ht="19.5" customHeight="1" x14ac:dyDescent="0.15">
      <c r="B10" s="6" t="s">
        <v>11</v>
      </c>
      <c r="D10" s="10" t="s">
        <v>22</v>
      </c>
    </row>
    <row r="11" spans="2:14" ht="32.25" customHeight="1" x14ac:dyDescent="0.35">
      <c r="B11" s="30">
        <f>AVERAGE(Gas[MPG])</f>
        <v>44.367121848739494</v>
      </c>
      <c r="C11" s="30"/>
      <c r="D11" s="9">
        <f>SUM(Maintenance[COST])</f>
        <v>208.87</v>
      </c>
    </row>
    <row r="12" spans="2:14" ht="15" customHeight="1" x14ac:dyDescent="0.2"/>
    <row r="13" spans="2:14" ht="13.5" customHeight="1" x14ac:dyDescent="0.15">
      <c r="B13" s="6" t="s">
        <v>23</v>
      </c>
      <c r="D13" s="6" t="s">
        <v>23</v>
      </c>
    </row>
    <row r="14" spans="2:14" ht="19.5" customHeight="1" x14ac:dyDescent="0.2">
      <c r="B14" s="10" t="s">
        <v>24</v>
      </c>
      <c r="D14" s="10" t="s">
        <v>15</v>
      </c>
    </row>
    <row r="15" spans="2:14" ht="32.25" customHeight="1" x14ac:dyDescent="0.35">
      <c r="B15" s="29">
        <f>SUM(Gas[GALLONS])</f>
        <v>47</v>
      </c>
      <c r="C15" s="29"/>
      <c r="D15" s="9">
        <f>SUM(Payments[AMOUNT])</f>
        <v>643.17999999999995</v>
      </c>
    </row>
    <row r="18" spans="2:14" ht="24" customHeight="1" x14ac:dyDescent="0.2">
      <c r="B18" s="11" t="s">
        <v>13</v>
      </c>
      <c r="J18" s="11" t="s">
        <v>15</v>
      </c>
    </row>
    <row r="19" spans="2:14" ht="24" customHeight="1" x14ac:dyDescent="0.2">
      <c r="B19" s="12" t="s">
        <v>0</v>
      </c>
      <c r="C19" s="12" t="s">
        <v>17</v>
      </c>
      <c r="D19" s="12" t="s">
        <v>8</v>
      </c>
      <c r="E19" s="12" t="s">
        <v>2</v>
      </c>
      <c r="F19" s="12" t="s">
        <v>9</v>
      </c>
      <c r="G19" s="12" t="s">
        <v>7</v>
      </c>
      <c r="H19" s="12" t="s">
        <v>4</v>
      </c>
      <c r="J19" s="12" t="s">
        <v>0</v>
      </c>
      <c r="K19" s="12" t="s">
        <v>1</v>
      </c>
      <c r="L19" s="12" t="s">
        <v>5</v>
      </c>
      <c r="M19" s="12" t="s">
        <v>6</v>
      </c>
      <c r="N19" s="12" t="s">
        <v>3</v>
      </c>
    </row>
    <row r="20" spans="2:14" ht="24" customHeight="1" x14ac:dyDescent="0.2">
      <c r="B20" s="13">
        <v>41285</v>
      </c>
      <c r="C20" s="14">
        <f t="array" ref="C20">IFERROR(MAX(StartMileage,IF(Gas[ODOM]&lt;Gas[[#This Row],[ODOM]],Gas[ODOM])),"")</f>
        <v>9780</v>
      </c>
      <c r="D20" s="15">
        <v>16</v>
      </c>
      <c r="E20" s="16">
        <v>96</v>
      </c>
      <c r="F20" s="17">
        <v>11291</v>
      </c>
      <c r="G20" s="18">
        <f>IFERROR(Gas[[#This Row],[ODOM]]-Gas[[#This Row],[PREV ODOM]],"")</f>
        <v>1511</v>
      </c>
      <c r="H20" s="19">
        <f>IFERROR(Gas[[#This Row],[RANGE]]/Gas[[#This Row],[GALLONS]],"")</f>
        <v>94.4375</v>
      </c>
      <c r="J20" s="20">
        <v>41276</v>
      </c>
      <c r="K20" s="21" t="s">
        <v>18</v>
      </c>
      <c r="L20" s="22">
        <v>321.58999999999997</v>
      </c>
      <c r="M20" s="21">
        <v>955</v>
      </c>
      <c r="N20" s="21"/>
    </row>
    <row r="21" spans="2:14" ht="24" customHeight="1" x14ac:dyDescent="0.2">
      <c r="B21" s="13">
        <v>41290</v>
      </c>
      <c r="C21" s="14">
        <f t="array" ref="C21">IFERROR(MAX(StartMileage,IF(Gas[ODOM]&lt;Gas[[#This Row],[ODOM]],Gas[ODOM])),"")</f>
        <v>11291</v>
      </c>
      <c r="D21" s="15">
        <v>17</v>
      </c>
      <c r="E21" s="16">
        <v>65</v>
      </c>
      <c r="F21" s="17">
        <v>11601</v>
      </c>
      <c r="G21" s="18">
        <f>IFERROR(Gas[[#This Row],[ODOM]]-Gas[[#This Row],[PREV ODOM]],"")</f>
        <v>310</v>
      </c>
      <c r="H21" s="19">
        <f>IFERROR(Gas[[#This Row],[RANGE]]/Gas[[#This Row],[GALLONS]],"")</f>
        <v>18.235294117647058</v>
      </c>
      <c r="J21" s="23">
        <v>41307</v>
      </c>
      <c r="K21" s="3" t="s">
        <v>19</v>
      </c>
      <c r="L21" s="24">
        <v>321.58999999999997</v>
      </c>
      <c r="M21" s="3">
        <v>962</v>
      </c>
    </row>
    <row r="22" spans="2:14" ht="24" customHeight="1" x14ac:dyDescent="0.2">
      <c r="B22" s="13">
        <v>41295</v>
      </c>
      <c r="C22" s="14">
        <f t="array" ref="C22">IFERROR(MAX(StartMileage,IF(Gas[ODOM]&lt;Gas[[#This Row],[ODOM]],Gas[ODOM])),"")</f>
        <v>11601</v>
      </c>
      <c r="D22" s="15">
        <v>14</v>
      </c>
      <c r="E22" s="16">
        <v>55</v>
      </c>
      <c r="F22" s="17">
        <v>11887</v>
      </c>
      <c r="G22" s="18">
        <f>IFERROR(Gas[[#This Row],[ODOM]]-Gas[[#This Row],[PREV ODOM]],"")</f>
        <v>286</v>
      </c>
      <c r="H22" s="19">
        <f>IFERROR(Gas[[#This Row],[RANGE]]/Gas[[#This Row],[GALLONS]],"")</f>
        <v>20.428571428571427</v>
      </c>
      <c r="J22" s="28"/>
      <c r="K22" s="28"/>
      <c r="L22" s="28"/>
      <c r="M22" s="28"/>
      <c r="N22" s="28"/>
    </row>
    <row r="23" spans="2:14" ht="24" customHeight="1" x14ac:dyDescent="0.2">
      <c r="B23" s="28"/>
      <c r="C23" s="28"/>
      <c r="D23" s="28"/>
      <c r="E23" s="28"/>
      <c r="F23" s="28"/>
      <c r="G23" s="28"/>
      <c r="H23" s="28"/>
    </row>
    <row r="24" spans="2:14" ht="24" customHeight="1" x14ac:dyDescent="0.2">
      <c r="J24" s="11" t="s">
        <v>14</v>
      </c>
    </row>
    <row r="25" spans="2:14" ht="24" customHeight="1" x14ac:dyDescent="0.2">
      <c r="J25" s="12" t="s">
        <v>0</v>
      </c>
      <c r="K25" s="12" t="s">
        <v>1</v>
      </c>
      <c r="L25" s="12" t="s">
        <v>2</v>
      </c>
      <c r="M25" s="12" t="s">
        <v>9</v>
      </c>
      <c r="N25" s="12" t="s">
        <v>3</v>
      </c>
    </row>
    <row r="26" spans="2:14" ht="24" customHeight="1" x14ac:dyDescent="0.2">
      <c r="J26" s="20">
        <v>41279</v>
      </c>
      <c r="K26" s="21" t="s">
        <v>20</v>
      </c>
      <c r="L26" s="22">
        <v>43.87</v>
      </c>
      <c r="M26" s="25">
        <v>10567</v>
      </c>
      <c r="N26" s="21"/>
    </row>
    <row r="27" spans="2:14" ht="24" customHeight="1" x14ac:dyDescent="0.2">
      <c r="J27" s="20">
        <v>41292</v>
      </c>
      <c r="K27" s="21" t="s">
        <v>21</v>
      </c>
      <c r="L27" s="22">
        <v>67</v>
      </c>
      <c r="M27" s="25">
        <v>11420</v>
      </c>
      <c r="N27" s="21"/>
    </row>
    <row r="28" spans="2:14" ht="24" customHeight="1" x14ac:dyDescent="0.2">
      <c r="J28" s="20">
        <v>41334</v>
      </c>
      <c r="K28" s="21" t="s">
        <v>26</v>
      </c>
      <c r="L28" s="22">
        <v>98</v>
      </c>
      <c r="M28" s="25">
        <v>12887</v>
      </c>
      <c r="N28" s="21"/>
    </row>
    <row r="29" spans="2:14" ht="24" customHeight="1" x14ac:dyDescent="0.2">
      <c r="J29" s="28"/>
      <c r="K29" s="28"/>
      <c r="L29" s="28"/>
      <c r="M29" s="28"/>
      <c r="N29" s="28"/>
    </row>
  </sheetData>
  <mergeCells count="6">
    <mergeCell ref="J22:N22"/>
    <mergeCell ref="J29:N29"/>
    <mergeCell ref="B23:H23"/>
    <mergeCell ref="B7:C7"/>
    <mergeCell ref="B11:C11"/>
    <mergeCell ref="B15:C15"/>
  </mergeCells>
  <dataValidations disablePrompts="1" count="1">
    <dataValidation type="list" allowBlank="1" showInputMessage="1" showErrorMessage="1" errorTitle="Whoops!" error="In order for the chart to display correctly, you need to make a selection from the drop down." sqref="N6" xr:uid="{00000000-0002-0000-0000-000000000000}">
      <formula1>"GAS,MAINTENANCE"</formula1>
    </dataValidation>
  </dataValidations>
  <printOptions horizontalCentered="1"/>
  <pageMargins left="0.45" right="0.45" top="0.4" bottom="0.5" header="0.3" footer="0.3"/>
  <pageSetup scale="65" fitToHeight="0" orientation="landscape" r:id="rId1"/>
  <headerFooter differentFirst="1">
    <oddFooter>Page &amp;P of &amp;N</oddFooter>
  </headerFooter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6" x14ac:dyDescent="0.2"/>
  <cols>
    <col min="3" max="3" width="24.33203125" customWidth="1"/>
  </cols>
  <sheetData>
    <row r="1" spans="1:3" x14ac:dyDescent="0.2">
      <c r="A1" t="s">
        <v>30</v>
      </c>
    </row>
    <row r="4" spans="1:3" x14ac:dyDescent="0.2">
      <c r="B4" t="s">
        <v>27</v>
      </c>
      <c r="C4" s="1">
        <f>SUM(Gas[COST])</f>
        <v>216</v>
      </c>
    </row>
    <row r="5" spans="1:3" x14ac:dyDescent="0.2">
      <c r="B5" t="s">
        <v>28</v>
      </c>
      <c r="C5" s="1">
        <f>SUM(Maintenance[COST])</f>
        <v>208.87</v>
      </c>
    </row>
    <row r="6" spans="1:3" x14ac:dyDescent="0.2">
      <c r="B6" t="s">
        <v>29</v>
      </c>
      <c r="C6" s="1">
        <f>SUM(Payments[AMOUNT])</f>
        <v>643.17999999999995</v>
      </c>
    </row>
  </sheetData>
  <pageMargins left="0.7" right="0.7" top="0.75" bottom="0.75" header="0.3" footer="0.3"/>
  <pageSetup orientation="portrait" horizontalDpi="4294967294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6D775420-FCDD-46F4-B0C0-6330E97E6C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Vehicle Log Book</vt:lpstr>
      <vt:lpstr>calculations</vt:lpstr>
      <vt:lpstr>PlotChoice</vt:lpstr>
      <vt:lpstr>StartMileage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Jamshaid Ali</dc:creator>
  <cp:keywords/>
  <cp:lastModifiedBy>Microsoft Office User</cp:lastModifiedBy>
  <dcterms:created xsi:type="dcterms:W3CDTF">2015-03-04T14:56:20Z</dcterms:created>
  <dcterms:modified xsi:type="dcterms:W3CDTF">2022-08-22T10:02:48Z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TC040142129991</vt:lpwstr>
  </property>
</Properties>
</file>