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I:\Templates\Accounts and Finance\Calculator and Other Sheets\"/>
    </mc:Choice>
  </mc:AlternateContent>
  <bookViews>
    <workbookView xWindow="0" yWindow="0" windowWidth="23040" windowHeight="9204"/>
  </bookViews>
  <sheets>
    <sheet name="Working" sheetId="1" r:id="rId1"/>
  </sheets>
  <definedNames>
    <definedName name="_xlnm.Print_Area" localSheetId="0">Working!$A$1:$F$11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8" i="1" l="1"/>
  <c r="D7" i="1"/>
  <c r="D9" i="1" s="1"/>
  <c r="D11" i="1" l="1"/>
  <c r="D13" i="1" s="1"/>
</calcChain>
</file>

<file path=xl/sharedStrings.xml><?xml version="1.0" encoding="utf-8"?>
<sst xmlns="http://schemas.openxmlformats.org/spreadsheetml/2006/main" count="9" uniqueCount="9">
  <si>
    <t>Daily Fee based on 365 days in a year - Fee/Days</t>
  </si>
  <si>
    <t>Month</t>
  </si>
  <si>
    <t>Days</t>
  </si>
  <si>
    <t>Invoice Calculation</t>
  </si>
  <si>
    <t>As per agreement</t>
  </si>
  <si>
    <t>Sales Tax</t>
  </si>
  <si>
    <t>Amount including Sales Tax</t>
  </si>
  <si>
    <t>Annual Fee as per Agreement - USD</t>
  </si>
  <si>
    <t>Fee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</si>
</sst>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3" fillId="2" borderId="0" xfId="0" applyFont="1" applyFill="1" applyAlignment="1">
      <alignment horizontal="center"/>
    </xf>
    <xf numFmtId="17" fontId="0" fillId="0" borderId="1" xfId="0" applyNumberFormat="1" applyBorder="1"/>
    <xf numFmtId="164" fontId="0" fillId="0" borderId="1" xfId="0" applyNumberFormat="1" applyBorder="1"/>
    <xf numFmtId="17" fontId="0" fillId="0" borderId="0" xfId="0" applyNumberFormat="1"/>
    <xf numFmtId="164" fontId="3" fillId="0" borderId="2" xfId="0" applyNumberFormat="1" applyFont="1" applyBorder="1"/>
    <xf numFmtId="164" fontId="3" fillId="0" borderId="0" xfId="0" applyNumberFormat="1" applyFont="1"/>
    <xf numFmtId="0" fontId="0" fillId="0" borderId="0" xfId="0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showGridLines="0" tabSelected="1" zoomScale="170" zoomScaleNormal="170" zoomScaleSheetLayoutView="115" workbookViewId="0">
      <selection activeCell="D7" sqref="D7"/>
    </sheetView>
  </sheetViews>
  <sheetFormatPr defaultRowHeight="14.4" x14ac:dyDescent="0.3"/>
  <cols>
    <col min="1" max="1" width="1.77734375" customWidth="1"/>
    <col min="2" max="2" width="41.6640625" bestFit="1" customWidth="1"/>
    <col min="3" max="3" width="1.6640625" customWidth="1"/>
    <col min="4" max="4" width="15.6640625" customWidth="1"/>
    <col min="5" max="5" width="8.6640625" customWidth="1"/>
    <col min="7" max="7" width="1.77734375" customWidth="1"/>
  </cols>
  <sheetData>
    <row r="2" spans="2:5" ht="14.55" customHeight="1" x14ac:dyDescent="0.3">
      <c r="B2" s="9" t="s">
        <v>3</v>
      </c>
    </row>
    <row r="3" spans="2:5" x14ac:dyDescent="0.3">
      <c r="B3" t="s">
        <v>7</v>
      </c>
      <c r="D3" s="1">
        <v>23776635</v>
      </c>
      <c r="E3" t="s">
        <v>4</v>
      </c>
    </row>
    <row r="4" spans="2:5" x14ac:dyDescent="0.3">
      <c r="B4" t="s">
        <v>0</v>
      </c>
      <c r="D4" s="1">
        <f>+ROUND(D3/365,0)</f>
        <v>65141</v>
      </c>
    </row>
    <row r="6" spans="2:5" x14ac:dyDescent="0.3">
      <c r="B6" s="2" t="s">
        <v>1</v>
      </c>
      <c r="D6" s="2" t="s">
        <v>8</v>
      </c>
      <c r="E6" s="2" t="s">
        <v>2</v>
      </c>
    </row>
    <row r="7" spans="2:5" x14ac:dyDescent="0.3">
      <c r="B7" s="3">
        <v>44317</v>
      </c>
      <c r="D7" s="4">
        <f>+$D$4*E7</f>
        <v>2019371</v>
      </c>
      <c r="E7" s="4">
        <v>31</v>
      </c>
    </row>
    <row r="8" spans="2:5" x14ac:dyDescent="0.3">
      <c r="B8" s="3">
        <v>44348</v>
      </c>
      <c r="D8" s="4">
        <f>+$D$4*E8</f>
        <v>1954230</v>
      </c>
      <c r="E8" s="4">
        <v>30</v>
      </c>
    </row>
    <row r="9" spans="2:5" ht="15" thickBot="1" x14ac:dyDescent="0.35">
      <c r="B9" s="5"/>
      <c r="D9" s="6">
        <f>SUM(D7:D8)</f>
        <v>3973601</v>
      </c>
      <c r="E9" s="7"/>
    </row>
    <row r="10" spans="2:5" ht="4.95" customHeight="1" thickTop="1" x14ac:dyDescent="0.3"/>
    <row r="11" spans="2:5" x14ac:dyDescent="0.3">
      <c r="B11" s="8" t="s">
        <v>5</v>
      </c>
      <c r="D11" s="1">
        <f>+D9*16%</f>
        <v>635776.16</v>
      </c>
    </row>
    <row r="12" spans="2:5" ht="4.95" customHeight="1" x14ac:dyDescent="0.3"/>
    <row r="13" spans="2:5" x14ac:dyDescent="0.3">
      <c r="B13" s="8" t="s">
        <v>6</v>
      </c>
      <c r="D13" s="7">
        <f>+D11+D9</f>
        <v>4609377.16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</vt:lpstr>
      <vt:lpstr>Working!Print_Area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Windows User</cp:lastModifiedBy>
  <dcterms:created xsi:type="dcterms:W3CDTF">2022-07-01T07:13:19Z</dcterms:created>
  <dcterms:modified xsi:type="dcterms:W3CDTF">2022-08-12T22:33:57Z</dcterms:modified>
</cp:coreProperties>
</file>