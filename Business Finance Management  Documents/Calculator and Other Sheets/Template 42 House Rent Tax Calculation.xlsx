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I:\Templates\Accounts and Finance\Calculator and Other Sheets\"/>
    </mc:Choice>
  </mc:AlternateContent>
  <bookViews>
    <workbookView xWindow="0" yWindow="0" windowWidth="23040" windowHeight="9204"/>
  </bookViews>
  <sheets>
    <sheet name="Comp (Rev)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7" i="2" s="1"/>
  <c r="E5" i="2"/>
  <c r="E7" i="2" s="1"/>
  <c r="E10" i="2" l="1"/>
  <c r="E13" i="2"/>
  <c r="G5" i="2"/>
  <c r="H5" i="2" s="1"/>
  <c r="G7" i="2" l="1"/>
  <c r="H7" i="2" l="1"/>
  <c r="H10" i="2" s="1"/>
  <c r="H11" i="2" l="1"/>
  <c r="G11" i="2" s="1"/>
  <c r="G13" i="2" s="1"/>
  <c r="F13" i="2" l="1"/>
  <c r="H13" i="2"/>
</calcChain>
</file>

<file path=xl/sharedStrings.xml><?xml version="1.0" encoding="utf-8"?>
<sst xmlns="http://schemas.openxmlformats.org/spreadsheetml/2006/main" count="17" uniqueCount="13">
  <si>
    <t>Monthly Rental</t>
  </si>
  <si>
    <t>USD</t>
  </si>
  <si>
    <t>Months</t>
  </si>
  <si>
    <t>Exchange Rate</t>
  </si>
  <si>
    <t>Less: WHT u/s 155</t>
  </si>
  <si>
    <t>Net payment</t>
  </si>
  <si>
    <t>Previous 
Payment 
(Nov-21)</t>
  </si>
  <si>
    <t>Current 
Payment 
(Mar-22)</t>
  </si>
  <si>
    <t>Next
Payment 
(Jun-22)</t>
  </si>
  <si>
    <t>Total</t>
  </si>
  <si>
    <t>Rent Payment Calculation -  House Rent</t>
  </si>
  <si>
    <t>Upto USD 2,000,000</t>
  </si>
  <si>
    <t>Above USD 2,000,000 @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</si>
</sst>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65" fontId="3" fillId="0" borderId="0" xfId="1" applyNumberFormat="1" applyFont="1"/>
    <xf numFmtId="164" fontId="3" fillId="0" borderId="0" xfId="0" applyNumberFormat="1" applyFont="1"/>
    <xf numFmtId="165" fontId="4" fillId="0" borderId="0" xfId="0" applyNumberFormat="1" applyFont="1"/>
    <xf numFmtId="165" fontId="3" fillId="0" borderId="1" xfId="0" applyNumberFormat="1" applyFont="1" applyBorder="1"/>
    <xf numFmtId="165" fontId="3" fillId="0" borderId="2" xfId="0" applyNumberFormat="1" applyFont="1" applyBorder="1"/>
    <xf numFmtId="165" fontId="4" fillId="0" borderId="0" xfId="1" applyNumberFormat="1" applyFont="1"/>
    <xf numFmtId="165" fontId="4" fillId="0" borderId="3" xfId="0" applyNumberFormat="1" applyFont="1" applyBorder="1"/>
    <xf numFmtId="0" fontId="5" fillId="2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6"/>
  <sheetViews>
    <sheetView showGridLines="0" tabSelected="1" zoomScale="130" zoomScaleNormal="130" workbookViewId="0">
      <selection activeCell="C16" sqref="C16"/>
    </sheetView>
  </sheetViews>
  <sheetFormatPr defaultRowHeight="13.8" x14ac:dyDescent="0.25"/>
  <cols>
    <col min="1" max="1" width="1.6640625" style="2" customWidth="1"/>
    <col min="2" max="2" width="37.44140625" style="2" bestFit="1" customWidth="1"/>
    <col min="3" max="3" width="6.88671875" style="2" bestFit="1" customWidth="1"/>
    <col min="4" max="4" width="7.33203125" style="2" bestFit="1" customWidth="1"/>
    <col min="5" max="8" width="15.5546875" style="2" customWidth="1"/>
    <col min="9" max="16384" width="8.88671875" style="2"/>
  </cols>
  <sheetData>
    <row r="1" spans="2:8" x14ac:dyDescent="0.25">
      <c r="B1" s="1" t="s">
        <v>10</v>
      </c>
    </row>
    <row r="2" spans="2:8" x14ac:dyDescent="0.25">
      <c r="B2" s="1"/>
    </row>
    <row r="3" spans="2:8" ht="41.4" x14ac:dyDescent="0.25">
      <c r="E3" s="11" t="s">
        <v>6</v>
      </c>
      <c r="F3" s="11" t="s">
        <v>7</v>
      </c>
      <c r="G3" s="11" t="s">
        <v>8</v>
      </c>
      <c r="H3" s="11" t="s">
        <v>9</v>
      </c>
    </row>
    <row r="4" spans="2:8" x14ac:dyDescent="0.25">
      <c r="C4" s="3" t="s">
        <v>1</v>
      </c>
      <c r="D4" s="3" t="s">
        <v>2</v>
      </c>
      <c r="E4" s="3" t="s">
        <v>1</v>
      </c>
      <c r="F4" s="3" t="s">
        <v>1</v>
      </c>
      <c r="G4" s="3" t="s">
        <v>1</v>
      </c>
      <c r="H4" s="3" t="s">
        <v>1</v>
      </c>
    </row>
    <row r="5" spans="2:8" x14ac:dyDescent="0.25">
      <c r="B5" s="2" t="s">
        <v>0</v>
      </c>
      <c r="C5" s="4">
        <v>4500</v>
      </c>
      <c r="D5" s="4">
        <v>3</v>
      </c>
      <c r="E5" s="4">
        <f>+D5*C5</f>
        <v>13500</v>
      </c>
      <c r="F5" s="4">
        <f>+C5*D5</f>
        <v>13500</v>
      </c>
      <c r="G5" s="4">
        <f>+F5</f>
        <v>13500</v>
      </c>
      <c r="H5" s="4">
        <f>+G5+E5+F5</f>
        <v>40500</v>
      </c>
    </row>
    <row r="6" spans="2:8" x14ac:dyDescent="0.25">
      <c r="B6" s="2" t="s">
        <v>3</v>
      </c>
      <c r="E6" s="5">
        <v>176.66</v>
      </c>
      <c r="F6" s="5">
        <v>179.45</v>
      </c>
      <c r="G6" s="5">
        <v>204.35</v>
      </c>
      <c r="H6" s="5"/>
    </row>
    <row r="7" spans="2:8" x14ac:dyDescent="0.25">
      <c r="E7" s="6">
        <f>+E5*E6</f>
        <v>2384910</v>
      </c>
      <c r="F7" s="6">
        <f>+F5*F6</f>
        <v>2422575</v>
      </c>
      <c r="G7" s="6">
        <f>+G5*G6</f>
        <v>2758725</v>
      </c>
      <c r="H7" s="6">
        <f>+G7+F7+E7</f>
        <v>7566210</v>
      </c>
    </row>
    <row r="8" spans="2:8" x14ac:dyDescent="0.25">
      <c r="B8" s="1" t="s">
        <v>4</v>
      </c>
    </row>
    <row r="9" spans="2:8" x14ac:dyDescent="0.25">
      <c r="B9" s="2" t="s">
        <v>11</v>
      </c>
      <c r="E9" s="7">
        <v>155000</v>
      </c>
      <c r="H9" s="7">
        <v>155000</v>
      </c>
    </row>
    <row r="10" spans="2:8" x14ac:dyDescent="0.25">
      <c r="B10" s="2" t="s">
        <v>12</v>
      </c>
      <c r="E10" s="8">
        <f>+(E7-2000000)*25%</f>
        <v>96227.5</v>
      </c>
      <c r="H10" s="8">
        <f>+(H7-2000000)*25%</f>
        <v>1391552.5</v>
      </c>
    </row>
    <row r="11" spans="2:8" x14ac:dyDescent="0.25">
      <c r="E11" s="6">
        <v>251227.5</v>
      </c>
      <c r="F11" s="9">
        <v>607162</v>
      </c>
      <c r="G11" s="9">
        <f>+H11-E11-F11</f>
        <v>688163</v>
      </c>
      <c r="H11" s="6">
        <f>SUM(H9:H10)</f>
        <v>1546552.5</v>
      </c>
    </row>
    <row r="13" spans="2:8" ht="14.4" thickBot="1" x14ac:dyDescent="0.3">
      <c r="B13" s="1" t="s">
        <v>5</v>
      </c>
      <c r="E13" s="10">
        <f>+E7-E11</f>
        <v>2133682.5</v>
      </c>
      <c r="F13" s="10">
        <f>+F7-F11</f>
        <v>1815413</v>
      </c>
      <c r="G13" s="10">
        <f>+G7-G11</f>
        <v>2070562</v>
      </c>
      <c r="H13" s="10">
        <f>+H7-H11</f>
        <v>6019657.5</v>
      </c>
    </row>
    <row r="14" spans="2:8" ht="14.4" thickTop="1" x14ac:dyDescent="0.25">
      <c r="B14" s="1"/>
      <c r="E14" s="6"/>
    </row>
    <row r="15" spans="2:8" x14ac:dyDescent="0.25">
      <c r="B15" s="1"/>
      <c r="E15" s="6"/>
    </row>
    <row r="16" spans="2:8" x14ac:dyDescent="0.25">
      <c r="B16" s="1"/>
      <c r="E16" s="6"/>
      <c r="G16" s="5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 (Rev)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Windows User</cp:lastModifiedBy>
  <dcterms:created xsi:type="dcterms:W3CDTF">2021-12-06T13:21:42Z</dcterms:created>
  <dcterms:modified xsi:type="dcterms:W3CDTF">2022-08-12T23:11:35Z</dcterms:modified>
</cp:coreProperties>
</file>