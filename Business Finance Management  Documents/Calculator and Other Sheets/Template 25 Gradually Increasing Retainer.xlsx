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/>
  <mc:AlternateContent xmlns:mc="http://schemas.openxmlformats.org/markup-compatibility/2006">
    <mc:Choice Requires="x15">
      <x15ac:absPath xmlns:x15ac="http://schemas.microsoft.com/office/spreadsheetml/2010/11/ac" url="/Users/miky/Desktop/EXCEL MDG/Calculator and Other Sheets/"/>
    </mc:Choice>
  </mc:AlternateContent>
  <xr:revisionPtr revIDLastSave="0" documentId="13_ncr:1_{D46023F9-EA86-F649-BB48-85957DADE3B0}" xr6:coauthVersionLast="47" xr6:coauthVersionMax="47" xr10:uidLastSave="{00000000-0000-0000-0000-000000000000}"/>
  <bookViews>
    <workbookView xWindow="0" yWindow="500" windowWidth="23040" windowHeight="9200" xr2:uid="{00000000-000D-0000-FFFF-FFFF00000000}"/>
  </bookViews>
  <sheets>
    <sheet name="Calcula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" i="1" l="1"/>
  <c r="A17" i="1" l="1"/>
  <c r="D17" i="1" s="1"/>
  <c r="A16" i="1"/>
  <c r="D16" i="1" s="1"/>
  <c r="A15" i="1"/>
  <c r="D15" i="1" s="1"/>
  <c r="A14" i="1"/>
  <c r="D14" i="1" s="1"/>
  <c r="A13" i="1"/>
  <c r="D22" i="1"/>
  <c r="D23" i="1" l="1"/>
  <c r="D24" i="1" s="1"/>
  <c r="D13" i="1"/>
  <c r="D19" i="1" s="1"/>
</calcChain>
</file>

<file path=xl/sharedStrings.xml><?xml version="1.0" encoding="utf-8"?>
<sst xmlns="http://schemas.openxmlformats.org/spreadsheetml/2006/main" count="14" uniqueCount="14">
  <si>
    <t xml:space="preserve">Base Retainer </t>
  </si>
  <si>
    <t>Clients Current Monthly Ad Budget</t>
  </si>
  <si>
    <t>Gradually Increasing Retainer</t>
  </si>
  <si>
    <t>Percentage</t>
  </si>
  <si>
    <t>Total Monthly budget</t>
  </si>
  <si>
    <t>Total Ad spend fee</t>
  </si>
  <si>
    <t>Ad Spend Brackets.</t>
  </si>
  <si>
    <t>Monthly retainer</t>
  </si>
  <si>
    <t>Minimum</t>
  </si>
  <si>
    <t>Maximum</t>
  </si>
  <si>
    <t>Input Data</t>
  </si>
  <si>
    <t>Results</t>
  </si>
  <si>
    <t>Value Per Bracket</t>
  </si>
  <si>
    <t>Total Ad Spend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</si>
</sst>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4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Helvetic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Helvetica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2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justify" vertical="center"/>
    </xf>
    <xf numFmtId="0" fontId="0" fillId="0" borderId="0" xfId="0" applyFont="1"/>
    <xf numFmtId="3" fontId="0" fillId="0" borderId="0" xfId="0" applyNumberFormat="1" applyFont="1"/>
    <xf numFmtId="0" fontId="0" fillId="4" borderId="0" xfId="0" applyFill="1"/>
    <xf numFmtId="0" fontId="5" fillId="4" borderId="0" xfId="0" applyFont="1" applyFill="1" applyBorder="1" applyAlignment="1"/>
    <xf numFmtId="0" fontId="1" fillId="4" borderId="0" xfId="0" applyFont="1" applyFill="1" applyBorder="1"/>
    <xf numFmtId="3" fontId="0" fillId="4" borderId="0" xfId="0" applyNumberFormat="1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164" fontId="0" fillId="0" borderId="0" xfId="0" applyNumberFormat="1" applyFont="1"/>
    <xf numFmtId="164" fontId="3" fillId="4" borderId="0" xfId="0" applyNumberFormat="1" applyFont="1" applyFill="1" applyBorder="1" applyAlignment="1">
      <alignment horizontal="center" vertical="center"/>
    </xf>
    <xf numFmtId="164" fontId="0" fillId="4" borderId="0" xfId="0" applyNumberFormat="1" applyFill="1" applyBorder="1" applyAlignment="1">
      <alignment horizontal="center"/>
    </xf>
    <xf numFmtId="9" fontId="3" fillId="4" borderId="0" xfId="0" applyNumberFormat="1" applyFont="1" applyFill="1" applyBorder="1" applyAlignment="1">
      <alignment horizontal="center"/>
    </xf>
    <xf numFmtId="164" fontId="3" fillId="4" borderId="0" xfId="0" applyNumberFormat="1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/>
    </xf>
    <xf numFmtId="164" fontId="7" fillId="2" borderId="10" xfId="0" applyNumberFormat="1" applyFont="1" applyFill="1" applyBorder="1" applyAlignment="1">
      <alignment horizontal="center"/>
    </xf>
    <xf numFmtId="164" fontId="7" fillId="2" borderId="8" xfId="0" applyNumberFormat="1" applyFont="1" applyFill="1" applyBorder="1" applyAlignment="1">
      <alignment horizontal="center"/>
    </xf>
    <xf numFmtId="164" fontId="7" fillId="2" borderId="12" xfId="0" applyNumberFormat="1" applyFont="1" applyFill="1" applyBorder="1" applyAlignment="1">
      <alignment horizontal="center"/>
    </xf>
    <xf numFmtId="9" fontId="0" fillId="3" borderId="3" xfId="1" applyFont="1" applyFill="1" applyBorder="1" applyAlignment="1">
      <alignment horizontal="center"/>
    </xf>
    <xf numFmtId="0" fontId="13" fillId="4" borderId="0" xfId="0" applyFont="1" applyFill="1" applyBorder="1" applyAlignment="1">
      <alignment horizontal="left"/>
    </xf>
    <xf numFmtId="0" fontId="11" fillId="5" borderId="3" xfId="0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showGridLines="0" tabSelected="1" zoomScaleNormal="100" workbookViewId="0">
      <selection activeCell="F7" sqref="F7"/>
    </sheetView>
  </sheetViews>
  <sheetFormatPr baseColWidth="10" defaultColWidth="11.1640625" defaultRowHeight="16" x14ac:dyDescent="0.2"/>
  <cols>
    <col min="1" max="2" width="19.33203125" customWidth="1"/>
    <col min="3" max="4" width="20" customWidth="1"/>
  </cols>
  <sheetData>
    <row r="1" spans="1:5" s="4" customFormat="1" x14ac:dyDescent="0.2">
      <c r="D1" s="5"/>
    </row>
    <row r="2" spans="1:5" s="4" customFormat="1" x14ac:dyDescent="0.2">
      <c r="D2" s="5"/>
    </row>
    <row r="3" spans="1:5" s="4" customFormat="1" ht="26" x14ac:dyDescent="0.3">
      <c r="A3" s="20" t="s">
        <v>2</v>
      </c>
      <c r="B3" s="20"/>
      <c r="C3" s="20"/>
      <c r="D3" s="20"/>
    </row>
    <row r="4" spans="1:5" s="4" customFormat="1" ht="24" x14ac:dyDescent="0.3">
      <c r="A4" s="8"/>
      <c r="B4" s="8"/>
      <c r="C4" s="8"/>
      <c r="D4" s="5"/>
    </row>
    <row r="5" spans="1:5" s="4" customFormat="1" x14ac:dyDescent="0.2">
      <c r="A5" s="5"/>
      <c r="B5" s="5"/>
      <c r="C5" s="5"/>
      <c r="D5" s="5"/>
    </row>
    <row r="6" spans="1:5" s="4" customFormat="1" ht="24" x14ac:dyDescent="0.2">
      <c r="A6" s="24" t="s">
        <v>10</v>
      </c>
      <c r="B6" s="24"/>
      <c r="C6" s="24"/>
      <c r="D6" s="24"/>
    </row>
    <row r="7" spans="1:5" ht="31.25" customHeight="1" x14ac:dyDescent="0.2">
      <c r="A7" s="21" t="s">
        <v>0</v>
      </c>
      <c r="B7" s="21"/>
      <c r="C7" s="23" t="s">
        <v>1</v>
      </c>
      <c r="D7" s="23"/>
    </row>
    <row r="8" spans="1:5" ht="21" customHeight="1" x14ac:dyDescent="0.2">
      <c r="A8" s="22">
        <v>2500</v>
      </c>
      <c r="B8" s="22"/>
      <c r="C8" s="22">
        <v>60000</v>
      </c>
      <c r="D8" s="22"/>
    </row>
    <row r="9" spans="1:5" ht="6" customHeight="1" x14ac:dyDescent="0.2">
      <c r="A9" s="7"/>
      <c r="B9" s="6"/>
      <c r="C9" s="6"/>
      <c r="D9" s="6"/>
    </row>
    <row r="10" spans="1:5" ht="21" customHeight="1" x14ac:dyDescent="0.2">
      <c r="A10" s="33" t="s">
        <v>6</v>
      </c>
      <c r="B10" s="34"/>
      <c r="C10" s="34"/>
      <c r="D10" s="34"/>
      <c r="E10" s="2"/>
    </row>
    <row r="11" spans="1:5" ht="21" customHeight="1" x14ac:dyDescent="0.2">
      <c r="A11" s="14" t="s">
        <v>8</v>
      </c>
      <c r="B11" s="14" t="s">
        <v>9</v>
      </c>
      <c r="C11" s="14" t="s">
        <v>3</v>
      </c>
      <c r="D11" s="14" t="s">
        <v>12</v>
      </c>
      <c r="E11" s="2"/>
    </row>
    <row r="12" spans="1:5" x14ac:dyDescent="0.2">
      <c r="A12" s="15">
        <v>0</v>
      </c>
      <c r="B12" s="15">
        <v>5000</v>
      </c>
      <c r="C12" s="19">
        <v>0.3</v>
      </c>
      <c r="D12" s="15">
        <f>IF(C8&lt;=B12,(C8*C12),(B12*C12))</f>
        <v>1500</v>
      </c>
      <c r="E12" s="9"/>
    </row>
    <row r="13" spans="1:5" x14ac:dyDescent="0.2">
      <c r="A13" s="15">
        <f>B12</f>
        <v>5000</v>
      </c>
      <c r="B13" s="15">
        <v>10000</v>
      </c>
      <c r="C13" s="19">
        <v>0.25</v>
      </c>
      <c r="D13" s="15">
        <f>IF(AND($C$8&gt;A13,$C$8&lt;=B13),((($C$8-B12)*C13)),(IF($C$8&gt;B13,((B13-B12)*C13),0)))</f>
        <v>1250</v>
      </c>
      <c r="E13" s="2"/>
    </row>
    <row r="14" spans="1:5" x14ac:dyDescent="0.2">
      <c r="A14" s="15">
        <f>B13</f>
        <v>10000</v>
      </c>
      <c r="B14" s="15">
        <v>20000</v>
      </c>
      <c r="C14" s="19">
        <v>0.2</v>
      </c>
      <c r="D14" s="15">
        <f>IF(AND($C$8&gt;A14,$C$8&lt;=B14),((($C$8-B13)*C14)),(IF($C$8&gt;B14,((B14-B13)*C14),0)))</f>
        <v>2000</v>
      </c>
      <c r="E14" s="2"/>
    </row>
    <row r="15" spans="1:5" x14ac:dyDescent="0.2">
      <c r="A15" s="15">
        <f>B14</f>
        <v>20000</v>
      </c>
      <c r="B15" s="15">
        <v>40000</v>
      </c>
      <c r="C15" s="19">
        <v>0.15</v>
      </c>
      <c r="D15" s="15">
        <f>IF(AND($C$8&gt;A15,$C$8&lt;=B15),((($C$8-B14)*C15)),(IF($C$8&gt;B15,((B15-B14)*C15),0)))</f>
        <v>3000</v>
      </c>
      <c r="E15" s="3"/>
    </row>
    <row r="16" spans="1:5" x14ac:dyDescent="0.2">
      <c r="A16" s="15">
        <f>B15</f>
        <v>40000</v>
      </c>
      <c r="B16" s="15">
        <v>100000</v>
      </c>
      <c r="C16" s="19">
        <v>0.1</v>
      </c>
      <c r="D16" s="15">
        <f>IF(AND($C$8&gt;A16,$C$8&lt;=B16),((($C$8-B15)*C16)),(IF($C$8&gt;B16,((B16-B15)*C16),0)))</f>
        <v>2000</v>
      </c>
      <c r="E16" s="2"/>
    </row>
    <row r="17" spans="1:5" x14ac:dyDescent="0.2">
      <c r="A17" s="15">
        <f>B16</f>
        <v>100000</v>
      </c>
      <c r="B17" s="15"/>
      <c r="C17" s="19">
        <v>0.05</v>
      </c>
      <c r="D17" s="15">
        <f>IF($C$8&gt;A17,((($C$8-B16)*C17)),(IF($C$8&gt;A17,((A17-B16)*C17),0)))</f>
        <v>0</v>
      </c>
      <c r="E17" s="2"/>
    </row>
    <row r="18" spans="1:5" ht="6" customHeight="1" x14ac:dyDescent="0.2">
      <c r="A18" s="10"/>
      <c r="B18" s="11"/>
      <c r="C18" s="12"/>
      <c r="D18" s="13"/>
      <c r="E18" s="2"/>
    </row>
    <row r="19" spans="1:5" x14ac:dyDescent="0.2">
      <c r="A19" s="35" t="s">
        <v>13</v>
      </c>
      <c r="B19" s="35"/>
      <c r="C19" s="36"/>
      <c r="D19" s="16">
        <f>SUM(D12:D17)</f>
        <v>9750</v>
      </c>
      <c r="E19" s="2"/>
    </row>
    <row r="20" spans="1:5" ht="6" customHeight="1" x14ac:dyDescent="0.2">
      <c r="A20" s="1"/>
      <c r="E20" s="2"/>
    </row>
    <row r="21" spans="1:5" x14ac:dyDescent="0.2">
      <c r="A21" s="31" t="s">
        <v>11</v>
      </c>
      <c r="B21" s="31"/>
      <c r="C21" s="31"/>
      <c r="D21" s="32"/>
      <c r="E21" s="2"/>
    </row>
    <row r="22" spans="1:5" ht="17.5" customHeight="1" x14ac:dyDescent="0.2">
      <c r="A22" s="25" t="s">
        <v>4</v>
      </c>
      <c r="B22" s="26"/>
      <c r="C22" s="26"/>
      <c r="D22" s="17">
        <f>C8</f>
        <v>60000</v>
      </c>
      <c r="E22" s="2"/>
    </row>
    <row r="23" spans="1:5" ht="17.5" customHeight="1" x14ac:dyDescent="0.2">
      <c r="A23" s="27" t="s">
        <v>5</v>
      </c>
      <c r="B23" s="28"/>
      <c r="C23" s="28"/>
      <c r="D23" s="16">
        <f>IF((IF(C8&lt;=B12,(C8*C12),IF(AND(C8&gt;A13,C8&lt;=B13),(((C8-B12)*C13)+(B12*C12)),IF(AND(C8&gt;A14,C8&lt;=B14),(((C8-B13)*C14)+(((B13-B12)*C13)+(B12*C12))),IF(AND(C8&gt;A15,C8&lt;=B15),(((C8-B14)*C15)+(((B14-B13)*C14)+(B13-B12)*C13)+(B12*C12)),IF(AND(C8&gt;A16,C8&lt;=B16),(((C8-B15)*C16)+(((B15-B14)*C15)+(B14-B13)*C14)+(B13-B12)*C13)+(B12*C12)))))))=FALSE,(IF(C8&gt;A17,((((C8-B16)*C17)+(((B16-B15)*C16)+(B15-B14)*C15)+(B14-B13)*C14)+(B13-B12)*C13)+(B12*C12))),(IF(C8&lt;=B12,(C8*C12),IF(AND(C8&gt;A13,C8&lt;=B13),(((C8-B12)*C13)+(B12*C12)),IF(AND(C8&gt;A14,C8&lt;=B14),(((C8-B13)*C14)+(((B13-B12)*C13)+(B12*C12))),IF(AND(C8&gt;A15,C8&lt;=B15),(((C8-B14)*C15)+(((B14-B13)*C14)+(B13-B12)*C13)+(B12*C12)),IF(AND(C8&gt;A16,C8&lt;=B16),(((C8-B15)*C16)+(((B15-B14)*C15)+(B14-B13)*C14)+(B13-B12)*C13)+(B12*C12))))))))</f>
        <v>9750</v>
      </c>
      <c r="E23" s="2"/>
    </row>
    <row r="24" spans="1:5" ht="17.5" customHeight="1" x14ac:dyDescent="0.2">
      <c r="A24" s="29" t="s">
        <v>7</v>
      </c>
      <c r="B24" s="30"/>
      <c r="C24" s="30"/>
      <c r="D24" s="18">
        <f>A8+D23</f>
        <v>12250</v>
      </c>
    </row>
  </sheetData>
  <mergeCells count="12">
    <mergeCell ref="A22:C22"/>
    <mergeCell ref="A23:C23"/>
    <mergeCell ref="A24:C24"/>
    <mergeCell ref="A21:D21"/>
    <mergeCell ref="A10:D10"/>
    <mergeCell ref="A19:C19"/>
    <mergeCell ref="A3:D3"/>
    <mergeCell ref="A7:B7"/>
    <mergeCell ref="A8:B8"/>
    <mergeCell ref="C7:D7"/>
    <mergeCell ref="C8:D8"/>
    <mergeCell ref="A6:D6"/>
  </mergeCells>
  <printOptions horizontalCentered="1"/>
  <pageMargins left="0" right="0" top="0.5" bottom="0" header="0.3" footer="0.3"/>
  <pageSetup scale="13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2022-07-26T21:33:36Z</cp:lastPrinted>
  <dcterms:created xsi:type="dcterms:W3CDTF">2022-07-13T21:17:20Z</dcterms:created>
  <dcterms:modified xsi:type="dcterms:W3CDTF">2022-08-22T10:01:36Z</dcterms:modified>
</cp:coreProperties>
</file>