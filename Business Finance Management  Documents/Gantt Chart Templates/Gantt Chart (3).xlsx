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xl/ctrlProps/ctrlProp1.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bookViews>
    <workbookView xWindow="120" yWindow="90" windowWidth="13275" windowHeight="11250"/>
  </bookViews>
  <sheets>
    <sheet name="GanttChart" sheetId="9" r:id="rId1"/>
    <sheet name="GanttChartPro" sheetId="12" r:id="rId2"/>
    <sheet name="Help" sheetId="6" r:id="rId3"/>
    <sheet name="TermsOfUse" sheetId="11" r:id="rId4"/>
  </sheets>
  <definedNames>
    <definedName name="prevWBS" localSheetId="0">GanttChart!$A1048576</definedName>
    <definedName name="_xlnm.Print_Area" localSheetId="0">GanttChart!$A$1:$BN$34</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25725"/>
</workbook>
</file>

<file path=xl/calcChain.xml><?xml version="1.0" encoding="utf-8"?>
<calcChain xmlns="http://schemas.openxmlformats.org/spreadsheetml/2006/main">
  <c r="E30" i="9"/>
  <c r="E14"/>
  <c r="E31"/>
  <c r="E33"/>
  <c r="E34"/>
  <c r="E10"/>
  <c r="H10" s="1"/>
  <c r="A10"/>
  <c r="A11" s="1"/>
  <c r="E11"/>
  <c r="H11" s="1"/>
  <c r="E32" l="1"/>
  <c r="E23"/>
  <c r="H23" s="1"/>
  <c r="E28"/>
  <c r="H28" s="1"/>
  <c r="E25"/>
  <c r="H25" s="1"/>
  <c r="E27"/>
  <c r="H27" s="1"/>
  <c r="E26"/>
  <c r="H26" s="1"/>
  <c r="E29"/>
  <c r="H29" s="1"/>
  <c r="H30"/>
  <c r="E22"/>
  <c r="H22" s="1"/>
  <c r="E24"/>
  <c r="H24" s="1"/>
  <c r="E18"/>
  <c r="H18" s="1"/>
  <c r="E16"/>
  <c r="H16" s="1"/>
  <c r="E17"/>
  <c r="H17" s="1"/>
  <c r="E15"/>
  <c r="H15" s="1"/>
  <c r="E19"/>
  <c r="H19" s="1"/>
  <c r="E13"/>
  <c r="E12"/>
  <c r="E9"/>
  <c r="H9" s="1"/>
  <c r="A8" l="1"/>
  <c r="E8"/>
  <c r="H8" s="1"/>
  <c r="E21"/>
  <c r="H21" s="1"/>
  <c r="E20"/>
  <c r="H20" s="1"/>
  <c r="A12" l="1"/>
  <c r="A13" l="1"/>
  <c r="A14" l="1"/>
  <c r="K6" l="1"/>
  <c r="K7" l="1"/>
  <c r="K4"/>
  <c r="L6" l="1"/>
  <c r="M6" l="1"/>
  <c r="N6" l="1"/>
  <c r="O6" l="1"/>
  <c r="K5"/>
  <c r="P6" l="1"/>
  <c r="L7"/>
  <c r="Q6" l="1"/>
  <c r="M7"/>
  <c r="R6" l="1"/>
  <c r="N7"/>
  <c r="S6" l="1"/>
  <c r="O7"/>
  <c r="T6" l="1"/>
  <c r="P7"/>
  <c r="U6" l="1"/>
  <c r="Q7"/>
  <c r="V6" l="1"/>
  <c r="R7"/>
  <c r="R5"/>
  <c r="R4"/>
  <c r="W6" l="1"/>
  <c r="S7"/>
  <c r="X6" l="1"/>
  <c r="T7"/>
  <c r="Y6" l="1"/>
  <c r="U7"/>
  <c r="Z6" l="1"/>
  <c r="V7"/>
  <c r="AA6" l="1"/>
  <c r="X7"/>
  <c r="W7"/>
  <c r="AB6" l="1"/>
  <c r="Y5"/>
  <c r="Y4"/>
  <c r="Y7"/>
  <c r="AC6" l="1"/>
  <c r="Z7"/>
  <c r="AD6" l="1"/>
  <c r="AA7"/>
  <c r="AE6" l="1"/>
  <c r="AB7"/>
  <c r="AF6" l="1"/>
  <c r="AC7"/>
  <c r="AG6" l="1"/>
  <c r="AD7"/>
  <c r="AH6" l="1"/>
  <c r="AE7"/>
  <c r="AI6" l="1"/>
  <c r="AF4"/>
  <c r="AF7"/>
  <c r="AF5"/>
  <c r="AJ6" l="1"/>
  <c r="AG7"/>
  <c r="AK6" l="1"/>
  <c r="AH7"/>
  <c r="AL6" l="1"/>
  <c r="AI7"/>
  <c r="AM6" l="1"/>
  <c r="AJ7"/>
  <c r="AN6" l="1"/>
  <c r="AK7"/>
  <c r="AO6" l="1"/>
  <c r="AL7"/>
  <c r="AP6" l="1"/>
  <c r="AM7"/>
  <c r="AM5"/>
  <c r="AM4"/>
  <c r="AQ6" l="1"/>
  <c r="AN7"/>
  <c r="AR6" l="1"/>
  <c r="AO7"/>
  <c r="AS6" l="1"/>
  <c r="AP7"/>
  <c r="AT6" l="1"/>
  <c r="AQ7"/>
  <c r="AU6" l="1"/>
  <c r="AR7"/>
  <c r="AV6" l="1"/>
  <c r="AS7"/>
  <c r="AW6" l="1"/>
  <c r="AT7"/>
  <c r="AT5"/>
  <c r="AT4"/>
  <c r="AX6" l="1"/>
  <c r="AU7"/>
  <c r="AY6" l="1"/>
  <c r="AV7"/>
  <c r="AZ6" l="1"/>
  <c r="AW7"/>
  <c r="BA6" l="1"/>
  <c r="AX7"/>
  <c r="BB6" l="1"/>
  <c r="AY7"/>
  <c r="BC6" l="1"/>
  <c r="AZ7"/>
  <c r="BD6" l="1"/>
  <c r="BA5"/>
  <c r="BA4"/>
  <c r="BA7"/>
  <c r="BE6" l="1"/>
  <c r="BB7"/>
  <c r="BF6" l="1"/>
  <c r="BC7"/>
  <c r="BG6" l="1"/>
  <c r="BD7"/>
  <c r="BH6" l="1"/>
  <c r="BE7"/>
  <c r="BI6" l="1"/>
  <c r="BF7"/>
  <c r="BJ6" l="1"/>
  <c r="BG7"/>
  <c r="BK6" l="1"/>
  <c r="BH4"/>
  <c r="BH7"/>
  <c r="BH5"/>
  <c r="BL6" l="1"/>
  <c r="BI7"/>
  <c r="BM6" l="1"/>
  <c r="BJ7"/>
  <c r="BN6" l="1"/>
  <c r="BO6" s="1"/>
  <c r="BK7"/>
  <c r="BP6" l="1"/>
  <c r="BO4"/>
  <c r="BO5"/>
  <c r="BO7"/>
  <c r="BL7"/>
  <c r="BP7" l="1"/>
  <c r="BQ6"/>
  <c r="BM7"/>
  <c r="BQ7" l="1"/>
  <c r="BR6"/>
  <c r="BN7"/>
  <c r="BS6" l="1"/>
  <c r="BR7"/>
  <c r="A15"/>
  <c r="A16" s="1"/>
  <c r="BT6" l="1"/>
  <c r="BS7"/>
  <c r="A17"/>
  <c r="BU6" l="1"/>
  <c r="BT7"/>
  <c r="A18"/>
  <c r="A19" s="1"/>
  <c r="A20" s="1"/>
  <c r="A21" s="1"/>
  <c r="A22" s="1"/>
  <c r="BU7" l="1"/>
  <c r="BV6"/>
  <c r="A23"/>
  <c r="BW6" l="1"/>
  <c r="BV5"/>
  <c r="BV4"/>
  <c r="BV7"/>
  <c r="A24"/>
  <c r="A25" s="1"/>
  <c r="A26" s="1"/>
  <c r="A27" s="1"/>
  <c r="BX6" l="1"/>
  <c r="BW7"/>
  <c r="A28"/>
  <c r="A29" s="1"/>
  <c r="A30" s="1"/>
  <c r="BX7" l="1"/>
  <c r="BY6"/>
  <c r="A31"/>
  <c r="A32" s="1"/>
  <c r="BY7" l="1"/>
  <c r="BZ6"/>
  <c r="A33"/>
  <c r="A34" s="1"/>
  <c r="BZ7" l="1"/>
  <c r="CA6"/>
  <c r="CA7" l="1"/>
  <c r="CB6"/>
  <c r="CB7" l="1"/>
  <c r="CC6"/>
  <c r="CD6" l="1"/>
  <c r="CC4"/>
  <c r="CC7"/>
  <c r="CC5"/>
  <c r="CD7" l="1"/>
  <c r="CE6"/>
  <c r="CE7" l="1"/>
  <c r="CF6"/>
  <c r="CF7" l="1"/>
  <c r="CG6"/>
  <c r="CH6" l="1"/>
  <c r="CG7"/>
  <c r="CH7" l="1"/>
  <c r="CI6"/>
  <c r="CI7" l="1"/>
  <c r="CJ6"/>
  <c r="CK6" l="1"/>
  <c r="CJ5"/>
  <c r="CJ7"/>
  <c r="CJ4"/>
  <c r="CK7" l="1"/>
  <c r="CL6"/>
  <c r="CL7" l="1"/>
  <c r="CM6"/>
  <c r="CN6" l="1"/>
  <c r="CM7"/>
  <c r="CO6" l="1"/>
  <c r="CN7"/>
  <c r="CO7" l="1"/>
  <c r="CP6"/>
  <c r="CP7" l="1"/>
  <c r="CQ6"/>
  <c r="CQ5" s="1"/>
  <c r="CQ7" l="1"/>
  <c r="CR6"/>
  <c r="CQ4"/>
  <c r="CR7" l="1"/>
  <c r="CS6"/>
  <c r="CS7" l="1"/>
  <c r="CT6"/>
  <c r="CT7" l="1"/>
  <c r="CU6"/>
  <c r="CV6" l="1"/>
  <c r="CU7"/>
  <c r="CW6" l="1"/>
  <c r="CW7" s="1"/>
  <c r="CV7"/>
</calcChain>
</file>

<file path=xl/comments1.xml><?xml version="1.0" encoding="utf-8"?>
<comments xmlns="http://schemas.openxmlformats.org/spreadsheetml/2006/main">
  <authors>
    <author>Vertex42</author>
    <author>Vertex42.com Templates</author>
  </authors>
  <commentList>
    <comment ref="A7" authorId="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color indexed="81"/>
            <rFont val="Tahoma"/>
            <family val="2"/>
          </rPr>
          <t>Task Description</t>
        </r>
        <r>
          <rPr>
            <sz val="9"/>
            <color indexed="81"/>
            <rFont val="Tahoma"/>
            <family val="2"/>
          </rPr>
          <t xml:space="preserve">
Enter the name of each task and sub-task. Use indents for sub-tasks.</t>
        </r>
      </text>
    </comment>
    <comment ref="C7" authorId="0">
      <text>
        <r>
          <rPr>
            <b/>
            <sz val="9"/>
            <color indexed="81"/>
            <rFont val="Tahoma"/>
            <family val="2"/>
          </rPr>
          <t>Task Lead</t>
        </r>
        <r>
          <rPr>
            <sz val="9"/>
            <color indexed="81"/>
            <rFont val="Tahoma"/>
            <family val="2"/>
          </rPr>
          <t xml:space="preserve">
Enter the name of the Task Lead in this column.</t>
        </r>
      </text>
    </comment>
    <comment ref="D7" authorId="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E7" authorId="1">
      <text>
        <r>
          <rPr>
            <b/>
            <sz val="9"/>
            <color indexed="81"/>
            <rFont val="Tahoma"/>
            <family val="2"/>
          </rPr>
          <t>End Date:</t>
        </r>
        <r>
          <rPr>
            <sz val="9"/>
            <color indexed="81"/>
            <rFont val="Tahoma"/>
            <family val="2"/>
          </rPr>
          <t xml:space="preserve">
The End Date is calculated based on the Start Date and the Calendar Days columns.</t>
        </r>
      </text>
    </comment>
    <comment ref="F7" authorId="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G7" authorId="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H7" authorId="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authors>
    <author>Vertex42</author>
  </authors>
  <commentList>
    <comment ref="C16" authorId="0">
      <text>
        <r>
          <rPr>
            <sz val="8"/>
            <color indexed="81"/>
            <rFont val="Tahoma"/>
            <family val="2"/>
          </rPr>
          <t>This is an example comment.</t>
        </r>
      </text>
    </comment>
  </commentList>
</comments>
</file>

<file path=xl/sharedStrings.xml><?xml version="1.0" encoding="utf-8"?>
<sst xmlns="http://schemas.openxmlformats.org/spreadsheetml/2006/main" count="192" uniqueCount="178">
  <si>
    <t>WBS</t>
  </si>
  <si>
    <t>Input Cell</t>
  </si>
  <si>
    <t>Label</t>
  </si>
  <si>
    <t>Getting Started Tips</t>
  </si>
  <si>
    <t>FAQs</t>
  </si>
  <si>
    <t>Q:</t>
  </si>
  <si>
    <t>Creating Task Dependencies</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</si>
  <si>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</si>
  <si>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</si>
  <si>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</si>
  <si>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</si>
  <si>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</si>
  <si>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</si>
  <si>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</si>
  <si>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</si>
  <si>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</si>
  <si>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</si>
  <si>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</si>
  <si>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</si>
  <si>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</si>
  <si>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Gantt Chart Template Pro</t>
  </si>
  <si>
    <t>Learn More About Gantt Chart Template Pro</t>
  </si>
  <si>
    <t>Benefits and Features of Gantt Chart Template Pro</t>
  </si>
  <si>
    <t xml:space="preserve"> - Start date and End date</t>
  </si>
  <si>
    <t xml:space="preserve"> - Start date and Work days</t>
  </si>
  <si>
    <t xml:space="preserve"> - Start date and Calendar days</t>
  </si>
  <si>
    <t>Easily Create Task Dependencies</t>
  </si>
  <si>
    <t>Exclude Holidays from Work Days</t>
  </si>
  <si>
    <r>
      <t>Gantt Chart Template Pro</t>
    </r>
    <r>
      <rPr>
        <sz val="10"/>
        <rFont val="Arial"/>
        <family val="2"/>
      </rPr>
      <t xml:space="preserve"> is similar to this free version, but</t>
    </r>
  </si>
  <si>
    <t>it is more feature-packed. It also comes with other bonus content.</t>
  </si>
  <si>
    <t>Use Work Days as an Input</t>
  </si>
  <si>
    <t>Customize Your Work Week</t>
  </si>
  <si>
    <t>functions that allow you define the work week as something other than Monday-Friday.</t>
  </si>
  <si>
    <t>Simple Color-Coding</t>
  </si>
  <si>
    <t>By default, the Pro version is set up to have you enter Work Days instead of Calendar Days.</t>
  </si>
  <si>
    <t>The expanded set of template rows provides more options for defining the Start date, End date,</t>
  </si>
  <si>
    <t>and Duration of tasks. Define a task based on …</t>
  </si>
  <si>
    <t>List holidays and other specific non-working days that you want to exclude from work days.</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</si>
  <si>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</si>
  <si>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</si>
  <si>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</si>
  <si>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</si>
  <si>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</si>
  <si>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Gantt Chart Template Pro for Excel Online</t>
  </si>
  <si>
    <t>Pro version for Excel Online.</t>
  </si>
  <si>
    <t>The following link is a blog post that talks specifically about the</t>
  </si>
  <si>
    <t>https://www.vertex42.com/ExcelTemplates/excel-gantt-chart.html</t>
  </si>
  <si>
    <t>https://www.vertex42.com/licensing/EULA_privateuse.html</t>
  </si>
  <si>
    <t>Learn About Gantt Chart Template Pro</t>
  </si>
  <si>
    <t>Terms of Use</t>
  </si>
  <si>
    <t>Gantt Chart Template, by Vertex42.com</t>
  </si>
  <si>
    <t>© 2006-2018 Vertex42 LLC</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</si>
  <si>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</si>
  <si>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</si>
  <si>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</si>
  <si>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</si>
  <si>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</si>
  <si>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</si>
  <si>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Watch Demo Videos of the Pro Version on Vertex42.com</t>
  </si>
  <si>
    <t>Please read the license agreement in the TermsOfUse worksheet to learn how you may or may not use and share this spreadsheet.</t>
  </si>
  <si>
    <t>TASK</t>
  </si>
  <si>
    <t>LEAD</t>
  </si>
  <si>
    <t>START</t>
  </si>
  <si>
    <t>END</t>
  </si>
  <si>
    <t>DAYS</t>
  </si>
  <si>
    <t>% DONE</t>
  </si>
  <si>
    <t>WORK DAYS</t>
  </si>
  <si>
    <t xml:space="preserve">Display Week </t>
  </si>
  <si>
    <t xml:space="preserve">Project Start Date </t>
  </si>
  <si>
    <t xml:space="preserve">Project Lead </t>
  </si>
  <si>
    <r>
      <rPr>
        <i/>
        <u/>
        <sz val="8"/>
        <color theme="1" tint="0.34998626667073579"/>
        <rFont val="Arial"/>
        <family val="2"/>
      </rPr>
      <t>Gantt Chart Template</t>
    </r>
    <r>
      <rPr>
        <i/>
        <sz val="8"/>
        <color theme="1" tint="0.34998626667073579"/>
        <rFont val="Arial"/>
        <family val="2"/>
      </rPr>
      <t xml:space="preserve"> © 2006-2018 by Vertex42.com.</t>
    </r>
  </si>
  <si>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</si>
  <si>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Some of the labels include cell comments to provide extra information.</t>
  </si>
  <si>
    <t>• Define the task start date and duration (days) by editing the light green cells.</t>
  </si>
  <si>
    <t>• [Bracketed Text] is meant to be edited, like the project title and task descriptions.</t>
  </si>
  <si>
    <t>• If you see "#####" in a cell, widen the column to display the cell contents.</t>
  </si>
  <si>
    <t>• To adjust the range of dates shown in the Gantt chart, change the Display Week number.</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</si>
  <si>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</si>
  <si>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</si>
  <si>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t>• Insert a new blank row by right-clicking on the row number and selecting Insert.</t>
  </si>
  <si>
    <t>• Copy a row from the set of template rows at the bottom of the worksheet.</t>
  </si>
  <si>
    <t>• With the new blank row selected, press Ctrl+d to copy the formulas and formatting down from the row above OR use the row drag handle to copy the formulas and formatting down.</t>
  </si>
  <si>
    <t>About This Template</t>
  </si>
  <si>
    <t>Be sure to read the Getting Started Tips below. Watching the video demos for Gantt Chart Template Pro may also help you see how to use the spreadsheet.</t>
  </si>
  <si>
    <t>• The Project Start Date is used to define the first week shown in the gantt chart.</t>
  </si>
  <si>
    <t>• Insert new tasks using one of the methods listed below.</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</si>
  <si>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</si>
  <si>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2</t>
  </si>
  <si>
    <t>• Right-click on the row where you want to insert the new task and select Insert Copied Cells.</t>
  </si>
  <si>
    <t>Help improve Excel by voting on a suggestion to fix this problem.</t>
  </si>
  <si>
    <t>METHOD 1 (recommended)</t>
  </si>
  <si>
    <t>You can either copy/paste/insert these template rows via Method 2 as explained above, OR you can just copy/paste the desired WBS cell when you want to change the WBS level.</t>
  </si>
  <si>
    <t>The set of template rows at the bottom of the Gantt Chart worksheet provide examples of different ways to format and define tasks for different WBS levels.</t>
  </si>
  <si>
    <t>Each different WBS level uses a different formula in the WBS column.</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</si>
  <si>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</si>
  <si>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</si>
  <si>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</si>
  <si>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</si>
  <si>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</si>
  <si>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</si>
  <si>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</si>
  <si>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</si>
  <si>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</si>
  <si>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</si>
  <si>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</si>
  <si>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</si>
  <si>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The %Complete for a group of tasks can be calculated from its sub tasks using the formula below, where "workdays" is a reference to the range of work day values and "complete" is a reference to the %complete for each of the subtasks.</t>
  </si>
  <si>
    <t>Entering work days instead of calendar days is a feature of the Pro version. There is nothing in the free version preventing you from entering your own formulas, though.</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</si>
  <si>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</si>
  <si>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</si>
  <si>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1"/>
        <color theme="4" tint="-0.249977111117893"/>
        <rFont val="Arial"/>
        <family val="2"/>
      </rPr>
      <t>Print Settings</t>
    </r>
    <r>
      <rPr>
        <sz val="11"/>
        <color theme="4" tint="-0.249977111117893"/>
        <rFont val="Arial"/>
        <family val="2"/>
      </rPr>
      <t>? (Excel 2010, 2013)</t>
    </r>
  </si>
  <si>
    <t>You will need to add columns to the right of the Gantt Chart via copy/paste. Copy and paste the columns in groups of 7. Afterwards, you will also probably need to update the print area.</t>
  </si>
  <si>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</si>
  <si>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</si>
  <si>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</si>
  <si>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t>Help</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</si>
  <si>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</si>
  <si>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</si>
  <si>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</si>
  <si>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r>
      <t xml:space="preserve">I've </t>
    </r>
    <r>
      <rPr>
        <b/>
        <sz val="11"/>
        <color theme="4" tint="-0.249977111117893"/>
        <rFont val="Arial"/>
        <family val="2"/>
      </rPr>
      <t>messed up</t>
    </r>
    <r>
      <rPr>
        <sz val="11"/>
        <color theme="4" tint="-0.249977111117893"/>
        <rFont val="Arial"/>
        <family val="2"/>
      </rPr>
      <t xml:space="preserve"> the chart area somehow. How do I fix it?</t>
    </r>
  </si>
  <si>
    <t>Though you can still use your own formulas for creating task dependencies, the Pro version</t>
  </si>
  <si>
    <t>includes template rows that calculate the Start date based on the WBS number that you enter</t>
  </si>
  <si>
    <t>in the Predecessor column.</t>
  </si>
  <si>
    <t>The versions designed for Excel 2010+ use the WORKDAY.INTL() and NETWORKDAYS.INTL()</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</si>
  <si>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</si>
  <si>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t>Method 2 will work, but Excel will split/fracture/duplicate conditional formatting rules rather than merging the rules. This can cause inefficiencies in very large and heavily modified files.</t>
  </si>
  <si>
    <t>You can enter the Start date manually, or define task dependencies using a formula. Below are some common options for defining the Start date:</t>
  </si>
  <si>
    <t>Select the entire range of cells you want to print and go to File &gt; Print Area &gt; Set Print Area. Then go to File &gt; Page Setup or File &gt; Print Preview and adjust the Scaling, Margins, and Page Orientation as desired.</t>
  </si>
  <si>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</si>
  <si>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t>Requirements Analysis</t>
  </si>
  <si>
    <t>Project Community Owner</t>
  </si>
  <si>
    <t>Team Building</t>
  </si>
  <si>
    <t>Project Develop Owner</t>
  </si>
  <si>
    <t>Low Level Design review</t>
  </si>
  <si>
    <t>Risk</t>
  </si>
  <si>
    <t xml:space="preserve"> E2E Test design and demo strategy review</t>
  </si>
  <si>
    <t>Integration test plan</t>
  </si>
  <si>
    <t>Integration Test case output</t>
  </si>
  <si>
    <t>Internal Demo Show Round2</t>
  </si>
  <si>
    <t>Testing</t>
    <phoneticPr fontId="3" type="noConversion"/>
  </si>
  <si>
    <t>CCMC/VDF/HUAWEI/Intel</t>
    <phoneticPr fontId="3" type="noConversion"/>
  </si>
  <si>
    <t>CMCC-VDF-HW-Intel</t>
    <phoneticPr fontId="3" type="noConversion"/>
  </si>
  <si>
    <t>[OVP] Project Schedule</t>
    <phoneticPr fontId="3" type="noConversion"/>
  </si>
  <si>
    <t>Develop Environment(local env, local test env)</t>
    <phoneticPr fontId="3" type="noConversion"/>
  </si>
  <si>
    <t>Detailed lab topology</t>
    <phoneticPr fontId="3" type="noConversion"/>
  </si>
  <si>
    <t>Detailed lab topology review</t>
    <phoneticPr fontId="3" type="noConversion"/>
  </si>
  <si>
    <t xml:space="preserve">Lab Hardware &amp; Software ready（vim， vnfm) </t>
    <phoneticPr fontId="3" type="noConversion"/>
  </si>
  <si>
    <t>Demo Lab setup (ONAP)</t>
    <phoneticPr fontId="3" type="noConversion"/>
  </si>
  <si>
    <t>Labs Setup(should be ready at 8/1/19)</t>
    <phoneticPr fontId="3" type="noConversion"/>
  </si>
  <si>
    <t>Poject self test</t>
    <phoneticPr fontId="3" type="noConversion"/>
  </si>
  <si>
    <t>Internal Demo Show Round1</t>
    <phoneticPr fontId="3" type="noConversion"/>
  </si>
  <si>
    <t>Code pushed to the community</t>
    <phoneticPr fontId="3" type="noConversion"/>
  </si>
  <si>
    <t>Create Jira ticket in Community Jira(Epics &amp; Stories)</t>
    <phoneticPr fontId="3" type="noConversion"/>
  </si>
  <si>
    <t>Make Workloads, Acceptance criteria,Plan, Dependencies</t>
    <phoneticPr fontId="3" type="noConversion"/>
  </si>
  <si>
    <t>Coding</t>
    <phoneticPr fontId="3" type="noConversion"/>
  </si>
  <si>
    <t>Low Level Design(Out put specification for project design to review)</t>
    <phoneticPr fontId="3" type="noConversion"/>
  </si>
  <si>
    <t xml:space="preserve"> E2E Test design and demo strategy</t>
    <phoneticPr fontId="3" type="noConversion"/>
  </si>
  <si>
    <t>Internal Demo review(UI Review)</t>
    <phoneticPr fontId="3" type="noConversion"/>
  </si>
  <si>
    <t>Finalize Demo workflow and architecture</t>
    <phoneticPr fontId="3" type="noConversion"/>
  </si>
  <si>
    <t>Project Develop Owner</t>
    <phoneticPr fontId="3" type="noConversion"/>
  </si>
  <si>
    <t>Project Develop Owner</t>
    <phoneticPr fontId="3" type="noConversion"/>
  </si>
  <si>
    <t>Wei Ran</t>
    <phoneticPr fontId="3" type="noConversion"/>
  </si>
  <si>
    <t>Yan</t>
    <phoneticPr fontId="3" type="noConversion"/>
  </si>
  <si>
    <t>Yan Yang</t>
    <phoneticPr fontId="3" type="noConversion"/>
  </si>
  <si>
    <t>Code freeze</t>
    <phoneticPr fontId="3" type="noConversion"/>
  </si>
  <si>
    <t>Unit test</t>
    <phoneticPr fontId="3" type="noConversion"/>
  </si>
  <si>
    <t>Integration test</t>
    <phoneticPr fontId="3" type="noConversion"/>
  </si>
  <si>
    <t>Rabi&amp;Yan&amp;Other</t>
    <phoneticPr fontId="3" type="noConversion"/>
  </si>
  <si>
    <t>Project Develop Owner</t>
    <phoneticPr fontId="3" type="noConversion"/>
  </si>
  <si>
    <t>PTL</t>
    <phoneticPr fontId="3" type="noConversion"/>
  </si>
  <si>
    <t>Rabi</t>
    <phoneticPr fontId="3" type="noConversion"/>
  </si>
  <si>
    <t>Yan Yang</t>
    <phoneticPr fontId="3" type="noConversion"/>
  </si>
  <si>
    <t>Rabi</t>
    <phoneticPr fontId="3" type="noConversion"/>
  </si>
  <si>
    <t>Kanage</t>
    <phoneticPr fontId="3" type="noConversion"/>
  </si>
  <si>
    <t>Team member</t>
    <phoneticPr fontId="3" type="noConversion"/>
  </si>
  <si>
    <t>Team member</t>
    <phoneticPr fontId="3" type="noConversion"/>
  </si>
  <si>
    <t>guanzhi&amp;Prabhu</t>
    <phoneticPr fontId="3" type="noConversion"/>
  </si>
  <si>
    <t>guanzhi&amp;Prabhu</t>
    <phoneticPr fontId="3" type="noConversion"/>
  </si>
</sst>
</file>

<file path=xl/styles.xml><?xml version="1.0" encoding="utf-8"?>
<styleSheet xmlns="http://schemas.openxmlformats.org/spreadsheetml/2006/main">
  <numFmts count="4">
    <numFmt numFmtId="176" formatCode="m/d/yyyy\ \(dddd\)"/>
    <numFmt numFmtId="177" formatCode="ddd\ m/dd/yy"/>
    <numFmt numFmtId="178" formatCode="d"/>
    <numFmt numFmtId="179" formatCode="d\ mmm\ yyyy"/>
  </numFmts>
  <fonts count="70">
    <font>
      <sz val="10"/>
      <name val="Arial"/>
    </font>
    <font>
      <sz val="10"/>
      <name val="Arial"/>
      <family val="2"/>
    </font>
    <font>
      <u/>
      <sz val="10"/>
      <color indexed="12"/>
      <name val="Arial"/>
      <family val="2"/>
    </font>
    <font>
      <sz val="8"/>
      <name val="Arial"/>
      <family val="2"/>
    </font>
    <font>
      <b/>
      <sz val="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黑体"/>
      <family val="2"/>
      <scheme val="minor"/>
    </font>
    <font>
      <sz val="10"/>
      <name val="黑体"/>
      <family val="1"/>
      <scheme val="major"/>
    </font>
    <font>
      <sz val="11"/>
      <name val="黑体"/>
      <family val="1"/>
      <scheme val="major"/>
    </font>
    <font>
      <sz val="10"/>
      <name val="黑体"/>
      <family val="2"/>
      <scheme val="minor"/>
    </font>
    <font>
      <b/>
      <sz val="11"/>
      <name val="黑体"/>
      <family val="2"/>
      <scheme val="minor"/>
    </font>
    <font>
      <sz val="9"/>
      <color rgb="FF000000"/>
      <name val="黑体"/>
      <family val="2"/>
      <scheme val="minor"/>
    </font>
    <font>
      <sz val="11"/>
      <name val="黑体"/>
      <family val="2"/>
      <scheme val="minor"/>
    </font>
    <font>
      <sz val="14"/>
      <name val="黑体"/>
      <family val="2"/>
      <scheme val="minor"/>
    </font>
    <font>
      <sz val="14"/>
      <color rgb="FF000000"/>
      <name val="黑体"/>
      <family val="2"/>
      <scheme val="minor"/>
    </font>
    <font>
      <sz val="10"/>
      <name val="黑体"/>
      <family val="2"/>
      <scheme val="major"/>
    </font>
    <font>
      <b/>
      <sz val="9"/>
      <name val="黑体"/>
      <family val="2"/>
      <scheme val="major"/>
    </font>
    <font>
      <sz val="16"/>
      <color theme="4" tint="-0.249977111117893"/>
      <name val="黑体"/>
      <family val="1"/>
      <scheme val="major"/>
    </font>
    <font>
      <i/>
      <sz val="8"/>
      <color theme="1" tint="0.34998626667073579"/>
      <name val="Arial"/>
      <family val="2"/>
    </font>
    <font>
      <i/>
      <u/>
      <sz val="8"/>
      <color theme="1" tint="0.34998626667073579"/>
      <name val="Arial"/>
      <family val="2"/>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
      <sz val="9"/>
      <name val="宋体"/>
      <family val="3"/>
      <charset val="134"/>
    </font>
    <font>
      <sz val="10"/>
      <name val="黑体"/>
      <family val="3"/>
      <charset val="134"/>
      <scheme val="minor"/>
    </font>
    <font>
      <sz val="10"/>
      <color rgb="FF000000"/>
      <name val="黑体"/>
      <family val="3"/>
      <charset val="134"/>
      <scheme val="minor"/>
    </font>
    <font>
      <b/>
      <sz val="10"/>
      <name val="黑体"/>
      <family val="3"/>
      <charset val="134"/>
      <scheme val="minor"/>
    </font>
    <font>
      <b/>
      <sz val="10"/>
      <color rgb="FF000000"/>
      <name val="黑体"/>
      <family val="3"/>
      <charset val="134"/>
      <scheme val="minor"/>
    </font>
  </fonts>
  <fills count="29">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0" tint="-0.14996795556505021"/>
        <bgColor indexed="64"/>
      </patternFill>
    </fill>
    <fill>
      <patternFill patternType="solid">
        <fgColor theme="0" tint="-0.14996795556505021"/>
        <bgColor rgb="FFFFFFFF"/>
      </patternFill>
    </fill>
    <fill>
      <patternFill patternType="solid">
        <fgColor theme="0" tint="-0.14996795556505021"/>
        <bgColor rgb="FFD6F4D9"/>
      </patternFill>
    </fill>
    <fill>
      <patternFill patternType="solid">
        <fgColor rgb="FFFF9900"/>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11" fillId="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2"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0"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3" fillId="16" borderId="0" applyNumberFormat="0" applyBorder="0" applyAlignment="0" applyProtection="0"/>
    <xf numFmtId="0" fontId="14" fillId="17" borderId="1" applyNumberFormat="0" applyAlignment="0" applyProtection="0"/>
    <xf numFmtId="0" fontId="15" fillId="18" borderId="2" applyNumberFormat="0" applyAlignment="0" applyProtection="0"/>
    <xf numFmtId="0" fontId="16" fillId="0" borderId="0" applyNumberFormat="0" applyFill="0" applyBorder="0" applyAlignment="0" applyProtection="0"/>
    <xf numFmtId="0" fontId="17" fillId="19"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 fillId="0" borderId="0" applyNumberFormat="0" applyFill="0" applyBorder="0" applyAlignment="0" applyProtection="0">
      <alignment vertical="top"/>
      <protection locked="0"/>
    </xf>
    <xf numFmtId="0" fontId="21" fillId="11" borderId="1" applyNumberFormat="0" applyAlignment="0" applyProtection="0"/>
    <xf numFmtId="0" fontId="22" fillId="0" borderId="6" applyNumberFormat="0" applyFill="0" applyAlignment="0" applyProtection="0"/>
    <xf numFmtId="0" fontId="23" fillId="5" borderId="0" applyNumberFormat="0" applyBorder="0" applyAlignment="0" applyProtection="0"/>
    <xf numFmtId="0" fontId="5" fillId="5" borderId="7" applyNumberFormat="0" applyFont="0" applyAlignment="0" applyProtection="0"/>
    <xf numFmtId="0" fontId="24" fillId="17" borderId="8" applyNumberFormat="0" applyAlignment="0" applyProtection="0"/>
    <xf numFmtId="9" fontId="1" fillId="0" borderId="0" applyFont="0" applyFill="0" applyBorder="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166">
    <xf numFmtId="0" fontId="0" fillId="0" borderId="0" xfId="0"/>
    <xf numFmtId="0" fontId="0" fillId="0" borderId="0" xfId="0" applyProtection="1"/>
    <xf numFmtId="0" fontId="0" fillId="20" borderId="0" xfId="0" applyFill="1" applyBorder="1"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1" fillId="0" borderId="0" xfId="0" applyFont="1"/>
    <xf numFmtId="0" fontId="1" fillId="0" borderId="0" xfId="0" applyFont="1" applyAlignment="1"/>
    <xf numFmtId="0" fontId="3" fillId="0" borderId="0" xfId="0" applyFont="1" applyBorder="1" applyAlignment="1">
      <alignment horizontal="right"/>
    </xf>
    <xf numFmtId="0" fontId="6" fillId="0" borderId="0" xfId="0" applyFont="1" applyFill="1" applyBorder="1" applyAlignment="1"/>
    <xf numFmtId="0" fontId="1" fillId="0" borderId="0" xfId="0" applyFont="1" applyFill="1" applyBorder="1" applyAlignment="1"/>
    <xf numFmtId="0" fontId="1" fillId="0" borderId="0" xfId="0" applyFont="1" applyAlignment="1">
      <alignment horizontal="left" wrapText="1" indent="1"/>
    </xf>
    <xf numFmtId="0" fontId="1" fillId="0" borderId="0" xfId="0" applyFont="1" applyFill="1" applyBorder="1" applyAlignment="1"/>
    <xf numFmtId="0" fontId="1" fillId="0" borderId="14" xfId="0" applyFont="1" applyBorder="1"/>
    <xf numFmtId="0" fontId="0" fillId="0" borderId="14" xfId="0" applyBorder="1"/>
    <xf numFmtId="0" fontId="0" fillId="0" borderId="0" xfId="0"/>
    <xf numFmtId="0" fontId="28" fillId="0" borderId="14" xfId="0" applyFont="1" applyBorder="1" applyAlignment="1">
      <alignment horizontal="left" wrapText="1"/>
    </xf>
    <xf numFmtId="0" fontId="4" fillId="0" borderId="14" xfId="0" applyFont="1" applyBorder="1" applyAlignment="1">
      <alignment horizontal="left" wrapText="1"/>
    </xf>
    <xf numFmtId="0" fontId="28" fillId="0" borderId="14" xfId="0" applyFont="1" applyBorder="1" applyAlignment="1">
      <alignment horizontal="left"/>
    </xf>
    <xf numFmtId="0" fontId="1" fillId="0" borderId="0" xfId="0" applyFont="1"/>
    <xf numFmtId="0" fontId="3" fillId="0" borderId="0" xfId="0" applyFont="1" applyAlignment="1">
      <alignment wrapText="1"/>
    </xf>
    <xf numFmtId="0" fontId="9" fillId="0" borderId="0" xfId="0" applyNumberFormat="1" applyFont="1" applyAlignment="1" applyProtection="1">
      <protection locked="0"/>
    </xf>
    <xf numFmtId="0" fontId="6" fillId="0" borderId="0" xfId="0" applyFont="1"/>
    <xf numFmtId="0" fontId="33" fillId="0" borderId="0" xfId="34" applyFont="1" applyAlignment="1" applyProtection="1"/>
    <xf numFmtId="0" fontId="34" fillId="0" borderId="0" xfId="0" applyFont="1"/>
    <xf numFmtId="0" fontId="35" fillId="0" borderId="0" xfId="0" applyFont="1"/>
    <xf numFmtId="0" fontId="32" fillId="0" borderId="0" xfId="0" applyFont="1"/>
    <xf numFmtId="0" fontId="3" fillId="0" borderId="0" xfId="0" applyFont="1" applyBorder="1" applyAlignment="1">
      <alignment horizontal="left" vertical="center"/>
    </xf>
    <xf numFmtId="0" fontId="2" fillId="0" borderId="0" xfId="34" applyAlignment="1" applyProtection="1">
      <alignment horizontal="left"/>
    </xf>
    <xf numFmtId="0" fontId="0" fillId="0" borderId="0" xfId="0" applyNumberFormat="1" applyFill="1" applyBorder="1" applyProtection="1">
      <protection locked="0"/>
    </xf>
    <xf numFmtId="0" fontId="0" fillId="0" borderId="0" xfId="0" applyProtection="1">
      <protection locked="0"/>
    </xf>
    <xf numFmtId="0" fontId="0" fillId="0" borderId="0" xfId="0" applyFill="1" applyBorder="1" applyProtection="1">
      <protection locked="0"/>
    </xf>
    <xf numFmtId="0" fontId="31" fillId="0" borderId="0" xfId="0" applyFont="1" applyAlignment="1">
      <alignment vertical="center"/>
    </xf>
    <xf numFmtId="0" fontId="28" fillId="0" borderId="15" xfId="0" applyFont="1" applyBorder="1" applyAlignment="1">
      <alignment horizontal="left" wrapText="1"/>
    </xf>
    <xf numFmtId="0" fontId="29" fillId="0" borderId="14" xfId="34" applyFont="1" applyBorder="1" applyAlignment="1" applyProtection="1">
      <alignment horizontal="left" wrapText="1"/>
    </xf>
    <xf numFmtId="0" fontId="36" fillId="0" borderId="15" xfId="34" applyFont="1" applyBorder="1" applyAlignment="1" applyProtection="1">
      <alignment wrapText="1"/>
    </xf>
    <xf numFmtId="0" fontId="32" fillId="0" borderId="0" xfId="0" applyFont="1" applyFill="1" applyBorder="1" applyAlignment="1"/>
    <xf numFmtId="0" fontId="31" fillId="0" borderId="0" xfId="0" applyFont="1" applyFill="1" applyBorder="1" applyAlignment="1">
      <alignment horizontal="left" vertical="center"/>
    </xf>
    <xf numFmtId="0" fontId="30" fillId="0" borderId="0" xfId="0" applyFont="1" applyFill="1" applyBorder="1" applyAlignment="1">
      <alignment horizontal="left" vertical="center"/>
    </xf>
    <xf numFmtId="0" fontId="1" fillId="0" borderId="0" xfId="0" applyFont="1" applyBorder="1"/>
    <xf numFmtId="0" fontId="1" fillId="0" borderId="15" xfId="0" applyFont="1" applyBorder="1"/>
    <xf numFmtId="0" fontId="0" fillId="0" borderId="15" xfId="0" applyBorder="1"/>
    <xf numFmtId="0" fontId="0" fillId="0" borderId="0" xfId="0" applyBorder="1"/>
    <xf numFmtId="0" fontId="28" fillId="0" borderId="0" xfId="0" applyFont="1" applyBorder="1" applyAlignment="1">
      <alignment horizontal="left" wrapText="1"/>
    </xf>
    <xf numFmtId="0" fontId="8" fillId="0" borderId="0" xfId="0" applyNumberFormat="1" applyFont="1" applyFill="1" applyBorder="1" applyAlignment="1" applyProtection="1">
      <alignment vertical="center"/>
      <protection locked="0"/>
    </xf>
    <xf numFmtId="0" fontId="1" fillId="0" borderId="0" xfId="0" applyFont="1" applyFill="1" applyAlignment="1" applyProtection="1"/>
    <xf numFmtId="0" fontId="42" fillId="0" borderId="0" xfId="0" applyNumberFormat="1" applyFont="1" applyFill="1" applyBorder="1" applyProtection="1"/>
    <xf numFmtId="0" fontId="42" fillId="0" borderId="0" xfId="0" applyFont="1" applyProtection="1"/>
    <xf numFmtId="0" fontId="43" fillId="0" borderId="0" xfId="0" applyNumberFormat="1" applyFont="1" applyAlignment="1" applyProtection="1">
      <alignment vertical="center"/>
      <protection locked="0"/>
    </xf>
    <xf numFmtId="0" fontId="41" fillId="22" borderId="10" xfId="0" applyFont="1" applyFill="1" applyBorder="1" applyAlignment="1" applyProtection="1">
      <alignment vertical="center"/>
    </xf>
    <xf numFmtId="1" fontId="41" fillId="22" borderId="10" xfId="0" applyNumberFormat="1" applyFont="1" applyFill="1" applyBorder="1" applyAlignment="1" applyProtection="1">
      <alignment horizontal="center" vertical="center"/>
    </xf>
    <xf numFmtId="0" fontId="41" fillId="0" borderId="10" xfId="0" applyFont="1" applyFill="1" applyBorder="1" applyAlignment="1" applyProtection="1">
      <alignment vertical="center"/>
    </xf>
    <xf numFmtId="1" fontId="46" fillId="0" borderId="12" xfId="0" applyNumberFormat="1" applyFont="1" applyBorder="1" applyAlignment="1" applyProtection="1">
      <alignment horizontal="center" vertical="center"/>
    </xf>
    <xf numFmtId="0" fontId="41" fillId="0" borderId="0" xfId="0" applyFont="1" applyFill="1" applyBorder="1" applyAlignment="1" applyProtection="1">
      <alignment vertical="center"/>
    </xf>
    <xf numFmtId="1" fontId="46" fillId="0" borderId="12" xfId="0" applyNumberFormat="1" applyFont="1" applyFill="1" applyBorder="1" applyAlignment="1" applyProtection="1">
      <alignment horizontal="center" vertical="center"/>
    </xf>
    <xf numFmtId="178" fontId="3" fillId="0" borderId="13" xfId="0" applyNumberFormat="1" applyFont="1" applyFill="1" applyBorder="1" applyAlignment="1" applyProtection="1">
      <alignment horizontal="center" vertical="center" shrinkToFit="1"/>
    </xf>
    <xf numFmtId="0" fontId="45" fillId="22" borderId="16" xfId="0" applyNumberFormat="1" applyFont="1" applyFill="1" applyBorder="1" applyAlignment="1" applyProtection="1">
      <alignment horizontal="left" vertical="center"/>
    </xf>
    <xf numFmtId="0" fontId="45" fillId="22" borderId="16" xfId="0" applyFont="1" applyFill="1" applyBorder="1" applyAlignment="1" applyProtection="1">
      <alignment vertical="center"/>
    </xf>
    <xf numFmtId="0" fontId="41" fillId="22" borderId="16" xfId="0" applyFont="1" applyFill="1" applyBorder="1" applyAlignment="1" applyProtection="1">
      <alignment vertical="center"/>
    </xf>
    <xf numFmtId="177" fontId="41" fillId="22" borderId="16" xfId="0" applyNumberFormat="1" applyFont="1" applyFill="1" applyBorder="1" applyAlignment="1" applyProtection="1">
      <alignment horizontal="right" vertical="center"/>
    </xf>
    <xf numFmtId="1" fontId="41" fillId="22" borderId="16" xfId="40" applyNumberFormat="1" applyFont="1" applyFill="1" applyBorder="1" applyAlignment="1" applyProtection="1">
      <alignment horizontal="center" vertical="center"/>
    </xf>
    <xf numFmtId="9" fontId="41" fillId="22" borderId="16" xfId="40" applyFont="1" applyFill="1" applyBorder="1" applyAlignment="1" applyProtection="1">
      <alignment horizontal="center" vertical="center"/>
    </xf>
    <xf numFmtId="1" fontId="41" fillId="22" borderId="16" xfId="0" applyNumberFormat="1" applyFont="1" applyFill="1" applyBorder="1" applyAlignment="1" applyProtection="1">
      <alignment horizontal="center" vertical="center"/>
    </xf>
    <xf numFmtId="178" fontId="3" fillId="0" borderId="18" xfId="0" applyNumberFormat="1" applyFont="1" applyFill="1" applyBorder="1" applyAlignment="1" applyProtection="1">
      <alignment horizontal="center" vertical="center" shrinkToFit="1"/>
    </xf>
    <xf numFmtId="178" fontId="3" fillId="0" borderId="19" xfId="0" applyNumberFormat="1" applyFont="1" applyFill="1" applyBorder="1" applyAlignment="1" applyProtection="1">
      <alignment horizontal="center" vertical="center" shrinkToFit="1"/>
    </xf>
    <xf numFmtId="1" fontId="48" fillId="22" borderId="16" xfId="0" applyNumberFormat="1" applyFont="1" applyFill="1" applyBorder="1" applyAlignment="1" applyProtection="1">
      <alignment horizontal="center" vertical="center"/>
    </xf>
    <xf numFmtId="1" fontId="49" fillId="0" borderId="12" xfId="0" applyNumberFormat="1" applyFont="1" applyBorder="1" applyAlignment="1" applyProtection="1">
      <alignment horizontal="center" vertical="center"/>
    </xf>
    <xf numFmtId="1" fontId="48" fillId="22" borderId="10" xfId="0" applyNumberFormat="1" applyFont="1" applyFill="1" applyBorder="1" applyAlignment="1" applyProtection="1">
      <alignment horizontal="center" vertical="center"/>
    </xf>
    <xf numFmtId="1" fontId="49" fillId="0" borderId="12" xfId="0" applyNumberFormat="1" applyFont="1" applyFill="1" applyBorder="1" applyAlignment="1" applyProtection="1">
      <alignment horizontal="center" vertical="center"/>
    </xf>
    <xf numFmtId="0" fontId="41" fillId="22" borderId="16" xfId="0" applyFont="1" applyFill="1" applyBorder="1" applyAlignment="1" applyProtection="1">
      <alignment horizontal="left" vertical="center"/>
    </xf>
    <xf numFmtId="0" fontId="41" fillId="0" borderId="10" xfId="0" applyFont="1" applyFill="1" applyBorder="1" applyAlignment="1" applyProtection="1">
      <alignment horizontal="left" vertical="center"/>
    </xf>
    <xf numFmtId="9" fontId="41" fillId="0" borderId="10" xfId="0" applyNumberFormat="1" applyFont="1" applyFill="1" applyBorder="1" applyAlignment="1" applyProtection="1">
      <alignment horizontal="left" vertical="center"/>
    </xf>
    <xf numFmtId="0" fontId="41" fillId="22" borderId="10" xfId="0" applyFont="1" applyFill="1" applyBorder="1" applyAlignment="1" applyProtection="1">
      <alignment horizontal="left" vertical="center"/>
    </xf>
    <xf numFmtId="0" fontId="50" fillId="0" borderId="0" xfId="0" applyNumberFormat="1" applyFont="1" applyFill="1" applyBorder="1" applyProtection="1"/>
    <xf numFmtId="0" fontId="50" fillId="0" borderId="0" xfId="0" applyFont="1" applyFill="1" applyBorder="1" applyProtection="1"/>
    <xf numFmtId="0" fontId="1" fillId="0" borderId="0" xfId="0" applyFont="1" applyFill="1" applyBorder="1" applyProtection="1"/>
    <xf numFmtId="0" fontId="50" fillId="0" borderId="0" xfId="0" applyFont="1" applyProtection="1"/>
    <xf numFmtId="0" fontId="50" fillId="0" borderId="0" xfId="0" applyFont="1" applyFill="1" applyAlignment="1" applyProtection="1">
      <alignment horizontal="right" vertical="center"/>
    </xf>
    <xf numFmtId="177" fontId="41" fillId="22" borderId="16" xfId="0" applyNumberFormat="1" applyFont="1" applyFill="1" applyBorder="1" applyAlignment="1" applyProtection="1">
      <alignment horizontal="center" vertical="center"/>
    </xf>
    <xf numFmtId="0" fontId="51" fillId="0" borderId="20" xfId="0" applyNumberFormat="1" applyFont="1" applyFill="1" applyBorder="1" applyAlignment="1" applyProtection="1">
      <alignment horizontal="left" vertical="center"/>
    </xf>
    <xf numFmtId="0" fontId="51" fillId="0" borderId="20" xfId="0" applyFont="1" applyFill="1" applyBorder="1" applyAlignment="1" applyProtection="1">
      <alignment horizontal="left" vertical="center"/>
    </xf>
    <xf numFmtId="0" fontId="51" fillId="0" borderId="20" xfId="0" applyFont="1" applyFill="1" applyBorder="1" applyAlignment="1" applyProtection="1">
      <alignment horizontal="center" vertical="center" wrapText="1"/>
    </xf>
    <xf numFmtId="0" fontId="51" fillId="0" borderId="20" xfId="0" applyFont="1" applyFill="1" applyBorder="1" applyAlignment="1" applyProtection="1">
      <alignment horizontal="center" vertical="center"/>
    </xf>
    <xf numFmtId="0" fontId="41" fillId="0" borderId="21" xfId="0" applyNumberFormat="1" applyFont="1" applyFill="1" applyBorder="1" applyAlignment="1" applyProtection="1">
      <alignment horizontal="center" vertical="center" shrinkToFit="1"/>
    </xf>
    <xf numFmtId="0" fontId="41" fillId="0" borderId="22" xfId="0" applyNumberFormat="1" applyFont="1" applyFill="1" applyBorder="1" applyAlignment="1" applyProtection="1">
      <alignment horizontal="center" vertical="center" shrinkToFit="1"/>
    </xf>
    <xf numFmtId="0" fontId="41" fillId="0" borderId="23" xfId="0" applyNumberFormat="1" applyFont="1" applyFill="1" applyBorder="1" applyAlignment="1" applyProtection="1">
      <alignment horizontal="center" vertical="center" shrinkToFit="1"/>
    </xf>
    <xf numFmtId="0" fontId="1" fillId="0" borderId="0" xfId="0" applyFont="1" applyFill="1" applyBorder="1" applyAlignment="1" applyProtection="1"/>
    <xf numFmtId="0" fontId="52" fillId="0" borderId="0" xfId="0" applyNumberFormat="1" applyFont="1" applyFill="1" applyBorder="1" applyAlignment="1" applyProtection="1">
      <alignment vertical="center"/>
      <protection locked="0"/>
    </xf>
    <xf numFmtId="0" fontId="44" fillId="0" borderId="24" xfId="0" applyNumberFormat="1" applyFont="1" applyFill="1" applyBorder="1" applyAlignment="1" applyProtection="1">
      <alignment horizontal="center" vertical="center"/>
      <protection locked="0"/>
    </xf>
    <xf numFmtId="0" fontId="1" fillId="0" borderId="0" xfId="0" applyFont="1" applyAlignment="1" applyProtection="1">
      <alignment horizontal="right" vertical="center"/>
    </xf>
    <xf numFmtId="0" fontId="55" fillId="0" borderId="0" xfId="0" applyFont="1" applyFill="1" applyBorder="1" applyAlignment="1"/>
    <xf numFmtId="0" fontId="1" fillId="0" borderId="0" xfId="0" applyFont="1" applyAlignment="1">
      <alignment vertical="center"/>
    </xf>
    <xf numFmtId="0" fontId="1" fillId="24" borderId="0" xfId="0" applyFont="1" applyFill="1" applyAlignment="1">
      <alignment horizontal="center" vertical="center"/>
    </xf>
    <xf numFmtId="0" fontId="1" fillId="21" borderId="0" xfId="0" applyFont="1" applyFill="1" applyBorder="1" applyAlignment="1">
      <alignment horizontal="center" vertical="center"/>
    </xf>
    <xf numFmtId="0" fontId="56" fillId="0" borderId="0" xfId="0" applyFont="1" applyAlignment="1">
      <alignment wrapText="1"/>
    </xf>
    <xf numFmtId="0" fontId="36" fillId="0" borderId="0" xfId="34" applyFont="1" applyAlignment="1" applyProtection="1"/>
    <xf numFmtId="0" fontId="56" fillId="0" borderId="0" xfId="0" applyFont="1" applyAlignment="1">
      <alignment horizontal="left" wrapText="1"/>
    </xf>
    <xf numFmtId="0" fontId="56" fillId="0" borderId="0" xfId="0" applyFont="1" applyAlignment="1">
      <alignment vertical="center" wrapText="1"/>
    </xf>
    <xf numFmtId="0" fontId="56" fillId="0" borderId="0" xfId="0" applyFont="1" applyFill="1" applyBorder="1" applyAlignment="1">
      <alignment vertical="center" wrapText="1"/>
    </xf>
    <xf numFmtId="0" fontId="57" fillId="0" borderId="0" xfId="0" applyFont="1" applyAlignment="1">
      <alignment vertical="center"/>
    </xf>
    <xf numFmtId="0" fontId="57" fillId="0" borderId="0" xfId="0" applyFont="1"/>
    <xf numFmtId="0" fontId="57" fillId="0" borderId="0" xfId="0" applyFont="1" applyAlignment="1"/>
    <xf numFmtId="0" fontId="58" fillId="0" borderId="0" xfId="0" applyFont="1" applyFill="1" applyBorder="1" applyAlignment="1">
      <alignment vertical="center" wrapText="1"/>
    </xf>
    <xf numFmtId="0" fontId="57" fillId="0" borderId="0" xfId="0" applyFont="1" applyBorder="1"/>
    <xf numFmtId="0" fontId="36" fillId="0" borderId="0" xfId="34" applyFont="1" applyFill="1" applyBorder="1" applyAlignment="1" applyProtection="1">
      <alignment vertical="center"/>
    </xf>
    <xf numFmtId="0" fontId="60" fillId="0" borderId="0" xfId="0" applyFont="1" applyAlignment="1">
      <alignment horizontal="right"/>
    </xf>
    <xf numFmtId="0" fontId="56" fillId="0" borderId="0" xfId="0" applyFont="1"/>
    <xf numFmtId="0" fontId="56" fillId="0" borderId="0" xfId="0" applyFont="1" applyAlignment="1"/>
    <xf numFmtId="0" fontId="56" fillId="0" borderId="0" xfId="0" applyFont="1" applyAlignment="1">
      <alignment horizontal="left" indent="1"/>
    </xf>
    <xf numFmtId="0" fontId="56" fillId="0" borderId="0" xfId="0" quotePrefix="1" applyFont="1" applyAlignment="1">
      <alignment horizontal="left" wrapText="1" indent="1"/>
    </xf>
    <xf numFmtId="0" fontId="35" fillId="0" borderId="0" xfId="0" quotePrefix="1" applyFont="1" applyAlignment="1">
      <alignment horizontal="left" indent="1"/>
    </xf>
    <xf numFmtId="0" fontId="60" fillId="0" borderId="0" xfId="0" applyFont="1" applyAlignment="1">
      <alignment horizontal="left" wrapText="1"/>
    </xf>
    <xf numFmtId="0" fontId="56" fillId="0" borderId="0" xfId="0" applyFont="1" applyFill="1" applyBorder="1" applyAlignment="1">
      <alignment horizontal="left" vertical="center" wrapText="1"/>
    </xf>
    <xf numFmtId="0" fontId="62" fillId="0" borderId="0" xfId="0" applyFont="1" applyAlignment="1">
      <alignment horizontal="right"/>
    </xf>
    <xf numFmtId="0" fontId="63" fillId="0" borderId="0" xfId="0" applyFont="1" applyFill="1" applyBorder="1" applyAlignment="1">
      <alignment vertical="center" wrapText="1"/>
    </xf>
    <xf numFmtId="0" fontId="56" fillId="0" borderId="0" xfId="0" quotePrefix="1" applyFont="1" applyAlignment="1">
      <alignment wrapText="1"/>
    </xf>
    <xf numFmtId="0" fontId="63" fillId="0" borderId="0" xfId="0" applyFont="1" applyAlignment="1"/>
    <xf numFmtId="0" fontId="10" fillId="0" borderId="0" xfId="0" applyFont="1" applyAlignment="1" applyProtection="1">
      <protection locked="0"/>
    </xf>
    <xf numFmtId="0" fontId="63" fillId="0" borderId="0" xfId="0" applyFont="1"/>
    <xf numFmtId="0" fontId="62" fillId="0" borderId="0" xfId="0" applyFont="1" applyFill="1" applyBorder="1" applyAlignment="1"/>
    <xf numFmtId="1" fontId="46" fillId="25" borderId="12" xfId="0" applyNumberFormat="1" applyFont="1" applyFill="1" applyBorder="1" applyAlignment="1" applyProtection="1">
      <alignment horizontal="center" vertical="center"/>
    </xf>
    <xf numFmtId="1" fontId="49" fillId="25" borderId="12" xfId="0" applyNumberFormat="1" applyFont="1" applyFill="1" applyBorder="1" applyAlignment="1" applyProtection="1">
      <alignment horizontal="center" vertical="center"/>
    </xf>
    <xf numFmtId="0" fontId="41" fillId="25" borderId="10" xfId="0" applyFont="1" applyFill="1" applyBorder="1" applyAlignment="1" applyProtection="1">
      <alignment horizontal="left" vertical="center"/>
    </xf>
    <xf numFmtId="0" fontId="41" fillId="25" borderId="0" xfId="0" applyFont="1" applyFill="1" applyBorder="1" applyAlignment="1" applyProtection="1">
      <alignment vertical="center"/>
    </xf>
    <xf numFmtId="0" fontId="0" fillId="28" borderId="0" xfId="0" applyFill="1" applyProtection="1"/>
    <xf numFmtId="0" fontId="2" fillId="28" borderId="0" xfId="34" applyFill="1" applyAlignment="1" applyProtection="1">
      <alignment horizontal="left"/>
    </xf>
    <xf numFmtId="178" fontId="3" fillId="28" borderId="13" xfId="0" applyNumberFormat="1" applyFont="1" applyFill="1" applyBorder="1" applyAlignment="1" applyProtection="1">
      <alignment horizontal="center" vertical="center" shrinkToFit="1"/>
    </xf>
    <xf numFmtId="0" fontId="41" fillId="28" borderId="22" xfId="0" applyNumberFormat="1" applyFont="1" applyFill="1" applyBorder="1" applyAlignment="1" applyProtection="1">
      <alignment horizontal="center" vertical="center" shrinkToFit="1"/>
    </xf>
    <xf numFmtId="0" fontId="41" fillId="28" borderId="16" xfId="0" applyFont="1" applyFill="1" applyBorder="1" applyAlignment="1" applyProtection="1">
      <alignment horizontal="left" vertical="center"/>
    </xf>
    <xf numFmtId="0" fontId="41" fillId="28" borderId="10" xfId="0" applyFont="1" applyFill="1" applyBorder="1" applyAlignment="1" applyProtection="1">
      <alignment horizontal="left" vertical="center"/>
    </xf>
    <xf numFmtId="0" fontId="0" fillId="28" borderId="0" xfId="0" applyFill="1" applyProtection="1">
      <protection locked="0"/>
    </xf>
    <xf numFmtId="0" fontId="23" fillId="5" borderId="10" xfId="37" applyBorder="1" applyAlignment="1" applyProtection="1">
      <alignment horizontal="left" vertical="center"/>
    </xf>
    <xf numFmtId="0" fontId="44" fillId="0" borderId="10" xfId="0" applyFont="1" applyFill="1" applyBorder="1" applyAlignment="1" applyProtection="1">
      <alignment vertical="center" wrapText="1"/>
    </xf>
    <xf numFmtId="0" fontId="44" fillId="0" borderId="10" xfId="0" applyNumberFormat="1" applyFont="1" applyFill="1" applyBorder="1" applyAlignment="1" applyProtection="1">
      <alignment horizontal="left" vertical="center"/>
    </xf>
    <xf numFmtId="0" fontId="66" fillId="0" borderId="10" xfId="0" applyFont="1" applyFill="1" applyBorder="1" applyAlignment="1" applyProtection="1">
      <alignment vertical="center"/>
    </xf>
    <xf numFmtId="177" fontId="67" fillId="23" borderId="12" xfId="0" applyNumberFormat="1" applyFont="1" applyFill="1" applyBorder="1" applyAlignment="1" applyProtection="1">
      <alignment horizontal="center" vertical="center"/>
    </xf>
    <xf numFmtId="177" fontId="67" fillId="0" borderId="12" xfId="0" applyNumberFormat="1" applyFont="1" applyBorder="1" applyAlignment="1" applyProtection="1">
      <alignment horizontal="center" vertical="center"/>
    </xf>
    <xf numFmtId="1" fontId="67" fillId="24" borderId="12" xfId="0" applyNumberFormat="1" applyFont="1" applyFill="1" applyBorder="1" applyAlignment="1" applyProtection="1">
      <alignment horizontal="center" vertical="center"/>
    </xf>
    <xf numFmtId="9" fontId="67" fillId="24" borderId="12" xfId="40" applyFont="1" applyFill="1" applyBorder="1" applyAlignment="1" applyProtection="1">
      <alignment horizontal="center" vertical="center"/>
    </xf>
    <xf numFmtId="1" fontId="67" fillId="0" borderId="12" xfId="0" applyNumberFormat="1" applyFont="1" applyBorder="1" applyAlignment="1" applyProtection="1">
      <alignment horizontal="center" vertical="center"/>
    </xf>
    <xf numFmtId="0" fontId="68" fillId="22" borderId="10" xfId="0" applyNumberFormat="1" applyFont="1" applyFill="1" applyBorder="1" applyAlignment="1" applyProtection="1">
      <alignment horizontal="left" vertical="center"/>
    </xf>
    <xf numFmtId="0" fontId="68" fillId="22" borderId="10" xfId="0" applyFont="1" applyFill="1" applyBorder="1" applyAlignment="1" applyProtection="1">
      <alignment vertical="center"/>
    </xf>
    <xf numFmtId="0" fontId="66" fillId="22" borderId="10" xfId="0" applyFont="1" applyFill="1" applyBorder="1" applyAlignment="1" applyProtection="1">
      <alignment vertical="center"/>
    </xf>
    <xf numFmtId="177" fontId="66" fillId="22" borderId="10" xfId="0" applyNumberFormat="1" applyFont="1" applyFill="1" applyBorder="1" applyAlignment="1" applyProtection="1">
      <alignment horizontal="center" vertical="center"/>
    </xf>
    <xf numFmtId="1" fontId="66" fillId="22" borderId="10" xfId="40" applyNumberFormat="1" applyFont="1" applyFill="1" applyBorder="1" applyAlignment="1" applyProtection="1">
      <alignment horizontal="center" vertical="center"/>
    </xf>
    <xf numFmtId="9" fontId="66" fillId="22" borderId="10" xfId="40" applyFont="1" applyFill="1" applyBorder="1" applyAlignment="1" applyProtection="1">
      <alignment horizontal="center" vertical="center"/>
    </xf>
    <xf numFmtId="1" fontId="66" fillId="22" borderId="10" xfId="0" applyNumberFormat="1" applyFont="1" applyFill="1" applyBorder="1" applyAlignment="1" applyProtection="1">
      <alignment horizontal="center" vertical="center"/>
    </xf>
    <xf numFmtId="0" fontId="68" fillId="25" borderId="10" xfId="0" applyNumberFormat="1" applyFont="1" applyFill="1" applyBorder="1" applyAlignment="1" applyProtection="1">
      <alignment horizontal="left" vertical="center"/>
    </xf>
    <xf numFmtId="0" fontId="69" fillId="26" borderId="11" xfId="0" applyFont="1" applyFill="1" applyBorder="1" applyAlignment="1" applyProtection="1">
      <alignment vertical="center"/>
    </xf>
    <xf numFmtId="0" fontId="67" fillId="26" borderId="11" xfId="0" applyFont="1" applyFill="1" applyBorder="1" applyAlignment="1" applyProtection="1">
      <alignment vertical="center"/>
    </xf>
    <xf numFmtId="177" fontId="67" fillId="27" borderId="12" xfId="0" applyNumberFormat="1" applyFont="1" applyFill="1" applyBorder="1" applyAlignment="1" applyProtection="1">
      <alignment horizontal="center" vertical="center"/>
    </xf>
    <xf numFmtId="177" fontId="67" fillId="25" borderId="12" xfId="0" applyNumberFormat="1" applyFont="1" applyFill="1" applyBorder="1" applyAlignment="1" applyProtection="1">
      <alignment horizontal="center" vertical="center"/>
    </xf>
    <xf numFmtId="1" fontId="67" fillId="25" borderId="12" xfId="0" applyNumberFormat="1" applyFont="1" applyFill="1" applyBorder="1" applyAlignment="1" applyProtection="1">
      <alignment horizontal="center" vertical="center"/>
    </xf>
    <xf numFmtId="9" fontId="67" fillId="25" borderId="12" xfId="40" applyFont="1" applyFill="1" applyBorder="1" applyAlignment="1" applyProtection="1">
      <alignment horizontal="center" vertical="center"/>
    </xf>
    <xf numFmtId="0" fontId="67" fillId="0" borderId="12" xfId="0" applyFont="1" applyBorder="1" applyAlignment="1" applyProtection="1">
      <alignment vertical="center"/>
    </xf>
    <xf numFmtId="1" fontId="67" fillId="0" borderId="12" xfId="0" applyNumberFormat="1" applyFont="1" applyFill="1" applyBorder="1" applyAlignment="1" applyProtection="1">
      <alignment horizontal="center" vertical="center"/>
    </xf>
    <xf numFmtId="0" fontId="47" fillId="0" borderId="18" xfId="0" applyNumberFormat="1" applyFont="1" applyFill="1" applyBorder="1" applyAlignment="1" applyProtection="1">
      <alignment horizontal="center" vertical="center"/>
    </xf>
    <xf numFmtId="0" fontId="47" fillId="0" borderId="13" xfId="0" applyNumberFormat="1" applyFont="1" applyFill="1" applyBorder="1" applyAlignment="1" applyProtection="1">
      <alignment horizontal="center" vertical="center"/>
    </xf>
    <xf numFmtId="0" fontId="47" fillId="0" borderId="19" xfId="0" applyNumberFormat="1" applyFont="1" applyFill="1" applyBorder="1" applyAlignment="1" applyProtection="1">
      <alignment horizontal="center" vertical="center"/>
    </xf>
    <xf numFmtId="179" fontId="44" fillId="0" borderId="18" xfId="0" applyNumberFormat="1" applyFont="1" applyFill="1" applyBorder="1" applyAlignment="1" applyProtection="1">
      <alignment horizontal="center" vertical="center"/>
    </xf>
    <xf numFmtId="179" fontId="44" fillId="0" borderId="13" xfId="0" applyNumberFormat="1" applyFont="1" applyFill="1" applyBorder="1" applyAlignment="1" applyProtection="1">
      <alignment horizontal="center" vertical="center"/>
    </xf>
    <xf numFmtId="179" fontId="44" fillId="0" borderId="19" xfId="0" applyNumberFormat="1" applyFont="1" applyFill="1" applyBorder="1" applyAlignment="1" applyProtection="1">
      <alignment horizontal="center" vertical="center"/>
    </xf>
    <xf numFmtId="0" fontId="53" fillId="0" borderId="0" xfId="34" applyFont="1" applyBorder="1" applyAlignment="1" applyProtection="1">
      <alignment horizontal="left" vertical="center"/>
    </xf>
    <xf numFmtId="176" fontId="44" fillId="0" borderId="17" xfId="0" applyNumberFormat="1" applyFont="1" applyFill="1" applyBorder="1" applyAlignment="1" applyProtection="1">
      <alignment horizontal="center" vertical="center" shrinkToFit="1"/>
      <protection locked="0"/>
    </xf>
    <xf numFmtId="176" fontId="44" fillId="0" borderId="24" xfId="0" applyNumberFormat="1" applyFont="1" applyFill="1" applyBorder="1" applyAlignment="1" applyProtection="1">
      <alignment horizontal="center" vertical="center" shrinkToFit="1"/>
      <protection locked="0"/>
    </xf>
    <xf numFmtId="0" fontId="55" fillId="0" borderId="0" xfId="0" applyFont="1" applyFill="1" applyBorder="1" applyAlignment="1">
      <alignment horizontal="left"/>
    </xf>
  </cellXfs>
  <cellStyles count="44">
    <cellStyle name="20% - 强调文字颜色 1" xfId="1" builtinId="30" customBuiltin="1"/>
    <cellStyle name="20% - 强调文字颜色 2" xfId="2" builtinId="34" customBuiltin="1"/>
    <cellStyle name="20% - 强调文字颜色 3" xfId="3" builtinId="38" customBuiltin="1"/>
    <cellStyle name="20% - 强调文字颜色 4" xfId="4" builtinId="42" customBuiltin="1"/>
    <cellStyle name="20% - 强调文字颜色 5" xfId="5" builtinId="46" customBuiltin="1"/>
    <cellStyle name="20% - 强调文字颜色 6" xfId="6" builtinId="50" customBuiltin="1"/>
    <cellStyle name="40% - 强调文字颜色 1" xfId="7" builtinId="31" customBuiltin="1"/>
    <cellStyle name="40% - 强调文字颜色 2" xfId="8" builtinId="35" customBuiltin="1"/>
    <cellStyle name="40% - 强调文字颜色 3" xfId="9" builtinId="39" customBuiltin="1"/>
    <cellStyle name="40% - 强调文字颜色 4" xfId="10" builtinId="43" customBuiltin="1"/>
    <cellStyle name="40% - 强调文字颜色 5" xfId="11" builtinId="47" customBuiltin="1"/>
    <cellStyle name="40% - 强调文字颜色 6" xfId="12" builtinId="51" customBuiltin="1"/>
    <cellStyle name="60% - 强调文字颜色 1" xfId="13" builtinId="32" customBuiltin="1"/>
    <cellStyle name="60% - 强调文字颜色 2" xfId="14" builtinId="36" customBuiltin="1"/>
    <cellStyle name="60% - 强调文字颜色 3" xfId="15" builtinId="40" customBuiltin="1"/>
    <cellStyle name="60% - 强调文字颜色 4" xfId="16" builtinId="44" customBuiltin="1"/>
    <cellStyle name="60% - 强调文字颜色 5" xfId="17" builtinId="48" customBuiltin="1"/>
    <cellStyle name="60% - 强调文字颜色 6" xfId="18" builtinId="52" customBuiltin="1"/>
    <cellStyle name="百分比" xfId="40" builtinId="5"/>
    <cellStyle name="标题" xfId="41" builtinId="15" customBuiltin="1"/>
    <cellStyle name="标题 1" xfId="30" builtinId="16" customBuiltin="1"/>
    <cellStyle name="标题 2" xfId="31" builtinId="17" customBuiltin="1"/>
    <cellStyle name="标题 3" xfId="32" builtinId="18" customBuiltin="1"/>
    <cellStyle name="标题 4" xfId="33" builtinId="19" customBuiltin="1"/>
    <cellStyle name="差" xfId="25" builtinId="27" customBuiltin="1"/>
    <cellStyle name="常规" xfId="0" builtinId="0"/>
    <cellStyle name="超链接" xfId="34" builtinId="8"/>
    <cellStyle name="好" xfId="29" builtinId="26" customBuiltin="1"/>
    <cellStyle name="汇总" xfId="42" builtinId="25" customBuiltin="1"/>
    <cellStyle name="计算" xfId="26" builtinId="22" customBuiltin="1"/>
    <cellStyle name="检查单元格" xfId="27" builtinId="23" customBuiltin="1"/>
    <cellStyle name="解释性文本" xfId="28" builtinId="53" customBuiltin="1"/>
    <cellStyle name="警告文本" xfId="43" builtinId="11" customBuiltin="1"/>
    <cellStyle name="链接单元格" xfId="36" builtinId="24" customBuiltin="1"/>
    <cellStyle name="强调文字颜色 1" xfId="19" builtinId="29" customBuiltin="1"/>
    <cellStyle name="强调文字颜色 2" xfId="20" builtinId="33" customBuiltin="1"/>
    <cellStyle name="强调文字颜色 3" xfId="21" builtinId="37" customBuiltin="1"/>
    <cellStyle name="强调文字颜色 4" xfId="22" builtinId="41" customBuiltin="1"/>
    <cellStyle name="强调文字颜色 5" xfId="23" builtinId="45" customBuiltin="1"/>
    <cellStyle name="强调文字颜色 6" xfId="24" builtinId="49" customBuiltin="1"/>
    <cellStyle name="适中" xfId="37" builtinId="28" customBuiltin="1"/>
    <cellStyle name="输出" xfId="39" builtinId="21" customBuiltin="1"/>
    <cellStyle name="输入" xfId="35" builtinId="20" customBuiltin="1"/>
    <cellStyle name="注释" xfId="38" builtinId="10" customBuiltin="1"/>
  </cellStyles>
  <dxfs count="134">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1352550</xdr:colOff>
      <xdr:row>5</xdr:row>
      <xdr:rowOff>142875</xdr:rowOff>
    </xdr:from>
    <xdr:to>
      <xdr:col>7</xdr:col>
      <xdr:colOff>276958</xdr:colOff>
      <xdr:row>10</xdr:row>
      <xdr:rowOff>21378</xdr:rowOff>
    </xdr:to>
    <xdr:sp macro="" textlink="">
      <xdr:nvSpPr>
        <xdr:cNvPr id="8236" name="Text Box 44" hidden="1">
          <a:extLst>
            <a:ext uri="{FF2B5EF4-FFF2-40B4-BE49-F238E27FC236}">
              <a16:creationId xmlns=""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xmlns=""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xmlns="">
              <a:solidFill>
                <a:srgbClr xmlns:mc="http://schemas.openxmlformats.org/markup-compatibility/2006" val="000000" mc:Ignorable="a14" a14:legacySpreadsheetColorIndex="64"/>
              </a:solidFill>
            </a14:hiddenFill>
          </a:ext>
          <a:ext uri="{91240B29-F687-4F45-9708-019B960494DF}">
            <a14:hiddenLine xmlns:a14="http://schemas.microsoft.com/office/drawing/2010/main" xmlns=""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4867275" y="1"/>
          <a:ext cx="1504950" cy="3386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excel-gantt-chart.html" TargetMode="External"/><Relationship Id="rId6" Type="http://schemas.openxmlformats.org/officeDocument/2006/relationships/ctrlProp" Target="../ctrlProps/ctrlProp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2.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sheetPr codeName="Sheet8">
    <pageSetUpPr fitToPage="1"/>
  </sheetPr>
  <dimension ref="A1:CW35"/>
  <sheetViews>
    <sheetView showGridLines="0" tabSelected="1" zoomScale="130" zoomScaleNormal="130" workbookViewId="0">
      <pane ySplit="7" topLeftCell="A8" activePane="bottomLeft" state="frozen"/>
      <selection pane="bottomLeft" activeCell="B17" sqref="B17"/>
    </sheetView>
  </sheetViews>
  <sheetFormatPr defaultColWidth="9.140625" defaultRowHeight="12.75"/>
  <cols>
    <col min="1" max="1" width="6.85546875" style="5" customWidth="1"/>
    <col min="2" max="2" width="47.140625" style="1" customWidth="1"/>
    <col min="3" max="3" width="28.42578125" style="1" customWidth="1"/>
    <col min="4" max="4" width="13" style="1" customWidth="1"/>
    <col min="5" max="5" width="13.28515625" style="1" customWidth="1"/>
    <col min="6" max="6" width="6" style="1" customWidth="1"/>
    <col min="7" max="7" width="6.7109375" style="1" customWidth="1"/>
    <col min="8" max="9" width="6.42578125" style="1" customWidth="1"/>
    <col min="10" max="10" width="1.85546875" style="1" customWidth="1"/>
    <col min="11" max="14" width="2.42578125" style="1" customWidth="1"/>
    <col min="15" max="15" width="2.42578125" style="124" customWidth="1"/>
    <col min="16" max="101" width="2.42578125" style="1" customWidth="1"/>
    <col min="102" max="16384" width="9.140625" style="3"/>
  </cols>
  <sheetData>
    <row r="1" spans="1:101" ht="30" customHeight="1">
      <c r="A1" s="87" t="s">
        <v>142</v>
      </c>
      <c r="B1" s="44"/>
      <c r="C1" s="44"/>
      <c r="D1" s="44"/>
      <c r="E1" s="44"/>
      <c r="H1" s="89"/>
      <c r="I1" s="89"/>
      <c r="K1" s="162" t="s">
        <v>70</v>
      </c>
      <c r="L1" s="162"/>
      <c r="M1" s="162"/>
      <c r="N1" s="162"/>
      <c r="O1" s="162"/>
      <c r="P1" s="162"/>
      <c r="Q1" s="162"/>
      <c r="R1" s="162"/>
      <c r="S1" s="162"/>
      <c r="T1" s="162"/>
      <c r="U1" s="162"/>
      <c r="V1" s="162"/>
      <c r="W1" s="162"/>
      <c r="X1" s="162"/>
      <c r="Y1" s="162"/>
      <c r="Z1" s="162"/>
      <c r="AA1" s="162"/>
      <c r="AB1" s="162"/>
      <c r="AC1" s="162"/>
      <c r="AD1" s="162"/>
      <c r="AE1" s="162"/>
    </row>
    <row r="2" spans="1:101" ht="18" customHeight="1">
      <c r="A2" s="48" t="s">
        <v>140</v>
      </c>
      <c r="B2" s="21"/>
      <c r="C2" s="21"/>
      <c r="D2" s="117"/>
      <c r="E2" s="117"/>
      <c r="G2" s="2"/>
    </row>
    <row r="3" spans="1:101" ht="13.5">
      <c r="A3" s="48"/>
      <c r="B3" s="45"/>
      <c r="C3" s="4"/>
      <c r="D3" s="4"/>
      <c r="E3" s="4"/>
      <c r="F3" s="4"/>
      <c r="G3" s="2"/>
      <c r="K3" s="28"/>
      <c r="L3" s="28"/>
      <c r="M3" s="28"/>
      <c r="N3" s="28"/>
      <c r="O3" s="125"/>
      <c r="P3" s="28"/>
      <c r="Q3" s="28"/>
      <c r="R3" s="28"/>
      <c r="S3" s="28"/>
      <c r="T3" s="28"/>
      <c r="U3" s="28"/>
      <c r="V3" s="28"/>
      <c r="W3" s="28"/>
      <c r="X3" s="28"/>
      <c r="Y3" s="28"/>
      <c r="Z3" s="28"/>
      <c r="AA3" s="28"/>
    </row>
    <row r="4" spans="1:101" ht="17.25" customHeight="1">
      <c r="A4" s="73"/>
      <c r="B4" s="77" t="s">
        <v>68</v>
      </c>
      <c r="C4" s="164">
        <v>43640</v>
      </c>
      <c r="D4" s="164"/>
      <c r="E4" s="74"/>
      <c r="F4" s="77" t="s">
        <v>67</v>
      </c>
      <c r="G4" s="88">
        <v>1</v>
      </c>
      <c r="H4" s="75"/>
      <c r="I4" s="75"/>
      <c r="J4" s="47"/>
      <c r="K4" s="156" t="str">
        <f>"Week "&amp;(K6-($C$4-WEEKDAY($C$4,1)+2))/7+1</f>
        <v>Week 1</v>
      </c>
      <c r="L4" s="157"/>
      <c r="M4" s="157"/>
      <c r="N4" s="157"/>
      <c r="O4" s="157"/>
      <c r="P4" s="157"/>
      <c r="Q4" s="158"/>
      <c r="R4" s="156" t="str">
        <f>"Week "&amp;(R6-($C$4-WEEKDAY($C$4,1)+2))/7+1</f>
        <v>Week 2</v>
      </c>
      <c r="S4" s="157"/>
      <c r="T4" s="157"/>
      <c r="U4" s="157"/>
      <c r="V4" s="157"/>
      <c r="W4" s="157"/>
      <c r="X4" s="158"/>
      <c r="Y4" s="156" t="str">
        <f>"Week "&amp;(Y6-($C$4-WEEKDAY($C$4,1)+2))/7+1</f>
        <v>Week 3</v>
      </c>
      <c r="Z4" s="157"/>
      <c r="AA4" s="157"/>
      <c r="AB4" s="157"/>
      <c r="AC4" s="157"/>
      <c r="AD4" s="157"/>
      <c r="AE4" s="158"/>
      <c r="AF4" s="156" t="str">
        <f>"Week "&amp;(AF6-($C$4-WEEKDAY($C$4,1)+2))/7+1</f>
        <v>Week 4</v>
      </c>
      <c r="AG4" s="157"/>
      <c r="AH4" s="157"/>
      <c r="AI4" s="157"/>
      <c r="AJ4" s="157"/>
      <c r="AK4" s="157"/>
      <c r="AL4" s="158"/>
      <c r="AM4" s="156" t="str">
        <f>"Week "&amp;(AM6-($C$4-WEEKDAY($C$4,1)+2))/7+1</f>
        <v>Week 5</v>
      </c>
      <c r="AN4" s="157"/>
      <c r="AO4" s="157"/>
      <c r="AP4" s="157"/>
      <c r="AQ4" s="157"/>
      <c r="AR4" s="157"/>
      <c r="AS4" s="158"/>
      <c r="AT4" s="156" t="str">
        <f>"Week "&amp;(AT6-($C$4-WEEKDAY($C$4,1)+2))/7+1</f>
        <v>Week 6</v>
      </c>
      <c r="AU4" s="157"/>
      <c r="AV4" s="157"/>
      <c r="AW4" s="157"/>
      <c r="AX4" s="157"/>
      <c r="AY4" s="157"/>
      <c r="AZ4" s="158"/>
      <c r="BA4" s="156" t="str">
        <f>"Week "&amp;(BA6-($C$4-WEEKDAY($C$4,1)+2))/7+1</f>
        <v>Week 7</v>
      </c>
      <c r="BB4" s="157"/>
      <c r="BC4" s="157"/>
      <c r="BD4" s="157"/>
      <c r="BE4" s="157"/>
      <c r="BF4" s="157"/>
      <c r="BG4" s="158"/>
      <c r="BH4" s="156" t="str">
        <f>"Week "&amp;(BH6-($C$4-WEEKDAY($C$4,1)+2))/7+1</f>
        <v>Week 8</v>
      </c>
      <c r="BI4" s="157"/>
      <c r="BJ4" s="157"/>
      <c r="BK4" s="157"/>
      <c r="BL4" s="157"/>
      <c r="BM4" s="157"/>
      <c r="BN4" s="158"/>
      <c r="BO4" s="156" t="str">
        <f>"Week "&amp;(BO6-($C$4-WEEKDAY($C$4,1)+2))/7+1</f>
        <v>Week 9</v>
      </c>
      <c r="BP4" s="157"/>
      <c r="BQ4" s="157"/>
      <c r="BR4" s="157"/>
      <c r="BS4" s="157"/>
      <c r="BT4" s="157"/>
      <c r="BU4" s="158"/>
      <c r="BV4" s="156" t="str">
        <f>"Week "&amp;(BV6-($C$4-WEEKDAY($C$4,1)+2))/7+1</f>
        <v>Week 10</v>
      </c>
      <c r="BW4" s="157"/>
      <c r="BX4" s="157"/>
      <c r="BY4" s="157"/>
      <c r="BZ4" s="157"/>
      <c r="CA4" s="157"/>
      <c r="CB4" s="158"/>
      <c r="CC4" s="156" t="str">
        <f>"Week "&amp;(CC6-($C$4-WEEKDAY($C$4,1)+2))/7+1</f>
        <v>Week 11</v>
      </c>
      <c r="CD4" s="157"/>
      <c r="CE4" s="157"/>
      <c r="CF4" s="157"/>
      <c r="CG4" s="157"/>
      <c r="CH4" s="157"/>
      <c r="CI4" s="158"/>
      <c r="CJ4" s="156" t="str">
        <f>"Week "&amp;(CJ6-($C$4-WEEKDAY($C$4,1)+2))/7+1</f>
        <v>Week 12</v>
      </c>
      <c r="CK4" s="157"/>
      <c r="CL4" s="157"/>
      <c r="CM4" s="157"/>
      <c r="CN4" s="157"/>
      <c r="CO4" s="157"/>
      <c r="CP4" s="158"/>
      <c r="CQ4" s="156" t="str">
        <f>"Week "&amp;(CQ6-($C$4-WEEKDAY($C$4,1)+2))/7+1</f>
        <v>Week 13</v>
      </c>
      <c r="CR4" s="157"/>
      <c r="CS4" s="157"/>
      <c r="CT4" s="157"/>
      <c r="CU4" s="157"/>
      <c r="CV4" s="157"/>
      <c r="CW4" s="158"/>
    </row>
    <row r="5" spans="1:101" ht="17.25" customHeight="1">
      <c r="A5" s="73"/>
      <c r="B5" s="77" t="s">
        <v>69</v>
      </c>
      <c r="C5" s="163" t="s">
        <v>141</v>
      </c>
      <c r="D5" s="163"/>
      <c r="E5" s="76"/>
      <c r="F5" s="76"/>
      <c r="G5" s="76"/>
      <c r="H5" s="76"/>
      <c r="I5" s="76"/>
      <c r="J5" s="47"/>
      <c r="K5" s="159">
        <f>K6</f>
        <v>43640</v>
      </c>
      <c r="L5" s="160"/>
      <c r="M5" s="160"/>
      <c r="N5" s="160"/>
      <c r="O5" s="160"/>
      <c r="P5" s="160"/>
      <c r="Q5" s="161"/>
      <c r="R5" s="159">
        <f>R6</f>
        <v>43647</v>
      </c>
      <c r="S5" s="160"/>
      <c r="T5" s="160"/>
      <c r="U5" s="160"/>
      <c r="V5" s="160"/>
      <c r="W5" s="160"/>
      <c r="X5" s="161"/>
      <c r="Y5" s="159">
        <f>Y6</f>
        <v>43654</v>
      </c>
      <c r="Z5" s="160"/>
      <c r="AA5" s="160"/>
      <c r="AB5" s="160"/>
      <c r="AC5" s="160"/>
      <c r="AD5" s="160"/>
      <c r="AE5" s="161"/>
      <c r="AF5" s="159">
        <f>AF6</f>
        <v>43661</v>
      </c>
      <c r="AG5" s="160"/>
      <c r="AH5" s="160"/>
      <c r="AI5" s="160"/>
      <c r="AJ5" s="160"/>
      <c r="AK5" s="160"/>
      <c r="AL5" s="161"/>
      <c r="AM5" s="159">
        <f>AM6</f>
        <v>43668</v>
      </c>
      <c r="AN5" s="160"/>
      <c r="AO5" s="160"/>
      <c r="AP5" s="160"/>
      <c r="AQ5" s="160"/>
      <c r="AR5" s="160"/>
      <c r="AS5" s="161"/>
      <c r="AT5" s="159">
        <f>AT6</f>
        <v>43675</v>
      </c>
      <c r="AU5" s="160"/>
      <c r="AV5" s="160"/>
      <c r="AW5" s="160"/>
      <c r="AX5" s="160"/>
      <c r="AY5" s="160"/>
      <c r="AZ5" s="161"/>
      <c r="BA5" s="159">
        <f>BA6</f>
        <v>43682</v>
      </c>
      <c r="BB5" s="160"/>
      <c r="BC5" s="160"/>
      <c r="BD5" s="160"/>
      <c r="BE5" s="160"/>
      <c r="BF5" s="160"/>
      <c r="BG5" s="161"/>
      <c r="BH5" s="159">
        <f>BH6</f>
        <v>43689</v>
      </c>
      <c r="BI5" s="160"/>
      <c r="BJ5" s="160"/>
      <c r="BK5" s="160"/>
      <c r="BL5" s="160"/>
      <c r="BM5" s="160"/>
      <c r="BN5" s="161"/>
      <c r="BO5" s="159">
        <f>BO6</f>
        <v>43696</v>
      </c>
      <c r="BP5" s="160"/>
      <c r="BQ5" s="160"/>
      <c r="BR5" s="160"/>
      <c r="BS5" s="160"/>
      <c r="BT5" s="160"/>
      <c r="BU5" s="161"/>
      <c r="BV5" s="159">
        <f>BV6</f>
        <v>43703</v>
      </c>
      <c r="BW5" s="160"/>
      <c r="BX5" s="160"/>
      <c r="BY5" s="160"/>
      <c r="BZ5" s="160"/>
      <c r="CA5" s="160"/>
      <c r="CB5" s="161"/>
      <c r="CC5" s="159">
        <f>CC6</f>
        <v>43710</v>
      </c>
      <c r="CD5" s="160"/>
      <c r="CE5" s="160"/>
      <c r="CF5" s="160"/>
      <c r="CG5" s="160"/>
      <c r="CH5" s="160"/>
      <c r="CI5" s="161"/>
      <c r="CJ5" s="159">
        <f>CJ6</f>
        <v>43717</v>
      </c>
      <c r="CK5" s="160"/>
      <c r="CL5" s="160"/>
      <c r="CM5" s="160"/>
      <c r="CN5" s="160"/>
      <c r="CO5" s="160"/>
      <c r="CP5" s="161"/>
      <c r="CQ5" s="159">
        <f>CQ6</f>
        <v>43724</v>
      </c>
      <c r="CR5" s="160"/>
      <c r="CS5" s="160"/>
      <c r="CT5" s="160"/>
      <c r="CU5" s="160"/>
      <c r="CV5" s="160"/>
      <c r="CW5" s="161"/>
    </row>
    <row r="6" spans="1:101">
      <c r="A6" s="46"/>
      <c r="B6" s="47"/>
      <c r="C6" s="47"/>
      <c r="D6" s="47"/>
      <c r="E6" s="47"/>
      <c r="F6" s="47"/>
      <c r="G6" s="47"/>
      <c r="H6" s="47"/>
      <c r="I6" s="47"/>
      <c r="J6" s="47"/>
      <c r="K6" s="63">
        <f>C4-WEEKDAY(C4,1)+2+7*(G4-1)</f>
        <v>43640</v>
      </c>
      <c r="L6" s="55">
        <f t="shared" ref="L6:AQ6" si="0">K6+1</f>
        <v>43641</v>
      </c>
      <c r="M6" s="55">
        <f t="shared" si="0"/>
        <v>43642</v>
      </c>
      <c r="N6" s="55">
        <f t="shared" si="0"/>
        <v>43643</v>
      </c>
      <c r="O6" s="126">
        <f t="shared" si="0"/>
        <v>43644</v>
      </c>
      <c r="P6" s="55">
        <f t="shared" si="0"/>
        <v>43645</v>
      </c>
      <c r="Q6" s="64">
        <f t="shared" si="0"/>
        <v>43646</v>
      </c>
      <c r="R6" s="63">
        <f t="shared" si="0"/>
        <v>43647</v>
      </c>
      <c r="S6" s="55">
        <f t="shared" si="0"/>
        <v>43648</v>
      </c>
      <c r="T6" s="55">
        <f t="shared" si="0"/>
        <v>43649</v>
      </c>
      <c r="U6" s="55">
        <f t="shared" si="0"/>
        <v>43650</v>
      </c>
      <c r="V6" s="55">
        <f t="shared" si="0"/>
        <v>43651</v>
      </c>
      <c r="W6" s="55">
        <f t="shared" si="0"/>
        <v>43652</v>
      </c>
      <c r="X6" s="64">
        <f t="shared" si="0"/>
        <v>43653</v>
      </c>
      <c r="Y6" s="63">
        <f t="shared" si="0"/>
        <v>43654</v>
      </c>
      <c r="Z6" s="55">
        <f t="shared" si="0"/>
        <v>43655</v>
      </c>
      <c r="AA6" s="55">
        <f t="shared" si="0"/>
        <v>43656</v>
      </c>
      <c r="AB6" s="55">
        <f t="shared" si="0"/>
        <v>43657</v>
      </c>
      <c r="AC6" s="55">
        <f t="shared" si="0"/>
        <v>43658</v>
      </c>
      <c r="AD6" s="55">
        <f t="shared" si="0"/>
        <v>43659</v>
      </c>
      <c r="AE6" s="64">
        <f t="shared" si="0"/>
        <v>43660</v>
      </c>
      <c r="AF6" s="63">
        <f t="shared" si="0"/>
        <v>43661</v>
      </c>
      <c r="AG6" s="55">
        <f t="shared" si="0"/>
        <v>43662</v>
      </c>
      <c r="AH6" s="55">
        <f t="shared" si="0"/>
        <v>43663</v>
      </c>
      <c r="AI6" s="55">
        <f t="shared" si="0"/>
        <v>43664</v>
      </c>
      <c r="AJ6" s="55">
        <f t="shared" si="0"/>
        <v>43665</v>
      </c>
      <c r="AK6" s="55">
        <f t="shared" si="0"/>
        <v>43666</v>
      </c>
      <c r="AL6" s="64">
        <f t="shared" si="0"/>
        <v>43667</v>
      </c>
      <c r="AM6" s="63">
        <f t="shared" si="0"/>
        <v>43668</v>
      </c>
      <c r="AN6" s="55">
        <f t="shared" si="0"/>
        <v>43669</v>
      </c>
      <c r="AO6" s="55">
        <f t="shared" si="0"/>
        <v>43670</v>
      </c>
      <c r="AP6" s="55">
        <f t="shared" si="0"/>
        <v>43671</v>
      </c>
      <c r="AQ6" s="55">
        <f t="shared" si="0"/>
        <v>43672</v>
      </c>
      <c r="AR6" s="55">
        <f t="shared" ref="AR6:BN6" si="1">AQ6+1</f>
        <v>43673</v>
      </c>
      <c r="AS6" s="64">
        <f t="shared" si="1"/>
        <v>43674</v>
      </c>
      <c r="AT6" s="63">
        <f t="shared" si="1"/>
        <v>43675</v>
      </c>
      <c r="AU6" s="55">
        <f t="shared" si="1"/>
        <v>43676</v>
      </c>
      <c r="AV6" s="55">
        <f t="shared" si="1"/>
        <v>43677</v>
      </c>
      <c r="AW6" s="55">
        <f t="shared" si="1"/>
        <v>43678</v>
      </c>
      <c r="AX6" s="55">
        <f t="shared" si="1"/>
        <v>43679</v>
      </c>
      <c r="AY6" s="55">
        <f t="shared" si="1"/>
        <v>43680</v>
      </c>
      <c r="AZ6" s="64">
        <f t="shared" si="1"/>
        <v>43681</v>
      </c>
      <c r="BA6" s="63">
        <f t="shared" si="1"/>
        <v>43682</v>
      </c>
      <c r="BB6" s="55">
        <f t="shared" si="1"/>
        <v>43683</v>
      </c>
      <c r="BC6" s="55">
        <f t="shared" si="1"/>
        <v>43684</v>
      </c>
      <c r="BD6" s="55">
        <f t="shared" si="1"/>
        <v>43685</v>
      </c>
      <c r="BE6" s="55">
        <f t="shared" si="1"/>
        <v>43686</v>
      </c>
      <c r="BF6" s="55">
        <f t="shared" si="1"/>
        <v>43687</v>
      </c>
      <c r="BG6" s="64">
        <f t="shared" si="1"/>
        <v>43688</v>
      </c>
      <c r="BH6" s="63">
        <f t="shared" si="1"/>
        <v>43689</v>
      </c>
      <c r="BI6" s="55">
        <f t="shared" si="1"/>
        <v>43690</v>
      </c>
      <c r="BJ6" s="55">
        <f t="shared" si="1"/>
        <v>43691</v>
      </c>
      <c r="BK6" s="55">
        <f t="shared" si="1"/>
        <v>43692</v>
      </c>
      <c r="BL6" s="55">
        <f t="shared" si="1"/>
        <v>43693</v>
      </c>
      <c r="BM6" s="55">
        <f t="shared" si="1"/>
        <v>43694</v>
      </c>
      <c r="BN6" s="64">
        <f t="shared" si="1"/>
        <v>43695</v>
      </c>
      <c r="BO6" s="63">
        <f t="shared" ref="BO6" si="2">BN6+1</f>
        <v>43696</v>
      </c>
      <c r="BP6" s="55">
        <f t="shared" ref="BP6" si="3">BO6+1</f>
        <v>43697</v>
      </c>
      <c r="BQ6" s="55">
        <f t="shared" ref="BQ6" si="4">BP6+1</f>
        <v>43698</v>
      </c>
      <c r="BR6" s="55">
        <f t="shared" ref="BR6" si="5">BQ6+1</f>
        <v>43699</v>
      </c>
      <c r="BS6" s="55">
        <f t="shared" ref="BS6" si="6">BR6+1</f>
        <v>43700</v>
      </c>
      <c r="BT6" s="55">
        <f t="shared" ref="BT6" si="7">BS6+1</f>
        <v>43701</v>
      </c>
      <c r="BU6" s="64">
        <f t="shared" ref="BU6" si="8">BT6+1</f>
        <v>43702</v>
      </c>
      <c r="BV6" s="63">
        <f t="shared" ref="BV6" si="9">BU6+1</f>
        <v>43703</v>
      </c>
      <c r="BW6" s="55">
        <f t="shared" ref="BW6" si="10">BV6+1</f>
        <v>43704</v>
      </c>
      <c r="BX6" s="55">
        <f t="shared" ref="BX6" si="11">BW6+1</f>
        <v>43705</v>
      </c>
      <c r="BY6" s="55">
        <f t="shared" ref="BY6" si="12">BX6+1</f>
        <v>43706</v>
      </c>
      <c r="BZ6" s="55">
        <f t="shared" ref="BZ6" si="13">BY6+1</f>
        <v>43707</v>
      </c>
      <c r="CA6" s="55">
        <f t="shared" ref="CA6" si="14">BZ6+1</f>
        <v>43708</v>
      </c>
      <c r="CB6" s="64">
        <f t="shared" ref="CB6" si="15">CA6+1</f>
        <v>43709</v>
      </c>
      <c r="CC6" s="63">
        <f t="shared" ref="CC6" si="16">CB6+1</f>
        <v>43710</v>
      </c>
      <c r="CD6" s="55">
        <f t="shared" ref="CD6" si="17">CC6+1</f>
        <v>43711</v>
      </c>
      <c r="CE6" s="55">
        <f t="shared" ref="CE6" si="18">CD6+1</f>
        <v>43712</v>
      </c>
      <c r="CF6" s="55">
        <f t="shared" ref="CF6" si="19">CE6+1</f>
        <v>43713</v>
      </c>
      <c r="CG6" s="55">
        <f t="shared" ref="CG6" si="20">CF6+1</f>
        <v>43714</v>
      </c>
      <c r="CH6" s="55">
        <f t="shared" ref="CH6" si="21">CG6+1</f>
        <v>43715</v>
      </c>
      <c r="CI6" s="64">
        <f t="shared" ref="CI6" si="22">CH6+1</f>
        <v>43716</v>
      </c>
      <c r="CJ6" s="63">
        <f t="shared" ref="CJ6" si="23">CI6+1</f>
        <v>43717</v>
      </c>
      <c r="CK6" s="55">
        <f t="shared" ref="CK6" si="24">CJ6+1</f>
        <v>43718</v>
      </c>
      <c r="CL6" s="55">
        <f t="shared" ref="CL6" si="25">CK6+1</f>
        <v>43719</v>
      </c>
      <c r="CM6" s="55">
        <f t="shared" ref="CM6" si="26">CL6+1</f>
        <v>43720</v>
      </c>
      <c r="CN6" s="55">
        <f t="shared" ref="CN6" si="27">CM6+1</f>
        <v>43721</v>
      </c>
      <c r="CO6" s="55">
        <f t="shared" ref="CO6" si="28">CN6+1</f>
        <v>43722</v>
      </c>
      <c r="CP6" s="64">
        <f t="shared" ref="CP6" si="29">CO6+1</f>
        <v>43723</v>
      </c>
      <c r="CQ6" s="63">
        <f t="shared" ref="CQ6" si="30">CP6+1</f>
        <v>43724</v>
      </c>
      <c r="CR6" s="55">
        <f t="shared" ref="CR6" si="31">CQ6+1</f>
        <v>43725</v>
      </c>
      <c r="CS6" s="55">
        <f t="shared" ref="CS6" si="32">CR6+1</f>
        <v>43726</v>
      </c>
      <c r="CT6" s="55">
        <f t="shared" ref="CT6" si="33">CS6+1</f>
        <v>43727</v>
      </c>
      <c r="CU6" s="55">
        <f t="shared" ref="CU6" si="34">CT6+1</f>
        <v>43728</v>
      </c>
      <c r="CV6" s="55">
        <f t="shared" ref="CV6" si="35">CU6+1</f>
        <v>43729</v>
      </c>
      <c r="CW6" s="64">
        <f t="shared" ref="CW6" si="36">CV6+1</f>
        <v>43730</v>
      </c>
    </row>
    <row r="7" spans="1:101" s="86" customFormat="1" ht="23.25" thickBot="1">
      <c r="A7" s="79" t="s">
        <v>0</v>
      </c>
      <c r="B7" s="80" t="s">
        <v>60</v>
      </c>
      <c r="C7" s="81" t="s">
        <v>61</v>
      </c>
      <c r="D7" s="82" t="s">
        <v>62</v>
      </c>
      <c r="E7" s="82" t="s">
        <v>63</v>
      </c>
      <c r="F7" s="81" t="s">
        <v>64</v>
      </c>
      <c r="G7" s="81" t="s">
        <v>65</v>
      </c>
      <c r="H7" s="81" t="s">
        <v>66</v>
      </c>
      <c r="I7" s="81" t="s">
        <v>134</v>
      </c>
      <c r="J7" s="81"/>
      <c r="K7" s="83" t="str">
        <f t="shared" ref="K7:AP7" si="37">CHOOSE(WEEKDAY(K6,1),"S","M","T","W","T","F","S")</f>
        <v>M</v>
      </c>
      <c r="L7" s="84" t="str">
        <f t="shared" si="37"/>
        <v>T</v>
      </c>
      <c r="M7" s="84" t="str">
        <f t="shared" si="37"/>
        <v>W</v>
      </c>
      <c r="N7" s="84" t="str">
        <f t="shared" si="37"/>
        <v>T</v>
      </c>
      <c r="O7" s="127" t="str">
        <f t="shared" si="37"/>
        <v>F</v>
      </c>
      <c r="P7" s="84" t="str">
        <f t="shared" si="37"/>
        <v>S</v>
      </c>
      <c r="Q7" s="85" t="str">
        <f t="shared" si="37"/>
        <v>S</v>
      </c>
      <c r="R7" s="83" t="str">
        <f t="shared" si="37"/>
        <v>M</v>
      </c>
      <c r="S7" s="84" t="str">
        <f t="shared" si="37"/>
        <v>T</v>
      </c>
      <c r="T7" s="84" t="str">
        <f t="shared" si="37"/>
        <v>W</v>
      </c>
      <c r="U7" s="84" t="str">
        <f t="shared" si="37"/>
        <v>T</v>
      </c>
      <c r="V7" s="84" t="str">
        <f t="shared" si="37"/>
        <v>F</v>
      </c>
      <c r="W7" s="84" t="str">
        <f t="shared" si="37"/>
        <v>S</v>
      </c>
      <c r="X7" s="85" t="str">
        <f t="shared" si="37"/>
        <v>S</v>
      </c>
      <c r="Y7" s="83" t="str">
        <f t="shared" si="37"/>
        <v>M</v>
      </c>
      <c r="Z7" s="84" t="str">
        <f t="shared" si="37"/>
        <v>T</v>
      </c>
      <c r="AA7" s="84" t="str">
        <f t="shared" si="37"/>
        <v>W</v>
      </c>
      <c r="AB7" s="84" t="str">
        <f t="shared" si="37"/>
        <v>T</v>
      </c>
      <c r="AC7" s="84" t="str">
        <f t="shared" si="37"/>
        <v>F</v>
      </c>
      <c r="AD7" s="84" t="str">
        <f t="shared" si="37"/>
        <v>S</v>
      </c>
      <c r="AE7" s="85" t="str">
        <f t="shared" si="37"/>
        <v>S</v>
      </c>
      <c r="AF7" s="83" t="str">
        <f t="shared" si="37"/>
        <v>M</v>
      </c>
      <c r="AG7" s="84" t="str">
        <f t="shared" si="37"/>
        <v>T</v>
      </c>
      <c r="AH7" s="84" t="str">
        <f t="shared" si="37"/>
        <v>W</v>
      </c>
      <c r="AI7" s="84" t="str">
        <f t="shared" si="37"/>
        <v>T</v>
      </c>
      <c r="AJ7" s="84" t="str">
        <f t="shared" si="37"/>
        <v>F</v>
      </c>
      <c r="AK7" s="84" t="str">
        <f t="shared" si="37"/>
        <v>S</v>
      </c>
      <c r="AL7" s="85" t="str">
        <f t="shared" si="37"/>
        <v>S</v>
      </c>
      <c r="AM7" s="83" t="str">
        <f t="shared" si="37"/>
        <v>M</v>
      </c>
      <c r="AN7" s="84" t="str">
        <f t="shared" si="37"/>
        <v>T</v>
      </c>
      <c r="AO7" s="84" t="str">
        <f t="shared" si="37"/>
        <v>W</v>
      </c>
      <c r="AP7" s="84" t="str">
        <f t="shared" si="37"/>
        <v>T</v>
      </c>
      <c r="AQ7" s="84" t="str">
        <f t="shared" ref="AQ7:BN7" si="38">CHOOSE(WEEKDAY(AQ6,1),"S","M","T","W","T","F","S")</f>
        <v>F</v>
      </c>
      <c r="AR7" s="84" t="str">
        <f t="shared" si="38"/>
        <v>S</v>
      </c>
      <c r="AS7" s="85" t="str">
        <f t="shared" si="38"/>
        <v>S</v>
      </c>
      <c r="AT7" s="83" t="str">
        <f t="shared" si="38"/>
        <v>M</v>
      </c>
      <c r="AU7" s="84" t="str">
        <f t="shared" si="38"/>
        <v>T</v>
      </c>
      <c r="AV7" s="84" t="str">
        <f t="shared" si="38"/>
        <v>W</v>
      </c>
      <c r="AW7" s="84" t="str">
        <f t="shared" si="38"/>
        <v>T</v>
      </c>
      <c r="AX7" s="84" t="str">
        <f t="shared" si="38"/>
        <v>F</v>
      </c>
      <c r="AY7" s="84" t="str">
        <f t="shared" si="38"/>
        <v>S</v>
      </c>
      <c r="AZ7" s="85" t="str">
        <f t="shared" si="38"/>
        <v>S</v>
      </c>
      <c r="BA7" s="83" t="str">
        <f t="shared" si="38"/>
        <v>M</v>
      </c>
      <c r="BB7" s="84" t="str">
        <f t="shared" si="38"/>
        <v>T</v>
      </c>
      <c r="BC7" s="84" t="str">
        <f t="shared" si="38"/>
        <v>W</v>
      </c>
      <c r="BD7" s="84" t="str">
        <f t="shared" si="38"/>
        <v>T</v>
      </c>
      <c r="BE7" s="84" t="str">
        <f t="shared" si="38"/>
        <v>F</v>
      </c>
      <c r="BF7" s="84" t="str">
        <f t="shared" si="38"/>
        <v>S</v>
      </c>
      <c r="BG7" s="85" t="str">
        <f t="shared" si="38"/>
        <v>S</v>
      </c>
      <c r="BH7" s="83" t="str">
        <f t="shared" si="38"/>
        <v>M</v>
      </c>
      <c r="BI7" s="84" t="str">
        <f t="shared" si="38"/>
        <v>T</v>
      </c>
      <c r="BJ7" s="84" t="str">
        <f t="shared" si="38"/>
        <v>W</v>
      </c>
      <c r="BK7" s="84" t="str">
        <f t="shared" si="38"/>
        <v>T</v>
      </c>
      <c r="BL7" s="84" t="str">
        <f t="shared" si="38"/>
        <v>F</v>
      </c>
      <c r="BM7" s="84" t="str">
        <f t="shared" si="38"/>
        <v>S</v>
      </c>
      <c r="BN7" s="85" t="str">
        <f t="shared" si="38"/>
        <v>S</v>
      </c>
      <c r="BO7" s="83" t="str">
        <f t="shared" ref="BO7:CW7" si="39">CHOOSE(WEEKDAY(BO6,1),"S","M","T","W","T","F","S")</f>
        <v>M</v>
      </c>
      <c r="BP7" s="84" t="str">
        <f t="shared" si="39"/>
        <v>T</v>
      </c>
      <c r="BQ7" s="84" t="str">
        <f t="shared" si="39"/>
        <v>W</v>
      </c>
      <c r="BR7" s="84" t="str">
        <f t="shared" si="39"/>
        <v>T</v>
      </c>
      <c r="BS7" s="84" t="str">
        <f t="shared" si="39"/>
        <v>F</v>
      </c>
      <c r="BT7" s="84" t="str">
        <f t="shared" si="39"/>
        <v>S</v>
      </c>
      <c r="BU7" s="85" t="str">
        <f t="shared" si="39"/>
        <v>S</v>
      </c>
      <c r="BV7" s="83" t="str">
        <f t="shared" si="39"/>
        <v>M</v>
      </c>
      <c r="BW7" s="84" t="str">
        <f t="shared" si="39"/>
        <v>T</v>
      </c>
      <c r="BX7" s="84" t="str">
        <f t="shared" si="39"/>
        <v>W</v>
      </c>
      <c r="BY7" s="84" t="str">
        <f t="shared" si="39"/>
        <v>T</v>
      </c>
      <c r="BZ7" s="84" t="str">
        <f t="shared" si="39"/>
        <v>F</v>
      </c>
      <c r="CA7" s="84" t="str">
        <f t="shared" si="39"/>
        <v>S</v>
      </c>
      <c r="CB7" s="85" t="str">
        <f t="shared" si="39"/>
        <v>S</v>
      </c>
      <c r="CC7" s="83" t="str">
        <f t="shared" si="39"/>
        <v>M</v>
      </c>
      <c r="CD7" s="84" t="str">
        <f t="shared" si="39"/>
        <v>T</v>
      </c>
      <c r="CE7" s="84" t="str">
        <f t="shared" si="39"/>
        <v>W</v>
      </c>
      <c r="CF7" s="84" t="str">
        <f t="shared" si="39"/>
        <v>T</v>
      </c>
      <c r="CG7" s="84" t="str">
        <f t="shared" si="39"/>
        <v>F</v>
      </c>
      <c r="CH7" s="84" t="str">
        <f t="shared" si="39"/>
        <v>S</v>
      </c>
      <c r="CI7" s="85" t="str">
        <f t="shared" si="39"/>
        <v>S</v>
      </c>
      <c r="CJ7" s="83" t="str">
        <f t="shared" si="39"/>
        <v>M</v>
      </c>
      <c r="CK7" s="84" t="str">
        <f t="shared" si="39"/>
        <v>T</v>
      </c>
      <c r="CL7" s="84" t="str">
        <f t="shared" si="39"/>
        <v>W</v>
      </c>
      <c r="CM7" s="84" t="str">
        <f t="shared" si="39"/>
        <v>T</v>
      </c>
      <c r="CN7" s="84" t="str">
        <f t="shared" si="39"/>
        <v>F</v>
      </c>
      <c r="CO7" s="84" t="str">
        <f t="shared" si="39"/>
        <v>S</v>
      </c>
      <c r="CP7" s="85" t="str">
        <f t="shared" si="39"/>
        <v>S</v>
      </c>
      <c r="CQ7" s="83" t="str">
        <f t="shared" si="39"/>
        <v>M</v>
      </c>
      <c r="CR7" s="84" t="str">
        <f t="shared" si="39"/>
        <v>T</v>
      </c>
      <c r="CS7" s="84" t="str">
        <f t="shared" si="39"/>
        <v>W</v>
      </c>
      <c r="CT7" s="84" t="str">
        <f t="shared" si="39"/>
        <v>T</v>
      </c>
      <c r="CU7" s="84" t="str">
        <f t="shared" si="39"/>
        <v>F</v>
      </c>
      <c r="CV7" s="84" t="str">
        <f t="shared" si="39"/>
        <v>S</v>
      </c>
      <c r="CW7" s="85" t="str">
        <f t="shared" si="39"/>
        <v>S</v>
      </c>
    </row>
    <row r="8" spans="1:101" s="49" customFormat="1" ht="18.75">
      <c r="A8" s="56" t="str">
        <f>IF(ISERROR(VALUE(SUBSTITUTE(prevWBS,".",""))),"1",IF(ISERROR(FIND("`",SUBSTITUTE(prevWBS,".","`",1))),TEXT(VALUE(prevWBS)+1,"#"),TEXT(VALUE(LEFT(prevWBS,FIND("`",SUBSTITUTE(prevWBS,".","`",1))-1))+1,"#")))</f>
        <v>1</v>
      </c>
      <c r="B8" s="57" t="s">
        <v>129</v>
      </c>
      <c r="C8" s="58"/>
      <c r="D8" s="59"/>
      <c r="E8" s="78" t="str">
        <f>IF(ISBLANK(D8)," - ",IF(F8=0,D8,D8+F8-1))</f>
        <v xml:space="preserve"> - </v>
      </c>
      <c r="F8" s="60"/>
      <c r="G8" s="61"/>
      <c r="H8" s="62" t="str">
        <f t="shared" ref="H8:H19" si="40">IF(OR(E8=0,D8=0)," - ",NETWORKDAYS(D8,E8))</f>
        <v xml:space="preserve"> - </v>
      </c>
      <c r="I8" s="62"/>
      <c r="J8" s="65"/>
      <c r="K8" s="69"/>
      <c r="L8" s="69"/>
      <c r="M8" s="69"/>
      <c r="N8" s="69"/>
      <c r="O8" s="128"/>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row>
    <row r="9" spans="1:101" s="51" customFormat="1" ht="18.75">
      <c r="A9" s="133">
        <v>1.1000000000000001</v>
      </c>
      <c r="B9" s="132" t="s">
        <v>131</v>
      </c>
      <c r="C9" s="134" t="s">
        <v>163</v>
      </c>
      <c r="D9" s="135">
        <v>43640</v>
      </c>
      <c r="E9" s="136">
        <f t="shared" ref="E9:E21" si="41">IF(ISBLANK(D9)," - ",IF(F9=0,D9,D9+F9-1))</f>
        <v>43642</v>
      </c>
      <c r="F9" s="137">
        <v>3</v>
      </c>
      <c r="G9" s="138">
        <v>0.8</v>
      </c>
      <c r="H9" s="139">
        <f t="shared" ref="H9:H11" si="42">IF(OR(E9=0,D9=0)," - ",NETWORKDAYS(D9,E9))</f>
        <v>3</v>
      </c>
      <c r="I9" s="52"/>
      <c r="J9" s="66"/>
      <c r="K9" s="70"/>
      <c r="L9" s="70"/>
      <c r="M9" s="70"/>
      <c r="N9" s="70"/>
      <c r="O9" s="129"/>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row>
    <row r="10" spans="1:101" s="51" customFormat="1" ht="18.75">
      <c r="A10" s="133" t="str">
        <f t="shared" ref="A10:A17" si="4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v>
      </c>
      <c r="B10" s="132" t="s">
        <v>158</v>
      </c>
      <c r="C10" s="134" t="s">
        <v>167</v>
      </c>
      <c r="D10" s="135">
        <v>43640</v>
      </c>
      <c r="E10" s="136">
        <f t="shared" ref="E10" si="44">IF(ISBLANK(D10)," - ",IF(F10=0,D10,D10+F10-1))</f>
        <v>43644</v>
      </c>
      <c r="F10" s="137">
        <v>5</v>
      </c>
      <c r="G10" s="138">
        <v>0</v>
      </c>
      <c r="H10" s="139">
        <f>IF(OR(E10=0,D10=0)," - ",NETWORKDAYS(D10,E10))</f>
        <v>5</v>
      </c>
      <c r="I10" s="52"/>
      <c r="J10" s="66"/>
      <c r="K10" s="70"/>
      <c r="L10" s="70"/>
      <c r="M10" s="70"/>
      <c r="N10" s="70"/>
      <c r="O10" s="129"/>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row>
    <row r="11" spans="1:101" s="51" customFormat="1" ht="24">
      <c r="A11" s="133" t="str">
        <f t="shared" si="43"/>
        <v>1.3</v>
      </c>
      <c r="B11" s="132" t="s">
        <v>152</v>
      </c>
      <c r="C11" s="134" t="s">
        <v>160</v>
      </c>
      <c r="D11" s="135">
        <v>43644</v>
      </c>
      <c r="E11" s="136">
        <f>IF(ISBLANK(D11)," - ",IF(F11=0,D11,D11+F11-1))</f>
        <v>43647</v>
      </c>
      <c r="F11" s="137">
        <v>4</v>
      </c>
      <c r="G11" s="138">
        <v>0</v>
      </c>
      <c r="H11" s="139">
        <f t="shared" si="42"/>
        <v>2</v>
      </c>
      <c r="I11" s="52"/>
      <c r="J11" s="66"/>
      <c r="K11" s="70"/>
      <c r="L11" s="70"/>
      <c r="M11" s="70"/>
      <c r="N11" s="70"/>
      <c r="O11" s="129"/>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70"/>
      <c r="CE11" s="70"/>
      <c r="CF11" s="70"/>
      <c r="CG11" s="70"/>
      <c r="CH11" s="70"/>
      <c r="CI11" s="70"/>
      <c r="CJ11" s="70"/>
      <c r="CK11" s="70"/>
      <c r="CL11" s="70"/>
      <c r="CM11" s="70"/>
      <c r="CN11" s="70"/>
      <c r="CO11" s="70"/>
      <c r="CP11" s="70"/>
      <c r="CQ11" s="70"/>
      <c r="CR11" s="70"/>
      <c r="CS11" s="70"/>
      <c r="CT11" s="70"/>
      <c r="CU11" s="70"/>
      <c r="CV11" s="70"/>
      <c r="CW11" s="70"/>
    </row>
    <row r="12" spans="1:101" s="51" customFormat="1" ht="24">
      <c r="A12" s="133" t="str">
        <f t="shared" si="43"/>
        <v>1.4</v>
      </c>
      <c r="B12" s="132" t="s">
        <v>153</v>
      </c>
      <c r="C12" s="134" t="s">
        <v>162</v>
      </c>
      <c r="D12" s="135">
        <v>43644</v>
      </c>
      <c r="E12" s="136">
        <f t="shared" ref="E12" si="45">IF(ISBLANK(D12)," - ",IF(F12=0,D12,D12+F12-1))</f>
        <v>43651</v>
      </c>
      <c r="F12" s="137">
        <v>8</v>
      </c>
      <c r="G12" s="138">
        <v>0</v>
      </c>
      <c r="H12" s="139">
        <v>5</v>
      </c>
      <c r="I12" s="52"/>
      <c r="J12" s="66"/>
      <c r="K12" s="70"/>
      <c r="L12" s="70"/>
      <c r="M12" s="71"/>
      <c r="N12" s="70"/>
      <c r="O12" s="129"/>
      <c r="P12" s="70"/>
      <c r="Q12" s="70"/>
      <c r="R12" s="70"/>
      <c r="S12" s="70"/>
      <c r="T12" s="70"/>
      <c r="U12" s="70"/>
      <c r="V12" s="70"/>
      <c r="W12" s="70"/>
      <c r="X12" s="70"/>
      <c r="Y12" s="70"/>
      <c r="Z12" s="131"/>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c r="CE12" s="70"/>
      <c r="CF12" s="70"/>
      <c r="CG12" s="70"/>
      <c r="CH12" s="70"/>
      <c r="CI12" s="70"/>
      <c r="CJ12" s="70"/>
      <c r="CK12" s="70"/>
      <c r="CL12" s="70"/>
      <c r="CM12" s="70"/>
      <c r="CN12" s="70"/>
      <c r="CO12" s="70"/>
      <c r="CP12" s="70"/>
      <c r="CQ12" s="70"/>
      <c r="CR12" s="70"/>
      <c r="CS12" s="70"/>
      <c r="CT12" s="70"/>
      <c r="CU12" s="70"/>
      <c r="CV12" s="70"/>
      <c r="CW12" s="70"/>
    </row>
    <row r="13" spans="1:101" s="51" customFormat="1" ht="24">
      <c r="A13" s="133" t="str">
        <f t="shared" si="43"/>
        <v>1.5</v>
      </c>
      <c r="B13" s="132" t="s">
        <v>155</v>
      </c>
      <c r="C13" s="134" t="s">
        <v>168</v>
      </c>
      <c r="D13" s="135">
        <v>43645</v>
      </c>
      <c r="E13" s="136">
        <f t="shared" ref="E13" si="46">IF(ISBLANK(D13)," - ",IF(F13=0,D13,D13+F13-1))</f>
        <v>43650</v>
      </c>
      <c r="F13" s="137">
        <v>6</v>
      </c>
      <c r="G13" s="138">
        <v>0</v>
      </c>
      <c r="H13" s="139">
        <v>5</v>
      </c>
      <c r="I13" s="52"/>
      <c r="J13" s="66"/>
      <c r="K13" s="70"/>
      <c r="L13" s="70"/>
      <c r="M13" s="71"/>
      <c r="N13" s="70"/>
      <c r="O13" s="129"/>
      <c r="P13" s="70"/>
      <c r="Q13" s="70"/>
      <c r="R13" s="70"/>
      <c r="S13" s="70"/>
      <c r="T13" s="70"/>
      <c r="U13" s="70"/>
      <c r="V13" s="70"/>
      <c r="W13" s="70"/>
      <c r="X13" s="70"/>
      <c r="Y13" s="70"/>
      <c r="Z13" s="131"/>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c r="BY13" s="70"/>
      <c r="BZ13" s="70"/>
      <c r="CA13" s="70"/>
      <c r="CB13" s="70"/>
      <c r="CC13" s="70"/>
      <c r="CD13" s="70"/>
      <c r="CE13" s="70"/>
      <c r="CF13" s="70"/>
      <c r="CG13" s="70"/>
      <c r="CH13" s="70"/>
      <c r="CI13" s="70"/>
      <c r="CJ13" s="70"/>
      <c r="CK13" s="70"/>
      <c r="CL13" s="70"/>
      <c r="CM13" s="70"/>
      <c r="CN13" s="70"/>
      <c r="CO13" s="70"/>
      <c r="CP13" s="70"/>
      <c r="CQ13" s="70"/>
      <c r="CR13" s="70"/>
      <c r="CS13" s="70"/>
      <c r="CT13" s="70"/>
      <c r="CU13" s="70"/>
      <c r="CV13" s="70"/>
      <c r="CW13" s="70"/>
    </row>
    <row r="14" spans="1:101" s="51" customFormat="1" ht="18.75">
      <c r="A14" s="133" t="str">
        <f t="shared" si="43"/>
        <v>1.6</v>
      </c>
      <c r="B14" s="132" t="s">
        <v>133</v>
      </c>
      <c r="C14" s="134" t="s">
        <v>169</v>
      </c>
      <c r="D14" s="135">
        <v>43650</v>
      </c>
      <c r="E14" s="136">
        <f>IF(ISBLANK(D14)," - ",IF(F14=0,D14,D14+F14-1))</f>
        <v>43654</v>
      </c>
      <c r="F14" s="137">
        <v>5</v>
      </c>
      <c r="G14" s="138">
        <v>0</v>
      </c>
      <c r="H14" s="139">
        <v>3</v>
      </c>
      <c r="I14" s="52"/>
      <c r="J14" s="66"/>
      <c r="K14" s="70"/>
      <c r="L14" s="70"/>
      <c r="M14" s="71"/>
      <c r="N14" s="70"/>
      <c r="O14" s="129"/>
      <c r="P14" s="70"/>
      <c r="Q14" s="70"/>
      <c r="R14" s="70"/>
      <c r="S14" s="70"/>
      <c r="T14" s="70"/>
      <c r="U14" s="70"/>
      <c r="V14" s="70"/>
      <c r="W14" s="70"/>
      <c r="X14" s="70"/>
      <c r="Y14" s="70"/>
      <c r="Z14" s="131"/>
      <c r="AA14" s="70"/>
      <c r="AB14" s="70"/>
      <c r="AC14" s="70"/>
      <c r="AD14" s="70"/>
      <c r="AE14" s="70"/>
      <c r="AF14" s="70"/>
      <c r="AG14" s="70"/>
      <c r="AH14" s="70"/>
      <c r="AI14" s="70"/>
      <c r="AJ14" s="70"/>
      <c r="AK14" s="70"/>
      <c r="AL14" s="70"/>
      <c r="AM14" s="70"/>
      <c r="AN14" s="70"/>
      <c r="AO14" s="70"/>
      <c r="AP14" s="70"/>
      <c r="AQ14" s="70"/>
      <c r="AR14" s="70"/>
      <c r="AS14" s="70"/>
      <c r="AT14" s="70"/>
      <c r="AU14" s="70"/>
      <c r="AV14" s="70"/>
      <c r="AW14" s="70"/>
      <c r="AX14" s="70"/>
      <c r="AY14" s="70"/>
      <c r="AZ14" s="70"/>
      <c r="BA14" s="70"/>
      <c r="BB14" s="70"/>
      <c r="BC14" s="70"/>
      <c r="BD14" s="70"/>
      <c r="BE14" s="70"/>
      <c r="BF14" s="70"/>
      <c r="BG14" s="70"/>
      <c r="BH14" s="70"/>
      <c r="BI14" s="70"/>
      <c r="BJ14" s="70"/>
      <c r="BK14" s="70"/>
      <c r="BL14" s="70"/>
      <c r="BM14" s="70"/>
      <c r="BN14" s="70"/>
      <c r="BO14" s="70"/>
      <c r="BP14" s="70"/>
      <c r="BQ14" s="70"/>
      <c r="BR14" s="70"/>
      <c r="BS14" s="70"/>
      <c r="BT14" s="70"/>
      <c r="BU14" s="70"/>
      <c r="BV14" s="70"/>
      <c r="BW14" s="70"/>
      <c r="BX14" s="70"/>
      <c r="BY14" s="70"/>
      <c r="BZ14" s="70"/>
      <c r="CA14" s="70"/>
      <c r="CB14" s="70"/>
      <c r="CC14" s="70"/>
      <c r="CD14" s="70"/>
      <c r="CE14" s="70"/>
      <c r="CF14" s="70"/>
      <c r="CG14" s="70"/>
      <c r="CH14" s="70"/>
      <c r="CI14" s="70"/>
      <c r="CJ14" s="70"/>
      <c r="CK14" s="70"/>
      <c r="CL14" s="70"/>
      <c r="CM14" s="70"/>
      <c r="CN14" s="70"/>
      <c r="CO14" s="70"/>
      <c r="CP14" s="70"/>
      <c r="CQ14" s="70"/>
      <c r="CR14" s="70"/>
      <c r="CS14" s="70"/>
      <c r="CT14" s="70"/>
      <c r="CU14" s="70"/>
      <c r="CV14" s="70"/>
      <c r="CW14" s="70"/>
    </row>
    <row r="15" spans="1:101" s="49" customFormat="1" ht="18.75">
      <c r="A15" s="140" t="str">
        <f>IF(ISERROR(VALUE(SUBSTITUTE(prevWBS,".",""))),"1",IF(ISERROR(FIND("`",SUBSTITUTE(prevWBS,".","`",1))),TEXT(VALUE(prevWBS)+1,"#"),TEXT(VALUE(LEFT(prevWBS,FIND("`",SUBSTITUTE(prevWBS,".","`",1))-1))+1,"#")))</f>
        <v>2</v>
      </c>
      <c r="B15" s="141" t="s">
        <v>154</v>
      </c>
      <c r="C15" s="142"/>
      <c r="D15" s="143"/>
      <c r="E15" s="143" t="str">
        <f t="shared" ref="E15:E17" si="47">IF(ISBLANK(D15)," - ",IF(F15=0,D15,D15+F15-1))</f>
        <v xml:space="preserve"> - </v>
      </c>
      <c r="F15" s="144"/>
      <c r="G15" s="145"/>
      <c r="H15" s="146" t="str">
        <f t="shared" ref="H15:H17" si="48">IF(OR(E15=0,D15=0)," - ",NETWORKDAYS(D15,E15))</f>
        <v xml:space="preserve"> - </v>
      </c>
      <c r="I15" s="50"/>
      <c r="J15" s="67"/>
      <c r="K15" s="72"/>
      <c r="L15" s="72"/>
      <c r="M15" s="72"/>
      <c r="N15" s="72"/>
      <c r="O15" s="129"/>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row>
    <row r="16" spans="1:101" s="51" customFormat="1" ht="18.75">
      <c r="A16" s="133" t="str">
        <f t="shared" si="43"/>
        <v>2.1</v>
      </c>
      <c r="B16" s="132" t="s">
        <v>143</v>
      </c>
      <c r="C16" s="134" t="s">
        <v>160</v>
      </c>
      <c r="D16" s="135">
        <v>43641</v>
      </c>
      <c r="E16" s="136">
        <f t="shared" ref="E16" si="49">IF(ISBLANK(D16)," - ",IF(F16=0,D16,D16+F16-1))</f>
        <v>43644</v>
      </c>
      <c r="F16" s="137">
        <v>4</v>
      </c>
      <c r="G16" s="138">
        <v>0</v>
      </c>
      <c r="H16" s="139">
        <f t="shared" ref="H16" si="50">IF(OR(E16=0,D16=0)," - ",NETWORKDAYS(D16,E16))</f>
        <v>4</v>
      </c>
      <c r="I16" s="52"/>
      <c r="J16" s="66"/>
      <c r="K16" s="70"/>
      <c r="L16" s="70"/>
      <c r="M16" s="70"/>
      <c r="N16" s="70"/>
      <c r="O16" s="129"/>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c r="CG16" s="70"/>
      <c r="CH16" s="70"/>
      <c r="CI16" s="70"/>
      <c r="CJ16" s="70"/>
      <c r="CK16" s="70"/>
      <c r="CL16" s="70"/>
      <c r="CM16" s="70"/>
      <c r="CN16" s="70"/>
      <c r="CO16" s="70"/>
      <c r="CP16" s="70"/>
      <c r="CQ16" s="70"/>
      <c r="CR16" s="70"/>
      <c r="CS16" s="70"/>
      <c r="CT16" s="70"/>
      <c r="CU16" s="70"/>
      <c r="CV16" s="70"/>
      <c r="CW16" s="70"/>
    </row>
    <row r="17" spans="1:101" s="51" customFormat="1" ht="18.75">
      <c r="A17" s="133" t="str">
        <f t="shared" si="43"/>
        <v>2.2</v>
      </c>
      <c r="B17" s="132" t="s">
        <v>164</v>
      </c>
      <c r="C17" s="134" t="s">
        <v>132</v>
      </c>
      <c r="D17" s="135">
        <v>43643</v>
      </c>
      <c r="E17" s="136">
        <f t="shared" si="47"/>
        <v>43672</v>
      </c>
      <c r="F17" s="137">
        <v>30</v>
      </c>
      <c r="G17" s="138">
        <v>0</v>
      </c>
      <c r="H17" s="139">
        <f t="shared" si="48"/>
        <v>22</v>
      </c>
      <c r="I17" s="52"/>
      <c r="J17" s="66"/>
      <c r="K17" s="70"/>
      <c r="L17" s="70"/>
      <c r="M17" s="70"/>
      <c r="N17" s="70"/>
      <c r="O17" s="129"/>
      <c r="P17" s="70"/>
      <c r="Q17" s="70"/>
      <c r="R17" s="70"/>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0"/>
      <c r="BZ17" s="70"/>
      <c r="CA17" s="70"/>
      <c r="CB17" s="70"/>
      <c r="CC17" s="70"/>
      <c r="CD17" s="70"/>
      <c r="CE17" s="70"/>
      <c r="CF17" s="70"/>
      <c r="CG17" s="70"/>
      <c r="CH17" s="70"/>
      <c r="CI17" s="70"/>
      <c r="CJ17" s="70"/>
      <c r="CK17" s="70"/>
      <c r="CL17" s="70"/>
      <c r="CM17" s="70"/>
      <c r="CN17" s="70"/>
      <c r="CO17" s="70"/>
      <c r="CP17" s="70"/>
      <c r="CQ17" s="70"/>
      <c r="CR17" s="70"/>
      <c r="CS17" s="70"/>
      <c r="CT17" s="70"/>
      <c r="CU17" s="70"/>
      <c r="CV17" s="70"/>
      <c r="CW17" s="70"/>
    </row>
    <row r="18" spans="1:101" s="51" customFormat="1" ht="18.75">
      <c r="A18" s="133"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8" s="132" t="s">
        <v>165</v>
      </c>
      <c r="C18" s="134" t="s">
        <v>159</v>
      </c>
      <c r="D18" s="135">
        <v>43666</v>
      </c>
      <c r="E18" s="136">
        <f t="shared" ref="E18" si="51">IF(ISBLANK(D18)," - ",IF(F18=0,D18,D18+F18-1))</f>
        <v>43675</v>
      </c>
      <c r="F18" s="137">
        <v>10</v>
      </c>
      <c r="G18" s="138">
        <v>0</v>
      </c>
      <c r="H18" s="139">
        <f t="shared" ref="H18" si="52">IF(OR(E18=0,D18=0)," - ",NETWORKDAYS(D18,E18))</f>
        <v>6</v>
      </c>
      <c r="I18" s="52"/>
      <c r="J18" s="66"/>
      <c r="K18" s="70"/>
      <c r="L18" s="70"/>
      <c r="M18" s="70"/>
      <c r="N18" s="70"/>
      <c r="O18" s="129"/>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0"/>
      <c r="CD18" s="70"/>
      <c r="CE18" s="70"/>
      <c r="CF18" s="70"/>
      <c r="CG18" s="70"/>
      <c r="CH18" s="70"/>
      <c r="CI18" s="70"/>
      <c r="CJ18" s="70"/>
      <c r="CK18" s="70"/>
      <c r="CL18" s="70"/>
      <c r="CM18" s="70"/>
      <c r="CN18" s="70"/>
      <c r="CO18" s="70"/>
      <c r="CP18" s="70"/>
      <c r="CQ18" s="70"/>
      <c r="CR18" s="70"/>
      <c r="CS18" s="70"/>
      <c r="CT18" s="70"/>
      <c r="CU18" s="70"/>
      <c r="CV18" s="70"/>
      <c r="CW18" s="70"/>
    </row>
    <row r="19" spans="1:101" s="51" customFormat="1" ht="18.75">
      <c r="A19" s="133"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19" s="132" t="s">
        <v>151</v>
      </c>
      <c r="C19" s="134" t="s">
        <v>130</v>
      </c>
      <c r="D19" s="135">
        <v>43675</v>
      </c>
      <c r="E19" s="136">
        <f t="shared" si="41"/>
        <v>43677</v>
      </c>
      <c r="F19" s="137">
        <v>3</v>
      </c>
      <c r="G19" s="138">
        <v>0</v>
      </c>
      <c r="H19" s="139">
        <f t="shared" si="40"/>
        <v>3</v>
      </c>
      <c r="I19" s="52"/>
      <c r="J19" s="66"/>
      <c r="K19" s="70"/>
      <c r="L19" s="70"/>
      <c r="M19" s="70"/>
      <c r="N19" s="70"/>
      <c r="O19" s="129"/>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0"/>
      <c r="CD19" s="70"/>
      <c r="CE19" s="70"/>
      <c r="CF19" s="70"/>
      <c r="CG19" s="70"/>
      <c r="CH19" s="70"/>
      <c r="CI19" s="70"/>
      <c r="CJ19" s="70"/>
      <c r="CK19" s="70"/>
      <c r="CL19" s="70"/>
      <c r="CM19" s="70"/>
      <c r="CN19" s="70"/>
      <c r="CO19" s="70"/>
      <c r="CP19" s="70"/>
      <c r="CQ19" s="70"/>
      <c r="CR19" s="70"/>
      <c r="CS19" s="70"/>
      <c r="CT19" s="70"/>
      <c r="CU19" s="70"/>
      <c r="CV19" s="70"/>
      <c r="CW19" s="70"/>
    </row>
    <row r="20" spans="1:101" s="123" customFormat="1" ht="18.75">
      <c r="A20" s="147" t="str">
        <f>IF(ISERROR(VALUE(SUBSTITUTE(prevWBS,".",""))),"1",IF(ISERROR(FIND("`",SUBSTITUTE(prevWBS,".","`",1))),TEXT(VALUE(prevWBS)+1,"#"),TEXT(VALUE(LEFT(prevWBS,FIND("`",SUBSTITUTE(prevWBS,".","`",1))-1))+1,"#")))</f>
        <v>3</v>
      </c>
      <c r="B20" s="148" t="s">
        <v>139</v>
      </c>
      <c r="C20" s="149"/>
      <c r="D20" s="150"/>
      <c r="E20" s="151" t="str">
        <f t="shared" si="41"/>
        <v xml:space="preserve"> - </v>
      </c>
      <c r="F20" s="152"/>
      <c r="G20" s="153"/>
      <c r="H20" s="152" t="str">
        <f t="shared" ref="H20:H24" si="53">IF(OR(E20=0,D20=0)," - ",NETWORKDAYS(D20,E20))</f>
        <v xml:space="preserve"> - </v>
      </c>
      <c r="I20" s="120"/>
      <c r="J20" s="121"/>
      <c r="K20" s="122"/>
      <c r="L20" s="122"/>
      <c r="M20" s="122"/>
      <c r="N20" s="122"/>
      <c r="O20" s="129"/>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c r="CM20" s="122"/>
      <c r="CN20" s="122"/>
      <c r="CO20" s="122"/>
      <c r="CP20" s="122"/>
      <c r="CQ20" s="122"/>
      <c r="CR20" s="122"/>
      <c r="CS20" s="122"/>
      <c r="CT20" s="122"/>
      <c r="CU20" s="122"/>
      <c r="CV20" s="122"/>
      <c r="CW20" s="122"/>
    </row>
    <row r="21" spans="1:101" s="53" customFormat="1" ht="18.75">
      <c r="A21" s="133" t="str">
        <f t="shared" ref="A21:A29" si="5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1" s="154" t="s">
        <v>156</v>
      </c>
      <c r="C21" s="134" t="s">
        <v>170</v>
      </c>
      <c r="D21" s="135">
        <v>43651</v>
      </c>
      <c r="E21" s="136">
        <f t="shared" si="41"/>
        <v>43660</v>
      </c>
      <c r="F21" s="137">
        <v>10</v>
      </c>
      <c r="G21" s="138">
        <v>0</v>
      </c>
      <c r="H21" s="155">
        <f t="shared" si="53"/>
        <v>6</v>
      </c>
      <c r="I21" s="54"/>
      <c r="J21" s="68"/>
      <c r="K21" s="70"/>
      <c r="L21" s="70"/>
      <c r="M21" s="70"/>
      <c r="N21" s="70"/>
      <c r="O21" s="129"/>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0"/>
      <c r="BZ21" s="70"/>
      <c r="CA21" s="70"/>
      <c r="CB21" s="70"/>
      <c r="CC21" s="70"/>
      <c r="CD21" s="70"/>
      <c r="CE21" s="70"/>
      <c r="CF21" s="70"/>
      <c r="CG21" s="70"/>
      <c r="CH21" s="70"/>
      <c r="CI21" s="70"/>
      <c r="CJ21" s="70"/>
      <c r="CK21" s="70"/>
      <c r="CL21" s="70"/>
      <c r="CM21" s="70"/>
      <c r="CN21" s="70"/>
      <c r="CO21" s="70"/>
      <c r="CP21" s="70"/>
      <c r="CQ21" s="70"/>
      <c r="CR21" s="70"/>
      <c r="CS21" s="70"/>
      <c r="CT21" s="70"/>
      <c r="CU21" s="70"/>
      <c r="CV21" s="70"/>
      <c r="CW21" s="70"/>
    </row>
    <row r="22" spans="1:101" s="53" customFormat="1" ht="18.75">
      <c r="A22" s="133" t="str">
        <f t="shared" si="54"/>
        <v>3.2</v>
      </c>
      <c r="B22" s="154" t="s">
        <v>135</v>
      </c>
      <c r="C22" s="134" t="s">
        <v>171</v>
      </c>
      <c r="D22" s="135">
        <v>43661</v>
      </c>
      <c r="E22" s="136">
        <f t="shared" ref="E22" si="55">IF(ISBLANK(D22)," - ",IF(F22=0,D22,D22+F22-1))</f>
        <v>43664</v>
      </c>
      <c r="F22" s="137">
        <v>4</v>
      </c>
      <c r="G22" s="138">
        <v>0</v>
      </c>
      <c r="H22" s="155">
        <f t="shared" si="53"/>
        <v>4</v>
      </c>
      <c r="I22" s="54"/>
      <c r="J22" s="68"/>
      <c r="K22" s="70"/>
      <c r="L22" s="70"/>
      <c r="M22" s="70"/>
      <c r="N22" s="70"/>
      <c r="O22" s="129"/>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0"/>
      <c r="BZ22" s="70"/>
      <c r="CA22" s="70"/>
      <c r="CB22" s="70"/>
      <c r="CC22" s="70"/>
      <c r="CD22" s="70"/>
      <c r="CE22" s="70"/>
      <c r="CF22" s="70"/>
      <c r="CG22" s="70"/>
      <c r="CH22" s="70"/>
      <c r="CI22" s="70"/>
      <c r="CJ22" s="70"/>
      <c r="CK22" s="70"/>
      <c r="CL22" s="70"/>
      <c r="CM22" s="70"/>
      <c r="CN22" s="70"/>
      <c r="CO22" s="70"/>
      <c r="CP22" s="70"/>
      <c r="CQ22" s="70"/>
      <c r="CR22" s="70"/>
      <c r="CS22" s="70"/>
      <c r="CT22" s="70"/>
      <c r="CU22" s="70"/>
      <c r="CV22" s="70"/>
      <c r="CW22" s="70"/>
    </row>
    <row r="23" spans="1:101" s="53" customFormat="1" ht="18.75">
      <c r="A23" s="133" t="str">
        <f t="shared" si="54"/>
        <v>3.3</v>
      </c>
      <c r="B23" s="154" t="s">
        <v>157</v>
      </c>
      <c r="C23" s="134" t="s">
        <v>172</v>
      </c>
      <c r="D23" s="135">
        <v>43664</v>
      </c>
      <c r="E23" s="136">
        <f t="shared" ref="E23" si="56">IF(ISBLANK(D23)," - ",IF(F23=0,D23,D23+F23-1))</f>
        <v>43672</v>
      </c>
      <c r="F23" s="137">
        <v>9</v>
      </c>
      <c r="G23" s="138">
        <v>0</v>
      </c>
      <c r="H23" s="155">
        <f t="shared" si="53"/>
        <v>7</v>
      </c>
      <c r="I23" s="54"/>
      <c r="J23" s="68"/>
      <c r="K23" s="70"/>
      <c r="L23" s="70"/>
      <c r="M23" s="70"/>
      <c r="N23" s="70"/>
      <c r="O23" s="129"/>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0"/>
      <c r="CD23" s="70"/>
      <c r="CE23" s="70"/>
      <c r="CF23" s="70"/>
      <c r="CG23" s="70"/>
      <c r="CH23" s="70"/>
      <c r="CI23" s="70"/>
      <c r="CJ23" s="70"/>
      <c r="CK23" s="70"/>
      <c r="CL23" s="70"/>
      <c r="CM23" s="70"/>
      <c r="CN23" s="70"/>
      <c r="CO23" s="70"/>
      <c r="CP23" s="70"/>
      <c r="CQ23" s="70"/>
      <c r="CR23" s="70"/>
      <c r="CS23" s="70"/>
      <c r="CT23" s="70"/>
      <c r="CU23" s="70"/>
      <c r="CV23" s="70"/>
      <c r="CW23" s="70"/>
    </row>
    <row r="24" spans="1:101" s="53" customFormat="1" ht="18.75">
      <c r="A24" s="133" t="str">
        <f t="shared" si="54"/>
        <v>3.4</v>
      </c>
      <c r="B24" s="154" t="s">
        <v>149</v>
      </c>
      <c r="C24" s="134" t="s">
        <v>160</v>
      </c>
      <c r="D24" s="135">
        <v>43675</v>
      </c>
      <c r="E24" s="136">
        <f t="shared" ref="E24" si="57">IF(ISBLANK(D24)," - ",IF(F24=0,D24,D24+F24-1))</f>
        <v>43678</v>
      </c>
      <c r="F24" s="137">
        <v>4</v>
      </c>
      <c r="G24" s="138">
        <v>0</v>
      </c>
      <c r="H24" s="155">
        <f t="shared" si="53"/>
        <v>4</v>
      </c>
      <c r="I24" s="54"/>
      <c r="J24" s="68"/>
      <c r="K24" s="70"/>
      <c r="L24" s="70"/>
      <c r="M24" s="70"/>
      <c r="N24" s="70"/>
      <c r="O24" s="129"/>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0"/>
      <c r="CD24" s="70"/>
      <c r="CE24" s="70"/>
      <c r="CF24" s="70"/>
      <c r="CG24" s="70"/>
      <c r="CH24" s="70"/>
      <c r="CI24" s="70"/>
      <c r="CJ24" s="70"/>
      <c r="CK24" s="70"/>
      <c r="CL24" s="70"/>
      <c r="CM24" s="70"/>
      <c r="CN24" s="70"/>
      <c r="CO24" s="70"/>
      <c r="CP24" s="70"/>
      <c r="CQ24" s="70"/>
      <c r="CR24" s="70"/>
      <c r="CS24" s="70"/>
      <c r="CT24" s="70"/>
      <c r="CU24" s="70"/>
      <c r="CV24" s="70"/>
      <c r="CW24" s="70"/>
    </row>
    <row r="25" spans="1:101" s="53" customFormat="1" ht="18.75">
      <c r="A25" s="133" t="str">
        <f t="shared" si="54"/>
        <v>3.5</v>
      </c>
      <c r="B25" s="154" t="s">
        <v>136</v>
      </c>
      <c r="C25" s="134" t="s">
        <v>161</v>
      </c>
      <c r="D25" s="135">
        <v>43664</v>
      </c>
      <c r="E25" s="136">
        <f>IF(ISBLANK(D25)," - ",IF(F25=0,D25,D25+F25-1))</f>
        <v>43669</v>
      </c>
      <c r="F25" s="137">
        <v>6</v>
      </c>
      <c r="G25" s="138">
        <v>0</v>
      </c>
      <c r="H25" s="155">
        <f>IF(OR(E25=0,D25=0)," - ",NETWORKDAYS(D25,E25))</f>
        <v>4</v>
      </c>
      <c r="I25" s="54"/>
      <c r="J25" s="68"/>
      <c r="K25" s="70"/>
      <c r="L25" s="70"/>
      <c r="M25" s="70"/>
      <c r="N25" s="70"/>
      <c r="O25" s="129"/>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c r="BZ25" s="70"/>
      <c r="CA25" s="70"/>
      <c r="CB25" s="70"/>
      <c r="CC25" s="70"/>
      <c r="CD25" s="70"/>
      <c r="CE25" s="70"/>
      <c r="CF25" s="70"/>
      <c r="CG25" s="70"/>
      <c r="CH25" s="70"/>
      <c r="CI25" s="70"/>
      <c r="CJ25" s="70"/>
      <c r="CK25" s="70"/>
      <c r="CL25" s="70"/>
      <c r="CM25" s="70"/>
      <c r="CN25" s="70"/>
      <c r="CO25" s="70"/>
      <c r="CP25" s="70"/>
      <c r="CQ25" s="70"/>
      <c r="CR25" s="70"/>
      <c r="CS25" s="70"/>
      <c r="CT25" s="70"/>
      <c r="CU25" s="70"/>
      <c r="CV25" s="70"/>
      <c r="CW25" s="70"/>
    </row>
    <row r="26" spans="1:101" s="53" customFormat="1" ht="18.75">
      <c r="A26" s="133" t="str">
        <f t="shared" si="54"/>
        <v>3.6</v>
      </c>
      <c r="B26" s="154" t="s">
        <v>137</v>
      </c>
      <c r="C26" s="134" t="s">
        <v>173</v>
      </c>
      <c r="D26" s="135">
        <v>43301</v>
      </c>
      <c r="E26" s="136">
        <f t="shared" ref="E26" si="58">IF(ISBLANK(D26)," - ",IF(F26=0,D26,D26+F26-1))</f>
        <v>43303</v>
      </c>
      <c r="F26" s="137">
        <v>3</v>
      </c>
      <c r="G26" s="138">
        <v>0</v>
      </c>
      <c r="H26" s="155">
        <f>IF(OR(E26=0,D26=0)," - ",NETWORKDAYS(D26,E26))</f>
        <v>1</v>
      </c>
      <c r="I26" s="54"/>
      <c r="J26" s="68"/>
      <c r="K26" s="70"/>
      <c r="L26" s="70"/>
      <c r="M26" s="70"/>
      <c r="N26" s="70"/>
      <c r="O26" s="129"/>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0"/>
      <c r="CD26" s="70"/>
      <c r="CE26" s="70"/>
      <c r="CF26" s="70"/>
      <c r="CG26" s="70"/>
      <c r="CH26" s="70"/>
      <c r="CI26" s="70"/>
      <c r="CJ26" s="70"/>
      <c r="CK26" s="70"/>
      <c r="CL26" s="70"/>
      <c r="CM26" s="70"/>
      <c r="CN26" s="70"/>
      <c r="CO26" s="70"/>
      <c r="CP26" s="70"/>
      <c r="CQ26" s="70"/>
      <c r="CR26" s="70"/>
      <c r="CS26" s="70"/>
      <c r="CT26" s="70"/>
      <c r="CU26" s="70"/>
      <c r="CV26" s="70"/>
      <c r="CW26" s="70"/>
    </row>
    <row r="27" spans="1:101" s="53" customFormat="1" ht="18.75">
      <c r="A27" s="133" t="str">
        <f t="shared" si="54"/>
        <v>3.7</v>
      </c>
      <c r="B27" s="154" t="s">
        <v>166</v>
      </c>
      <c r="C27" s="134" t="s">
        <v>163</v>
      </c>
      <c r="D27" s="135">
        <v>43682</v>
      </c>
      <c r="E27" s="136">
        <f t="shared" ref="E27:E28" si="59">IF(ISBLANK(D27)," - ",IF(F27=0,D27,D27+F27-1))</f>
        <v>43711</v>
      </c>
      <c r="F27" s="137">
        <v>30</v>
      </c>
      <c r="G27" s="138">
        <v>0</v>
      </c>
      <c r="H27" s="155">
        <f t="shared" ref="H27:H28" si="60">IF(OR(E27=0,D27=0)," - ",NETWORKDAYS(D27,E27))</f>
        <v>22</v>
      </c>
      <c r="I27" s="54"/>
      <c r="J27" s="68"/>
      <c r="K27" s="70"/>
      <c r="L27" s="70"/>
      <c r="M27" s="70"/>
      <c r="N27" s="70"/>
      <c r="O27" s="129"/>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0"/>
      <c r="CD27" s="70"/>
      <c r="CE27" s="70"/>
      <c r="CF27" s="70"/>
      <c r="CG27" s="70"/>
      <c r="CH27" s="70"/>
      <c r="CI27" s="70"/>
      <c r="CJ27" s="70"/>
      <c r="CK27" s="70"/>
      <c r="CL27" s="70"/>
      <c r="CM27" s="70"/>
      <c r="CN27" s="70"/>
      <c r="CO27" s="70"/>
      <c r="CP27" s="70"/>
      <c r="CQ27" s="70"/>
      <c r="CR27" s="70"/>
      <c r="CS27" s="70"/>
      <c r="CT27" s="70"/>
      <c r="CU27" s="70"/>
      <c r="CV27" s="70"/>
      <c r="CW27" s="70"/>
    </row>
    <row r="28" spans="1:101" s="53" customFormat="1" ht="18.75">
      <c r="A28" s="133" t="str">
        <f t="shared" si="54"/>
        <v>3.8</v>
      </c>
      <c r="B28" s="154" t="s">
        <v>150</v>
      </c>
      <c r="C28" s="154" t="s">
        <v>174</v>
      </c>
      <c r="D28" s="135">
        <v>43713</v>
      </c>
      <c r="E28" s="136">
        <f t="shared" si="59"/>
        <v>43719</v>
      </c>
      <c r="F28" s="137">
        <v>7</v>
      </c>
      <c r="G28" s="138">
        <v>0</v>
      </c>
      <c r="H28" s="155">
        <f t="shared" si="60"/>
        <v>5</v>
      </c>
      <c r="I28" s="54"/>
      <c r="J28" s="68"/>
      <c r="K28" s="70"/>
      <c r="L28" s="70"/>
      <c r="M28" s="70"/>
      <c r="N28" s="70"/>
      <c r="O28" s="129"/>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0"/>
      <c r="BZ28" s="70"/>
      <c r="CA28" s="70"/>
      <c r="CB28" s="70"/>
      <c r="CC28" s="70"/>
      <c r="CD28" s="70"/>
      <c r="CE28" s="70"/>
      <c r="CF28" s="70"/>
      <c r="CG28" s="70"/>
      <c r="CH28" s="70"/>
      <c r="CI28" s="70"/>
      <c r="CJ28" s="70"/>
      <c r="CK28" s="70"/>
      <c r="CL28" s="70"/>
      <c r="CM28" s="70"/>
      <c r="CN28" s="70"/>
      <c r="CO28" s="70"/>
      <c r="CP28" s="70"/>
      <c r="CQ28" s="70"/>
      <c r="CR28" s="70"/>
      <c r="CS28" s="70"/>
      <c r="CT28" s="70"/>
      <c r="CU28" s="70"/>
      <c r="CV28" s="70"/>
      <c r="CW28" s="70"/>
    </row>
    <row r="29" spans="1:101" s="53" customFormat="1" ht="18.75">
      <c r="A29" s="133" t="str">
        <f t="shared" si="54"/>
        <v>3.9</v>
      </c>
      <c r="B29" s="154" t="s">
        <v>138</v>
      </c>
      <c r="C29" s="154" t="s">
        <v>175</v>
      </c>
      <c r="D29" s="135">
        <v>43353</v>
      </c>
      <c r="E29" s="136">
        <f t="shared" ref="E29" si="61">IF(ISBLANK(D29)," - ",IF(F29=0,D29,D29+F29-1))</f>
        <v>43359</v>
      </c>
      <c r="F29" s="137">
        <v>7</v>
      </c>
      <c r="G29" s="138">
        <v>0</v>
      </c>
      <c r="H29" s="155">
        <f t="shared" ref="H29:H30" si="62">IF(OR(E29=0,D29=0)," - ",NETWORKDAYS(D29,E29))</f>
        <v>5</v>
      </c>
      <c r="I29" s="54"/>
      <c r="J29" s="68"/>
      <c r="K29" s="70"/>
      <c r="L29" s="70"/>
      <c r="M29" s="70"/>
      <c r="N29" s="70"/>
      <c r="O29" s="129"/>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0"/>
      <c r="CD29" s="70"/>
      <c r="CE29" s="70"/>
      <c r="CF29" s="70"/>
      <c r="CG29" s="70"/>
      <c r="CH29" s="70"/>
      <c r="CI29" s="70"/>
      <c r="CJ29" s="70"/>
      <c r="CK29" s="70"/>
      <c r="CL29" s="70"/>
      <c r="CM29" s="70"/>
      <c r="CN29" s="70"/>
      <c r="CO29" s="70"/>
      <c r="CP29" s="70"/>
      <c r="CQ29" s="70"/>
      <c r="CR29" s="70"/>
      <c r="CS29" s="70"/>
      <c r="CT29" s="70"/>
      <c r="CU29" s="70"/>
      <c r="CV29" s="70"/>
      <c r="CW29" s="70"/>
    </row>
    <row r="30" spans="1:101" s="49" customFormat="1" ht="18.75">
      <c r="A30" s="140" t="str">
        <f>IF(ISERROR(VALUE(SUBSTITUTE(prevWBS,".",""))),"1",IF(ISERROR(FIND("`",SUBSTITUTE(prevWBS,".","`",1))),TEXT(VALUE(prevWBS)+1,"#"),TEXT(VALUE(LEFT(prevWBS,FIND("`",SUBSTITUTE(prevWBS,".","`",1))-1))+1,"#")))</f>
        <v>4</v>
      </c>
      <c r="B30" s="141" t="s">
        <v>148</v>
      </c>
      <c r="C30" s="142"/>
      <c r="D30" s="143"/>
      <c r="E30" s="143" t="b">
        <f>B29=IF(ISBLANK(D30)," - ",IF(F30=0,D30,D30+F30-1))</f>
        <v>0</v>
      </c>
      <c r="F30" s="144"/>
      <c r="G30" s="145"/>
      <c r="H30" s="146" t="str">
        <f t="shared" si="62"/>
        <v xml:space="preserve"> - </v>
      </c>
      <c r="I30" s="50"/>
      <c r="J30" s="67"/>
      <c r="K30" s="72"/>
      <c r="L30" s="72"/>
      <c r="M30" s="72"/>
      <c r="N30" s="72"/>
      <c r="O30" s="129"/>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row>
    <row r="31" spans="1:101" s="51" customFormat="1" ht="18.75">
      <c r="A31" s="133"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31" s="132" t="s">
        <v>144</v>
      </c>
      <c r="C31" s="134" t="s">
        <v>177</v>
      </c>
      <c r="D31" s="135">
        <v>43282</v>
      </c>
      <c r="E31" s="136">
        <f>IF(ISBLANK(D31)," - ",IF(F31=0,D31,D31+F31-1))</f>
        <v>43286</v>
      </c>
      <c r="F31" s="137">
        <v>5</v>
      </c>
      <c r="G31" s="138">
        <v>0</v>
      </c>
      <c r="H31" s="139">
        <v>10</v>
      </c>
      <c r="I31" s="52"/>
      <c r="J31" s="66"/>
      <c r="K31" s="70"/>
      <c r="L31" s="70"/>
      <c r="M31" s="70"/>
      <c r="N31" s="70"/>
      <c r="O31" s="129"/>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0"/>
      <c r="BZ31" s="70"/>
      <c r="CA31" s="70"/>
      <c r="CB31" s="70"/>
      <c r="CC31" s="70"/>
      <c r="CD31" s="70"/>
      <c r="CE31" s="70"/>
      <c r="CF31" s="70"/>
      <c r="CG31" s="70"/>
      <c r="CH31" s="70"/>
      <c r="CI31" s="70"/>
      <c r="CJ31" s="70"/>
      <c r="CK31" s="70"/>
      <c r="CL31" s="70"/>
      <c r="CM31" s="70"/>
      <c r="CN31" s="70"/>
      <c r="CO31" s="70"/>
      <c r="CP31" s="70"/>
      <c r="CQ31" s="70"/>
      <c r="CR31" s="70"/>
      <c r="CS31" s="70"/>
      <c r="CT31" s="70"/>
      <c r="CU31" s="70"/>
      <c r="CV31" s="70"/>
      <c r="CW31" s="70"/>
    </row>
    <row r="32" spans="1:101" s="51" customFormat="1" ht="18.75">
      <c r="A32" s="133"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32" s="132" t="s">
        <v>145</v>
      </c>
      <c r="C32" s="134" t="s">
        <v>177</v>
      </c>
      <c r="D32" s="135">
        <v>43286</v>
      </c>
      <c r="E32" s="136">
        <f>IF(ISBLANK(D32)," - ",IF(F32=0,D32,D32+F32-1))</f>
        <v>43286</v>
      </c>
      <c r="F32" s="137">
        <v>1</v>
      </c>
      <c r="G32" s="138">
        <v>0</v>
      </c>
      <c r="H32" s="139">
        <v>10</v>
      </c>
      <c r="I32" s="52"/>
      <c r="J32" s="66"/>
      <c r="K32" s="70"/>
      <c r="L32" s="70"/>
      <c r="M32" s="70"/>
      <c r="N32" s="70"/>
      <c r="O32" s="129"/>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0"/>
      <c r="BZ32" s="70"/>
      <c r="CA32" s="70"/>
      <c r="CB32" s="70"/>
      <c r="CC32" s="70"/>
      <c r="CD32" s="70"/>
      <c r="CE32" s="70"/>
      <c r="CF32" s="70"/>
      <c r="CG32" s="70"/>
      <c r="CH32" s="70"/>
      <c r="CI32" s="70"/>
      <c r="CJ32" s="70"/>
      <c r="CK32" s="70"/>
      <c r="CL32" s="70"/>
      <c r="CM32" s="70"/>
      <c r="CN32" s="70"/>
      <c r="CO32" s="70"/>
      <c r="CP32" s="70"/>
      <c r="CQ32" s="70"/>
      <c r="CR32" s="70"/>
      <c r="CS32" s="70"/>
      <c r="CT32" s="70"/>
      <c r="CU32" s="70"/>
      <c r="CV32" s="70"/>
      <c r="CW32" s="70"/>
    </row>
    <row r="33" spans="1:101" s="51" customFormat="1" ht="18.75">
      <c r="A33" s="133"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33" s="132" t="s">
        <v>146</v>
      </c>
      <c r="C33" s="134" t="s">
        <v>176</v>
      </c>
      <c r="D33" s="135">
        <v>43651</v>
      </c>
      <c r="E33" s="136">
        <f>IF(ISBLANK(D33)," - ",IF(F33=0,D33,D33+F33-1))</f>
        <v>43670</v>
      </c>
      <c r="F33" s="137">
        <v>20</v>
      </c>
      <c r="G33" s="138">
        <v>0</v>
      </c>
      <c r="H33" s="139">
        <v>8</v>
      </c>
      <c r="I33" s="52"/>
      <c r="J33" s="66"/>
      <c r="K33" s="70"/>
      <c r="L33" s="70"/>
      <c r="M33" s="70"/>
      <c r="N33" s="70"/>
      <c r="O33" s="129"/>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0"/>
      <c r="CD33" s="70"/>
      <c r="CE33" s="70"/>
      <c r="CF33" s="70"/>
      <c r="CG33" s="70"/>
      <c r="CH33" s="70"/>
      <c r="CI33" s="70"/>
      <c r="CJ33" s="70"/>
      <c r="CK33" s="70"/>
      <c r="CL33" s="70"/>
      <c r="CM33" s="70"/>
      <c r="CN33" s="70"/>
      <c r="CO33" s="70"/>
      <c r="CP33" s="70"/>
      <c r="CQ33" s="70"/>
      <c r="CR33" s="70"/>
      <c r="CS33" s="70"/>
      <c r="CT33" s="70"/>
      <c r="CU33" s="70"/>
      <c r="CV33" s="70"/>
      <c r="CW33" s="70"/>
    </row>
    <row r="34" spans="1:101" s="51" customFormat="1" ht="18.75">
      <c r="A34" s="133"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34" s="132" t="s">
        <v>147</v>
      </c>
      <c r="C34" s="134" t="s">
        <v>176</v>
      </c>
      <c r="D34" s="135">
        <v>43670</v>
      </c>
      <c r="E34" s="136">
        <f>IF(ISBLANK(D34)," - ",IF(D33=0,D34,D34+F34-1))</f>
        <v>43676</v>
      </c>
      <c r="F34" s="137">
        <v>7</v>
      </c>
      <c r="G34" s="138">
        <v>0</v>
      </c>
      <c r="H34" s="139">
        <v>5</v>
      </c>
      <c r="I34" s="52"/>
      <c r="J34" s="66"/>
      <c r="K34" s="70"/>
      <c r="L34" s="70"/>
      <c r="M34" s="70"/>
      <c r="N34" s="70"/>
      <c r="O34" s="129"/>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c r="CB34" s="70"/>
      <c r="CC34" s="70"/>
      <c r="CD34" s="70"/>
      <c r="CE34" s="70"/>
      <c r="CF34" s="70"/>
      <c r="CG34" s="70"/>
      <c r="CH34" s="70"/>
      <c r="CI34" s="70"/>
      <c r="CJ34" s="70"/>
      <c r="CK34" s="70"/>
      <c r="CL34" s="70"/>
      <c r="CM34" s="70"/>
      <c r="CN34" s="70"/>
      <c r="CO34" s="70"/>
      <c r="CP34" s="70"/>
      <c r="CQ34" s="70"/>
      <c r="CR34" s="70"/>
      <c r="CS34" s="70"/>
      <c r="CT34" s="70"/>
      <c r="CU34" s="70"/>
      <c r="CV34" s="70"/>
      <c r="CW34" s="70"/>
    </row>
    <row r="35" spans="1:101" s="31" customFormat="1">
      <c r="A35" s="29"/>
      <c r="B35" s="30"/>
      <c r="C35" s="30"/>
      <c r="D35" s="30"/>
      <c r="E35" s="30"/>
      <c r="F35" s="30"/>
      <c r="G35" s="30"/>
      <c r="H35" s="30"/>
      <c r="I35" s="30"/>
      <c r="J35" s="30"/>
      <c r="K35" s="30"/>
      <c r="L35" s="30"/>
      <c r="M35" s="30"/>
      <c r="N35" s="30"/>
      <c r="O35" s="1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row>
  </sheetData>
  <sheetProtection formatCells="0" formatColumns="0" formatRows="0" insertRows="0" deleteRows="0"/>
  <mergeCells count="29">
    <mergeCell ref="K1:AE1"/>
    <mergeCell ref="C5:D5"/>
    <mergeCell ref="R4:X4"/>
    <mergeCell ref="K4:Q4"/>
    <mergeCell ref="C4:D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 ref="CJ4:CP4"/>
    <mergeCell ref="CJ5:CP5"/>
    <mergeCell ref="CQ4:CW4"/>
    <mergeCell ref="CQ5:CW5"/>
    <mergeCell ref="BO4:BU4"/>
    <mergeCell ref="BO5:BU5"/>
    <mergeCell ref="BV4:CB4"/>
    <mergeCell ref="BV5:CB5"/>
    <mergeCell ref="CC4:CI4"/>
    <mergeCell ref="CC5:CI5"/>
  </mergeCells>
  <phoneticPr fontId="3" type="noConversion"/>
  <conditionalFormatting sqref="G29 G34 G19 G8:G11">
    <cfRule type="dataBar" priority="385">
      <dataBar>
        <cfvo type="num" val="0"/>
        <cfvo type="num" val="1"/>
        <color theme="0" tint="-0.34998626667073579"/>
      </dataBar>
      <extLst xmlns:x14="http://schemas.microsoft.com/office/spreadsheetml/2009/9/main">
        <ext uri="{B025F937-C7B1-47D3-B67F-A62EFF666E3E}">
          <x14:id>{0A58A75E-4698-465A-8593-F06B91A3A900}</x14:id>
        </ext>
      </extLst>
    </cfRule>
  </conditionalFormatting>
  <conditionalFormatting sqref="K6:BN7">
    <cfRule type="expression" dxfId="133" priority="428">
      <formula>K$6=TODAY()</formula>
    </cfRule>
  </conditionalFormatting>
  <conditionalFormatting sqref="K8:CW34">
    <cfRule type="expression" dxfId="132" priority="431">
      <formula>AND($D8&lt;=K$6,ROUNDDOWN(($E8-$D8+1)*$G8,0)+$D8-1&gt;=K$6)</formula>
    </cfRule>
    <cfRule type="expression" dxfId="131" priority="432">
      <formula>AND(NOT(ISBLANK($D8)),$D8&lt;=K$6,$E8&gt;=K$6)</formula>
    </cfRule>
  </conditionalFormatting>
  <conditionalFormatting sqref="K19:BN19 K29:BN29 K34:BN34 K6:CW11">
    <cfRule type="expression" dxfId="130" priority="391">
      <formula>K$6=TODAY()</formula>
    </cfRule>
  </conditionalFormatting>
  <conditionalFormatting sqref="G20">
    <cfRule type="dataBar" priority="380">
      <dataBar>
        <cfvo type="num" val="0"/>
        <cfvo type="num" val="1"/>
        <color theme="0" tint="-0.34998626667073579"/>
      </dataBar>
      <extLst xmlns:x14="http://schemas.microsoft.com/office/spreadsheetml/2009/9/main">
        <ext uri="{B025F937-C7B1-47D3-B67F-A62EFF666E3E}">
          <x14:id>{8DF63CB2-49CC-48E6-B74C-07CAA358B1E0}</x14:id>
        </ext>
      </extLst>
    </cfRule>
  </conditionalFormatting>
  <conditionalFormatting sqref="K20:BN20">
    <cfRule type="expression" dxfId="129" priority="381">
      <formula>K$6=TODAY()</formula>
    </cfRule>
  </conditionalFormatting>
  <conditionalFormatting sqref="G21">
    <cfRule type="dataBar" priority="376">
      <dataBar>
        <cfvo type="num" val="0"/>
        <cfvo type="num" val="1"/>
        <color theme="0" tint="-0.34998626667073579"/>
      </dataBar>
      <extLst xmlns:x14="http://schemas.microsoft.com/office/spreadsheetml/2009/9/main">
        <ext uri="{B025F937-C7B1-47D3-B67F-A62EFF666E3E}">
          <x14:id>{D9044BDB-1317-4151-828C-EDB94C774A66}</x14:id>
        </ext>
      </extLst>
    </cfRule>
  </conditionalFormatting>
  <conditionalFormatting sqref="K21:BN21">
    <cfRule type="expression" dxfId="128" priority="377">
      <formula>K$6=TODAY()</formula>
    </cfRule>
  </conditionalFormatting>
  <conditionalFormatting sqref="G15">
    <cfRule type="dataBar" priority="372">
      <dataBar>
        <cfvo type="num" val="0"/>
        <cfvo type="num" val="1"/>
        <color theme="0" tint="-0.34998626667073579"/>
      </dataBar>
      <extLst xmlns:x14="http://schemas.microsoft.com/office/spreadsheetml/2009/9/main">
        <ext uri="{B025F937-C7B1-47D3-B67F-A62EFF666E3E}">
          <x14:id>{8A8D2FE7-1494-49D4-A5D3-5B6025D091FE}</x14:id>
        </ext>
      </extLst>
    </cfRule>
  </conditionalFormatting>
  <conditionalFormatting sqref="K15:BN15">
    <cfRule type="expression" dxfId="127" priority="373">
      <formula>K$6=TODAY()</formula>
    </cfRule>
  </conditionalFormatting>
  <conditionalFormatting sqref="G30">
    <cfRule type="dataBar" priority="364">
      <dataBar>
        <cfvo type="num" val="0"/>
        <cfvo type="num" val="1"/>
        <color theme="0" tint="-0.34998626667073579"/>
      </dataBar>
      <extLst xmlns:x14="http://schemas.microsoft.com/office/spreadsheetml/2009/9/main">
        <ext uri="{B025F937-C7B1-47D3-B67F-A62EFF666E3E}">
          <x14:id>{A4B12341-7348-4322-B088-0FEE828A25E7}</x14:id>
        </ext>
      </extLst>
    </cfRule>
  </conditionalFormatting>
  <conditionalFormatting sqref="K30:BN30">
    <cfRule type="expression" dxfId="126" priority="365">
      <formula>K$6=TODAY()</formula>
    </cfRule>
  </conditionalFormatting>
  <conditionalFormatting sqref="G12">
    <cfRule type="dataBar" priority="356">
      <dataBar>
        <cfvo type="num" val="0"/>
        <cfvo type="num" val="1"/>
        <color theme="0" tint="-0.34998626667073579"/>
      </dataBar>
      <extLst xmlns:x14="http://schemas.microsoft.com/office/spreadsheetml/2009/9/main">
        <ext uri="{B025F937-C7B1-47D3-B67F-A62EFF666E3E}">
          <x14:id>{C209DFE0-05E6-4C1A-B16E-1BBF58AC23C0}</x14:id>
        </ext>
      </extLst>
    </cfRule>
  </conditionalFormatting>
  <conditionalFormatting sqref="K12:BN12">
    <cfRule type="expression" dxfId="125" priority="357">
      <formula>K$6=TODAY()</formula>
    </cfRule>
  </conditionalFormatting>
  <conditionalFormatting sqref="G13">
    <cfRule type="dataBar" priority="352">
      <dataBar>
        <cfvo type="num" val="0"/>
        <cfvo type="num" val="1"/>
        <color theme="0" tint="-0.34998626667073579"/>
      </dataBar>
      <extLst xmlns:x14="http://schemas.microsoft.com/office/spreadsheetml/2009/9/main">
        <ext uri="{B025F937-C7B1-47D3-B67F-A62EFF666E3E}">
          <x14:id>{D3DA076B-89A7-4319-9E0F-1ADBCEFC1B66}</x14:id>
        </ext>
      </extLst>
    </cfRule>
  </conditionalFormatting>
  <conditionalFormatting sqref="K13:BN13">
    <cfRule type="expression" dxfId="124" priority="353">
      <formula>K$6=TODAY()</formula>
    </cfRule>
  </conditionalFormatting>
  <conditionalFormatting sqref="G14">
    <cfRule type="dataBar" priority="348">
      <dataBar>
        <cfvo type="num" val="0"/>
        <cfvo type="num" val="1"/>
        <color theme="0" tint="-0.34998626667073579"/>
      </dataBar>
      <extLst xmlns:x14="http://schemas.microsoft.com/office/spreadsheetml/2009/9/main">
        <ext uri="{B025F937-C7B1-47D3-B67F-A62EFF666E3E}">
          <x14:id>{B6BCF367-5B8C-482B-A13E-EE9D37179DF7}</x14:id>
        </ext>
      </extLst>
    </cfRule>
  </conditionalFormatting>
  <conditionalFormatting sqref="K14:BN14">
    <cfRule type="expression" dxfId="123" priority="349">
      <formula>K$6=TODAY()</formula>
    </cfRule>
  </conditionalFormatting>
  <conditionalFormatting sqref="G17">
    <cfRule type="dataBar" priority="344">
      <dataBar>
        <cfvo type="num" val="0"/>
        <cfvo type="num" val="1"/>
        <color theme="0" tint="-0.34998626667073579"/>
      </dataBar>
      <extLst xmlns:x14="http://schemas.microsoft.com/office/spreadsheetml/2009/9/main">
        <ext uri="{B025F937-C7B1-47D3-B67F-A62EFF666E3E}">
          <x14:id>{396851A8-B8B9-4E96-A079-697B5DF9F8D0}</x14:id>
        </ext>
      </extLst>
    </cfRule>
  </conditionalFormatting>
  <conditionalFormatting sqref="K17:BN17">
    <cfRule type="expression" dxfId="122" priority="345">
      <formula>K$6=TODAY()</formula>
    </cfRule>
  </conditionalFormatting>
  <conditionalFormatting sqref="G16">
    <cfRule type="dataBar" priority="312">
      <dataBar>
        <cfvo type="num" val="0"/>
        <cfvo type="num" val="1"/>
        <color theme="0" tint="-0.34998626667073579"/>
      </dataBar>
      <extLst xmlns:x14="http://schemas.microsoft.com/office/spreadsheetml/2009/9/main">
        <ext uri="{B025F937-C7B1-47D3-B67F-A62EFF666E3E}">
          <x14:id>{A782A866-C070-46DF-B303-CFF4EB4493D0}</x14:id>
        </ext>
      </extLst>
    </cfRule>
  </conditionalFormatting>
  <conditionalFormatting sqref="K16:BN16">
    <cfRule type="expression" dxfId="121" priority="313">
      <formula>K$6=TODAY()</formula>
    </cfRule>
  </conditionalFormatting>
  <conditionalFormatting sqref="G18">
    <cfRule type="dataBar" priority="304">
      <dataBar>
        <cfvo type="num" val="0"/>
        <cfvo type="num" val="1"/>
        <color theme="0" tint="-0.34998626667073579"/>
      </dataBar>
      <extLst xmlns:x14="http://schemas.microsoft.com/office/spreadsheetml/2009/9/main">
        <ext uri="{B025F937-C7B1-47D3-B67F-A62EFF666E3E}">
          <x14:id>{183EFAAE-AD06-44B7-AF1E-6882C3B5943B}</x14:id>
        </ext>
      </extLst>
    </cfRule>
  </conditionalFormatting>
  <conditionalFormatting sqref="K18:BN18">
    <cfRule type="expression" dxfId="120" priority="305">
      <formula>K$6=TODAY()</formula>
    </cfRule>
  </conditionalFormatting>
  <conditionalFormatting sqref="G24">
    <cfRule type="dataBar" priority="300">
      <dataBar>
        <cfvo type="num" val="0"/>
        <cfvo type="num" val="1"/>
        <color theme="0" tint="-0.34998626667073579"/>
      </dataBar>
      <extLst xmlns:x14="http://schemas.microsoft.com/office/spreadsheetml/2009/9/main">
        <ext uri="{B025F937-C7B1-47D3-B67F-A62EFF666E3E}">
          <x14:id>{0F613C09-95EA-46B3-9D23-CA071163096E}</x14:id>
        </ext>
      </extLst>
    </cfRule>
  </conditionalFormatting>
  <conditionalFormatting sqref="K24:BN24">
    <cfRule type="expression" dxfId="119" priority="301">
      <formula>K$6=TODAY()</formula>
    </cfRule>
  </conditionalFormatting>
  <conditionalFormatting sqref="G22">
    <cfRule type="dataBar" priority="296">
      <dataBar>
        <cfvo type="num" val="0"/>
        <cfvo type="num" val="1"/>
        <color theme="0" tint="-0.34998626667073579"/>
      </dataBar>
      <extLst xmlns:x14="http://schemas.microsoft.com/office/spreadsheetml/2009/9/main">
        <ext uri="{B025F937-C7B1-47D3-B67F-A62EFF666E3E}">
          <x14:id>{1F867499-5B89-425B-B7B6-4F84472412A8}</x14:id>
        </ext>
      </extLst>
    </cfRule>
  </conditionalFormatting>
  <conditionalFormatting sqref="K22:BN22">
    <cfRule type="expression" dxfId="118" priority="297">
      <formula>K$6=TODAY()</formula>
    </cfRule>
  </conditionalFormatting>
  <conditionalFormatting sqref="G25">
    <cfRule type="dataBar" priority="280">
      <dataBar>
        <cfvo type="num" val="0"/>
        <cfvo type="num" val="1"/>
        <color theme="0" tint="-0.34998626667073579"/>
      </dataBar>
      <extLst xmlns:x14="http://schemas.microsoft.com/office/spreadsheetml/2009/9/main">
        <ext uri="{B025F937-C7B1-47D3-B67F-A62EFF666E3E}">
          <x14:id>{09876C4D-5F4D-4CD8-9EBE-0463E1CB4058}</x14:id>
        </ext>
      </extLst>
    </cfRule>
  </conditionalFormatting>
  <conditionalFormatting sqref="G28">
    <cfRule type="dataBar" priority="276">
      <dataBar>
        <cfvo type="num" val="0"/>
        <cfvo type="num" val="1"/>
        <color theme="0" tint="-0.34998626667073579"/>
      </dataBar>
      <extLst xmlns:x14="http://schemas.microsoft.com/office/spreadsheetml/2009/9/main">
        <ext uri="{B025F937-C7B1-47D3-B67F-A62EFF666E3E}">
          <x14:id>{ECB3629E-576A-4FEC-8B82-0AE39B03AD63}</x14:id>
        </ext>
      </extLst>
    </cfRule>
  </conditionalFormatting>
  <conditionalFormatting sqref="G23">
    <cfRule type="dataBar" priority="272">
      <dataBar>
        <cfvo type="num" val="0"/>
        <cfvo type="num" val="1"/>
        <color theme="0" tint="-0.34998626667073579"/>
      </dataBar>
      <extLst xmlns:x14="http://schemas.microsoft.com/office/spreadsheetml/2009/9/main">
        <ext uri="{B025F937-C7B1-47D3-B67F-A62EFF666E3E}">
          <x14:id>{30ED51CC-EE52-4B02-934C-8BEAFC4E7702}</x14:id>
        </ext>
      </extLst>
    </cfRule>
  </conditionalFormatting>
  <conditionalFormatting sqref="G27">
    <cfRule type="dataBar" priority="288">
      <dataBar>
        <cfvo type="num" val="0"/>
        <cfvo type="num" val="1"/>
        <color theme="0" tint="-0.34998626667073579"/>
      </dataBar>
      <extLst xmlns:x14="http://schemas.microsoft.com/office/spreadsheetml/2009/9/main">
        <ext uri="{B025F937-C7B1-47D3-B67F-A62EFF666E3E}">
          <x14:id>{4EE22B32-86AB-4EEE-81FB-D3EAC2DACEF6}</x14:id>
        </ext>
      </extLst>
    </cfRule>
  </conditionalFormatting>
  <conditionalFormatting sqref="K27:BN27">
    <cfRule type="expression" dxfId="117" priority="289">
      <formula>K$6=TODAY()</formula>
    </cfRule>
  </conditionalFormatting>
  <conditionalFormatting sqref="G26">
    <cfRule type="dataBar" priority="284">
      <dataBar>
        <cfvo type="num" val="0"/>
        <cfvo type="num" val="1"/>
        <color theme="0" tint="-0.34998626667073579"/>
      </dataBar>
      <extLst xmlns:x14="http://schemas.microsoft.com/office/spreadsheetml/2009/9/main">
        <ext uri="{B025F937-C7B1-47D3-B67F-A62EFF666E3E}">
          <x14:id>{4FFCBB61-912F-4B29-9C27-1645E887B914}</x14:id>
        </ext>
      </extLst>
    </cfRule>
  </conditionalFormatting>
  <conditionalFormatting sqref="K26:BN26">
    <cfRule type="expression" dxfId="116" priority="285">
      <formula>K$6=TODAY()</formula>
    </cfRule>
  </conditionalFormatting>
  <conditionalFormatting sqref="K25:BN25">
    <cfRule type="expression" dxfId="115" priority="281">
      <formula>K$6=TODAY()</formula>
    </cfRule>
  </conditionalFormatting>
  <conditionalFormatting sqref="K28:BN28">
    <cfRule type="expression" dxfId="114" priority="277">
      <formula>K$6=TODAY()</formula>
    </cfRule>
  </conditionalFormatting>
  <conditionalFormatting sqref="K23:BN23">
    <cfRule type="expression" dxfId="113" priority="273">
      <formula>K$6=TODAY()</formula>
    </cfRule>
  </conditionalFormatting>
  <conditionalFormatting sqref="G31">
    <cfRule type="dataBar" priority="264">
      <dataBar>
        <cfvo type="num" val="0"/>
        <cfvo type="num" val="1"/>
        <color theme="0" tint="-0.34998626667073579"/>
      </dataBar>
      <extLst xmlns:x14="http://schemas.microsoft.com/office/spreadsheetml/2009/9/main">
        <ext uri="{B025F937-C7B1-47D3-B67F-A62EFF666E3E}">
          <x14:id>{371DCCBD-BC24-406A-86A1-62D47E43A304}</x14:id>
        </ext>
      </extLst>
    </cfRule>
  </conditionalFormatting>
  <conditionalFormatting sqref="K31:BN31">
    <cfRule type="expression" dxfId="112" priority="265">
      <formula>K$6=TODAY()</formula>
    </cfRule>
  </conditionalFormatting>
  <conditionalFormatting sqref="G33">
    <cfRule type="dataBar" priority="260">
      <dataBar>
        <cfvo type="num" val="0"/>
        <cfvo type="num" val="1"/>
        <color theme="0" tint="-0.34998626667073579"/>
      </dataBar>
      <extLst xmlns:x14="http://schemas.microsoft.com/office/spreadsheetml/2009/9/main">
        <ext uri="{B025F937-C7B1-47D3-B67F-A62EFF666E3E}">
          <x14:id>{B6D4B475-DB62-4F4B-8437-B7781269DF1B}</x14:id>
        </ext>
      </extLst>
    </cfRule>
  </conditionalFormatting>
  <conditionalFormatting sqref="K33:BN33">
    <cfRule type="expression" dxfId="111" priority="261">
      <formula>K$6=TODAY()</formula>
    </cfRule>
  </conditionalFormatting>
  <conditionalFormatting sqref="G32">
    <cfRule type="dataBar" priority="256">
      <dataBar>
        <cfvo type="num" val="0"/>
        <cfvo type="num" val="1"/>
        <color theme="0" tint="-0.34998626667073579"/>
      </dataBar>
      <extLst xmlns:x14="http://schemas.microsoft.com/office/spreadsheetml/2009/9/main">
        <ext uri="{B025F937-C7B1-47D3-B67F-A62EFF666E3E}">
          <x14:id>{8DAB3527-58EA-410E-88F2-282E4E8C0F79}</x14:id>
        </ext>
      </extLst>
    </cfRule>
  </conditionalFormatting>
  <conditionalFormatting sqref="K32:BN32">
    <cfRule type="expression" dxfId="110" priority="257">
      <formula>K$6=TODAY()</formula>
    </cfRule>
  </conditionalFormatting>
  <conditionalFormatting sqref="BO6:BU7">
    <cfRule type="expression" dxfId="109" priority="253">
      <formula>BO$6=TODAY()</formula>
    </cfRule>
  </conditionalFormatting>
  <conditionalFormatting sqref="BO19:BU19 BO29:BU29 BO34:BU34">
    <cfRule type="expression" dxfId="108" priority="252">
      <formula>BO$6=TODAY()</formula>
    </cfRule>
  </conditionalFormatting>
  <conditionalFormatting sqref="BO20:BU20">
    <cfRule type="expression" dxfId="107" priority="251">
      <formula>BO$6=TODAY()</formula>
    </cfRule>
  </conditionalFormatting>
  <conditionalFormatting sqref="BO21:BU21">
    <cfRule type="expression" dxfId="106" priority="250">
      <formula>BO$6=TODAY()</formula>
    </cfRule>
  </conditionalFormatting>
  <conditionalFormatting sqref="BO15:BU15">
    <cfRule type="expression" dxfId="105" priority="249">
      <formula>BO$6=TODAY()</formula>
    </cfRule>
  </conditionalFormatting>
  <conditionalFormatting sqref="BO30:BU30">
    <cfRule type="expression" dxfId="104" priority="248">
      <formula>BO$6=TODAY()</formula>
    </cfRule>
  </conditionalFormatting>
  <conditionalFormatting sqref="BO12:BU12">
    <cfRule type="expression" dxfId="103" priority="245">
      <formula>BO$6=TODAY()</formula>
    </cfRule>
  </conditionalFormatting>
  <conditionalFormatting sqref="BO13:BU13">
    <cfRule type="expression" dxfId="102" priority="242">
      <formula>BO$6=TODAY()</formula>
    </cfRule>
  </conditionalFormatting>
  <conditionalFormatting sqref="BO14:BU14">
    <cfRule type="expression" dxfId="101" priority="239">
      <formula>BO$6=TODAY()</formula>
    </cfRule>
  </conditionalFormatting>
  <conditionalFormatting sqref="BO17:BU17">
    <cfRule type="expression" dxfId="100" priority="238">
      <formula>BO$6=TODAY()</formula>
    </cfRule>
  </conditionalFormatting>
  <conditionalFormatting sqref="BO16:BU16">
    <cfRule type="expression" dxfId="99" priority="229">
      <formula>BO$6=TODAY()</formula>
    </cfRule>
  </conditionalFormatting>
  <conditionalFormatting sqref="BO18:BU18">
    <cfRule type="expression" dxfId="98" priority="226">
      <formula>BO$6=TODAY()</formula>
    </cfRule>
  </conditionalFormatting>
  <conditionalFormatting sqref="BO24:BU24">
    <cfRule type="expression" dxfId="97" priority="225">
      <formula>BO$6=TODAY()</formula>
    </cfRule>
  </conditionalFormatting>
  <conditionalFormatting sqref="BO22:BU22">
    <cfRule type="expression" dxfId="96" priority="222">
      <formula>BO$6=TODAY()</formula>
    </cfRule>
  </conditionalFormatting>
  <conditionalFormatting sqref="BO27:BU27">
    <cfRule type="expression" dxfId="95" priority="220">
      <formula>BO$6=TODAY()</formula>
    </cfRule>
  </conditionalFormatting>
  <conditionalFormatting sqref="BO26:BU26">
    <cfRule type="expression" dxfId="94" priority="219">
      <formula>BO$6=TODAY()</formula>
    </cfRule>
  </conditionalFormatting>
  <conditionalFormatting sqref="BO25:BU25">
    <cfRule type="expression" dxfId="93" priority="218">
      <formula>BO$6=TODAY()</formula>
    </cfRule>
  </conditionalFormatting>
  <conditionalFormatting sqref="BO28:BU28">
    <cfRule type="expression" dxfId="92" priority="217">
      <formula>BO$6=TODAY()</formula>
    </cfRule>
  </conditionalFormatting>
  <conditionalFormatting sqref="BO23:BU23">
    <cfRule type="expression" dxfId="91" priority="214">
      <formula>BO$6=TODAY()</formula>
    </cfRule>
  </conditionalFormatting>
  <conditionalFormatting sqref="BO31:BU31">
    <cfRule type="expression" dxfId="90" priority="211">
      <formula>BO$6=TODAY()</formula>
    </cfRule>
  </conditionalFormatting>
  <conditionalFormatting sqref="BO33:BU33">
    <cfRule type="expression" dxfId="89" priority="208">
      <formula>BO$6=TODAY()</formula>
    </cfRule>
  </conditionalFormatting>
  <conditionalFormatting sqref="BO32:BU32">
    <cfRule type="expression" dxfId="88" priority="205">
      <formula>BO$6=TODAY()</formula>
    </cfRule>
  </conditionalFormatting>
  <conditionalFormatting sqref="BV6:CB7">
    <cfRule type="expression" dxfId="87" priority="202">
      <formula>BV$6=TODAY()</formula>
    </cfRule>
  </conditionalFormatting>
  <conditionalFormatting sqref="BV19:CB19 BV29:CB29 BV34:CB34">
    <cfRule type="expression" dxfId="86" priority="201">
      <formula>BV$6=TODAY()</formula>
    </cfRule>
  </conditionalFormatting>
  <conditionalFormatting sqref="BV20:CB20">
    <cfRule type="expression" dxfId="85" priority="200">
      <formula>BV$6=TODAY()</formula>
    </cfRule>
  </conditionalFormatting>
  <conditionalFormatting sqref="BV21:CB21">
    <cfRule type="expression" dxfId="84" priority="199">
      <formula>BV$6=TODAY()</formula>
    </cfRule>
  </conditionalFormatting>
  <conditionalFormatting sqref="BV15:CB15">
    <cfRule type="expression" dxfId="83" priority="198">
      <formula>BV$6=TODAY()</formula>
    </cfRule>
  </conditionalFormatting>
  <conditionalFormatting sqref="BV30:CB30">
    <cfRule type="expression" dxfId="82" priority="197">
      <formula>BV$6=TODAY()</formula>
    </cfRule>
  </conditionalFormatting>
  <conditionalFormatting sqref="BV12:CB12">
    <cfRule type="expression" dxfId="81" priority="194">
      <formula>BV$6=TODAY()</formula>
    </cfRule>
  </conditionalFormatting>
  <conditionalFormatting sqref="BV13:CB13">
    <cfRule type="expression" dxfId="80" priority="191">
      <formula>BV$6=TODAY()</formula>
    </cfRule>
  </conditionalFormatting>
  <conditionalFormatting sqref="BV14:CB14">
    <cfRule type="expression" dxfId="79" priority="188">
      <formula>BV$6=TODAY()</formula>
    </cfRule>
  </conditionalFormatting>
  <conditionalFormatting sqref="BV17:CB17">
    <cfRule type="expression" dxfId="78" priority="187">
      <formula>BV$6=TODAY()</formula>
    </cfRule>
  </conditionalFormatting>
  <conditionalFormatting sqref="BV16:CB16">
    <cfRule type="expression" dxfId="77" priority="178">
      <formula>BV$6=TODAY()</formula>
    </cfRule>
  </conditionalFormatting>
  <conditionalFormatting sqref="BV18:CB18">
    <cfRule type="expression" dxfId="76" priority="175">
      <formula>BV$6=TODAY()</formula>
    </cfRule>
  </conditionalFormatting>
  <conditionalFormatting sqref="BV24:CB24">
    <cfRule type="expression" dxfId="75" priority="174">
      <formula>BV$6=TODAY()</formula>
    </cfRule>
  </conditionalFormatting>
  <conditionalFormatting sqref="BV22:CB22">
    <cfRule type="expression" dxfId="74" priority="171">
      <formula>BV$6=TODAY()</formula>
    </cfRule>
  </conditionalFormatting>
  <conditionalFormatting sqref="BV27:CB27">
    <cfRule type="expression" dxfId="73" priority="169">
      <formula>BV$6=TODAY()</formula>
    </cfRule>
  </conditionalFormatting>
  <conditionalFormatting sqref="BV26:CB26">
    <cfRule type="expression" dxfId="72" priority="168">
      <formula>BV$6=TODAY()</formula>
    </cfRule>
  </conditionalFormatting>
  <conditionalFormatting sqref="BV25:CB25">
    <cfRule type="expression" dxfId="71" priority="167">
      <formula>BV$6=TODAY()</formula>
    </cfRule>
  </conditionalFormatting>
  <conditionalFormatting sqref="BV28:CB28">
    <cfRule type="expression" dxfId="70" priority="166">
      <formula>BV$6=TODAY()</formula>
    </cfRule>
  </conditionalFormatting>
  <conditionalFormatting sqref="BV23:CB23">
    <cfRule type="expression" dxfId="69" priority="163">
      <formula>BV$6=TODAY()</formula>
    </cfRule>
  </conditionalFormatting>
  <conditionalFormatting sqref="BV31:CB31">
    <cfRule type="expression" dxfId="68" priority="160">
      <formula>BV$6=TODAY()</formula>
    </cfRule>
  </conditionalFormatting>
  <conditionalFormatting sqref="BV33:CB33">
    <cfRule type="expression" dxfId="67" priority="157">
      <formula>BV$6=TODAY()</formula>
    </cfRule>
  </conditionalFormatting>
  <conditionalFormatting sqref="BV32:CB32">
    <cfRule type="expression" dxfId="66" priority="154">
      <formula>BV$6=TODAY()</formula>
    </cfRule>
  </conditionalFormatting>
  <conditionalFormatting sqref="CC6:CI7">
    <cfRule type="expression" dxfId="65" priority="151">
      <formula>CC$6=TODAY()</formula>
    </cfRule>
  </conditionalFormatting>
  <conditionalFormatting sqref="CC19:CI19 CC29:CI29 CC34:CI34">
    <cfRule type="expression" dxfId="64" priority="150">
      <formula>CC$6=TODAY()</formula>
    </cfRule>
  </conditionalFormatting>
  <conditionalFormatting sqref="CC20:CI20">
    <cfRule type="expression" dxfId="63" priority="149">
      <formula>CC$6=TODAY()</formula>
    </cfRule>
  </conditionalFormatting>
  <conditionalFormatting sqref="CC21:CI21">
    <cfRule type="expression" dxfId="62" priority="148">
      <formula>CC$6=TODAY()</formula>
    </cfRule>
  </conditionalFormatting>
  <conditionalFormatting sqref="CC15:CI15">
    <cfRule type="expression" dxfId="61" priority="147">
      <formula>CC$6=TODAY()</formula>
    </cfRule>
  </conditionalFormatting>
  <conditionalFormatting sqref="CC30:CI30">
    <cfRule type="expression" dxfId="60" priority="146">
      <formula>CC$6=TODAY()</formula>
    </cfRule>
  </conditionalFormatting>
  <conditionalFormatting sqref="CC12:CI12">
    <cfRule type="expression" dxfId="59" priority="143">
      <formula>CC$6=TODAY()</formula>
    </cfRule>
  </conditionalFormatting>
  <conditionalFormatting sqref="CC13:CI13">
    <cfRule type="expression" dxfId="58" priority="140">
      <formula>CC$6=TODAY()</formula>
    </cfRule>
  </conditionalFormatting>
  <conditionalFormatting sqref="CC14:CI14">
    <cfRule type="expression" dxfId="57" priority="137">
      <formula>CC$6=TODAY()</formula>
    </cfRule>
  </conditionalFormatting>
  <conditionalFormatting sqref="CC17:CI17">
    <cfRule type="expression" dxfId="56" priority="136">
      <formula>CC$6=TODAY()</formula>
    </cfRule>
  </conditionalFormatting>
  <conditionalFormatting sqref="CC16:CI16">
    <cfRule type="expression" dxfId="55" priority="127">
      <formula>CC$6=TODAY()</formula>
    </cfRule>
  </conditionalFormatting>
  <conditionalFormatting sqref="CC18:CI18">
    <cfRule type="expression" dxfId="54" priority="124">
      <formula>CC$6=TODAY()</formula>
    </cfRule>
  </conditionalFormatting>
  <conditionalFormatting sqref="CC24:CI24">
    <cfRule type="expression" dxfId="53" priority="123">
      <formula>CC$6=TODAY()</formula>
    </cfRule>
  </conditionalFormatting>
  <conditionalFormatting sqref="CC22:CI22">
    <cfRule type="expression" dxfId="52" priority="120">
      <formula>CC$6=TODAY()</formula>
    </cfRule>
  </conditionalFormatting>
  <conditionalFormatting sqref="CC27:CI27">
    <cfRule type="expression" dxfId="51" priority="118">
      <formula>CC$6=TODAY()</formula>
    </cfRule>
  </conditionalFormatting>
  <conditionalFormatting sqref="CC26:CI26">
    <cfRule type="expression" dxfId="50" priority="117">
      <formula>CC$6=TODAY()</formula>
    </cfRule>
  </conditionalFormatting>
  <conditionalFormatting sqref="CC25:CI25">
    <cfRule type="expression" dxfId="49" priority="116">
      <formula>CC$6=TODAY()</formula>
    </cfRule>
  </conditionalFormatting>
  <conditionalFormatting sqref="CC28:CI28">
    <cfRule type="expression" dxfId="48" priority="115">
      <formula>CC$6=TODAY()</formula>
    </cfRule>
  </conditionalFormatting>
  <conditionalFormatting sqref="CC23:CI23">
    <cfRule type="expression" dxfId="47" priority="112">
      <formula>CC$6=TODAY()</formula>
    </cfRule>
  </conditionalFormatting>
  <conditionalFormatting sqref="CC31:CI31">
    <cfRule type="expression" dxfId="46" priority="109">
      <formula>CC$6=TODAY()</formula>
    </cfRule>
  </conditionalFormatting>
  <conditionalFormatting sqref="CC33:CI33">
    <cfRule type="expression" dxfId="45" priority="106">
      <formula>CC$6=TODAY()</formula>
    </cfRule>
  </conditionalFormatting>
  <conditionalFormatting sqref="CC32:CI32">
    <cfRule type="expression" dxfId="44" priority="103">
      <formula>CC$6=TODAY()</formula>
    </cfRule>
  </conditionalFormatting>
  <conditionalFormatting sqref="CJ6:CP7">
    <cfRule type="expression" dxfId="43" priority="100">
      <formula>CJ$6=TODAY()</formula>
    </cfRule>
  </conditionalFormatting>
  <conditionalFormatting sqref="CJ19:CP19 CJ29:CP29 CJ34:CP34">
    <cfRule type="expression" dxfId="42" priority="99">
      <formula>CJ$6=TODAY()</formula>
    </cfRule>
  </conditionalFormatting>
  <conditionalFormatting sqref="CJ20:CP20">
    <cfRule type="expression" dxfId="41" priority="98">
      <formula>CJ$6=TODAY()</formula>
    </cfRule>
  </conditionalFormatting>
  <conditionalFormatting sqref="CJ21:CP21">
    <cfRule type="expression" dxfId="40" priority="97">
      <formula>CJ$6=TODAY()</formula>
    </cfRule>
  </conditionalFormatting>
  <conditionalFormatting sqref="CJ15:CP15">
    <cfRule type="expression" dxfId="39" priority="96">
      <formula>CJ$6=TODAY()</formula>
    </cfRule>
  </conditionalFormatting>
  <conditionalFormatting sqref="CJ30:CP30">
    <cfRule type="expression" dxfId="38" priority="95">
      <formula>CJ$6=TODAY()</formula>
    </cfRule>
  </conditionalFormatting>
  <conditionalFormatting sqref="CJ12:CP12">
    <cfRule type="expression" dxfId="37" priority="92">
      <formula>CJ$6=TODAY()</formula>
    </cfRule>
  </conditionalFormatting>
  <conditionalFormatting sqref="CJ13:CP13">
    <cfRule type="expression" dxfId="36" priority="89">
      <formula>CJ$6=TODAY()</formula>
    </cfRule>
  </conditionalFormatting>
  <conditionalFormatting sqref="CJ14:CP14">
    <cfRule type="expression" dxfId="35" priority="86">
      <formula>CJ$6=TODAY()</formula>
    </cfRule>
  </conditionalFormatting>
  <conditionalFormatting sqref="CJ17:CP17">
    <cfRule type="expression" dxfId="34" priority="85">
      <formula>CJ$6=TODAY()</formula>
    </cfRule>
  </conditionalFormatting>
  <conditionalFormatting sqref="CJ16:CP16">
    <cfRule type="expression" dxfId="33" priority="76">
      <formula>CJ$6=TODAY()</formula>
    </cfRule>
  </conditionalFormatting>
  <conditionalFormatting sqref="CJ18:CP18">
    <cfRule type="expression" dxfId="32" priority="73">
      <formula>CJ$6=TODAY()</formula>
    </cfRule>
  </conditionalFormatting>
  <conditionalFormatting sqref="CJ24:CP24">
    <cfRule type="expression" dxfId="31" priority="72">
      <formula>CJ$6=TODAY()</formula>
    </cfRule>
  </conditionalFormatting>
  <conditionalFormatting sqref="CJ22:CP22">
    <cfRule type="expression" dxfId="30" priority="69">
      <formula>CJ$6=TODAY()</formula>
    </cfRule>
  </conditionalFormatting>
  <conditionalFormatting sqref="CJ27:CP27">
    <cfRule type="expression" dxfId="29" priority="67">
      <formula>CJ$6=TODAY()</formula>
    </cfRule>
  </conditionalFormatting>
  <conditionalFormatting sqref="CJ26:CP26">
    <cfRule type="expression" dxfId="28" priority="66">
      <formula>CJ$6=TODAY()</formula>
    </cfRule>
  </conditionalFormatting>
  <conditionalFormatting sqref="CJ25:CP25">
    <cfRule type="expression" dxfId="27" priority="65">
      <formula>CJ$6=TODAY()</formula>
    </cfRule>
  </conditionalFormatting>
  <conditionalFormatting sqref="CJ28:CP28">
    <cfRule type="expression" dxfId="26" priority="64">
      <formula>CJ$6=TODAY()</formula>
    </cfRule>
  </conditionalFormatting>
  <conditionalFormatting sqref="CJ23:CP23">
    <cfRule type="expression" dxfId="25" priority="61">
      <formula>CJ$6=TODAY()</formula>
    </cfRule>
  </conditionalFormatting>
  <conditionalFormatting sqref="CJ31:CP31">
    <cfRule type="expression" dxfId="24" priority="58">
      <formula>CJ$6=TODAY()</formula>
    </cfRule>
  </conditionalFormatting>
  <conditionalFormatting sqref="CJ33:CP33">
    <cfRule type="expression" dxfId="23" priority="55">
      <formula>CJ$6=TODAY()</formula>
    </cfRule>
  </conditionalFormatting>
  <conditionalFormatting sqref="CJ32:CP32">
    <cfRule type="expression" dxfId="22" priority="52">
      <formula>CJ$6=TODAY()</formula>
    </cfRule>
  </conditionalFormatting>
  <conditionalFormatting sqref="CQ6:CW7">
    <cfRule type="expression" dxfId="21" priority="49">
      <formula>CQ$6=TODAY()</formula>
    </cfRule>
  </conditionalFormatting>
  <conditionalFormatting sqref="CQ19:CW19 CQ29:CW29 CQ34:CW34">
    <cfRule type="expression" dxfId="20" priority="48">
      <formula>CQ$6=TODAY()</formula>
    </cfRule>
  </conditionalFormatting>
  <conditionalFormatting sqref="CQ20:CW20">
    <cfRule type="expression" dxfId="19" priority="47">
      <formula>CQ$6=TODAY()</formula>
    </cfRule>
  </conditionalFormatting>
  <conditionalFormatting sqref="CQ21:CW21">
    <cfRule type="expression" dxfId="18" priority="46">
      <formula>CQ$6=TODAY()</formula>
    </cfRule>
  </conditionalFormatting>
  <conditionalFormatting sqref="CQ15:CW15">
    <cfRule type="expression" dxfId="17" priority="45">
      <formula>CQ$6=TODAY()</formula>
    </cfRule>
  </conditionalFormatting>
  <conditionalFormatting sqref="CQ30:CW30">
    <cfRule type="expression" dxfId="16" priority="44">
      <formula>CQ$6=TODAY()</formula>
    </cfRule>
  </conditionalFormatting>
  <conditionalFormatting sqref="CQ12:CW12">
    <cfRule type="expression" dxfId="15" priority="41">
      <formula>CQ$6=TODAY()</formula>
    </cfRule>
  </conditionalFormatting>
  <conditionalFormatting sqref="CQ13:CW13">
    <cfRule type="expression" dxfId="14" priority="38">
      <formula>CQ$6=TODAY()</formula>
    </cfRule>
  </conditionalFormatting>
  <conditionalFormatting sqref="CQ14:CW14">
    <cfRule type="expression" dxfId="13" priority="35">
      <formula>CQ$6=TODAY()</formula>
    </cfRule>
  </conditionalFormatting>
  <conditionalFormatting sqref="CQ17:CW17">
    <cfRule type="expression" dxfId="12" priority="34">
      <formula>CQ$6=TODAY()</formula>
    </cfRule>
  </conditionalFormatting>
  <conditionalFormatting sqref="CQ16:CW16">
    <cfRule type="expression" dxfId="11" priority="25">
      <formula>CQ$6=TODAY()</formula>
    </cfRule>
  </conditionalFormatting>
  <conditionalFormatting sqref="CQ18:CW18">
    <cfRule type="expression" dxfId="10" priority="22">
      <formula>CQ$6=TODAY()</formula>
    </cfRule>
  </conditionalFormatting>
  <conditionalFormatting sqref="CQ24:CW24">
    <cfRule type="expression" dxfId="9" priority="21">
      <formula>CQ$6=TODAY()</formula>
    </cfRule>
  </conditionalFormatting>
  <conditionalFormatting sqref="CQ22:CW22">
    <cfRule type="expression" dxfId="8" priority="18">
      <formula>CQ$6=TODAY()</formula>
    </cfRule>
  </conditionalFormatting>
  <conditionalFormatting sqref="CQ27:CW27">
    <cfRule type="expression" dxfId="7" priority="16">
      <formula>CQ$6=TODAY()</formula>
    </cfRule>
  </conditionalFormatting>
  <conditionalFormatting sqref="CQ26:CW26">
    <cfRule type="expression" dxfId="6" priority="15">
      <formula>CQ$6=TODAY()</formula>
    </cfRule>
  </conditionalFormatting>
  <conditionalFormatting sqref="CQ25:CW25">
    <cfRule type="expression" dxfId="5" priority="14">
      <formula>CQ$6=TODAY()</formula>
    </cfRule>
  </conditionalFormatting>
  <conditionalFormatting sqref="CQ28:CW28">
    <cfRule type="expression" dxfId="4" priority="13">
      <formula>CQ$6=TODAY()</formula>
    </cfRule>
  </conditionalFormatting>
  <conditionalFormatting sqref="CQ23:CW23">
    <cfRule type="expression" dxfId="3" priority="10">
      <formula>CQ$6=TODAY()</formula>
    </cfRule>
  </conditionalFormatting>
  <conditionalFormatting sqref="CQ31:CW31">
    <cfRule type="expression" dxfId="2" priority="7">
      <formula>CQ$6=TODAY()</formula>
    </cfRule>
  </conditionalFormatting>
  <conditionalFormatting sqref="CQ33:CW33">
    <cfRule type="expression" dxfId="1" priority="4">
      <formula>CQ$6=TODAY()</formula>
    </cfRule>
  </conditionalFormatting>
  <conditionalFormatting sqref="CQ32:CW32">
    <cfRule type="expression" dxfId="0" priority="1">
      <formula>CQ$6=TODAY()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G4"/>
  </dataValidations>
  <hyperlinks>
    <hyperlink ref="K1:AE1" r:id="rId1" display="Gantt Chart Template © 2006-2018 by Vertex42.com."/>
  </hyperlinks>
  <pageMargins left="0.25" right="0.25" top="0.5" bottom="0.5" header="0.5" footer="0.25"/>
  <pageSetup scale="63" fitToHeight="0" orientation="landscape" r:id="rId2"/>
  <headerFooter alignWithMargins="0"/>
  <drawing r:id="rId3"/>
  <legacyDrawing r:id="rId4"/>
  <extLst xmlns:x14="http://schemas.microsoft.com/office/spreadsheetml/2009/9/main">
    <ext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G8:G11 G19 G29 G34</xm:sqref>
        </x14:conditionalFormatting>
        <x14:conditionalFormatting xmlns:xm="http://schemas.microsoft.com/office/excel/2006/main">
          <x14:cfRule type="dataBar" id="{8DF63CB2-49CC-48E6-B74C-07CAA358B1E0}">
            <x14:dataBar minLength="0" maxLength="100" gradient="0">
              <x14:cfvo type="num">
                <xm:f>0</xm:f>
              </x14:cfvo>
              <x14:cfvo type="num">
                <xm:f>1</xm:f>
              </x14:cfvo>
              <x14:negativeFillColor rgb="FFFF0000"/>
              <x14:axisColor rgb="FF000000"/>
            </x14:dataBar>
          </x14:cfRule>
          <xm:sqref>G20</xm:sqref>
        </x14:conditionalFormatting>
        <x14:conditionalFormatting xmlns:xm="http://schemas.microsoft.com/office/excel/2006/main">
          <x14:cfRule type="dataBar" id="{D9044BDB-1317-4151-828C-EDB94C774A66}">
            <x14:dataBar minLength="0" maxLength="100" gradient="0">
              <x14:cfvo type="num">
                <xm:f>0</xm:f>
              </x14:cfvo>
              <x14:cfvo type="num">
                <xm:f>1</xm:f>
              </x14:cfvo>
              <x14:negativeFillColor rgb="FFFF0000"/>
              <x14:axisColor rgb="FF000000"/>
            </x14:dataBar>
          </x14:cfRule>
          <xm:sqref>G21</xm:sqref>
        </x14:conditionalFormatting>
        <x14:conditionalFormatting xmlns:xm="http://schemas.microsoft.com/office/excel/2006/main">
          <x14:cfRule type="dataBar" id="{8A8D2FE7-1494-49D4-A5D3-5B6025D091FE}">
            <x14:dataBar minLength="0" maxLength="100" gradient="0">
              <x14:cfvo type="num">
                <xm:f>0</xm:f>
              </x14:cfvo>
              <x14:cfvo type="num">
                <xm:f>1</xm:f>
              </x14:cfvo>
              <x14:negativeFillColor rgb="FFFF0000"/>
              <x14:axisColor rgb="FF000000"/>
            </x14:dataBar>
          </x14:cfRule>
          <xm:sqref>G15</xm:sqref>
        </x14:conditionalFormatting>
        <x14:conditionalFormatting xmlns:xm="http://schemas.microsoft.com/office/excel/2006/main">
          <x14:cfRule type="dataBar" id="{A4B12341-7348-4322-B088-0FEE828A25E7}">
            <x14:dataBar minLength="0" maxLength="100" gradient="0">
              <x14:cfvo type="num">
                <xm:f>0</xm:f>
              </x14:cfvo>
              <x14:cfvo type="num">
                <xm:f>1</xm:f>
              </x14:cfvo>
              <x14:negativeFillColor rgb="FFFF0000"/>
              <x14:axisColor rgb="FF000000"/>
            </x14:dataBar>
          </x14:cfRule>
          <xm:sqref>G30</xm:sqref>
        </x14:conditionalFormatting>
        <x14:conditionalFormatting xmlns:xm="http://schemas.microsoft.com/office/excel/2006/main">
          <x14:cfRule type="dataBar" id="{C209DFE0-05E6-4C1A-B16E-1BBF58AC23C0}">
            <x14:dataBar minLength="0" maxLength="100" gradient="0">
              <x14:cfvo type="num">
                <xm:f>0</xm:f>
              </x14:cfvo>
              <x14:cfvo type="num">
                <xm:f>1</xm:f>
              </x14:cfvo>
              <x14:negativeFillColor rgb="FFFF0000"/>
              <x14:axisColor rgb="FF000000"/>
            </x14:dataBar>
          </x14:cfRule>
          <xm:sqref>G12</xm:sqref>
        </x14:conditionalFormatting>
        <x14:conditionalFormatting xmlns:xm="http://schemas.microsoft.com/office/excel/2006/main">
          <x14:cfRule type="dataBar" id="{D3DA076B-89A7-4319-9E0F-1ADBCEFC1B66}">
            <x14:dataBar minLength="0" maxLength="100" gradient="0">
              <x14:cfvo type="num">
                <xm:f>0</xm:f>
              </x14:cfvo>
              <x14:cfvo type="num">
                <xm:f>1</xm:f>
              </x14:cfvo>
              <x14:negativeFillColor rgb="FFFF0000"/>
              <x14:axisColor rgb="FF000000"/>
            </x14:dataBar>
          </x14:cfRule>
          <xm:sqref>G13</xm:sqref>
        </x14:conditionalFormatting>
        <x14:conditionalFormatting xmlns:xm="http://schemas.microsoft.com/office/excel/2006/main">
          <x14:cfRule type="dataBar" id="{B6BCF367-5B8C-482B-A13E-EE9D37179DF7}">
            <x14:dataBar minLength="0" maxLength="100" gradient="0">
              <x14:cfvo type="num">
                <xm:f>0</xm:f>
              </x14:cfvo>
              <x14:cfvo type="num">
                <xm:f>1</xm:f>
              </x14:cfvo>
              <x14:negativeFillColor rgb="FFFF0000"/>
              <x14:axisColor rgb="FF000000"/>
            </x14:dataBar>
          </x14:cfRule>
          <xm:sqref>G14</xm:sqref>
        </x14:conditionalFormatting>
        <x14:conditionalFormatting xmlns:xm="http://schemas.microsoft.com/office/excel/2006/main">
          <x14:cfRule type="dataBar" id="{396851A8-B8B9-4E96-A079-697B5DF9F8D0}">
            <x14:dataBar minLength="0" maxLength="100" gradient="0">
              <x14:cfvo type="num">
                <xm:f>0</xm:f>
              </x14:cfvo>
              <x14:cfvo type="num">
                <xm:f>1</xm:f>
              </x14:cfvo>
              <x14:negativeFillColor rgb="FFFF0000"/>
              <x14:axisColor rgb="FF000000"/>
            </x14:dataBar>
          </x14:cfRule>
          <xm:sqref>G17</xm:sqref>
        </x14:conditionalFormatting>
        <x14:conditionalFormatting xmlns:xm="http://schemas.microsoft.com/office/excel/2006/main">
          <x14:cfRule type="dataBar" id="{54021939-0AD2-4FB6-AB92-FAC671BB062C}">
            <x14:dataBar minLength="0" maxLength="100" gradient="0">
              <x14:cfvo type="num">
                <xm:f>0</xm:f>
              </x14:cfvo>
              <x14:cfvo type="num">
                <xm:f>1</xm:f>
              </x14:cfvo>
              <x14:negativeFillColor rgb="FFFF0000"/>
              <x14:axisColor rgb="FF000000"/>
            </x14:dataBar>
          </x14:cfRule>
          <xm:sqref>#REF!</xm:sqref>
        </x14:conditionalFormatting>
        <x14:conditionalFormatting xmlns:xm="http://schemas.microsoft.com/office/excel/2006/main">
          <x14:cfRule type="dataBar" id="{F115D883-CF8A-42E1-A225-F34540B6DC11}">
            <x14:dataBar minLength="0" maxLength="100" gradient="0">
              <x14:cfvo type="num">
                <xm:f>0</xm:f>
              </x14:cfvo>
              <x14:cfvo type="num">
                <xm:f>1</xm:f>
              </x14:cfvo>
              <x14:negativeFillColor rgb="FFFF0000"/>
              <x14:axisColor rgb="FF000000"/>
            </x14:dataBar>
          </x14:cfRule>
          <xm:sqref>#REF!</xm:sqref>
        </x14:conditionalFormatting>
        <x14:conditionalFormatting xmlns:xm="http://schemas.microsoft.com/office/excel/2006/main">
          <x14:cfRule type="dataBar" id="{4933708B-2987-4BB5-B5AD-AB11F5741628}">
            <x14:dataBar minLength="0" maxLength="100" gradient="0">
              <x14:cfvo type="num">
                <xm:f>0</xm:f>
              </x14:cfvo>
              <x14:cfvo type="num">
                <xm:f>1</xm:f>
              </x14:cfvo>
              <x14:negativeFillColor rgb="FFFF0000"/>
              <x14:axisColor rgb="FF000000"/>
            </x14:dataBar>
          </x14:cfRule>
          <xm:sqref>#REF!</xm:sqref>
        </x14:conditionalFormatting>
        <x14:conditionalFormatting xmlns:xm="http://schemas.microsoft.com/office/excel/2006/main">
          <x14:cfRule type="dataBar" id="{EB648491-4E10-4F1F-981B-9890AE536D36}">
            <x14:dataBar minLength="0" maxLength="100" gradient="0">
              <x14:cfvo type="num">
                <xm:f>0</xm:f>
              </x14:cfvo>
              <x14:cfvo type="num">
                <xm:f>1</xm:f>
              </x14:cfvo>
              <x14:negativeFillColor rgb="FFFF0000"/>
              <x14:axisColor rgb="FF000000"/>
            </x14:dataBar>
          </x14:cfRule>
          <xm:sqref>#REF!</xm:sqref>
        </x14:conditionalFormatting>
        <x14:conditionalFormatting xmlns:xm="http://schemas.microsoft.com/office/excel/2006/main">
          <x14:cfRule type="dataBar" id="{5FA05C77-8E5B-477B-8F38-727C41ED0354}">
            <x14:dataBar minLength="0" maxLength="100" gradient="0">
              <x14:cfvo type="num">
                <xm:f>0</xm:f>
              </x14:cfvo>
              <x14:cfvo type="num">
                <xm:f>1</xm:f>
              </x14:cfvo>
              <x14:negativeFillColor rgb="FFFF0000"/>
              <x14:axisColor rgb="FF000000"/>
            </x14:dataBar>
          </x14:cfRule>
          <xm:sqref>#REF!</xm:sqref>
        </x14:conditionalFormatting>
        <x14:conditionalFormatting xmlns:xm="http://schemas.microsoft.com/office/excel/2006/main">
          <x14:cfRule type="dataBar" id="{CB02849C-B8F9-4B45-AACF-D481899E0E69}">
            <x14:dataBar minLength="0" maxLength="100" gradient="0">
              <x14:cfvo type="num">
                <xm:f>0</xm:f>
              </x14:cfvo>
              <x14:cfvo type="num">
                <xm:f>1</xm:f>
              </x14:cfvo>
              <x14:negativeFillColor rgb="FFFF0000"/>
              <x14:axisColor rgb="FF000000"/>
            </x14:dataBar>
          </x14:cfRule>
          <xm:sqref>#REF!</xm:sqref>
        </x14:conditionalFormatting>
        <x14:conditionalFormatting xmlns:xm="http://schemas.microsoft.com/office/excel/2006/main">
          <x14:cfRule type="dataBar" id="{A782A866-C070-46DF-B303-CFF4EB4493D0}">
            <x14:dataBar minLength="0" maxLength="100" gradient="0">
              <x14:cfvo type="num">
                <xm:f>0</xm:f>
              </x14:cfvo>
              <x14:cfvo type="num">
                <xm:f>1</xm:f>
              </x14:cfvo>
              <x14:negativeFillColor rgb="FFFF0000"/>
              <x14:axisColor rgb="FF000000"/>
            </x14:dataBar>
          </x14:cfRule>
          <xm:sqref>G16</xm:sqref>
        </x14:conditionalFormatting>
        <x14:conditionalFormatting xmlns:xm="http://schemas.microsoft.com/office/excel/2006/main">
          <x14:cfRule type="dataBar" id="{183EFAAE-AD06-44B7-AF1E-6882C3B5943B}">
            <x14:dataBar minLength="0" maxLength="100" gradient="0">
              <x14:cfvo type="num">
                <xm:f>0</xm:f>
              </x14:cfvo>
              <x14:cfvo type="num">
                <xm:f>1</xm:f>
              </x14:cfvo>
              <x14:negativeFillColor rgb="FFFF0000"/>
              <x14:axisColor rgb="FF000000"/>
            </x14:dataBar>
          </x14:cfRule>
          <xm:sqref>G18</xm:sqref>
        </x14:conditionalFormatting>
        <x14:conditionalFormatting xmlns:xm="http://schemas.microsoft.com/office/excel/2006/main">
          <x14:cfRule type="dataBar" id="{0F613C09-95EA-46B3-9D23-CA071163096E}">
            <x14:dataBar minLength="0" maxLength="100" gradient="0">
              <x14:cfvo type="num">
                <xm:f>0</xm:f>
              </x14:cfvo>
              <x14:cfvo type="num">
                <xm:f>1</xm:f>
              </x14:cfvo>
              <x14:negativeFillColor rgb="FFFF0000"/>
              <x14:axisColor rgb="FF000000"/>
            </x14:dataBar>
          </x14:cfRule>
          <xm:sqref>G24</xm:sqref>
        </x14:conditionalFormatting>
        <x14:conditionalFormatting xmlns:xm="http://schemas.microsoft.com/office/excel/2006/main">
          <x14:cfRule type="dataBar" id="{1F867499-5B89-425B-B7B6-4F84472412A8}">
            <x14:dataBar minLength="0" maxLength="100" gradient="0">
              <x14:cfvo type="num">
                <xm:f>0</xm:f>
              </x14:cfvo>
              <x14:cfvo type="num">
                <xm:f>1</xm:f>
              </x14:cfvo>
              <x14:negativeFillColor rgb="FFFF0000"/>
              <x14:axisColor rgb="FF000000"/>
            </x14:dataBar>
          </x14:cfRule>
          <xm:sqref>G22</xm:sqref>
        </x14:conditionalFormatting>
        <x14:conditionalFormatting xmlns:xm="http://schemas.microsoft.com/office/excel/2006/main">
          <x14:cfRule type="dataBar" id="{7847A49C-3708-4BCA-BB42-9401E93A24A5}">
            <x14:dataBar minLength="0" maxLength="100" gradient="0">
              <x14:cfvo type="num">
                <xm:f>0</xm:f>
              </x14:cfvo>
              <x14:cfvo type="num">
                <xm:f>1</xm:f>
              </x14:cfvo>
              <x14:negativeFillColor rgb="FFFF0000"/>
              <x14:axisColor rgb="FF000000"/>
            </x14:dataBar>
          </x14:cfRule>
          <xm:sqref>#REF!</xm:sqref>
        </x14:conditionalFormatting>
        <x14:conditionalFormatting xmlns:xm="http://schemas.microsoft.com/office/excel/2006/main">
          <x14:cfRule type="dataBar" id="{09876C4D-5F4D-4CD8-9EBE-0463E1CB4058}">
            <x14:dataBar minLength="0" maxLength="100" gradient="0">
              <x14:cfvo type="num">
                <xm:f>0</xm:f>
              </x14:cfvo>
              <x14:cfvo type="num">
                <xm:f>1</xm:f>
              </x14:cfvo>
              <x14:negativeFillColor rgb="FFFF0000"/>
              <x14:axisColor rgb="FF000000"/>
            </x14:dataBar>
          </x14:cfRule>
          <xm:sqref>G25</xm:sqref>
        </x14:conditionalFormatting>
        <x14:conditionalFormatting xmlns:xm="http://schemas.microsoft.com/office/excel/2006/main">
          <x14:cfRule type="dataBar" id="{ECB3629E-576A-4FEC-8B82-0AE39B03AD63}">
            <x14:dataBar minLength="0" maxLength="100" gradient="0">
              <x14:cfvo type="num">
                <xm:f>0</xm:f>
              </x14:cfvo>
              <x14:cfvo type="num">
                <xm:f>1</xm:f>
              </x14:cfvo>
              <x14:negativeFillColor rgb="FFFF0000"/>
              <x14:axisColor rgb="FF000000"/>
            </x14:dataBar>
          </x14:cfRule>
          <xm:sqref>G28</xm:sqref>
        </x14:conditionalFormatting>
        <x14:conditionalFormatting xmlns:xm="http://schemas.microsoft.com/office/excel/2006/main">
          <x14:cfRule type="dataBar" id="{30ED51CC-EE52-4B02-934C-8BEAFC4E7702}">
            <x14:dataBar minLength="0" maxLength="100" gradient="0">
              <x14:cfvo type="num">
                <xm:f>0</xm:f>
              </x14:cfvo>
              <x14:cfvo type="num">
                <xm:f>1</xm:f>
              </x14:cfvo>
              <x14:negativeFillColor rgb="FFFF0000"/>
              <x14:axisColor rgb="FF000000"/>
            </x14:dataBar>
          </x14:cfRule>
          <xm:sqref>G23</xm:sqref>
        </x14:conditionalFormatting>
        <x14:conditionalFormatting xmlns:xm="http://schemas.microsoft.com/office/excel/2006/main">
          <x14:cfRule type="dataBar" id="{4EE22B32-86AB-4EEE-81FB-D3EAC2DACEF6}">
            <x14:dataBar minLength="0" maxLength="100" gradient="0">
              <x14:cfvo type="num">
                <xm:f>0</xm:f>
              </x14:cfvo>
              <x14:cfvo type="num">
                <xm:f>1</xm:f>
              </x14:cfvo>
              <x14:negativeFillColor rgb="FFFF0000"/>
              <x14:axisColor rgb="FF000000"/>
            </x14:dataBar>
          </x14:cfRule>
          <xm:sqref>G27</xm:sqref>
        </x14:conditionalFormatting>
        <x14:conditionalFormatting xmlns:xm="http://schemas.microsoft.com/office/excel/2006/main">
          <x14:cfRule type="dataBar" id="{4FFCBB61-912F-4B29-9C27-1645E887B914}">
            <x14:dataBar minLength="0" maxLength="100" gradient="0">
              <x14:cfvo type="num">
                <xm:f>0</xm:f>
              </x14:cfvo>
              <x14:cfvo type="num">
                <xm:f>1</xm:f>
              </x14:cfvo>
              <x14:negativeFillColor rgb="FFFF0000"/>
              <x14:axisColor rgb="FF000000"/>
            </x14:dataBar>
          </x14:cfRule>
          <xm:sqref>G26</xm:sqref>
        </x14:conditionalFormatting>
        <x14:conditionalFormatting xmlns:xm="http://schemas.microsoft.com/office/excel/2006/main">
          <x14:cfRule type="dataBar" id="{371DCCBD-BC24-406A-86A1-62D47E43A304}">
            <x14:dataBar minLength="0" maxLength="100" gradient="0">
              <x14:cfvo type="num">
                <xm:f>0</xm:f>
              </x14:cfvo>
              <x14:cfvo type="num">
                <xm:f>1</xm:f>
              </x14:cfvo>
              <x14:negativeFillColor rgb="FFFF0000"/>
              <x14:axisColor rgb="FF000000"/>
            </x14:dataBar>
          </x14:cfRule>
          <xm:sqref>G31</xm:sqref>
        </x14:conditionalFormatting>
        <x14:conditionalFormatting xmlns:xm="http://schemas.microsoft.com/office/excel/2006/main">
          <x14:cfRule type="dataBar" id="{B6D4B475-DB62-4F4B-8437-B7781269DF1B}">
            <x14:dataBar minLength="0" maxLength="100" gradient="0">
              <x14:cfvo type="num">
                <xm:f>0</xm:f>
              </x14:cfvo>
              <x14:cfvo type="num">
                <xm:f>1</xm:f>
              </x14:cfvo>
              <x14:negativeFillColor rgb="FFFF0000"/>
              <x14:axisColor rgb="FF000000"/>
            </x14:dataBar>
          </x14:cfRule>
          <xm:sqref>G33</xm:sqref>
        </x14:conditionalFormatting>
        <x14:conditionalFormatting xmlns:xm="http://schemas.microsoft.com/office/excel/2006/main">
          <x14:cfRule type="dataBar" id="{8DAB3527-58EA-410E-88F2-282E4E8C0F79}">
            <x14:dataBar minLength="0" maxLength="100" gradient="0">
              <x14:cfvo type="num">
                <xm:f>0</xm:f>
              </x14:cfvo>
              <x14:cfvo type="num">
                <xm:f>1</xm:f>
              </x14:cfvo>
              <x14:negativeFillColor rgb="FFFF0000"/>
              <x14:axisColor rgb="FF000000"/>
            </x14:dataBar>
          </x14:cfRule>
          <xm:sqref>G32</xm:sqref>
        </x14:conditionalFormatting>
      </x14:conditionalFormattings>
    </ext>
  </extLst>
</worksheet>
</file>

<file path=xl/worksheets/sheet2.xml><?xml version="1.0" encoding="utf-8"?>
<worksheet xmlns="http://schemas.openxmlformats.org/spreadsheetml/2006/main" xmlns:r="http://schemas.openxmlformats.org/officeDocument/2006/relationships">
  <sheetPr>
    <pageSetUpPr fitToPage="1"/>
  </sheetPr>
  <dimension ref="A1:G46"/>
  <sheetViews>
    <sheetView showGridLines="0" topLeftCell="A10" workbookViewId="0">
      <selection activeCell="A16" sqref="A16:C48"/>
    </sheetView>
  </sheetViews>
  <sheetFormatPr defaultRowHeight="12.75"/>
  <cols>
    <col min="1" max="1" width="5.5703125" style="15" customWidth="1"/>
    <col min="2" max="2" width="37.7109375" style="15" customWidth="1"/>
    <col min="3" max="3" width="55.140625" style="15" customWidth="1"/>
    <col min="4" max="7" width="8.85546875" style="15"/>
  </cols>
  <sheetData>
    <row r="1" spans="1:3" ht="30" customHeight="1">
      <c r="A1" s="32" t="s">
        <v>20</v>
      </c>
    </row>
    <row r="4" spans="1:3">
      <c r="C4" s="22" t="s">
        <v>28</v>
      </c>
    </row>
    <row r="5" spans="1:3">
      <c r="C5" s="19" t="s">
        <v>29</v>
      </c>
    </row>
    <row r="6" spans="1:3">
      <c r="C6" s="19"/>
    </row>
    <row r="7" spans="1:3" ht="18">
      <c r="C7" s="23" t="s">
        <v>48</v>
      </c>
    </row>
    <row r="8" spans="1:3">
      <c r="C8" s="24" t="s">
        <v>46</v>
      </c>
    </row>
    <row r="10" spans="1:3">
      <c r="C10" s="19" t="s">
        <v>45</v>
      </c>
    </row>
    <row r="11" spans="1:3">
      <c r="C11" s="19" t="s">
        <v>44</v>
      </c>
    </row>
    <row r="13" spans="1:3" ht="18">
      <c r="C13" s="23" t="s">
        <v>43</v>
      </c>
    </row>
    <row r="16" spans="1:3" ht="15.75">
      <c r="A16" s="26" t="s">
        <v>22</v>
      </c>
    </row>
    <row r="17" spans="2:2" s="15" customFormat="1"/>
    <row r="18" spans="2:2" ht="15">
      <c r="B18" s="25" t="s">
        <v>33</v>
      </c>
    </row>
    <row r="19" spans="2:2">
      <c r="B19" s="19" t="s">
        <v>38</v>
      </c>
    </row>
    <row r="20" spans="2:2">
      <c r="B20" s="19" t="s">
        <v>39</v>
      </c>
    </row>
    <row r="22" spans="2:2" s="15" customFormat="1" ht="15">
      <c r="B22" s="25" t="s">
        <v>40</v>
      </c>
    </row>
    <row r="23" spans="2:2" s="15" customFormat="1">
      <c r="B23" s="19" t="s">
        <v>41</v>
      </c>
    </row>
    <row r="24" spans="2:2" s="15" customFormat="1">
      <c r="B24" s="19" t="s">
        <v>42</v>
      </c>
    </row>
    <row r="26" spans="2:2" s="15" customFormat="1" ht="15">
      <c r="B26" s="25" t="s">
        <v>30</v>
      </c>
    </row>
    <row r="27" spans="2:2" s="15" customFormat="1">
      <c r="B27" s="19" t="s">
        <v>34</v>
      </c>
    </row>
    <row r="28" spans="2:2" s="15" customFormat="1">
      <c r="B28" s="19" t="s">
        <v>35</v>
      </c>
    </row>
    <row r="29" spans="2:2">
      <c r="B29" s="19" t="s">
        <v>36</v>
      </c>
    </row>
    <row r="30" spans="2:2">
      <c r="B30" s="15" t="s">
        <v>23</v>
      </c>
    </row>
    <row r="31" spans="2:2">
      <c r="B31" s="15" t="s">
        <v>24</v>
      </c>
    </row>
    <row r="32" spans="2:2">
      <c r="B32" s="15" t="s">
        <v>25</v>
      </c>
    </row>
    <row r="34" spans="2:2" ht="15">
      <c r="B34" s="25" t="s">
        <v>26</v>
      </c>
    </row>
    <row r="35" spans="2:2">
      <c r="B35" s="19" t="s">
        <v>120</v>
      </c>
    </row>
    <row r="36" spans="2:2">
      <c r="B36" s="19" t="s">
        <v>121</v>
      </c>
    </row>
    <row r="37" spans="2:2">
      <c r="B37" s="19" t="s">
        <v>122</v>
      </c>
    </row>
    <row r="39" spans="2:2" ht="15">
      <c r="B39" s="25" t="s">
        <v>27</v>
      </c>
    </row>
    <row r="40" spans="2:2">
      <c r="B40" s="19" t="s">
        <v>37</v>
      </c>
    </row>
    <row r="42" spans="2:2" s="15" customFormat="1" ht="15">
      <c r="B42" s="25" t="s">
        <v>31</v>
      </c>
    </row>
    <row r="43" spans="2:2" s="15" customFormat="1">
      <c r="B43" s="19" t="s">
        <v>123</v>
      </c>
    </row>
    <row r="44" spans="2:2" s="15" customFormat="1">
      <c r="B44" s="19" t="s">
        <v>32</v>
      </c>
    </row>
    <row r="45" spans="2:2" s="15" customFormat="1"/>
    <row r="46" spans="2:2" ht="18">
      <c r="B46" s="23" t="s">
        <v>21</v>
      </c>
    </row>
  </sheetData>
  <phoneticPr fontId="65" type="noConversion"/>
  <hyperlinks>
    <hyperlink ref="C7" r:id="rId1"/>
    <hyperlink ref="B46" r:id="rId2" tooltip="Go to Vertex42.com" display="https://www.vertex42.com/Links/go.php?urlid=GanttChartPro"/>
    <hyperlink ref="C13" r:id="rId3" display="https://www.vertex42.com/blog/business/pm/new-gantt-chart-for-excel-online.html"/>
  </hyperlinks>
  <pageMargins left="0.7" right="0.7" top="0.75" bottom="0.75" header="0.3" footer="0.3"/>
  <pageSetup scale="93" orientation="portrait" r:id="rId4"/>
  <drawing r:id="rId5"/>
</worksheet>
</file>

<file path=xl/worksheets/sheet3.xml><?xml version="1.0" encoding="utf-8"?>
<worksheet xmlns="http://schemas.openxmlformats.org/spreadsheetml/2006/main" xmlns:r="http://schemas.openxmlformats.org/officeDocument/2006/relationships">
  <sheetPr codeName="Sheet5"/>
  <dimension ref="A1:C94"/>
  <sheetViews>
    <sheetView showGridLines="0" topLeftCell="A46" workbookViewId="0">
      <selection sqref="A1:D1048576"/>
    </sheetView>
  </sheetViews>
  <sheetFormatPr defaultColWidth="8.85546875" defaultRowHeight="12.75"/>
  <cols>
    <col min="1" max="1" width="5.5703125" style="6" customWidth="1"/>
    <col min="2" max="2" width="90.42578125" style="6" customWidth="1"/>
    <col min="3" max="3" width="16.42578125" style="6" bestFit="1" customWidth="1"/>
    <col min="4" max="16384" width="8.85546875" style="6"/>
  </cols>
  <sheetData>
    <row r="1" spans="1:3" ht="30" customHeight="1">
      <c r="A1" s="37" t="s">
        <v>115</v>
      </c>
      <c r="B1" s="38"/>
      <c r="C1" s="39"/>
    </row>
    <row r="2" spans="1:3" ht="14.25">
      <c r="A2" s="95" t="s">
        <v>46</v>
      </c>
      <c r="B2" s="8"/>
      <c r="C2" s="7"/>
    </row>
    <row r="3" spans="1:3" s="19" customFormat="1">
      <c r="A3" s="7"/>
      <c r="B3" s="8"/>
      <c r="C3" s="7"/>
    </row>
    <row r="4" spans="1:3" s="7" customFormat="1" ht="18">
      <c r="A4" s="90" t="s">
        <v>82</v>
      </c>
      <c r="B4" s="36"/>
    </row>
    <row r="5" spans="1:3" s="7" customFormat="1" ht="57">
      <c r="B5" s="96" t="s">
        <v>71</v>
      </c>
    </row>
    <row r="7" spans="1:3" ht="28.5">
      <c r="B7" s="96" t="s">
        <v>83</v>
      </c>
    </row>
    <row r="9" spans="1:3" ht="14.25">
      <c r="B9" s="95" t="s">
        <v>58</v>
      </c>
    </row>
    <row r="11" spans="1:3" ht="28.5">
      <c r="B11" s="94" t="s">
        <v>59</v>
      </c>
    </row>
    <row r="12" spans="1:3" s="19" customFormat="1"/>
    <row r="13" spans="1:3" ht="18">
      <c r="A13" s="165" t="s">
        <v>3</v>
      </c>
      <c r="B13" s="165"/>
    </row>
    <row r="14" spans="1:3" s="19" customFormat="1"/>
    <row r="15" spans="1:3" s="91" customFormat="1" ht="18">
      <c r="A15" s="99"/>
      <c r="B15" s="97" t="s">
        <v>74</v>
      </c>
    </row>
    <row r="16" spans="1:3" s="91" customFormat="1" ht="18">
      <c r="A16" s="99"/>
      <c r="B16" s="98" t="s">
        <v>72</v>
      </c>
      <c r="C16" s="93" t="s">
        <v>2</v>
      </c>
    </row>
    <row r="17" spans="1:3" ht="18">
      <c r="A17" s="100"/>
      <c r="B17" s="98" t="s">
        <v>76</v>
      </c>
    </row>
    <row r="18" spans="1:3" s="19" customFormat="1" ht="18">
      <c r="A18" s="100"/>
      <c r="B18" s="98" t="s">
        <v>84</v>
      </c>
    </row>
    <row r="19" spans="1:3" s="39" customFormat="1" ht="18">
      <c r="A19" s="103"/>
      <c r="B19" s="98" t="s">
        <v>85</v>
      </c>
    </row>
    <row r="20" spans="1:3" s="91" customFormat="1" ht="18">
      <c r="A20" s="99"/>
      <c r="B20" s="97" t="s">
        <v>73</v>
      </c>
      <c r="C20" s="92" t="s">
        <v>1</v>
      </c>
    </row>
    <row r="21" spans="1:3" ht="18">
      <c r="A21" s="100"/>
      <c r="B21" s="98" t="s">
        <v>75</v>
      </c>
    </row>
    <row r="22" spans="1:3" s="7" customFormat="1" ht="18">
      <c r="A22" s="101"/>
      <c r="B22" s="102" t="s">
        <v>77</v>
      </c>
    </row>
    <row r="23" spans="1:3" s="7" customFormat="1" ht="18">
      <c r="A23" s="101"/>
      <c r="B23" s="9"/>
    </row>
    <row r="24" spans="1:3" s="7" customFormat="1" ht="18">
      <c r="A24" s="165" t="s">
        <v>78</v>
      </c>
      <c r="B24" s="165"/>
    </row>
    <row r="25" spans="1:3" s="7" customFormat="1" ht="43.5">
      <c r="A25" s="101"/>
      <c r="B25" s="98" t="s">
        <v>86</v>
      </c>
    </row>
    <row r="26" spans="1:3" s="7" customFormat="1" ht="18">
      <c r="A26" s="101"/>
      <c r="B26" s="98"/>
    </row>
    <row r="27" spans="1:3" s="7" customFormat="1" ht="18">
      <c r="A27" s="101"/>
      <c r="B27" s="119" t="s">
        <v>90</v>
      </c>
    </row>
    <row r="28" spans="1:3" s="7" customFormat="1" ht="18">
      <c r="A28" s="101"/>
      <c r="B28" s="98" t="s">
        <v>79</v>
      </c>
    </row>
    <row r="29" spans="1:3" s="7" customFormat="1" ht="28.5">
      <c r="A29" s="101"/>
      <c r="B29" s="98" t="s">
        <v>81</v>
      </c>
    </row>
    <row r="30" spans="1:3" s="7" customFormat="1" ht="18">
      <c r="A30" s="101"/>
      <c r="B30" s="98"/>
    </row>
    <row r="31" spans="1:3" s="7" customFormat="1" ht="18">
      <c r="A31" s="101"/>
      <c r="B31" s="119" t="s">
        <v>87</v>
      </c>
    </row>
    <row r="32" spans="1:3" s="7" customFormat="1" ht="18">
      <c r="A32" s="101"/>
      <c r="B32" s="98" t="s">
        <v>80</v>
      </c>
    </row>
    <row r="33" spans="1:2" s="7" customFormat="1" ht="18">
      <c r="A33" s="101"/>
      <c r="B33" s="98" t="s">
        <v>88</v>
      </c>
    </row>
    <row r="34" spans="1:2" s="7" customFormat="1" ht="18">
      <c r="A34" s="101"/>
      <c r="B34" s="9"/>
    </row>
    <row r="35" spans="1:2" s="7" customFormat="1" ht="28.5">
      <c r="A35" s="101"/>
      <c r="B35" s="98" t="s">
        <v>125</v>
      </c>
    </row>
    <row r="36" spans="1:2" s="7" customFormat="1" ht="18">
      <c r="A36" s="101"/>
      <c r="B36" s="104" t="s">
        <v>89</v>
      </c>
    </row>
    <row r="37" spans="1:2" s="7" customFormat="1" ht="18">
      <c r="A37" s="101"/>
      <c r="B37" s="9"/>
    </row>
    <row r="38" spans="1:2" ht="18">
      <c r="A38" s="165" t="s">
        <v>8</v>
      </c>
      <c r="B38" s="165"/>
    </row>
    <row r="39" spans="1:2" ht="28.5">
      <c r="B39" s="98" t="s">
        <v>92</v>
      </c>
    </row>
    <row r="40" spans="1:2" s="19" customFormat="1"/>
    <row r="41" spans="1:2" s="19" customFormat="1" ht="14.25">
      <c r="B41" s="98" t="s">
        <v>93</v>
      </c>
    </row>
    <row r="42" spans="1:2" s="19" customFormat="1"/>
    <row r="43" spans="1:2" s="19" customFormat="1" ht="28.5">
      <c r="B43" s="98" t="s">
        <v>91</v>
      </c>
    </row>
    <row r="44" spans="1:2" s="19" customFormat="1"/>
    <row r="45" spans="1:2" ht="28.5">
      <c r="B45" s="98" t="s">
        <v>94</v>
      </c>
    </row>
    <row r="46" spans="1:2">
      <c r="B46" s="20"/>
    </row>
    <row r="47" spans="1:2" ht="28.5">
      <c r="B47" s="98" t="s">
        <v>95</v>
      </c>
    </row>
    <row r="48" spans="1:2">
      <c r="B48" s="10"/>
    </row>
    <row r="49" spans="1:2" ht="18">
      <c r="A49" s="165" t="s">
        <v>6</v>
      </c>
      <c r="B49" s="165"/>
    </row>
    <row r="50" spans="1:2" ht="28.5">
      <c r="B50" s="98" t="s">
        <v>126</v>
      </c>
    </row>
    <row r="51" spans="1:2">
      <c r="B51" s="10"/>
    </row>
    <row r="52" spans="1:2" ht="14.25">
      <c r="A52" s="105" t="s">
        <v>9</v>
      </c>
      <c r="B52" s="98" t="s">
        <v>10</v>
      </c>
    </row>
    <row r="53" spans="1:2" ht="14.25">
      <c r="A53" s="105" t="s">
        <v>11</v>
      </c>
      <c r="B53" s="98" t="s">
        <v>12</v>
      </c>
    </row>
    <row r="54" spans="1:2" ht="14.25">
      <c r="A54" s="105" t="s">
        <v>13</v>
      </c>
      <c r="B54" s="98" t="s">
        <v>14</v>
      </c>
    </row>
    <row r="55" spans="1:2" ht="28.5">
      <c r="A55" s="94"/>
      <c r="B55" s="98" t="s">
        <v>96</v>
      </c>
    </row>
    <row r="56" spans="1:2" ht="28.5">
      <c r="A56" s="94"/>
      <c r="B56" s="98" t="s">
        <v>97</v>
      </c>
    </row>
    <row r="57" spans="1:2" ht="14.25">
      <c r="A57" s="105" t="s">
        <v>15</v>
      </c>
      <c r="B57" s="98" t="s">
        <v>16</v>
      </c>
    </row>
    <row r="58" spans="1:2" ht="14.25">
      <c r="A58" s="94"/>
      <c r="B58" s="98" t="s">
        <v>98</v>
      </c>
    </row>
    <row r="59" spans="1:2" ht="14.25">
      <c r="A59" s="94"/>
      <c r="B59" s="98" t="s">
        <v>99</v>
      </c>
    </row>
    <row r="60" spans="1:2" ht="14.25">
      <c r="A60" s="105" t="s">
        <v>17</v>
      </c>
      <c r="B60" s="98" t="s">
        <v>18</v>
      </c>
    </row>
    <row r="61" spans="1:2" ht="28.5">
      <c r="A61" s="94"/>
      <c r="B61" s="98" t="s">
        <v>100</v>
      </c>
    </row>
    <row r="62" spans="1:2" ht="14.25">
      <c r="A62" s="105" t="s">
        <v>101</v>
      </c>
      <c r="B62" s="98" t="s">
        <v>102</v>
      </c>
    </row>
    <row r="63" spans="1:2" ht="14.25">
      <c r="A63" s="106"/>
      <c r="B63" s="98" t="s">
        <v>103</v>
      </c>
    </row>
    <row r="64" spans="1:2" s="19" customFormat="1">
      <c r="B64" s="11"/>
    </row>
    <row r="65" spans="1:2" s="19" customFormat="1" ht="18">
      <c r="A65" s="165" t="s">
        <v>7</v>
      </c>
      <c r="B65" s="165"/>
    </row>
    <row r="66" spans="1:2" s="19" customFormat="1" ht="42.75">
      <c r="B66" s="98" t="s">
        <v>104</v>
      </c>
    </row>
    <row r="67" spans="1:2" s="19" customFormat="1">
      <c r="B67" s="12"/>
    </row>
    <row r="68" spans="1:2" s="7" customFormat="1" ht="18">
      <c r="A68" s="165" t="s">
        <v>4</v>
      </c>
      <c r="B68" s="165"/>
    </row>
    <row r="69" spans="1:2" s="19" customFormat="1" ht="15">
      <c r="A69" s="113" t="s">
        <v>5</v>
      </c>
      <c r="B69" s="114" t="s">
        <v>105</v>
      </c>
    </row>
    <row r="70" spans="1:2" s="7" customFormat="1" ht="28.5">
      <c r="A70" s="107"/>
      <c r="B70" s="112" t="s">
        <v>107</v>
      </c>
    </row>
    <row r="71" spans="1:2" s="7" customFormat="1" ht="14.25">
      <c r="A71" s="107"/>
      <c r="B71" s="108"/>
    </row>
    <row r="72" spans="1:2" s="19" customFormat="1" ht="15">
      <c r="A72" s="113" t="s">
        <v>5</v>
      </c>
      <c r="B72" s="114" t="s">
        <v>124</v>
      </c>
    </row>
    <row r="73" spans="1:2" s="7" customFormat="1" ht="28.5">
      <c r="A73" s="107"/>
      <c r="B73" s="112" t="s">
        <v>128</v>
      </c>
    </row>
    <row r="74" spans="1:2" s="7" customFormat="1" ht="14.25">
      <c r="A74" s="107"/>
      <c r="B74" s="108"/>
    </row>
    <row r="75" spans="1:2" ht="15">
      <c r="A75" s="113" t="s">
        <v>5</v>
      </c>
      <c r="B75" s="116" t="s">
        <v>110</v>
      </c>
    </row>
    <row r="76" spans="1:2" s="7" customFormat="1" ht="42.75">
      <c r="A76" s="107"/>
      <c r="B76" s="96" t="s">
        <v>127</v>
      </c>
    </row>
    <row r="77" spans="1:2" ht="14.25">
      <c r="A77" s="106"/>
      <c r="B77" s="106"/>
    </row>
    <row r="78" spans="1:2" s="19" customFormat="1" ht="15">
      <c r="A78" s="113" t="s">
        <v>5</v>
      </c>
      <c r="B78" s="116" t="s">
        <v>116</v>
      </c>
    </row>
    <row r="79" spans="1:2" s="7" customFormat="1" ht="28.5">
      <c r="A79" s="107"/>
      <c r="B79" s="96" t="s">
        <v>111</v>
      </c>
    </row>
    <row r="80" spans="1:2" s="19" customFormat="1" ht="14.25">
      <c r="A80" s="106"/>
      <c r="B80" s="106"/>
    </row>
    <row r="81" spans="1:2" ht="15">
      <c r="A81" s="113" t="s">
        <v>5</v>
      </c>
      <c r="B81" s="116" t="s">
        <v>117</v>
      </c>
    </row>
    <row r="82" spans="1:2" s="7" customFormat="1" ht="14.25">
      <c r="A82" s="107"/>
      <c r="B82" s="111" t="s">
        <v>112</v>
      </c>
    </row>
    <row r="83" spans="1:2" s="7" customFormat="1" ht="14.25">
      <c r="A83" s="107"/>
      <c r="B83" s="111" t="s">
        <v>113</v>
      </c>
    </row>
    <row r="84" spans="1:2" s="7" customFormat="1" ht="14.25">
      <c r="A84" s="107"/>
      <c r="B84" s="111" t="s">
        <v>114</v>
      </c>
    </row>
    <row r="85" spans="1:2" ht="15">
      <c r="A85" s="106"/>
      <c r="B85" s="110"/>
    </row>
    <row r="86" spans="1:2" ht="15">
      <c r="A86" s="113" t="s">
        <v>5</v>
      </c>
      <c r="B86" s="116" t="s">
        <v>118</v>
      </c>
    </row>
    <row r="87" spans="1:2" s="7" customFormat="1" ht="42.75">
      <c r="A87" s="107"/>
      <c r="B87" s="96" t="s">
        <v>106</v>
      </c>
    </row>
    <row r="88" spans="1:2" s="7" customFormat="1" ht="14.25">
      <c r="A88" s="107"/>
      <c r="B88" s="109" t="s">
        <v>108</v>
      </c>
    </row>
    <row r="89" spans="1:2" s="7" customFormat="1" ht="57">
      <c r="A89" s="107"/>
      <c r="B89" s="115" t="s">
        <v>109</v>
      </c>
    </row>
    <row r="90" spans="1:2" ht="14.25">
      <c r="A90" s="106"/>
      <c r="B90" s="106"/>
    </row>
    <row r="91" spans="1:2" ht="15">
      <c r="A91" s="113" t="s">
        <v>5</v>
      </c>
      <c r="B91" s="118" t="s">
        <v>119</v>
      </c>
    </row>
    <row r="92" spans="1:2" ht="28.5">
      <c r="A92" s="94"/>
      <c r="B92" s="111" t="s">
        <v>19</v>
      </c>
    </row>
    <row r="94" spans="1:2">
      <c r="A94" s="27" t="s">
        <v>51</v>
      </c>
    </row>
  </sheetData>
  <mergeCells count="6">
    <mergeCell ref="A38:B38"/>
    <mergeCell ref="A49:B49"/>
    <mergeCell ref="A68:B68"/>
    <mergeCell ref="A13:B13"/>
    <mergeCell ref="A65:B65"/>
    <mergeCell ref="A24:B24"/>
  </mergeCells>
  <phoneticPr fontId="3" type="noConversion"/>
  <hyperlinks>
    <hyperlink ref="B9" r:id="rId1"/>
    <hyperlink ref="A2" r:id="rId2"/>
    <hyperlink ref="B36" r:id="rId3"/>
  </hyperlinks>
  <pageMargins left="0.5" right="0.5" top="0.25" bottom="0.25" header="0.5" footer="0.5"/>
  <pageSetup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dimension ref="A1:D29"/>
  <sheetViews>
    <sheetView showGridLines="0" workbookViewId="0">
      <selection activeCell="A2" sqref="A2"/>
    </sheetView>
  </sheetViews>
  <sheetFormatPr defaultColWidth="8.85546875" defaultRowHeight="12.75"/>
  <cols>
    <col min="1" max="1" width="5.5703125" style="19" customWidth="1"/>
    <col min="2" max="2" width="82.140625" style="19" customWidth="1"/>
    <col min="3" max="16384" width="8.85546875" style="15"/>
  </cols>
  <sheetData>
    <row r="1" spans="1:4" ht="30" customHeight="1">
      <c r="A1" s="37" t="s">
        <v>49</v>
      </c>
      <c r="B1" s="37"/>
      <c r="C1" s="42"/>
      <c r="D1" s="42"/>
    </row>
    <row r="2" spans="1:4" ht="15">
      <c r="A2" s="39"/>
      <c r="B2" s="43"/>
      <c r="C2" s="42"/>
      <c r="D2" s="42"/>
    </row>
    <row r="3" spans="1:4" ht="15">
      <c r="A3" s="40"/>
      <c r="B3" s="33" t="s">
        <v>50</v>
      </c>
      <c r="C3" s="41"/>
    </row>
    <row r="4" spans="1:4" ht="14.25">
      <c r="A4" s="13"/>
      <c r="B4" s="35" t="s">
        <v>46</v>
      </c>
      <c r="C4" s="14"/>
    </row>
    <row r="5" spans="1:4" ht="15">
      <c r="A5" s="13"/>
      <c r="B5" s="16"/>
      <c r="C5" s="14"/>
    </row>
    <row r="6" spans="1:4" ht="15.75">
      <c r="A6" s="13"/>
      <c r="B6" s="17" t="s">
        <v>51</v>
      </c>
      <c r="C6" s="14"/>
    </row>
    <row r="7" spans="1:4" ht="15">
      <c r="A7" s="13"/>
      <c r="B7" s="16"/>
      <c r="C7" s="14"/>
    </row>
    <row r="8" spans="1:4" ht="30">
      <c r="A8" s="13"/>
      <c r="B8" s="16" t="s">
        <v>52</v>
      </c>
      <c r="C8" s="14"/>
    </row>
    <row r="9" spans="1:4" ht="15">
      <c r="A9" s="13"/>
      <c r="B9" s="16"/>
      <c r="C9" s="14"/>
    </row>
    <row r="10" spans="1:4" ht="46.5">
      <c r="A10" s="13"/>
      <c r="B10" s="16" t="s">
        <v>53</v>
      </c>
      <c r="C10" s="14"/>
    </row>
    <row r="11" spans="1:4" ht="15">
      <c r="A11" s="13"/>
      <c r="B11" s="16"/>
      <c r="C11" s="14"/>
    </row>
    <row r="12" spans="1:4" ht="45">
      <c r="A12" s="13"/>
      <c r="B12" s="16" t="s">
        <v>54</v>
      </c>
      <c r="C12" s="14"/>
    </row>
    <row r="13" spans="1:4" ht="15">
      <c r="A13" s="13"/>
      <c r="B13" s="16"/>
      <c r="C13" s="14"/>
    </row>
    <row r="14" spans="1:4" ht="60">
      <c r="A14" s="13"/>
      <c r="B14" s="16" t="s">
        <v>55</v>
      </c>
      <c r="C14" s="14"/>
    </row>
    <row r="15" spans="1:4" ht="15">
      <c r="A15" s="13"/>
      <c r="B15" s="16"/>
      <c r="C15" s="14"/>
    </row>
    <row r="16" spans="1:4" ht="30.75">
      <c r="A16" s="13"/>
      <c r="B16" s="16" t="s">
        <v>56</v>
      </c>
      <c r="C16" s="14"/>
    </row>
    <row r="17" spans="1:3" ht="15">
      <c r="A17" s="13"/>
      <c r="B17" s="16"/>
      <c r="C17" s="14"/>
    </row>
    <row r="18" spans="1:3" ht="15.75">
      <c r="A18" s="13"/>
      <c r="B18" s="17" t="s">
        <v>57</v>
      </c>
      <c r="C18" s="14"/>
    </row>
    <row r="19" spans="1:3" ht="15">
      <c r="A19" s="13"/>
      <c r="B19" s="34" t="s">
        <v>47</v>
      </c>
      <c r="C19" s="14"/>
    </row>
    <row r="20" spans="1:3" ht="15">
      <c r="A20" s="13"/>
      <c r="B20" s="18"/>
      <c r="C20" s="14"/>
    </row>
    <row r="21" spans="1:3">
      <c r="A21" s="13"/>
      <c r="B21" s="13"/>
      <c r="C21" s="14"/>
    </row>
    <row r="22" spans="1:3">
      <c r="A22" s="13"/>
      <c r="B22" s="13"/>
      <c r="C22" s="14"/>
    </row>
    <row r="23" spans="1:3">
      <c r="A23" s="13"/>
      <c r="B23" s="13"/>
      <c r="C23" s="14"/>
    </row>
    <row r="24" spans="1:3">
      <c r="A24" s="13"/>
      <c r="B24" s="13"/>
      <c r="C24" s="14"/>
    </row>
    <row r="25" spans="1:3">
      <c r="A25" s="13"/>
      <c r="B25" s="13"/>
      <c r="C25" s="14"/>
    </row>
    <row r="26" spans="1:3">
      <c r="A26" s="13"/>
      <c r="B26" s="13"/>
      <c r="C26" s="14"/>
    </row>
    <row r="27" spans="1:3">
      <c r="A27" s="13"/>
      <c r="B27" s="13"/>
      <c r="C27" s="14"/>
    </row>
    <row r="28" spans="1:3">
      <c r="A28" s="13"/>
      <c r="B28" s="13"/>
      <c r="C28" s="14"/>
    </row>
    <row r="29" spans="1:3">
      <c r="A29" s="13"/>
      <c r="B29" s="13"/>
      <c r="C29" s="14"/>
    </row>
  </sheetData>
  <phoneticPr fontId="65" type="noConversion"/>
  <hyperlinks>
    <hyperlink ref="B4" r:id="rId1"/>
    <hyperlink ref="B19" r:id="rId2"/>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4</vt:i4>
      </vt:variant>
    </vt:vector>
  </HeadingPairs>
  <TitlesOfParts>
    <vt:vector size="8" baseType="lpstr">
      <vt:lpstr>GanttChart</vt:lpstr>
      <vt:lpstr>GanttChartPro</vt:lpstr>
      <vt:lpstr>Help</vt:lpstr>
      <vt:lpstr>TermsOfUse</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Yan</cp:lastModifiedBy>
  <cp:lastPrinted>2018-06-26T02:08:09Z</cp:lastPrinted>
  <dcterms:created xsi:type="dcterms:W3CDTF">2010-06-09T16:05:03Z</dcterms:created>
  <dcterms:modified xsi:type="dcterms:W3CDTF">2019-06-27T00:51:57Z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1530175851</vt:lpwstr>
  </property>
</Properties>
</file>