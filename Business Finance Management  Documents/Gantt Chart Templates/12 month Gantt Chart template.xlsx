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rantt Chart Template\"/>
    </mc:Choice>
  </mc:AlternateContent>
  <bookViews>
    <workbookView xWindow="0" yWindow="0" windowWidth="19200" windowHeight="8235"/>
  </bookViews>
  <sheets>
    <sheet name="Daily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K116" i="1" l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I6" i="1"/>
  <c r="M15" i="1"/>
  <c r="H7" i="1"/>
  <c r="F8" i="1"/>
  <c r="K26" i="1" s="1"/>
  <c r="F10" i="1"/>
  <c r="F9" i="1"/>
  <c r="K21" i="1" l="1"/>
  <c r="K17" i="1"/>
  <c r="K25" i="1"/>
  <c r="K18" i="1"/>
  <c r="K22" i="1"/>
  <c r="K19" i="1"/>
  <c r="K23" i="1"/>
  <c r="K27" i="1"/>
  <c r="K16" i="1"/>
  <c r="K20" i="1"/>
  <c r="K24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N15" i="1"/>
  <c r="N13" i="1" s="1"/>
  <c r="M14" i="1"/>
  <c r="M12" i="1" s="1"/>
  <c r="N14" i="1"/>
  <c r="O15" i="1" l="1"/>
  <c r="O13" i="1"/>
  <c r="P15" i="1" l="1"/>
  <c r="Q15" i="1" l="1"/>
  <c r="P13" i="1"/>
  <c r="Q13" i="1" l="1"/>
  <c r="R15" i="1"/>
  <c r="S15" i="1" l="1"/>
  <c r="R13" i="1"/>
  <c r="S13" i="1" l="1"/>
  <c r="T15" i="1"/>
  <c r="U14" i="1" l="1"/>
  <c r="T14" i="1"/>
  <c r="T12" i="1" s="1"/>
  <c r="U15" i="1"/>
  <c r="T13" i="1"/>
  <c r="U13" i="1" l="1"/>
  <c r="V15" i="1"/>
  <c r="W15" i="1" l="1"/>
  <c r="W13" i="1"/>
  <c r="V13" i="1"/>
  <c r="X15" i="1" l="1"/>
  <c r="Y15" i="1" l="1"/>
  <c r="Y13" i="1" s="1"/>
  <c r="X13" i="1"/>
  <c r="Z15" i="1" l="1"/>
  <c r="AA15" i="1" l="1"/>
  <c r="AA13" i="1" s="1"/>
  <c r="Z13" i="1"/>
  <c r="AB14" i="1" l="1"/>
  <c r="AA14" i="1"/>
  <c r="AA12" i="1" s="1"/>
  <c r="AB15" i="1"/>
  <c r="AC15" i="1" l="1"/>
  <c r="AC13" i="1" s="1"/>
  <c r="AB13" i="1"/>
  <c r="AD15" i="1" l="1"/>
  <c r="AE15" i="1" l="1"/>
  <c r="AE13" i="1" s="1"/>
  <c r="AD13" i="1"/>
  <c r="AF15" i="1" l="1"/>
  <c r="AG15" i="1" l="1"/>
  <c r="AG13" i="1" s="1"/>
  <c r="AF13" i="1"/>
  <c r="AH15" i="1" l="1"/>
  <c r="AI14" i="1" l="1"/>
  <c r="AH14" i="1"/>
  <c r="AH12" i="1" s="1"/>
  <c r="AI15" i="1"/>
  <c r="AI13" i="1" s="1"/>
  <c r="AH13" i="1"/>
  <c r="AJ15" i="1" l="1"/>
  <c r="AK15" i="1" l="1"/>
  <c r="AK13" i="1"/>
  <c r="AJ13" i="1"/>
  <c r="AL15" i="1" l="1"/>
  <c r="AM15" i="1" l="1"/>
  <c r="AM13" i="1" s="1"/>
  <c r="AL13" i="1"/>
  <c r="AN15" i="1" l="1"/>
  <c r="AO15" i="1" l="1"/>
  <c r="AO13" i="1" s="1"/>
  <c r="AN13" i="1"/>
  <c r="AP14" i="1" l="1"/>
  <c r="AO14" i="1"/>
  <c r="AO12" i="1" s="1"/>
  <c r="AP15" i="1"/>
  <c r="AQ15" i="1" l="1"/>
  <c r="AQ13" i="1" s="1"/>
  <c r="AP13" i="1"/>
  <c r="AR15" i="1" l="1"/>
  <c r="AR13" i="1" s="1"/>
  <c r="AS15" i="1" l="1"/>
  <c r="AS13" i="1" s="1"/>
  <c r="AT15" i="1" l="1"/>
  <c r="AU15" i="1" l="1"/>
  <c r="AU13" i="1" s="1"/>
  <c r="AT13" i="1"/>
  <c r="AV15" i="1" l="1"/>
  <c r="AW14" i="1" l="1"/>
  <c r="AV14" i="1"/>
  <c r="AV12" i="1" s="1"/>
  <c r="AW15" i="1"/>
  <c r="AV13" i="1"/>
  <c r="AX15" i="1" l="1"/>
  <c r="AW13" i="1"/>
  <c r="AY15" i="1" l="1"/>
  <c r="AY13" i="1"/>
  <c r="AX13" i="1"/>
  <c r="AZ15" i="1" l="1"/>
  <c r="BA15" i="1" l="1"/>
  <c r="BA13" i="1"/>
  <c r="AZ13" i="1"/>
  <c r="BB15" i="1" l="1"/>
  <c r="BC15" i="1" l="1"/>
  <c r="BC13" i="1"/>
  <c r="BB13" i="1"/>
  <c r="BD14" i="1" l="1"/>
  <c r="BC14" i="1"/>
  <c r="BC12" i="1" s="1"/>
  <c r="BD15" i="1"/>
  <c r="BE15" i="1" l="1"/>
  <c r="BE13" i="1"/>
  <c r="BD13" i="1"/>
  <c r="BF15" i="1" l="1"/>
  <c r="BG15" i="1" l="1"/>
  <c r="BG13" i="1"/>
  <c r="BF13" i="1"/>
  <c r="BH15" i="1" l="1"/>
  <c r="BI15" i="1" l="1"/>
  <c r="BI13" i="1"/>
  <c r="BH13" i="1"/>
  <c r="BJ15" i="1" l="1"/>
  <c r="BK14" i="1" l="1"/>
  <c r="BJ12" i="1"/>
  <c r="BJ14" i="1"/>
  <c r="BK15" i="1"/>
  <c r="BJ13" i="1"/>
  <c r="BL15" i="1" l="1"/>
  <c r="BK13" i="1"/>
  <c r="BM15" i="1" l="1"/>
  <c r="BM13" i="1"/>
  <c r="BL13" i="1"/>
  <c r="BN15" i="1" l="1"/>
  <c r="BO15" i="1" l="1"/>
  <c r="BO13" i="1"/>
  <c r="BN13" i="1"/>
  <c r="BP15" i="1" l="1"/>
  <c r="BQ15" i="1" l="1"/>
  <c r="BQ13" i="1"/>
  <c r="BP13" i="1"/>
  <c r="BR14" i="1" l="1"/>
  <c r="BQ14" i="1"/>
  <c r="BQ12" i="1" s="1"/>
  <c r="BR15" i="1"/>
  <c r="BS15" i="1" l="1"/>
  <c r="BS13" i="1"/>
  <c r="BR13" i="1"/>
  <c r="BT15" i="1" l="1"/>
  <c r="BU15" i="1" l="1"/>
  <c r="BU13" i="1"/>
  <c r="BT13" i="1"/>
  <c r="BV15" i="1" l="1"/>
  <c r="BW15" i="1" l="1"/>
  <c r="BW13" i="1"/>
  <c r="BV13" i="1"/>
  <c r="BX15" i="1" l="1"/>
  <c r="BY14" i="1" l="1"/>
  <c r="BX12" i="1"/>
  <c r="BX14" i="1"/>
  <c r="BY15" i="1"/>
  <c r="BX13" i="1"/>
  <c r="BZ13" i="1" l="1"/>
  <c r="BZ15" i="1"/>
  <c r="BY13" i="1"/>
  <c r="CA15" i="1" l="1"/>
  <c r="CA13" i="1"/>
  <c r="CB15" i="1" l="1"/>
  <c r="CC15" i="1" l="1"/>
  <c r="CC13" i="1"/>
  <c r="CB13" i="1"/>
  <c r="CD15" i="1" l="1"/>
  <c r="CE15" i="1" l="1"/>
  <c r="CE13" i="1"/>
  <c r="CD13" i="1"/>
  <c r="CF14" i="1" l="1"/>
  <c r="CE14" i="1"/>
  <c r="CE12" i="1" s="1"/>
  <c r="CF15" i="1"/>
  <c r="CG15" i="1" l="1"/>
  <c r="CG13" i="1"/>
  <c r="CF13" i="1"/>
  <c r="CH15" i="1" l="1"/>
  <c r="CI15" i="1" l="1"/>
  <c r="CI13" i="1"/>
  <c r="CH13" i="1"/>
  <c r="CJ15" i="1" l="1"/>
  <c r="CK15" i="1" l="1"/>
  <c r="CK13" i="1"/>
  <c r="CJ13" i="1"/>
  <c r="CL15" i="1" l="1"/>
  <c r="CM14" i="1" l="1"/>
  <c r="CL12" i="1"/>
  <c r="CL14" i="1"/>
  <c r="CM15" i="1"/>
  <c r="CL13" i="1"/>
  <c r="CN15" i="1" l="1"/>
  <c r="CM13" i="1"/>
  <c r="CO15" i="1" l="1"/>
  <c r="CO13" i="1"/>
  <c r="CN13" i="1"/>
  <c r="CP15" i="1" l="1"/>
  <c r="CQ15" i="1" l="1"/>
  <c r="CQ13" i="1"/>
  <c r="CP13" i="1"/>
  <c r="CR15" i="1" l="1"/>
  <c r="CS15" i="1" l="1"/>
  <c r="CS13" i="1"/>
  <c r="CR13" i="1"/>
  <c r="CT14" i="1" l="1"/>
  <c r="CS14" i="1"/>
  <c r="CS12" i="1" s="1"/>
  <c r="CT15" i="1"/>
  <c r="CU15" i="1" l="1"/>
  <c r="CU13" i="1"/>
  <c r="CT13" i="1"/>
  <c r="CV15" i="1" l="1"/>
  <c r="CW15" i="1" l="1"/>
  <c r="CW13" i="1"/>
  <c r="CV13" i="1"/>
  <c r="CX15" i="1" l="1"/>
  <c r="CY15" i="1" l="1"/>
  <c r="CY13" i="1"/>
  <c r="CX13" i="1"/>
  <c r="CZ15" i="1" l="1"/>
  <c r="DA14" i="1" l="1"/>
  <c r="CZ12" i="1"/>
  <c r="CZ14" i="1"/>
  <c r="DA15" i="1"/>
  <c r="CZ13" i="1"/>
  <c r="DB15" i="1" l="1"/>
  <c r="DA13" i="1"/>
  <c r="DC15" i="1" l="1"/>
  <c r="DC13" i="1"/>
  <c r="DB13" i="1"/>
  <c r="DD15" i="1" l="1"/>
  <c r="DE15" i="1" l="1"/>
  <c r="DE13" i="1"/>
  <c r="DD13" i="1"/>
  <c r="DF15" i="1" l="1"/>
  <c r="DG15" i="1" l="1"/>
  <c r="DG13" i="1"/>
  <c r="DF13" i="1"/>
  <c r="DH14" i="1" l="1"/>
  <c r="DG14" i="1"/>
  <c r="DG12" i="1" s="1"/>
  <c r="DH15" i="1"/>
  <c r="DI15" i="1" l="1"/>
  <c r="DI13" i="1"/>
  <c r="DH13" i="1"/>
  <c r="DJ15" i="1" l="1"/>
  <c r="DK15" i="1" l="1"/>
  <c r="DK13" i="1"/>
  <c r="DJ13" i="1"/>
  <c r="DL15" i="1" l="1"/>
  <c r="DM15" i="1" l="1"/>
  <c r="DM13" i="1"/>
  <c r="DL13" i="1"/>
  <c r="DN15" i="1" l="1"/>
  <c r="DO14" i="1" l="1"/>
  <c r="DN12" i="1"/>
  <c r="DN14" i="1"/>
  <c r="DO15" i="1"/>
  <c r="DN13" i="1"/>
  <c r="DP15" i="1" l="1"/>
  <c r="DO13" i="1"/>
  <c r="DQ15" i="1" l="1"/>
  <c r="DP13" i="1"/>
  <c r="DR13" i="1" l="1"/>
  <c r="DR15" i="1"/>
  <c r="DQ13" i="1"/>
  <c r="DS15" i="1" l="1"/>
  <c r="DT13" i="1" l="1"/>
  <c r="DT15" i="1"/>
  <c r="DS13" i="1"/>
  <c r="DU15" i="1" l="1"/>
  <c r="DV14" i="1" l="1"/>
  <c r="DU14" i="1"/>
  <c r="DU12" i="1" s="1"/>
  <c r="DV15" i="1"/>
  <c r="DU13" i="1"/>
  <c r="DW15" i="1" l="1"/>
  <c r="DV13" i="1"/>
  <c r="DX13" i="1" l="1"/>
  <c r="DX15" i="1"/>
  <c r="DW13" i="1"/>
  <c r="DY15" i="1" l="1"/>
  <c r="DZ13" i="1" l="1"/>
  <c r="DZ15" i="1"/>
  <c r="DY13" i="1"/>
  <c r="EA15" i="1" l="1"/>
  <c r="EA13" i="1"/>
  <c r="EB15" i="1" l="1"/>
  <c r="EB13" i="1" s="1"/>
  <c r="EC14" i="1" l="1"/>
  <c r="EB14" i="1"/>
  <c r="EB12" i="1" s="1"/>
  <c r="EC15" i="1"/>
  <c r="EC13" i="1"/>
  <c r="ED15" i="1" l="1"/>
  <c r="EE15" i="1" l="1"/>
  <c r="EE13" i="1"/>
  <c r="ED13" i="1"/>
  <c r="EF15" i="1" l="1"/>
  <c r="EG15" i="1" l="1"/>
  <c r="EG13" i="1"/>
  <c r="EF13" i="1"/>
  <c r="EH15" i="1" l="1"/>
  <c r="EI15" i="1" l="1"/>
  <c r="EI13" i="1"/>
  <c r="EH13" i="1"/>
  <c r="EJ13" i="1" l="1"/>
  <c r="EJ14" i="1"/>
  <c r="EI12" i="1"/>
  <c r="EI14" i="1"/>
  <c r="EJ15" i="1"/>
  <c r="EK15" i="1" l="1"/>
  <c r="EK13" i="1"/>
  <c r="EL13" i="1" l="1"/>
  <c r="EL15" i="1"/>
  <c r="EM15" i="1" l="1"/>
  <c r="EM13" i="1"/>
  <c r="EN13" i="1" l="1"/>
  <c r="EN15" i="1"/>
  <c r="EO15" i="1" l="1"/>
  <c r="EO13" i="1"/>
  <c r="EP13" i="1" l="1"/>
  <c r="EP15" i="1"/>
  <c r="EQ14" i="1" l="1"/>
  <c r="EP12" i="1"/>
  <c r="EP14" i="1"/>
  <c r="EQ15" i="1"/>
  <c r="EQ13" i="1"/>
  <c r="ER13" i="1" l="1"/>
  <c r="ER15" i="1"/>
  <c r="ES15" i="1" l="1"/>
  <c r="ES13" i="1"/>
  <c r="ET13" i="1" l="1"/>
  <c r="ET15" i="1"/>
  <c r="EU15" i="1" l="1"/>
  <c r="EU13" i="1"/>
  <c r="EV13" i="1" l="1"/>
  <c r="EV15" i="1"/>
  <c r="EW15" i="1" l="1"/>
  <c r="EW13" i="1"/>
  <c r="EX13" i="1" l="1"/>
  <c r="EX14" i="1"/>
  <c r="EW12" i="1"/>
  <c r="EW14" i="1"/>
  <c r="EX15" i="1"/>
  <c r="EY15" i="1" l="1"/>
  <c r="EY13" i="1"/>
  <c r="EZ13" i="1" l="1"/>
  <c r="EZ15" i="1"/>
  <c r="FA15" i="1" l="1"/>
  <c r="FA13" i="1"/>
  <c r="FB13" i="1" l="1"/>
  <c r="FB15" i="1"/>
  <c r="FC15" i="1" l="1"/>
  <c r="FC13" i="1"/>
  <c r="FD13" i="1" l="1"/>
  <c r="FD15" i="1"/>
  <c r="FE14" i="1" l="1"/>
  <c r="FD12" i="1"/>
  <c r="FD14" i="1"/>
  <c r="FE15" i="1"/>
  <c r="FE13" i="1"/>
  <c r="FF13" i="1" l="1"/>
  <c r="FF15" i="1"/>
  <c r="FG15" i="1" l="1"/>
  <c r="FG13" i="1"/>
  <c r="FH13" i="1" l="1"/>
  <c r="FH15" i="1"/>
  <c r="FI13" i="1" l="1"/>
  <c r="FI15" i="1"/>
  <c r="FJ13" i="1" l="1"/>
  <c r="FJ15" i="1"/>
  <c r="FK13" i="1" l="1"/>
  <c r="FK15" i="1"/>
  <c r="FL13" i="1" l="1"/>
  <c r="FL14" i="1"/>
  <c r="FK12" i="1"/>
  <c r="FK14" i="1"/>
  <c r="FL15" i="1"/>
  <c r="FM13" i="1" l="1"/>
  <c r="FM15" i="1"/>
  <c r="FN13" i="1" l="1"/>
  <c r="FN15" i="1"/>
  <c r="FO13" i="1" l="1"/>
  <c r="FO15" i="1"/>
  <c r="FP13" i="1" l="1"/>
  <c r="FP15" i="1"/>
  <c r="FQ13" i="1" l="1"/>
  <c r="FQ15" i="1"/>
  <c r="FR13" i="1" l="1"/>
  <c r="FR15" i="1"/>
  <c r="FS14" i="1" l="1"/>
  <c r="FR12" i="1"/>
  <c r="FR14" i="1"/>
  <c r="FS13" i="1"/>
  <c r="FS15" i="1"/>
  <c r="FT13" i="1" l="1"/>
  <c r="FT15" i="1"/>
  <c r="FU13" i="1" l="1"/>
  <c r="FU15" i="1"/>
  <c r="FV13" i="1" l="1"/>
  <c r="FV15" i="1"/>
  <c r="FW13" i="1" l="1"/>
  <c r="FW15" i="1"/>
  <c r="FX13" i="1" l="1"/>
  <c r="FX15" i="1"/>
  <c r="FY13" i="1" l="1"/>
  <c r="FY15" i="1"/>
  <c r="FZ13" i="1" l="1"/>
  <c r="FZ14" i="1"/>
  <c r="FY12" i="1"/>
  <c r="FY14" i="1"/>
  <c r="FZ15" i="1"/>
  <c r="GA13" i="1" l="1"/>
  <c r="GA15" i="1"/>
  <c r="GB13" i="1" l="1"/>
  <c r="GB15" i="1"/>
  <c r="GC13" i="1" l="1"/>
  <c r="GC15" i="1"/>
  <c r="GD13" i="1" l="1"/>
  <c r="GD15" i="1"/>
  <c r="GE13" i="1" l="1"/>
  <c r="GE15" i="1"/>
  <c r="GF13" i="1" l="1"/>
  <c r="GF15" i="1"/>
  <c r="GG14" i="1" l="1"/>
  <c r="GF12" i="1"/>
  <c r="GF14" i="1"/>
  <c r="GG13" i="1"/>
  <c r="GG15" i="1"/>
  <c r="GH13" i="1" l="1"/>
  <c r="GH15" i="1"/>
  <c r="GI13" i="1" l="1"/>
  <c r="GI15" i="1"/>
  <c r="GJ13" i="1" l="1"/>
  <c r="GJ15" i="1"/>
  <c r="GK13" i="1" l="1"/>
  <c r="GK15" i="1"/>
  <c r="GL13" i="1" l="1"/>
  <c r="GL15" i="1"/>
  <c r="GM13" i="1" l="1"/>
  <c r="GM15" i="1"/>
  <c r="GN13" i="1" l="1"/>
  <c r="GN14" i="1"/>
  <c r="GM12" i="1"/>
  <c r="GM14" i="1"/>
  <c r="GN15" i="1"/>
  <c r="GO13" i="1" l="1"/>
  <c r="GO15" i="1"/>
  <c r="GP13" i="1" l="1"/>
  <c r="GP15" i="1"/>
  <c r="GQ13" i="1" l="1"/>
  <c r="GQ15" i="1"/>
  <c r="GR13" i="1" l="1"/>
  <c r="GR15" i="1"/>
  <c r="GS13" i="1" l="1"/>
  <c r="GS15" i="1"/>
  <c r="GT13" i="1" l="1"/>
  <c r="GT15" i="1"/>
  <c r="GU14" i="1" l="1"/>
  <c r="GT12" i="1"/>
  <c r="GT14" i="1"/>
  <c r="GU13" i="1"/>
  <c r="GU15" i="1"/>
  <c r="GV13" i="1" l="1"/>
  <c r="GV15" i="1"/>
  <c r="GW13" i="1" l="1"/>
  <c r="GW15" i="1"/>
  <c r="GX13" i="1" l="1"/>
  <c r="GX15" i="1"/>
  <c r="GY13" i="1" l="1"/>
  <c r="GY15" i="1"/>
  <c r="GZ13" i="1" l="1"/>
  <c r="GZ15" i="1"/>
  <c r="HA13" i="1" l="1"/>
  <c r="HA15" i="1"/>
  <c r="HB13" i="1" l="1"/>
  <c r="HB14" i="1"/>
  <c r="HA12" i="1"/>
  <c r="HA14" i="1"/>
  <c r="HB15" i="1"/>
  <c r="HC13" i="1" l="1"/>
  <c r="HC15" i="1"/>
  <c r="HD13" i="1" l="1"/>
  <c r="HD15" i="1"/>
  <c r="HE13" i="1" l="1"/>
  <c r="HE15" i="1"/>
  <c r="HF13" i="1" l="1"/>
  <c r="HF15" i="1"/>
  <c r="HG13" i="1" l="1"/>
  <c r="HG15" i="1"/>
  <c r="HH13" i="1" l="1"/>
  <c r="HH15" i="1"/>
  <c r="HI14" i="1" l="1"/>
  <c r="HH12" i="1"/>
  <c r="HH14" i="1"/>
  <c r="HI13" i="1"/>
  <c r="HI15" i="1"/>
  <c r="HJ13" i="1" l="1"/>
  <c r="HJ15" i="1"/>
  <c r="HK13" i="1" l="1"/>
  <c r="HK15" i="1"/>
  <c r="HL13" i="1" l="1"/>
  <c r="HL15" i="1"/>
  <c r="HM13" i="1" l="1"/>
  <c r="HM15" i="1"/>
  <c r="HN13" i="1" l="1"/>
  <c r="HN15" i="1"/>
  <c r="HO13" i="1" l="1"/>
  <c r="HO15" i="1"/>
  <c r="HP13" i="1" l="1"/>
  <c r="HP14" i="1"/>
  <c r="HO12" i="1"/>
  <c r="HO14" i="1"/>
  <c r="HP15" i="1"/>
  <c r="HQ13" i="1" l="1"/>
  <c r="HQ15" i="1"/>
  <c r="HR13" i="1" l="1"/>
  <c r="HR15" i="1"/>
  <c r="HS13" i="1" l="1"/>
  <c r="HS15" i="1"/>
  <c r="HT13" i="1" l="1"/>
  <c r="HT15" i="1"/>
  <c r="HU13" i="1" l="1"/>
  <c r="HU15" i="1"/>
  <c r="HV13" i="1" l="1"/>
  <c r="HV15" i="1"/>
  <c r="HW14" i="1" l="1"/>
  <c r="HV12" i="1"/>
  <c r="HV14" i="1"/>
  <c r="IC14" i="1" s="1"/>
  <c r="HW13" i="1"/>
  <c r="HW15" i="1"/>
  <c r="HX13" i="1" l="1"/>
  <c r="HX15" i="1"/>
  <c r="HY13" i="1" l="1"/>
  <c r="HY15" i="1"/>
  <c r="HZ13" i="1" l="1"/>
  <c r="HZ15" i="1"/>
  <c r="IA13" i="1" l="1"/>
  <c r="IA15" i="1"/>
  <c r="IB13" i="1" l="1"/>
  <c r="IB15" i="1"/>
  <c r="J20" i="1" l="1"/>
  <c r="L20" i="1" s="1"/>
  <c r="J27" i="1"/>
  <c r="L27" i="1" s="1"/>
  <c r="J19" i="1"/>
  <c r="L19" i="1" s="1"/>
  <c r="J23" i="1"/>
  <c r="L23" i="1" s="1"/>
  <c r="J18" i="1"/>
  <c r="L18" i="1" s="1"/>
  <c r="J26" i="1"/>
  <c r="L26" i="1" s="1"/>
  <c r="J21" i="1"/>
  <c r="L21" i="1" s="1"/>
  <c r="J22" i="1"/>
  <c r="L22" i="1" s="1"/>
  <c r="J25" i="1"/>
  <c r="L25" i="1" s="1"/>
  <c r="J24" i="1"/>
  <c r="L24" i="1" s="1"/>
  <c r="J17" i="1"/>
  <c r="L17" i="1" s="1"/>
  <c r="J16" i="1"/>
  <c r="L16" i="1" l="1"/>
</calcChain>
</file>

<file path=xl/sharedStrings.xml><?xml version="1.0" encoding="utf-8"?>
<sst xmlns="http://schemas.openxmlformats.org/spreadsheetml/2006/main" count="58" uniqueCount="39">
  <si>
    <t>Task</t>
  </si>
  <si>
    <t>Start Date</t>
  </si>
  <si>
    <t>Finish Date</t>
  </si>
  <si>
    <t>Working Days</t>
  </si>
  <si>
    <t>Level</t>
  </si>
  <si>
    <t xml:space="preserve">Project Name </t>
  </si>
  <si>
    <t>:</t>
  </si>
  <si>
    <t xml:space="preserve">Project Description </t>
  </si>
  <si>
    <t xml:space="preserve">Project Length </t>
  </si>
  <si>
    <t xml:space="preserve">      End Date</t>
  </si>
  <si>
    <t xml:space="preserve">      Number of Weeks</t>
  </si>
  <si>
    <t>Holiday's Marker</t>
  </si>
  <si>
    <t>Today's Marker</t>
  </si>
  <si>
    <t>Yes</t>
  </si>
  <si>
    <t>o</t>
  </si>
  <si>
    <t>WD</t>
  </si>
  <si>
    <t>DC</t>
  </si>
  <si>
    <t>DR</t>
  </si>
  <si>
    <t>PIC</t>
  </si>
  <si>
    <t>Monday - Saturday</t>
  </si>
  <si>
    <t>Product Package Design</t>
  </si>
  <si>
    <t>Define Brand Name</t>
  </si>
  <si>
    <t>Box Cover Design</t>
  </si>
  <si>
    <t>User Guide Cover Design</t>
  </si>
  <si>
    <t>Warranty Card Design</t>
  </si>
  <si>
    <t>Marketing Kit</t>
  </si>
  <si>
    <t>Brochures</t>
  </si>
  <si>
    <t>Banners</t>
  </si>
  <si>
    <t>Event</t>
  </si>
  <si>
    <t>Define Location</t>
  </si>
  <si>
    <t>Book Location</t>
  </si>
  <si>
    <t>Press Conference</t>
  </si>
  <si>
    <t>Marketing Dept</t>
  </si>
  <si>
    <t>John</t>
  </si>
  <si>
    <t>Jane</t>
  </si>
  <si>
    <t>Steve</t>
  </si>
  <si>
    <t>Public Relation Dept</t>
  </si>
  <si>
    <t>Jenny</t>
  </si>
  <si>
    <t>Marry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</si>
</sst>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"/>
    <numFmt numFmtId="165" formatCode="[$-409]d\-mmm\-yy;@"/>
  </numFmts>
  <fonts count="11" x14ac:knownFonts="1">
    <font>
      <sz val="10"/>
      <name val="Arial"/>
    </font>
    <font>
      <sz val="8"/>
      <name val="Arial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indexed="44"/>
      <name val="Calibri"/>
      <family val="2"/>
      <scheme val="minor"/>
    </font>
    <font>
      <sz val="8"/>
      <name val="Calibri"/>
      <family val="2"/>
      <scheme val="minor"/>
    </font>
    <font>
      <sz val="8"/>
      <color indexed="9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22"/>
      </top>
      <bottom/>
      <diagonal/>
    </border>
    <border>
      <left style="thin">
        <color indexed="8"/>
      </left>
      <right style="thin">
        <color indexed="8"/>
      </right>
      <top style="thin">
        <color indexed="22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2" fontId="3" fillId="0" borderId="0" xfId="0" applyNumberFormat="1" applyFont="1" applyAlignment="1" applyProtection="1">
      <alignment vertical="center"/>
      <protection locked="0"/>
    </xf>
    <xf numFmtId="15" fontId="3" fillId="0" borderId="0" xfId="0" applyNumberFormat="1" applyFont="1" applyAlignment="1" applyProtection="1">
      <alignment vertical="center"/>
      <protection locked="0"/>
    </xf>
    <xf numFmtId="15" fontId="3" fillId="0" borderId="1" xfId="0" applyNumberFormat="1" applyFont="1" applyBorder="1" applyAlignment="1" applyProtection="1">
      <alignment vertical="center"/>
      <protection locked="0"/>
    </xf>
    <xf numFmtId="164" fontId="3" fillId="0" borderId="0" xfId="0" applyNumberFormat="1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vertical="center"/>
      <protection locked="0"/>
    </xf>
    <xf numFmtId="1" fontId="3" fillId="0" borderId="0" xfId="0" applyNumberFormat="1" applyFont="1" applyAlignment="1" applyProtection="1">
      <alignment vertical="center"/>
      <protection locked="0"/>
    </xf>
    <xf numFmtId="14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164" fontId="6" fillId="0" borderId="0" xfId="0" applyNumberFormat="1" applyFont="1" applyAlignment="1" applyProtection="1">
      <alignment vertical="center"/>
      <protection locked="0"/>
    </xf>
    <xf numFmtId="0" fontId="3" fillId="0" borderId="12" xfId="0" applyFont="1" applyFill="1" applyBorder="1" applyAlignment="1" applyProtection="1">
      <alignment vertical="center"/>
      <protection locked="0"/>
    </xf>
    <xf numFmtId="15" fontId="3" fillId="0" borderId="12" xfId="0" applyNumberFormat="1" applyFont="1" applyFill="1" applyBorder="1" applyAlignment="1" applyProtection="1">
      <alignment vertical="center"/>
      <protection locked="0"/>
    </xf>
    <xf numFmtId="0" fontId="3" fillId="0" borderId="13" xfId="0" applyFont="1" applyFill="1" applyBorder="1" applyAlignment="1" applyProtection="1">
      <alignment vertical="center"/>
      <protection locked="0"/>
    </xf>
    <xf numFmtId="15" fontId="3" fillId="0" borderId="13" xfId="0" applyNumberFormat="1" applyFont="1" applyFill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hidden="1"/>
    </xf>
    <xf numFmtId="0" fontId="3" fillId="5" borderId="2" xfId="0" applyFont="1" applyFill="1" applyBorder="1" applyAlignment="1" applyProtection="1">
      <alignment vertical="center"/>
      <protection hidden="1"/>
    </xf>
    <xf numFmtId="165" fontId="3" fillId="5" borderId="1" xfId="0" applyNumberFormat="1" applyFont="1" applyFill="1" applyBorder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10" fillId="4" borderId="0" xfId="0" applyFont="1" applyFill="1" applyBorder="1" applyAlignment="1" applyProtection="1">
      <alignment vertical="center"/>
      <protection hidden="1"/>
    </xf>
    <xf numFmtId="0" fontId="10" fillId="4" borderId="5" xfId="0" applyFont="1" applyFill="1" applyBorder="1" applyAlignment="1" applyProtection="1">
      <alignment vertical="center"/>
      <protection hidden="1"/>
    </xf>
    <xf numFmtId="0" fontId="10" fillId="4" borderId="4" xfId="0" applyFont="1" applyFill="1" applyBorder="1" applyAlignment="1" applyProtection="1">
      <alignment vertical="center"/>
      <protection hidden="1"/>
    </xf>
    <xf numFmtId="0" fontId="5" fillId="3" borderId="0" xfId="0" applyFont="1" applyFill="1" applyBorder="1" applyAlignment="1" applyProtection="1">
      <alignment vertical="center"/>
      <protection hidden="1"/>
    </xf>
    <xf numFmtId="0" fontId="10" fillId="4" borderId="6" xfId="0" applyFont="1" applyFill="1" applyBorder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164" fontId="6" fillId="2" borderId="0" xfId="0" applyNumberFormat="1" applyFont="1" applyFill="1" applyBorder="1" applyAlignment="1" applyProtection="1">
      <alignment vertical="center"/>
      <protection hidden="1"/>
    </xf>
    <xf numFmtId="164" fontId="6" fillId="0" borderId="0" xfId="0" applyNumberFormat="1" applyFont="1" applyBorder="1" applyAlignment="1" applyProtection="1">
      <alignment vertical="center"/>
      <protection hidden="1"/>
    </xf>
    <xf numFmtId="0" fontId="3" fillId="0" borderId="0" xfId="0" applyFont="1" applyBorder="1" applyAlignment="1" applyProtection="1">
      <alignment vertical="center"/>
      <protection hidden="1"/>
    </xf>
    <xf numFmtId="1" fontId="3" fillId="0" borderId="12" xfId="0" applyNumberFormat="1" applyFont="1" applyFill="1" applyBorder="1" applyAlignment="1" applyProtection="1">
      <alignment vertical="center"/>
      <protection hidden="1"/>
    </xf>
    <xf numFmtId="1" fontId="3" fillId="0" borderId="13" xfId="0" applyNumberFormat="1" applyFont="1" applyFill="1" applyBorder="1" applyAlignment="1" applyProtection="1">
      <alignment vertical="center"/>
      <protection hidden="1"/>
    </xf>
    <xf numFmtId="0" fontId="10" fillId="4" borderId="1" xfId="0" applyFont="1" applyFill="1" applyBorder="1" applyAlignment="1" applyProtection="1">
      <alignment horizontal="left" vertical="center"/>
      <protection hidden="1"/>
    </xf>
    <xf numFmtId="0" fontId="10" fillId="4" borderId="7" xfId="0" applyFont="1" applyFill="1" applyBorder="1" applyAlignment="1" applyProtection="1">
      <alignment horizontal="left" vertical="center"/>
      <protection hidden="1"/>
    </xf>
    <xf numFmtId="0" fontId="9" fillId="4" borderId="8" xfId="0" applyFont="1" applyFill="1" applyBorder="1" applyAlignment="1" applyProtection="1">
      <alignment horizontal="center" vertical="center"/>
      <protection hidden="1"/>
    </xf>
    <xf numFmtId="0" fontId="9" fillId="4" borderId="9" xfId="0" applyFont="1" applyFill="1" applyBorder="1" applyAlignment="1" applyProtection="1">
      <alignment horizontal="center" vertical="center"/>
      <protection hidden="1"/>
    </xf>
    <xf numFmtId="0" fontId="3" fillId="0" borderId="12" xfId="0" applyFont="1" applyFill="1" applyBorder="1" applyAlignment="1" applyProtection="1">
      <alignment horizontal="left" vertical="center" indent="1"/>
      <protection locked="0"/>
    </xf>
    <xf numFmtId="0" fontId="3" fillId="0" borderId="13" xfId="0" applyFont="1" applyFill="1" applyBorder="1" applyAlignment="1" applyProtection="1">
      <alignment horizontal="left" vertical="center" indent="1"/>
      <protection locked="0"/>
    </xf>
    <xf numFmtId="164" fontId="8" fillId="6" borderId="10" xfId="0" applyNumberFormat="1" applyFont="1" applyFill="1" applyBorder="1" applyAlignment="1" applyProtection="1">
      <alignment horizontal="center" vertical="center"/>
      <protection locked="0"/>
    </xf>
    <xf numFmtId="164" fontId="8" fillId="6" borderId="11" xfId="0" applyNumberFormat="1" applyFont="1" applyFill="1" applyBorder="1" applyAlignment="1" applyProtection="1">
      <alignment horizontal="center" vertical="center"/>
      <protection locked="0"/>
    </xf>
    <xf numFmtId="164" fontId="8" fillId="6" borderId="8" xfId="0" applyNumberFormat="1" applyFont="1" applyFill="1" applyBorder="1" applyAlignment="1" applyProtection="1">
      <alignment horizontal="center" vertical="center"/>
      <protection locked="0"/>
    </xf>
    <xf numFmtId="164" fontId="8" fillId="6" borderId="9" xfId="0" applyNumberFormat="1" applyFont="1" applyFill="1" applyBorder="1" applyAlignment="1" applyProtection="1">
      <alignment horizontal="center" vertical="center"/>
      <protection locked="0"/>
    </xf>
    <xf numFmtId="0" fontId="9" fillId="6" borderId="8" xfId="0" applyFont="1" applyFill="1" applyBorder="1" applyAlignment="1" applyProtection="1">
      <alignment horizontal="center" vertical="center"/>
      <protection hidden="1"/>
    </xf>
    <xf numFmtId="0" fontId="9" fillId="6" borderId="9" xfId="0" applyFont="1" applyFill="1" applyBorder="1" applyAlignment="1" applyProtection="1">
      <alignment horizontal="center" vertical="center"/>
      <protection hidden="1"/>
    </xf>
    <xf numFmtId="164" fontId="8" fillId="6" borderId="3" xfId="0" applyNumberFormat="1" applyFont="1" applyFill="1" applyBorder="1" applyAlignment="1" applyProtection="1">
      <alignment horizontal="center" vertical="center"/>
      <protection locked="0"/>
    </xf>
    <xf numFmtId="164" fontId="8" fillId="6" borderId="4" xfId="0" applyNumberFormat="1" applyFont="1" applyFill="1" applyBorder="1" applyAlignment="1" applyProtection="1">
      <alignment horizontal="center" vertical="center"/>
      <protection locked="0"/>
    </xf>
    <xf numFmtId="164" fontId="8" fillId="6" borderId="0" xfId="0" applyNumberFormat="1" applyFont="1" applyFill="1" applyBorder="1" applyAlignment="1" applyProtection="1">
      <alignment horizontal="center" vertical="center"/>
      <protection locked="0"/>
    </xf>
    <xf numFmtId="164" fontId="8" fillId="6" borderId="5" xfId="0" applyNumberFormat="1" applyFont="1" applyFill="1" applyBorder="1" applyAlignment="1" applyProtection="1">
      <alignment horizontal="center" vertical="center"/>
      <protection locked="0"/>
    </xf>
    <xf numFmtId="0" fontId="10" fillId="6" borderId="0" xfId="0" applyFont="1" applyFill="1" applyBorder="1" applyAlignment="1" applyProtection="1">
      <alignment vertical="center"/>
      <protection hidden="1"/>
    </xf>
    <xf numFmtId="0" fontId="10" fillId="6" borderId="5" xfId="0" applyFont="1" applyFill="1" applyBorder="1" applyAlignment="1" applyProtection="1">
      <alignment vertical="center"/>
      <protection hidden="1"/>
    </xf>
    <xf numFmtId="0" fontId="10" fillId="6" borderId="4" xfId="0" applyFont="1" applyFill="1" applyBorder="1" applyAlignment="1" applyProtection="1">
      <alignment vertical="center"/>
      <protection hidden="1"/>
    </xf>
    <xf numFmtId="0" fontId="10" fillId="6" borderId="1" xfId="0" applyFont="1" applyFill="1" applyBorder="1" applyAlignment="1" applyProtection="1">
      <alignment vertical="center"/>
      <protection hidden="1"/>
    </xf>
    <xf numFmtId="0" fontId="10" fillId="6" borderId="1" xfId="0" applyFont="1" applyFill="1" applyBorder="1" applyAlignment="1" applyProtection="1">
      <alignment horizontal="left" vertical="center"/>
      <protection hidden="1"/>
    </xf>
    <xf numFmtId="0" fontId="10" fillId="6" borderId="7" xfId="0" applyFont="1" applyFill="1" applyBorder="1" applyAlignment="1" applyProtection="1">
      <alignment horizontal="left" vertical="center"/>
      <protection hidden="1"/>
    </xf>
    <xf numFmtId="0" fontId="10" fillId="6" borderId="6" xfId="0" applyFont="1" applyFill="1" applyBorder="1" applyAlignment="1" applyProtection="1">
      <alignment vertical="center"/>
      <protection hidden="1"/>
    </xf>
    <xf numFmtId="164" fontId="6" fillId="7" borderId="3" xfId="0" applyNumberFormat="1" applyFont="1" applyFill="1" applyBorder="1" applyAlignment="1" applyProtection="1">
      <alignment vertical="center"/>
      <protection locked="0"/>
    </xf>
    <xf numFmtId="164" fontId="6" fillId="7" borderId="4" xfId="0" applyNumberFormat="1" applyFont="1" applyFill="1" applyBorder="1" applyAlignment="1" applyProtection="1">
      <alignment vertical="center"/>
      <protection locked="0"/>
    </xf>
    <xf numFmtId="164" fontId="6" fillId="7" borderId="0" xfId="0" applyNumberFormat="1" applyFont="1" applyFill="1" applyBorder="1" applyAlignment="1" applyProtection="1">
      <alignment vertical="center"/>
      <protection locked="0"/>
    </xf>
    <xf numFmtId="164" fontId="6" fillId="7" borderId="5" xfId="0" applyNumberFormat="1" applyFont="1" applyFill="1" applyBorder="1" applyAlignment="1" applyProtection="1">
      <alignment vertical="center"/>
      <protection locked="0"/>
    </xf>
    <xf numFmtId="164" fontId="6" fillId="7" borderId="0" xfId="0" applyNumberFormat="1" applyFont="1" applyFill="1" applyBorder="1" applyAlignment="1" applyProtection="1">
      <alignment vertical="center"/>
      <protection hidden="1"/>
    </xf>
  </cellXfs>
  <cellStyles count="1">
    <cellStyle name="Normal" xfId="0" builtinId="0"/>
  </cellStyles>
  <dxfs count="15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b/>
        <i val="0"/>
        <condense val="0"/>
        <extend val="0"/>
        <color auto="1"/>
      </font>
      <fill>
        <patternFill>
          <bgColor indexed="22"/>
        </patternFill>
      </fill>
      <border>
        <left style="thin">
          <color indexed="64"/>
        </left>
        <right style="thin">
          <color indexed="64"/>
        </right>
        <top style="thin">
          <color indexed="22"/>
        </top>
        <bottom style="thin">
          <color indexed="22"/>
        </bottom>
      </border>
    </dxf>
    <dxf>
      <fill>
        <patternFill>
          <bgColor theme="0"/>
        </patternFill>
      </fill>
      <border>
        <left/>
        <right/>
        <top/>
        <bottom/>
        <vertical/>
        <horizontal/>
      </border>
    </dxf>
    <dxf>
      <fill>
        <patternFill>
          <bgColor theme="0" tint="-0.14996795556505021"/>
        </patternFill>
      </fill>
      <border>
        <left/>
        <right/>
        <top/>
        <bottom/>
      </border>
    </dxf>
    <dxf>
      <font>
        <b/>
        <i val="0"/>
        <condense val="0"/>
        <extend val="0"/>
        <color indexed="9"/>
      </font>
      <fill>
        <patternFill>
          <bgColor theme="0" tint="-0.499984740745262"/>
        </patternFill>
      </fill>
      <border>
        <left/>
        <right/>
        <top/>
        <bottom/>
      </border>
    </dxf>
    <dxf>
      <font>
        <color theme="0"/>
      </font>
      <fill>
        <patternFill>
          <bgColor theme="1" tint="0.34998626667073579"/>
        </patternFill>
      </fill>
      <border>
        <left/>
        <right/>
        <top/>
        <bottom/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/>
        <right/>
        <top/>
        <bottom/>
      </border>
    </dxf>
    <dxf>
      <font>
        <b/>
        <i val="0"/>
        <condense val="0"/>
        <extend val="0"/>
        <color indexed="9"/>
      </font>
      <fill>
        <patternFill>
          <bgColor indexed="12"/>
        </patternFill>
      </fill>
      <border>
        <left/>
        <right/>
        <top/>
        <bottom/>
      </border>
    </dxf>
    <dxf>
      <font>
        <condense val="0"/>
        <extend val="0"/>
        <color indexed="9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ndense val="0"/>
        <extend val="0"/>
        <color indexed="9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9"/>
      </font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ndense val="0"/>
        <extend val="0"/>
        <color indexed="9"/>
      </font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5</xdr:row>
          <xdr:rowOff>19050</xdr:rowOff>
        </xdr:from>
        <xdr:to>
          <xdr:col>6</xdr:col>
          <xdr:colOff>200025</xdr:colOff>
          <xdr:row>7</xdr:row>
          <xdr:rowOff>28575</xdr:rowOff>
        </xdr:to>
        <xdr:grpSp>
          <xdr:nvGrpSpPr>
            <xdr:cNvPr id="1027" name="Group 3"/>
            <xdr:cNvGrpSpPr>
              <a:grpSpLocks/>
            </xdr:cNvGrpSpPr>
          </xdr:nvGrpSpPr>
          <xdr:grpSpPr bwMode="auto">
            <a:xfrm>
              <a:off x="3743325" y="971550"/>
              <a:ext cx="171450" cy="390525"/>
              <a:chOff x="149" y="86"/>
              <a:chExt cx="93" cy="49"/>
            </a:xfrm>
          </xdr:grpSpPr>
          <xdr:sp macro="" textlink="">
            <xdr:nvSpPr>
              <xdr:cNvPr id="1025" name="OptionButton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 bwMode="auto">
              <a:xfrm>
                <a:off x="149" y="86"/>
                <a:ext cx="93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6" name="OptionButton2" hidden="1">
                <a:extLst>
                  <a:ext uri="{63B3BB69-23CF-44E3-9099-C40C66FF867C}">
                    <a14:compatExt spid="_x0000_s1026"/>
                  </a:ext>
                </a:extLst>
              </xdr:cNvPr>
              <xdr:cNvSpPr/>
            </xdr:nvSpPr>
            <xdr:spPr bwMode="auto">
              <a:xfrm>
                <a:off x="149" y="115"/>
                <a:ext cx="93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3:IC116"/>
  <sheetViews>
    <sheetView showGridLines="0" tabSelected="1" zoomScale="80" zoomScaleNormal="80" workbookViewId="0">
      <selection activeCell="BY30" sqref="BY30"/>
    </sheetView>
  </sheetViews>
  <sheetFormatPr defaultColWidth="2.28515625" defaultRowHeight="15" customHeight="1" x14ac:dyDescent="0.2"/>
  <cols>
    <col min="1" max="1" width="8.7109375" style="4" customWidth="1"/>
    <col min="2" max="2" width="6.140625" style="4" customWidth="1"/>
    <col min="3" max="3" width="19.28515625" style="4" customWidth="1"/>
    <col min="4" max="4" width="2.140625" style="4" customWidth="1"/>
    <col min="5" max="5" width="16.7109375" style="4" customWidth="1"/>
    <col min="6" max="6" width="2.7109375" style="4" customWidth="1"/>
    <col min="7" max="7" width="18.85546875" style="4" customWidth="1"/>
    <col min="8" max="8" width="11.7109375" style="4" customWidth="1"/>
    <col min="9" max="9" width="11.140625" style="4" customWidth="1"/>
    <col min="10" max="10" width="4.140625" style="4" bestFit="1" customWidth="1"/>
    <col min="11" max="11" width="5" style="4" customWidth="1"/>
    <col min="12" max="12" width="5.28515625" style="4" customWidth="1"/>
    <col min="13" max="236" width="0.85546875" style="4" customWidth="1"/>
    <col min="237" max="16384" width="2.28515625" style="4"/>
  </cols>
  <sheetData>
    <row r="3" spans="2:237" ht="15" customHeight="1" x14ac:dyDescent="0.2">
      <c r="B3" s="1" t="s">
        <v>14</v>
      </c>
      <c r="C3" s="2" t="s">
        <v>5</v>
      </c>
      <c r="D3" s="2" t="s">
        <v>6</v>
      </c>
      <c r="E3" s="3"/>
      <c r="F3" s="3"/>
      <c r="G3" s="3"/>
    </row>
    <row r="4" spans="2:237" ht="15" customHeight="1" x14ac:dyDescent="0.2">
      <c r="B4" s="1" t="s">
        <v>14</v>
      </c>
      <c r="C4" s="2" t="s">
        <v>7</v>
      </c>
      <c r="D4" s="2" t="s">
        <v>6</v>
      </c>
      <c r="E4" s="5"/>
      <c r="F4" s="5"/>
      <c r="G4" s="5"/>
      <c r="H4" s="6"/>
      <c r="J4" s="7"/>
      <c r="K4" s="7"/>
    </row>
    <row r="5" spans="2:237" ht="15" customHeight="1" x14ac:dyDescent="0.2">
      <c r="B5" s="1" t="s">
        <v>14</v>
      </c>
      <c r="C5" s="2" t="s">
        <v>8</v>
      </c>
      <c r="D5" s="2" t="s">
        <v>6</v>
      </c>
      <c r="H5" s="6"/>
    </row>
    <row r="6" spans="2:237" ht="15" customHeight="1" x14ac:dyDescent="0.2">
      <c r="B6" s="1" t="s">
        <v>14</v>
      </c>
      <c r="C6" s="2" t="s">
        <v>1</v>
      </c>
      <c r="D6" s="2" t="s">
        <v>6</v>
      </c>
      <c r="E6" s="8">
        <v>39995</v>
      </c>
      <c r="F6" s="20" t="b">
        <v>1</v>
      </c>
      <c r="G6" s="4" t="s">
        <v>9</v>
      </c>
      <c r="H6" s="8">
        <v>40026</v>
      </c>
      <c r="I6" s="22" t="str">
        <f>IF(AND(F7=TRUE,I7&lt;&gt;""),I7*7+E6,"")</f>
        <v/>
      </c>
      <c r="M6" s="9"/>
    </row>
    <row r="7" spans="2:237" ht="15" customHeight="1" x14ac:dyDescent="0.2">
      <c r="B7" s="10"/>
      <c r="F7" s="20" t="b">
        <v>0</v>
      </c>
      <c r="G7" s="4" t="s">
        <v>10</v>
      </c>
      <c r="H7" s="21">
        <f>ROUNDUP((H6-E6)/7,0)</f>
        <v>5</v>
      </c>
      <c r="I7" s="11">
        <v>5</v>
      </c>
    </row>
    <row r="8" spans="2:237" ht="15" customHeight="1" x14ac:dyDescent="0.2">
      <c r="B8" s="1" t="s">
        <v>14</v>
      </c>
      <c r="C8" s="2" t="s">
        <v>3</v>
      </c>
      <c r="D8" s="2" t="s">
        <v>6</v>
      </c>
      <c r="E8" s="5" t="s">
        <v>19</v>
      </c>
      <c r="F8" s="20">
        <f>IF(E8="Monday - Friday",1,IF(E8="Monday - Saturday",2,3))</f>
        <v>2</v>
      </c>
    </row>
    <row r="9" spans="2:237" ht="15" customHeight="1" x14ac:dyDescent="0.2">
      <c r="B9" s="1" t="s">
        <v>14</v>
      </c>
      <c r="C9" s="2" t="s">
        <v>12</v>
      </c>
      <c r="D9" s="2" t="s">
        <v>6</v>
      </c>
      <c r="E9" s="5" t="s">
        <v>13</v>
      </c>
      <c r="F9" s="20">
        <f>IF(E9="Yes",1,0)</f>
        <v>1</v>
      </c>
      <c r="K9" s="12"/>
      <c r="M9" s="13"/>
    </row>
    <row r="10" spans="2:237" ht="15" customHeight="1" x14ac:dyDescent="0.2">
      <c r="B10" s="1" t="s">
        <v>14</v>
      </c>
      <c r="C10" s="2" t="s">
        <v>11</v>
      </c>
      <c r="D10" s="2" t="s">
        <v>6</v>
      </c>
      <c r="E10" s="5" t="s">
        <v>13</v>
      </c>
      <c r="F10" s="20">
        <f>IF(E10="Yes",1,0)</f>
        <v>1</v>
      </c>
      <c r="K10" s="12"/>
      <c r="M10" s="13"/>
    </row>
    <row r="11" spans="2:237" ht="15" customHeight="1" x14ac:dyDescent="0.2">
      <c r="B11" s="10"/>
      <c r="K11" s="12"/>
      <c r="M11" s="13"/>
    </row>
    <row r="12" spans="2:237" ht="15" customHeight="1" x14ac:dyDescent="0.2">
      <c r="B12" s="41" t="s">
        <v>4</v>
      </c>
      <c r="C12" s="42" t="s">
        <v>0</v>
      </c>
      <c r="D12" s="43"/>
      <c r="E12" s="43"/>
      <c r="F12" s="42" t="s">
        <v>18</v>
      </c>
      <c r="G12" s="44"/>
      <c r="H12" s="44" t="s">
        <v>1</v>
      </c>
      <c r="I12" s="41" t="s">
        <v>2</v>
      </c>
      <c r="J12" s="41" t="s">
        <v>15</v>
      </c>
      <c r="K12" s="41" t="s">
        <v>16</v>
      </c>
      <c r="L12" s="41" t="s">
        <v>17</v>
      </c>
      <c r="M12" s="45" t="str">
        <f>IF(M15&lt;&gt;"","W"&amp;M14,"")</f>
        <v>W1</v>
      </c>
      <c r="N12" s="45"/>
      <c r="O12" s="45"/>
      <c r="P12" s="45"/>
      <c r="Q12" s="45"/>
      <c r="R12" s="45"/>
      <c r="S12" s="46"/>
      <c r="T12" s="45" t="str">
        <f>IF(T15&lt;&gt;"","W"&amp;T14,"")</f>
        <v>W2</v>
      </c>
      <c r="U12" s="45"/>
      <c r="V12" s="45"/>
      <c r="W12" s="45"/>
      <c r="X12" s="45"/>
      <c r="Y12" s="45"/>
      <c r="Z12" s="46"/>
      <c r="AA12" s="45" t="str">
        <f>IF(AA15&lt;&gt;"","W"&amp;AA14,"")</f>
        <v>W3</v>
      </c>
      <c r="AB12" s="45"/>
      <c r="AC12" s="45"/>
      <c r="AD12" s="45"/>
      <c r="AE12" s="45"/>
      <c r="AF12" s="45"/>
      <c r="AG12" s="46"/>
      <c r="AH12" s="45" t="str">
        <f>IF(AH15&lt;&gt;"","W"&amp;AH14,"")</f>
        <v>W4</v>
      </c>
      <c r="AI12" s="45"/>
      <c r="AJ12" s="45"/>
      <c r="AK12" s="45"/>
      <c r="AL12" s="45"/>
      <c r="AM12" s="45"/>
      <c r="AN12" s="46"/>
      <c r="AO12" s="45" t="str">
        <f>IF(AO15&lt;&gt;"","W"&amp;AO14,"")</f>
        <v>W5</v>
      </c>
      <c r="AP12" s="45"/>
      <c r="AQ12" s="45"/>
      <c r="AR12" s="45"/>
      <c r="AS12" s="45"/>
      <c r="AT12" s="45"/>
      <c r="AU12" s="46"/>
      <c r="AV12" s="37" t="str">
        <f>IF(AV15&lt;&gt;"","W"&amp;AV14,"")</f>
        <v/>
      </c>
      <c r="AW12" s="37"/>
      <c r="AX12" s="37"/>
      <c r="AY12" s="37"/>
      <c r="AZ12" s="37"/>
      <c r="BA12" s="37"/>
      <c r="BB12" s="38"/>
      <c r="BC12" s="37" t="str">
        <f>IF(BC15&lt;&gt;"","W"&amp;BC14,"")</f>
        <v/>
      </c>
      <c r="BD12" s="37"/>
      <c r="BE12" s="37"/>
      <c r="BF12" s="37"/>
      <c r="BG12" s="37"/>
      <c r="BH12" s="37"/>
      <c r="BI12" s="38"/>
      <c r="BJ12" s="37" t="str">
        <f>IF(BJ15&lt;&gt;"","W"&amp;BJ14,"")</f>
        <v/>
      </c>
      <c r="BK12" s="37"/>
      <c r="BL12" s="37"/>
      <c r="BM12" s="37"/>
      <c r="BN12" s="37"/>
      <c r="BO12" s="37"/>
      <c r="BP12" s="38"/>
      <c r="BQ12" s="37" t="str">
        <f>IF(BQ15&lt;&gt;"","W"&amp;BQ14,"")</f>
        <v/>
      </c>
      <c r="BR12" s="37"/>
      <c r="BS12" s="37"/>
      <c r="BT12" s="37"/>
      <c r="BU12" s="37"/>
      <c r="BV12" s="37"/>
      <c r="BW12" s="38"/>
      <c r="BX12" s="37" t="str">
        <f>IF(BX15&lt;&gt;"","W"&amp;BX14,"")</f>
        <v/>
      </c>
      <c r="BY12" s="37"/>
      <c r="BZ12" s="37"/>
      <c r="CA12" s="37"/>
      <c r="CB12" s="37"/>
      <c r="CC12" s="37"/>
      <c r="CD12" s="38"/>
      <c r="CE12" s="37" t="str">
        <f>IF(CE15&lt;&gt;"","W"&amp;CE14,"")</f>
        <v/>
      </c>
      <c r="CF12" s="37"/>
      <c r="CG12" s="37"/>
      <c r="CH12" s="37"/>
      <c r="CI12" s="37"/>
      <c r="CJ12" s="37"/>
      <c r="CK12" s="38"/>
      <c r="CL12" s="37" t="str">
        <f>IF(CL15&lt;&gt;"","W"&amp;CL14,"")</f>
        <v/>
      </c>
      <c r="CM12" s="37"/>
      <c r="CN12" s="37"/>
      <c r="CO12" s="37"/>
      <c r="CP12" s="37"/>
      <c r="CQ12" s="37"/>
      <c r="CR12" s="38"/>
      <c r="CS12" s="37" t="str">
        <f>IF(CS15&lt;&gt;"","W"&amp;CS14,"")</f>
        <v/>
      </c>
      <c r="CT12" s="37"/>
      <c r="CU12" s="37"/>
      <c r="CV12" s="37"/>
      <c r="CW12" s="37"/>
      <c r="CX12" s="37"/>
      <c r="CY12" s="38"/>
      <c r="CZ12" s="37" t="str">
        <f>IF(CZ15&lt;&gt;"","W"&amp;CZ14,"")</f>
        <v/>
      </c>
      <c r="DA12" s="37"/>
      <c r="DB12" s="37"/>
      <c r="DC12" s="37"/>
      <c r="DD12" s="37"/>
      <c r="DE12" s="37"/>
      <c r="DF12" s="38"/>
      <c r="DG12" s="37" t="str">
        <f>IF(DG15&lt;&gt;"","W"&amp;DG14,"")</f>
        <v/>
      </c>
      <c r="DH12" s="37"/>
      <c r="DI12" s="37"/>
      <c r="DJ12" s="37"/>
      <c r="DK12" s="37"/>
      <c r="DL12" s="37"/>
      <c r="DM12" s="38"/>
      <c r="DN12" s="37" t="str">
        <f>IF(DN15&lt;&gt;"","W"&amp;DN14,"")</f>
        <v/>
      </c>
      <c r="DO12" s="37"/>
      <c r="DP12" s="37"/>
      <c r="DQ12" s="37"/>
      <c r="DR12" s="37"/>
      <c r="DS12" s="37"/>
      <c r="DT12" s="38"/>
      <c r="DU12" s="37" t="str">
        <f>IF(DU15&lt;&gt;"","W"&amp;DU14,"")</f>
        <v/>
      </c>
      <c r="DV12" s="37"/>
      <c r="DW12" s="37"/>
      <c r="DX12" s="37"/>
      <c r="DY12" s="37"/>
      <c r="DZ12" s="37"/>
      <c r="EA12" s="38"/>
      <c r="EB12" s="37" t="str">
        <f>IF(EB15&lt;&gt;"","W"&amp;EB14,"")</f>
        <v/>
      </c>
      <c r="EC12" s="37"/>
      <c r="ED12" s="37"/>
      <c r="EE12" s="37"/>
      <c r="EF12" s="37"/>
      <c r="EG12" s="37"/>
      <c r="EH12" s="38"/>
      <c r="EI12" s="37" t="str">
        <f>IF(EI15&lt;&gt;"","W"&amp;EI14,"")</f>
        <v/>
      </c>
      <c r="EJ12" s="37"/>
      <c r="EK12" s="37"/>
      <c r="EL12" s="37"/>
      <c r="EM12" s="37"/>
      <c r="EN12" s="37"/>
      <c r="EO12" s="38"/>
      <c r="EP12" s="37" t="str">
        <f>IF(EP15&lt;&gt;"","W"&amp;EP14,"")</f>
        <v/>
      </c>
      <c r="EQ12" s="37"/>
      <c r="ER12" s="37"/>
      <c r="ES12" s="37"/>
      <c r="ET12" s="37"/>
      <c r="EU12" s="37"/>
      <c r="EV12" s="38"/>
      <c r="EW12" s="37" t="str">
        <f>IF(EW15&lt;&gt;"","W"&amp;EW14,"")</f>
        <v/>
      </c>
      <c r="EX12" s="37"/>
      <c r="EY12" s="37"/>
      <c r="EZ12" s="37"/>
      <c r="FA12" s="37"/>
      <c r="FB12" s="37"/>
      <c r="FC12" s="38"/>
      <c r="FD12" s="37" t="str">
        <f>IF(FD15&lt;&gt;"","W"&amp;FD14,"")</f>
        <v/>
      </c>
      <c r="FE12" s="37"/>
      <c r="FF12" s="37"/>
      <c r="FG12" s="37"/>
      <c r="FH12" s="37"/>
      <c r="FI12" s="37"/>
      <c r="FJ12" s="38"/>
      <c r="FK12" s="37" t="str">
        <f>IF(FK15&lt;&gt;"","W"&amp;FK14,"")</f>
        <v/>
      </c>
      <c r="FL12" s="37"/>
      <c r="FM12" s="37"/>
      <c r="FN12" s="37"/>
      <c r="FO12" s="37"/>
      <c r="FP12" s="37"/>
      <c r="FQ12" s="38"/>
      <c r="FR12" s="37" t="str">
        <f>IF(FR15&lt;&gt;"","W"&amp;FR14,"")</f>
        <v/>
      </c>
      <c r="FS12" s="37"/>
      <c r="FT12" s="37"/>
      <c r="FU12" s="37"/>
      <c r="FV12" s="37"/>
      <c r="FW12" s="37"/>
      <c r="FX12" s="38"/>
      <c r="FY12" s="37" t="str">
        <f>IF(FY15&lt;&gt;"","W"&amp;FY14,"")</f>
        <v/>
      </c>
      <c r="FZ12" s="37"/>
      <c r="GA12" s="37"/>
      <c r="GB12" s="37"/>
      <c r="GC12" s="37"/>
      <c r="GD12" s="37"/>
      <c r="GE12" s="38"/>
      <c r="GF12" s="37" t="str">
        <f>IF(GF15&lt;&gt;"","W"&amp;GF14,"")</f>
        <v/>
      </c>
      <c r="GG12" s="37"/>
      <c r="GH12" s="37"/>
      <c r="GI12" s="37"/>
      <c r="GJ12" s="37"/>
      <c r="GK12" s="37"/>
      <c r="GL12" s="38"/>
      <c r="GM12" s="37" t="str">
        <f>IF(GM15&lt;&gt;"","W"&amp;GM14,"")</f>
        <v/>
      </c>
      <c r="GN12" s="37"/>
      <c r="GO12" s="37"/>
      <c r="GP12" s="37"/>
      <c r="GQ12" s="37"/>
      <c r="GR12" s="37"/>
      <c r="GS12" s="38"/>
      <c r="GT12" s="37" t="str">
        <f>IF(GT15&lt;&gt;"","W"&amp;GT14,"")</f>
        <v/>
      </c>
      <c r="GU12" s="37"/>
      <c r="GV12" s="37"/>
      <c r="GW12" s="37"/>
      <c r="GX12" s="37"/>
      <c r="GY12" s="37"/>
      <c r="GZ12" s="38"/>
      <c r="HA12" s="37" t="str">
        <f>IF(HA15&lt;&gt;"","W"&amp;HA14,"")</f>
        <v/>
      </c>
      <c r="HB12" s="37"/>
      <c r="HC12" s="37"/>
      <c r="HD12" s="37"/>
      <c r="HE12" s="37"/>
      <c r="HF12" s="37"/>
      <c r="HG12" s="38"/>
      <c r="HH12" s="37" t="str">
        <f>IF(HH15&lt;&gt;"","W"&amp;HH14,"")</f>
        <v/>
      </c>
      <c r="HI12" s="37"/>
      <c r="HJ12" s="37"/>
      <c r="HK12" s="37"/>
      <c r="HL12" s="37"/>
      <c r="HM12" s="37"/>
      <c r="HN12" s="38"/>
      <c r="HO12" s="37" t="str">
        <f>IF(HO15&lt;&gt;"","W"&amp;HO14,"")</f>
        <v/>
      </c>
      <c r="HP12" s="37"/>
      <c r="HQ12" s="37"/>
      <c r="HR12" s="37"/>
      <c r="HS12" s="37"/>
      <c r="HT12" s="37"/>
      <c r="HU12" s="38"/>
      <c r="HV12" s="37" t="str">
        <f>IF(HV15&lt;&gt;"","W"&amp;HV14,"")</f>
        <v/>
      </c>
      <c r="HW12" s="37"/>
      <c r="HX12" s="37"/>
      <c r="HY12" s="37"/>
      <c r="HZ12" s="37"/>
      <c r="IA12" s="37"/>
      <c r="IB12" s="38"/>
      <c r="IC12" s="23"/>
    </row>
    <row r="13" spans="2:237" s="14" customFormat="1" ht="3.75" customHeight="1" x14ac:dyDescent="0.2">
      <c r="B13" s="47"/>
      <c r="C13" s="48"/>
      <c r="D13" s="49"/>
      <c r="E13" s="49"/>
      <c r="F13" s="48"/>
      <c r="G13" s="50"/>
      <c r="H13" s="50"/>
      <c r="I13" s="47"/>
      <c r="J13" s="47"/>
      <c r="K13" s="47"/>
      <c r="L13" s="47"/>
      <c r="M13" s="51"/>
      <c r="N13" s="51" t="str">
        <f>IF(M15&lt;&gt;"",IF(WEEKDAY(N15,2)=6,1,""),"")</f>
        <v/>
      </c>
      <c r="O13" s="51" t="str">
        <f t="shared" ref="O13:BZ13" si="0">IF(N15&lt;&gt;"",IF(WEEKDAY(O15,2)=6,1,""),"")</f>
        <v/>
      </c>
      <c r="P13" s="51" t="str">
        <f t="shared" si="0"/>
        <v/>
      </c>
      <c r="Q13" s="51" t="str">
        <f t="shared" si="0"/>
        <v/>
      </c>
      <c r="R13" s="51">
        <f t="shared" si="0"/>
        <v>1</v>
      </c>
      <c r="S13" s="52" t="str">
        <f t="shared" si="0"/>
        <v/>
      </c>
      <c r="T13" s="53" t="str">
        <f t="shared" si="0"/>
        <v/>
      </c>
      <c r="U13" s="51" t="str">
        <f>IF(T15&lt;&gt;"",IF(WEEKDAY(U15,2)=6,1,""),"")</f>
        <v/>
      </c>
      <c r="V13" s="51" t="str">
        <f t="shared" si="0"/>
        <v/>
      </c>
      <c r="W13" s="51" t="str">
        <f t="shared" si="0"/>
        <v/>
      </c>
      <c r="X13" s="51" t="str">
        <f t="shared" si="0"/>
        <v/>
      </c>
      <c r="Y13" s="51">
        <f t="shared" si="0"/>
        <v>1</v>
      </c>
      <c r="Z13" s="52" t="str">
        <f t="shared" si="0"/>
        <v/>
      </c>
      <c r="AA13" s="53" t="str">
        <f t="shared" si="0"/>
        <v/>
      </c>
      <c r="AB13" s="51" t="str">
        <f>IF(AA15&lt;&gt;"",IF(WEEKDAY(AB15,2)=6,1,""),"")</f>
        <v/>
      </c>
      <c r="AC13" s="51" t="str">
        <f t="shared" si="0"/>
        <v/>
      </c>
      <c r="AD13" s="51" t="str">
        <f t="shared" si="0"/>
        <v/>
      </c>
      <c r="AE13" s="51" t="str">
        <f t="shared" si="0"/>
        <v/>
      </c>
      <c r="AF13" s="51">
        <f t="shared" si="0"/>
        <v>1</v>
      </c>
      <c r="AG13" s="52" t="str">
        <f t="shared" si="0"/>
        <v/>
      </c>
      <c r="AH13" s="53" t="str">
        <f t="shared" si="0"/>
        <v/>
      </c>
      <c r="AI13" s="51" t="str">
        <f>IF(AH15&lt;&gt;"",IF(WEEKDAY(AI15,2)=6,1,""),"")</f>
        <v/>
      </c>
      <c r="AJ13" s="51" t="str">
        <f t="shared" si="0"/>
        <v/>
      </c>
      <c r="AK13" s="51" t="str">
        <f t="shared" si="0"/>
        <v/>
      </c>
      <c r="AL13" s="51" t="str">
        <f t="shared" si="0"/>
        <v/>
      </c>
      <c r="AM13" s="51">
        <f t="shared" si="0"/>
        <v>1</v>
      </c>
      <c r="AN13" s="52" t="str">
        <f t="shared" si="0"/>
        <v/>
      </c>
      <c r="AO13" s="53" t="str">
        <f t="shared" si="0"/>
        <v/>
      </c>
      <c r="AP13" s="51" t="str">
        <f>IF(AO15&lt;&gt;"",IF(WEEKDAY(AP15,2)=6,1,""),"")</f>
        <v/>
      </c>
      <c r="AQ13" s="51" t="str">
        <f t="shared" si="0"/>
        <v/>
      </c>
      <c r="AR13" s="51" t="str">
        <f t="shared" si="0"/>
        <v/>
      </c>
      <c r="AS13" s="51" t="str">
        <f t="shared" si="0"/>
        <v/>
      </c>
      <c r="AT13" s="51">
        <f t="shared" si="0"/>
        <v>1</v>
      </c>
      <c r="AU13" s="52" t="str">
        <f t="shared" si="0"/>
        <v/>
      </c>
      <c r="AV13" s="26" t="e">
        <f t="shared" si="0"/>
        <v>#VALUE!</v>
      </c>
      <c r="AW13" s="24" t="str">
        <f>IF(AV15&lt;&gt;"",IF(WEEKDAY(AW15,2)=6,1,""),"")</f>
        <v/>
      </c>
      <c r="AX13" s="24" t="str">
        <f t="shared" si="0"/>
        <v/>
      </c>
      <c r="AY13" s="24" t="str">
        <f t="shared" si="0"/>
        <v/>
      </c>
      <c r="AZ13" s="24" t="str">
        <f t="shared" si="0"/>
        <v/>
      </c>
      <c r="BA13" s="24" t="str">
        <f t="shared" si="0"/>
        <v/>
      </c>
      <c r="BB13" s="25" t="str">
        <f t="shared" si="0"/>
        <v/>
      </c>
      <c r="BC13" s="26" t="str">
        <f t="shared" si="0"/>
        <v/>
      </c>
      <c r="BD13" s="24" t="str">
        <f>IF(BC15&lt;&gt;"",IF(WEEKDAY(BD15,2)=6,1,""),"")</f>
        <v/>
      </c>
      <c r="BE13" s="24" t="str">
        <f t="shared" si="0"/>
        <v/>
      </c>
      <c r="BF13" s="24" t="str">
        <f t="shared" si="0"/>
        <v/>
      </c>
      <c r="BG13" s="24" t="str">
        <f t="shared" si="0"/>
        <v/>
      </c>
      <c r="BH13" s="24" t="str">
        <f t="shared" si="0"/>
        <v/>
      </c>
      <c r="BI13" s="25" t="str">
        <f t="shared" si="0"/>
        <v/>
      </c>
      <c r="BJ13" s="26" t="str">
        <f t="shared" si="0"/>
        <v/>
      </c>
      <c r="BK13" s="24" t="str">
        <f>IF(BJ15&lt;&gt;"",IF(WEEKDAY(BK15,2)=6,1,""),"")</f>
        <v/>
      </c>
      <c r="BL13" s="24" t="str">
        <f t="shared" si="0"/>
        <v/>
      </c>
      <c r="BM13" s="24" t="str">
        <f t="shared" si="0"/>
        <v/>
      </c>
      <c r="BN13" s="24" t="str">
        <f t="shared" si="0"/>
        <v/>
      </c>
      <c r="BO13" s="24" t="str">
        <f t="shared" si="0"/>
        <v/>
      </c>
      <c r="BP13" s="25" t="str">
        <f t="shared" si="0"/>
        <v/>
      </c>
      <c r="BQ13" s="26" t="str">
        <f t="shared" si="0"/>
        <v/>
      </c>
      <c r="BR13" s="24" t="str">
        <f>IF(BQ15&lt;&gt;"",IF(WEEKDAY(BR15,2)=6,1,""),"")</f>
        <v/>
      </c>
      <c r="BS13" s="24" t="str">
        <f t="shared" si="0"/>
        <v/>
      </c>
      <c r="BT13" s="24" t="str">
        <f t="shared" si="0"/>
        <v/>
      </c>
      <c r="BU13" s="24" t="str">
        <f t="shared" si="0"/>
        <v/>
      </c>
      <c r="BV13" s="24" t="str">
        <f t="shared" si="0"/>
        <v/>
      </c>
      <c r="BW13" s="25" t="str">
        <f t="shared" si="0"/>
        <v/>
      </c>
      <c r="BX13" s="26" t="str">
        <f t="shared" si="0"/>
        <v/>
      </c>
      <c r="BY13" s="24" t="str">
        <f>IF(BX15&lt;&gt;"",IF(WEEKDAY(BY15,2)=6,1,""),"")</f>
        <v/>
      </c>
      <c r="BZ13" s="24" t="str">
        <f t="shared" si="0"/>
        <v/>
      </c>
      <c r="CA13" s="24" t="str">
        <f t="shared" ref="CA13:EL13" si="1">IF(BZ15&lt;&gt;"",IF(WEEKDAY(CA15,2)=6,1,""),"")</f>
        <v/>
      </c>
      <c r="CB13" s="24" t="str">
        <f t="shared" si="1"/>
        <v/>
      </c>
      <c r="CC13" s="24" t="str">
        <f t="shared" si="1"/>
        <v/>
      </c>
      <c r="CD13" s="25" t="str">
        <f t="shared" si="1"/>
        <v/>
      </c>
      <c r="CE13" s="26" t="str">
        <f t="shared" si="1"/>
        <v/>
      </c>
      <c r="CF13" s="24" t="str">
        <f>IF(CE15&lt;&gt;"",IF(WEEKDAY(CF15,2)=6,1,""),"")</f>
        <v/>
      </c>
      <c r="CG13" s="24" t="str">
        <f t="shared" si="1"/>
        <v/>
      </c>
      <c r="CH13" s="24" t="str">
        <f t="shared" si="1"/>
        <v/>
      </c>
      <c r="CI13" s="24" t="str">
        <f t="shared" si="1"/>
        <v/>
      </c>
      <c r="CJ13" s="24" t="str">
        <f t="shared" si="1"/>
        <v/>
      </c>
      <c r="CK13" s="25" t="str">
        <f t="shared" si="1"/>
        <v/>
      </c>
      <c r="CL13" s="26" t="str">
        <f t="shared" si="1"/>
        <v/>
      </c>
      <c r="CM13" s="24" t="str">
        <f>IF(CL15&lt;&gt;"",IF(WEEKDAY(CM15,2)=6,1,""),"")</f>
        <v/>
      </c>
      <c r="CN13" s="24" t="str">
        <f t="shared" si="1"/>
        <v/>
      </c>
      <c r="CO13" s="24" t="str">
        <f t="shared" si="1"/>
        <v/>
      </c>
      <c r="CP13" s="24" t="str">
        <f t="shared" si="1"/>
        <v/>
      </c>
      <c r="CQ13" s="24" t="str">
        <f t="shared" si="1"/>
        <v/>
      </c>
      <c r="CR13" s="25" t="str">
        <f t="shared" si="1"/>
        <v/>
      </c>
      <c r="CS13" s="26" t="str">
        <f t="shared" si="1"/>
        <v/>
      </c>
      <c r="CT13" s="24" t="str">
        <f>IF(CS15&lt;&gt;"",IF(WEEKDAY(CT15,2)=6,1,""),"")</f>
        <v/>
      </c>
      <c r="CU13" s="24" t="str">
        <f t="shared" si="1"/>
        <v/>
      </c>
      <c r="CV13" s="24" t="str">
        <f t="shared" si="1"/>
        <v/>
      </c>
      <c r="CW13" s="24" t="str">
        <f t="shared" si="1"/>
        <v/>
      </c>
      <c r="CX13" s="24" t="str">
        <f t="shared" si="1"/>
        <v/>
      </c>
      <c r="CY13" s="25" t="str">
        <f t="shared" si="1"/>
        <v/>
      </c>
      <c r="CZ13" s="26" t="str">
        <f t="shared" si="1"/>
        <v/>
      </c>
      <c r="DA13" s="24" t="str">
        <f>IF(CZ15&lt;&gt;"",IF(WEEKDAY(DA15,2)=6,1,""),"")</f>
        <v/>
      </c>
      <c r="DB13" s="24" t="str">
        <f t="shared" si="1"/>
        <v/>
      </c>
      <c r="DC13" s="24" t="str">
        <f t="shared" si="1"/>
        <v/>
      </c>
      <c r="DD13" s="24" t="str">
        <f t="shared" si="1"/>
        <v/>
      </c>
      <c r="DE13" s="24" t="str">
        <f t="shared" si="1"/>
        <v/>
      </c>
      <c r="DF13" s="25" t="str">
        <f t="shared" si="1"/>
        <v/>
      </c>
      <c r="DG13" s="26" t="str">
        <f t="shared" si="1"/>
        <v/>
      </c>
      <c r="DH13" s="24" t="str">
        <f>IF(DG15&lt;&gt;"",IF(WEEKDAY(DH15,2)=6,1,""),"")</f>
        <v/>
      </c>
      <c r="DI13" s="24" t="str">
        <f t="shared" si="1"/>
        <v/>
      </c>
      <c r="DJ13" s="24" t="str">
        <f t="shared" si="1"/>
        <v/>
      </c>
      <c r="DK13" s="24" t="str">
        <f t="shared" si="1"/>
        <v/>
      </c>
      <c r="DL13" s="24" t="str">
        <f t="shared" si="1"/>
        <v/>
      </c>
      <c r="DM13" s="25" t="str">
        <f t="shared" si="1"/>
        <v/>
      </c>
      <c r="DN13" s="26" t="str">
        <f t="shared" si="1"/>
        <v/>
      </c>
      <c r="DO13" s="24" t="str">
        <f>IF(DN15&lt;&gt;"",IF(WEEKDAY(DO15,2)=6,1,""),"")</f>
        <v/>
      </c>
      <c r="DP13" s="24" t="str">
        <f t="shared" si="1"/>
        <v/>
      </c>
      <c r="DQ13" s="24" t="str">
        <f t="shared" si="1"/>
        <v/>
      </c>
      <c r="DR13" s="24" t="str">
        <f t="shared" si="1"/>
        <v/>
      </c>
      <c r="DS13" s="24" t="str">
        <f t="shared" si="1"/>
        <v/>
      </c>
      <c r="DT13" s="25" t="str">
        <f t="shared" si="1"/>
        <v/>
      </c>
      <c r="DU13" s="26" t="str">
        <f t="shared" si="1"/>
        <v/>
      </c>
      <c r="DV13" s="24" t="str">
        <f>IF(DU15&lt;&gt;"",IF(WEEKDAY(DV15,2)=6,1,""),"")</f>
        <v/>
      </c>
      <c r="DW13" s="24" t="str">
        <f t="shared" si="1"/>
        <v/>
      </c>
      <c r="DX13" s="24" t="str">
        <f t="shared" si="1"/>
        <v/>
      </c>
      <c r="DY13" s="24" t="str">
        <f t="shared" si="1"/>
        <v/>
      </c>
      <c r="DZ13" s="24" t="str">
        <f t="shared" si="1"/>
        <v/>
      </c>
      <c r="EA13" s="25" t="str">
        <f t="shared" si="1"/>
        <v/>
      </c>
      <c r="EB13" s="26" t="str">
        <f t="shared" si="1"/>
        <v/>
      </c>
      <c r="EC13" s="24" t="str">
        <f>IF(EB15&lt;&gt;"",IF(WEEKDAY(EC15,2)=6,1,""),"")</f>
        <v/>
      </c>
      <c r="ED13" s="24" t="str">
        <f t="shared" si="1"/>
        <v/>
      </c>
      <c r="EE13" s="24" t="str">
        <f t="shared" si="1"/>
        <v/>
      </c>
      <c r="EF13" s="24" t="str">
        <f t="shared" si="1"/>
        <v/>
      </c>
      <c r="EG13" s="24" t="str">
        <f t="shared" si="1"/>
        <v/>
      </c>
      <c r="EH13" s="25" t="str">
        <f t="shared" si="1"/>
        <v/>
      </c>
      <c r="EI13" s="26" t="str">
        <f t="shared" si="1"/>
        <v/>
      </c>
      <c r="EJ13" s="24" t="str">
        <f>IF(EI15&lt;&gt;"",IF(WEEKDAY(EJ15,2)=6,1,""),"")</f>
        <v/>
      </c>
      <c r="EK13" s="24" t="str">
        <f t="shared" si="1"/>
        <v/>
      </c>
      <c r="EL13" s="24" t="str">
        <f t="shared" si="1"/>
        <v/>
      </c>
      <c r="EM13" s="24" t="str">
        <f t="shared" ref="EM13:GX13" si="2">IF(EL15&lt;&gt;"",IF(WEEKDAY(EM15,2)=6,1,""),"")</f>
        <v/>
      </c>
      <c r="EN13" s="24" t="str">
        <f t="shared" si="2"/>
        <v/>
      </c>
      <c r="EO13" s="25" t="str">
        <f t="shared" si="2"/>
        <v/>
      </c>
      <c r="EP13" s="26" t="str">
        <f t="shared" si="2"/>
        <v/>
      </c>
      <c r="EQ13" s="24" t="str">
        <f>IF(EP15&lt;&gt;"",IF(WEEKDAY(EQ15,2)=6,1,""),"")</f>
        <v/>
      </c>
      <c r="ER13" s="24" t="str">
        <f t="shared" si="2"/>
        <v/>
      </c>
      <c r="ES13" s="24" t="str">
        <f t="shared" si="2"/>
        <v/>
      </c>
      <c r="ET13" s="24" t="str">
        <f t="shared" si="2"/>
        <v/>
      </c>
      <c r="EU13" s="24" t="str">
        <f t="shared" si="2"/>
        <v/>
      </c>
      <c r="EV13" s="25" t="str">
        <f t="shared" si="2"/>
        <v/>
      </c>
      <c r="EW13" s="26" t="str">
        <f t="shared" si="2"/>
        <v/>
      </c>
      <c r="EX13" s="24" t="str">
        <f>IF(EW15&lt;&gt;"",IF(WEEKDAY(EX15,2)=6,1,""),"")</f>
        <v/>
      </c>
      <c r="EY13" s="24" t="str">
        <f t="shared" si="2"/>
        <v/>
      </c>
      <c r="EZ13" s="24" t="str">
        <f t="shared" si="2"/>
        <v/>
      </c>
      <c r="FA13" s="24" t="str">
        <f t="shared" si="2"/>
        <v/>
      </c>
      <c r="FB13" s="24" t="str">
        <f t="shared" si="2"/>
        <v/>
      </c>
      <c r="FC13" s="25" t="str">
        <f t="shared" si="2"/>
        <v/>
      </c>
      <c r="FD13" s="26" t="str">
        <f t="shared" si="2"/>
        <v/>
      </c>
      <c r="FE13" s="24" t="str">
        <f>IF(FD15&lt;&gt;"",IF(WEEKDAY(FE15,2)=6,1,""),"")</f>
        <v/>
      </c>
      <c r="FF13" s="24" t="str">
        <f t="shared" si="2"/>
        <v/>
      </c>
      <c r="FG13" s="24" t="str">
        <f t="shared" si="2"/>
        <v/>
      </c>
      <c r="FH13" s="24" t="str">
        <f t="shared" si="2"/>
        <v/>
      </c>
      <c r="FI13" s="24" t="str">
        <f t="shared" si="2"/>
        <v/>
      </c>
      <c r="FJ13" s="25" t="str">
        <f t="shared" si="2"/>
        <v/>
      </c>
      <c r="FK13" s="26" t="str">
        <f t="shared" si="2"/>
        <v/>
      </c>
      <c r="FL13" s="24" t="str">
        <f>IF(FK15&lt;&gt;"",IF(WEEKDAY(FL15,2)=6,1,""),"")</f>
        <v/>
      </c>
      <c r="FM13" s="24" t="str">
        <f t="shared" si="2"/>
        <v/>
      </c>
      <c r="FN13" s="24" t="str">
        <f t="shared" si="2"/>
        <v/>
      </c>
      <c r="FO13" s="24" t="str">
        <f t="shared" si="2"/>
        <v/>
      </c>
      <c r="FP13" s="24" t="str">
        <f t="shared" si="2"/>
        <v/>
      </c>
      <c r="FQ13" s="25" t="str">
        <f t="shared" si="2"/>
        <v/>
      </c>
      <c r="FR13" s="26" t="str">
        <f t="shared" si="2"/>
        <v/>
      </c>
      <c r="FS13" s="24" t="str">
        <f>IF(FR15&lt;&gt;"",IF(WEEKDAY(FS15,2)=6,1,""),"")</f>
        <v/>
      </c>
      <c r="FT13" s="24" t="str">
        <f t="shared" si="2"/>
        <v/>
      </c>
      <c r="FU13" s="24" t="str">
        <f t="shared" si="2"/>
        <v/>
      </c>
      <c r="FV13" s="24" t="str">
        <f t="shared" si="2"/>
        <v/>
      </c>
      <c r="FW13" s="24" t="str">
        <f t="shared" si="2"/>
        <v/>
      </c>
      <c r="FX13" s="25" t="str">
        <f t="shared" si="2"/>
        <v/>
      </c>
      <c r="FY13" s="26" t="str">
        <f t="shared" si="2"/>
        <v/>
      </c>
      <c r="FZ13" s="24" t="str">
        <f>IF(FY15&lt;&gt;"",IF(WEEKDAY(FZ15,2)=6,1,""),"")</f>
        <v/>
      </c>
      <c r="GA13" s="24" t="str">
        <f t="shared" si="2"/>
        <v/>
      </c>
      <c r="GB13" s="24" t="str">
        <f t="shared" si="2"/>
        <v/>
      </c>
      <c r="GC13" s="24" t="str">
        <f t="shared" si="2"/>
        <v/>
      </c>
      <c r="GD13" s="24" t="str">
        <f t="shared" si="2"/>
        <v/>
      </c>
      <c r="GE13" s="25" t="str">
        <f t="shared" si="2"/>
        <v/>
      </c>
      <c r="GF13" s="26" t="str">
        <f t="shared" si="2"/>
        <v/>
      </c>
      <c r="GG13" s="24" t="str">
        <f>IF(GF15&lt;&gt;"",IF(WEEKDAY(GG15,2)=6,1,""),"")</f>
        <v/>
      </c>
      <c r="GH13" s="24" t="str">
        <f t="shared" si="2"/>
        <v/>
      </c>
      <c r="GI13" s="24" t="str">
        <f t="shared" si="2"/>
        <v/>
      </c>
      <c r="GJ13" s="24" t="str">
        <f t="shared" si="2"/>
        <v/>
      </c>
      <c r="GK13" s="24" t="str">
        <f t="shared" si="2"/>
        <v/>
      </c>
      <c r="GL13" s="25" t="str">
        <f t="shared" si="2"/>
        <v/>
      </c>
      <c r="GM13" s="26" t="str">
        <f t="shared" si="2"/>
        <v/>
      </c>
      <c r="GN13" s="24" t="str">
        <f>IF(GM15&lt;&gt;"",IF(WEEKDAY(GN15,2)=6,1,""),"")</f>
        <v/>
      </c>
      <c r="GO13" s="24" t="str">
        <f t="shared" si="2"/>
        <v/>
      </c>
      <c r="GP13" s="24" t="str">
        <f t="shared" si="2"/>
        <v/>
      </c>
      <c r="GQ13" s="24" t="str">
        <f t="shared" si="2"/>
        <v/>
      </c>
      <c r="GR13" s="24" t="str">
        <f t="shared" si="2"/>
        <v/>
      </c>
      <c r="GS13" s="25" t="str">
        <f t="shared" si="2"/>
        <v/>
      </c>
      <c r="GT13" s="26" t="str">
        <f t="shared" si="2"/>
        <v/>
      </c>
      <c r="GU13" s="24" t="str">
        <f>IF(GT15&lt;&gt;"",IF(WEEKDAY(GU15,2)=6,1,""),"")</f>
        <v/>
      </c>
      <c r="GV13" s="24" t="str">
        <f t="shared" si="2"/>
        <v/>
      </c>
      <c r="GW13" s="24" t="str">
        <f t="shared" si="2"/>
        <v/>
      </c>
      <c r="GX13" s="24" t="str">
        <f t="shared" si="2"/>
        <v/>
      </c>
      <c r="GY13" s="24" t="str">
        <f t="shared" ref="GY13:IB13" si="3">IF(GX15&lt;&gt;"",IF(WEEKDAY(GY15,2)=6,1,""),"")</f>
        <v/>
      </c>
      <c r="GZ13" s="25" t="str">
        <f t="shared" si="3"/>
        <v/>
      </c>
      <c r="HA13" s="26" t="str">
        <f t="shared" si="3"/>
        <v/>
      </c>
      <c r="HB13" s="24" t="str">
        <f>IF(HA15&lt;&gt;"",IF(WEEKDAY(HB15,2)=6,1,""),"")</f>
        <v/>
      </c>
      <c r="HC13" s="24" t="str">
        <f t="shared" si="3"/>
        <v/>
      </c>
      <c r="HD13" s="24" t="str">
        <f t="shared" si="3"/>
        <v/>
      </c>
      <c r="HE13" s="24" t="str">
        <f t="shared" si="3"/>
        <v/>
      </c>
      <c r="HF13" s="24" t="str">
        <f t="shared" si="3"/>
        <v/>
      </c>
      <c r="HG13" s="25" t="str">
        <f t="shared" si="3"/>
        <v/>
      </c>
      <c r="HH13" s="26" t="str">
        <f t="shared" si="3"/>
        <v/>
      </c>
      <c r="HI13" s="24" t="str">
        <f>IF(HH15&lt;&gt;"",IF(WEEKDAY(HI15,2)=6,1,""),"")</f>
        <v/>
      </c>
      <c r="HJ13" s="24" t="str">
        <f t="shared" si="3"/>
        <v/>
      </c>
      <c r="HK13" s="24" t="str">
        <f t="shared" si="3"/>
        <v/>
      </c>
      <c r="HL13" s="24" t="str">
        <f t="shared" si="3"/>
        <v/>
      </c>
      <c r="HM13" s="24" t="str">
        <f t="shared" si="3"/>
        <v/>
      </c>
      <c r="HN13" s="25" t="str">
        <f t="shared" si="3"/>
        <v/>
      </c>
      <c r="HO13" s="26" t="str">
        <f t="shared" si="3"/>
        <v/>
      </c>
      <c r="HP13" s="24" t="str">
        <f>IF(HO15&lt;&gt;"",IF(WEEKDAY(HP15,2)=6,1,""),"")</f>
        <v/>
      </c>
      <c r="HQ13" s="24" t="str">
        <f t="shared" si="3"/>
        <v/>
      </c>
      <c r="HR13" s="24" t="str">
        <f t="shared" si="3"/>
        <v/>
      </c>
      <c r="HS13" s="24" t="str">
        <f t="shared" si="3"/>
        <v/>
      </c>
      <c r="HT13" s="24" t="str">
        <f t="shared" si="3"/>
        <v/>
      </c>
      <c r="HU13" s="25" t="str">
        <f t="shared" si="3"/>
        <v/>
      </c>
      <c r="HV13" s="26" t="str">
        <f t="shared" si="3"/>
        <v/>
      </c>
      <c r="HW13" s="24" t="str">
        <f>IF(HV15&lt;&gt;"",IF(WEEKDAY(HW15,2)=6,1,""),"")</f>
        <v/>
      </c>
      <c r="HX13" s="24" t="str">
        <f t="shared" si="3"/>
        <v/>
      </c>
      <c r="HY13" s="24" t="str">
        <f t="shared" si="3"/>
        <v/>
      </c>
      <c r="HZ13" s="24" t="str">
        <f t="shared" si="3"/>
        <v/>
      </c>
      <c r="IA13" s="24" t="str">
        <f t="shared" si="3"/>
        <v/>
      </c>
      <c r="IB13" s="25" t="str">
        <f t="shared" si="3"/>
        <v/>
      </c>
      <c r="IC13" s="27"/>
    </row>
    <row r="14" spans="2:237" ht="15" customHeight="1" x14ac:dyDescent="0.2">
      <c r="B14" s="47"/>
      <c r="C14" s="48"/>
      <c r="D14" s="49"/>
      <c r="E14" s="49"/>
      <c r="F14" s="48"/>
      <c r="G14" s="50"/>
      <c r="H14" s="50"/>
      <c r="I14" s="47"/>
      <c r="J14" s="47"/>
      <c r="K14" s="47"/>
      <c r="L14" s="47"/>
      <c r="M14" s="54">
        <f>IF(M15&lt;&gt;"",1,"")</f>
        <v>1</v>
      </c>
      <c r="N14" s="55" t="str">
        <f>IF(M15&lt;&gt;"",TEXT(M15,"m/d/yy"),"")</f>
        <v>6/29/09</v>
      </c>
      <c r="O14" s="55"/>
      <c r="P14" s="55"/>
      <c r="Q14" s="55"/>
      <c r="R14" s="55"/>
      <c r="S14" s="56"/>
      <c r="T14" s="57">
        <f>IF(T15&lt;&gt;"",M14+1,"")</f>
        <v>2</v>
      </c>
      <c r="U14" s="55" t="str">
        <f>IF(T15&lt;&gt;"",TEXT(T15,"m/d/yy"),"")</f>
        <v>7/6/09</v>
      </c>
      <c r="V14" s="55"/>
      <c r="W14" s="55"/>
      <c r="X14" s="55"/>
      <c r="Y14" s="55"/>
      <c r="Z14" s="56"/>
      <c r="AA14" s="57">
        <f>IF(AA15&lt;&gt;"",T14+1,"")</f>
        <v>3</v>
      </c>
      <c r="AB14" s="55" t="str">
        <f>IF(AA15&lt;&gt;"",TEXT(AA15,"m/d/yy"),"")</f>
        <v>7/13/09</v>
      </c>
      <c r="AC14" s="55"/>
      <c r="AD14" s="55"/>
      <c r="AE14" s="55"/>
      <c r="AF14" s="55"/>
      <c r="AG14" s="56"/>
      <c r="AH14" s="57">
        <f>IF(AH15&lt;&gt;"",AA14+1,"")</f>
        <v>4</v>
      </c>
      <c r="AI14" s="55" t="str">
        <f>IF(AH15&lt;&gt;"",TEXT(AH15,"m/d/yy"),"")</f>
        <v>7/20/09</v>
      </c>
      <c r="AJ14" s="55"/>
      <c r="AK14" s="55"/>
      <c r="AL14" s="55"/>
      <c r="AM14" s="55"/>
      <c r="AN14" s="56"/>
      <c r="AO14" s="57">
        <f>IF(AO15&lt;&gt;"",AH14+1,"")</f>
        <v>5</v>
      </c>
      <c r="AP14" s="55" t="str">
        <f>IF(AO15&lt;&gt;"",TEXT(AO15,"m/d/yy"),"")</f>
        <v>7/27/09</v>
      </c>
      <c r="AQ14" s="55"/>
      <c r="AR14" s="55"/>
      <c r="AS14" s="55"/>
      <c r="AT14" s="55"/>
      <c r="AU14" s="56"/>
      <c r="AV14" s="28" t="str">
        <f>IF(AV15&lt;&gt;"",AO14+1,"")</f>
        <v/>
      </c>
      <c r="AW14" s="35" t="str">
        <f>IF(AV15&lt;&gt;"",TEXT(AV15,"m/d/yy"),"")</f>
        <v/>
      </c>
      <c r="AX14" s="35"/>
      <c r="AY14" s="35"/>
      <c r="AZ14" s="35"/>
      <c r="BA14" s="35"/>
      <c r="BB14" s="36"/>
      <c r="BC14" s="28" t="str">
        <f>IF(BC15&lt;&gt;"",AV14+1,"")</f>
        <v/>
      </c>
      <c r="BD14" s="35" t="str">
        <f>IF(BC15&lt;&gt;"",TEXT(BC15,"m/d/yy"),"")</f>
        <v/>
      </c>
      <c r="BE14" s="35"/>
      <c r="BF14" s="35"/>
      <c r="BG14" s="35"/>
      <c r="BH14" s="35"/>
      <c r="BI14" s="36"/>
      <c r="BJ14" s="28" t="str">
        <f>IF(BJ15&lt;&gt;"",BC14+1,"")</f>
        <v/>
      </c>
      <c r="BK14" s="35" t="str">
        <f>IF(BJ15&lt;&gt;"",TEXT(BJ15,"m/d/yy"),"")</f>
        <v/>
      </c>
      <c r="BL14" s="35"/>
      <c r="BM14" s="35"/>
      <c r="BN14" s="35"/>
      <c r="BO14" s="35"/>
      <c r="BP14" s="36"/>
      <c r="BQ14" s="28" t="str">
        <f>IF(BQ15&lt;&gt;"",BJ14+1,"")</f>
        <v/>
      </c>
      <c r="BR14" s="35" t="str">
        <f>IF(BQ15&lt;&gt;"",TEXT(BQ15,"m/d/yy"),"")</f>
        <v/>
      </c>
      <c r="BS14" s="35"/>
      <c r="BT14" s="35"/>
      <c r="BU14" s="35"/>
      <c r="BV14" s="35"/>
      <c r="BW14" s="36"/>
      <c r="BX14" s="28" t="str">
        <f>IF(BX15&lt;&gt;"",BQ14+1,"")</f>
        <v/>
      </c>
      <c r="BY14" s="35" t="str">
        <f>IF(BX15&lt;&gt;"",TEXT(BX15,"m/d/yy"),"")</f>
        <v/>
      </c>
      <c r="BZ14" s="35"/>
      <c r="CA14" s="35"/>
      <c r="CB14" s="35"/>
      <c r="CC14" s="35"/>
      <c r="CD14" s="36"/>
      <c r="CE14" s="28" t="str">
        <f>IF(CE15&lt;&gt;"",BX14+1,"")</f>
        <v/>
      </c>
      <c r="CF14" s="35" t="str">
        <f>IF(CE15&lt;&gt;"",TEXT(CE15,"m/d/yy"),"")</f>
        <v/>
      </c>
      <c r="CG14" s="35"/>
      <c r="CH14" s="35"/>
      <c r="CI14" s="35"/>
      <c r="CJ14" s="35"/>
      <c r="CK14" s="36"/>
      <c r="CL14" s="28" t="str">
        <f>IF(CL15&lt;&gt;"",CE14+1,"")</f>
        <v/>
      </c>
      <c r="CM14" s="35" t="str">
        <f>IF(CL15&lt;&gt;"",TEXT(CL15,"m/d/yy"),"")</f>
        <v/>
      </c>
      <c r="CN14" s="35"/>
      <c r="CO14" s="35"/>
      <c r="CP14" s="35"/>
      <c r="CQ14" s="35"/>
      <c r="CR14" s="36"/>
      <c r="CS14" s="28" t="str">
        <f>IF(CS15&lt;&gt;"",CL14+1,"")</f>
        <v/>
      </c>
      <c r="CT14" s="35" t="str">
        <f>IF(CS15&lt;&gt;"",TEXT(CS15,"m/d/yy"),"")</f>
        <v/>
      </c>
      <c r="CU14" s="35"/>
      <c r="CV14" s="35"/>
      <c r="CW14" s="35"/>
      <c r="CX14" s="35"/>
      <c r="CY14" s="36"/>
      <c r="CZ14" s="28" t="str">
        <f>IF(CZ15&lt;&gt;"",CS14+1,"")</f>
        <v/>
      </c>
      <c r="DA14" s="35" t="str">
        <f>IF(CZ15&lt;&gt;"",TEXT(CZ15,"m/d/yy"),"")</f>
        <v/>
      </c>
      <c r="DB14" s="35"/>
      <c r="DC14" s="35"/>
      <c r="DD14" s="35"/>
      <c r="DE14" s="35"/>
      <c r="DF14" s="36"/>
      <c r="DG14" s="28" t="str">
        <f>IF(DG15&lt;&gt;"",CZ14+1,"")</f>
        <v/>
      </c>
      <c r="DH14" s="35" t="str">
        <f>IF(DG15&lt;&gt;"",TEXT(DG15,"m/d/yy"),"")</f>
        <v/>
      </c>
      <c r="DI14" s="35"/>
      <c r="DJ14" s="35"/>
      <c r="DK14" s="35"/>
      <c r="DL14" s="35"/>
      <c r="DM14" s="36"/>
      <c r="DN14" s="28" t="str">
        <f>IF(DN15&lt;&gt;"",DG14+1,"")</f>
        <v/>
      </c>
      <c r="DO14" s="35" t="str">
        <f>IF(DN15&lt;&gt;"",TEXT(DN15,"m/d/yy"),"")</f>
        <v/>
      </c>
      <c r="DP14" s="35"/>
      <c r="DQ14" s="35"/>
      <c r="DR14" s="35"/>
      <c r="DS14" s="35"/>
      <c r="DT14" s="36"/>
      <c r="DU14" s="28" t="str">
        <f>IF(DU15&lt;&gt;"",DN14+1,"")</f>
        <v/>
      </c>
      <c r="DV14" s="35" t="str">
        <f>IF(DU15&lt;&gt;"",TEXT(DU15,"m/d/yy"),"")</f>
        <v/>
      </c>
      <c r="DW14" s="35"/>
      <c r="DX14" s="35"/>
      <c r="DY14" s="35"/>
      <c r="DZ14" s="35"/>
      <c r="EA14" s="36"/>
      <c r="EB14" s="28" t="str">
        <f>IF(EB15&lt;&gt;"",DU14+1,"")</f>
        <v/>
      </c>
      <c r="EC14" s="35" t="str">
        <f>IF(EB15&lt;&gt;"",TEXT(EB15,"m/d/yy"),"")</f>
        <v/>
      </c>
      <c r="ED14" s="35"/>
      <c r="EE14" s="35"/>
      <c r="EF14" s="35"/>
      <c r="EG14" s="35"/>
      <c r="EH14" s="36"/>
      <c r="EI14" s="28" t="str">
        <f>IF(EI15&lt;&gt;"",EB14+1,"")</f>
        <v/>
      </c>
      <c r="EJ14" s="35" t="str">
        <f>IF(EI15&lt;&gt;"",TEXT(EI15,"m/d/yy"),"")</f>
        <v/>
      </c>
      <c r="EK14" s="35"/>
      <c r="EL14" s="35"/>
      <c r="EM14" s="35"/>
      <c r="EN14" s="35"/>
      <c r="EO14" s="36"/>
      <c r="EP14" s="28" t="str">
        <f>IF(EP15&lt;&gt;"",EI14+1,"")</f>
        <v/>
      </c>
      <c r="EQ14" s="35" t="str">
        <f>IF(EP15&lt;&gt;"",TEXT(EP15,"m/d/yy"),"")</f>
        <v/>
      </c>
      <c r="ER14" s="35"/>
      <c r="ES14" s="35"/>
      <c r="ET14" s="35"/>
      <c r="EU14" s="35"/>
      <c r="EV14" s="36"/>
      <c r="EW14" s="28" t="str">
        <f>IF(EW15&lt;&gt;"",EP14+1,"")</f>
        <v/>
      </c>
      <c r="EX14" s="35" t="str">
        <f>IF(EW15&lt;&gt;"",TEXT(EW15,"m/d/yy"),"")</f>
        <v/>
      </c>
      <c r="EY14" s="35"/>
      <c r="EZ14" s="35"/>
      <c r="FA14" s="35"/>
      <c r="FB14" s="35"/>
      <c r="FC14" s="36"/>
      <c r="FD14" s="28" t="str">
        <f>IF(FD15&lt;&gt;"",EW14+1,"")</f>
        <v/>
      </c>
      <c r="FE14" s="35" t="str">
        <f>IF(FD15&lt;&gt;"",TEXT(FD15,"m/d/yy"),"")</f>
        <v/>
      </c>
      <c r="FF14" s="35"/>
      <c r="FG14" s="35"/>
      <c r="FH14" s="35"/>
      <c r="FI14" s="35"/>
      <c r="FJ14" s="36"/>
      <c r="FK14" s="28" t="str">
        <f>IF(FK15&lt;&gt;"",FD14+1,"")</f>
        <v/>
      </c>
      <c r="FL14" s="35" t="str">
        <f>IF(FK15&lt;&gt;"",TEXT(FK15,"m/d/yy"),"")</f>
        <v/>
      </c>
      <c r="FM14" s="35"/>
      <c r="FN14" s="35"/>
      <c r="FO14" s="35"/>
      <c r="FP14" s="35"/>
      <c r="FQ14" s="36"/>
      <c r="FR14" s="28" t="str">
        <f>IF(FR15&lt;&gt;"",FK14+1,"")</f>
        <v/>
      </c>
      <c r="FS14" s="35" t="str">
        <f>IF(FR15&lt;&gt;"",TEXT(FR15,"m/d/yy"),"")</f>
        <v/>
      </c>
      <c r="FT14" s="35"/>
      <c r="FU14" s="35"/>
      <c r="FV14" s="35"/>
      <c r="FW14" s="35"/>
      <c r="FX14" s="36"/>
      <c r="FY14" s="28" t="str">
        <f>IF(FY15&lt;&gt;"",FR14+1,"")</f>
        <v/>
      </c>
      <c r="FZ14" s="35" t="str">
        <f>IF(FY15&lt;&gt;"",TEXT(FY15,"m/d/yy"),"")</f>
        <v/>
      </c>
      <c r="GA14" s="35"/>
      <c r="GB14" s="35"/>
      <c r="GC14" s="35"/>
      <c r="GD14" s="35"/>
      <c r="GE14" s="36"/>
      <c r="GF14" s="28" t="str">
        <f>IF(GF15&lt;&gt;"",FY14+1,"")</f>
        <v/>
      </c>
      <c r="GG14" s="35" t="str">
        <f>IF(GF15&lt;&gt;"",TEXT(GF15,"m/d/yy"),"")</f>
        <v/>
      </c>
      <c r="GH14" s="35"/>
      <c r="GI14" s="35"/>
      <c r="GJ14" s="35"/>
      <c r="GK14" s="35"/>
      <c r="GL14" s="36"/>
      <c r="GM14" s="28" t="str">
        <f>IF(GM15&lt;&gt;"",GF14+1,"")</f>
        <v/>
      </c>
      <c r="GN14" s="35" t="str">
        <f>IF(GM15&lt;&gt;"",TEXT(GM15,"m/d/yy"),"")</f>
        <v/>
      </c>
      <c r="GO14" s="35"/>
      <c r="GP14" s="35"/>
      <c r="GQ14" s="35"/>
      <c r="GR14" s="35"/>
      <c r="GS14" s="36"/>
      <c r="GT14" s="28" t="str">
        <f>IF(GT15&lt;&gt;"",GM14+1,"")</f>
        <v/>
      </c>
      <c r="GU14" s="35" t="str">
        <f>IF(GT15&lt;&gt;"",TEXT(GT15,"m/d/yy"),"")</f>
        <v/>
      </c>
      <c r="GV14" s="35"/>
      <c r="GW14" s="35"/>
      <c r="GX14" s="35"/>
      <c r="GY14" s="35"/>
      <c r="GZ14" s="36"/>
      <c r="HA14" s="28" t="str">
        <f>IF(HA15&lt;&gt;"",GT14+1,"")</f>
        <v/>
      </c>
      <c r="HB14" s="35" t="str">
        <f>IF(HA15&lt;&gt;"",TEXT(HA15,"m/d/yy"),"")</f>
        <v/>
      </c>
      <c r="HC14" s="35"/>
      <c r="HD14" s="35"/>
      <c r="HE14" s="35"/>
      <c r="HF14" s="35"/>
      <c r="HG14" s="36"/>
      <c r="HH14" s="28" t="str">
        <f>IF(HH15&lt;&gt;"",HA14+1,"")</f>
        <v/>
      </c>
      <c r="HI14" s="35" t="str">
        <f>IF(HH15&lt;&gt;"",TEXT(HH15,"m/d/yy"),"")</f>
        <v/>
      </c>
      <c r="HJ14" s="35"/>
      <c r="HK14" s="35"/>
      <c r="HL14" s="35"/>
      <c r="HM14" s="35"/>
      <c r="HN14" s="36"/>
      <c r="HO14" s="28" t="str">
        <f>IF(HO15&lt;&gt;"",HH14+1,"")</f>
        <v/>
      </c>
      <c r="HP14" s="35" t="str">
        <f>IF(HO15&lt;&gt;"",TEXT(HO15,"m/d/yy"),"")</f>
        <v/>
      </c>
      <c r="HQ14" s="35"/>
      <c r="HR14" s="35"/>
      <c r="HS14" s="35"/>
      <c r="HT14" s="35"/>
      <c r="HU14" s="36"/>
      <c r="HV14" s="28" t="str">
        <f>IF(HV15&lt;&gt;"",HO14+1,"")</f>
        <v/>
      </c>
      <c r="HW14" s="35" t="str">
        <f>IF(HV15&lt;&gt;"",TEXT(HV15,"m/d/yy"),"")</f>
        <v/>
      </c>
      <c r="HX14" s="35"/>
      <c r="HY14" s="35"/>
      <c r="HZ14" s="35"/>
      <c r="IA14" s="35"/>
      <c r="IB14" s="36"/>
      <c r="IC14" s="29" t="e">
        <f>HV14+1</f>
        <v>#VALUE!</v>
      </c>
    </row>
    <row r="15" spans="2:237" s="15" customFormat="1" ht="15" customHeight="1" x14ac:dyDescent="0.2">
      <c r="B15" s="58"/>
      <c r="C15" s="59"/>
      <c r="D15" s="60"/>
      <c r="E15" s="60"/>
      <c r="F15" s="59"/>
      <c r="G15" s="61"/>
      <c r="H15" s="61"/>
      <c r="I15" s="58"/>
      <c r="J15" s="58"/>
      <c r="K15" s="58"/>
      <c r="L15" s="58"/>
      <c r="M15" s="62">
        <f>IF(E6&lt;&gt;"",IF(WEEKDAY(E6,2)=1,E6,E6-WEEKDAY(E6,2)+1),"")</f>
        <v>39993</v>
      </c>
      <c r="N15" s="62">
        <f>IF(M15&lt;&gt;"",M15+1,"")</f>
        <v>39994</v>
      </c>
      <c r="O15" s="62">
        <f t="shared" ref="O15:BZ15" si="4">IF(N15&lt;&gt;"",N15+1,"")</f>
        <v>39995</v>
      </c>
      <c r="P15" s="62">
        <f t="shared" si="4"/>
        <v>39996</v>
      </c>
      <c r="Q15" s="62">
        <f t="shared" si="4"/>
        <v>39997</v>
      </c>
      <c r="R15" s="62">
        <f t="shared" si="4"/>
        <v>39998</v>
      </c>
      <c r="S15" s="62">
        <f t="shared" si="4"/>
        <v>39999</v>
      </c>
      <c r="T15" s="62">
        <f>IF(S15&lt;&gt;"",IF($F$7=TRUE,IF(S15&gt;=$I$6,"",S15+1),IF(S15&gt;=$H$6,"",S15+1)),"")</f>
        <v>40000</v>
      </c>
      <c r="U15" s="62">
        <f t="shared" si="4"/>
        <v>40001</v>
      </c>
      <c r="V15" s="62">
        <f t="shared" si="4"/>
        <v>40002</v>
      </c>
      <c r="W15" s="62">
        <f t="shared" si="4"/>
        <v>40003</v>
      </c>
      <c r="X15" s="62">
        <f t="shared" si="4"/>
        <v>40004</v>
      </c>
      <c r="Y15" s="62">
        <f t="shared" si="4"/>
        <v>40005</v>
      </c>
      <c r="Z15" s="62">
        <f t="shared" si="4"/>
        <v>40006</v>
      </c>
      <c r="AA15" s="62">
        <f>IF(Z15&lt;&gt;"",IF($F$7=TRUE,IF(Z15&gt;=$I$6,"",Z15+1),IF(Z15&gt;=$H$6,"",Z15+1)),"")</f>
        <v>40007</v>
      </c>
      <c r="AB15" s="62">
        <f t="shared" si="4"/>
        <v>40008</v>
      </c>
      <c r="AC15" s="62">
        <f t="shared" si="4"/>
        <v>40009</v>
      </c>
      <c r="AD15" s="62">
        <f t="shared" si="4"/>
        <v>40010</v>
      </c>
      <c r="AE15" s="62">
        <f t="shared" si="4"/>
        <v>40011</v>
      </c>
      <c r="AF15" s="62">
        <f t="shared" si="4"/>
        <v>40012</v>
      </c>
      <c r="AG15" s="62">
        <f t="shared" si="4"/>
        <v>40013</v>
      </c>
      <c r="AH15" s="62">
        <f>IF(AG15&lt;&gt;"",IF($F$7=TRUE,IF(AG15&gt;=$I$6,"",AG15+1),IF(AG15&gt;=$H$6,"",AG15+1)),"")</f>
        <v>40014</v>
      </c>
      <c r="AI15" s="62">
        <f t="shared" si="4"/>
        <v>40015</v>
      </c>
      <c r="AJ15" s="62">
        <f t="shared" si="4"/>
        <v>40016</v>
      </c>
      <c r="AK15" s="62">
        <f t="shared" si="4"/>
        <v>40017</v>
      </c>
      <c r="AL15" s="62">
        <f t="shared" si="4"/>
        <v>40018</v>
      </c>
      <c r="AM15" s="62">
        <f t="shared" si="4"/>
        <v>40019</v>
      </c>
      <c r="AN15" s="62">
        <f t="shared" si="4"/>
        <v>40020</v>
      </c>
      <c r="AO15" s="62">
        <f>IF(AN15&lt;&gt;"",IF($F$7=TRUE,IF(AN15&gt;=$I$6,"",AN15+1),IF(AN15&gt;=$H$6,"",AN15+1)),"")</f>
        <v>40021</v>
      </c>
      <c r="AP15" s="62">
        <f t="shared" si="4"/>
        <v>40022</v>
      </c>
      <c r="AQ15" s="62">
        <f t="shared" si="4"/>
        <v>40023</v>
      </c>
      <c r="AR15" s="62">
        <f t="shared" si="4"/>
        <v>40024</v>
      </c>
      <c r="AS15" s="62">
        <f t="shared" si="4"/>
        <v>40025</v>
      </c>
      <c r="AT15" s="62">
        <f t="shared" si="4"/>
        <v>40026</v>
      </c>
      <c r="AU15" s="62">
        <f t="shared" si="4"/>
        <v>40027</v>
      </c>
      <c r="AV15" s="30" t="str">
        <f>IF(AU15&lt;&gt;"",IF($F$7=TRUE,IF(AU15&gt;=$I$6,"",AU15+1),IF(AU15&gt;=$H$6,"",AU15+1)),"")</f>
        <v/>
      </c>
      <c r="AW15" s="30" t="str">
        <f t="shared" si="4"/>
        <v/>
      </c>
      <c r="AX15" s="30" t="str">
        <f t="shared" si="4"/>
        <v/>
      </c>
      <c r="AY15" s="30" t="str">
        <f t="shared" si="4"/>
        <v/>
      </c>
      <c r="AZ15" s="30" t="str">
        <f t="shared" si="4"/>
        <v/>
      </c>
      <c r="BA15" s="30" t="str">
        <f t="shared" si="4"/>
        <v/>
      </c>
      <c r="BB15" s="30" t="str">
        <f t="shared" si="4"/>
        <v/>
      </c>
      <c r="BC15" s="30" t="str">
        <f>IF(BB15&lt;&gt;"",IF($F$7=TRUE,IF(BB15&gt;=$I$6,"",BB15+1),IF(BB15&gt;=$H$6,"",BB15+1)),"")</f>
        <v/>
      </c>
      <c r="BD15" s="30" t="str">
        <f t="shared" si="4"/>
        <v/>
      </c>
      <c r="BE15" s="30" t="str">
        <f t="shared" si="4"/>
        <v/>
      </c>
      <c r="BF15" s="30" t="str">
        <f t="shared" si="4"/>
        <v/>
      </c>
      <c r="BG15" s="30" t="str">
        <f t="shared" si="4"/>
        <v/>
      </c>
      <c r="BH15" s="30" t="str">
        <f t="shared" si="4"/>
        <v/>
      </c>
      <c r="BI15" s="30" t="str">
        <f t="shared" si="4"/>
        <v/>
      </c>
      <c r="BJ15" s="30" t="str">
        <f>IF(BI15&lt;&gt;"",IF($F$7=TRUE,IF(BI15&gt;=$I$6,"",BI15+1),IF(BI15&gt;=$H$6,"",BI15+1)),"")</f>
        <v/>
      </c>
      <c r="BK15" s="30" t="str">
        <f t="shared" si="4"/>
        <v/>
      </c>
      <c r="BL15" s="30" t="str">
        <f t="shared" si="4"/>
        <v/>
      </c>
      <c r="BM15" s="30" t="str">
        <f t="shared" si="4"/>
        <v/>
      </c>
      <c r="BN15" s="30" t="str">
        <f t="shared" si="4"/>
        <v/>
      </c>
      <c r="BO15" s="30" t="str">
        <f t="shared" si="4"/>
        <v/>
      </c>
      <c r="BP15" s="30" t="str">
        <f t="shared" si="4"/>
        <v/>
      </c>
      <c r="BQ15" s="30" t="str">
        <f>IF(BP15&lt;&gt;"",IF($F$7=TRUE,IF(BP15&gt;=$I$6,"",BP15+1),IF(BP15&gt;=$H$6,"",BP15+1)),"")</f>
        <v/>
      </c>
      <c r="BR15" s="30" t="str">
        <f t="shared" si="4"/>
        <v/>
      </c>
      <c r="BS15" s="30" t="str">
        <f t="shared" si="4"/>
        <v/>
      </c>
      <c r="BT15" s="30" t="str">
        <f t="shared" si="4"/>
        <v/>
      </c>
      <c r="BU15" s="30" t="str">
        <f t="shared" si="4"/>
        <v/>
      </c>
      <c r="BV15" s="30" t="str">
        <f t="shared" si="4"/>
        <v/>
      </c>
      <c r="BW15" s="30" t="str">
        <f t="shared" si="4"/>
        <v/>
      </c>
      <c r="BX15" s="30" t="str">
        <f>IF(BW15&lt;&gt;"",IF($F$7=TRUE,IF(BW15&gt;=$I$6,"",BW15+1),IF(BW15&gt;=$H$6,"",BW15+1)),"")</f>
        <v/>
      </c>
      <c r="BY15" s="30" t="str">
        <f t="shared" si="4"/>
        <v/>
      </c>
      <c r="BZ15" s="30" t="str">
        <f t="shared" si="4"/>
        <v/>
      </c>
      <c r="CA15" s="30" t="str">
        <f t="shared" ref="CA15:CK15" si="5">IF(BZ15&lt;&gt;"",BZ15+1,"")</f>
        <v/>
      </c>
      <c r="CB15" s="30" t="str">
        <f t="shared" si="5"/>
        <v/>
      </c>
      <c r="CC15" s="30" t="str">
        <f t="shared" si="5"/>
        <v/>
      </c>
      <c r="CD15" s="30" t="str">
        <f t="shared" si="5"/>
        <v/>
      </c>
      <c r="CE15" s="30" t="str">
        <f>IF(CD15&lt;&gt;"",IF($F$7=TRUE,IF(CD15&gt;=$I$6,"",CD15+1),IF(CD15&gt;=$H$6,"",CD15+1)),"")</f>
        <v/>
      </c>
      <c r="CF15" s="30" t="str">
        <f t="shared" si="5"/>
        <v/>
      </c>
      <c r="CG15" s="30" t="str">
        <f t="shared" si="5"/>
        <v/>
      </c>
      <c r="CH15" s="30" t="str">
        <f t="shared" si="5"/>
        <v/>
      </c>
      <c r="CI15" s="30" t="str">
        <f t="shared" si="5"/>
        <v/>
      </c>
      <c r="CJ15" s="30" t="str">
        <f t="shared" si="5"/>
        <v/>
      </c>
      <c r="CK15" s="30" t="str">
        <f t="shared" si="5"/>
        <v/>
      </c>
      <c r="CL15" s="30" t="str">
        <f>IF(CK15&lt;&gt;"",IF($F$7=TRUE,IF(CK15&gt;=$I$6,"",CK15+1),IF(CK15&gt;=$H$6,"",CK15+1)),"")</f>
        <v/>
      </c>
      <c r="CM15" s="30" t="str">
        <f t="shared" ref="CM15:DT15" si="6">IF(CL15&lt;&gt;"",CL15+1,"")</f>
        <v/>
      </c>
      <c r="CN15" s="30" t="str">
        <f t="shared" si="6"/>
        <v/>
      </c>
      <c r="CO15" s="30" t="str">
        <f t="shared" si="6"/>
        <v/>
      </c>
      <c r="CP15" s="30" t="str">
        <f t="shared" si="6"/>
        <v/>
      </c>
      <c r="CQ15" s="30" t="str">
        <f t="shared" si="6"/>
        <v/>
      </c>
      <c r="CR15" s="30" t="str">
        <f t="shared" si="6"/>
        <v/>
      </c>
      <c r="CS15" s="30" t="str">
        <f>IF(CR15&lt;&gt;"",IF($F$7=TRUE,IF(CR15&gt;=$I$6,"",CR15+1),IF(CR15&gt;=$H$6,"",CR15+1)),"")</f>
        <v/>
      </c>
      <c r="CT15" s="30" t="str">
        <f t="shared" si="6"/>
        <v/>
      </c>
      <c r="CU15" s="30" t="str">
        <f t="shared" si="6"/>
        <v/>
      </c>
      <c r="CV15" s="30" t="str">
        <f t="shared" si="6"/>
        <v/>
      </c>
      <c r="CW15" s="30" t="str">
        <f t="shared" si="6"/>
        <v/>
      </c>
      <c r="CX15" s="30" t="str">
        <f t="shared" si="6"/>
        <v/>
      </c>
      <c r="CY15" s="30" t="str">
        <f t="shared" si="6"/>
        <v/>
      </c>
      <c r="CZ15" s="30" t="str">
        <f>IF(CY15&lt;&gt;"",IF($F$7=TRUE,IF(CY15&gt;=$I$6,"",CY15+1),IF(CY15&gt;=$H$6,"",CY15+1)),"")</f>
        <v/>
      </c>
      <c r="DA15" s="30" t="str">
        <f t="shared" si="6"/>
        <v/>
      </c>
      <c r="DB15" s="30" t="str">
        <f t="shared" si="6"/>
        <v/>
      </c>
      <c r="DC15" s="30" t="str">
        <f t="shared" si="6"/>
        <v/>
      </c>
      <c r="DD15" s="30" t="str">
        <f t="shared" si="6"/>
        <v/>
      </c>
      <c r="DE15" s="30" t="str">
        <f t="shared" si="6"/>
        <v/>
      </c>
      <c r="DF15" s="30" t="str">
        <f t="shared" si="6"/>
        <v/>
      </c>
      <c r="DG15" s="30" t="str">
        <f>IF(DF15&lt;&gt;"",IF($F$7=TRUE,IF(DF15&gt;=$I$6,"",DF15+1),IF(DF15&gt;=$H$6,"",DF15+1)),"")</f>
        <v/>
      </c>
      <c r="DH15" s="30" t="str">
        <f t="shared" si="6"/>
        <v/>
      </c>
      <c r="DI15" s="30" t="str">
        <f t="shared" si="6"/>
        <v/>
      </c>
      <c r="DJ15" s="30" t="str">
        <f t="shared" si="6"/>
        <v/>
      </c>
      <c r="DK15" s="30" t="str">
        <f t="shared" si="6"/>
        <v/>
      </c>
      <c r="DL15" s="30" t="str">
        <f t="shared" si="6"/>
        <v/>
      </c>
      <c r="DM15" s="30" t="str">
        <f t="shared" si="6"/>
        <v/>
      </c>
      <c r="DN15" s="30" t="str">
        <f>IF(DM15&lt;&gt;"",IF($F$7=TRUE,IF(DM15&gt;=$I$6,"",DM15+1),IF(DM15&gt;=$H$6,"",DM15+1)),"")</f>
        <v/>
      </c>
      <c r="DO15" s="30" t="str">
        <f t="shared" si="6"/>
        <v/>
      </c>
      <c r="DP15" s="30" t="str">
        <f t="shared" si="6"/>
        <v/>
      </c>
      <c r="DQ15" s="30" t="str">
        <f t="shared" si="6"/>
        <v/>
      </c>
      <c r="DR15" s="30" t="str">
        <f t="shared" si="6"/>
        <v/>
      </c>
      <c r="DS15" s="30" t="str">
        <f t="shared" si="6"/>
        <v/>
      </c>
      <c r="DT15" s="30" t="str">
        <f t="shared" si="6"/>
        <v/>
      </c>
      <c r="DU15" s="30" t="str">
        <f>IF(DT15&lt;&gt;"",IF($F$7=TRUE,IF(DT15&gt;=$I$6,"",DT15+1),IF(DT15&gt;=$H$6,"",DT15+1)),"")</f>
        <v/>
      </c>
      <c r="DV15" s="30" t="str">
        <f t="shared" ref="DV15:FC15" si="7">IF(DU15&lt;&gt;"",DU15+1,"")</f>
        <v/>
      </c>
      <c r="DW15" s="30" t="str">
        <f t="shared" si="7"/>
        <v/>
      </c>
      <c r="DX15" s="30" t="str">
        <f t="shared" si="7"/>
        <v/>
      </c>
      <c r="DY15" s="30" t="str">
        <f t="shared" si="7"/>
        <v/>
      </c>
      <c r="DZ15" s="30" t="str">
        <f t="shared" si="7"/>
        <v/>
      </c>
      <c r="EA15" s="30" t="str">
        <f t="shared" si="7"/>
        <v/>
      </c>
      <c r="EB15" s="30" t="str">
        <f>IF(EA15&lt;&gt;"",IF($F$7=TRUE,IF(EA15&gt;=$I$6,"",EA15+1),IF(EA15&gt;=$H$6,"",EA15+1)),"")</f>
        <v/>
      </c>
      <c r="EC15" s="30" t="str">
        <f t="shared" si="7"/>
        <v/>
      </c>
      <c r="ED15" s="30" t="str">
        <f t="shared" si="7"/>
        <v/>
      </c>
      <c r="EE15" s="30" t="str">
        <f t="shared" si="7"/>
        <v/>
      </c>
      <c r="EF15" s="30" t="str">
        <f t="shared" si="7"/>
        <v/>
      </c>
      <c r="EG15" s="30" t="str">
        <f t="shared" si="7"/>
        <v/>
      </c>
      <c r="EH15" s="30" t="str">
        <f t="shared" si="7"/>
        <v/>
      </c>
      <c r="EI15" s="30" t="str">
        <f>IF(EH15&lt;&gt;"",IF($F$7=TRUE,IF(EH15&gt;=$I$6,"",EH15+1),IF(EH15&gt;=$H$6,"",EH15+1)),"")</f>
        <v/>
      </c>
      <c r="EJ15" s="30" t="str">
        <f t="shared" si="7"/>
        <v/>
      </c>
      <c r="EK15" s="30" t="str">
        <f t="shared" si="7"/>
        <v/>
      </c>
      <c r="EL15" s="30" t="str">
        <f t="shared" si="7"/>
        <v/>
      </c>
      <c r="EM15" s="30" t="str">
        <f t="shared" si="7"/>
        <v/>
      </c>
      <c r="EN15" s="30" t="str">
        <f t="shared" si="7"/>
        <v/>
      </c>
      <c r="EO15" s="30" t="str">
        <f t="shared" si="7"/>
        <v/>
      </c>
      <c r="EP15" s="30" t="str">
        <f>IF(EO15&lt;&gt;"",IF($F$7=TRUE,IF(EO15&gt;=$I$6,"",EO15+1),IF(EO15&gt;=$H$6,"",EO15+1)),"")</f>
        <v/>
      </c>
      <c r="EQ15" s="30" t="str">
        <f t="shared" si="7"/>
        <v/>
      </c>
      <c r="ER15" s="30" t="str">
        <f t="shared" si="7"/>
        <v/>
      </c>
      <c r="ES15" s="30" t="str">
        <f t="shared" si="7"/>
        <v/>
      </c>
      <c r="ET15" s="30" t="str">
        <f t="shared" si="7"/>
        <v/>
      </c>
      <c r="EU15" s="30" t="str">
        <f t="shared" si="7"/>
        <v/>
      </c>
      <c r="EV15" s="30" t="str">
        <f t="shared" si="7"/>
        <v/>
      </c>
      <c r="EW15" s="30" t="str">
        <f>IF(EV15&lt;&gt;"",IF($F$7=TRUE,IF(EV15&gt;=$I$6,"",EV15+1),IF(EV15&gt;=$H$6,"",EV15+1)),"")</f>
        <v/>
      </c>
      <c r="EX15" s="30" t="str">
        <f t="shared" si="7"/>
        <v/>
      </c>
      <c r="EY15" s="30" t="str">
        <f t="shared" si="7"/>
        <v/>
      </c>
      <c r="EZ15" s="30" t="str">
        <f t="shared" si="7"/>
        <v/>
      </c>
      <c r="FA15" s="30" t="str">
        <f t="shared" si="7"/>
        <v/>
      </c>
      <c r="FB15" s="30" t="str">
        <f t="shared" si="7"/>
        <v/>
      </c>
      <c r="FC15" s="30" t="str">
        <f t="shared" si="7"/>
        <v/>
      </c>
      <c r="FD15" s="30" t="str">
        <f>IF(FC15&lt;&gt;"",IF($F$7=TRUE,IF(FC15&gt;=$I$6,"",FC15+1),IF(FC15&gt;=$H$6,"",FC15+1)),"")</f>
        <v/>
      </c>
      <c r="FE15" s="30" t="str">
        <f t="shared" ref="FE15:GL15" si="8">IF(FD15&lt;&gt;"",FD15+1,"")</f>
        <v/>
      </c>
      <c r="FF15" s="30" t="str">
        <f t="shared" si="8"/>
        <v/>
      </c>
      <c r="FG15" s="30" t="str">
        <f t="shared" si="8"/>
        <v/>
      </c>
      <c r="FH15" s="30" t="str">
        <f t="shared" si="8"/>
        <v/>
      </c>
      <c r="FI15" s="30" t="str">
        <f t="shared" si="8"/>
        <v/>
      </c>
      <c r="FJ15" s="30" t="str">
        <f t="shared" si="8"/>
        <v/>
      </c>
      <c r="FK15" s="30" t="str">
        <f>IF(FJ15&lt;&gt;"",IF($F$7=TRUE,IF(FJ15&gt;=$I$6,"",FJ15+1),IF(FJ15&gt;=$H$6,"",FJ15+1)),"")</f>
        <v/>
      </c>
      <c r="FL15" s="30" t="str">
        <f t="shared" si="8"/>
        <v/>
      </c>
      <c r="FM15" s="30" t="str">
        <f t="shared" si="8"/>
        <v/>
      </c>
      <c r="FN15" s="30" t="str">
        <f t="shared" si="8"/>
        <v/>
      </c>
      <c r="FO15" s="30" t="str">
        <f t="shared" si="8"/>
        <v/>
      </c>
      <c r="FP15" s="30" t="str">
        <f t="shared" si="8"/>
        <v/>
      </c>
      <c r="FQ15" s="30" t="str">
        <f t="shared" si="8"/>
        <v/>
      </c>
      <c r="FR15" s="30" t="str">
        <f>IF(FQ15&lt;&gt;"",IF($F$7=TRUE,IF(FQ15&gt;=$I$6,"",FQ15+1),IF(FQ15&gt;=$H$6,"",FQ15+1)),"")</f>
        <v/>
      </c>
      <c r="FS15" s="30" t="str">
        <f t="shared" si="8"/>
        <v/>
      </c>
      <c r="FT15" s="30" t="str">
        <f t="shared" si="8"/>
        <v/>
      </c>
      <c r="FU15" s="30" t="str">
        <f t="shared" si="8"/>
        <v/>
      </c>
      <c r="FV15" s="30" t="str">
        <f t="shared" si="8"/>
        <v/>
      </c>
      <c r="FW15" s="30" t="str">
        <f t="shared" si="8"/>
        <v/>
      </c>
      <c r="FX15" s="30" t="str">
        <f t="shared" si="8"/>
        <v/>
      </c>
      <c r="FY15" s="30" t="str">
        <f>IF(FX15&lt;&gt;"",IF($F$7=TRUE,IF(FX15&gt;=$I$6,"",FX15+1),IF(FX15&gt;=$H$6,"",FX15+1)),"")</f>
        <v/>
      </c>
      <c r="FZ15" s="30" t="str">
        <f t="shared" si="8"/>
        <v/>
      </c>
      <c r="GA15" s="30" t="str">
        <f t="shared" si="8"/>
        <v/>
      </c>
      <c r="GB15" s="30" t="str">
        <f t="shared" si="8"/>
        <v/>
      </c>
      <c r="GC15" s="30" t="str">
        <f t="shared" si="8"/>
        <v/>
      </c>
      <c r="GD15" s="30" t="str">
        <f t="shared" si="8"/>
        <v/>
      </c>
      <c r="GE15" s="30" t="str">
        <f t="shared" si="8"/>
        <v/>
      </c>
      <c r="GF15" s="30" t="str">
        <f>IF(GE15&lt;&gt;"",IF($F$7=TRUE,IF(GE15&gt;=$I$6,"",GE15+1),IF(GE15&gt;=$H$6,"",GE15+1)),"")</f>
        <v/>
      </c>
      <c r="GG15" s="30" t="str">
        <f t="shared" si="8"/>
        <v/>
      </c>
      <c r="GH15" s="30" t="str">
        <f t="shared" si="8"/>
        <v/>
      </c>
      <c r="GI15" s="30" t="str">
        <f t="shared" si="8"/>
        <v/>
      </c>
      <c r="GJ15" s="30" t="str">
        <f t="shared" si="8"/>
        <v/>
      </c>
      <c r="GK15" s="30" t="str">
        <f t="shared" si="8"/>
        <v/>
      </c>
      <c r="GL15" s="30" t="str">
        <f t="shared" si="8"/>
        <v/>
      </c>
      <c r="GM15" s="30" t="str">
        <f>IF(GL15&lt;&gt;"",IF($F$7=TRUE,IF(GL15&gt;=$I$6,"",GL15+1),IF(GL15&gt;=$H$6,"",GL15+1)),"")</f>
        <v/>
      </c>
      <c r="GN15" s="30" t="str">
        <f t="shared" ref="GN15:IB15" si="9">IF(GM15&lt;&gt;"",GM15+1,"")</f>
        <v/>
      </c>
      <c r="GO15" s="30" t="str">
        <f t="shared" si="9"/>
        <v/>
      </c>
      <c r="GP15" s="30" t="str">
        <f t="shared" si="9"/>
        <v/>
      </c>
      <c r="GQ15" s="30" t="str">
        <f t="shared" si="9"/>
        <v/>
      </c>
      <c r="GR15" s="30" t="str">
        <f t="shared" si="9"/>
        <v/>
      </c>
      <c r="GS15" s="30" t="str">
        <f t="shared" si="9"/>
        <v/>
      </c>
      <c r="GT15" s="30" t="str">
        <f>IF(GS15&lt;&gt;"",IF($F$7=TRUE,IF(GS15&gt;=$I$6,"",GS15+1),IF(GS15&gt;=$H$6,"",GS15+1)),"")</f>
        <v/>
      </c>
      <c r="GU15" s="30" t="str">
        <f t="shared" si="9"/>
        <v/>
      </c>
      <c r="GV15" s="30" t="str">
        <f t="shared" si="9"/>
        <v/>
      </c>
      <c r="GW15" s="30" t="str">
        <f t="shared" si="9"/>
        <v/>
      </c>
      <c r="GX15" s="30" t="str">
        <f t="shared" si="9"/>
        <v/>
      </c>
      <c r="GY15" s="30" t="str">
        <f t="shared" si="9"/>
        <v/>
      </c>
      <c r="GZ15" s="30" t="str">
        <f t="shared" si="9"/>
        <v/>
      </c>
      <c r="HA15" s="30" t="str">
        <f>IF(GZ15&lt;&gt;"",IF($F$7=TRUE,IF(GZ15&gt;=$I$6,"",GZ15+1),IF(GZ15&gt;=$H$6,"",GZ15+1)),"")</f>
        <v/>
      </c>
      <c r="HB15" s="30" t="str">
        <f t="shared" si="9"/>
        <v/>
      </c>
      <c r="HC15" s="30" t="str">
        <f t="shared" si="9"/>
        <v/>
      </c>
      <c r="HD15" s="30" t="str">
        <f t="shared" si="9"/>
        <v/>
      </c>
      <c r="HE15" s="30" t="str">
        <f t="shared" si="9"/>
        <v/>
      </c>
      <c r="HF15" s="30" t="str">
        <f t="shared" si="9"/>
        <v/>
      </c>
      <c r="HG15" s="30" t="str">
        <f t="shared" si="9"/>
        <v/>
      </c>
      <c r="HH15" s="30" t="str">
        <f>IF(HG15&lt;&gt;"",IF($F$7=TRUE,IF(HG15&gt;=$I$6,"",HG15+1),IF(HG15&gt;=$H$6,"",HG15+1)),"")</f>
        <v/>
      </c>
      <c r="HI15" s="30" t="str">
        <f t="shared" si="9"/>
        <v/>
      </c>
      <c r="HJ15" s="30" t="str">
        <f t="shared" si="9"/>
        <v/>
      </c>
      <c r="HK15" s="30" t="str">
        <f t="shared" si="9"/>
        <v/>
      </c>
      <c r="HL15" s="30" t="str">
        <f t="shared" si="9"/>
        <v/>
      </c>
      <c r="HM15" s="30" t="str">
        <f t="shared" si="9"/>
        <v/>
      </c>
      <c r="HN15" s="30" t="str">
        <f t="shared" si="9"/>
        <v/>
      </c>
      <c r="HO15" s="30" t="str">
        <f>IF(HN15&lt;&gt;"",IF($F$7=TRUE,IF(HN15&gt;=$I$6,"",HN15+1),IF(HN15&gt;=$H$6,"",HN15+1)),"")</f>
        <v/>
      </c>
      <c r="HP15" s="30" t="str">
        <f t="shared" si="9"/>
        <v/>
      </c>
      <c r="HQ15" s="30" t="str">
        <f t="shared" si="9"/>
        <v/>
      </c>
      <c r="HR15" s="30" t="str">
        <f t="shared" si="9"/>
        <v/>
      </c>
      <c r="HS15" s="30" t="str">
        <f t="shared" si="9"/>
        <v/>
      </c>
      <c r="HT15" s="30" t="str">
        <f t="shared" si="9"/>
        <v/>
      </c>
      <c r="HU15" s="30" t="str">
        <f t="shared" si="9"/>
        <v/>
      </c>
      <c r="HV15" s="30" t="str">
        <f>IF(HU15&lt;&gt;"",IF($F$7=TRUE,IF(HU15&gt;=$I$6,"",HU15+1),IF(HU15&gt;=$H$6,"",HU15+1)),"")</f>
        <v/>
      </c>
      <c r="HW15" s="30" t="str">
        <f t="shared" si="9"/>
        <v/>
      </c>
      <c r="HX15" s="30" t="str">
        <f t="shared" si="9"/>
        <v/>
      </c>
      <c r="HY15" s="30" t="str">
        <f t="shared" si="9"/>
        <v/>
      </c>
      <c r="HZ15" s="30" t="str">
        <f t="shared" si="9"/>
        <v/>
      </c>
      <c r="IA15" s="30" t="str">
        <f t="shared" si="9"/>
        <v/>
      </c>
      <c r="IB15" s="30" t="str">
        <f t="shared" si="9"/>
        <v/>
      </c>
      <c r="IC15" s="31"/>
    </row>
    <row r="16" spans="2:237" ht="15" customHeight="1" x14ac:dyDescent="0.2">
      <c r="B16" s="16">
        <v>1</v>
      </c>
      <c r="C16" s="39" t="s">
        <v>20</v>
      </c>
      <c r="D16" s="39"/>
      <c r="E16" s="39"/>
      <c r="F16" s="39" t="s">
        <v>32</v>
      </c>
      <c r="G16" s="39"/>
      <c r="H16" s="17">
        <v>39995</v>
      </c>
      <c r="I16" s="17">
        <v>40002</v>
      </c>
      <c r="J16" s="33">
        <f ca="1">IF(AND(H16&lt;&gt;"",I16&lt;&gt;""),IF($F$8=1,NETWORKDAYS(H16,I16),IF($F$8=3,I16-H16+1,NETWORKDAYS(H16,I16)+SUM(OFFSET($M$15,-2,MATCH(H16,$M$15:$IB$15,0)):OFFSET($M$15,-2,MATCH(I16,$M$15:$IB$15,0)-1)))),"")</f>
        <v>7</v>
      </c>
      <c r="K16" s="33">
        <f ca="1">IF(AND(H16&lt;&gt;"",I16&lt;&gt;""),IF($F$8=1,NETWORKDAYS(H16,TODAY())-1,IF($F$8=3,TODAY()-H16,IF(AND(WEEKDAY(H16,2)&lt;7,WEEKDAY(TODAY(),2)=7),NETWORKDAYS(H16,TODAY())+1,IF(OR(WEEKDAY(H16,2)&lt;7,WEEKDAY(TODAY(),2)=7),NETWORKDAYS(H16,TODAY()),NETWORKDAYS(H16,TODAY()))))),"")</f>
        <v>1752</v>
      </c>
      <c r="L16" s="33">
        <f ca="1">IF(AND(J16&lt;&gt;"",K16&lt;&gt;""),J16-K16,"")</f>
        <v>-1745</v>
      </c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32"/>
      <c r="HN16" s="32"/>
      <c r="HO16" s="32"/>
      <c r="HP16" s="32"/>
      <c r="HQ16" s="32"/>
      <c r="HR16" s="32"/>
      <c r="HS16" s="32"/>
      <c r="HT16" s="32"/>
      <c r="HU16" s="32"/>
      <c r="HV16" s="32"/>
      <c r="HW16" s="32"/>
      <c r="HX16" s="32"/>
      <c r="HY16" s="32"/>
      <c r="HZ16" s="32"/>
      <c r="IA16" s="32"/>
      <c r="IB16" s="32"/>
      <c r="IC16" s="23"/>
    </row>
    <row r="17" spans="2:237" ht="15" customHeight="1" x14ac:dyDescent="0.2">
      <c r="B17" s="16">
        <v>1.1000000000000001</v>
      </c>
      <c r="C17" s="39" t="s">
        <v>21</v>
      </c>
      <c r="D17" s="39"/>
      <c r="E17" s="39"/>
      <c r="F17" s="39" t="s">
        <v>33</v>
      </c>
      <c r="G17" s="39"/>
      <c r="H17" s="17">
        <v>39995</v>
      </c>
      <c r="I17" s="17">
        <v>39996</v>
      </c>
      <c r="J17" s="33">
        <f ca="1">IF(AND(H17&lt;&gt;"",I17&lt;&gt;""),IF($F$8=1,NETWORKDAYS(H17,I17),IF($F$8=3,I17-H17+1,NETWORKDAYS(H17,I17)+SUM(OFFSET($M$15,-2,MATCH(H17,$M$15:$IB$15,0)):OFFSET($M$15,-2,MATCH(I17,$M$15:$IB$15,0)-1)))),"")</f>
        <v>2</v>
      </c>
      <c r="K17" s="33">
        <f t="shared" ref="K17:K80" ca="1" si="10">IF(AND(H17&lt;&gt;"",I17&lt;&gt;""),IF($F$8=1,NETWORKDAYS(H17,TODAY())-1,IF($F$8=3,TODAY()-H17,IF(AND(WEEKDAY(H17,2)&lt;7,WEEKDAY(TODAY(),2)=7),NETWORKDAYS(H17,TODAY())+1,IF(OR(WEEKDAY(H17,2)&lt;7,WEEKDAY(TODAY(),2)=7),NETWORKDAYS(H17,TODAY()),NETWORKDAYS(H17,TODAY()))))),"")</f>
        <v>1752</v>
      </c>
      <c r="L17" s="33">
        <f t="shared" ref="L17:L80" ca="1" si="11">IF(AND(J17&lt;&gt;"",K17&lt;&gt;""),J17-K17,"")</f>
        <v>-1750</v>
      </c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32"/>
      <c r="FI17" s="32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32"/>
      <c r="GR17" s="32"/>
      <c r="GS17" s="32"/>
      <c r="GT17" s="32"/>
      <c r="GU17" s="32"/>
      <c r="GV17" s="32"/>
      <c r="GW17" s="32"/>
      <c r="GX17" s="32"/>
      <c r="GY17" s="32"/>
      <c r="GZ17" s="32"/>
      <c r="HA17" s="32"/>
      <c r="HB17" s="32"/>
      <c r="HC17" s="32"/>
      <c r="HD17" s="32"/>
      <c r="HE17" s="32"/>
      <c r="HF17" s="32"/>
      <c r="HG17" s="32"/>
      <c r="HH17" s="32"/>
      <c r="HI17" s="32"/>
      <c r="HJ17" s="32"/>
      <c r="HK17" s="32"/>
      <c r="HL17" s="32"/>
      <c r="HM17" s="32"/>
      <c r="HN17" s="32"/>
      <c r="HO17" s="32"/>
      <c r="HP17" s="32"/>
      <c r="HQ17" s="32"/>
      <c r="HR17" s="32"/>
      <c r="HS17" s="32"/>
      <c r="HT17" s="32"/>
      <c r="HU17" s="32"/>
      <c r="HV17" s="32"/>
      <c r="HW17" s="32"/>
      <c r="HX17" s="32"/>
      <c r="HY17" s="32"/>
      <c r="HZ17" s="32"/>
      <c r="IA17" s="32"/>
      <c r="IB17" s="32"/>
      <c r="IC17" s="23"/>
    </row>
    <row r="18" spans="2:237" ht="15" customHeight="1" x14ac:dyDescent="0.2">
      <c r="B18" s="16">
        <v>1.2</v>
      </c>
      <c r="C18" s="39" t="s">
        <v>22</v>
      </c>
      <c r="D18" s="39"/>
      <c r="E18" s="39"/>
      <c r="F18" s="39" t="s">
        <v>33</v>
      </c>
      <c r="G18" s="39"/>
      <c r="H18" s="17">
        <v>39997</v>
      </c>
      <c r="I18" s="17">
        <v>40002</v>
      </c>
      <c r="J18" s="33">
        <f ca="1">IF(AND(H18&lt;&gt;"",I18&lt;&gt;""),IF($F$8=1,NETWORKDAYS(H18,I18),IF($F$8=3,I18-H18+1,NETWORKDAYS(H18,I18)+SUM(OFFSET($M$15,-2,MATCH(H18,$M$15:$IB$15,0)):OFFSET($M$15,-2,MATCH(I18,$M$15:$IB$15,0)-1)))),"")</f>
        <v>5</v>
      </c>
      <c r="K18" s="33">
        <f t="shared" ca="1" si="10"/>
        <v>1750</v>
      </c>
      <c r="L18" s="33">
        <f t="shared" ca="1" si="11"/>
        <v>-1745</v>
      </c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23"/>
    </row>
    <row r="19" spans="2:237" ht="15" customHeight="1" x14ac:dyDescent="0.2">
      <c r="B19" s="16">
        <v>1.3</v>
      </c>
      <c r="C19" s="39" t="s">
        <v>23</v>
      </c>
      <c r="D19" s="39"/>
      <c r="E19" s="39"/>
      <c r="F19" s="39" t="s">
        <v>34</v>
      </c>
      <c r="G19" s="39"/>
      <c r="H19" s="17">
        <v>39997</v>
      </c>
      <c r="I19" s="17">
        <v>40002</v>
      </c>
      <c r="J19" s="33">
        <f ca="1">IF(AND(H19&lt;&gt;"",I19&lt;&gt;""),IF($F$8=1,NETWORKDAYS(H19,I19),IF($F$8=3,I19-H19+1,NETWORKDAYS(H19,I19)+SUM(OFFSET($M$15,-2,MATCH(H19,$M$15:$IB$15,0)):OFFSET($M$15,-2,MATCH(I19,$M$15:$IB$15,0)-1)))),"")</f>
        <v>5</v>
      </c>
      <c r="K19" s="33">
        <f t="shared" ca="1" si="10"/>
        <v>1750</v>
      </c>
      <c r="L19" s="33">
        <f t="shared" ca="1" si="11"/>
        <v>-1745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23"/>
    </row>
    <row r="20" spans="2:237" ht="15" customHeight="1" x14ac:dyDescent="0.2">
      <c r="B20" s="16">
        <v>1.4</v>
      </c>
      <c r="C20" s="39" t="s">
        <v>24</v>
      </c>
      <c r="D20" s="39"/>
      <c r="E20" s="39"/>
      <c r="F20" s="39" t="s">
        <v>34</v>
      </c>
      <c r="G20" s="39"/>
      <c r="H20" s="17">
        <v>39997</v>
      </c>
      <c r="I20" s="17">
        <v>40002</v>
      </c>
      <c r="J20" s="33">
        <f ca="1">IF(AND(H20&lt;&gt;"",I20&lt;&gt;""),IF($F$8=1,NETWORKDAYS(H20,I20),IF($F$8=3,I20-H20+1,NETWORKDAYS(H20,I20)+SUM(OFFSET($M$15,-2,MATCH(H20,$M$15:$IB$15,0)):OFFSET($M$15,-2,MATCH(I20,$M$15:$IB$15,0)-1)))),"")</f>
        <v>5</v>
      </c>
      <c r="K20" s="33">
        <f t="shared" ca="1" si="10"/>
        <v>1750</v>
      </c>
      <c r="L20" s="33">
        <f t="shared" ca="1" si="11"/>
        <v>-1745</v>
      </c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23"/>
    </row>
    <row r="21" spans="2:237" ht="15" customHeight="1" x14ac:dyDescent="0.2">
      <c r="B21" s="16">
        <v>2</v>
      </c>
      <c r="C21" s="39" t="s">
        <v>25</v>
      </c>
      <c r="D21" s="39"/>
      <c r="E21" s="39"/>
      <c r="F21" s="39" t="s">
        <v>32</v>
      </c>
      <c r="G21" s="39"/>
      <c r="H21" s="17">
        <v>40003</v>
      </c>
      <c r="I21" s="17">
        <v>40011</v>
      </c>
      <c r="J21" s="33">
        <f ca="1">IF(AND(H21&lt;&gt;"",I21&lt;&gt;""),IF($F$8=1,NETWORKDAYS(H21,I21),IF($F$8=3,I21-H21+1,NETWORKDAYS(H21,I21)+SUM(OFFSET($M$15,-2,MATCH(H21,$M$15:$IB$15,0)):OFFSET($M$15,-2,MATCH(I21,$M$15:$IB$15,0)-1)))),"")</f>
        <v>8</v>
      </c>
      <c r="K21" s="33">
        <f t="shared" ca="1" si="10"/>
        <v>1746</v>
      </c>
      <c r="L21" s="33">
        <f t="shared" ca="1" si="11"/>
        <v>-1738</v>
      </c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23"/>
    </row>
    <row r="22" spans="2:237" ht="15" customHeight="1" x14ac:dyDescent="0.2">
      <c r="B22" s="16">
        <v>2.1</v>
      </c>
      <c r="C22" s="39" t="s">
        <v>26</v>
      </c>
      <c r="D22" s="39"/>
      <c r="E22" s="39"/>
      <c r="F22" s="39" t="s">
        <v>35</v>
      </c>
      <c r="G22" s="39"/>
      <c r="H22" s="17">
        <v>40003</v>
      </c>
      <c r="I22" s="17">
        <v>40011</v>
      </c>
      <c r="J22" s="33">
        <f ca="1">IF(AND(H22&lt;&gt;"",I22&lt;&gt;""),IF($F$8=1,NETWORKDAYS(H22,I22),IF($F$8=3,I22-H22+1,NETWORKDAYS(H22,I22)+SUM(OFFSET($M$15,-2,MATCH(H22,$M$15:$IB$15,0)):OFFSET($M$15,-2,MATCH(I22,$M$15:$IB$15,0)-1)))),"")</f>
        <v>8</v>
      </c>
      <c r="K22" s="33">
        <f t="shared" ca="1" si="10"/>
        <v>1746</v>
      </c>
      <c r="L22" s="33">
        <f t="shared" ca="1" si="11"/>
        <v>-1738</v>
      </c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23"/>
    </row>
    <row r="23" spans="2:237" ht="15" customHeight="1" x14ac:dyDescent="0.2">
      <c r="B23" s="16">
        <v>2.2000000000000002</v>
      </c>
      <c r="C23" s="39" t="s">
        <v>27</v>
      </c>
      <c r="D23" s="39"/>
      <c r="E23" s="39"/>
      <c r="F23" s="39" t="s">
        <v>35</v>
      </c>
      <c r="G23" s="39"/>
      <c r="H23" s="17">
        <v>40003</v>
      </c>
      <c r="I23" s="17">
        <v>40011</v>
      </c>
      <c r="J23" s="33">
        <f ca="1">IF(AND(H23&lt;&gt;"",I23&lt;&gt;""),IF($F$8=1,NETWORKDAYS(H23,I23),IF($F$8=3,I23-H23+1,NETWORKDAYS(H23,I23)+SUM(OFFSET($M$15,-2,MATCH(H23,$M$15:$IB$15,0)):OFFSET($M$15,-2,MATCH(I23,$M$15:$IB$15,0)-1)))),"")</f>
        <v>8</v>
      </c>
      <c r="K23" s="33">
        <f t="shared" ca="1" si="10"/>
        <v>1746</v>
      </c>
      <c r="L23" s="33">
        <f t="shared" ca="1" si="11"/>
        <v>-1738</v>
      </c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23"/>
    </row>
    <row r="24" spans="2:237" ht="15" customHeight="1" x14ac:dyDescent="0.2">
      <c r="B24" s="16">
        <v>3</v>
      </c>
      <c r="C24" s="39" t="s">
        <v>28</v>
      </c>
      <c r="D24" s="39"/>
      <c r="E24" s="39"/>
      <c r="F24" s="39" t="s">
        <v>36</v>
      </c>
      <c r="G24" s="39"/>
      <c r="H24" s="17">
        <v>39995</v>
      </c>
      <c r="I24" s="17">
        <v>40014</v>
      </c>
      <c r="J24" s="33">
        <f ca="1">IF(AND(H24&lt;&gt;"",I24&lt;&gt;""),IF($F$8=1,NETWORKDAYS(H24,I24),IF($F$8=3,I24-H24+1,NETWORKDAYS(H24,I24)+SUM(OFFSET($M$15,-2,MATCH(H24,$M$15:$IB$15,0)):OFFSET($M$15,-2,MATCH(I24,$M$15:$IB$15,0)-1)))),"")</f>
        <v>17</v>
      </c>
      <c r="K24" s="33">
        <f t="shared" ca="1" si="10"/>
        <v>1752</v>
      </c>
      <c r="L24" s="33">
        <f t="shared" ca="1" si="11"/>
        <v>-1735</v>
      </c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32"/>
      <c r="HR24" s="32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23"/>
    </row>
    <row r="25" spans="2:237" ht="15" customHeight="1" x14ac:dyDescent="0.2">
      <c r="B25" s="16">
        <v>3.1</v>
      </c>
      <c r="C25" s="39" t="s">
        <v>29</v>
      </c>
      <c r="D25" s="39"/>
      <c r="E25" s="39"/>
      <c r="F25" s="39" t="s">
        <v>37</v>
      </c>
      <c r="G25" s="39"/>
      <c r="H25" s="17">
        <v>39995</v>
      </c>
      <c r="I25" s="17">
        <v>40002</v>
      </c>
      <c r="J25" s="33">
        <f ca="1">IF(AND(H25&lt;&gt;"",I25&lt;&gt;""),IF($F$8=1,NETWORKDAYS(H25,I25),IF($F$8=3,I25-H25+1,NETWORKDAYS(H25,I25)+SUM(OFFSET($M$15,-2,MATCH(H25,$M$15:$IB$15,0)):OFFSET($M$15,-2,MATCH(I25,$M$15:$IB$15,0)-1)))),"")</f>
        <v>7</v>
      </c>
      <c r="K25" s="33">
        <f t="shared" ca="1" si="10"/>
        <v>1752</v>
      </c>
      <c r="L25" s="33">
        <f t="shared" ca="1" si="11"/>
        <v>-1745</v>
      </c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23"/>
    </row>
    <row r="26" spans="2:237" ht="15" customHeight="1" x14ac:dyDescent="0.2">
      <c r="B26" s="16">
        <v>3.2</v>
      </c>
      <c r="C26" s="39" t="s">
        <v>30</v>
      </c>
      <c r="D26" s="39"/>
      <c r="E26" s="39"/>
      <c r="F26" s="39" t="s">
        <v>37</v>
      </c>
      <c r="G26" s="39"/>
      <c r="H26" s="17">
        <v>40002</v>
      </c>
      <c r="I26" s="17">
        <v>40002</v>
      </c>
      <c r="J26" s="33">
        <f ca="1">IF(AND(H26&lt;&gt;"",I26&lt;&gt;""),IF($F$8=1,NETWORKDAYS(H26,I26),IF($F$8=3,I26-H26+1,NETWORKDAYS(H26,I26)+SUM(OFFSET($M$15,-2,MATCH(H26,$M$15:$IB$15,0)):OFFSET($M$15,-2,MATCH(I26,$M$15:$IB$15,0)-1)))),"")</f>
        <v>1</v>
      </c>
      <c r="K26" s="33">
        <f t="shared" ca="1" si="10"/>
        <v>1747</v>
      </c>
      <c r="L26" s="33">
        <f t="shared" ca="1" si="11"/>
        <v>-1746</v>
      </c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23"/>
    </row>
    <row r="27" spans="2:237" ht="15" customHeight="1" x14ac:dyDescent="0.2">
      <c r="B27" s="16">
        <v>3.3</v>
      </c>
      <c r="C27" s="39" t="s">
        <v>31</v>
      </c>
      <c r="D27" s="39"/>
      <c r="E27" s="39"/>
      <c r="F27" s="39" t="s">
        <v>38</v>
      </c>
      <c r="G27" s="39"/>
      <c r="H27" s="17">
        <v>40014</v>
      </c>
      <c r="I27" s="17">
        <v>40014</v>
      </c>
      <c r="J27" s="33">
        <f ca="1">IF(AND(H27&lt;&gt;"",I27&lt;&gt;""),IF($F$8=1,NETWORKDAYS(H27,I27),IF($F$8=3,I27-H27+1,NETWORKDAYS(H27,I27)+SUM(OFFSET($M$15,-2,MATCH(H27,$M$15:$IB$15,0)):OFFSET($M$15,-2,MATCH(I27,$M$15:$IB$15,0)-1)))),"")</f>
        <v>1</v>
      </c>
      <c r="K27" s="33">
        <f t="shared" ca="1" si="10"/>
        <v>1739</v>
      </c>
      <c r="L27" s="33">
        <f t="shared" ca="1" si="11"/>
        <v>-1738</v>
      </c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  <c r="HI27" s="32"/>
      <c r="HJ27" s="32"/>
      <c r="HK27" s="32"/>
      <c r="HL27" s="32"/>
      <c r="HM27" s="32"/>
      <c r="HN27" s="32"/>
      <c r="HO27" s="32"/>
      <c r="HP27" s="32"/>
      <c r="HQ27" s="32"/>
      <c r="HR27" s="32"/>
      <c r="HS27" s="32"/>
      <c r="HT27" s="32"/>
      <c r="HU27" s="32"/>
      <c r="HV27" s="32"/>
      <c r="HW27" s="32"/>
      <c r="HX27" s="32"/>
      <c r="HY27" s="32"/>
      <c r="HZ27" s="32"/>
      <c r="IA27" s="32"/>
      <c r="IB27" s="32"/>
      <c r="IC27" s="23"/>
    </row>
    <row r="28" spans="2:237" ht="15" customHeight="1" x14ac:dyDescent="0.2">
      <c r="B28" s="16"/>
      <c r="C28" s="39"/>
      <c r="D28" s="39"/>
      <c r="E28" s="39"/>
      <c r="F28" s="39"/>
      <c r="G28" s="39"/>
      <c r="H28" s="17"/>
      <c r="I28" s="17"/>
      <c r="J28" s="33" t="str">
        <f ca="1">IF(AND(H28&lt;&gt;"",I28&lt;&gt;""),IF($F$8=1,NETWORKDAYS(H28,I28),IF($F$8=3,I28-H28+1,NETWORKDAYS(H28,I28)+SUM(OFFSET($M$15,-2,MATCH(H28,$M$15:$IB$15,0)):OFFSET($M$15,-2,MATCH(I28,$M$15:$IB$15,0)-1)))),"")</f>
        <v/>
      </c>
      <c r="K28" s="33" t="str">
        <f t="shared" ca="1" si="10"/>
        <v/>
      </c>
      <c r="L28" s="33" t="str">
        <f t="shared" ca="1" si="11"/>
        <v/>
      </c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32"/>
      <c r="EY28" s="32"/>
      <c r="EZ28" s="32"/>
      <c r="FA28" s="32"/>
      <c r="FB28" s="32"/>
      <c r="FC28" s="32"/>
      <c r="FD28" s="32"/>
      <c r="FE28" s="32"/>
      <c r="FF28" s="32"/>
      <c r="FG28" s="32"/>
      <c r="FH28" s="32"/>
      <c r="FI28" s="32"/>
      <c r="FJ28" s="32"/>
      <c r="FK28" s="32"/>
      <c r="FL28" s="32"/>
      <c r="FM28" s="32"/>
      <c r="FN28" s="32"/>
      <c r="FO28" s="32"/>
      <c r="FP28" s="32"/>
      <c r="FQ28" s="32"/>
      <c r="FR28" s="32"/>
      <c r="FS28" s="32"/>
      <c r="FT28" s="32"/>
      <c r="FU28" s="32"/>
      <c r="FV28" s="32"/>
      <c r="FW28" s="32"/>
      <c r="FX28" s="32"/>
      <c r="FY28" s="32"/>
      <c r="FZ28" s="32"/>
      <c r="GA28" s="32"/>
      <c r="GB28" s="32"/>
      <c r="GC28" s="32"/>
      <c r="GD28" s="32"/>
      <c r="GE28" s="32"/>
      <c r="GF28" s="32"/>
      <c r="GG28" s="32"/>
      <c r="GH28" s="32"/>
      <c r="GI28" s="32"/>
      <c r="GJ28" s="32"/>
      <c r="GK28" s="32"/>
      <c r="GL28" s="32"/>
      <c r="GM28" s="32"/>
      <c r="GN28" s="32"/>
      <c r="GO28" s="32"/>
      <c r="GP28" s="32"/>
      <c r="GQ28" s="32"/>
      <c r="GR28" s="32"/>
      <c r="GS28" s="32"/>
      <c r="GT28" s="32"/>
      <c r="GU28" s="32"/>
      <c r="GV28" s="32"/>
      <c r="GW28" s="32"/>
      <c r="GX28" s="32"/>
      <c r="GY28" s="32"/>
      <c r="GZ28" s="32"/>
      <c r="HA28" s="32"/>
      <c r="HB28" s="32"/>
      <c r="HC28" s="32"/>
      <c r="HD28" s="32"/>
      <c r="HE28" s="32"/>
      <c r="HF28" s="32"/>
      <c r="HG28" s="32"/>
      <c r="HH28" s="32"/>
      <c r="HI28" s="32"/>
      <c r="HJ28" s="32"/>
      <c r="HK28" s="32"/>
      <c r="HL28" s="32"/>
      <c r="HM28" s="32"/>
      <c r="HN28" s="32"/>
      <c r="HO28" s="32"/>
      <c r="HP28" s="32"/>
      <c r="HQ28" s="32"/>
      <c r="HR28" s="32"/>
      <c r="HS28" s="32"/>
      <c r="HT28" s="32"/>
      <c r="HU28" s="32"/>
      <c r="HV28" s="32"/>
      <c r="HW28" s="32"/>
      <c r="HX28" s="32"/>
      <c r="HY28" s="32"/>
      <c r="HZ28" s="32"/>
      <c r="IA28" s="32"/>
      <c r="IB28" s="32"/>
      <c r="IC28" s="23"/>
    </row>
    <row r="29" spans="2:237" ht="15" customHeight="1" x14ac:dyDescent="0.2">
      <c r="B29" s="16"/>
      <c r="C29" s="39"/>
      <c r="D29" s="39"/>
      <c r="E29" s="39"/>
      <c r="F29" s="39"/>
      <c r="G29" s="39"/>
      <c r="H29" s="17"/>
      <c r="I29" s="17"/>
      <c r="J29" s="33" t="str">
        <f ca="1">IF(AND(H29&lt;&gt;"",I29&lt;&gt;""),IF($F$8=1,NETWORKDAYS(H29,I29),IF($F$8=3,I29-H29+1,NETWORKDAYS(H29,I29)+SUM(OFFSET($M$15,-2,MATCH(H29,$M$15:$IB$15,0)):OFFSET($M$15,-2,MATCH(I29,$M$15:$IB$15,0)-1)))),"")</f>
        <v/>
      </c>
      <c r="K29" s="33" t="str">
        <f t="shared" ca="1" si="10"/>
        <v/>
      </c>
      <c r="L29" s="33" t="str">
        <f t="shared" ca="1" si="11"/>
        <v/>
      </c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32"/>
      <c r="GR29" s="32"/>
      <c r="GS29" s="32"/>
      <c r="GT29" s="32"/>
      <c r="GU29" s="32"/>
      <c r="GV29" s="32"/>
      <c r="GW29" s="32"/>
      <c r="GX29" s="32"/>
      <c r="GY29" s="32"/>
      <c r="GZ29" s="32"/>
      <c r="HA29" s="32"/>
      <c r="HB29" s="32"/>
      <c r="HC29" s="32"/>
      <c r="HD29" s="32"/>
      <c r="HE29" s="32"/>
      <c r="HF29" s="32"/>
      <c r="HG29" s="32"/>
      <c r="HH29" s="32"/>
      <c r="HI29" s="32"/>
      <c r="HJ29" s="32"/>
      <c r="HK29" s="32"/>
      <c r="HL29" s="32"/>
      <c r="HM29" s="32"/>
      <c r="HN29" s="32"/>
      <c r="HO29" s="32"/>
      <c r="HP29" s="32"/>
      <c r="HQ29" s="32"/>
      <c r="HR29" s="32"/>
      <c r="HS29" s="32"/>
      <c r="HT29" s="32"/>
      <c r="HU29" s="32"/>
      <c r="HV29" s="32"/>
      <c r="HW29" s="32"/>
      <c r="HX29" s="32"/>
      <c r="HY29" s="32"/>
      <c r="HZ29" s="32"/>
      <c r="IA29" s="32"/>
      <c r="IB29" s="32"/>
      <c r="IC29" s="23"/>
    </row>
    <row r="30" spans="2:237" ht="15" customHeight="1" x14ac:dyDescent="0.2">
      <c r="B30" s="16"/>
      <c r="C30" s="39"/>
      <c r="D30" s="39"/>
      <c r="E30" s="39"/>
      <c r="F30" s="39"/>
      <c r="G30" s="39"/>
      <c r="H30" s="17"/>
      <c r="I30" s="17"/>
      <c r="J30" s="33" t="str">
        <f ca="1">IF(AND(H30&lt;&gt;"",I30&lt;&gt;""),IF($F$8=1,NETWORKDAYS(H30,I30),IF($F$8=3,I30-H30+1,NETWORKDAYS(H30,I30)+SUM(OFFSET($M$15,-2,MATCH(H30,$M$15:$IB$15,0)):OFFSET($M$15,-2,MATCH(I30,$M$15:$IB$15,0)-1)))),"")</f>
        <v/>
      </c>
      <c r="K30" s="33" t="str">
        <f t="shared" ca="1" si="10"/>
        <v/>
      </c>
      <c r="L30" s="33" t="str">
        <f t="shared" ca="1" si="11"/>
        <v/>
      </c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C30" s="32"/>
      <c r="GD30" s="32"/>
      <c r="GE30" s="32"/>
      <c r="GF30" s="32"/>
      <c r="GG30" s="32"/>
      <c r="GH30" s="32"/>
      <c r="GI30" s="32"/>
      <c r="GJ30" s="32"/>
      <c r="GK30" s="32"/>
      <c r="GL30" s="32"/>
      <c r="GM30" s="32"/>
      <c r="GN30" s="32"/>
      <c r="GO30" s="32"/>
      <c r="GP30" s="32"/>
      <c r="GQ30" s="32"/>
      <c r="GR30" s="32"/>
      <c r="GS30" s="32"/>
      <c r="GT30" s="32"/>
      <c r="GU30" s="32"/>
      <c r="GV30" s="32"/>
      <c r="GW30" s="32"/>
      <c r="GX30" s="32"/>
      <c r="GY30" s="32"/>
      <c r="GZ30" s="32"/>
      <c r="HA30" s="32"/>
      <c r="HB30" s="32"/>
      <c r="HC30" s="32"/>
      <c r="HD30" s="32"/>
      <c r="HE30" s="32"/>
      <c r="HF30" s="32"/>
      <c r="HG30" s="32"/>
      <c r="HH30" s="32"/>
      <c r="HI30" s="32"/>
      <c r="HJ30" s="32"/>
      <c r="HK30" s="32"/>
      <c r="HL30" s="32"/>
      <c r="HM30" s="32"/>
      <c r="HN30" s="32"/>
      <c r="HO30" s="32"/>
      <c r="HP30" s="32"/>
      <c r="HQ30" s="32"/>
      <c r="HR30" s="32"/>
      <c r="HS30" s="32"/>
      <c r="HT30" s="32"/>
      <c r="HU30" s="32"/>
      <c r="HV30" s="32"/>
      <c r="HW30" s="32"/>
      <c r="HX30" s="32"/>
      <c r="HY30" s="32"/>
      <c r="HZ30" s="32"/>
      <c r="IA30" s="32"/>
      <c r="IB30" s="32"/>
      <c r="IC30" s="23"/>
    </row>
    <row r="31" spans="2:237" ht="15" customHeight="1" x14ac:dyDescent="0.2">
      <c r="B31" s="16"/>
      <c r="C31" s="39"/>
      <c r="D31" s="39"/>
      <c r="E31" s="39"/>
      <c r="F31" s="39"/>
      <c r="G31" s="39"/>
      <c r="H31" s="17"/>
      <c r="I31" s="17"/>
      <c r="J31" s="33" t="str">
        <f ca="1">IF(AND(H31&lt;&gt;"",I31&lt;&gt;""),IF($F$8=1,NETWORKDAYS(H31,I31),IF($F$8=3,I31-H31+1,NETWORKDAYS(H31,I31)+SUM(OFFSET($M$15,-2,MATCH(H31,$M$15:$IB$15,0)):OFFSET($M$15,-2,MATCH(I31,$M$15:$IB$15,0)-1)))),"")</f>
        <v/>
      </c>
      <c r="K31" s="33" t="str">
        <f t="shared" ca="1" si="10"/>
        <v/>
      </c>
      <c r="L31" s="33" t="str">
        <f t="shared" ca="1" si="11"/>
        <v/>
      </c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  <c r="EW31" s="32"/>
      <c r="EX31" s="32"/>
      <c r="EY31" s="32"/>
      <c r="EZ31" s="32"/>
      <c r="FA31" s="32"/>
      <c r="FB31" s="32"/>
      <c r="FC31" s="32"/>
      <c r="FD31" s="32"/>
      <c r="FE31" s="32"/>
      <c r="FF31" s="32"/>
      <c r="FG31" s="32"/>
      <c r="FH31" s="32"/>
      <c r="FI31" s="32"/>
      <c r="FJ31" s="32"/>
      <c r="FK31" s="32"/>
      <c r="FL31" s="32"/>
      <c r="FM31" s="32"/>
      <c r="FN31" s="32"/>
      <c r="FO31" s="32"/>
      <c r="FP31" s="32"/>
      <c r="FQ31" s="32"/>
      <c r="FR31" s="32"/>
      <c r="FS31" s="32"/>
      <c r="FT31" s="32"/>
      <c r="FU31" s="32"/>
      <c r="FV31" s="32"/>
      <c r="FW31" s="32"/>
      <c r="FX31" s="32"/>
      <c r="FY31" s="32"/>
      <c r="FZ31" s="32"/>
      <c r="GA31" s="32"/>
      <c r="GB31" s="32"/>
      <c r="GC31" s="32"/>
      <c r="GD31" s="32"/>
      <c r="GE31" s="32"/>
      <c r="GF31" s="32"/>
      <c r="GG31" s="32"/>
      <c r="GH31" s="32"/>
      <c r="GI31" s="32"/>
      <c r="GJ31" s="32"/>
      <c r="GK31" s="32"/>
      <c r="GL31" s="32"/>
      <c r="GM31" s="32"/>
      <c r="GN31" s="32"/>
      <c r="GO31" s="32"/>
      <c r="GP31" s="32"/>
      <c r="GQ31" s="32"/>
      <c r="GR31" s="32"/>
      <c r="GS31" s="32"/>
      <c r="GT31" s="32"/>
      <c r="GU31" s="32"/>
      <c r="GV31" s="32"/>
      <c r="GW31" s="32"/>
      <c r="GX31" s="32"/>
      <c r="GY31" s="32"/>
      <c r="GZ31" s="32"/>
      <c r="HA31" s="32"/>
      <c r="HB31" s="32"/>
      <c r="HC31" s="32"/>
      <c r="HD31" s="32"/>
      <c r="HE31" s="32"/>
      <c r="HF31" s="32"/>
      <c r="HG31" s="32"/>
      <c r="HH31" s="32"/>
      <c r="HI31" s="32"/>
      <c r="HJ31" s="32"/>
      <c r="HK31" s="32"/>
      <c r="HL31" s="32"/>
      <c r="HM31" s="32"/>
      <c r="HN31" s="32"/>
      <c r="HO31" s="32"/>
      <c r="HP31" s="32"/>
      <c r="HQ31" s="32"/>
      <c r="HR31" s="32"/>
      <c r="HS31" s="32"/>
      <c r="HT31" s="32"/>
      <c r="HU31" s="32"/>
      <c r="HV31" s="32"/>
      <c r="HW31" s="32"/>
      <c r="HX31" s="32"/>
      <c r="HY31" s="32"/>
      <c r="HZ31" s="32"/>
      <c r="IA31" s="32"/>
      <c r="IB31" s="32"/>
      <c r="IC31" s="23"/>
    </row>
    <row r="32" spans="2:237" ht="15" customHeight="1" x14ac:dyDescent="0.2">
      <c r="B32" s="16"/>
      <c r="C32" s="39"/>
      <c r="D32" s="39"/>
      <c r="E32" s="39"/>
      <c r="F32" s="39"/>
      <c r="G32" s="39"/>
      <c r="H32" s="17"/>
      <c r="I32" s="17"/>
      <c r="J32" s="33" t="str">
        <f ca="1">IF(AND(H32&lt;&gt;"",I32&lt;&gt;""),IF($F$8=1,NETWORKDAYS(H32,I32),IF($F$8=3,I32-H32+1,NETWORKDAYS(H32,I32)+SUM(OFFSET($M$15,-2,MATCH(H32,$M$15:$IB$15,0)):OFFSET($M$15,-2,MATCH(I32,$M$15:$IB$15,0)-1)))),"")</f>
        <v/>
      </c>
      <c r="K32" s="33" t="str">
        <f t="shared" ca="1" si="10"/>
        <v/>
      </c>
      <c r="L32" s="33" t="str">
        <f t="shared" ca="1" si="11"/>
        <v/>
      </c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32"/>
      <c r="GI32" s="32"/>
      <c r="GJ32" s="32"/>
      <c r="GK32" s="32"/>
      <c r="GL32" s="32"/>
      <c r="GM32" s="32"/>
      <c r="GN32" s="32"/>
      <c r="GO32" s="32"/>
      <c r="GP32" s="32"/>
      <c r="GQ32" s="32"/>
      <c r="GR32" s="32"/>
      <c r="GS32" s="32"/>
      <c r="GT32" s="32"/>
      <c r="GU32" s="32"/>
      <c r="GV32" s="32"/>
      <c r="GW32" s="32"/>
      <c r="GX32" s="32"/>
      <c r="GY32" s="32"/>
      <c r="GZ32" s="32"/>
      <c r="HA32" s="32"/>
      <c r="HB32" s="32"/>
      <c r="HC32" s="32"/>
      <c r="HD32" s="32"/>
      <c r="HE32" s="32"/>
      <c r="HF32" s="32"/>
      <c r="HG32" s="32"/>
      <c r="HH32" s="32"/>
      <c r="HI32" s="32"/>
      <c r="HJ32" s="32"/>
      <c r="HK32" s="32"/>
      <c r="HL32" s="32"/>
      <c r="HM32" s="32"/>
      <c r="HN32" s="32"/>
      <c r="HO32" s="32"/>
      <c r="HP32" s="32"/>
      <c r="HQ32" s="32"/>
      <c r="HR32" s="32"/>
      <c r="HS32" s="32"/>
      <c r="HT32" s="32"/>
      <c r="HU32" s="32"/>
      <c r="HV32" s="32"/>
      <c r="HW32" s="32"/>
      <c r="HX32" s="32"/>
      <c r="HY32" s="32"/>
      <c r="HZ32" s="32"/>
      <c r="IA32" s="32"/>
      <c r="IB32" s="32"/>
      <c r="IC32" s="23"/>
    </row>
    <row r="33" spans="2:237" ht="15" customHeight="1" x14ac:dyDescent="0.2">
      <c r="B33" s="16"/>
      <c r="C33" s="39"/>
      <c r="D33" s="39"/>
      <c r="E33" s="39"/>
      <c r="F33" s="39"/>
      <c r="G33" s="39"/>
      <c r="H33" s="17"/>
      <c r="I33" s="17"/>
      <c r="J33" s="33" t="str">
        <f ca="1">IF(AND(H33&lt;&gt;"",I33&lt;&gt;""),IF($F$8=1,NETWORKDAYS(H33,I33),IF($F$8=3,I33-H33+1,NETWORKDAYS(H33,I33)+SUM(OFFSET($M$15,-2,MATCH(H33,$M$15:$IB$15,0)):OFFSET($M$15,-2,MATCH(I33,$M$15:$IB$15,0)-1)))),"")</f>
        <v/>
      </c>
      <c r="K33" s="33" t="str">
        <f t="shared" ca="1" si="10"/>
        <v/>
      </c>
      <c r="L33" s="33" t="str">
        <f t="shared" ca="1" si="11"/>
        <v/>
      </c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  <c r="EW33" s="32"/>
      <c r="EX33" s="32"/>
      <c r="EY33" s="32"/>
      <c r="EZ33" s="32"/>
      <c r="FA33" s="32"/>
      <c r="FB33" s="32"/>
      <c r="FC33" s="32"/>
      <c r="FD33" s="32"/>
      <c r="FE33" s="32"/>
      <c r="FF33" s="32"/>
      <c r="FG33" s="32"/>
      <c r="FH33" s="32"/>
      <c r="FI33" s="32"/>
      <c r="FJ33" s="32"/>
      <c r="FK33" s="32"/>
      <c r="FL33" s="32"/>
      <c r="FM33" s="32"/>
      <c r="FN33" s="32"/>
      <c r="FO33" s="32"/>
      <c r="FP33" s="32"/>
      <c r="FQ33" s="32"/>
      <c r="FR33" s="32"/>
      <c r="FS33" s="32"/>
      <c r="FT33" s="32"/>
      <c r="FU33" s="32"/>
      <c r="FV33" s="32"/>
      <c r="FW33" s="32"/>
      <c r="FX33" s="32"/>
      <c r="FY33" s="32"/>
      <c r="FZ33" s="32"/>
      <c r="GA33" s="32"/>
      <c r="GB33" s="32"/>
      <c r="GC33" s="32"/>
      <c r="GD33" s="32"/>
      <c r="GE33" s="32"/>
      <c r="GF33" s="32"/>
      <c r="GG33" s="32"/>
      <c r="GH33" s="32"/>
      <c r="GI33" s="32"/>
      <c r="GJ33" s="32"/>
      <c r="GK33" s="32"/>
      <c r="GL33" s="32"/>
      <c r="GM33" s="32"/>
      <c r="GN33" s="32"/>
      <c r="GO33" s="32"/>
      <c r="GP33" s="32"/>
      <c r="GQ33" s="32"/>
      <c r="GR33" s="32"/>
      <c r="GS33" s="32"/>
      <c r="GT33" s="32"/>
      <c r="GU33" s="32"/>
      <c r="GV33" s="32"/>
      <c r="GW33" s="32"/>
      <c r="GX33" s="32"/>
      <c r="GY33" s="32"/>
      <c r="GZ33" s="32"/>
      <c r="HA33" s="32"/>
      <c r="HB33" s="32"/>
      <c r="HC33" s="32"/>
      <c r="HD33" s="32"/>
      <c r="HE33" s="32"/>
      <c r="HF33" s="32"/>
      <c r="HG33" s="32"/>
      <c r="HH33" s="32"/>
      <c r="HI33" s="32"/>
      <c r="HJ33" s="32"/>
      <c r="HK33" s="32"/>
      <c r="HL33" s="32"/>
      <c r="HM33" s="32"/>
      <c r="HN33" s="32"/>
      <c r="HO33" s="32"/>
      <c r="HP33" s="32"/>
      <c r="HQ33" s="32"/>
      <c r="HR33" s="32"/>
      <c r="HS33" s="32"/>
      <c r="HT33" s="32"/>
      <c r="HU33" s="32"/>
      <c r="HV33" s="32"/>
      <c r="HW33" s="32"/>
      <c r="HX33" s="32"/>
      <c r="HY33" s="32"/>
      <c r="HZ33" s="32"/>
      <c r="IA33" s="32"/>
      <c r="IB33" s="32"/>
      <c r="IC33" s="23"/>
    </row>
    <row r="34" spans="2:237" ht="15" customHeight="1" x14ac:dyDescent="0.2">
      <c r="B34" s="16"/>
      <c r="C34" s="39"/>
      <c r="D34" s="39"/>
      <c r="E34" s="39"/>
      <c r="F34" s="39"/>
      <c r="G34" s="39"/>
      <c r="H34" s="17"/>
      <c r="I34" s="17"/>
      <c r="J34" s="33" t="str">
        <f ca="1">IF(AND(H34&lt;&gt;"",I34&lt;&gt;""),IF($F$8=1,NETWORKDAYS(H34,I34),IF($F$8=3,I34-H34+1,NETWORKDAYS(H34,I34)+SUM(OFFSET($M$15,-2,MATCH(H34,$M$15:$IB$15,0)):OFFSET($M$15,-2,MATCH(I34,$M$15:$IB$15,0)-1)))),"")</f>
        <v/>
      </c>
      <c r="K34" s="33" t="str">
        <f t="shared" ca="1" si="10"/>
        <v/>
      </c>
      <c r="L34" s="33" t="str">
        <f t="shared" ca="1" si="11"/>
        <v/>
      </c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2"/>
      <c r="GH34" s="32"/>
      <c r="GI34" s="32"/>
      <c r="GJ34" s="32"/>
      <c r="GK34" s="32"/>
      <c r="GL34" s="32"/>
      <c r="GM34" s="32"/>
      <c r="GN34" s="32"/>
      <c r="GO34" s="32"/>
      <c r="GP34" s="32"/>
      <c r="GQ34" s="32"/>
      <c r="GR34" s="32"/>
      <c r="GS34" s="32"/>
      <c r="GT34" s="32"/>
      <c r="GU34" s="32"/>
      <c r="GV34" s="32"/>
      <c r="GW34" s="32"/>
      <c r="GX34" s="32"/>
      <c r="GY34" s="32"/>
      <c r="GZ34" s="32"/>
      <c r="HA34" s="32"/>
      <c r="HB34" s="32"/>
      <c r="HC34" s="32"/>
      <c r="HD34" s="32"/>
      <c r="HE34" s="32"/>
      <c r="HF34" s="32"/>
      <c r="HG34" s="32"/>
      <c r="HH34" s="32"/>
      <c r="HI34" s="32"/>
      <c r="HJ34" s="32"/>
      <c r="HK34" s="32"/>
      <c r="HL34" s="32"/>
      <c r="HM34" s="32"/>
      <c r="HN34" s="32"/>
      <c r="HO34" s="32"/>
      <c r="HP34" s="32"/>
      <c r="HQ34" s="32"/>
      <c r="HR34" s="32"/>
      <c r="HS34" s="32"/>
      <c r="HT34" s="32"/>
      <c r="HU34" s="32"/>
      <c r="HV34" s="32"/>
      <c r="HW34" s="32"/>
      <c r="HX34" s="32"/>
      <c r="HY34" s="32"/>
      <c r="HZ34" s="32"/>
      <c r="IA34" s="32"/>
      <c r="IB34" s="32"/>
      <c r="IC34" s="23"/>
    </row>
    <row r="35" spans="2:237" ht="15" customHeight="1" x14ac:dyDescent="0.2">
      <c r="B35" s="16"/>
      <c r="C35" s="39"/>
      <c r="D35" s="39"/>
      <c r="E35" s="39"/>
      <c r="F35" s="39"/>
      <c r="G35" s="39"/>
      <c r="H35" s="17"/>
      <c r="I35" s="17"/>
      <c r="J35" s="33" t="str">
        <f ca="1">IF(AND(H35&lt;&gt;"",I35&lt;&gt;""),IF($F$8=1,NETWORKDAYS(H35,I35),IF($F$8=3,I35-H35+1,NETWORKDAYS(H35,I35)+SUM(OFFSET($M$15,-2,MATCH(H35,$M$15:$IB$15,0)):OFFSET($M$15,-2,MATCH(I35,$M$15:$IB$15,0)-1)))),"")</f>
        <v/>
      </c>
      <c r="K35" s="33" t="str">
        <f t="shared" ca="1" si="10"/>
        <v/>
      </c>
      <c r="L35" s="33" t="str">
        <f t="shared" ca="1" si="11"/>
        <v/>
      </c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  <c r="GG35" s="32"/>
      <c r="GH35" s="32"/>
      <c r="GI35" s="32"/>
      <c r="GJ35" s="32"/>
      <c r="GK35" s="32"/>
      <c r="GL35" s="32"/>
      <c r="GM35" s="32"/>
      <c r="GN35" s="32"/>
      <c r="GO35" s="32"/>
      <c r="GP35" s="32"/>
      <c r="GQ35" s="32"/>
      <c r="GR35" s="32"/>
      <c r="GS35" s="32"/>
      <c r="GT35" s="32"/>
      <c r="GU35" s="32"/>
      <c r="GV35" s="32"/>
      <c r="GW35" s="32"/>
      <c r="GX35" s="32"/>
      <c r="GY35" s="32"/>
      <c r="GZ35" s="32"/>
      <c r="HA35" s="32"/>
      <c r="HB35" s="32"/>
      <c r="HC35" s="32"/>
      <c r="HD35" s="32"/>
      <c r="HE35" s="32"/>
      <c r="HF35" s="32"/>
      <c r="HG35" s="32"/>
      <c r="HH35" s="32"/>
      <c r="HI35" s="32"/>
      <c r="HJ35" s="32"/>
      <c r="HK35" s="32"/>
      <c r="HL35" s="32"/>
      <c r="HM35" s="32"/>
      <c r="HN35" s="32"/>
      <c r="HO35" s="32"/>
      <c r="HP35" s="32"/>
      <c r="HQ35" s="32"/>
      <c r="HR35" s="32"/>
      <c r="HS35" s="32"/>
      <c r="HT35" s="32"/>
      <c r="HU35" s="32"/>
      <c r="HV35" s="32"/>
      <c r="HW35" s="32"/>
      <c r="HX35" s="32"/>
      <c r="HY35" s="32"/>
      <c r="HZ35" s="32"/>
      <c r="IA35" s="32"/>
      <c r="IB35" s="32"/>
      <c r="IC35" s="23"/>
    </row>
    <row r="36" spans="2:237" ht="15" customHeight="1" x14ac:dyDescent="0.2">
      <c r="B36" s="16"/>
      <c r="C36" s="39"/>
      <c r="D36" s="39"/>
      <c r="E36" s="39"/>
      <c r="F36" s="39"/>
      <c r="G36" s="39"/>
      <c r="H36" s="17"/>
      <c r="I36" s="17"/>
      <c r="J36" s="33" t="str">
        <f ca="1">IF(AND(H36&lt;&gt;"",I36&lt;&gt;""),IF($F$8=1,NETWORKDAYS(H36,I36),IF($F$8=3,I36-H36+1,NETWORKDAYS(H36,I36)+SUM(OFFSET($M$15,-2,MATCH(H36,$M$15:$IB$15,0)):OFFSET($M$15,-2,MATCH(I36,$M$15:$IB$15,0)-1)))),"")</f>
        <v/>
      </c>
      <c r="K36" s="33" t="str">
        <f t="shared" ca="1" si="10"/>
        <v/>
      </c>
      <c r="L36" s="33" t="str">
        <f t="shared" ca="1" si="11"/>
        <v/>
      </c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  <c r="GC36" s="32"/>
      <c r="GD36" s="32"/>
      <c r="GE36" s="32"/>
      <c r="GF36" s="32"/>
      <c r="GG36" s="32"/>
      <c r="GH36" s="32"/>
      <c r="GI36" s="32"/>
      <c r="GJ36" s="32"/>
      <c r="GK36" s="32"/>
      <c r="GL36" s="32"/>
      <c r="GM36" s="32"/>
      <c r="GN36" s="32"/>
      <c r="GO36" s="32"/>
      <c r="GP36" s="32"/>
      <c r="GQ36" s="32"/>
      <c r="GR36" s="32"/>
      <c r="GS36" s="32"/>
      <c r="GT36" s="32"/>
      <c r="GU36" s="32"/>
      <c r="GV36" s="32"/>
      <c r="GW36" s="32"/>
      <c r="GX36" s="32"/>
      <c r="GY36" s="32"/>
      <c r="GZ36" s="32"/>
      <c r="HA36" s="32"/>
      <c r="HB36" s="32"/>
      <c r="HC36" s="32"/>
      <c r="HD36" s="32"/>
      <c r="HE36" s="32"/>
      <c r="HF36" s="32"/>
      <c r="HG36" s="32"/>
      <c r="HH36" s="32"/>
      <c r="HI36" s="32"/>
      <c r="HJ36" s="32"/>
      <c r="HK36" s="32"/>
      <c r="HL36" s="32"/>
      <c r="HM36" s="32"/>
      <c r="HN36" s="32"/>
      <c r="HO36" s="32"/>
      <c r="HP36" s="32"/>
      <c r="HQ36" s="32"/>
      <c r="HR36" s="32"/>
      <c r="HS36" s="32"/>
      <c r="HT36" s="32"/>
      <c r="HU36" s="32"/>
      <c r="HV36" s="32"/>
      <c r="HW36" s="32"/>
      <c r="HX36" s="32"/>
      <c r="HY36" s="32"/>
      <c r="HZ36" s="32"/>
      <c r="IA36" s="32"/>
      <c r="IB36" s="32"/>
      <c r="IC36" s="23"/>
    </row>
    <row r="37" spans="2:237" ht="15" customHeight="1" x14ac:dyDescent="0.2">
      <c r="B37" s="16"/>
      <c r="C37" s="39"/>
      <c r="D37" s="39"/>
      <c r="E37" s="39"/>
      <c r="F37" s="39"/>
      <c r="G37" s="39"/>
      <c r="H37" s="17"/>
      <c r="I37" s="17"/>
      <c r="J37" s="33" t="str">
        <f ca="1">IF(AND(H37&lt;&gt;"",I37&lt;&gt;""),IF($F$8=1,NETWORKDAYS(H37,I37),IF($F$8=3,I37-H37+1,NETWORKDAYS(H37,I37)+SUM(OFFSET($M$15,-2,MATCH(H37,$M$15:$IB$15,0)):OFFSET($M$15,-2,MATCH(I37,$M$15:$IB$15,0)-1)))),"")</f>
        <v/>
      </c>
      <c r="K37" s="33" t="str">
        <f t="shared" ca="1" si="10"/>
        <v/>
      </c>
      <c r="L37" s="33" t="str">
        <f t="shared" ca="1" si="11"/>
        <v/>
      </c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  <c r="EW37" s="32"/>
      <c r="EX37" s="32"/>
      <c r="EY37" s="32"/>
      <c r="EZ37" s="32"/>
      <c r="FA37" s="32"/>
      <c r="FB37" s="32"/>
      <c r="FC37" s="32"/>
      <c r="FD37" s="32"/>
      <c r="FE37" s="32"/>
      <c r="FF37" s="32"/>
      <c r="FG37" s="32"/>
      <c r="FH37" s="32"/>
      <c r="FI37" s="32"/>
      <c r="FJ37" s="32"/>
      <c r="FK37" s="32"/>
      <c r="FL37" s="32"/>
      <c r="FM37" s="32"/>
      <c r="FN37" s="32"/>
      <c r="FO37" s="32"/>
      <c r="FP37" s="32"/>
      <c r="FQ37" s="32"/>
      <c r="FR37" s="32"/>
      <c r="FS37" s="32"/>
      <c r="FT37" s="32"/>
      <c r="FU37" s="32"/>
      <c r="FV37" s="32"/>
      <c r="FW37" s="32"/>
      <c r="FX37" s="32"/>
      <c r="FY37" s="32"/>
      <c r="FZ37" s="32"/>
      <c r="GA37" s="32"/>
      <c r="GB37" s="32"/>
      <c r="GC37" s="32"/>
      <c r="GD37" s="32"/>
      <c r="GE37" s="32"/>
      <c r="GF37" s="32"/>
      <c r="GG37" s="32"/>
      <c r="GH37" s="32"/>
      <c r="GI37" s="32"/>
      <c r="GJ37" s="32"/>
      <c r="GK37" s="32"/>
      <c r="GL37" s="32"/>
      <c r="GM37" s="32"/>
      <c r="GN37" s="32"/>
      <c r="GO37" s="32"/>
      <c r="GP37" s="32"/>
      <c r="GQ37" s="32"/>
      <c r="GR37" s="32"/>
      <c r="GS37" s="32"/>
      <c r="GT37" s="32"/>
      <c r="GU37" s="32"/>
      <c r="GV37" s="32"/>
      <c r="GW37" s="32"/>
      <c r="GX37" s="32"/>
      <c r="GY37" s="32"/>
      <c r="GZ37" s="32"/>
      <c r="HA37" s="32"/>
      <c r="HB37" s="32"/>
      <c r="HC37" s="32"/>
      <c r="HD37" s="32"/>
      <c r="HE37" s="32"/>
      <c r="HF37" s="32"/>
      <c r="HG37" s="32"/>
      <c r="HH37" s="32"/>
      <c r="HI37" s="32"/>
      <c r="HJ37" s="32"/>
      <c r="HK37" s="32"/>
      <c r="HL37" s="32"/>
      <c r="HM37" s="32"/>
      <c r="HN37" s="32"/>
      <c r="HO37" s="32"/>
      <c r="HP37" s="32"/>
      <c r="HQ37" s="32"/>
      <c r="HR37" s="32"/>
      <c r="HS37" s="32"/>
      <c r="HT37" s="32"/>
      <c r="HU37" s="32"/>
      <c r="HV37" s="32"/>
      <c r="HW37" s="32"/>
      <c r="HX37" s="32"/>
      <c r="HY37" s="32"/>
      <c r="HZ37" s="32"/>
      <c r="IA37" s="32"/>
      <c r="IB37" s="32"/>
      <c r="IC37" s="23"/>
    </row>
    <row r="38" spans="2:237" ht="15" customHeight="1" x14ac:dyDescent="0.2">
      <c r="B38" s="16"/>
      <c r="C38" s="39"/>
      <c r="D38" s="39"/>
      <c r="E38" s="39"/>
      <c r="F38" s="39"/>
      <c r="G38" s="39"/>
      <c r="H38" s="17"/>
      <c r="I38" s="17"/>
      <c r="J38" s="33" t="str">
        <f ca="1">IF(AND(H38&lt;&gt;"",I38&lt;&gt;""),IF($F$8=1,NETWORKDAYS(H38,I38),IF($F$8=3,I38-H38+1,NETWORKDAYS(H38,I38)+SUM(OFFSET($M$15,-2,MATCH(H38,$M$15:$IB$15,0)):OFFSET($M$15,-2,MATCH(I38,$M$15:$IB$15,0)-1)))),"")</f>
        <v/>
      </c>
      <c r="K38" s="33" t="str">
        <f t="shared" ca="1" si="10"/>
        <v/>
      </c>
      <c r="L38" s="33" t="str">
        <f t="shared" ca="1" si="11"/>
        <v/>
      </c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/>
      <c r="FD38" s="32"/>
      <c r="FE38" s="32"/>
      <c r="FF38" s="32"/>
      <c r="FG38" s="32"/>
      <c r="FH38" s="32"/>
      <c r="FI38" s="32"/>
      <c r="FJ38" s="32"/>
      <c r="FK38" s="32"/>
      <c r="FL38" s="32"/>
      <c r="FM38" s="32"/>
      <c r="FN38" s="32"/>
      <c r="FO38" s="32"/>
      <c r="FP38" s="32"/>
      <c r="FQ38" s="32"/>
      <c r="FR38" s="32"/>
      <c r="FS38" s="32"/>
      <c r="FT38" s="32"/>
      <c r="FU38" s="32"/>
      <c r="FV38" s="32"/>
      <c r="FW38" s="32"/>
      <c r="FX38" s="32"/>
      <c r="FY38" s="32"/>
      <c r="FZ38" s="32"/>
      <c r="GA38" s="32"/>
      <c r="GB38" s="32"/>
      <c r="GC38" s="32"/>
      <c r="GD38" s="32"/>
      <c r="GE38" s="32"/>
      <c r="GF38" s="32"/>
      <c r="GG38" s="32"/>
      <c r="GH38" s="32"/>
      <c r="GI38" s="32"/>
      <c r="GJ38" s="32"/>
      <c r="GK38" s="32"/>
      <c r="GL38" s="32"/>
      <c r="GM38" s="32"/>
      <c r="GN38" s="32"/>
      <c r="GO38" s="32"/>
      <c r="GP38" s="32"/>
      <c r="GQ38" s="32"/>
      <c r="GR38" s="32"/>
      <c r="GS38" s="32"/>
      <c r="GT38" s="32"/>
      <c r="GU38" s="32"/>
      <c r="GV38" s="32"/>
      <c r="GW38" s="32"/>
      <c r="GX38" s="32"/>
      <c r="GY38" s="32"/>
      <c r="GZ38" s="32"/>
      <c r="HA38" s="32"/>
      <c r="HB38" s="32"/>
      <c r="HC38" s="32"/>
      <c r="HD38" s="32"/>
      <c r="HE38" s="32"/>
      <c r="HF38" s="32"/>
      <c r="HG38" s="32"/>
      <c r="HH38" s="32"/>
      <c r="HI38" s="32"/>
      <c r="HJ38" s="32"/>
      <c r="HK38" s="32"/>
      <c r="HL38" s="32"/>
      <c r="HM38" s="32"/>
      <c r="HN38" s="32"/>
      <c r="HO38" s="32"/>
      <c r="HP38" s="32"/>
      <c r="HQ38" s="32"/>
      <c r="HR38" s="32"/>
      <c r="HS38" s="32"/>
      <c r="HT38" s="32"/>
      <c r="HU38" s="32"/>
      <c r="HV38" s="32"/>
      <c r="HW38" s="32"/>
      <c r="HX38" s="32"/>
      <c r="HY38" s="32"/>
      <c r="HZ38" s="32"/>
      <c r="IA38" s="32"/>
      <c r="IB38" s="32"/>
      <c r="IC38" s="23"/>
    </row>
    <row r="39" spans="2:237" ht="15" customHeight="1" x14ac:dyDescent="0.2">
      <c r="B39" s="16"/>
      <c r="C39" s="39"/>
      <c r="D39" s="39"/>
      <c r="E39" s="39"/>
      <c r="F39" s="39"/>
      <c r="G39" s="39"/>
      <c r="H39" s="17"/>
      <c r="I39" s="17"/>
      <c r="J39" s="33" t="str">
        <f ca="1">IF(AND(H39&lt;&gt;"",I39&lt;&gt;""),IF($F$8=1,NETWORKDAYS(H39,I39),IF($F$8=3,I39-H39+1,NETWORKDAYS(H39,I39)+SUM(OFFSET($M$15,-2,MATCH(H39,$M$15:$IB$15,0)):OFFSET($M$15,-2,MATCH(I39,$M$15:$IB$15,0)-1)))),"")</f>
        <v/>
      </c>
      <c r="K39" s="33" t="str">
        <f t="shared" ca="1" si="10"/>
        <v/>
      </c>
      <c r="L39" s="33" t="str">
        <f t="shared" ca="1" si="11"/>
        <v/>
      </c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32"/>
      <c r="EY39" s="32"/>
      <c r="EZ39" s="32"/>
      <c r="FA39" s="32"/>
      <c r="FB39" s="32"/>
      <c r="FC39" s="32"/>
      <c r="FD39" s="32"/>
      <c r="FE39" s="32"/>
      <c r="FF39" s="32"/>
      <c r="FG39" s="32"/>
      <c r="FH39" s="32"/>
      <c r="FI39" s="32"/>
      <c r="FJ39" s="32"/>
      <c r="FK39" s="32"/>
      <c r="FL39" s="32"/>
      <c r="FM39" s="32"/>
      <c r="FN39" s="32"/>
      <c r="FO39" s="32"/>
      <c r="FP39" s="32"/>
      <c r="FQ39" s="32"/>
      <c r="FR39" s="32"/>
      <c r="FS39" s="32"/>
      <c r="FT39" s="32"/>
      <c r="FU39" s="32"/>
      <c r="FV39" s="32"/>
      <c r="FW39" s="32"/>
      <c r="FX39" s="32"/>
      <c r="FY39" s="32"/>
      <c r="FZ39" s="32"/>
      <c r="GA39" s="32"/>
      <c r="GB39" s="32"/>
      <c r="GC39" s="32"/>
      <c r="GD39" s="32"/>
      <c r="GE39" s="32"/>
      <c r="GF39" s="32"/>
      <c r="GG39" s="32"/>
      <c r="GH39" s="32"/>
      <c r="GI39" s="32"/>
      <c r="GJ39" s="32"/>
      <c r="GK39" s="32"/>
      <c r="GL39" s="32"/>
      <c r="GM39" s="32"/>
      <c r="GN39" s="32"/>
      <c r="GO39" s="32"/>
      <c r="GP39" s="32"/>
      <c r="GQ39" s="32"/>
      <c r="GR39" s="32"/>
      <c r="GS39" s="32"/>
      <c r="GT39" s="32"/>
      <c r="GU39" s="32"/>
      <c r="GV39" s="32"/>
      <c r="GW39" s="32"/>
      <c r="GX39" s="32"/>
      <c r="GY39" s="32"/>
      <c r="GZ39" s="32"/>
      <c r="HA39" s="32"/>
      <c r="HB39" s="32"/>
      <c r="HC39" s="32"/>
      <c r="HD39" s="32"/>
      <c r="HE39" s="32"/>
      <c r="HF39" s="32"/>
      <c r="HG39" s="32"/>
      <c r="HH39" s="32"/>
      <c r="HI39" s="32"/>
      <c r="HJ39" s="32"/>
      <c r="HK39" s="32"/>
      <c r="HL39" s="32"/>
      <c r="HM39" s="32"/>
      <c r="HN39" s="32"/>
      <c r="HO39" s="32"/>
      <c r="HP39" s="32"/>
      <c r="HQ39" s="32"/>
      <c r="HR39" s="32"/>
      <c r="HS39" s="32"/>
      <c r="HT39" s="32"/>
      <c r="HU39" s="32"/>
      <c r="HV39" s="32"/>
      <c r="HW39" s="32"/>
      <c r="HX39" s="32"/>
      <c r="HY39" s="32"/>
      <c r="HZ39" s="32"/>
      <c r="IA39" s="32"/>
      <c r="IB39" s="32"/>
      <c r="IC39" s="23"/>
    </row>
    <row r="40" spans="2:237" ht="15" customHeight="1" x14ac:dyDescent="0.2">
      <c r="B40" s="16"/>
      <c r="C40" s="39"/>
      <c r="D40" s="39"/>
      <c r="E40" s="39"/>
      <c r="F40" s="39"/>
      <c r="G40" s="39"/>
      <c r="H40" s="17"/>
      <c r="I40" s="17"/>
      <c r="J40" s="33" t="str">
        <f ca="1">IF(AND(H40&lt;&gt;"",I40&lt;&gt;""),IF($F$8=1,NETWORKDAYS(H40,I40),IF($F$8=3,I40-H40+1,NETWORKDAYS(H40,I40)+SUM(OFFSET($M$15,-2,MATCH(H40,$M$15:$IB$15,0)):OFFSET($M$15,-2,MATCH(I40,$M$15:$IB$15,0)-1)))),"")</f>
        <v/>
      </c>
      <c r="K40" s="33" t="str">
        <f t="shared" ca="1" si="10"/>
        <v/>
      </c>
      <c r="L40" s="33" t="str">
        <f t="shared" ca="1" si="11"/>
        <v/>
      </c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32"/>
      <c r="GR40" s="32"/>
      <c r="GS40" s="32"/>
      <c r="GT40" s="32"/>
      <c r="GU40" s="32"/>
      <c r="GV40" s="32"/>
      <c r="GW40" s="32"/>
      <c r="GX40" s="32"/>
      <c r="GY40" s="32"/>
      <c r="GZ40" s="32"/>
      <c r="HA40" s="32"/>
      <c r="HB40" s="32"/>
      <c r="HC40" s="32"/>
      <c r="HD40" s="32"/>
      <c r="HE40" s="32"/>
      <c r="HF40" s="32"/>
      <c r="HG40" s="32"/>
      <c r="HH40" s="32"/>
      <c r="HI40" s="32"/>
      <c r="HJ40" s="32"/>
      <c r="HK40" s="32"/>
      <c r="HL40" s="32"/>
      <c r="HM40" s="32"/>
      <c r="HN40" s="32"/>
      <c r="HO40" s="32"/>
      <c r="HP40" s="32"/>
      <c r="HQ40" s="32"/>
      <c r="HR40" s="32"/>
      <c r="HS40" s="32"/>
      <c r="HT40" s="32"/>
      <c r="HU40" s="32"/>
      <c r="HV40" s="32"/>
      <c r="HW40" s="32"/>
      <c r="HX40" s="32"/>
      <c r="HY40" s="32"/>
      <c r="HZ40" s="32"/>
      <c r="IA40" s="32"/>
      <c r="IB40" s="32"/>
      <c r="IC40" s="23"/>
    </row>
    <row r="41" spans="2:237" ht="15" customHeight="1" x14ac:dyDescent="0.2">
      <c r="B41" s="16"/>
      <c r="C41" s="39"/>
      <c r="D41" s="39"/>
      <c r="E41" s="39"/>
      <c r="F41" s="39"/>
      <c r="G41" s="39"/>
      <c r="H41" s="17"/>
      <c r="I41" s="17"/>
      <c r="J41" s="33" t="str">
        <f ca="1">IF(AND(H41&lt;&gt;"",I41&lt;&gt;""),IF($F$8=1,NETWORKDAYS(H41,I41),IF($F$8=3,I41-H41+1,NETWORKDAYS(H41,I41)+SUM(OFFSET($M$15,-2,MATCH(H41,$M$15:$IB$15,0)):OFFSET($M$15,-2,MATCH(I41,$M$15:$IB$15,0)-1)))),"")</f>
        <v/>
      </c>
      <c r="K41" s="33" t="str">
        <f t="shared" ca="1" si="10"/>
        <v/>
      </c>
      <c r="L41" s="33" t="str">
        <f t="shared" ca="1" si="11"/>
        <v/>
      </c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  <c r="GH41" s="32"/>
      <c r="GI41" s="32"/>
      <c r="GJ41" s="32"/>
      <c r="GK41" s="32"/>
      <c r="GL41" s="32"/>
      <c r="GM41" s="32"/>
      <c r="GN41" s="32"/>
      <c r="GO41" s="32"/>
      <c r="GP41" s="32"/>
      <c r="GQ41" s="32"/>
      <c r="GR41" s="32"/>
      <c r="GS41" s="32"/>
      <c r="GT41" s="32"/>
      <c r="GU41" s="32"/>
      <c r="GV41" s="32"/>
      <c r="GW41" s="32"/>
      <c r="GX41" s="32"/>
      <c r="GY41" s="32"/>
      <c r="GZ41" s="32"/>
      <c r="HA41" s="32"/>
      <c r="HB41" s="32"/>
      <c r="HC41" s="32"/>
      <c r="HD41" s="32"/>
      <c r="HE41" s="32"/>
      <c r="HF41" s="32"/>
      <c r="HG41" s="32"/>
      <c r="HH41" s="32"/>
      <c r="HI41" s="32"/>
      <c r="HJ41" s="32"/>
      <c r="HK41" s="32"/>
      <c r="HL41" s="32"/>
      <c r="HM41" s="32"/>
      <c r="HN41" s="32"/>
      <c r="HO41" s="32"/>
      <c r="HP41" s="32"/>
      <c r="HQ41" s="32"/>
      <c r="HR41" s="32"/>
      <c r="HS41" s="32"/>
      <c r="HT41" s="32"/>
      <c r="HU41" s="32"/>
      <c r="HV41" s="32"/>
      <c r="HW41" s="32"/>
      <c r="HX41" s="32"/>
      <c r="HY41" s="32"/>
      <c r="HZ41" s="32"/>
      <c r="IA41" s="32"/>
      <c r="IB41" s="32"/>
      <c r="IC41" s="23"/>
    </row>
    <row r="42" spans="2:237" ht="15" customHeight="1" x14ac:dyDescent="0.2">
      <c r="B42" s="16"/>
      <c r="C42" s="39"/>
      <c r="D42" s="39"/>
      <c r="E42" s="39"/>
      <c r="F42" s="39"/>
      <c r="G42" s="39"/>
      <c r="H42" s="17"/>
      <c r="I42" s="17"/>
      <c r="J42" s="33" t="str">
        <f ca="1">IF(AND(H42&lt;&gt;"",I42&lt;&gt;""),IF($F$8=1,NETWORKDAYS(H42,I42),IF($F$8=3,I42-H42+1,NETWORKDAYS(H42,I42)+SUM(OFFSET($M$15,-2,MATCH(H42,$M$15:$IB$15,0)):OFFSET($M$15,-2,MATCH(I42,$M$15:$IB$15,0)-1)))),"")</f>
        <v/>
      </c>
      <c r="K42" s="33" t="str">
        <f t="shared" ca="1" si="10"/>
        <v/>
      </c>
      <c r="L42" s="33" t="str">
        <f t="shared" ca="1" si="11"/>
        <v/>
      </c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  <c r="EW42" s="32"/>
      <c r="EX42" s="32"/>
      <c r="EY42" s="32"/>
      <c r="EZ42" s="32"/>
      <c r="FA42" s="32"/>
      <c r="FB42" s="32"/>
      <c r="FC42" s="32"/>
      <c r="FD42" s="32"/>
      <c r="FE42" s="32"/>
      <c r="FF42" s="32"/>
      <c r="FG42" s="32"/>
      <c r="FH42" s="32"/>
      <c r="FI42" s="32"/>
      <c r="FJ42" s="32"/>
      <c r="FK42" s="32"/>
      <c r="FL42" s="32"/>
      <c r="FM42" s="32"/>
      <c r="FN42" s="32"/>
      <c r="FO42" s="32"/>
      <c r="FP42" s="32"/>
      <c r="FQ42" s="32"/>
      <c r="FR42" s="32"/>
      <c r="FS42" s="32"/>
      <c r="FT42" s="32"/>
      <c r="FU42" s="32"/>
      <c r="FV42" s="32"/>
      <c r="FW42" s="32"/>
      <c r="FX42" s="32"/>
      <c r="FY42" s="32"/>
      <c r="FZ42" s="32"/>
      <c r="GA42" s="32"/>
      <c r="GB42" s="32"/>
      <c r="GC42" s="32"/>
      <c r="GD42" s="32"/>
      <c r="GE42" s="32"/>
      <c r="GF42" s="32"/>
      <c r="GG42" s="32"/>
      <c r="GH42" s="32"/>
      <c r="GI42" s="32"/>
      <c r="GJ42" s="32"/>
      <c r="GK42" s="32"/>
      <c r="GL42" s="32"/>
      <c r="GM42" s="32"/>
      <c r="GN42" s="32"/>
      <c r="GO42" s="32"/>
      <c r="GP42" s="32"/>
      <c r="GQ42" s="32"/>
      <c r="GR42" s="32"/>
      <c r="GS42" s="32"/>
      <c r="GT42" s="32"/>
      <c r="GU42" s="32"/>
      <c r="GV42" s="32"/>
      <c r="GW42" s="32"/>
      <c r="GX42" s="32"/>
      <c r="GY42" s="32"/>
      <c r="GZ42" s="32"/>
      <c r="HA42" s="32"/>
      <c r="HB42" s="32"/>
      <c r="HC42" s="32"/>
      <c r="HD42" s="32"/>
      <c r="HE42" s="32"/>
      <c r="HF42" s="32"/>
      <c r="HG42" s="32"/>
      <c r="HH42" s="32"/>
      <c r="HI42" s="32"/>
      <c r="HJ42" s="32"/>
      <c r="HK42" s="32"/>
      <c r="HL42" s="32"/>
      <c r="HM42" s="32"/>
      <c r="HN42" s="32"/>
      <c r="HO42" s="32"/>
      <c r="HP42" s="32"/>
      <c r="HQ42" s="32"/>
      <c r="HR42" s="32"/>
      <c r="HS42" s="32"/>
      <c r="HT42" s="32"/>
      <c r="HU42" s="32"/>
      <c r="HV42" s="32"/>
      <c r="HW42" s="32"/>
      <c r="HX42" s="32"/>
      <c r="HY42" s="32"/>
      <c r="HZ42" s="32"/>
      <c r="IA42" s="32"/>
      <c r="IB42" s="32"/>
      <c r="IC42" s="23"/>
    </row>
    <row r="43" spans="2:237" ht="15" customHeight="1" x14ac:dyDescent="0.2">
      <c r="B43" s="16"/>
      <c r="C43" s="39"/>
      <c r="D43" s="39"/>
      <c r="E43" s="39"/>
      <c r="F43" s="39"/>
      <c r="G43" s="39"/>
      <c r="H43" s="17"/>
      <c r="I43" s="17"/>
      <c r="J43" s="33" t="str">
        <f ca="1">IF(AND(H43&lt;&gt;"",I43&lt;&gt;""),IF($F$8=1,NETWORKDAYS(H43,I43),IF($F$8=3,I43-H43+1,NETWORKDAYS(H43,I43)+SUM(OFFSET($M$15,-2,MATCH(H43,$M$15:$IB$15,0)):OFFSET($M$15,-2,MATCH(I43,$M$15:$IB$15,0)-1)))),"")</f>
        <v/>
      </c>
      <c r="K43" s="33" t="str">
        <f t="shared" ca="1" si="10"/>
        <v/>
      </c>
      <c r="L43" s="33" t="str">
        <f t="shared" ca="1" si="11"/>
        <v/>
      </c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/>
      <c r="FE43" s="32"/>
      <c r="FF43" s="32"/>
      <c r="FG43" s="32"/>
      <c r="FH43" s="32"/>
      <c r="FI43" s="32"/>
      <c r="FJ43" s="32"/>
      <c r="FK43" s="32"/>
      <c r="FL43" s="32"/>
      <c r="FM43" s="32"/>
      <c r="FN43" s="32"/>
      <c r="FO43" s="32"/>
      <c r="FP43" s="32"/>
      <c r="FQ43" s="32"/>
      <c r="FR43" s="32"/>
      <c r="FS43" s="32"/>
      <c r="FT43" s="32"/>
      <c r="FU43" s="32"/>
      <c r="FV43" s="32"/>
      <c r="FW43" s="32"/>
      <c r="FX43" s="32"/>
      <c r="FY43" s="32"/>
      <c r="FZ43" s="32"/>
      <c r="GA43" s="32"/>
      <c r="GB43" s="32"/>
      <c r="GC43" s="32"/>
      <c r="GD43" s="32"/>
      <c r="GE43" s="32"/>
      <c r="GF43" s="32"/>
      <c r="GG43" s="32"/>
      <c r="GH43" s="32"/>
      <c r="GI43" s="32"/>
      <c r="GJ43" s="32"/>
      <c r="GK43" s="32"/>
      <c r="GL43" s="32"/>
      <c r="GM43" s="32"/>
      <c r="GN43" s="32"/>
      <c r="GO43" s="32"/>
      <c r="GP43" s="32"/>
      <c r="GQ43" s="32"/>
      <c r="GR43" s="32"/>
      <c r="GS43" s="32"/>
      <c r="GT43" s="32"/>
      <c r="GU43" s="32"/>
      <c r="GV43" s="32"/>
      <c r="GW43" s="32"/>
      <c r="GX43" s="32"/>
      <c r="GY43" s="32"/>
      <c r="GZ43" s="32"/>
      <c r="HA43" s="32"/>
      <c r="HB43" s="32"/>
      <c r="HC43" s="32"/>
      <c r="HD43" s="32"/>
      <c r="HE43" s="32"/>
      <c r="HF43" s="32"/>
      <c r="HG43" s="32"/>
      <c r="HH43" s="32"/>
      <c r="HI43" s="32"/>
      <c r="HJ43" s="32"/>
      <c r="HK43" s="32"/>
      <c r="HL43" s="32"/>
      <c r="HM43" s="32"/>
      <c r="HN43" s="32"/>
      <c r="HO43" s="32"/>
      <c r="HP43" s="32"/>
      <c r="HQ43" s="32"/>
      <c r="HR43" s="32"/>
      <c r="HS43" s="32"/>
      <c r="HT43" s="32"/>
      <c r="HU43" s="32"/>
      <c r="HV43" s="32"/>
      <c r="HW43" s="32"/>
      <c r="HX43" s="32"/>
      <c r="HY43" s="32"/>
      <c r="HZ43" s="32"/>
      <c r="IA43" s="32"/>
      <c r="IB43" s="32"/>
      <c r="IC43" s="23"/>
    </row>
    <row r="44" spans="2:237" ht="15" customHeight="1" x14ac:dyDescent="0.2">
      <c r="B44" s="16"/>
      <c r="C44" s="39"/>
      <c r="D44" s="39"/>
      <c r="E44" s="39"/>
      <c r="F44" s="39"/>
      <c r="G44" s="39"/>
      <c r="H44" s="17"/>
      <c r="I44" s="17"/>
      <c r="J44" s="33" t="str">
        <f ca="1">IF(AND(H44&lt;&gt;"",I44&lt;&gt;""),IF($F$8=1,NETWORKDAYS(H44,I44),IF($F$8=3,I44-H44+1,NETWORKDAYS(H44,I44)+SUM(OFFSET($M$15,-2,MATCH(H44,$M$15:$IB$15,0)):OFFSET($M$15,-2,MATCH(I44,$M$15:$IB$15,0)-1)))),"")</f>
        <v/>
      </c>
      <c r="K44" s="33" t="str">
        <f t="shared" ca="1" si="10"/>
        <v/>
      </c>
      <c r="L44" s="33" t="str">
        <f t="shared" ca="1" si="11"/>
        <v/>
      </c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2"/>
      <c r="GH44" s="32"/>
      <c r="GI44" s="32"/>
      <c r="GJ44" s="32"/>
      <c r="GK44" s="32"/>
      <c r="GL44" s="32"/>
      <c r="GM44" s="32"/>
      <c r="GN44" s="32"/>
      <c r="GO44" s="32"/>
      <c r="GP44" s="32"/>
      <c r="GQ44" s="32"/>
      <c r="GR44" s="32"/>
      <c r="GS44" s="32"/>
      <c r="GT44" s="32"/>
      <c r="GU44" s="32"/>
      <c r="GV44" s="32"/>
      <c r="GW44" s="32"/>
      <c r="GX44" s="32"/>
      <c r="GY44" s="32"/>
      <c r="GZ44" s="32"/>
      <c r="HA44" s="32"/>
      <c r="HB44" s="32"/>
      <c r="HC44" s="32"/>
      <c r="HD44" s="32"/>
      <c r="HE44" s="32"/>
      <c r="HF44" s="32"/>
      <c r="HG44" s="32"/>
      <c r="HH44" s="32"/>
      <c r="HI44" s="32"/>
      <c r="HJ44" s="32"/>
      <c r="HK44" s="32"/>
      <c r="HL44" s="32"/>
      <c r="HM44" s="32"/>
      <c r="HN44" s="32"/>
      <c r="HO44" s="32"/>
      <c r="HP44" s="32"/>
      <c r="HQ44" s="32"/>
      <c r="HR44" s="32"/>
      <c r="HS44" s="32"/>
      <c r="HT44" s="32"/>
      <c r="HU44" s="32"/>
      <c r="HV44" s="32"/>
      <c r="HW44" s="32"/>
      <c r="HX44" s="32"/>
      <c r="HY44" s="32"/>
      <c r="HZ44" s="32"/>
      <c r="IA44" s="32"/>
      <c r="IB44" s="32"/>
      <c r="IC44" s="23"/>
    </row>
    <row r="45" spans="2:237" ht="15" customHeight="1" x14ac:dyDescent="0.2">
      <c r="B45" s="16"/>
      <c r="C45" s="39"/>
      <c r="D45" s="39"/>
      <c r="E45" s="39"/>
      <c r="F45" s="39"/>
      <c r="G45" s="39"/>
      <c r="H45" s="17"/>
      <c r="I45" s="17"/>
      <c r="J45" s="33" t="str">
        <f ca="1">IF(AND(H45&lt;&gt;"",I45&lt;&gt;""),IF($F$8=1,NETWORKDAYS(H45,I45),IF($F$8=3,I45-H45+1,NETWORKDAYS(H45,I45)+SUM(OFFSET($M$15,-2,MATCH(H45,$M$15:$IB$15,0)):OFFSET($M$15,-2,MATCH(I45,$M$15:$IB$15,0)-1)))),"")</f>
        <v/>
      </c>
      <c r="K45" s="33" t="str">
        <f t="shared" ca="1" si="10"/>
        <v/>
      </c>
      <c r="L45" s="33" t="str">
        <f t="shared" ca="1" si="11"/>
        <v/>
      </c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  <c r="EW45" s="32"/>
      <c r="EX45" s="32"/>
      <c r="EY45" s="32"/>
      <c r="EZ45" s="32"/>
      <c r="FA45" s="32"/>
      <c r="FB45" s="32"/>
      <c r="FC45" s="32"/>
      <c r="FD45" s="32"/>
      <c r="FE45" s="32"/>
      <c r="FF45" s="32"/>
      <c r="FG45" s="32"/>
      <c r="FH45" s="32"/>
      <c r="FI45" s="32"/>
      <c r="FJ45" s="32"/>
      <c r="FK45" s="32"/>
      <c r="FL45" s="32"/>
      <c r="FM45" s="32"/>
      <c r="FN45" s="32"/>
      <c r="FO45" s="32"/>
      <c r="FP45" s="32"/>
      <c r="FQ45" s="32"/>
      <c r="FR45" s="32"/>
      <c r="FS45" s="32"/>
      <c r="FT45" s="32"/>
      <c r="FU45" s="32"/>
      <c r="FV45" s="32"/>
      <c r="FW45" s="32"/>
      <c r="FX45" s="32"/>
      <c r="FY45" s="32"/>
      <c r="FZ45" s="32"/>
      <c r="GA45" s="32"/>
      <c r="GB45" s="32"/>
      <c r="GC45" s="32"/>
      <c r="GD45" s="32"/>
      <c r="GE45" s="32"/>
      <c r="GF45" s="32"/>
      <c r="GG45" s="32"/>
      <c r="GH45" s="32"/>
      <c r="GI45" s="32"/>
      <c r="GJ45" s="32"/>
      <c r="GK45" s="32"/>
      <c r="GL45" s="32"/>
      <c r="GM45" s="32"/>
      <c r="GN45" s="32"/>
      <c r="GO45" s="32"/>
      <c r="GP45" s="32"/>
      <c r="GQ45" s="32"/>
      <c r="GR45" s="32"/>
      <c r="GS45" s="32"/>
      <c r="GT45" s="32"/>
      <c r="GU45" s="32"/>
      <c r="GV45" s="32"/>
      <c r="GW45" s="32"/>
      <c r="GX45" s="32"/>
      <c r="GY45" s="32"/>
      <c r="GZ45" s="32"/>
      <c r="HA45" s="32"/>
      <c r="HB45" s="32"/>
      <c r="HC45" s="32"/>
      <c r="HD45" s="32"/>
      <c r="HE45" s="32"/>
      <c r="HF45" s="32"/>
      <c r="HG45" s="32"/>
      <c r="HH45" s="32"/>
      <c r="HI45" s="32"/>
      <c r="HJ45" s="32"/>
      <c r="HK45" s="32"/>
      <c r="HL45" s="32"/>
      <c r="HM45" s="32"/>
      <c r="HN45" s="32"/>
      <c r="HO45" s="32"/>
      <c r="HP45" s="32"/>
      <c r="HQ45" s="32"/>
      <c r="HR45" s="32"/>
      <c r="HS45" s="32"/>
      <c r="HT45" s="32"/>
      <c r="HU45" s="32"/>
      <c r="HV45" s="32"/>
      <c r="HW45" s="32"/>
      <c r="HX45" s="32"/>
      <c r="HY45" s="32"/>
      <c r="HZ45" s="32"/>
      <c r="IA45" s="32"/>
      <c r="IB45" s="32"/>
      <c r="IC45" s="23"/>
    </row>
    <row r="46" spans="2:237" ht="15" customHeight="1" x14ac:dyDescent="0.2">
      <c r="B46" s="16"/>
      <c r="C46" s="39"/>
      <c r="D46" s="39"/>
      <c r="E46" s="39"/>
      <c r="F46" s="39"/>
      <c r="G46" s="39"/>
      <c r="H46" s="17"/>
      <c r="I46" s="17"/>
      <c r="J46" s="33" t="str">
        <f ca="1">IF(AND(H46&lt;&gt;"",I46&lt;&gt;""),IF($F$8=1,NETWORKDAYS(H46,I46),IF($F$8=3,I46-H46+1,NETWORKDAYS(H46,I46)+SUM(OFFSET($M$15,-2,MATCH(H46,$M$15:$IB$15,0)):OFFSET($M$15,-2,MATCH(I46,$M$15:$IB$15,0)-1)))),"")</f>
        <v/>
      </c>
      <c r="K46" s="33" t="str">
        <f t="shared" ca="1" si="10"/>
        <v/>
      </c>
      <c r="L46" s="33" t="str">
        <f t="shared" ca="1" si="11"/>
        <v/>
      </c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  <c r="FC46" s="32"/>
      <c r="FD46" s="32"/>
      <c r="FE46" s="32"/>
      <c r="FF46" s="32"/>
      <c r="FG46" s="32"/>
      <c r="FH46" s="32"/>
      <c r="FI46" s="32"/>
      <c r="FJ46" s="32"/>
      <c r="FK46" s="32"/>
      <c r="FL46" s="32"/>
      <c r="FM46" s="32"/>
      <c r="FN46" s="32"/>
      <c r="FO46" s="32"/>
      <c r="FP46" s="32"/>
      <c r="FQ46" s="32"/>
      <c r="FR46" s="32"/>
      <c r="FS46" s="32"/>
      <c r="FT46" s="32"/>
      <c r="FU46" s="32"/>
      <c r="FV46" s="32"/>
      <c r="FW46" s="32"/>
      <c r="FX46" s="32"/>
      <c r="FY46" s="32"/>
      <c r="FZ46" s="32"/>
      <c r="GA46" s="32"/>
      <c r="GB46" s="32"/>
      <c r="GC46" s="32"/>
      <c r="GD46" s="32"/>
      <c r="GE46" s="32"/>
      <c r="GF46" s="32"/>
      <c r="GG46" s="32"/>
      <c r="GH46" s="32"/>
      <c r="GI46" s="32"/>
      <c r="GJ46" s="32"/>
      <c r="GK46" s="32"/>
      <c r="GL46" s="32"/>
      <c r="GM46" s="32"/>
      <c r="GN46" s="32"/>
      <c r="GO46" s="32"/>
      <c r="GP46" s="32"/>
      <c r="GQ46" s="32"/>
      <c r="GR46" s="32"/>
      <c r="GS46" s="32"/>
      <c r="GT46" s="32"/>
      <c r="GU46" s="32"/>
      <c r="GV46" s="32"/>
      <c r="GW46" s="32"/>
      <c r="GX46" s="32"/>
      <c r="GY46" s="32"/>
      <c r="GZ46" s="32"/>
      <c r="HA46" s="32"/>
      <c r="HB46" s="32"/>
      <c r="HC46" s="32"/>
      <c r="HD46" s="32"/>
      <c r="HE46" s="32"/>
      <c r="HF46" s="32"/>
      <c r="HG46" s="32"/>
      <c r="HH46" s="32"/>
      <c r="HI46" s="32"/>
      <c r="HJ46" s="32"/>
      <c r="HK46" s="32"/>
      <c r="HL46" s="32"/>
      <c r="HM46" s="32"/>
      <c r="HN46" s="32"/>
      <c r="HO46" s="32"/>
      <c r="HP46" s="32"/>
      <c r="HQ46" s="32"/>
      <c r="HR46" s="32"/>
      <c r="HS46" s="32"/>
      <c r="HT46" s="32"/>
      <c r="HU46" s="32"/>
      <c r="HV46" s="32"/>
      <c r="HW46" s="32"/>
      <c r="HX46" s="32"/>
      <c r="HY46" s="32"/>
      <c r="HZ46" s="32"/>
      <c r="IA46" s="32"/>
      <c r="IB46" s="32"/>
      <c r="IC46" s="23"/>
    </row>
    <row r="47" spans="2:237" ht="15" customHeight="1" x14ac:dyDescent="0.2">
      <c r="B47" s="16"/>
      <c r="C47" s="39"/>
      <c r="D47" s="39"/>
      <c r="E47" s="39"/>
      <c r="F47" s="39"/>
      <c r="G47" s="39"/>
      <c r="H47" s="17"/>
      <c r="I47" s="17"/>
      <c r="J47" s="33" t="str">
        <f ca="1">IF(AND(H47&lt;&gt;"",I47&lt;&gt;""),IF($F$8=1,NETWORKDAYS(H47,I47),IF($F$8=3,I47-H47+1,NETWORKDAYS(H47,I47)+SUM(OFFSET($M$15,-2,MATCH(H47,$M$15:$IB$15,0)):OFFSET($M$15,-2,MATCH(I47,$M$15:$IB$15,0)-1)))),"")</f>
        <v/>
      </c>
      <c r="K47" s="33" t="str">
        <f t="shared" ca="1" si="10"/>
        <v/>
      </c>
      <c r="L47" s="33" t="str">
        <f t="shared" ca="1" si="11"/>
        <v/>
      </c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  <c r="EW47" s="32"/>
      <c r="EX47" s="32"/>
      <c r="EY47" s="32"/>
      <c r="EZ47" s="32"/>
      <c r="FA47" s="32"/>
      <c r="FB47" s="32"/>
      <c r="FC47" s="32"/>
      <c r="FD47" s="32"/>
      <c r="FE47" s="32"/>
      <c r="FF47" s="32"/>
      <c r="FG47" s="32"/>
      <c r="FH47" s="32"/>
      <c r="FI47" s="32"/>
      <c r="FJ47" s="32"/>
      <c r="FK47" s="32"/>
      <c r="FL47" s="32"/>
      <c r="FM47" s="32"/>
      <c r="FN47" s="32"/>
      <c r="FO47" s="32"/>
      <c r="FP47" s="32"/>
      <c r="FQ47" s="32"/>
      <c r="FR47" s="32"/>
      <c r="FS47" s="32"/>
      <c r="FT47" s="32"/>
      <c r="FU47" s="32"/>
      <c r="FV47" s="32"/>
      <c r="FW47" s="32"/>
      <c r="FX47" s="32"/>
      <c r="FY47" s="32"/>
      <c r="FZ47" s="32"/>
      <c r="GA47" s="32"/>
      <c r="GB47" s="32"/>
      <c r="GC47" s="32"/>
      <c r="GD47" s="32"/>
      <c r="GE47" s="32"/>
      <c r="GF47" s="32"/>
      <c r="GG47" s="32"/>
      <c r="GH47" s="32"/>
      <c r="GI47" s="32"/>
      <c r="GJ47" s="32"/>
      <c r="GK47" s="32"/>
      <c r="GL47" s="32"/>
      <c r="GM47" s="32"/>
      <c r="GN47" s="32"/>
      <c r="GO47" s="32"/>
      <c r="GP47" s="32"/>
      <c r="GQ47" s="32"/>
      <c r="GR47" s="32"/>
      <c r="GS47" s="32"/>
      <c r="GT47" s="32"/>
      <c r="GU47" s="32"/>
      <c r="GV47" s="32"/>
      <c r="GW47" s="32"/>
      <c r="GX47" s="32"/>
      <c r="GY47" s="32"/>
      <c r="GZ47" s="32"/>
      <c r="HA47" s="32"/>
      <c r="HB47" s="32"/>
      <c r="HC47" s="32"/>
      <c r="HD47" s="32"/>
      <c r="HE47" s="32"/>
      <c r="HF47" s="32"/>
      <c r="HG47" s="32"/>
      <c r="HH47" s="32"/>
      <c r="HI47" s="32"/>
      <c r="HJ47" s="32"/>
      <c r="HK47" s="32"/>
      <c r="HL47" s="32"/>
      <c r="HM47" s="32"/>
      <c r="HN47" s="32"/>
      <c r="HO47" s="32"/>
      <c r="HP47" s="32"/>
      <c r="HQ47" s="32"/>
      <c r="HR47" s="32"/>
      <c r="HS47" s="32"/>
      <c r="HT47" s="32"/>
      <c r="HU47" s="32"/>
      <c r="HV47" s="32"/>
      <c r="HW47" s="32"/>
      <c r="HX47" s="32"/>
      <c r="HY47" s="32"/>
      <c r="HZ47" s="32"/>
      <c r="IA47" s="32"/>
      <c r="IB47" s="32"/>
      <c r="IC47" s="23"/>
    </row>
    <row r="48" spans="2:237" ht="15" customHeight="1" x14ac:dyDescent="0.2">
      <c r="B48" s="16"/>
      <c r="C48" s="39"/>
      <c r="D48" s="39"/>
      <c r="E48" s="39"/>
      <c r="F48" s="39"/>
      <c r="G48" s="39"/>
      <c r="H48" s="17"/>
      <c r="I48" s="17"/>
      <c r="J48" s="33" t="str">
        <f ca="1">IF(AND(H48&lt;&gt;"",I48&lt;&gt;""),IF($F$8=1,NETWORKDAYS(H48,I48),IF($F$8=3,I48-H48+1,NETWORKDAYS(H48,I48)+SUM(OFFSET($M$15,-2,MATCH(H48,$M$15:$IB$15,0)):OFFSET($M$15,-2,MATCH(I48,$M$15:$IB$15,0)-1)))),"")</f>
        <v/>
      </c>
      <c r="K48" s="33" t="str">
        <f t="shared" ca="1" si="10"/>
        <v/>
      </c>
      <c r="L48" s="33" t="str">
        <f t="shared" ca="1" si="11"/>
        <v/>
      </c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  <c r="EW48" s="32"/>
      <c r="EX48" s="32"/>
      <c r="EY48" s="32"/>
      <c r="EZ48" s="32"/>
      <c r="FA48" s="32"/>
      <c r="FB48" s="32"/>
      <c r="FC48" s="32"/>
      <c r="FD48" s="32"/>
      <c r="FE48" s="32"/>
      <c r="FF48" s="32"/>
      <c r="FG48" s="32"/>
      <c r="FH48" s="32"/>
      <c r="FI48" s="32"/>
      <c r="FJ48" s="32"/>
      <c r="FK48" s="32"/>
      <c r="FL48" s="32"/>
      <c r="FM48" s="32"/>
      <c r="FN48" s="32"/>
      <c r="FO48" s="32"/>
      <c r="FP48" s="32"/>
      <c r="FQ48" s="32"/>
      <c r="FR48" s="32"/>
      <c r="FS48" s="32"/>
      <c r="FT48" s="32"/>
      <c r="FU48" s="32"/>
      <c r="FV48" s="32"/>
      <c r="FW48" s="32"/>
      <c r="FX48" s="32"/>
      <c r="FY48" s="32"/>
      <c r="FZ48" s="32"/>
      <c r="GA48" s="32"/>
      <c r="GB48" s="32"/>
      <c r="GC48" s="32"/>
      <c r="GD48" s="32"/>
      <c r="GE48" s="32"/>
      <c r="GF48" s="32"/>
      <c r="GG48" s="32"/>
      <c r="GH48" s="32"/>
      <c r="GI48" s="32"/>
      <c r="GJ48" s="32"/>
      <c r="GK48" s="32"/>
      <c r="GL48" s="32"/>
      <c r="GM48" s="32"/>
      <c r="GN48" s="32"/>
      <c r="GO48" s="32"/>
      <c r="GP48" s="32"/>
      <c r="GQ48" s="32"/>
      <c r="GR48" s="32"/>
      <c r="GS48" s="32"/>
      <c r="GT48" s="32"/>
      <c r="GU48" s="32"/>
      <c r="GV48" s="32"/>
      <c r="GW48" s="32"/>
      <c r="GX48" s="32"/>
      <c r="GY48" s="32"/>
      <c r="GZ48" s="32"/>
      <c r="HA48" s="32"/>
      <c r="HB48" s="32"/>
      <c r="HC48" s="32"/>
      <c r="HD48" s="32"/>
      <c r="HE48" s="32"/>
      <c r="HF48" s="32"/>
      <c r="HG48" s="32"/>
      <c r="HH48" s="32"/>
      <c r="HI48" s="32"/>
      <c r="HJ48" s="32"/>
      <c r="HK48" s="32"/>
      <c r="HL48" s="32"/>
      <c r="HM48" s="32"/>
      <c r="HN48" s="32"/>
      <c r="HO48" s="32"/>
      <c r="HP48" s="32"/>
      <c r="HQ48" s="32"/>
      <c r="HR48" s="32"/>
      <c r="HS48" s="32"/>
      <c r="HT48" s="32"/>
      <c r="HU48" s="32"/>
      <c r="HV48" s="32"/>
      <c r="HW48" s="32"/>
      <c r="HX48" s="32"/>
      <c r="HY48" s="32"/>
      <c r="HZ48" s="32"/>
      <c r="IA48" s="32"/>
      <c r="IB48" s="32"/>
      <c r="IC48" s="23"/>
    </row>
    <row r="49" spans="2:237" ht="15" customHeight="1" x14ac:dyDescent="0.2">
      <c r="B49" s="16"/>
      <c r="C49" s="39"/>
      <c r="D49" s="39"/>
      <c r="E49" s="39"/>
      <c r="F49" s="39"/>
      <c r="G49" s="39"/>
      <c r="H49" s="17"/>
      <c r="I49" s="17"/>
      <c r="J49" s="33" t="str">
        <f ca="1">IF(AND(H49&lt;&gt;"",I49&lt;&gt;""),IF($F$8=1,NETWORKDAYS(H49,I49),IF($F$8=3,I49-H49+1,NETWORKDAYS(H49,I49)+SUM(OFFSET($M$15,-2,MATCH(H49,$M$15:$IB$15,0)):OFFSET($M$15,-2,MATCH(I49,$M$15:$IB$15,0)-1)))),"")</f>
        <v/>
      </c>
      <c r="K49" s="33" t="str">
        <f t="shared" ca="1" si="10"/>
        <v/>
      </c>
      <c r="L49" s="33" t="str">
        <f t="shared" ca="1" si="11"/>
        <v/>
      </c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  <c r="EW49" s="32"/>
      <c r="EX49" s="32"/>
      <c r="EY49" s="32"/>
      <c r="EZ49" s="32"/>
      <c r="FA49" s="32"/>
      <c r="FB49" s="32"/>
      <c r="FC49" s="32"/>
      <c r="FD49" s="32"/>
      <c r="FE49" s="32"/>
      <c r="FF49" s="32"/>
      <c r="FG49" s="32"/>
      <c r="FH49" s="32"/>
      <c r="FI49" s="32"/>
      <c r="FJ49" s="32"/>
      <c r="FK49" s="32"/>
      <c r="FL49" s="32"/>
      <c r="FM49" s="32"/>
      <c r="FN49" s="32"/>
      <c r="FO49" s="32"/>
      <c r="FP49" s="32"/>
      <c r="FQ49" s="32"/>
      <c r="FR49" s="32"/>
      <c r="FS49" s="32"/>
      <c r="FT49" s="32"/>
      <c r="FU49" s="32"/>
      <c r="FV49" s="32"/>
      <c r="FW49" s="32"/>
      <c r="FX49" s="32"/>
      <c r="FY49" s="32"/>
      <c r="FZ49" s="32"/>
      <c r="GA49" s="32"/>
      <c r="GB49" s="32"/>
      <c r="GC49" s="32"/>
      <c r="GD49" s="32"/>
      <c r="GE49" s="32"/>
      <c r="GF49" s="32"/>
      <c r="GG49" s="32"/>
      <c r="GH49" s="32"/>
      <c r="GI49" s="32"/>
      <c r="GJ49" s="32"/>
      <c r="GK49" s="32"/>
      <c r="GL49" s="32"/>
      <c r="GM49" s="32"/>
      <c r="GN49" s="32"/>
      <c r="GO49" s="32"/>
      <c r="GP49" s="32"/>
      <c r="GQ49" s="32"/>
      <c r="GR49" s="32"/>
      <c r="GS49" s="32"/>
      <c r="GT49" s="32"/>
      <c r="GU49" s="32"/>
      <c r="GV49" s="32"/>
      <c r="GW49" s="32"/>
      <c r="GX49" s="32"/>
      <c r="GY49" s="32"/>
      <c r="GZ49" s="32"/>
      <c r="HA49" s="32"/>
      <c r="HB49" s="32"/>
      <c r="HC49" s="32"/>
      <c r="HD49" s="32"/>
      <c r="HE49" s="32"/>
      <c r="HF49" s="32"/>
      <c r="HG49" s="32"/>
      <c r="HH49" s="32"/>
      <c r="HI49" s="32"/>
      <c r="HJ49" s="32"/>
      <c r="HK49" s="32"/>
      <c r="HL49" s="32"/>
      <c r="HM49" s="32"/>
      <c r="HN49" s="32"/>
      <c r="HO49" s="32"/>
      <c r="HP49" s="32"/>
      <c r="HQ49" s="32"/>
      <c r="HR49" s="32"/>
      <c r="HS49" s="32"/>
      <c r="HT49" s="32"/>
      <c r="HU49" s="32"/>
      <c r="HV49" s="32"/>
      <c r="HW49" s="32"/>
      <c r="HX49" s="32"/>
      <c r="HY49" s="32"/>
      <c r="HZ49" s="32"/>
      <c r="IA49" s="32"/>
      <c r="IB49" s="32"/>
      <c r="IC49" s="23"/>
    </row>
    <row r="50" spans="2:237" ht="15" customHeight="1" x14ac:dyDescent="0.2">
      <c r="B50" s="16"/>
      <c r="C50" s="39"/>
      <c r="D50" s="39"/>
      <c r="E50" s="39"/>
      <c r="F50" s="39"/>
      <c r="G50" s="39"/>
      <c r="H50" s="17"/>
      <c r="I50" s="17"/>
      <c r="J50" s="33" t="str">
        <f ca="1">IF(AND(H50&lt;&gt;"",I50&lt;&gt;""),IF($F$8=1,NETWORKDAYS(H50,I50),IF($F$8=3,I50-H50+1,NETWORKDAYS(H50,I50)+SUM(OFFSET($M$15,-2,MATCH(H50,$M$15:$IB$15,0)):OFFSET($M$15,-2,MATCH(I50,$M$15:$IB$15,0)-1)))),"")</f>
        <v/>
      </c>
      <c r="K50" s="33" t="str">
        <f t="shared" ca="1" si="10"/>
        <v/>
      </c>
      <c r="L50" s="33" t="str">
        <f t="shared" ca="1" si="11"/>
        <v/>
      </c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  <c r="EW50" s="32"/>
      <c r="EX50" s="32"/>
      <c r="EY50" s="32"/>
      <c r="EZ50" s="32"/>
      <c r="FA50" s="32"/>
      <c r="FB50" s="32"/>
      <c r="FC50" s="32"/>
      <c r="FD50" s="32"/>
      <c r="FE50" s="32"/>
      <c r="FF50" s="32"/>
      <c r="FG50" s="32"/>
      <c r="FH50" s="32"/>
      <c r="FI50" s="32"/>
      <c r="FJ50" s="32"/>
      <c r="FK50" s="32"/>
      <c r="FL50" s="32"/>
      <c r="FM50" s="32"/>
      <c r="FN50" s="32"/>
      <c r="FO50" s="32"/>
      <c r="FP50" s="32"/>
      <c r="FQ50" s="32"/>
      <c r="FR50" s="32"/>
      <c r="FS50" s="32"/>
      <c r="FT50" s="32"/>
      <c r="FU50" s="32"/>
      <c r="FV50" s="32"/>
      <c r="FW50" s="32"/>
      <c r="FX50" s="32"/>
      <c r="FY50" s="32"/>
      <c r="FZ50" s="32"/>
      <c r="GA50" s="32"/>
      <c r="GB50" s="32"/>
      <c r="GC50" s="32"/>
      <c r="GD50" s="32"/>
      <c r="GE50" s="32"/>
      <c r="GF50" s="32"/>
      <c r="GG50" s="32"/>
      <c r="GH50" s="32"/>
      <c r="GI50" s="32"/>
      <c r="GJ50" s="32"/>
      <c r="GK50" s="32"/>
      <c r="GL50" s="32"/>
      <c r="GM50" s="32"/>
      <c r="GN50" s="32"/>
      <c r="GO50" s="32"/>
      <c r="GP50" s="32"/>
      <c r="GQ50" s="32"/>
      <c r="GR50" s="32"/>
      <c r="GS50" s="32"/>
      <c r="GT50" s="32"/>
      <c r="GU50" s="32"/>
      <c r="GV50" s="32"/>
      <c r="GW50" s="32"/>
      <c r="GX50" s="32"/>
      <c r="GY50" s="32"/>
      <c r="GZ50" s="32"/>
      <c r="HA50" s="32"/>
      <c r="HB50" s="32"/>
      <c r="HC50" s="32"/>
      <c r="HD50" s="32"/>
      <c r="HE50" s="32"/>
      <c r="HF50" s="32"/>
      <c r="HG50" s="32"/>
      <c r="HH50" s="32"/>
      <c r="HI50" s="32"/>
      <c r="HJ50" s="32"/>
      <c r="HK50" s="32"/>
      <c r="HL50" s="32"/>
      <c r="HM50" s="32"/>
      <c r="HN50" s="32"/>
      <c r="HO50" s="32"/>
      <c r="HP50" s="32"/>
      <c r="HQ50" s="32"/>
      <c r="HR50" s="32"/>
      <c r="HS50" s="32"/>
      <c r="HT50" s="32"/>
      <c r="HU50" s="32"/>
      <c r="HV50" s="32"/>
      <c r="HW50" s="32"/>
      <c r="HX50" s="32"/>
      <c r="HY50" s="32"/>
      <c r="HZ50" s="32"/>
      <c r="IA50" s="32"/>
      <c r="IB50" s="32"/>
      <c r="IC50" s="23"/>
    </row>
    <row r="51" spans="2:237" ht="15" customHeight="1" x14ac:dyDescent="0.2">
      <c r="B51" s="16"/>
      <c r="C51" s="39"/>
      <c r="D51" s="39"/>
      <c r="E51" s="39"/>
      <c r="F51" s="39"/>
      <c r="G51" s="39"/>
      <c r="H51" s="17"/>
      <c r="I51" s="17"/>
      <c r="J51" s="33" t="str">
        <f ca="1">IF(AND(H51&lt;&gt;"",I51&lt;&gt;""),IF($F$8=1,NETWORKDAYS(H51,I51),IF($F$8=3,I51-H51+1,NETWORKDAYS(H51,I51)+SUM(OFFSET($M$15,-2,MATCH(H51,$M$15:$IB$15,0)):OFFSET($M$15,-2,MATCH(I51,$M$15:$IB$15,0)-1)))),"")</f>
        <v/>
      </c>
      <c r="K51" s="33" t="str">
        <f t="shared" ca="1" si="10"/>
        <v/>
      </c>
      <c r="L51" s="33" t="str">
        <f t="shared" ca="1" si="11"/>
        <v/>
      </c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  <c r="EW51" s="32"/>
      <c r="EX51" s="32"/>
      <c r="EY51" s="32"/>
      <c r="EZ51" s="32"/>
      <c r="FA51" s="32"/>
      <c r="FB51" s="32"/>
      <c r="FC51" s="32"/>
      <c r="FD51" s="32"/>
      <c r="FE51" s="32"/>
      <c r="FF51" s="32"/>
      <c r="FG51" s="32"/>
      <c r="FH51" s="32"/>
      <c r="FI51" s="32"/>
      <c r="FJ51" s="32"/>
      <c r="FK51" s="32"/>
      <c r="FL51" s="32"/>
      <c r="FM51" s="32"/>
      <c r="FN51" s="32"/>
      <c r="FO51" s="32"/>
      <c r="FP51" s="32"/>
      <c r="FQ51" s="32"/>
      <c r="FR51" s="32"/>
      <c r="FS51" s="32"/>
      <c r="FT51" s="32"/>
      <c r="FU51" s="32"/>
      <c r="FV51" s="32"/>
      <c r="FW51" s="32"/>
      <c r="FX51" s="32"/>
      <c r="FY51" s="32"/>
      <c r="FZ51" s="32"/>
      <c r="GA51" s="32"/>
      <c r="GB51" s="32"/>
      <c r="GC51" s="32"/>
      <c r="GD51" s="32"/>
      <c r="GE51" s="32"/>
      <c r="GF51" s="32"/>
      <c r="GG51" s="32"/>
      <c r="GH51" s="32"/>
      <c r="GI51" s="32"/>
      <c r="GJ51" s="32"/>
      <c r="GK51" s="32"/>
      <c r="GL51" s="32"/>
      <c r="GM51" s="32"/>
      <c r="GN51" s="32"/>
      <c r="GO51" s="32"/>
      <c r="GP51" s="32"/>
      <c r="GQ51" s="32"/>
      <c r="GR51" s="32"/>
      <c r="GS51" s="32"/>
      <c r="GT51" s="32"/>
      <c r="GU51" s="32"/>
      <c r="GV51" s="32"/>
      <c r="GW51" s="32"/>
      <c r="GX51" s="32"/>
      <c r="GY51" s="32"/>
      <c r="GZ51" s="32"/>
      <c r="HA51" s="32"/>
      <c r="HB51" s="32"/>
      <c r="HC51" s="32"/>
      <c r="HD51" s="32"/>
      <c r="HE51" s="32"/>
      <c r="HF51" s="32"/>
      <c r="HG51" s="32"/>
      <c r="HH51" s="32"/>
      <c r="HI51" s="32"/>
      <c r="HJ51" s="32"/>
      <c r="HK51" s="32"/>
      <c r="HL51" s="32"/>
      <c r="HM51" s="32"/>
      <c r="HN51" s="32"/>
      <c r="HO51" s="32"/>
      <c r="HP51" s="32"/>
      <c r="HQ51" s="32"/>
      <c r="HR51" s="32"/>
      <c r="HS51" s="32"/>
      <c r="HT51" s="32"/>
      <c r="HU51" s="32"/>
      <c r="HV51" s="32"/>
      <c r="HW51" s="32"/>
      <c r="HX51" s="32"/>
      <c r="HY51" s="32"/>
      <c r="HZ51" s="32"/>
      <c r="IA51" s="32"/>
      <c r="IB51" s="32"/>
      <c r="IC51" s="23"/>
    </row>
    <row r="52" spans="2:237" ht="15" customHeight="1" x14ac:dyDescent="0.2">
      <c r="B52" s="16"/>
      <c r="C52" s="39"/>
      <c r="D52" s="39"/>
      <c r="E52" s="39"/>
      <c r="F52" s="39"/>
      <c r="G52" s="39"/>
      <c r="H52" s="17"/>
      <c r="I52" s="17"/>
      <c r="J52" s="33" t="str">
        <f ca="1">IF(AND(H52&lt;&gt;"",I52&lt;&gt;""),IF($F$8=1,NETWORKDAYS(H52,I52),IF($F$8=3,I52-H52+1,NETWORKDAYS(H52,I52)+SUM(OFFSET($M$15,-2,MATCH(H52,$M$15:$IB$15,0)):OFFSET($M$15,-2,MATCH(I52,$M$15:$IB$15,0)-1)))),"")</f>
        <v/>
      </c>
      <c r="K52" s="33" t="str">
        <f t="shared" ca="1" si="10"/>
        <v/>
      </c>
      <c r="L52" s="33" t="str">
        <f t="shared" ca="1" si="11"/>
        <v/>
      </c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  <c r="FC52" s="32"/>
      <c r="FD52" s="32"/>
      <c r="FE52" s="32"/>
      <c r="FF52" s="32"/>
      <c r="FG52" s="32"/>
      <c r="FH52" s="32"/>
      <c r="FI52" s="32"/>
      <c r="FJ52" s="32"/>
      <c r="FK52" s="32"/>
      <c r="FL52" s="32"/>
      <c r="FM52" s="32"/>
      <c r="FN52" s="32"/>
      <c r="FO52" s="32"/>
      <c r="FP52" s="32"/>
      <c r="FQ52" s="32"/>
      <c r="FR52" s="32"/>
      <c r="FS52" s="32"/>
      <c r="FT52" s="32"/>
      <c r="FU52" s="32"/>
      <c r="FV52" s="32"/>
      <c r="FW52" s="32"/>
      <c r="FX52" s="32"/>
      <c r="FY52" s="32"/>
      <c r="FZ52" s="32"/>
      <c r="GA52" s="32"/>
      <c r="GB52" s="32"/>
      <c r="GC52" s="32"/>
      <c r="GD52" s="32"/>
      <c r="GE52" s="32"/>
      <c r="GF52" s="32"/>
      <c r="GG52" s="32"/>
      <c r="GH52" s="32"/>
      <c r="GI52" s="32"/>
      <c r="GJ52" s="32"/>
      <c r="GK52" s="32"/>
      <c r="GL52" s="32"/>
      <c r="GM52" s="32"/>
      <c r="GN52" s="32"/>
      <c r="GO52" s="32"/>
      <c r="GP52" s="32"/>
      <c r="GQ52" s="32"/>
      <c r="GR52" s="32"/>
      <c r="GS52" s="32"/>
      <c r="GT52" s="32"/>
      <c r="GU52" s="32"/>
      <c r="GV52" s="32"/>
      <c r="GW52" s="32"/>
      <c r="GX52" s="32"/>
      <c r="GY52" s="32"/>
      <c r="GZ52" s="32"/>
      <c r="HA52" s="32"/>
      <c r="HB52" s="32"/>
      <c r="HC52" s="32"/>
      <c r="HD52" s="32"/>
      <c r="HE52" s="32"/>
      <c r="HF52" s="32"/>
      <c r="HG52" s="32"/>
      <c r="HH52" s="32"/>
      <c r="HI52" s="32"/>
      <c r="HJ52" s="32"/>
      <c r="HK52" s="32"/>
      <c r="HL52" s="32"/>
      <c r="HM52" s="32"/>
      <c r="HN52" s="32"/>
      <c r="HO52" s="32"/>
      <c r="HP52" s="32"/>
      <c r="HQ52" s="32"/>
      <c r="HR52" s="32"/>
      <c r="HS52" s="32"/>
      <c r="HT52" s="32"/>
      <c r="HU52" s="32"/>
      <c r="HV52" s="32"/>
      <c r="HW52" s="32"/>
      <c r="HX52" s="32"/>
      <c r="HY52" s="32"/>
      <c r="HZ52" s="32"/>
      <c r="IA52" s="32"/>
      <c r="IB52" s="32"/>
      <c r="IC52" s="23"/>
    </row>
    <row r="53" spans="2:237" ht="15" customHeight="1" x14ac:dyDescent="0.2">
      <c r="B53" s="16"/>
      <c r="C53" s="39"/>
      <c r="D53" s="39"/>
      <c r="E53" s="39"/>
      <c r="F53" s="39"/>
      <c r="G53" s="39"/>
      <c r="H53" s="17"/>
      <c r="I53" s="17"/>
      <c r="J53" s="33" t="str">
        <f ca="1">IF(AND(H53&lt;&gt;"",I53&lt;&gt;""),IF($F$8=1,NETWORKDAYS(H53,I53),IF($F$8=3,I53-H53+1,NETWORKDAYS(H53,I53)+SUM(OFFSET($M$15,-2,MATCH(H53,$M$15:$IB$15,0)):OFFSET($M$15,-2,MATCH(I53,$M$15:$IB$15,0)-1)))),"")</f>
        <v/>
      </c>
      <c r="K53" s="33" t="str">
        <f t="shared" ca="1" si="10"/>
        <v/>
      </c>
      <c r="L53" s="33" t="str">
        <f t="shared" ca="1" si="11"/>
        <v/>
      </c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  <c r="EW53" s="32"/>
      <c r="EX53" s="32"/>
      <c r="EY53" s="32"/>
      <c r="EZ53" s="32"/>
      <c r="FA53" s="32"/>
      <c r="FB53" s="32"/>
      <c r="FC53" s="32"/>
      <c r="FD53" s="32"/>
      <c r="FE53" s="32"/>
      <c r="FF53" s="32"/>
      <c r="FG53" s="32"/>
      <c r="FH53" s="32"/>
      <c r="FI53" s="32"/>
      <c r="FJ53" s="32"/>
      <c r="FK53" s="32"/>
      <c r="FL53" s="32"/>
      <c r="FM53" s="32"/>
      <c r="FN53" s="32"/>
      <c r="FO53" s="32"/>
      <c r="FP53" s="32"/>
      <c r="FQ53" s="32"/>
      <c r="FR53" s="32"/>
      <c r="FS53" s="32"/>
      <c r="FT53" s="32"/>
      <c r="FU53" s="32"/>
      <c r="FV53" s="32"/>
      <c r="FW53" s="32"/>
      <c r="FX53" s="32"/>
      <c r="FY53" s="32"/>
      <c r="FZ53" s="32"/>
      <c r="GA53" s="32"/>
      <c r="GB53" s="32"/>
      <c r="GC53" s="32"/>
      <c r="GD53" s="32"/>
      <c r="GE53" s="32"/>
      <c r="GF53" s="32"/>
      <c r="GG53" s="32"/>
      <c r="GH53" s="32"/>
      <c r="GI53" s="32"/>
      <c r="GJ53" s="32"/>
      <c r="GK53" s="32"/>
      <c r="GL53" s="32"/>
      <c r="GM53" s="32"/>
      <c r="GN53" s="32"/>
      <c r="GO53" s="32"/>
      <c r="GP53" s="32"/>
      <c r="GQ53" s="32"/>
      <c r="GR53" s="32"/>
      <c r="GS53" s="32"/>
      <c r="GT53" s="32"/>
      <c r="GU53" s="32"/>
      <c r="GV53" s="32"/>
      <c r="GW53" s="32"/>
      <c r="GX53" s="32"/>
      <c r="GY53" s="32"/>
      <c r="GZ53" s="32"/>
      <c r="HA53" s="32"/>
      <c r="HB53" s="32"/>
      <c r="HC53" s="32"/>
      <c r="HD53" s="32"/>
      <c r="HE53" s="32"/>
      <c r="HF53" s="32"/>
      <c r="HG53" s="32"/>
      <c r="HH53" s="32"/>
      <c r="HI53" s="32"/>
      <c r="HJ53" s="32"/>
      <c r="HK53" s="32"/>
      <c r="HL53" s="32"/>
      <c r="HM53" s="32"/>
      <c r="HN53" s="32"/>
      <c r="HO53" s="32"/>
      <c r="HP53" s="32"/>
      <c r="HQ53" s="32"/>
      <c r="HR53" s="32"/>
      <c r="HS53" s="32"/>
      <c r="HT53" s="32"/>
      <c r="HU53" s="32"/>
      <c r="HV53" s="32"/>
      <c r="HW53" s="32"/>
      <c r="HX53" s="32"/>
      <c r="HY53" s="32"/>
      <c r="HZ53" s="32"/>
      <c r="IA53" s="32"/>
      <c r="IB53" s="32"/>
      <c r="IC53" s="23"/>
    </row>
    <row r="54" spans="2:237" ht="15" customHeight="1" x14ac:dyDescent="0.2">
      <c r="B54" s="16"/>
      <c r="C54" s="39"/>
      <c r="D54" s="39"/>
      <c r="E54" s="39"/>
      <c r="F54" s="39"/>
      <c r="G54" s="39"/>
      <c r="H54" s="17"/>
      <c r="I54" s="17"/>
      <c r="J54" s="33" t="str">
        <f ca="1">IF(AND(H54&lt;&gt;"",I54&lt;&gt;""),IF($F$8=1,NETWORKDAYS(H54,I54),IF($F$8=3,I54-H54+1,NETWORKDAYS(H54,I54)+SUM(OFFSET($M$15,-2,MATCH(H54,$M$15:$IB$15,0)):OFFSET($M$15,-2,MATCH(I54,$M$15:$IB$15,0)-1)))),"")</f>
        <v/>
      </c>
      <c r="K54" s="33" t="str">
        <f t="shared" ca="1" si="10"/>
        <v/>
      </c>
      <c r="L54" s="33" t="str">
        <f t="shared" ca="1" si="11"/>
        <v/>
      </c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  <c r="FC54" s="32"/>
      <c r="FD54" s="32"/>
      <c r="FE54" s="32"/>
      <c r="FF54" s="32"/>
      <c r="FG54" s="32"/>
      <c r="FH54" s="32"/>
      <c r="FI54" s="32"/>
      <c r="FJ54" s="32"/>
      <c r="FK54" s="32"/>
      <c r="FL54" s="32"/>
      <c r="FM54" s="32"/>
      <c r="FN54" s="32"/>
      <c r="FO54" s="32"/>
      <c r="FP54" s="32"/>
      <c r="FQ54" s="32"/>
      <c r="FR54" s="32"/>
      <c r="FS54" s="32"/>
      <c r="FT54" s="32"/>
      <c r="FU54" s="32"/>
      <c r="FV54" s="32"/>
      <c r="FW54" s="32"/>
      <c r="FX54" s="32"/>
      <c r="FY54" s="32"/>
      <c r="FZ54" s="32"/>
      <c r="GA54" s="32"/>
      <c r="GB54" s="32"/>
      <c r="GC54" s="32"/>
      <c r="GD54" s="32"/>
      <c r="GE54" s="32"/>
      <c r="GF54" s="32"/>
      <c r="GG54" s="32"/>
      <c r="GH54" s="32"/>
      <c r="GI54" s="32"/>
      <c r="GJ54" s="32"/>
      <c r="GK54" s="32"/>
      <c r="GL54" s="32"/>
      <c r="GM54" s="32"/>
      <c r="GN54" s="32"/>
      <c r="GO54" s="32"/>
      <c r="GP54" s="32"/>
      <c r="GQ54" s="32"/>
      <c r="GR54" s="32"/>
      <c r="GS54" s="32"/>
      <c r="GT54" s="32"/>
      <c r="GU54" s="32"/>
      <c r="GV54" s="32"/>
      <c r="GW54" s="32"/>
      <c r="GX54" s="32"/>
      <c r="GY54" s="32"/>
      <c r="GZ54" s="32"/>
      <c r="HA54" s="32"/>
      <c r="HB54" s="32"/>
      <c r="HC54" s="32"/>
      <c r="HD54" s="32"/>
      <c r="HE54" s="32"/>
      <c r="HF54" s="32"/>
      <c r="HG54" s="32"/>
      <c r="HH54" s="32"/>
      <c r="HI54" s="32"/>
      <c r="HJ54" s="32"/>
      <c r="HK54" s="32"/>
      <c r="HL54" s="32"/>
      <c r="HM54" s="32"/>
      <c r="HN54" s="32"/>
      <c r="HO54" s="32"/>
      <c r="HP54" s="32"/>
      <c r="HQ54" s="32"/>
      <c r="HR54" s="32"/>
      <c r="HS54" s="32"/>
      <c r="HT54" s="32"/>
      <c r="HU54" s="32"/>
      <c r="HV54" s="32"/>
      <c r="HW54" s="32"/>
      <c r="HX54" s="32"/>
      <c r="HY54" s="32"/>
      <c r="HZ54" s="32"/>
      <c r="IA54" s="32"/>
      <c r="IB54" s="32"/>
      <c r="IC54" s="23"/>
    </row>
    <row r="55" spans="2:237" ht="15" customHeight="1" x14ac:dyDescent="0.2">
      <c r="B55" s="16"/>
      <c r="C55" s="39"/>
      <c r="D55" s="39"/>
      <c r="E55" s="39"/>
      <c r="F55" s="39"/>
      <c r="G55" s="39"/>
      <c r="H55" s="17"/>
      <c r="I55" s="17"/>
      <c r="J55" s="33" t="str">
        <f ca="1">IF(AND(H55&lt;&gt;"",I55&lt;&gt;""),IF($F$8=1,NETWORKDAYS(H55,I55),IF($F$8=3,I55-H55+1,NETWORKDAYS(H55,I55)+SUM(OFFSET($M$15,-2,MATCH(H55,$M$15:$IB$15,0)):OFFSET($M$15,-2,MATCH(I55,$M$15:$IB$15,0)-1)))),"")</f>
        <v/>
      </c>
      <c r="K55" s="33" t="str">
        <f t="shared" ca="1" si="10"/>
        <v/>
      </c>
      <c r="L55" s="33" t="str">
        <f t="shared" ca="1" si="11"/>
        <v/>
      </c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  <c r="EW55" s="32"/>
      <c r="EX55" s="32"/>
      <c r="EY55" s="32"/>
      <c r="EZ55" s="32"/>
      <c r="FA55" s="32"/>
      <c r="FB55" s="32"/>
      <c r="FC55" s="32"/>
      <c r="FD55" s="32"/>
      <c r="FE55" s="32"/>
      <c r="FF55" s="32"/>
      <c r="FG55" s="32"/>
      <c r="FH55" s="32"/>
      <c r="FI55" s="32"/>
      <c r="FJ55" s="32"/>
      <c r="FK55" s="32"/>
      <c r="FL55" s="32"/>
      <c r="FM55" s="32"/>
      <c r="FN55" s="32"/>
      <c r="FO55" s="32"/>
      <c r="FP55" s="32"/>
      <c r="FQ55" s="32"/>
      <c r="FR55" s="32"/>
      <c r="FS55" s="32"/>
      <c r="FT55" s="32"/>
      <c r="FU55" s="32"/>
      <c r="FV55" s="32"/>
      <c r="FW55" s="32"/>
      <c r="FX55" s="32"/>
      <c r="FY55" s="32"/>
      <c r="FZ55" s="32"/>
      <c r="GA55" s="32"/>
      <c r="GB55" s="32"/>
      <c r="GC55" s="32"/>
      <c r="GD55" s="32"/>
      <c r="GE55" s="32"/>
      <c r="GF55" s="32"/>
      <c r="GG55" s="32"/>
      <c r="GH55" s="32"/>
      <c r="GI55" s="32"/>
      <c r="GJ55" s="32"/>
      <c r="GK55" s="32"/>
      <c r="GL55" s="32"/>
      <c r="GM55" s="32"/>
      <c r="GN55" s="32"/>
      <c r="GO55" s="32"/>
      <c r="GP55" s="32"/>
      <c r="GQ55" s="32"/>
      <c r="GR55" s="32"/>
      <c r="GS55" s="32"/>
      <c r="GT55" s="32"/>
      <c r="GU55" s="32"/>
      <c r="GV55" s="32"/>
      <c r="GW55" s="32"/>
      <c r="GX55" s="32"/>
      <c r="GY55" s="32"/>
      <c r="GZ55" s="32"/>
      <c r="HA55" s="32"/>
      <c r="HB55" s="32"/>
      <c r="HC55" s="32"/>
      <c r="HD55" s="32"/>
      <c r="HE55" s="32"/>
      <c r="HF55" s="32"/>
      <c r="HG55" s="32"/>
      <c r="HH55" s="32"/>
      <c r="HI55" s="32"/>
      <c r="HJ55" s="32"/>
      <c r="HK55" s="32"/>
      <c r="HL55" s="32"/>
      <c r="HM55" s="32"/>
      <c r="HN55" s="32"/>
      <c r="HO55" s="32"/>
      <c r="HP55" s="32"/>
      <c r="HQ55" s="32"/>
      <c r="HR55" s="32"/>
      <c r="HS55" s="32"/>
      <c r="HT55" s="32"/>
      <c r="HU55" s="32"/>
      <c r="HV55" s="32"/>
      <c r="HW55" s="32"/>
      <c r="HX55" s="32"/>
      <c r="HY55" s="32"/>
      <c r="HZ55" s="32"/>
      <c r="IA55" s="32"/>
      <c r="IB55" s="32"/>
      <c r="IC55" s="23"/>
    </row>
    <row r="56" spans="2:237" ht="15" customHeight="1" x14ac:dyDescent="0.2">
      <c r="B56" s="16"/>
      <c r="C56" s="39"/>
      <c r="D56" s="39"/>
      <c r="E56" s="39"/>
      <c r="F56" s="39"/>
      <c r="G56" s="39"/>
      <c r="H56" s="17"/>
      <c r="I56" s="17"/>
      <c r="J56" s="33" t="str">
        <f ca="1">IF(AND(H56&lt;&gt;"",I56&lt;&gt;""),IF($F$8=1,NETWORKDAYS(H56,I56),IF($F$8=3,I56-H56+1,NETWORKDAYS(H56,I56)+SUM(OFFSET($M$15,-2,MATCH(H56,$M$15:$IB$15,0)):OFFSET($M$15,-2,MATCH(I56,$M$15:$IB$15,0)-1)))),"")</f>
        <v/>
      </c>
      <c r="K56" s="33" t="str">
        <f t="shared" ca="1" si="10"/>
        <v/>
      </c>
      <c r="L56" s="33" t="str">
        <f t="shared" ca="1" si="11"/>
        <v/>
      </c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  <c r="EW56" s="32"/>
      <c r="EX56" s="32"/>
      <c r="EY56" s="32"/>
      <c r="EZ56" s="32"/>
      <c r="FA56" s="32"/>
      <c r="FB56" s="32"/>
      <c r="FC56" s="32"/>
      <c r="FD56" s="32"/>
      <c r="FE56" s="32"/>
      <c r="FF56" s="32"/>
      <c r="FG56" s="32"/>
      <c r="FH56" s="32"/>
      <c r="FI56" s="32"/>
      <c r="FJ56" s="32"/>
      <c r="FK56" s="32"/>
      <c r="FL56" s="32"/>
      <c r="FM56" s="32"/>
      <c r="FN56" s="32"/>
      <c r="FO56" s="32"/>
      <c r="FP56" s="32"/>
      <c r="FQ56" s="32"/>
      <c r="FR56" s="32"/>
      <c r="FS56" s="32"/>
      <c r="FT56" s="32"/>
      <c r="FU56" s="32"/>
      <c r="FV56" s="32"/>
      <c r="FW56" s="32"/>
      <c r="FX56" s="32"/>
      <c r="FY56" s="32"/>
      <c r="FZ56" s="32"/>
      <c r="GA56" s="32"/>
      <c r="GB56" s="32"/>
      <c r="GC56" s="32"/>
      <c r="GD56" s="32"/>
      <c r="GE56" s="32"/>
      <c r="GF56" s="32"/>
      <c r="GG56" s="32"/>
      <c r="GH56" s="32"/>
      <c r="GI56" s="32"/>
      <c r="GJ56" s="32"/>
      <c r="GK56" s="32"/>
      <c r="GL56" s="32"/>
      <c r="GM56" s="32"/>
      <c r="GN56" s="32"/>
      <c r="GO56" s="32"/>
      <c r="GP56" s="32"/>
      <c r="GQ56" s="32"/>
      <c r="GR56" s="32"/>
      <c r="GS56" s="32"/>
      <c r="GT56" s="32"/>
      <c r="GU56" s="32"/>
      <c r="GV56" s="32"/>
      <c r="GW56" s="32"/>
      <c r="GX56" s="32"/>
      <c r="GY56" s="32"/>
      <c r="GZ56" s="32"/>
      <c r="HA56" s="32"/>
      <c r="HB56" s="32"/>
      <c r="HC56" s="32"/>
      <c r="HD56" s="32"/>
      <c r="HE56" s="32"/>
      <c r="HF56" s="32"/>
      <c r="HG56" s="32"/>
      <c r="HH56" s="32"/>
      <c r="HI56" s="32"/>
      <c r="HJ56" s="32"/>
      <c r="HK56" s="32"/>
      <c r="HL56" s="32"/>
      <c r="HM56" s="32"/>
      <c r="HN56" s="32"/>
      <c r="HO56" s="32"/>
      <c r="HP56" s="32"/>
      <c r="HQ56" s="32"/>
      <c r="HR56" s="32"/>
      <c r="HS56" s="32"/>
      <c r="HT56" s="32"/>
      <c r="HU56" s="32"/>
      <c r="HV56" s="32"/>
      <c r="HW56" s="32"/>
      <c r="HX56" s="32"/>
      <c r="HY56" s="32"/>
      <c r="HZ56" s="32"/>
      <c r="IA56" s="32"/>
      <c r="IB56" s="32"/>
      <c r="IC56" s="23"/>
    </row>
    <row r="57" spans="2:237" ht="15" customHeight="1" x14ac:dyDescent="0.2">
      <c r="B57" s="16"/>
      <c r="C57" s="39"/>
      <c r="D57" s="39"/>
      <c r="E57" s="39"/>
      <c r="F57" s="39"/>
      <c r="G57" s="39"/>
      <c r="H57" s="17"/>
      <c r="I57" s="17"/>
      <c r="J57" s="33" t="str">
        <f ca="1">IF(AND(H57&lt;&gt;"",I57&lt;&gt;""),IF($F$8=1,NETWORKDAYS(H57,I57),IF($F$8=3,I57-H57+1,NETWORKDAYS(H57,I57)+SUM(OFFSET($M$15,-2,MATCH(H57,$M$15:$IB$15,0)):OFFSET($M$15,-2,MATCH(I57,$M$15:$IB$15,0)-1)))),"")</f>
        <v/>
      </c>
      <c r="K57" s="33" t="str">
        <f t="shared" ca="1" si="10"/>
        <v/>
      </c>
      <c r="L57" s="33" t="str">
        <f t="shared" ca="1" si="11"/>
        <v/>
      </c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  <c r="EW57" s="32"/>
      <c r="EX57" s="32"/>
      <c r="EY57" s="32"/>
      <c r="EZ57" s="32"/>
      <c r="FA57" s="32"/>
      <c r="FB57" s="32"/>
      <c r="FC57" s="32"/>
      <c r="FD57" s="32"/>
      <c r="FE57" s="32"/>
      <c r="FF57" s="32"/>
      <c r="FG57" s="32"/>
      <c r="FH57" s="32"/>
      <c r="FI57" s="32"/>
      <c r="FJ57" s="32"/>
      <c r="FK57" s="32"/>
      <c r="FL57" s="32"/>
      <c r="FM57" s="32"/>
      <c r="FN57" s="32"/>
      <c r="FO57" s="32"/>
      <c r="FP57" s="32"/>
      <c r="FQ57" s="32"/>
      <c r="FR57" s="32"/>
      <c r="FS57" s="32"/>
      <c r="FT57" s="32"/>
      <c r="FU57" s="32"/>
      <c r="FV57" s="32"/>
      <c r="FW57" s="32"/>
      <c r="FX57" s="32"/>
      <c r="FY57" s="32"/>
      <c r="FZ57" s="32"/>
      <c r="GA57" s="32"/>
      <c r="GB57" s="32"/>
      <c r="GC57" s="32"/>
      <c r="GD57" s="32"/>
      <c r="GE57" s="32"/>
      <c r="GF57" s="32"/>
      <c r="GG57" s="32"/>
      <c r="GH57" s="32"/>
      <c r="GI57" s="32"/>
      <c r="GJ57" s="32"/>
      <c r="GK57" s="32"/>
      <c r="GL57" s="32"/>
      <c r="GM57" s="32"/>
      <c r="GN57" s="32"/>
      <c r="GO57" s="32"/>
      <c r="GP57" s="32"/>
      <c r="GQ57" s="32"/>
      <c r="GR57" s="32"/>
      <c r="GS57" s="32"/>
      <c r="GT57" s="32"/>
      <c r="GU57" s="32"/>
      <c r="GV57" s="32"/>
      <c r="GW57" s="32"/>
      <c r="GX57" s="32"/>
      <c r="GY57" s="32"/>
      <c r="GZ57" s="32"/>
      <c r="HA57" s="32"/>
      <c r="HB57" s="32"/>
      <c r="HC57" s="32"/>
      <c r="HD57" s="32"/>
      <c r="HE57" s="32"/>
      <c r="HF57" s="32"/>
      <c r="HG57" s="32"/>
      <c r="HH57" s="32"/>
      <c r="HI57" s="32"/>
      <c r="HJ57" s="32"/>
      <c r="HK57" s="32"/>
      <c r="HL57" s="32"/>
      <c r="HM57" s="32"/>
      <c r="HN57" s="32"/>
      <c r="HO57" s="32"/>
      <c r="HP57" s="32"/>
      <c r="HQ57" s="32"/>
      <c r="HR57" s="32"/>
      <c r="HS57" s="32"/>
      <c r="HT57" s="32"/>
      <c r="HU57" s="32"/>
      <c r="HV57" s="32"/>
      <c r="HW57" s="32"/>
      <c r="HX57" s="32"/>
      <c r="HY57" s="32"/>
      <c r="HZ57" s="32"/>
      <c r="IA57" s="32"/>
      <c r="IB57" s="32"/>
      <c r="IC57" s="23"/>
    </row>
    <row r="58" spans="2:237" ht="15" customHeight="1" x14ac:dyDescent="0.2">
      <c r="B58" s="16"/>
      <c r="C58" s="39"/>
      <c r="D58" s="39"/>
      <c r="E58" s="39"/>
      <c r="F58" s="39"/>
      <c r="G58" s="39"/>
      <c r="H58" s="17"/>
      <c r="I58" s="17"/>
      <c r="J58" s="33" t="str">
        <f ca="1">IF(AND(H58&lt;&gt;"",I58&lt;&gt;""),IF($F$8=1,NETWORKDAYS(H58,I58),IF($F$8=3,I58-H58+1,NETWORKDAYS(H58,I58)+SUM(OFFSET($M$15,-2,MATCH(H58,$M$15:$IB$15,0)):OFFSET($M$15,-2,MATCH(I58,$M$15:$IB$15,0)-1)))),"")</f>
        <v/>
      </c>
      <c r="K58" s="33" t="str">
        <f t="shared" ca="1" si="10"/>
        <v/>
      </c>
      <c r="L58" s="33" t="str">
        <f t="shared" ca="1" si="11"/>
        <v/>
      </c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  <c r="EW58" s="32"/>
      <c r="EX58" s="32"/>
      <c r="EY58" s="32"/>
      <c r="EZ58" s="32"/>
      <c r="FA58" s="32"/>
      <c r="FB58" s="32"/>
      <c r="FC58" s="32"/>
      <c r="FD58" s="32"/>
      <c r="FE58" s="32"/>
      <c r="FF58" s="32"/>
      <c r="FG58" s="32"/>
      <c r="FH58" s="32"/>
      <c r="FI58" s="32"/>
      <c r="FJ58" s="32"/>
      <c r="FK58" s="32"/>
      <c r="FL58" s="32"/>
      <c r="FM58" s="32"/>
      <c r="FN58" s="32"/>
      <c r="FO58" s="32"/>
      <c r="FP58" s="32"/>
      <c r="FQ58" s="32"/>
      <c r="FR58" s="32"/>
      <c r="FS58" s="32"/>
      <c r="FT58" s="32"/>
      <c r="FU58" s="32"/>
      <c r="FV58" s="32"/>
      <c r="FW58" s="32"/>
      <c r="FX58" s="32"/>
      <c r="FY58" s="32"/>
      <c r="FZ58" s="32"/>
      <c r="GA58" s="32"/>
      <c r="GB58" s="32"/>
      <c r="GC58" s="32"/>
      <c r="GD58" s="32"/>
      <c r="GE58" s="32"/>
      <c r="GF58" s="32"/>
      <c r="GG58" s="32"/>
      <c r="GH58" s="32"/>
      <c r="GI58" s="32"/>
      <c r="GJ58" s="32"/>
      <c r="GK58" s="32"/>
      <c r="GL58" s="32"/>
      <c r="GM58" s="32"/>
      <c r="GN58" s="32"/>
      <c r="GO58" s="32"/>
      <c r="GP58" s="32"/>
      <c r="GQ58" s="32"/>
      <c r="GR58" s="32"/>
      <c r="GS58" s="32"/>
      <c r="GT58" s="32"/>
      <c r="GU58" s="32"/>
      <c r="GV58" s="32"/>
      <c r="GW58" s="32"/>
      <c r="GX58" s="32"/>
      <c r="GY58" s="32"/>
      <c r="GZ58" s="32"/>
      <c r="HA58" s="32"/>
      <c r="HB58" s="32"/>
      <c r="HC58" s="32"/>
      <c r="HD58" s="32"/>
      <c r="HE58" s="32"/>
      <c r="HF58" s="32"/>
      <c r="HG58" s="32"/>
      <c r="HH58" s="32"/>
      <c r="HI58" s="32"/>
      <c r="HJ58" s="32"/>
      <c r="HK58" s="32"/>
      <c r="HL58" s="32"/>
      <c r="HM58" s="32"/>
      <c r="HN58" s="32"/>
      <c r="HO58" s="32"/>
      <c r="HP58" s="32"/>
      <c r="HQ58" s="32"/>
      <c r="HR58" s="32"/>
      <c r="HS58" s="32"/>
      <c r="HT58" s="32"/>
      <c r="HU58" s="32"/>
      <c r="HV58" s="32"/>
      <c r="HW58" s="32"/>
      <c r="HX58" s="32"/>
      <c r="HY58" s="32"/>
      <c r="HZ58" s="32"/>
      <c r="IA58" s="32"/>
      <c r="IB58" s="32"/>
      <c r="IC58" s="23"/>
    </row>
    <row r="59" spans="2:237" ht="15" customHeight="1" x14ac:dyDescent="0.2">
      <c r="B59" s="16"/>
      <c r="C59" s="39"/>
      <c r="D59" s="39"/>
      <c r="E59" s="39"/>
      <c r="F59" s="39"/>
      <c r="G59" s="39"/>
      <c r="H59" s="17"/>
      <c r="I59" s="17"/>
      <c r="J59" s="33" t="str">
        <f ca="1">IF(AND(H59&lt;&gt;"",I59&lt;&gt;""),IF($F$8=1,NETWORKDAYS(H59,I59),IF($F$8=3,I59-H59+1,NETWORKDAYS(H59,I59)+SUM(OFFSET($M$15,-2,MATCH(H59,$M$15:$IB$15,0)):OFFSET($M$15,-2,MATCH(I59,$M$15:$IB$15,0)-1)))),"")</f>
        <v/>
      </c>
      <c r="K59" s="33" t="str">
        <f t="shared" ca="1" si="10"/>
        <v/>
      </c>
      <c r="L59" s="33" t="str">
        <f t="shared" ca="1" si="11"/>
        <v/>
      </c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32"/>
      <c r="FL59" s="32"/>
      <c r="FM59" s="32"/>
      <c r="FN59" s="32"/>
      <c r="FO59" s="32"/>
      <c r="FP59" s="32"/>
      <c r="FQ59" s="32"/>
      <c r="FR59" s="32"/>
      <c r="FS59" s="32"/>
      <c r="FT59" s="32"/>
      <c r="FU59" s="32"/>
      <c r="FV59" s="32"/>
      <c r="FW59" s="32"/>
      <c r="FX59" s="32"/>
      <c r="FY59" s="32"/>
      <c r="FZ59" s="32"/>
      <c r="GA59" s="32"/>
      <c r="GB59" s="32"/>
      <c r="GC59" s="32"/>
      <c r="GD59" s="32"/>
      <c r="GE59" s="32"/>
      <c r="GF59" s="32"/>
      <c r="GG59" s="32"/>
      <c r="GH59" s="32"/>
      <c r="GI59" s="32"/>
      <c r="GJ59" s="32"/>
      <c r="GK59" s="32"/>
      <c r="GL59" s="32"/>
      <c r="GM59" s="32"/>
      <c r="GN59" s="32"/>
      <c r="GO59" s="32"/>
      <c r="GP59" s="32"/>
      <c r="GQ59" s="32"/>
      <c r="GR59" s="32"/>
      <c r="GS59" s="32"/>
      <c r="GT59" s="32"/>
      <c r="GU59" s="32"/>
      <c r="GV59" s="32"/>
      <c r="GW59" s="32"/>
      <c r="GX59" s="32"/>
      <c r="GY59" s="32"/>
      <c r="GZ59" s="32"/>
      <c r="HA59" s="32"/>
      <c r="HB59" s="32"/>
      <c r="HC59" s="32"/>
      <c r="HD59" s="32"/>
      <c r="HE59" s="32"/>
      <c r="HF59" s="32"/>
      <c r="HG59" s="32"/>
      <c r="HH59" s="32"/>
      <c r="HI59" s="32"/>
      <c r="HJ59" s="32"/>
      <c r="HK59" s="32"/>
      <c r="HL59" s="32"/>
      <c r="HM59" s="32"/>
      <c r="HN59" s="32"/>
      <c r="HO59" s="32"/>
      <c r="HP59" s="32"/>
      <c r="HQ59" s="32"/>
      <c r="HR59" s="32"/>
      <c r="HS59" s="32"/>
      <c r="HT59" s="32"/>
      <c r="HU59" s="32"/>
      <c r="HV59" s="32"/>
      <c r="HW59" s="32"/>
      <c r="HX59" s="32"/>
      <c r="HY59" s="32"/>
      <c r="HZ59" s="32"/>
      <c r="IA59" s="32"/>
      <c r="IB59" s="32"/>
      <c r="IC59" s="23"/>
    </row>
    <row r="60" spans="2:237" ht="15" customHeight="1" x14ac:dyDescent="0.2">
      <c r="B60" s="16"/>
      <c r="C60" s="39"/>
      <c r="D60" s="39"/>
      <c r="E60" s="39"/>
      <c r="F60" s="39"/>
      <c r="G60" s="39"/>
      <c r="H60" s="17"/>
      <c r="I60" s="17"/>
      <c r="J60" s="33" t="str">
        <f ca="1">IF(AND(H60&lt;&gt;"",I60&lt;&gt;""),IF($F$8=1,NETWORKDAYS(H60,I60),IF($F$8=3,I60-H60+1,NETWORKDAYS(H60,I60)+SUM(OFFSET($M$15,-2,MATCH(H60,$M$15:$IB$15,0)):OFFSET($M$15,-2,MATCH(I60,$M$15:$IB$15,0)-1)))),"")</f>
        <v/>
      </c>
      <c r="K60" s="33" t="str">
        <f t="shared" ca="1" si="10"/>
        <v/>
      </c>
      <c r="L60" s="33" t="str">
        <f t="shared" ca="1" si="11"/>
        <v/>
      </c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  <c r="FJ60" s="32"/>
      <c r="FK60" s="32"/>
      <c r="FL60" s="32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  <c r="FY60" s="32"/>
      <c r="FZ60" s="32"/>
      <c r="GA60" s="32"/>
      <c r="GB60" s="32"/>
      <c r="GC60" s="32"/>
      <c r="GD60" s="32"/>
      <c r="GE60" s="32"/>
      <c r="GF60" s="32"/>
      <c r="GG60" s="32"/>
      <c r="GH60" s="32"/>
      <c r="GI60" s="32"/>
      <c r="GJ60" s="32"/>
      <c r="GK60" s="32"/>
      <c r="GL60" s="32"/>
      <c r="GM60" s="32"/>
      <c r="GN60" s="32"/>
      <c r="GO60" s="32"/>
      <c r="GP60" s="32"/>
      <c r="GQ60" s="32"/>
      <c r="GR60" s="32"/>
      <c r="GS60" s="32"/>
      <c r="GT60" s="32"/>
      <c r="GU60" s="32"/>
      <c r="GV60" s="32"/>
      <c r="GW60" s="32"/>
      <c r="GX60" s="32"/>
      <c r="GY60" s="32"/>
      <c r="GZ60" s="32"/>
      <c r="HA60" s="32"/>
      <c r="HB60" s="32"/>
      <c r="HC60" s="32"/>
      <c r="HD60" s="32"/>
      <c r="HE60" s="32"/>
      <c r="HF60" s="32"/>
      <c r="HG60" s="32"/>
      <c r="HH60" s="32"/>
      <c r="HI60" s="32"/>
      <c r="HJ60" s="32"/>
      <c r="HK60" s="32"/>
      <c r="HL60" s="32"/>
      <c r="HM60" s="32"/>
      <c r="HN60" s="32"/>
      <c r="HO60" s="32"/>
      <c r="HP60" s="32"/>
      <c r="HQ60" s="32"/>
      <c r="HR60" s="32"/>
      <c r="HS60" s="32"/>
      <c r="HT60" s="32"/>
      <c r="HU60" s="32"/>
      <c r="HV60" s="32"/>
      <c r="HW60" s="32"/>
      <c r="HX60" s="32"/>
      <c r="HY60" s="32"/>
      <c r="HZ60" s="32"/>
      <c r="IA60" s="32"/>
      <c r="IB60" s="32"/>
      <c r="IC60" s="23"/>
    </row>
    <row r="61" spans="2:237" ht="15" customHeight="1" x14ac:dyDescent="0.2">
      <c r="B61" s="16"/>
      <c r="C61" s="39"/>
      <c r="D61" s="39"/>
      <c r="E61" s="39"/>
      <c r="F61" s="39"/>
      <c r="G61" s="39"/>
      <c r="H61" s="17"/>
      <c r="I61" s="17"/>
      <c r="J61" s="33" t="str">
        <f ca="1">IF(AND(H61&lt;&gt;"",I61&lt;&gt;""),IF($F$8=1,NETWORKDAYS(H61,I61),IF($F$8=3,I61-H61+1,NETWORKDAYS(H61,I61)+SUM(OFFSET($M$15,-2,MATCH(H61,$M$15:$IB$15,0)):OFFSET($M$15,-2,MATCH(I61,$M$15:$IB$15,0)-1)))),"")</f>
        <v/>
      </c>
      <c r="K61" s="33" t="str">
        <f t="shared" ca="1" si="10"/>
        <v/>
      </c>
      <c r="L61" s="33" t="str">
        <f t="shared" ca="1" si="11"/>
        <v/>
      </c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  <c r="EW61" s="32"/>
      <c r="EX61" s="32"/>
      <c r="EY61" s="32"/>
      <c r="EZ61" s="32"/>
      <c r="FA61" s="32"/>
      <c r="FB61" s="32"/>
      <c r="FC61" s="32"/>
      <c r="FD61" s="32"/>
      <c r="FE61" s="32"/>
      <c r="FF61" s="32"/>
      <c r="FG61" s="32"/>
      <c r="FH61" s="32"/>
      <c r="FI61" s="32"/>
      <c r="FJ61" s="32"/>
      <c r="FK61" s="32"/>
      <c r="FL61" s="32"/>
      <c r="FM61" s="32"/>
      <c r="FN61" s="32"/>
      <c r="FO61" s="32"/>
      <c r="FP61" s="32"/>
      <c r="FQ61" s="32"/>
      <c r="FR61" s="32"/>
      <c r="FS61" s="32"/>
      <c r="FT61" s="32"/>
      <c r="FU61" s="32"/>
      <c r="FV61" s="32"/>
      <c r="FW61" s="32"/>
      <c r="FX61" s="32"/>
      <c r="FY61" s="32"/>
      <c r="FZ61" s="32"/>
      <c r="GA61" s="32"/>
      <c r="GB61" s="32"/>
      <c r="GC61" s="32"/>
      <c r="GD61" s="32"/>
      <c r="GE61" s="32"/>
      <c r="GF61" s="32"/>
      <c r="GG61" s="32"/>
      <c r="GH61" s="32"/>
      <c r="GI61" s="32"/>
      <c r="GJ61" s="32"/>
      <c r="GK61" s="32"/>
      <c r="GL61" s="32"/>
      <c r="GM61" s="32"/>
      <c r="GN61" s="32"/>
      <c r="GO61" s="32"/>
      <c r="GP61" s="32"/>
      <c r="GQ61" s="32"/>
      <c r="GR61" s="32"/>
      <c r="GS61" s="32"/>
      <c r="GT61" s="32"/>
      <c r="GU61" s="32"/>
      <c r="GV61" s="32"/>
      <c r="GW61" s="32"/>
      <c r="GX61" s="32"/>
      <c r="GY61" s="32"/>
      <c r="GZ61" s="32"/>
      <c r="HA61" s="32"/>
      <c r="HB61" s="32"/>
      <c r="HC61" s="32"/>
      <c r="HD61" s="32"/>
      <c r="HE61" s="32"/>
      <c r="HF61" s="32"/>
      <c r="HG61" s="32"/>
      <c r="HH61" s="32"/>
      <c r="HI61" s="32"/>
      <c r="HJ61" s="32"/>
      <c r="HK61" s="32"/>
      <c r="HL61" s="32"/>
      <c r="HM61" s="32"/>
      <c r="HN61" s="32"/>
      <c r="HO61" s="32"/>
      <c r="HP61" s="32"/>
      <c r="HQ61" s="32"/>
      <c r="HR61" s="32"/>
      <c r="HS61" s="32"/>
      <c r="HT61" s="32"/>
      <c r="HU61" s="32"/>
      <c r="HV61" s="32"/>
      <c r="HW61" s="32"/>
      <c r="HX61" s="32"/>
      <c r="HY61" s="32"/>
      <c r="HZ61" s="32"/>
      <c r="IA61" s="32"/>
      <c r="IB61" s="32"/>
      <c r="IC61" s="23"/>
    </row>
    <row r="62" spans="2:237" ht="15" customHeight="1" x14ac:dyDescent="0.2">
      <c r="B62" s="16"/>
      <c r="C62" s="39"/>
      <c r="D62" s="39"/>
      <c r="E62" s="39"/>
      <c r="F62" s="39"/>
      <c r="G62" s="39"/>
      <c r="H62" s="17"/>
      <c r="I62" s="17"/>
      <c r="J62" s="33" t="str">
        <f ca="1">IF(AND(H62&lt;&gt;"",I62&lt;&gt;""),IF($F$8=1,NETWORKDAYS(H62,I62),IF($F$8=3,I62-H62+1,NETWORKDAYS(H62,I62)+SUM(OFFSET($M$15,-2,MATCH(H62,$M$15:$IB$15,0)):OFFSET($M$15,-2,MATCH(I62,$M$15:$IB$15,0)-1)))),"")</f>
        <v/>
      </c>
      <c r="K62" s="33" t="str">
        <f t="shared" ca="1" si="10"/>
        <v/>
      </c>
      <c r="L62" s="33" t="str">
        <f t="shared" ca="1" si="11"/>
        <v/>
      </c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  <c r="EW62" s="32"/>
      <c r="EX62" s="32"/>
      <c r="EY62" s="32"/>
      <c r="EZ62" s="32"/>
      <c r="FA62" s="32"/>
      <c r="FB62" s="32"/>
      <c r="FC62" s="32"/>
      <c r="FD62" s="32"/>
      <c r="FE62" s="32"/>
      <c r="FF62" s="32"/>
      <c r="FG62" s="32"/>
      <c r="FH62" s="32"/>
      <c r="FI62" s="32"/>
      <c r="FJ62" s="32"/>
      <c r="FK62" s="32"/>
      <c r="FL62" s="32"/>
      <c r="FM62" s="32"/>
      <c r="FN62" s="32"/>
      <c r="FO62" s="32"/>
      <c r="FP62" s="32"/>
      <c r="FQ62" s="32"/>
      <c r="FR62" s="32"/>
      <c r="FS62" s="32"/>
      <c r="FT62" s="32"/>
      <c r="FU62" s="32"/>
      <c r="FV62" s="32"/>
      <c r="FW62" s="32"/>
      <c r="FX62" s="32"/>
      <c r="FY62" s="32"/>
      <c r="FZ62" s="32"/>
      <c r="GA62" s="32"/>
      <c r="GB62" s="32"/>
      <c r="GC62" s="32"/>
      <c r="GD62" s="32"/>
      <c r="GE62" s="32"/>
      <c r="GF62" s="32"/>
      <c r="GG62" s="32"/>
      <c r="GH62" s="32"/>
      <c r="GI62" s="32"/>
      <c r="GJ62" s="32"/>
      <c r="GK62" s="32"/>
      <c r="GL62" s="32"/>
      <c r="GM62" s="32"/>
      <c r="GN62" s="32"/>
      <c r="GO62" s="32"/>
      <c r="GP62" s="32"/>
      <c r="GQ62" s="32"/>
      <c r="GR62" s="32"/>
      <c r="GS62" s="32"/>
      <c r="GT62" s="32"/>
      <c r="GU62" s="32"/>
      <c r="GV62" s="32"/>
      <c r="GW62" s="32"/>
      <c r="GX62" s="32"/>
      <c r="GY62" s="32"/>
      <c r="GZ62" s="32"/>
      <c r="HA62" s="32"/>
      <c r="HB62" s="32"/>
      <c r="HC62" s="32"/>
      <c r="HD62" s="32"/>
      <c r="HE62" s="32"/>
      <c r="HF62" s="32"/>
      <c r="HG62" s="32"/>
      <c r="HH62" s="32"/>
      <c r="HI62" s="32"/>
      <c r="HJ62" s="32"/>
      <c r="HK62" s="32"/>
      <c r="HL62" s="32"/>
      <c r="HM62" s="32"/>
      <c r="HN62" s="32"/>
      <c r="HO62" s="32"/>
      <c r="HP62" s="32"/>
      <c r="HQ62" s="32"/>
      <c r="HR62" s="32"/>
      <c r="HS62" s="32"/>
      <c r="HT62" s="32"/>
      <c r="HU62" s="32"/>
      <c r="HV62" s="32"/>
      <c r="HW62" s="32"/>
      <c r="HX62" s="32"/>
      <c r="HY62" s="32"/>
      <c r="HZ62" s="32"/>
      <c r="IA62" s="32"/>
      <c r="IB62" s="32"/>
      <c r="IC62" s="23"/>
    </row>
    <row r="63" spans="2:237" ht="15" customHeight="1" x14ac:dyDescent="0.2">
      <c r="B63" s="16"/>
      <c r="C63" s="39"/>
      <c r="D63" s="39"/>
      <c r="E63" s="39"/>
      <c r="F63" s="39"/>
      <c r="G63" s="39"/>
      <c r="H63" s="17"/>
      <c r="I63" s="17"/>
      <c r="J63" s="33" t="str">
        <f ca="1">IF(AND(H63&lt;&gt;"",I63&lt;&gt;""),IF($F$8=1,NETWORKDAYS(H63,I63),IF($F$8=3,I63-H63+1,NETWORKDAYS(H63,I63)+SUM(OFFSET($M$15,-2,MATCH(H63,$M$15:$IB$15,0)):OFFSET($M$15,-2,MATCH(I63,$M$15:$IB$15,0)-1)))),"")</f>
        <v/>
      </c>
      <c r="K63" s="33" t="str">
        <f t="shared" ca="1" si="10"/>
        <v/>
      </c>
      <c r="L63" s="33" t="str">
        <f t="shared" ca="1" si="11"/>
        <v/>
      </c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  <c r="EW63" s="32"/>
      <c r="EX63" s="32"/>
      <c r="EY63" s="32"/>
      <c r="EZ63" s="32"/>
      <c r="FA63" s="32"/>
      <c r="FB63" s="32"/>
      <c r="FC63" s="32"/>
      <c r="FD63" s="32"/>
      <c r="FE63" s="32"/>
      <c r="FF63" s="32"/>
      <c r="FG63" s="32"/>
      <c r="FH63" s="32"/>
      <c r="FI63" s="32"/>
      <c r="FJ63" s="32"/>
      <c r="FK63" s="32"/>
      <c r="FL63" s="32"/>
      <c r="FM63" s="32"/>
      <c r="FN63" s="32"/>
      <c r="FO63" s="32"/>
      <c r="FP63" s="32"/>
      <c r="FQ63" s="32"/>
      <c r="FR63" s="32"/>
      <c r="FS63" s="32"/>
      <c r="FT63" s="32"/>
      <c r="FU63" s="32"/>
      <c r="FV63" s="32"/>
      <c r="FW63" s="32"/>
      <c r="FX63" s="32"/>
      <c r="FY63" s="32"/>
      <c r="FZ63" s="32"/>
      <c r="GA63" s="32"/>
      <c r="GB63" s="32"/>
      <c r="GC63" s="32"/>
      <c r="GD63" s="32"/>
      <c r="GE63" s="32"/>
      <c r="GF63" s="32"/>
      <c r="GG63" s="32"/>
      <c r="GH63" s="32"/>
      <c r="GI63" s="32"/>
      <c r="GJ63" s="32"/>
      <c r="GK63" s="32"/>
      <c r="GL63" s="32"/>
      <c r="GM63" s="32"/>
      <c r="GN63" s="32"/>
      <c r="GO63" s="32"/>
      <c r="GP63" s="32"/>
      <c r="GQ63" s="32"/>
      <c r="GR63" s="32"/>
      <c r="GS63" s="32"/>
      <c r="GT63" s="32"/>
      <c r="GU63" s="32"/>
      <c r="GV63" s="32"/>
      <c r="GW63" s="32"/>
      <c r="GX63" s="32"/>
      <c r="GY63" s="32"/>
      <c r="GZ63" s="32"/>
      <c r="HA63" s="32"/>
      <c r="HB63" s="32"/>
      <c r="HC63" s="32"/>
      <c r="HD63" s="32"/>
      <c r="HE63" s="32"/>
      <c r="HF63" s="32"/>
      <c r="HG63" s="32"/>
      <c r="HH63" s="32"/>
      <c r="HI63" s="32"/>
      <c r="HJ63" s="32"/>
      <c r="HK63" s="32"/>
      <c r="HL63" s="32"/>
      <c r="HM63" s="32"/>
      <c r="HN63" s="32"/>
      <c r="HO63" s="32"/>
      <c r="HP63" s="32"/>
      <c r="HQ63" s="32"/>
      <c r="HR63" s="32"/>
      <c r="HS63" s="32"/>
      <c r="HT63" s="32"/>
      <c r="HU63" s="32"/>
      <c r="HV63" s="32"/>
      <c r="HW63" s="32"/>
      <c r="HX63" s="32"/>
      <c r="HY63" s="32"/>
      <c r="HZ63" s="32"/>
      <c r="IA63" s="32"/>
      <c r="IB63" s="32"/>
      <c r="IC63" s="23"/>
    </row>
    <row r="64" spans="2:237" ht="15" customHeight="1" x14ac:dyDescent="0.2">
      <c r="B64" s="16"/>
      <c r="C64" s="39"/>
      <c r="D64" s="39"/>
      <c r="E64" s="39"/>
      <c r="F64" s="39"/>
      <c r="G64" s="39"/>
      <c r="H64" s="17"/>
      <c r="I64" s="17"/>
      <c r="J64" s="33" t="str">
        <f ca="1">IF(AND(H64&lt;&gt;"",I64&lt;&gt;""),IF($F$8=1,NETWORKDAYS(H64,I64),IF($F$8=3,I64-H64+1,NETWORKDAYS(H64,I64)+SUM(OFFSET($M$15,-2,MATCH(H64,$M$15:$IB$15,0)):OFFSET($M$15,-2,MATCH(I64,$M$15:$IB$15,0)-1)))),"")</f>
        <v/>
      </c>
      <c r="K64" s="33" t="str">
        <f t="shared" ca="1" si="10"/>
        <v/>
      </c>
      <c r="L64" s="33" t="str">
        <f t="shared" ca="1" si="11"/>
        <v/>
      </c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  <c r="EW64" s="32"/>
      <c r="EX64" s="32"/>
      <c r="EY64" s="32"/>
      <c r="EZ64" s="32"/>
      <c r="FA64" s="32"/>
      <c r="FB64" s="32"/>
      <c r="FC64" s="32"/>
      <c r="FD64" s="32"/>
      <c r="FE64" s="32"/>
      <c r="FF64" s="32"/>
      <c r="FG64" s="32"/>
      <c r="FH64" s="32"/>
      <c r="FI64" s="32"/>
      <c r="FJ64" s="32"/>
      <c r="FK64" s="32"/>
      <c r="FL64" s="32"/>
      <c r="FM64" s="32"/>
      <c r="FN64" s="32"/>
      <c r="FO64" s="32"/>
      <c r="FP64" s="32"/>
      <c r="FQ64" s="32"/>
      <c r="FR64" s="32"/>
      <c r="FS64" s="32"/>
      <c r="FT64" s="32"/>
      <c r="FU64" s="32"/>
      <c r="FV64" s="32"/>
      <c r="FW64" s="32"/>
      <c r="FX64" s="32"/>
      <c r="FY64" s="32"/>
      <c r="FZ64" s="32"/>
      <c r="GA64" s="32"/>
      <c r="GB64" s="32"/>
      <c r="GC64" s="32"/>
      <c r="GD64" s="32"/>
      <c r="GE64" s="32"/>
      <c r="GF64" s="32"/>
      <c r="GG64" s="32"/>
      <c r="GH64" s="32"/>
      <c r="GI64" s="32"/>
      <c r="GJ64" s="32"/>
      <c r="GK64" s="32"/>
      <c r="GL64" s="32"/>
      <c r="GM64" s="32"/>
      <c r="GN64" s="32"/>
      <c r="GO64" s="32"/>
      <c r="GP64" s="32"/>
      <c r="GQ64" s="32"/>
      <c r="GR64" s="32"/>
      <c r="GS64" s="32"/>
      <c r="GT64" s="32"/>
      <c r="GU64" s="32"/>
      <c r="GV64" s="32"/>
      <c r="GW64" s="32"/>
      <c r="GX64" s="32"/>
      <c r="GY64" s="32"/>
      <c r="GZ64" s="32"/>
      <c r="HA64" s="32"/>
      <c r="HB64" s="32"/>
      <c r="HC64" s="32"/>
      <c r="HD64" s="32"/>
      <c r="HE64" s="32"/>
      <c r="HF64" s="32"/>
      <c r="HG64" s="32"/>
      <c r="HH64" s="32"/>
      <c r="HI64" s="32"/>
      <c r="HJ64" s="32"/>
      <c r="HK64" s="32"/>
      <c r="HL64" s="32"/>
      <c r="HM64" s="32"/>
      <c r="HN64" s="32"/>
      <c r="HO64" s="32"/>
      <c r="HP64" s="32"/>
      <c r="HQ64" s="32"/>
      <c r="HR64" s="32"/>
      <c r="HS64" s="32"/>
      <c r="HT64" s="32"/>
      <c r="HU64" s="32"/>
      <c r="HV64" s="32"/>
      <c r="HW64" s="32"/>
      <c r="HX64" s="32"/>
      <c r="HY64" s="32"/>
      <c r="HZ64" s="32"/>
      <c r="IA64" s="32"/>
      <c r="IB64" s="32"/>
      <c r="IC64" s="23"/>
    </row>
    <row r="65" spans="2:237" ht="15" customHeight="1" x14ac:dyDescent="0.2">
      <c r="B65" s="16"/>
      <c r="C65" s="39"/>
      <c r="D65" s="39"/>
      <c r="E65" s="39"/>
      <c r="F65" s="39"/>
      <c r="G65" s="39"/>
      <c r="H65" s="17"/>
      <c r="I65" s="17"/>
      <c r="J65" s="33" t="str">
        <f ca="1">IF(AND(H65&lt;&gt;"",I65&lt;&gt;""),IF($F$8=1,NETWORKDAYS(H65,I65),IF($F$8=3,I65-H65+1,NETWORKDAYS(H65,I65)+SUM(OFFSET($M$15,-2,MATCH(H65,$M$15:$IB$15,0)):OFFSET($M$15,-2,MATCH(I65,$M$15:$IB$15,0)-1)))),"")</f>
        <v/>
      </c>
      <c r="K65" s="33" t="str">
        <f t="shared" ca="1" si="10"/>
        <v/>
      </c>
      <c r="L65" s="33" t="str">
        <f t="shared" ca="1" si="11"/>
        <v/>
      </c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  <c r="EW65" s="32"/>
      <c r="EX65" s="32"/>
      <c r="EY65" s="32"/>
      <c r="EZ65" s="32"/>
      <c r="FA65" s="32"/>
      <c r="FB65" s="32"/>
      <c r="FC65" s="32"/>
      <c r="FD65" s="32"/>
      <c r="FE65" s="32"/>
      <c r="FF65" s="32"/>
      <c r="FG65" s="32"/>
      <c r="FH65" s="32"/>
      <c r="FI65" s="32"/>
      <c r="FJ65" s="32"/>
      <c r="FK65" s="32"/>
      <c r="FL65" s="32"/>
      <c r="FM65" s="32"/>
      <c r="FN65" s="32"/>
      <c r="FO65" s="32"/>
      <c r="FP65" s="32"/>
      <c r="FQ65" s="32"/>
      <c r="FR65" s="32"/>
      <c r="FS65" s="32"/>
      <c r="FT65" s="32"/>
      <c r="FU65" s="32"/>
      <c r="FV65" s="32"/>
      <c r="FW65" s="32"/>
      <c r="FX65" s="32"/>
      <c r="FY65" s="32"/>
      <c r="FZ65" s="32"/>
      <c r="GA65" s="32"/>
      <c r="GB65" s="32"/>
      <c r="GC65" s="32"/>
      <c r="GD65" s="32"/>
      <c r="GE65" s="32"/>
      <c r="GF65" s="32"/>
      <c r="GG65" s="32"/>
      <c r="GH65" s="32"/>
      <c r="GI65" s="32"/>
      <c r="GJ65" s="32"/>
      <c r="GK65" s="32"/>
      <c r="GL65" s="32"/>
      <c r="GM65" s="32"/>
      <c r="GN65" s="32"/>
      <c r="GO65" s="32"/>
      <c r="GP65" s="32"/>
      <c r="GQ65" s="32"/>
      <c r="GR65" s="32"/>
      <c r="GS65" s="32"/>
      <c r="GT65" s="32"/>
      <c r="GU65" s="32"/>
      <c r="GV65" s="32"/>
      <c r="GW65" s="32"/>
      <c r="GX65" s="32"/>
      <c r="GY65" s="32"/>
      <c r="GZ65" s="32"/>
      <c r="HA65" s="32"/>
      <c r="HB65" s="32"/>
      <c r="HC65" s="32"/>
      <c r="HD65" s="32"/>
      <c r="HE65" s="32"/>
      <c r="HF65" s="32"/>
      <c r="HG65" s="32"/>
      <c r="HH65" s="32"/>
      <c r="HI65" s="32"/>
      <c r="HJ65" s="32"/>
      <c r="HK65" s="32"/>
      <c r="HL65" s="32"/>
      <c r="HM65" s="32"/>
      <c r="HN65" s="32"/>
      <c r="HO65" s="32"/>
      <c r="HP65" s="32"/>
      <c r="HQ65" s="32"/>
      <c r="HR65" s="32"/>
      <c r="HS65" s="32"/>
      <c r="HT65" s="32"/>
      <c r="HU65" s="32"/>
      <c r="HV65" s="32"/>
      <c r="HW65" s="32"/>
      <c r="HX65" s="32"/>
      <c r="HY65" s="32"/>
      <c r="HZ65" s="32"/>
      <c r="IA65" s="32"/>
      <c r="IB65" s="32"/>
      <c r="IC65" s="23"/>
    </row>
    <row r="66" spans="2:237" ht="15" customHeight="1" x14ac:dyDescent="0.2">
      <c r="B66" s="16"/>
      <c r="C66" s="39"/>
      <c r="D66" s="39"/>
      <c r="E66" s="39"/>
      <c r="F66" s="39"/>
      <c r="G66" s="39"/>
      <c r="H66" s="17"/>
      <c r="I66" s="17"/>
      <c r="J66" s="33" t="str">
        <f ca="1">IF(AND(H66&lt;&gt;"",I66&lt;&gt;""),IF($F$8=1,NETWORKDAYS(H66,I66),IF($F$8=3,I66-H66+1,NETWORKDAYS(H66,I66)+SUM(OFFSET($M$15,-2,MATCH(H66,$M$15:$IB$15,0)):OFFSET($M$15,-2,MATCH(I66,$M$15:$IB$15,0)-1)))),"")</f>
        <v/>
      </c>
      <c r="K66" s="33" t="str">
        <f t="shared" ca="1" si="10"/>
        <v/>
      </c>
      <c r="L66" s="33" t="str">
        <f t="shared" ca="1" si="11"/>
        <v/>
      </c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  <c r="EW66" s="32"/>
      <c r="EX66" s="32"/>
      <c r="EY66" s="32"/>
      <c r="EZ66" s="32"/>
      <c r="FA66" s="32"/>
      <c r="FB66" s="32"/>
      <c r="FC66" s="32"/>
      <c r="FD66" s="32"/>
      <c r="FE66" s="32"/>
      <c r="FF66" s="32"/>
      <c r="FG66" s="32"/>
      <c r="FH66" s="32"/>
      <c r="FI66" s="32"/>
      <c r="FJ66" s="32"/>
      <c r="FK66" s="32"/>
      <c r="FL66" s="32"/>
      <c r="FM66" s="32"/>
      <c r="FN66" s="32"/>
      <c r="FO66" s="32"/>
      <c r="FP66" s="32"/>
      <c r="FQ66" s="32"/>
      <c r="FR66" s="32"/>
      <c r="FS66" s="32"/>
      <c r="FT66" s="32"/>
      <c r="FU66" s="32"/>
      <c r="FV66" s="32"/>
      <c r="FW66" s="32"/>
      <c r="FX66" s="32"/>
      <c r="FY66" s="32"/>
      <c r="FZ66" s="32"/>
      <c r="GA66" s="32"/>
      <c r="GB66" s="32"/>
      <c r="GC66" s="32"/>
      <c r="GD66" s="32"/>
      <c r="GE66" s="32"/>
      <c r="GF66" s="32"/>
      <c r="GG66" s="32"/>
      <c r="GH66" s="32"/>
      <c r="GI66" s="32"/>
      <c r="GJ66" s="32"/>
      <c r="GK66" s="32"/>
      <c r="GL66" s="32"/>
      <c r="GM66" s="32"/>
      <c r="GN66" s="32"/>
      <c r="GO66" s="32"/>
      <c r="GP66" s="32"/>
      <c r="GQ66" s="32"/>
      <c r="GR66" s="32"/>
      <c r="GS66" s="32"/>
      <c r="GT66" s="32"/>
      <c r="GU66" s="32"/>
      <c r="GV66" s="32"/>
      <c r="GW66" s="32"/>
      <c r="GX66" s="32"/>
      <c r="GY66" s="32"/>
      <c r="GZ66" s="32"/>
      <c r="HA66" s="32"/>
      <c r="HB66" s="32"/>
      <c r="HC66" s="32"/>
      <c r="HD66" s="32"/>
      <c r="HE66" s="32"/>
      <c r="HF66" s="32"/>
      <c r="HG66" s="32"/>
      <c r="HH66" s="32"/>
      <c r="HI66" s="32"/>
      <c r="HJ66" s="32"/>
      <c r="HK66" s="32"/>
      <c r="HL66" s="32"/>
      <c r="HM66" s="32"/>
      <c r="HN66" s="32"/>
      <c r="HO66" s="32"/>
      <c r="HP66" s="32"/>
      <c r="HQ66" s="32"/>
      <c r="HR66" s="32"/>
      <c r="HS66" s="32"/>
      <c r="HT66" s="32"/>
      <c r="HU66" s="32"/>
      <c r="HV66" s="32"/>
      <c r="HW66" s="32"/>
      <c r="HX66" s="32"/>
      <c r="HY66" s="32"/>
      <c r="HZ66" s="32"/>
      <c r="IA66" s="32"/>
      <c r="IB66" s="32"/>
      <c r="IC66" s="23"/>
    </row>
    <row r="67" spans="2:237" ht="15" customHeight="1" x14ac:dyDescent="0.2">
      <c r="B67" s="16"/>
      <c r="C67" s="39"/>
      <c r="D67" s="39"/>
      <c r="E67" s="39"/>
      <c r="F67" s="39"/>
      <c r="G67" s="39"/>
      <c r="H67" s="17"/>
      <c r="I67" s="17"/>
      <c r="J67" s="33" t="str">
        <f ca="1">IF(AND(H67&lt;&gt;"",I67&lt;&gt;""),IF($F$8=1,NETWORKDAYS(H67,I67),IF($F$8=3,I67-H67+1,NETWORKDAYS(H67,I67)+SUM(OFFSET($M$15,-2,MATCH(H67,$M$15:$IB$15,0)):OFFSET($M$15,-2,MATCH(I67,$M$15:$IB$15,0)-1)))),"")</f>
        <v/>
      </c>
      <c r="K67" s="33" t="str">
        <f t="shared" ca="1" si="10"/>
        <v/>
      </c>
      <c r="L67" s="33" t="str">
        <f t="shared" ca="1" si="11"/>
        <v/>
      </c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  <c r="EW67" s="32"/>
      <c r="EX67" s="32"/>
      <c r="EY67" s="32"/>
      <c r="EZ67" s="32"/>
      <c r="FA67" s="32"/>
      <c r="FB67" s="32"/>
      <c r="FC67" s="32"/>
      <c r="FD67" s="32"/>
      <c r="FE67" s="32"/>
      <c r="FF67" s="32"/>
      <c r="FG67" s="32"/>
      <c r="FH67" s="32"/>
      <c r="FI67" s="32"/>
      <c r="FJ67" s="32"/>
      <c r="FK67" s="32"/>
      <c r="FL67" s="32"/>
      <c r="FM67" s="32"/>
      <c r="FN67" s="32"/>
      <c r="FO67" s="32"/>
      <c r="FP67" s="32"/>
      <c r="FQ67" s="32"/>
      <c r="FR67" s="32"/>
      <c r="FS67" s="32"/>
      <c r="FT67" s="32"/>
      <c r="FU67" s="32"/>
      <c r="FV67" s="32"/>
      <c r="FW67" s="32"/>
      <c r="FX67" s="32"/>
      <c r="FY67" s="32"/>
      <c r="FZ67" s="32"/>
      <c r="GA67" s="32"/>
      <c r="GB67" s="32"/>
      <c r="GC67" s="32"/>
      <c r="GD67" s="32"/>
      <c r="GE67" s="32"/>
      <c r="GF67" s="32"/>
      <c r="GG67" s="32"/>
      <c r="GH67" s="32"/>
      <c r="GI67" s="32"/>
      <c r="GJ67" s="32"/>
      <c r="GK67" s="32"/>
      <c r="GL67" s="32"/>
      <c r="GM67" s="32"/>
      <c r="GN67" s="32"/>
      <c r="GO67" s="32"/>
      <c r="GP67" s="32"/>
      <c r="GQ67" s="32"/>
      <c r="GR67" s="32"/>
      <c r="GS67" s="32"/>
      <c r="GT67" s="32"/>
      <c r="GU67" s="32"/>
      <c r="GV67" s="32"/>
      <c r="GW67" s="32"/>
      <c r="GX67" s="32"/>
      <c r="GY67" s="32"/>
      <c r="GZ67" s="32"/>
      <c r="HA67" s="32"/>
      <c r="HB67" s="32"/>
      <c r="HC67" s="32"/>
      <c r="HD67" s="32"/>
      <c r="HE67" s="32"/>
      <c r="HF67" s="32"/>
      <c r="HG67" s="32"/>
      <c r="HH67" s="32"/>
      <c r="HI67" s="32"/>
      <c r="HJ67" s="32"/>
      <c r="HK67" s="32"/>
      <c r="HL67" s="32"/>
      <c r="HM67" s="32"/>
      <c r="HN67" s="32"/>
      <c r="HO67" s="32"/>
      <c r="HP67" s="32"/>
      <c r="HQ67" s="32"/>
      <c r="HR67" s="32"/>
      <c r="HS67" s="32"/>
      <c r="HT67" s="32"/>
      <c r="HU67" s="32"/>
      <c r="HV67" s="32"/>
      <c r="HW67" s="32"/>
      <c r="HX67" s="32"/>
      <c r="HY67" s="32"/>
      <c r="HZ67" s="32"/>
      <c r="IA67" s="32"/>
      <c r="IB67" s="32"/>
      <c r="IC67" s="23"/>
    </row>
    <row r="68" spans="2:237" ht="15" customHeight="1" x14ac:dyDescent="0.2">
      <c r="B68" s="16"/>
      <c r="C68" s="39"/>
      <c r="D68" s="39"/>
      <c r="E68" s="39"/>
      <c r="F68" s="39"/>
      <c r="G68" s="39"/>
      <c r="H68" s="17"/>
      <c r="I68" s="17"/>
      <c r="J68" s="33" t="str">
        <f ca="1">IF(AND(H68&lt;&gt;"",I68&lt;&gt;""),IF($F$8=1,NETWORKDAYS(H68,I68),IF($F$8=3,I68-H68+1,NETWORKDAYS(H68,I68)+SUM(OFFSET($M$15,-2,MATCH(H68,$M$15:$IB$15,0)):OFFSET($M$15,-2,MATCH(I68,$M$15:$IB$15,0)-1)))),"")</f>
        <v/>
      </c>
      <c r="K68" s="33" t="str">
        <f t="shared" ca="1" si="10"/>
        <v/>
      </c>
      <c r="L68" s="33" t="str">
        <f t="shared" ca="1" si="11"/>
        <v/>
      </c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  <c r="EW68" s="32"/>
      <c r="EX68" s="32"/>
      <c r="EY68" s="32"/>
      <c r="EZ68" s="32"/>
      <c r="FA68" s="32"/>
      <c r="FB68" s="32"/>
      <c r="FC68" s="32"/>
      <c r="FD68" s="32"/>
      <c r="FE68" s="32"/>
      <c r="FF68" s="32"/>
      <c r="FG68" s="32"/>
      <c r="FH68" s="32"/>
      <c r="FI68" s="32"/>
      <c r="FJ68" s="32"/>
      <c r="FK68" s="32"/>
      <c r="FL68" s="32"/>
      <c r="FM68" s="32"/>
      <c r="FN68" s="32"/>
      <c r="FO68" s="32"/>
      <c r="FP68" s="32"/>
      <c r="FQ68" s="32"/>
      <c r="FR68" s="32"/>
      <c r="FS68" s="32"/>
      <c r="FT68" s="32"/>
      <c r="FU68" s="32"/>
      <c r="FV68" s="32"/>
      <c r="FW68" s="32"/>
      <c r="FX68" s="32"/>
      <c r="FY68" s="32"/>
      <c r="FZ68" s="32"/>
      <c r="GA68" s="32"/>
      <c r="GB68" s="32"/>
      <c r="GC68" s="32"/>
      <c r="GD68" s="32"/>
      <c r="GE68" s="32"/>
      <c r="GF68" s="32"/>
      <c r="GG68" s="32"/>
      <c r="GH68" s="32"/>
      <c r="GI68" s="32"/>
      <c r="GJ68" s="32"/>
      <c r="GK68" s="32"/>
      <c r="GL68" s="32"/>
      <c r="GM68" s="32"/>
      <c r="GN68" s="32"/>
      <c r="GO68" s="32"/>
      <c r="GP68" s="32"/>
      <c r="GQ68" s="32"/>
      <c r="GR68" s="32"/>
      <c r="GS68" s="32"/>
      <c r="GT68" s="32"/>
      <c r="GU68" s="32"/>
      <c r="GV68" s="32"/>
      <c r="GW68" s="32"/>
      <c r="GX68" s="32"/>
      <c r="GY68" s="32"/>
      <c r="GZ68" s="32"/>
      <c r="HA68" s="32"/>
      <c r="HB68" s="32"/>
      <c r="HC68" s="32"/>
      <c r="HD68" s="32"/>
      <c r="HE68" s="32"/>
      <c r="HF68" s="32"/>
      <c r="HG68" s="32"/>
      <c r="HH68" s="32"/>
      <c r="HI68" s="32"/>
      <c r="HJ68" s="32"/>
      <c r="HK68" s="32"/>
      <c r="HL68" s="32"/>
      <c r="HM68" s="32"/>
      <c r="HN68" s="32"/>
      <c r="HO68" s="32"/>
      <c r="HP68" s="32"/>
      <c r="HQ68" s="32"/>
      <c r="HR68" s="32"/>
      <c r="HS68" s="32"/>
      <c r="HT68" s="32"/>
      <c r="HU68" s="32"/>
      <c r="HV68" s="32"/>
      <c r="HW68" s="32"/>
      <c r="HX68" s="32"/>
      <c r="HY68" s="32"/>
      <c r="HZ68" s="32"/>
      <c r="IA68" s="32"/>
      <c r="IB68" s="32"/>
      <c r="IC68" s="23"/>
    </row>
    <row r="69" spans="2:237" ht="15" customHeight="1" x14ac:dyDescent="0.2">
      <c r="B69" s="16"/>
      <c r="C69" s="39"/>
      <c r="D69" s="39"/>
      <c r="E69" s="39"/>
      <c r="F69" s="39"/>
      <c r="G69" s="39"/>
      <c r="H69" s="17"/>
      <c r="I69" s="17"/>
      <c r="J69" s="33" t="str">
        <f ca="1">IF(AND(H69&lt;&gt;"",I69&lt;&gt;""),IF($F$8=1,NETWORKDAYS(H69,I69),IF($F$8=3,I69-H69+1,NETWORKDAYS(H69,I69)+SUM(OFFSET($M$15,-2,MATCH(H69,$M$15:$IB$15,0)):OFFSET($M$15,-2,MATCH(I69,$M$15:$IB$15,0)-1)))),"")</f>
        <v/>
      </c>
      <c r="K69" s="33" t="str">
        <f t="shared" ca="1" si="10"/>
        <v/>
      </c>
      <c r="L69" s="33" t="str">
        <f t="shared" ca="1" si="11"/>
        <v/>
      </c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  <c r="EW69" s="32"/>
      <c r="EX69" s="32"/>
      <c r="EY69" s="32"/>
      <c r="EZ69" s="32"/>
      <c r="FA69" s="32"/>
      <c r="FB69" s="32"/>
      <c r="FC69" s="32"/>
      <c r="FD69" s="32"/>
      <c r="FE69" s="32"/>
      <c r="FF69" s="32"/>
      <c r="FG69" s="32"/>
      <c r="FH69" s="32"/>
      <c r="FI69" s="32"/>
      <c r="FJ69" s="32"/>
      <c r="FK69" s="32"/>
      <c r="FL69" s="32"/>
      <c r="FM69" s="32"/>
      <c r="FN69" s="32"/>
      <c r="FO69" s="32"/>
      <c r="FP69" s="32"/>
      <c r="FQ69" s="32"/>
      <c r="FR69" s="32"/>
      <c r="FS69" s="32"/>
      <c r="FT69" s="32"/>
      <c r="FU69" s="32"/>
      <c r="FV69" s="32"/>
      <c r="FW69" s="32"/>
      <c r="FX69" s="32"/>
      <c r="FY69" s="32"/>
      <c r="FZ69" s="32"/>
      <c r="GA69" s="32"/>
      <c r="GB69" s="32"/>
      <c r="GC69" s="32"/>
      <c r="GD69" s="32"/>
      <c r="GE69" s="32"/>
      <c r="GF69" s="32"/>
      <c r="GG69" s="32"/>
      <c r="GH69" s="32"/>
      <c r="GI69" s="32"/>
      <c r="GJ69" s="32"/>
      <c r="GK69" s="32"/>
      <c r="GL69" s="32"/>
      <c r="GM69" s="32"/>
      <c r="GN69" s="32"/>
      <c r="GO69" s="32"/>
      <c r="GP69" s="32"/>
      <c r="GQ69" s="32"/>
      <c r="GR69" s="32"/>
      <c r="GS69" s="32"/>
      <c r="GT69" s="32"/>
      <c r="GU69" s="32"/>
      <c r="GV69" s="32"/>
      <c r="GW69" s="32"/>
      <c r="GX69" s="32"/>
      <c r="GY69" s="32"/>
      <c r="GZ69" s="32"/>
      <c r="HA69" s="32"/>
      <c r="HB69" s="32"/>
      <c r="HC69" s="32"/>
      <c r="HD69" s="32"/>
      <c r="HE69" s="32"/>
      <c r="HF69" s="32"/>
      <c r="HG69" s="32"/>
      <c r="HH69" s="32"/>
      <c r="HI69" s="32"/>
      <c r="HJ69" s="32"/>
      <c r="HK69" s="32"/>
      <c r="HL69" s="32"/>
      <c r="HM69" s="32"/>
      <c r="HN69" s="32"/>
      <c r="HO69" s="32"/>
      <c r="HP69" s="32"/>
      <c r="HQ69" s="32"/>
      <c r="HR69" s="32"/>
      <c r="HS69" s="32"/>
      <c r="HT69" s="32"/>
      <c r="HU69" s="32"/>
      <c r="HV69" s="32"/>
      <c r="HW69" s="32"/>
      <c r="HX69" s="32"/>
      <c r="HY69" s="32"/>
      <c r="HZ69" s="32"/>
      <c r="IA69" s="32"/>
      <c r="IB69" s="32"/>
      <c r="IC69" s="23"/>
    </row>
    <row r="70" spans="2:237" ht="15" customHeight="1" x14ac:dyDescent="0.2">
      <c r="B70" s="16"/>
      <c r="C70" s="39"/>
      <c r="D70" s="39"/>
      <c r="E70" s="39"/>
      <c r="F70" s="39"/>
      <c r="G70" s="39"/>
      <c r="H70" s="17"/>
      <c r="I70" s="17"/>
      <c r="J70" s="33" t="str">
        <f ca="1">IF(AND(H70&lt;&gt;"",I70&lt;&gt;""),IF($F$8=1,NETWORKDAYS(H70,I70),IF($F$8=3,I70-H70+1,NETWORKDAYS(H70,I70)+SUM(OFFSET($M$15,-2,MATCH(H70,$M$15:$IB$15,0)):OFFSET($M$15,-2,MATCH(I70,$M$15:$IB$15,0)-1)))),"")</f>
        <v/>
      </c>
      <c r="K70" s="33" t="str">
        <f t="shared" ca="1" si="10"/>
        <v/>
      </c>
      <c r="L70" s="33" t="str">
        <f t="shared" ca="1" si="11"/>
        <v/>
      </c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  <c r="EW70" s="32"/>
      <c r="EX70" s="32"/>
      <c r="EY70" s="32"/>
      <c r="EZ70" s="32"/>
      <c r="FA70" s="32"/>
      <c r="FB70" s="32"/>
      <c r="FC70" s="32"/>
      <c r="FD70" s="32"/>
      <c r="FE70" s="32"/>
      <c r="FF70" s="32"/>
      <c r="FG70" s="32"/>
      <c r="FH70" s="32"/>
      <c r="FI70" s="32"/>
      <c r="FJ70" s="32"/>
      <c r="FK70" s="32"/>
      <c r="FL70" s="32"/>
      <c r="FM70" s="32"/>
      <c r="FN70" s="32"/>
      <c r="FO70" s="32"/>
      <c r="FP70" s="32"/>
      <c r="FQ70" s="32"/>
      <c r="FR70" s="32"/>
      <c r="FS70" s="32"/>
      <c r="FT70" s="32"/>
      <c r="FU70" s="32"/>
      <c r="FV70" s="32"/>
      <c r="FW70" s="32"/>
      <c r="FX70" s="32"/>
      <c r="FY70" s="32"/>
      <c r="FZ70" s="32"/>
      <c r="GA70" s="32"/>
      <c r="GB70" s="32"/>
      <c r="GC70" s="32"/>
      <c r="GD70" s="32"/>
      <c r="GE70" s="32"/>
      <c r="GF70" s="32"/>
      <c r="GG70" s="32"/>
      <c r="GH70" s="32"/>
      <c r="GI70" s="32"/>
      <c r="GJ70" s="32"/>
      <c r="GK70" s="32"/>
      <c r="GL70" s="32"/>
      <c r="GM70" s="32"/>
      <c r="GN70" s="32"/>
      <c r="GO70" s="32"/>
      <c r="GP70" s="32"/>
      <c r="GQ70" s="32"/>
      <c r="GR70" s="32"/>
      <c r="GS70" s="32"/>
      <c r="GT70" s="32"/>
      <c r="GU70" s="32"/>
      <c r="GV70" s="32"/>
      <c r="GW70" s="32"/>
      <c r="GX70" s="32"/>
      <c r="GY70" s="32"/>
      <c r="GZ70" s="32"/>
      <c r="HA70" s="32"/>
      <c r="HB70" s="32"/>
      <c r="HC70" s="32"/>
      <c r="HD70" s="32"/>
      <c r="HE70" s="32"/>
      <c r="HF70" s="32"/>
      <c r="HG70" s="32"/>
      <c r="HH70" s="32"/>
      <c r="HI70" s="32"/>
      <c r="HJ70" s="32"/>
      <c r="HK70" s="32"/>
      <c r="HL70" s="32"/>
      <c r="HM70" s="32"/>
      <c r="HN70" s="32"/>
      <c r="HO70" s="32"/>
      <c r="HP70" s="32"/>
      <c r="HQ70" s="32"/>
      <c r="HR70" s="32"/>
      <c r="HS70" s="32"/>
      <c r="HT70" s="32"/>
      <c r="HU70" s="32"/>
      <c r="HV70" s="32"/>
      <c r="HW70" s="32"/>
      <c r="HX70" s="32"/>
      <c r="HY70" s="32"/>
      <c r="HZ70" s="32"/>
      <c r="IA70" s="32"/>
      <c r="IB70" s="32"/>
      <c r="IC70" s="23"/>
    </row>
    <row r="71" spans="2:237" ht="15" customHeight="1" x14ac:dyDescent="0.2">
      <c r="B71" s="16"/>
      <c r="C71" s="39"/>
      <c r="D71" s="39"/>
      <c r="E71" s="39"/>
      <c r="F71" s="39"/>
      <c r="G71" s="39"/>
      <c r="H71" s="17"/>
      <c r="I71" s="17"/>
      <c r="J71" s="33" t="str">
        <f ca="1">IF(AND(H71&lt;&gt;"",I71&lt;&gt;""),IF($F$8=1,NETWORKDAYS(H71,I71),IF($F$8=3,I71-H71+1,NETWORKDAYS(H71,I71)+SUM(OFFSET($M$15,-2,MATCH(H71,$M$15:$IB$15,0)):OFFSET($M$15,-2,MATCH(I71,$M$15:$IB$15,0)-1)))),"")</f>
        <v/>
      </c>
      <c r="K71" s="33" t="str">
        <f t="shared" ca="1" si="10"/>
        <v/>
      </c>
      <c r="L71" s="33" t="str">
        <f t="shared" ca="1" si="11"/>
        <v/>
      </c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  <c r="EW71" s="32"/>
      <c r="EX71" s="32"/>
      <c r="EY71" s="32"/>
      <c r="EZ71" s="32"/>
      <c r="FA71" s="32"/>
      <c r="FB71" s="32"/>
      <c r="FC71" s="32"/>
      <c r="FD71" s="32"/>
      <c r="FE71" s="32"/>
      <c r="FF71" s="32"/>
      <c r="FG71" s="32"/>
      <c r="FH71" s="32"/>
      <c r="FI71" s="32"/>
      <c r="FJ71" s="32"/>
      <c r="FK71" s="32"/>
      <c r="FL71" s="32"/>
      <c r="FM71" s="32"/>
      <c r="FN71" s="32"/>
      <c r="FO71" s="32"/>
      <c r="FP71" s="32"/>
      <c r="FQ71" s="32"/>
      <c r="FR71" s="32"/>
      <c r="FS71" s="32"/>
      <c r="FT71" s="32"/>
      <c r="FU71" s="32"/>
      <c r="FV71" s="32"/>
      <c r="FW71" s="32"/>
      <c r="FX71" s="32"/>
      <c r="FY71" s="32"/>
      <c r="FZ71" s="32"/>
      <c r="GA71" s="32"/>
      <c r="GB71" s="32"/>
      <c r="GC71" s="32"/>
      <c r="GD71" s="32"/>
      <c r="GE71" s="32"/>
      <c r="GF71" s="32"/>
      <c r="GG71" s="32"/>
      <c r="GH71" s="32"/>
      <c r="GI71" s="32"/>
      <c r="GJ71" s="32"/>
      <c r="GK71" s="32"/>
      <c r="GL71" s="32"/>
      <c r="GM71" s="32"/>
      <c r="GN71" s="32"/>
      <c r="GO71" s="32"/>
      <c r="GP71" s="32"/>
      <c r="GQ71" s="32"/>
      <c r="GR71" s="32"/>
      <c r="GS71" s="32"/>
      <c r="GT71" s="32"/>
      <c r="GU71" s="32"/>
      <c r="GV71" s="32"/>
      <c r="GW71" s="32"/>
      <c r="GX71" s="32"/>
      <c r="GY71" s="32"/>
      <c r="GZ71" s="32"/>
      <c r="HA71" s="32"/>
      <c r="HB71" s="32"/>
      <c r="HC71" s="32"/>
      <c r="HD71" s="32"/>
      <c r="HE71" s="32"/>
      <c r="HF71" s="32"/>
      <c r="HG71" s="32"/>
      <c r="HH71" s="32"/>
      <c r="HI71" s="32"/>
      <c r="HJ71" s="32"/>
      <c r="HK71" s="32"/>
      <c r="HL71" s="32"/>
      <c r="HM71" s="32"/>
      <c r="HN71" s="32"/>
      <c r="HO71" s="32"/>
      <c r="HP71" s="32"/>
      <c r="HQ71" s="32"/>
      <c r="HR71" s="32"/>
      <c r="HS71" s="32"/>
      <c r="HT71" s="32"/>
      <c r="HU71" s="32"/>
      <c r="HV71" s="32"/>
      <c r="HW71" s="32"/>
      <c r="HX71" s="32"/>
      <c r="HY71" s="32"/>
      <c r="HZ71" s="32"/>
      <c r="IA71" s="32"/>
      <c r="IB71" s="32"/>
      <c r="IC71" s="23"/>
    </row>
    <row r="72" spans="2:237" ht="15" customHeight="1" x14ac:dyDescent="0.2">
      <c r="B72" s="16"/>
      <c r="C72" s="39"/>
      <c r="D72" s="39"/>
      <c r="E72" s="39"/>
      <c r="F72" s="39"/>
      <c r="G72" s="39"/>
      <c r="H72" s="17"/>
      <c r="I72" s="17"/>
      <c r="J72" s="33" t="str">
        <f ca="1">IF(AND(H72&lt;&gt;"",I72&lt;&gt;""),IF($F$8=1,NETWORKDAYS(H72,I72),IF($F$8=3,I72-H72+1,NETWORKDAYS(H72,I72)+SUM(OFFSET($M$15,-2,MATCH(H72,$M$15:$IB$15,0)):OFFSET($M$15,-2,MATCH(I72,$M$15:$IB$15,0)-1)))),"")</f>
        <v/>
      </c>
      <c r="K72" s="33" t="str">
        <f t="shared" ca="1" si="10"/>
        <v/>
      </c>
      <c r="L72" s="33" t="str">
        <f t="shared" ca="1" si="11"/>
        <v/>
      </c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  <c r="EW72" s="32"/>
      <c r="EX72" s="32"/>
      <c r="EY72" s="32"/>
      <c r="EZ72" s="32"/>
      <c r="FA72" s="32"/>
      <c r="FB72" s="32"/>
      <c r="FC72" s="32"/>
      <c r="FD72" s="32"/>
      <c r="FE72" s="32"/>
      <c r="FF72" s="32"/>
      <c r="FG72" s="32"/>
      <c r="FH72" s="32"/>
      <c r="FI72" s="32"/>
      <c r="FJ72" s="32"/>
      <c r="FK72" s="32"/>
      <c r="FL72" s="32"/>
      <c r="FM72" s="32"/>
      <c r="FN72" s="32"/>
      <c r="FO72" s="32"/>
      <c r="FP72" s="32"/>
      <c r="FQ72" s="32"/>
      <c r="FR72" s="32"/>
      <c r="FS72" s="32"/>
      <c r="FT72" s="32"/>
      <c r="FU72" s="32"/>
      <c r="FV72" s="32"/>
      <c r="FW72" s="32"/>
      <c r="FX72" s="32"/>
      <c r="FY72" s="32"/>
      <c r="FZ72" s="32"/>
      <c r="GA72" s="32"/>
      <c r="GB72" s="32"/>
      <c r="GC72" s="32"/>
      <c r="GD72" s="32"/>
      <c r="GE72" s="32"/>
      <c r="GF72" s="32"/>
      <c r="GG72" s="32"/>
      <c r="GH72" s="32"/>
      <c r="GI72" s="32"/>
      <c r="GJ72" s="32"/>
      <c r="GK72" s="32"/>
      <c r="GL72" s="32"/>
      <c r="GM72" s="32"/>
      <c r="GN72" s="32"/>
      <c r="GO72" s="32"/>
      <c r="GP72" s="32"/>
      <c r="GQ72" s="32"/>
      <c r="GR72" s="32"/>
      <c r="GS72" s="32"/>
      <c r="GT72" s="32"/>
      <c r="GU72" s="32"/>
      <c r="GV72" s="32"/>
      <c r="GW72" s="32"/>
      <c r="GX72" s="32"/>
      <c r="GY72" s="32"/>
      <c r="GZ72" s="32"/>
      <c r="HA72" s="32"/>
      <c r="HB72" s="32"/>
      <c r="HC72" s="32"/>
      <c r="HD72" s="32"/>
      <c r="HE72" s="32"/>
      <c r="HF72" s="32"/>
      <c r="HG72" s="32"/>
      <c r="HH72" s="32"/>
      <c r="HI72" s="32"/>
      <c r="HJ72" s="32"/>
      <c r="HK72" s="32"/>
      <c r="HL72" s="32"/>
      <c r="HM72" s="32"/>
      <c r="HN72" s="32"/>
      <c r="HO72" s="32"/>
      <c r="HP72" s="32"/>
      <c r="HQ72" s="32"/>
      <c r="HR72" s="32"/>
      <c r="HS72" s="32"/>
      <c r="HT72" s="32"/>
      <c r="HU72" s="32"/>
      <c r="HV72" s="32"/>
      <c r="HW72" s="32"/>
      <c r="HX72" s="32"/>
      <c r="HY72" s="32"/>
      <c r="HZ72" s="32"/>
      <c r="IA72" s="32"/>
      <c r="IB72" s="32"/>
      <c r="IC72" s="23"/>
    </row>
    <row r="73" spans="2:237" ht="15" customHeight="1" x14ac:dyDescent="0.2">
      <c r="B73" s="16"/>
      <c r="C73" s="39"/>
      <c r="D73" s="39"/>
      <c r="E73" s="39"/>
      <c r="F73" s="39"/>
      <c r="G73" s="39"/>
      <c r="H73" s="17"/>
      <c r="I73" s="17"/>
      <c r="J73" s="33" t="str">
        <f ca="1">IF(AND(H73&lt;&gt;"",I73&lt;&gt;""),IF($F$8=1,NETWORKDAYS(H73,I73),IF($F$8=3,I73-H73+1,NETWORKDAYS(H73,I73)+SUM(OFFSET($M$15,-2,MATCH(H73,$M$15:$IB$15,0)):OFFSET($M$15,-2,MATCH(I73,$M$15:$IB$15,0)-1)))),"")</f>
        <v/>
      </c>
      <c r="K73" s="33" t="str">
        <f t="shared" ca="1" si="10"/>
        <v/>
      </c>
      <c r="L73" s="33" t="str">
        <f t="shared" ca="1" si="11"/>
        <v/>
      </c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  <c r="EW73" s="32"/>
      <c r="EX73" s="32"/>
      <c r="EY73" s="32"/>
      <c r="EZ73" s="32"/>
      <c r="FA73" s="32"/>
      <c r="FB73" s="32"/>
      <c r="FC73" s="32"/>
      <c r="FD73" s="32"/>
      <c r="FE73" s="32"/>
      <c r="FF73" s="32"/>
      <c r="FG73" s="32"/>
      <c r="FH73" s="32"/>
      <c r="FI73" s="32"/>
      <c r="FJ73" s="32"/>
      <c r="FK73" s="32"/>
      <c r="FL73" s="32"/>
      <c r="FM73" s="32"/>
      <c r="FN73" s="32"/>
      <c r="FO73" s="32"/>
      <c r="FP73" s="32"/>
      <c r="FQ73" s="32"/>
      <c r="FR73" s="32"/>
      <c r="FS73" s="32"/>
      <c r="FT73" s="32"/>
      <c r="FU73" s="32"/>
      <c r="FV73" s="32"/>
      <c r="FW73" s="32"/>
      <c r="FX73" s="32"/>
      <c r="FY73" s="32"/>
      <c r="FZ73" s="32"/>
      <c r="GA73" s="32"/>
      <c r="GB73" s="32"/>
      <c r="GC73" s="32"/>
      <c r="GD73" s="32"/>
      <c r="GE73" s="32"/>
      <c r="GF73" s="32"/>
      <c r="GG73" s="32"/>
      <c r="GH73" s="32"/>
      <c r="GI73" s="32"/>
      <c r="GJ73" s="32"/>
      <c r="GK73" s="32"/>
      <c r="GL73" s="32"/>
      <c r="GM73" s="32"/>
      <c r="GN73" s="32"/>
      <c r="GO73" s="32"/>
      <c r="GP73" s="32"/>
      <c r="GQ73" s="32"/>
      <c r="GR73" s="32"/>
      <c r="GS73" s="32"/>
      <c r="GT73" s="32"/>
      <c r="GU73" s="32"/>
      <c r="GV73" s="32"/>
      <c r="GW73" s="32"/>
      <c r="GX73" s="32"/>
      <c r="GY73" s="32"/>
      <c r="GZ73" s="32"/>
      <c r="HA73" s="32"/>
      <c r="HB73" s="32"/>
      <c r="HC73" s="32"/>
      <c r="HD73" s="32"/>
      <c r="HE73" s="32"/>
      <c r="HF73" s="32"/>
      <c r="HG73" s="32"/>
      <c r="HH73" s="32"/>
      <c r="HI73" s="32"/>
      <c r="HJ73" s="32"/>
      <c r="HK73" s="32"/>
      <c r="HL73" s="32"/>
      <c r="HM73" s="32"/>
      <c r="HN73" s="32"/>
      <c r="HO73" s="32"/>
      <c r="HP73" s="32"/>
      <c r="HQ73" s="32"/>
      <c r="HR73" s="32"/>
      <c r="HS73" s="32"/>
      <c r="HT73" s="32"/>
      <c r="HU73" s="32"/>
      <c r="HV73" s="32"/>
      <c r="HW73" s="32"/>
      <c r="HX73" s="32"/>
      <c r="HY73" s="32"/>
      <c r="HZ73" s="32"/>
      <c r="IA73" s="32"/>
      <c r="IB73" s="32"/>
      <c r="IC73" s="23"/>
    </row>
    <row r="74" spans="2:237" ht="15" customHeight="1" x14ac:dyDescent="0.2">
      <c r="B74" s="16"/>
      <c r="C74" s="39"/>
      <c r="D74" s="39"/>
      <c r="E74" s="39"/>
      <c r="F74" s="39"/>
      <c r="G74" s="39"/>
      <c r="H74" s="17"/>
      <c r="I74" s="17"/>
      <c r="J74" s="33" t="str">
        <f ca="1">IF(AND(H74&lt;&gt;"",I74&lt;&gt;""),IF($F$8=1,NETWORKDAYS(H74,I74),IF($F$8=3,I74-H74+1,NETWORKDAYS(H74,I74)+SUM(OFFSET($M$15,-2,MATCH(H74,$M$15:$IB$15,0)):OFFSET($M$15,-2,MATCH(I74,$M$15:$IB$15,0)-1)))),"")</f>
        <v/>
      </c>
      <c r="K74" s="33" t="str">
        <f t="shared" ca="1" si="10"/>
        <v/>
      </c>
      <c r="L74" s="33" t="str">
        <f t="shared" ca="1" si="11"/>
        <v/>
      </c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  <c r="EW74" s="32"/>
      <c r="EX74" s="32"/>
      <c r="EY74" s="32"/>
      <c r="EZ74" s="32"/>
      <c r="FA74" s="32"/>
      <c r="FB74" s="32"/>
      <c r="FC74" s="32"/>
      <c r="FD74" s="32"/>
      <c r="FE74" s="32"/>
      <c r="FF74" s="32"/>
      <c r="FG74" s="32"/>
      <c r="FH74" s="32"/>
      <c r="FI74" s="32"/>
      <c r="FJ74" s="32"/>
      <c r="FK74" s="32"/>
      <c r="FL74" s="32"/>
      <c r="FM74" s="32"/>
      <c r="FN74" s="32"/>
      <c r="FO74" s="32"/>
      <c r="FP74" s="32"/>
      <c r="FQ74" s="32"/>
      <c r="FR74" s="32"/>
      <c r="FS74" s="32"/>
      <c r="FT74" s="32"/>
      <c r="FU74" s="32"/>
      <c r="FV74" s="32"/>
      <c r="FW74" s="32"/>
      <c r="FX74" s="32"/>
      <c r="FY74" s="32"/>
      <c r="FZ74" s="32"/>
      <c r="GA74" s="32"/>
      <c r="GB74" s="32"/>
      <c r="GC74" s="32"/>
      <c r="GD74" s="32"/>
      <c r="GE74" s="32"/>
      <c r="GF74" s="32"/>
      <c r="GG74" s="32"/>
      <c r="GH74" s="32"/>
      <c r="GI74" s="32"/>
      <c r="GJ74" s="32"/>
      <c r="GK74" s="32"/>
      <c r="GL74" s="32"/>
      <c r="GM74" s="32"/>
      <c r="GN74" s="32"/>
      <c r="GO74" s="32"/>
      <c r="GP74" s="32"/>
      <c r="GQ74" s="32"/>
      <c r="GR74" s="32"/>
      <c r="GS74" s="32"/>
      <c r="GT74" s="32"/>
      <c r="GU74" s="32"/>
      <c r="GV74" s="32"/>
      <c r="GW74" s="32"/>
      <c r="GX74" s="32"/>
      <c r="GY74" s="32"/>
      <c r="GZ74" s="32"/>
      <c r="HA74" s="32"/>
      <c r="HB74" s="32"/>
      <c r="HC74" s="32"/>
      <c r="HD74" s="32"/>
      <c r="HE74" s="32"/>
      <c r="HF74" s="32"/>
      <c r="HG74" s="32"/>
      <c r="HH74" s="32"/>
      <c r="HI74" s="32"/>
      <c r="HJ74" s="32"/>
      <c r="HK74" s="32"/>
      <c r="HL74" s="32"/>
      <c r="HM74" s="32"/>
      <c r="HN74" s="32"/>
      <c r="HO74" s="32"/>
      <c r="HP74" s="32"/>
      <c r="HQ74" s="32"/>
      <c r="HR74" s="32"/>
      <c r="HS74" s="32"/>
      <c r="HT74" s="32"/>
      <c r="HU74" s="32"/>
      <c r="HV74" s="32"/>
      <c r="HW74" s="32"/>
      <c r="HX74" s="32"/>
      <c r="HY74" s="32"/>
      <c r="HZ74" s="32"/>
      <c r="IA74" s="32"/>
      <c r="IB74" s="32"/>
      <c r="IC74" s="23"/>
    </row>
    <row r="75" spans="2:237" ht="15" customHeight="1" x14ac:dyDescent="0.2">
      <c r="B75" s="16"/>
      <c r="C75" s="39"/>
      <c r="D75" s="39"/>
      <c r="E75" s="39"/>
      <c r="F75" s="39"/>
      <c r="G75" s="39"/>
      <c r="H75" s="17"/>
      <c r="I75" s="17"/>
      <c r="J75" s="33" t="str">
        <f ca="1">IF(AND(H75&lt;&gt;"",I75&lt;&gt;""),IF($F$8=1,NETWORKDAYS(H75,I75),IF($F$8=3,I75-H75+1,NETWORKDAYS(H75,I75)+SUM(OFFSET($M$15,-2,MATCH(H75,$M$15:$IB$15,0)):OFFSET($M$15,-2,MATCH(I75,$M$15:$IB$15,0)-1)))),"")</f>
        <v/>
      </c>
      <c r="K75" s="33" t="str">
        <f t="shared" ca="1" si="10"/>
        <v/>
      </c>
      <c r="L75" s="33" t="str">
        <f t="shared" ca="1" si="11"/>
        <v/>
      </c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  <c r="EW75" s="32"/>
      <c r="EX75" s="32"/>
      <c r="EY75" s="32"/>
      <c r="EZ75" s="32"/>
      <c r="FA75" s="32"/>
      <c r="FB75" s="32"/>
      <c r="FC75" s="32"/>
      <c r="FD75" s="32"/>
      <c r="FE75" s="32"/>
      <c r="FF75" s="32"/>
      <c r="FG75" s="32"/>
      <c r="FH75" s="32"/>
      <c r="FI75" s="32"/>
      <c r="FJ75" s="32"/>
      <c r="FK75" s="32"/>
      <c r="FL75" s="32"/>
      <c r="FM75" s="32"/>
      <c r="FN75" s="32"/>
      <c r="FO75" s="32"/>
      <c r="FP75" s="32"/>
      <c r="FQ75" s="32"/>
      <c r="FR75" s="32"/>
      <c r="FS75" s="32"/>
      <c r="FT75" s="32"/>
      <c r="FU75" s="32"/>
      <c r="FV75" s="32"/>
      <c r="FW75" s="32"/>
      <c r="FX75" s="32"/>
      <c r="FY75" s="32"/>
      <c r="FZ75" s="32"/>
      <c r="GA75" s="32"/>
      <c r="GB75" s="32"/>
      <c r="GC75" s="32"/>
      <c r="GD75" s="32"/>
      <c r="GE75" s="32"/>
      <c r="GF75" s="32"/>
      <c r="GG75" s="32"/>
      <c r="GH75" s="32"/>
      <c r="GI75" s="32"/>
      <c r="GJ75" s="32"/>
      <c r="GK75" s="32"/>
      <c r="GL75" s="32"/>
      <c r="GM75" s="32"/>
      <c r="GN75" s="32"/>
      <c r="GO75" s="32"/>
      <c r="GP75" s="32"/>
      <c r="GQ75" s="32"/>
      <c r="GR75" s="32"/>
      <c r="GS75" s="32"/>
      <c r="GT75" s="32"/>
      <c r="GU75" s="32"/>
      <c r="GV75" s="32"/>
      <c r="GW75" s="32"/>
      <c r="GX75" s="32"/>
      <c r="GY75" s="32"/>
      <c r="GZ75" s="32"/>
      <c r="HA75" s="32"/>
      <c r="HB75" s="32"/>
      <c r="HC75" s="32"/>
      <c r="HD75" s="32"/>
      <c r="HE75" s="32"/>
      <c r="HF75" s="32"/>
      <c r="HG75" s="32"/>
      <c r="HH75" s="32"/>
      <c r="HI75" s="32"/>
      <c r="HJ75" s="32"/>
      <c r="HK75" s="32"/>
      <c r="HL75" s="32"/>
      <c r="HM75" s="32"/>
      <c r="HN75" s="32"/>
      <c r="HO75" s="32"/>
      <c r="HP75" s="32"/>
      <c r="HQ75" s="32"/>
      <c r="HR75" s="32"/>
      <c r="HS75" s="32"/>
      <c r="HT75" s="32"/>
      <c r="HU75" s="32"/>
      <c r="HV75" s="32"/>
      <c r="HW75" s="32"/>
      <c r="HX75" s="32"/>
      <c r="HY75" s="32"/>
      <c r="HZ75" s="32"/>
      <c r="IA75" s="32"/>
      <c r="IB75" s="32"/>
      <c r="IC75" s="23"/>
    </row>
    <row r="76" spans="2:237" ht="15" customHeight="1" x14ac:dyDescent="0.2">
      <c r="B76" s="16"/>
      <c r="C76" s="39"/>
      <c r="D76" s="39"/>
      <c r="E76" s="39"/>
      <c r="F76" s="39"/>
      <c r="G76" s="39"/>
      <c r="H76" s="17"/>
      <c r="I76" s="17"/>
      <c r="J76" s="33" t="str">
        <f ca="1">IF(AND(H76&lt;&gt;"",I76&lt;&gt;""),IF($F$8=1,NETWORKDAYS(H76,I76),IF($F$8=3,I76-H76+1,NETWORKDAYS(H76,I76)+SUM(OFFSET($M$15,-2,MATCH(H76,$M$15:$IB$15,0)):OFFSET($M$15,-2,MATCH(I76,$M$15:$IB$15,0)-1)))),"")</f>
        <v/>
      </c>
      <c r="K76" s="33" t="str">
        <f t="shared" ca="1" si="10"/>
        <v/>
      </c>
      <c r="L76" s="33" t="str">
        <f t="shared" ca="1" si="11"/>
        <v/>
      </c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  <c r="EW76" s="32"/>
      <c r="EX76" s="32"/>
      <c r="EY76" s="32"/>
      <c r="EZ76" s="32"/>
      <c r="FA76" s="32"/>
      <c r="FB76" s="32"/>
      <c r="FC76" s="32"/>
      <c r="FD76" s="32"/>
      <c r="FE76" s="32"/>
      <c r="FF76" s="32"/>
      <c r="FG76" s="32"/>
      <c r="FH76" s="32"/>
      <c r="FI76" s="32"/>
      <c r="FJ76" s="32"/>
      <c r="FK76" s="32"/>
      <c r="FL76" s="32"/>
      <c r="FM76" s="32"/>
      <c r="FN76" s="32"/>
      <c r="FO76" s="32"/>
      <c r="FP76" s="32"/>
      <c r="FQ76" s="32"/>
      <c r="FR76" s="32"/>
      <c r="FS76" s="32"/>
      <c r="FT76" s="32"/>
      <c r="FU76" s="32"/>
      <c r="FV76" s="32"/>
      <c r="FW76" s="32"/>
      <c r="FX76" s="32"/>
      <c r="FY76" s="32"/>
      <c r="FZ76" s="32"/>
      <c r="GA76" s="32"/>
      <c r="GB76" s="32"/>
      <c r="GC76" s="32"/>
      <c r="GD76" s="32"/>
      <c r="GE76" s="32"/>
      <c r="GF76" s="32"/>
      <c r="GG76" s="32"/>
      <c r="GH76" s="32"/>
      <c r="GI76" s="32"/>
      <c r="GJ76" s="32"/>
      <c r="GK76" s="32"/>
      <c r="GL76" s="32"/>
      <c r="GM76" s="32"/>
      <c r="GN76" s="32"/>
      <c r="GO76" s="32"/>
      <c r="GP76" s="32"/>
      <c r="GQ76" s="32"/>
      <c r="GR76" s="32"/>
      <c r="GS76" s="32"/>
      <c r="GT76" s="32"/>
      <c r="GU76" s="32"/>
      <c r="GV76" s="32"/>
      <c r="GW76" s="32"/>
      <c r="GX76" s="32"/>
      <c r="GY76" s="32"/>
      <c r="GZ76" s="32"/>
      <c r="HA76" s="32"/>
      <c r="HB76" s="32"/>
      <c r="HC76" s="32"/>
      <c r="HD76" s="32"/>
      <c r="HE76" s="32"/>
      <c r="HF76" s="32"/>
      <c r="HG76" s="32"/>
      <c r="HH76" s="32"/>
      <c r="HI76" s="32"/>
      <c r="HJ76" s="32"/>
      <c r="HK76" s="32"/>
      <c r="HL76" s="32"/>
      <c r="HM76" s="32"/>
      <c r="HN76" s="32"/>
      <c r="HO76" s="32"/>
      <c r="HP76" s="32"/>
      <c r="HQ76" s="32"/>
      <c r="HR76" s="32"/>
      <c r="HS76" s="32"/>
      <c r="HT76" s="32"/>
      <c r="HU76" s="32"/>
      <c r="HV76" s="32"/>
      <c r="HW76" s="32"/>
      <c r="HX76" s="32"/>
      <c r="HY76" s="32"/>
      <c r="HZ76" s="32"/>
      <c r="IA76" s="32"/>
      <c r="IB76" s="32"/>
      <c r="IC76" s="23"/>
    </row>
    <row r="77" spans="2:237" ht="15" customHeight="1" x14ac:dyDescent="0.2">
      <c r="B77" s="16"/>
      <c r="C77" s="39"/>
      <c r="D77" s="39"/>
      <c r="E77" s="39"/>
      <c r="F77" s="39"/>
      <c r="G77" s="39"/>
      <c r="H77" s="17"/>
      <c r="I77" s="17"/>
      <c r="J77" s="33" t="str">
        <f ca="1">IF(AND(H77&lt;&gt;"",I77&lt;&gt;""),IF($F$8=1,NETWORKDAYS(H77,I77),IF($F$8=3,I77-H77+1,NETWORKDAYS(H77,I77)+SUM(OFFSET($M$15,-2,MATCH(H77,$M$15:$IB$15,0)):OFFSET($M$15,-2,MATCH(I77,$M$15:$IB$15,0)-1)))),"")</f>
        <v/>
      </c>
      <c r="K77" s="33" t="str">
        <f t="shared" ca="1" si="10"/>
        <v/>
      </c>
      <c r="L77" s="33" t="str">
        <f t="shared" ca="1" si="11"/>
        <v/>
      </c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  <c r="EW77" s="32"/>
      <c r="EX77" s="32"/>
      <c r="EY77" s="32"/>
      <c r="EZ77" s="32"/>
      <c r="FA77" s="32"/>
      <c r="FB77" s="32"/>
      <c r="FC77" s="32"/>
      <c r="FD77" s="32"/>
      <c r="FE77" s="32"/>
      <c r="FF77" s="32"/>
      <c r="FG77" s="32"/>
      <c r="FH77" s="32"/>
      <c r="FI77" s="32"/>
      <c r="FJ77" s="32"/>
      <c r="FK77" s="32"/>
      <c r="FL77" s="32"/>
      <c r="FM77" s="32"/>
      <c r="FN77" s="32"/>
      <c r="FO77" s="32"/>
      <c r="FP77" s="32"/>
      <c r="FQ77" s="32"/>
      <c r="FR77" s="32"/>
      <c r="FS77" s="32"/>
      <c r="FT77" s="32"/>
      <c r="FU77" s="32"/>
      <c r="FV77" s="32"/>
      <c r="FW77" s="32"/>
      <c r="FX77" s="32"/>
      <c r="FY77" s="32"/>
      <c r="FZ77" s="32"/>
      <c r="GA77" s="32"/>
      <c r="GB77" s="32"/>
      <c r="GC77" s="32"/>
      <c r="GD77" s="32"/>
      <c r="GE77" s="32"/>
      <c r="GF77" s="32"/>
      <c r="GG77" s="32"/>
      <c r="GH77" s="32"/>
      <c r="GI77" s="32"/>
      <c r="GJ77" s="32"/>
      <c r="GK77" s="32"/>
      <c r="GL77" s="32"/>
      <c r="GM77" s="32"/>
      <c r="GN77" s="32"/>
      <c r="GO77" s="32"/>
      <c r="GP77" s="32"/>
      <c r="GQ77" s="32"/>
      <c r="GR77" s="32"/>
      <c r="GS77" s="32"/>
      <c r="GT77" s="32"/>
      <c r="GU77" s="32"/>
      <c r="GV77" s="32"/>
      <c r="GW77" s="32"/>
      <c r="GX77" s="32"/>
      <c r="GY77" s="32"/>
      <c r="GZ77" s="32"/>
      <c r="HA77" s="32"/>
      <c r="HB77" s="32"/>
      <c r="HC77" s="32"/>
      <c r="HD77" s="32"/>
      <c r="HE77" s="32"/>
      <c r="HF77" s="32"/>
      <c r="HG77" s="32"/>
      <c r="HH77" s="32"/>
      <c r="HI77" s="32"/>
      <c r="HJ77" s="32"/>
      <c r="HK77" s="32"/>
      <c r="HL77" s="32"/>
      <c r="HM77" s="32"/>
      <c r="HN77" s="32"/>
      <c r="HO77" s="32"/>
      <c r="HP77" s="32"/>
      <c r="HQ77" s="32"/>
      <c r="HR77" s="32"/>
      <c r="HS77" s="32"/>
      <c r="HT77" s="32"/>
      <c r="HU77" s="32"/>
      <c r="HV77" s="32"/>
      <c r="HW77" s="32"/>
      <c r="HX77" s="32"/>
      <c r="HY77" s="32"/>
      <c r="HZ77" s="32"/>
      <c r="IA77" s="32"/>
      <c r="IB77" s="32"/>
      <c r="IC77" s="23"/>
    </row>
    <row r="78" spans="2:237" ht="15" customHeight="1" x14ac:dyDescent="0.2">
      <c r="B78" s="16"/>
      <c r="C78" s="39"/>
      <c r="D78" s="39"/>
      <c r="E78" s="39"/>
      <c r="F78" s="39"/>
      <c r="G78" s="39"/>
      <c r="H78" s="17"/>
      <c r="I78" s="17"/>
      <c r="J78" s="33" t="str">
        <f ca="1">IF(AND(H78&lt;&gt;"",I78&lt;&gt;""),IF($F$8=1,NETWORKDAYS(H78,I78),IF($F$8=3,I78-H78+1,NETWORKDAYS(H78,I78)+SUM(OFFSET($M$15,-2,MATCH(H78,$M$15:$IB$15,0)):OFFSET($M$15,-2,MATCH(I78,$M$15:$IB$15,0)-1)))),"")</f>
        <v/>
      </c>
      <c r="K78" s="33" t="str">
        <f t="shared" ca="1" si="10"/>
        <v/>
      </c>
      <c r="L78" s="33" t="str">
        <f t="shared" ca="1" si="11"/>
        <v/>
      </c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  <c r="EW78" s="32"/>
      <c r="EX78" s="32"/>
      <c r="EY78" s="32"/>
      <c r="EZ78" s="32"/>
      <c r="FA78" s="32"/>
      <c r="FB78" s="32"/>
      <c r="FC78" s="32"/>
      <c r="FD78" s="32"/>
      <c r="FE78" s="32"/>
      <c r="FF78" s="32"/>
      <c r="FG78" s="32"/>
      <c r="FH78" s="32"/>
      <c r="FI78" s="32"/>
      <c r="FJ78" s="32"/>
      <c r="FK78" s="32"/>
      <c r="FL78" s="32"/>
      <c r="FM78" s="32"/>
      <c r="FN78" s="32"/>
      <c r="FO78" s="32"/>
      <c r="FP78" s="32"/>
      <c r="FQ78" s="32"/>
      <c r="FR78" s="32"/>
      <c r="FS78" s="32"/>
      <c r="FT78" s="32"/>
      <c r="FU78" s="32"/>
      <c r="FV78" s="32"/>
      <c r="FW78" s="32"/>
      <c r="FX78" s="32"/>
      <c r="FY78" s="32"/>
      <c r="FZ78" s="32"/>
      <c r="GA78" s="32"/>
      <c r="GB78" s="32"/>
      <c r="GC78" s="32"/>
      <c r="GD78" s="32"/>
      <c r="GE78" s="32"/>
      <c r="GF78" s="32"/>
      <c r="GG78" s="32"/>
      <c r="GH78" s="32"/>
      <c r="GI78" s="32"/>
      <c r="GJ78" s="32"/>
      <c r="GK78" s="32"/>
      <c r="GL78" s="32"/>
      <c r="GM78" s="32"/>
      <c r="GN78" s="32"/>
      <c r="GO78" s="32"/>
      <c r="GP78" s="32"/>
      <c r="GQ78" s="32"/>
      <c r="GR78" s="32"/>
      <c r="GS78" s="32"/>
      <c r="GT78" s="32"/>
      <c r="GU78" s="32"/>
      <c r="GV78" s="32"/>
      <c r="GW78" s="32"/>
      <c r="GX78" s="32"/>
      <c r="GY78" s="32"/>
      <c r="GZ78" s="32"/>
      <c r="HA78" s="32"/>
      <c r="HB78" s="32"/>
      <c r="HC78" s="32"/>
      <c r="HD78" s="32"/>
      <c r="HE78" s="32"/>
      <c r="HF78" s="32"/>
      <c r="HG78" s="32"/>
      <c r="HH78" s="32"/>
      <c r="HI78" s="32"/>
      <c r="HJ78" s="32"/>
      <c r="HK78" s="32"/>
      <c r="HL78" s="32"/>
      <c r="HM78" s="32"/>
      <c r="HN78" s="32"/>
      <c r="HO78" s="32"/>
      <c r="HP78" s="32"/>
      <c r="HQ78" s="32"/>
      <c r="HR78" s="32"/>
      <c r="HS78" s="32"/>
      <c r="HT78" s="32"/>
      <c r="HU78" s="32"/>
      <c r="HV78" s="32"/>
      <c r="HW78" s="32"/>
      <c r="HX78" s="32"/>
      <c r="HY78" s="32"/>
      <c r="HZ78" s="32"/>
      <c r="IA78" s="32"/>
      <c r="IB78" s="32"/>
      <c r="IC78" s="23"/>
    </row>
    <row r="79" spans="2:237" ht="15" customHeight="1" x14ac:dyDescent="0.2">
      <c r="B79" s="16"/>
      <c r="C79" s="39"/>
      <c r="D79" s="39"/>
      <c r="E79" s="39"/>
      <c r="F79" s="39"/>
      <c r="G79" s="39"/>
      <c r="H79" s="17"/>
      <c r="I79" s="17"/>
      <c r="J79" s="33" t="str">
        <f ca="1">IF(AND(H79&lt;&gt;"",I79&lt;&gt;""),IF($F$8=1,NETWORKDAYS(H79,I79),IF($F$8=3,I79-H79+1,NETWORKDAYS(H79,I79)+SUM(OFFSET($M$15,-2,MATCH(H79,$M$15:$IB$15,0)):OFFSET($M$15,-2,MATCH(I79,$M$15:$IB$15,0)-1)))),"")</f>
        <v/>
      </c>
      <c r="K79" s="33" t="str">
        <f t="shared" ca="1" si="10"/>
        <v/>
      </c>
      <c r="L79" s="33" t="str">
        <f t="shared" ca="1" si="11"/>
        <v/>
      </c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  <c r="EW79" s="32"/>
      <c r="EX79" s="32"/>
      <c r="EY79" s="32"/>
      <c r="EZ79" s="32"/>
      <c r="FA79" s="32"/>
      <c r="FB79" s="32"/>
      <c r="FC79" s="32"/>
      <c r="FD79" s="32"/>
      <c r="FE79" s="32"/>
      <c r="FF79" s="32"/>
      <c r="FG79" s="32"/>
      <c r="FH79" s="32"/>
      <c r="FI79" s="32"/>
      <c r="FJ79" s="32"/>
      <c r="FK79" s="32"/>
      <c r="FL79" s="32"/>
      <c r="FM79" s="32"/>
      <c r="FN79" s="32"/>
      <c r="FO79" s="32"/>
      <c r="FP79" s="32"/>
      <c r="FQ79" s="32"/>
      <c r="FR79" s="32"/>
      <c r="FS79" s="32"/>
      <c r="FT79" s="32"/>
      <c r="FU79" s="32"/>
      <c r="FV79" s="32"/>
      <c r="FW79" s="32"/>
      <c r="FX79" s="32"/>
      <c r="FY79" s="32"/>
      <c r="FZ79" s="32"/>
      <c r="GA79" s="32"/>
      <c r="GB79" s="32"/>
      <c r="GC79" s="32"/>
      <c r="GD79" s="32"/>
      <c r="GE79" s="32"/>
      <c r="GF79" s="32"/>
      <c r="GG79" s="32"/>
      <c r="GH79" s="32"/>
      <c r="GI79" s="32"/>
      <c r="GJ79" s="32"/>
      <c r="GK79" s="32"/>
      <c r="GL79" s="32"/>
      <c r="GM79" s="32"/>
      <c r="GN79" s="32"/>
      <c r="GO79" s="32"/>
      <c r="GP79" s="32"/>
      <c r="GQ79" s="32"/>
      <c r="GR79" s="32"/>
      <c r="GS79" s="32"/>
      <c r="GT79" s="32"/>
      <c r="GU79" s="32"/>
      <c r="GV79" s="32"/>
      <c r="GW79" s="32"/>
      <c r="GX79" s="32"/>
      <c r="GY79" s="32"/>
      <c r="GZ79" s="32"/>
      <c r="HA79" s="32"/>
      <c r="HB79" s="32"/>
      <c r="HC79" s="32"/>
      <c r="HD79" s="32"/>
      <c r="HE79" s="32"/>
      <c r="HF79" s="32"/>
      <c r="HG79" s="32"/>
      <c r="HH79" s="32"/>
      <c r="HI79" s="32"/>
      <c r="HJ79" s="32"/>
      <c r="HK79" s="32"/>
      <c r="HL79" s="32"/>
      <c r="HM79" s="32"/>
      <c r="HN79" s="32"/>
      <c r="HO79" s="32"/>
      <c r="HP79" s="32"/>
      <c r="HQ79" s="32"/>
      <c r="HR79" s="32"/>
      <c r="HS79" s="32"/>
      <c r="HT79" s="32"/>
      <c r="HU79" s="32"/>
      <c r="HV79" s="32"/>
      <c r="HW79" s="32"/>
      <c r="HX79" s="32"/>
      <c r="HY79" s="32"/>
      <c r="HZ79" s="32"/>
      <c r="IA79" s="32"/>
      <c r="IB79" s="32"/>
      <c r="IC79" s="23"/>
    </row>
    <row r="80" spans="2:237" ht="15" customHeight="1" x14ac:dyDescent="0.2">
      <c r="B80" s="16"/>
      <c r="C80" s="39"/>
      <c r="D80" s="39"/>
      <c r="E80" s="39"/>
      <c r="F80" s="39"/>
      <c r="G80" s="39"/>
      <c r="H80" s="17"/>
      <c r="I80" s="17"/>
      <c r="J80" s="33" t="str">
        <f ca="1">IF(AND(H80&lt;&gt;"",I80&lt;&gt;""),IF($F$8=1,NETWORKDAYS(H80,I80),IF($F$8=3,I80-H80+1,NETWORKDAYS(H80,I80)+SUM(OFFSET($M$15,-2,MATCH(H80,$M$15:$IB$15,0)):OFFSET($M$15,-2,MATCH(I80,$M$15:$IB$15,0)-1)))),"")</f>
        <v/>
      </c>
      <c r="K80" s="33" t="str">
        <f t="shared" ca="1" si="10"/>
        <v/>
      </c>
      <c r="L80" s="33" t="str">
        <f t="shared" ca="1" si="11"/>
        <v/>
      </c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  <c r="EW80" s="32"/>
      <c r="EX80" s="32"/>
      <c r="EY80" s="32"/>
      <c r="EZ80" s="32"/>
      <c r="FA80" s="32"/>
      <c r="FB80" s="32"/>
      <c r="FC80" s="32"/>
      <c r="FD80" s="32"/>
      <c r="FE80" s="32"/>
      <c r="FF80" s="32"/>
      <c r="FG80" s="32"/>
      <c r="FH80" s="32"/>
      <c r="FI80" s="32"/>
      <c r="FJ80" s="32"/>
      <c r="FK80" s="32"/>
      <c r="FL80" s="32"/>
      <c r="FM80" s="32"/>
      <c r="FN80" s="32"/>
      <c r="FO80" s="32"/>
      <c r="FP80" s="32"/>
      <c r="FQ80" s="32"/>
      <c r="FR80" s="32"/>
      <c r="FS80" s="32"/>
      <c r="FT80" s="32"/>
      <c r="FU80" s="32"/>
      <c r="FV80" s="32"/>
      <c r="FW80" s="32"/>
      <c r="FX80" s="32"/>
      <c r="FY80" s="32"/>
      <c r="FZ80" s="32"/>
      <c r="GA80" s="32"/>
      <c r="GB80" s="32"/>
      <c r="GC80" s="32"/>
      <c r="GD80" s="32"/>
      <c r="GE80" s="32"/>
      <c r="GF80" s="32"/>
      <c r="GG80" s="32"/>
      <c r="GH80" s="32"/>
      <c r="GI80" s="32"/>
      <c r="GJ80" s="32"/>
      <c r="GK80" s="32"/>
      <c r="GL80" s="32"/>
      <c r="GM80" s="32"/>
      <c r="GN80" s="32"/>
      <c r="GO80" s="32"/>
      <c r="GP80" s="32"/>
      <c r="GQ80" s="32"/>
      <c r="GR80" s="32"/>
      <c r="GS80" s="32"/>
      <c r="GT80" s="32"/>
      <c r="GU80" s="32"/>
      <c r="GV80" s="32"/>
      <c r="GW80" s="32"/>
      <c r="GX80" s="32"/>
      <c r="GY80" s="32"/>
      <c r="GZ80" s="32"/>
      <c r="HA80" s="32"/>
      <c r="HB80" s="32"/>
      <c r="HC80" s="32"/>
      <c r="HD80" s="32"/>
      <c r="HE80" s="32"/>
      <c r="HF80" s="32"/>
      <c r="HG80" s="32"/>
      <c r="HH80" s="32"/>
      <c r="HI80" s="32"/>
      <c r="HJ80" s="32"/>
      <c r="HK80" s="32"/>
      <c r="HL80" s="32"/>
      <c r="HM80" s="32"/>
      <c r="HN80" s="32"/>
      <c r="HO80" s="32"/>
      <c r="HP80" s="32"/>
      <c r="HQ80" s="32"/>
      <c r="HR80" s="32"/>
      <c r="HS80" s="32"/>
      <c r="HT80" s="32"/>
      <c r="HU80" s="32"/>
      <c r="HV80" s="32"/>
      <c r="HW80" s="32"/>
      <c r="HX80" s="32"/>
      <c r="HY80" s="32"/>
      <c r="HZ80" s="32"/>
      <c r="IA80" s="32"/>
      <c r="IB80" s="32"/>
      <c r="IC80" s="23"/>
    </row>
    <row r="81" spans="2:237" ht="15" customHeight="1" x14ac:dyDescent="0.2">
      <c r="B81" s="16"/>
      <c r="C81" s="39"/>
      <c r="D81" s="39"/>
      <c r="E81" s="39"/>
      <c r="F81" s="39"/>
      <c r="G81" s="39"/>
      <c r="H81" s="17"/>
      <c r="I81" s="17"/>
      <c r="J81" s="33" t="str">
        <f ca="1">IF(AND(H81&lt;&gt;"",I81&lt;&gt;""),IF($F$8=1,NETWORKDAYS(H81,I81),IF($F$8=3,I81-H81+1,NETWORKDAYS(H81,I81)+SUM(OFFSET($M$15,-2,MATCH(H81,$M$15:$IB$15,0)):OFFSET($M$15,-2,MATCH(I81,$M$15:$IB$15,0)-1)))),"")</f>
        <v/>
      </c>
      <c r="K81" s="33" t="str">
        <f t="shared" ref="K81:K116" ca="1" si="12">IF(AND(H81&lt;&gt;"",I81&lt;&gt;""),IF($F$8=1,NETWORKDAYS(H81,TODAY())-1,IF($F$8=3,TODAY()-H81,IF(AND(WEEKDAY(H81,2)&lt;7,WEEKDAY(TODAY(),2)=7),NETWORKDAYS(H81,TODAY())+1,IF(OR(WEEKDAY(H81,2)&lt;7,WEEKDAY(TODAY(),2)=7),NETWORKDAYS(H81,TODAY()),NETWORKDAYS(H81,TODAY()))))),"")</f>
        <v/>
      </c>
      <c r="L81" s="33" t="str">
        <f t="shared" ref="L81:L116" ca="1" si="13">IF(AND(J81&lt;&gt;"",K81&lt;&gt;""),J81-K81,"")</f>
        <v/>
      </c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  <c r="EW81" s="32"/>
      <c r="EX81" s="32"/>
      <c r="EY81" s="32"/>
      <c r="EZ81" s="32"/>
      <c r="FA81" s="32"/>
      <c r="FB81" s="32"/>
      <c r="FC81" s="32"/>
      <c r="FD81" s="32"/>
      <c r="FE81" s="32"/>
      <c r="FF81" s="32"/>
      <c r="FG81" s="32"/>
      <c r="FH81" s="32"/>
      <c r="FI81" s="32"/>
      <c r="FJ81" s="32"/>
      <c r="FK81" s="32"/>
      <c r="FL81" s="32"/>
      <c r="FM81" s="32"/>
      <c r="FN81" s="32"/>
      <c r="FO81" s="32"/>
      <c r="FP81" s="32"/>
      <c r="FQ81" s="32"/>
      <c r="FR81" s="32"/>
      <c r="FS81" s="32"/>
      <c r="FT81" s="32"/>
      <c r="FU81" s="32"/>
      <c r="FV81" s="32"/>
      <c r="FW81" s="32"/>
      <c r="FX81" s="32"/>
      <c r="FY81" s="32"/>
      <c r="FZ81" s="32"/>
      <c r="GA81" s="32"/>
      <c r="GB81" s="32"/>
      <c r="GC81" s="32"/>
      <c r="GD81" s="32"/>
      <c r="GE81" s="32"/>
      <c r="GF81" s="32"/>
      <c r="GG81" s="32"/>
      <c r="GH81" s="32"/>
      <c r="GI81" s="32"/>
      <c r="GJ81" s="32"/>
      <c r="GK81" s="32"/>
      <c r="GL81" s="32"/>
      <c r="GM81" s="32"/>
      <c r="GN81" s="32"/>
      <c r="GO81" s="32"/>
      <c r="GP81" s="32"/>
      <c r="GQ81" s="32"/>
      <c r="GR81" s="32"/>
      <c r="GS81" s="32"/>
      <c r="GT81" s="32"/>
      <c r="GU81" s="32"/>
      <c r="GV81" s="32"/>
      <c r="GW81" s="32"/>
      <c r="GX81" s="32"/>
      <c r="GY81" s="32"/>
      <c r="GZ81" s="32"/>
      <c r="HA81" s="32"/>
      <c r="HB81" s="32"/>
      <c r="HC81" s="32"/>
      <c r="HD81" s="32"/>
      <c r="HE81" s="32"/>
      <c r="HF81" s="32"/>
      <c r="HG81" s="32"/>
      <c r="HH81" s="32"/>
      <c r="HI81" s="32"/>
      <c r="HJ81" s="32"/>
      <c r="HK81" s="32"/>
      <c r="HL81" s="32"/>
      <c r="HM81" s="32"/>
      <c r="HN81" s="32"/>
      <c r="HO81" s="32"/>
      <c r="HP81" s="32"/>
      <c r="HQ81" s="32"/>
      <c r="HR81" s="32"/>
      <c r="HS81" s="32"/>
      <c r="HT81" s="32"/>
      <c r="HU81" s="32"/>
      <c r="HV81" s="32"/>
      <c r="HW81" s="32"/>
      <c r="HX81" s="32"/>
      <c r="HY81" s="32"/>
      <c r="HZ81" s="32"/>
      <c r="IA81" s="32"/>
      <c r="IB81" s="32"/>
      <c r="IC81" s="23"/>
    </row>
    <row r="82" spans="2:237" ht="15" customHeight="1" x14ac:dyDescent="0.2">
      <c r="B82" s="16"/>
      <c r="C82" s="39"/>
      <c r="D82" s="39"/>
      <c r="E82" s="39"/>
      <c r="F82" s="39"/>
      <c r="G82" s="39"/>
      <c r="H82" s="17"/>
      <c r="I82" s="17"/>
      <c r="J82" s="33" t="str">
        <f ca="1">IF(AND(H82&lt;&gt;"",I82&lt;&gt;""),IF($F$8=1,NETWORKDAYS(H82,I82),IF($F$8=3,I82-H82+1,NETWORKDAYS(H82,I82)+SUM(OFFSET($M$15,-2,MATCH(H82,$M$15:$IB$15,0)):OFFSET($M$15,-2,MATCH(I82,$M$15:$IB$15,0)-1)))),"")</f>
        <v/>
      </c>
      <c r="K82" s="33" t="str">
        <f t="shared" ca="1" si="12"/>
        <v/>
      </c>
      <c r="L82" s="33" t="str">
        <f t="shared" ca="1" si="13"/>
        <v/>
      </c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  <c r="EW82" s="32"/>
      <c r="EX82" s="32"/>
      <c r="EY82" s="32"/>
      <c r="EZ82" s="32"/>
      <c r="FA82" s="32"/>
      <c r="FB82" s="32"/>
      <c r="FC82" s="32"/>
      <c r="FD82" s="32"/>
      <c r="FE82" s="32"/>
      <c r="FF82" s="32"/>
      <c r="FG82" s="32"/>
      <c r="FH82" s="32"/>
      <c r="FI82" s="32"/>
      <c r="FJ82" s="32"/>
      <c r="FK82" s="32"/>
      <c r="FL82" s="32"/>
      <c r="FM82" s="32"/>
      <c r="FN82" s="32"/>
      <c r="FO82" s="32"/>
      <c r="FP82" s="32"/>
      <c r="FQ82" s="32"/>
      <c r="FR82" s="32"/>
      <c r="FS82" s="32"/>
      <c r="FT82" s="32"/>
      <c r="FU82" s="32"/>
      <c r="FV82" s="32"/>
      <c r="FW82" s="32"/>
      <c r="FX82" s="32"/>
      <c r="FY82" s="32"/>
      <c r="FZ82" s="32"/>
      <c r="GA82" s="32"/>
      <c r="GB82" s="32"/>
      <c r="GC82" s="32"/>
      <c r="GD82" s="32"/>
      <c r="GE82" s="32"/>
      <c r="GF82" s="32"/>
      <c r="GG82" s="32"/>
      <c r="GH82" s="32"/>
      <c r="GI82" s="32"/>
      <c r="GJ82" s="32"/>
      <c r="GK82" s="32"/>
      <c r="GL82" s="32"/>
      <c r="GM82" s="32"/>
      <c r="GN82" s="32"/>
      <c r="GO82" s="32"/>
      <c r="GP82" s="32"/>
      <c r="GQ82" s="32"/>
      <c r="GR82" s="32"/>
      <c r="GS82" s="32"/>
      <c r="GT82" s="32"/>
      <c r="GU82" s="32"/>
      <c r="GV82" s="32"/>
      <c r="GW82" s="32"/>
      <c r="GX82" s="32"/>
      <c r="GY82" s="32"/>
      <c r="GZ82" s="32"/>
      <c r="HA82" s="32"/>
      <c r="HB82" s="32"/>
      <c r="HC82" s="32"/>
      <c r="HD82" s="32"/>
      <c r="HE82" s="32"/>
      <c r="HF82" s="32"/>
      <c r="HG82" s="32"/>
      <c r="HH82" s="32"/>
      <c r="HI82" s="32"/>
      <c r="HJ82" s="32"/>
      <c r="HK82" s="32"/>
      <c r="HL82" s="32"/>
      <c r="HM82" s="32"/>
      <c r="HN82" s="32"/>
      <c r="HO82" s="32"/>
      <c r="HP82" s="32"/>
      <c r="HQ82" s="32"/>
      <c r="HR82" s="32"/>
      <c r="HS82" s="32"/>
      <c r="HT82" s="32"/>
      <c r="HU82" s="32"/>
      <c r="HV82" s="32"/>
      <c r="HW82" s="32"/>
      <c r="HX82" s="32"/>
      <c r="HY82" s="32"/>
      <c r="HZ82" s="32"/>
      <c r="IA82" s="32"/>
      <c r="IB82" s="32"/>
      <c r="IC82" s="23"/>
    </row>
    <row r="83" spans="2:237" ht="15" customHeight="1" x14ac:dyDescent="0.2">
      <c r="B83" s="16"/>
      <c r="C83" s="39"/>
      <c r="D83" s="39"/>
      <c r="E83" s="39"/>
      <c r="F83" s="39"/>
      <c r="G83" s="39"/>
      <c r="H83" s="17"/>
      <c r="I83" s="17"/>
      <c r="J83" s="33" t="str">
        <f ca="1">IF(AND(H83&lt;&gt;"",I83&lt;&gt;""),IF($F$8=1,NETWORKDAYS(H83,I83),IF($F$8=3,I83-H83+1,NETWORKDAYS(H83,I83)+SUM(OFFSET($M$15,-2,MATCH(H83,$M$15:$IB$15,0)):OFFSET($M$15,-2,MATCH(I83,$M$15:$IB$15,0)-1)))),"")</f>
        <v/>
      </c>
      <c r="K83" s="33" t="str">
        <f t="shared" ca="1" si="12"/>
        <v/>
      </c>
      <c r="L83" s="33" t="str">
        <f t="shared" ca="1" si="13"/>
        <v/>
      </c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  <c r="EW83" s="32"/>
      <c r="EX83" s="32"/>
      <c r="EY83" s="32"/>
      <c r="EZ83" s="32"/>
      <c r="FA83" s="32"/>
      <c r="FB83" s="32"/>
      <c r="FC83" s="32"/>
      <c r="FD83" s="32"/>
      <c r="FE83" s="32"/>
      <c r="FF83" s="32"/>
      <c r="FG83" s="32"/>
      <c r="FH83" s="32"/>
      <c r="FI83" s="32"/>
      <c r="FJ83" s="32"/>
      <c r="FK83" s="32"/>
      <c r="FL83" s="32"/>
      <c r="FM83" s="32"/>
      <c r="FN83" s="32"/>
      <c r="FO83" s="32"/>
      <c r="FP83" s="32"/>
      <c r="FQ83" s="32"/>
      <c r="FR83" s="32"/>
      <c r="FS83" s="32"/>
      <c r="FT83" s="32"/>
      <c r="FU83" s="32"/>
      <c r="FV83" s="32"/>
      <c r="FW83" s="32"/>
      <c r="FX83" s="32"/>
      <c r="FY83" s="32"/>
      <c r="FZ83" s="32"/>
      <c r="GA83" s="32"/>
      <c r="GB83" s="32"/>
      <c r="GC83" s="32"/>
      <c r="GD83" s="32"/>
      <c r="GE83" s="32"/>
      <c r="GF83" s="32"/>
      <c r="GG83" s="32"/>
      <c r="GH83" s="32"/>
      <c r="GI83" s="32"/>
      <c r="GJ83" s="32"/>
      <c r="GK83" s="32"/>
      <c r="GL83" s="32"/>
      <c r="GM83" s="32"/>
      <c r="GN83" s="32"/>
      <c r="GO83" s="32"/>
      <c r="GP83" s="32"/>
      <c r="GQ83" s="32"/>
      <c r="GR83" s="32"/>
      <c r="GS83" s="32"/>
      <c r="GT83" s="32"/>
      <c r="GU83" s="32"/>
      <c r="GV83" s="32"/>
      <c r="GW83" s="32"/>
      <c r="GX83" s="32"/>
      <c r="GY83" s="32"/>
      <c r="GZ83" s="32"/>
      <c r="HA83" s="32"/>
      <c r="HB83" s="32"/>
      <c r="HC83" s="32"/>
      <c r="HD83" s="32"/>
      <c r="HE83" s="32"/>
      <c r="HF83" s="32"/>
      <c r="HG83" s="32"/>
      <c r="HH83" s="32"/>
      <c r="HI83" s="32"/>
      <c r="HJ83" s="32"/>
      <c r="HK83" s="32"/>
      <c r="HL83" s="32"/>
      <c r="HM83" s="32"/>
      <c r="HN83" s="32"/>
      <c r="HO83" s="32"/>
      <c r="HP83" s="32"/>
      <c r="HQ83" s="32"/>
      <c r="HR83" s="32"/>
      <c r="HS83" s="32"/>
      <c r="HT83" s="32"/>
      <c r="HU83" s="32"/>
      <c r="HV83" s="32"/>
      <c r="HW83" s="32"/>
      <c r="HX83" s="32"/>
      <c r="HY83" s="32"/>
      <c r="HZ83" s="32"/>
      <c r="IA83" s="32"/>
      <c r="IB83" s="32"/>
      <c r="IC83" s="23"/>
    </row>
    <row r="84" spans="2:237" ht="15" customHeight="1" x14ac:dyDescent="0.2">
      <c r="B84" s="16"/>
      <c r="C84" s="39"/>
      <c r="D84" s="39"/>
      <c r="E84" s="39"/>
      <c r="F84" s="39"/>
      <c r="G84" s="39"/>
      <c r="H84" s="17"/>
      <c r="I84" s="17"/>
      <c r="J84" s="33" t="str">
        <f ca="1">IF(AND(H84&lt;&gt;"",I84&lt;&gt;""),IF($F$8=1,NETWORKDAYS(H84,I84),IF($F$8=3,I84-H84+1,NETWORKDAYS(H84,I84)+SUM(OFFSET($M$15,-2,MATCH(H84,$M$15:$IB$15,0)):OFFSET($M$15,-2,MATCH(I84,$M$15:$IB$15,0)-1)))),"")</f>
        <v/>
      </c>
      <c r="K84" s="33" t="str">
        <f t="shared" ca="1" si="12"/>
        <v/>
      </c>
      <c r="L84" s="33" t="str">
        <f t="shared" ca="1" si="13"/>
        <v/>
      </c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  <c r="EW84" s="32"/>
      <c r="EX84" s="32"/>
      <c r="EY84" s="32"/>
      <c r="EZ84" s="32"/>
      <c r="FA84" s="32"/>
      <c r="FB84" s="32"/>
      <c r="FC84" s="32"/>
      <c r="FD84" s="32"/>
      <c r="FE84" s="32"/>
      <c r="FF84" s="32"/>
      <c r="FG84" s="32"/>
      <c r="FH84" s="32"/>
      <c r="FI84" s="32"/>
      <c r="FJ84" s="32"/>
      <c r="FK84" s="32"/>
      <c r="FL84" s="32"/>
      <c r="FM84" s="32"/>
      <c r="FN84" s="32"/>
      <c r="FO84" s="32"/>
      <c r="FP84" s="32"/>
      <c r="FQ84" s="32"/>
      <c r="FR84" s="32"/>
      <c r="FS84" s="32"/>
      <c r="FT84" s="32"/>
      <c r="FU84" s="32"/>
      <c r="FV84" s="32"/>
      <c r="FW84" s="32"/>
      <c r="FX84" s="32"/>
      <c r="FY84" s="32"/>
      <c r="FZ84" s="32"/>
      <c r="GA84" s="32"/>
      <c r="GB84" s="32"/>
      <c r="GC84" s="32"/>
      <c r="GD84" s="32"/>
      <c r="GE84" s="32"/>
      <c r="GF84" s="32"/>
      <c r="GG84" s="32"/>
      <c r="GH84" s="32"/>
      <c r="GI84" s="32"/>
      <c r="GJ84" s="32"/>
      <c r="GK84" s="32"/>
      <c r="GL84" s="32"/>
      <c r="GM84" s="32"/>
      <c r="GN84" s="32"/>
      <c r="GO84" s="32"/>
      <c r="GP84" s="32"/>
      <c r="GQ84" s="32"/>
      <c r="GR84" s="32"/>
      <c r="GS84" s="32"/>
      <c r="GT84" s="32"/>
      <c r="GU84" s="32"/>
      <c r="GV84" s="32"/>
      <c r="GW84" s="32"/>
      <c r="GX84" s="32"/>
      <c r="GY84" s="32"/>
      <c r="GZ84" s="32"/>
      <c r="HA84" s="32"/>
      <c r="HB84" s="32"/>
      <c r="HC84" s="32"/>
      <c r="HD84" s="32"/>
      <c r="HE84" s="32"/>
      <c r="HF84" s="32"/>
      <c r="HG84" s="32"/>
      <c r="HH84" s="32"/>
      <c r="HI84" s="32"/>
      <c r="HJ84" s="32"/>
      <c r="HK84" s="32"/>
      <c r="HL84" s="32"/>
      <c r="HM84" s="32"/>
      <c r="HN84" s="32"/>
      <c r="HO84" s="32"/>
      <c r="HP84" s="32"/>
      <c r="HQ84" s="32"/>
      <c r="HR84" s="32"/>
      <c r="HS84" s="32"/>
      <c r="HT84" s="32"/>
      <c r="HU84" s="32"/>
      <c r="HV84" s="32"/>
      <c r="HW84" s="32"/>
      <c r="HX84" s="32"/>
      <c r="HY84" s="32"/>
      <c r="HZ84" s="32"/>
      <c r="IA84" s="32"/>
      <c r="IB84" s="32"/>
      <c r="IC84" s="23"/>
    </row>
    <row r="85" spans="2:237" ht="15" customHeight="1" x14ac:dyDescent="0.2">
      <c r="B85" s="16"/>
      <c r="C85" s="39"/>
      <c r="D85" s="39"/>
      <c r="E85" s="39"/>
      <c r="F85" s="39"/>
      <c r="G85" s="39"/>
      <c r="H85" s="17"/>
      <c r="I85" s="17"/>
      <c r="J85" s="33" t="str">
        <f ca="1">IF(AND(H85&lt;&gt;"",I85&lt;&gt;""),IF($F$8=1,NETWORKDAYS(H85,I85),IF($F$8=3,I85-H85+1,NETWORKDAYS(H85,I85)+SUM(OFFSET($M$15,-2,MATCH(H85,$M$15:$IB$15,0)):OFFSET($M$15,-2,MATCH(I85,$M$15:$IB$15,0)-1)))),"")</f>
        <v/>
      </c>
      <c r="K85" s="33" t="str">
        <f t="shared" ca="1" si="12"/>
        <v/>
      </c>
      <c r="L85" s="33" t="str">
        <f t="shared" ca="1" si="13"/>
        <v/>
      </c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  <c r="EW85" s="32"/>
      <c r="EX85" s="32"/>
      <c r="EY85" s="32"/>
      <c r="EZ85" s="32"/>
      <c r="FA85" s="32"/>
      <c r="FB85" s="32"/>
      <c r="FC85" s="32"/>
      <c r="FD85" s="32"/>
      <c r="FE85" s="32"/>
      <c r="FF85" s="32"/>
      <c r="FG85" s="32"/>
      <c r="FH85" s="32"/>
      <c r="FI85" s="32"/>
      <c r="FJ85" s="32"/>
      <c r="FK85" s="32"/>
      <c r="FL85" s="32"/>
      <c r="FM85" s="32"/>
      <c r="FN85" s="32"/>
      <c r="FO85" s="32"/>
      <c r="FP85" s="32"/>
      <c r="FQ85" s="32"/>
      <c r="FR85" s="32"/>
      <c r="FS85" s="32"/>
      <c r="FT85" s="32"/>
      <c r="FU85" s="32"/>
      <c r="FV85" s="32"/>
      <c r="FW85" s="32"/>
      <c r="FX85" s="32"/>
      <c r="FY85" s="32"/>
      <c r="FZ85" s="32"/>
      <c r="GA85" s="32"/>
      <c r="GB85" s="32"/>
      <c r="GC85" s="32"/>
      <c r="GD85" s="32"/>
      <c r="GE85" s="32"/>
      <c r="GF85" s="32"/>
      <c r="GG85" s="32"/>
      <c r="GH85" s="32"/>
      <c r="GI85" s="32"/>
      <c r="GJ85" s="32"/>
      <c r="GK85" s="32"/>
      <c r="GL85" s="32"/>
      <c r="GM85" s="32"/>
      <c r="GN85" s="32"/>
      <c r="GO85" s="32"/>
      <c r="GP85" s="32"/>
      <c r="GQ85" s="32"/>
      <c r="GR85" s="32"/>
      <c r="GS85" s="32"/>
      <c r="GT85" s="32"/>
      <c r="GU85" s="32"/>
      <c r="GV85" s="32"/>
      <c r="GW85" s="32"/>
      <c r="GX85" s="32"/>
      <c r="GY85" s="32"/>
      <c r="GZ85" s="32"/>
      <c r="HA85" s="32"/>
      <c r="HB85" s="32"/>
      <c r="HC85" s="32"/>
      <c r="HD85" s="32"/>
      <c r="HE85" s="32"/>
      <c r="HF85" s="32"/>
      <c r="HG85" s="32"/>
      <c r="HH85" s="32"/>
      <c r="HI85" s="32"/>
      <c r="HJ85" s="32"/>
      <c r="HK85" s="32"/>
      <c r="HL85" s="32"/>
      <c r="HM85" s="32"/>
      <c r="HN85" s="32"/>
      <c r="HO85" s="32"/>
      <c r="HP85" s="32"/>
      <c r="HQ85" s="32"/>
      <c r="HR85" s="32"/>
      <c r="HS85" s="32"/>
      <c r="HT85" s="32"/>
      <c r="HU85" s="32"/>
      <c r="HV85" s="32"/>
      <c r="HW85" s="32"/>
      <c r="HX85" s="32"/>
      <c r="HY85" s="32"/>
      <c r="HZ85" s="32"/>
      <c r="IA85" s="32"/>
      <c r="IB85" s="32"/>
      <c r="IC85" s="23"/>
    </row>
    <row r="86" spans="2:237" ht="15" customHeight="1" x14ac:dyDescent="0.2">
      <c r="B86" s="16"/>
      <c r="C86" s="39"/>
      <c r="D86" s="39"/>
      <c r="E86" s="39"/>
      <c r="F86" s="39"/>
      <c r="G86" s="39"/>
      <c r="H86" s="17"/>
      <c r="I86" s="17"/>
      <c r="J86" s="33" t="str">
        <f ca="1">IF(AND(H86&lt;&gt;"",I86&lt;&gt;""),IF($F$8=1,NETWORKDAYS(H86,I86),IF($F$8=3,I86-H86+1,NETWORKDAYS(H86,I86)+SUM(OFFSET($M$15,-2,MATCH(H86,$M$15:$IB$15,0)):OFFSET($M$15,-2,MATCH(I86,$M$15:$IB$15,0)-1)))),"")</f>
        <v/>
      </c>
      <c r="K86" s="33" t="str">
        <f t="shared" ca="1" si="12"/>
        <v/>
      </c>
      <c r="L86" s="33" t="str">
        <f t="shared" ca="1" si="13"/>
        <v/>
      </c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  <c r="EW86" s="32"/>
      <c r="EX86" s="32"/>
      <c r="EY86" s="32"/>
      <c r="EZ86" s="32"/>
      <c r="FA86" s="32"/>
      <c r="FB86" s="32"/>
      <c r="FC86" s="32"/>
      <c r="FD86" s="32"/>
      <c r="FE86" s="32"/>
      <c r="FF86" s="32"/>
      <c r="FG86" s="32"/>
      <c r="FH86" s="32"/>
      <c r="FI86" s="32"/>
      <c r="FJ86" s="32"/>
      <c r="FK86" s="32"/>
      <c r="FL86" s="32"/>
      <c r="FM86" s="32"/>
      <c r="FN86" s="32"/>
      <c r="FO86" s="32"/>
      <c r="FP86" s="32"/>
      <c r="FQ86" s="32"/>
      <c r="FR86" s="32"/>
      <c r="FS86" s="32"/>
      <c r="FT86" s="32"/>
      <c r="FU86" s="32"/>
      <c r="FV86" s="32"/>
      <c r="FW86" s="32"/>
      <c r="FX86" s="32"/>
      <c r="FY86" s="32"/>
      <c r="FZ86" s="32"/>
      <c r="GA86" s="32"/>
      <c r="GB86" s="32"/>
      <c r="GC86" s="32"/>
      <c r="GD86" s="32"/>
      <c r="GE86" s="32"/>
      <c r="GF86" s="32"/>
      <c r="GG86" s="32"/>
      <c r="GH86" s="32"/>
      <c r="GI86" s="32"/>
      <c r="GJ86" s="32"/>
      <c r="GK86" s="32"/>
      <c r="GL86" s="32"/>
      <c r="GM86" s="32"/>
      <c r="GN86" s="32"/>
      <c r="GO86" s="32"/>
      <c r="GP86" s="32"/>
      <c r="GQ86" s="32"/>
      <c r="GR86" s="32"/>
      <c r="GS86" s="32"/>
      <c r="GT86" s="32"/>
      <c r="GU86" s="32"/>
      <c r="GV86" s="32"/>
      <c r="GW86" s="32"/>
      <c r="GX86" s="32"/>
      <c r="GY86" s="32"/>
      <c r="GZ86" s="32"/>
      <c r="HA86" s="32"/>
      <c r="HB86" s="32"/>
      <c r="HC86" s="32"/>
      <c r="HD86" s="32"/>
      <c r="HE86" s="32"/>
      <c r="HF86" s="32"/>
      <c r="HG86" s="32"/>
      <c r="HH86" s="32"/>
      <c r="HI86" s="32"/>
      <c r="HJ86" s="32"/>
      <c r="HK86" s="32"/>
      <c r="HL86" s="32"/>
      <c r="HM86" s="32"/>
      <c r="HN86" s="32"/>
      <c r="HO86" s="32"/>
      <c r="HP86" s="32"/>
      <c r="HQ86" s="32"/>
      <c r="HR86" s="32"/>
      <c r="HS86" s="32"/>
      <c r="HT86" s="32"/>
      <c r="HU86" s="32"/>
      <c r="HV86" s="32"/>
      <c r="HW86" s="32"/>
      <c r="HX86" s="32"/>
      <c r="HY86" s="32"/>
      <c r="HZ86" s="32"/>
      <c r="IA86" s="32"/>
      <c r="IB86" s="32"/>
      <c r="IC86" s="23"/>
    </row>
    <row r="87" spans="2:237" ht="15" customHeight="1" x14ac:dyDescent="0.2">
      <c r="B87" s="16"/>
      <c r="C87" s="39"/>
      <c r="D87" s="39"/>
      <c r="E87" s="39"/>
      <c r="F87" s="39"/>
      <c r="G87" s="39"/>
      <c r="H87" s="17"/>
      <c r="I87" s="17"/>
      <c r="J87" s="33" t="str">
        <f ca="1">IF(AND(H87&lt;&gt;"",I87&lt;&gt;""),IF($F$8=1,NETWORKDAYS(H87,I87),IF($F$8=3,I87-H87+1,NETWORKDAYS(H87,I87)+SUM(OFFSET($M$15,-2,MATCH(H87,$M$15:$IB$15,0)):OFFSET($M$15,-2,MATCH(I87,$M$15:$IB$15,0)-1)))),"")</f>
        <v/>
      </c>
      <c r="K87" s="33" t="str">
        <f t="shared" ca="1" si="12"/>
        <v/>
      </c>
      <c r="L87" s="33" t="str">
        <f t="shared" ca="1" si="13"/>
        <v/>
      </c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  <c r="EW87" s="32"/>
      <c r="EX87" s="32"/>
      <c r="EY87" s="32"/>
      <c r="EZ87" s="32"/>
      <c r="FA87" s="32"/>
      <c r="FB87" s="32"/>
      <c r="FC87" s="32"/>
      <c r="FD87" s="32"/>
      <c r="FE87" s="32"/>
      <c r="FF87" s="32"/>
      <c r="FG87" s="32"/>
      <c r="FH87" s="32"/>
      <c r="FI87" s="32"/>
      <c r="FJ87" s="32"/>
      <c r="FK87" s="32"/>
      <c r="FL87" s="32"/>
      <c r="FM87" s="32"/>
      <c r="FN87" s="32"/>
      <c r="FO87" s="32"/>
      <c r="FP87" s="32"/>
      <c r="FQ87" s="32"/>
      <c r="FR87" s="32"/>
      <c r="FS87" s="32"/>
      <c r="FT87" s="32"/>
      <c r="FU87" s="32"/>
      <c r="FV87" s="32"/>
      <c r="FW87" s="32"/>
      <c r="FX87" s="32"/>
      <c r="FY87" s="32"/>
      <c r="FZ87" s="32"/>
      <c r="GA87" s="32"/>
      <c r="GB87" s="32"/>
      <c r="GC87" s="32"/>
      <c r="GD87" s="32"/>
      <c r="GE87" s="32"/>
      <c r="GF87" s="32"/>
      <c r="GG87" s="32"/>
      <c r="GH87" s="32"/>
      <c r="GI87" s="32"/>
      <c r="GJ87" s="32"/>
      <c r="GK87" s="32"/>
      <c r="GL87" s="32"/>
      <c r="GM87" s="32"/>
      <c r="GN87" s="32"/>
      <c r="GO87" s="32"/>
      <c r="GP87" s="32"/>
      <c r="GQ87" s="32"/>
      <c r="GR87" s="32"/>
      <c r="GS87" s="32"/>
      <c r="GT87" s="32"/>
      <c r="GU87" s="32"/>
      <c r="GV87" s="32"/>
      <c r="GW87" s="32"/>
      <c r="GX87" s="32"/>
      <c r="GY87" s="32"/>
      <c r="GZ87" s="32"/>
      <c r="HA87" s="32"/>
      <c r="HB87" s="32"/>
      <c r="HC87" s="32"/>
      <c r="HD87" s="32"/>
      <c r="HE87" s="32"/>
      <c r="HF87" s="32"/>
      <c r="HG87" s="32"/>
      <c r="HH87" s="32"/>
      <c r="HI87" s="32"/>
      <c r="HJ87" s="32"/>
      <c r="HK87" s="32"/>
      <c r="HL87" s="32"/>
      <c r="HM87" s="32"/>
      <c r="HN87" s="32"/>
      <c r="HO87" s="32"/>
      <c r="HP87" s="32"/>
      <c r="HQ87" s="32"/>
      <c r="HR87" s="32"/>
      <c r="HS87" s="32"/>
      <c r="HT87" s="32"/>
      <c r="HU87" s="32"/>
      <c r="HV87" s="32"/>
      <c r="HW87" s="32"/>
      <c r="HX87" s="32"/>
      <c r="HY87" s="32"/>
      <c r="HZ87" s="32"/>
      <c r="IA87" s="32"/>
      <c r="IB87" s="32"/>
      <c r="IC87" s="23"/>
    </row>
    <row r="88" spans="2:237" ht="15" customHeight="1" x14ac:dyDescent="0.2">
      <c r="B88" s="16"/>
      <c r="C88" s="39"/>
      <c r="D88" s="39"/>
      <c r="E88" s="39"/>
      <c r="F88" s="39"/>
      <c r="G88" s="39"/>
      <c r="H88" s="17"/>
      <c r="I88" s="17"/>
      <c r="J88" s="33" t="str">
        <f ca="1">IF(AND(H88&lt;&gt;"",I88&lt;&gt;""),IF($F$8=1,NETWORKDAYS(H88,I88),IF($F$8=3,I88-H88+1,NETWORKDAYS(H88,I88)+SUM(OFFSET($M$15,-2,MATCH(H88,$M$15:$IB$15,0)):OFFSET($M$15,-2,MATCH(I88,$M$15:$IB$15,0)-1)))),"")</f>
        <v/>
      </c>
      <c r="K88" s="33" t="str">
        <f t="shared" ca="1" si="12"/>
        <v/>
      </c>
      <c r="L88" s="33" t="str">
        <f t="shared" ca="1" si="13"/>
        <v/>
      </c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  <c r="EW88" s="32"/>
      <c r="EX88" s="32"/>
      <c r="EY88" s="32"/>
      <c r="EZ88" s="32"/>
      <c r="FA88" s="32"/>
      <c r="FB88" s="32"/>
      <c r="FC88" s="32"/>
      <c r="FD88" s="32"/>
      <c r="FE88" s="32"/>
      <c r="FF88" s="32"/>
      <c r="FG88" s="32"/>
      <c r="FH88" s="32"/>
      <c r="FI88" s="32"/>
      <c r="FJ88" s="32"/>
      <c r="FK88" s="32"/>
      <c r="FL88" s="32"/>
      <c r="FM88" s="32"/>
      <c r="FN88" s="32"/>
      <c r="FO88" s="32"/>
      <c r="FP88" s="32"/>
      <c r="FQ88" s="32"/>
      <c r="FR88" s="32"/>
      <c r="FS88" s="32"/>
      <c r="FT88" s="32"/>
      <c r="FU88" s="32"/>
      <c r="FV88" s="32"/>
      <c r="FW88" s="32"/>
      <c r="FX88" s="32"/>
      <c r="FY88" s="32"/>
      <c r="FZ88" s="32"/>
      <c r="GA88" s="32"/>
      <c r="GB88" s="32"/>
      <c r="GC88" s="32"/>
      <c r="GD88" s="32"/>
      <c r="GE88" s="32"/>
      <c r="GF88" s="32"/>
      <c r="GG88" s="32"/>
      <c r="GH88" s="32"/>
      <c r="GI88" s="32"/>
      <c r="GJ88" s="32"/>
      <c r="GK88" s="32"/>
      <c r="GL88" s="32"/>
      <c r="GM88" s="32"/>
      <c r="GN88" s="32"/>
      <c r="GO88" s="32"/>
      <c r="GP88" s="32"/>
      <c r="GQ88" s="32"/>
      <c r="GR88" s="32"/>
      <c r="GS88" s="32"/>
      <c r="GT88" s="32"/>
      <c r="GU88" s="32"/>
      <c r="GV88" s="32"/>
      <c r="GW88" s="32"/>
      <c r="GX88" s="32"/>
      <c r="GY88" s="32"/>
      <c r="GZ88" s="32"/>
      <c r="HA88" s="32"/>
      <c r="HB88" s="32"/>
      <c r="HC88" s="32"/>
      <c r="HD88" s="32"/>
      <c r="HE88" s="32"/>
      <c r="HF88" s="32"/>
      <c r="HG88" s="32"/>
      <c r="HH88" s="32"/>
      <c r="HI88" s="32"/>
      <c r="HJ88" s="32"/>
      <c r="HK88" s="32"/>
      <c r="HL88" s="32"/>
      <c r="HM88" s="32"/>
      <c r="HN88" s="32"/>
      <c r="HO88" s="32"/>
      <c r="HP88" s="32"/>
      <c r="HQ88" s="32"/>
      <c r="HR88" s="32"/>
      <c r="HS88" s="32"/>
      <c r="HT88" s="32"/>
      <c r="HU88" s="32"/>
      <c r="HV88" s="32"/>
      <c r="HW88" s="32"/>
      <c r="HX88" s="32"/>
      <c r="HY88" s="32"/>
      <c r="HZ88" s="32"/>
      <c r="IA88" s="32"/>
      <c r="IB88" s="32"/>
      <c r="IC88" s="23"/>
    </row>
    <row r="89" spans="2:237" ht="15" customHeight="1" x14ac:dyDescent="0.2">
      <c r="B89" s="16"/>
      <c r="C89" s="39"/>
      <c r="D89" s="39"/>
      <c r="E89" s="39"/>
      <c r="F89" s="39"/>
      <c r="G89" s="39"/>
      <c r="H89" s="17"/>
      <c r="I89" s="17"/>
      <c r="J89" s="33" t="str">
        <f ca="1">IF(AND(H89&lt;&gt;"",I89&lt;&gt;""),IF($F$8=1,NETWORKDAYS(H89,I89),IF($F$8=3,I89-H89+1,NETWORKDAYS(H89,I89)+SUM(OFFSET($M$15,-2,MATCH(H89,$M$15:$IB$15,0)):OFFSET($M$15,-2,MATCH(I89,$M$15:$IB$15,0)-1)))),"")</f>
        <v/>
      </c>
      <c r="K89" s="33" t="str">
        <f t="shared" ca="1" si="12"/>
        <v/>
      </c>
      <c r="L89" s="33" t="str">
        <f t="shared" ca="1" si="13"/>
        <v/>
      </c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  <c r="EW89" s="32"/>
      <c r="EX89" s="32"/>
      <c r="EY89" s="32"/>
      <c r="EZ89" s="32"/>
      <c r="FA89" s="32"/>
      <c r="FB89" s="32"/>
      <c r="FC89" s="32"/>
      <c r="FD89" s="32"/>
      <c r="FE89" s="32"/>
      <c r="FF89" s="32"/>
      <c r="FG89" s="32"/>
      <c r="FH89" s="32"/>
      <c r="FI89" s="32"/>
      <c r="FJ89" s="32"/>
      <c r="FK89" s="32"/>
      <c r="FL89" s="32"/>
      <c r="FM89" s="32"/>
      <c r="FN89" s="32"/>
      <c r="FO89" s="32"/>
      <c r="FP89" s="32"/>
      <c r="FQ89" s="32"/>
      <c r="FR89" s="32"/>
      <c r="FS89" s="32"/>
      <c r="FT89" s="32"/>
      <c r="FU89" s="32"/>
      <c r="FV89" s="32"/>
      <c r="FW89" s="32"/>
      <c r="FX89" s="32"/>
      <c r="FY89" s="32"/>
      <c r="FZ89" s="32"/>
      <c r="GA89" s="32"/>
      <c r="GB89" s="32"/>
      <c r="GC89" s="32"/>
      <c r="GD89" s="32"/>
      <c r="GE89" s="32"/>
      <c r="GF89" s="32"/>
      <c r="GG89" s="32"/>
      <c r="GH89" s="32"/>
      <c r="GI89" s="32"/>
      <c r="GJ89" s="32"/>
      <c r="GK89" s="32"/>
      <c r="GL89" s="32"/>
      <c r="GM89" s="32"/>
      <c r="GN89" s="32"/>
      <c r="GO89" s="32"/>
      <c r="GP89" s="32"/>
      <c r="GQ89" s="32"/>
      <c r="GR89" s="32"/>
      <c r="GS89" s="32"/>
      <c r="GT89" s="32"/>
      <c r="GU89" s="32"/>
      <c r="GV89" s="32"/>
      <c r="GW89" s="32"/>
      <c r="GX89" s="32"/>
      <c r="GY89" s="32"/>
      <c r="GZ89" s="32"/>
      <c r="HA89" s="32"/>
      <c r="HB89" s="32"/>
      <c r="HC89" s="32"/>
      <c r="HD89" s="32"/>
      <c r="HE89" s="32"/>
      <c r="HF89" s="32"/>
      <c r="HG89" s="32"/>
      <c r="HH89" s="32"/>
      <c r="HI89" s="32"/>
      <c r="HJ89" s="32"/>
      <c r="HK89" s="32"/>
      <c r="HL89" s="32"/>
      <c r="HM89" s="32"/>
      <c r="HN89" s="32"/>
      <c r="HO89" s="32"/>
      <c r="HP89" s="32"/>
      <c r="HQ89" s="32"/>
      <c r="HR89" s="32"/>
      <c r="HS89" s="32"/>
      <c r="HT89" s="32"/>
      <c r="HU89" s="32"/>
      <c r="HV89" s="32"/>
      <c r="HW89" s="32"/>
      <c r="HX89" s="32"/>
      <c r="HY89" s="32"/>
      <c r="HZ89" s="32"/>
      <c r="IA89" s="32"/>
      <c r="IB89" s="32"/>
      <c r="IC89" s="23"/>
    </row>
    <row r="90" spans="2:237" ht="15" customHeight="1" x14ac:dyDescent="0.2">
      <c r="B90" s="16"/>
      <c r="C90" s="39"/>
      <c r="D90" s="39"/>
      <c r="E90" s="39"/>
      <c r="F90" s="39"/>
      <c r="G90" s="39"/>
      <c r="H90" s="17"/>
      <c r="I90" s="17"/>
      <c r="J90" s="33" t="str">
        <f ca="1">IF(AND(H90&lt;&gt;"",I90&lt;&gt;""),IF($F$8=1,NETWORKDAYS(H90,I90),IF($F$8=3,I90-H90+1,NETWORKDAYS(H90,I90)+SUM(OFFSET($M$15,-2,MATCH(H90,$M$15:$IB$15,0)):OFFSET($M$15,-2,MATCH(I90,$M$15:$IB$15,0)-1)))),"")</f>
        <v/>
      </c>
      <c r="K90" s="33" t="str">
        <f t="shared" ca="1" si="12"/>
        <v/>
      </c>
      <c r="L90" s="33" t="str">
        <f t="shared" ca="1" si="13"/>
        <v/>
      </c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  <c r="EW90" s="32"/>
      <c r="EX90" s="32"/>
      <c r="EY90" s="32"/>
      <c r="EZ90" s="32"/>
      <c r="FA90" s="32"/>
      <c r="FB90" s="32"/>
      <c r="FC90" s="32"/>
      <c r="FD90" s="32"/>
      <c r="FE90" s="32"/>
      <c r="FF90" s="32"/>
      <c r="FG90" s="32"/>
      <c r="FH90" s="32"/>
      <c r="FI90" s="32"/>
      <c r="FJ90" s="32"/>
      <c r="FK90" s="32"/>
      <c r="FL90" s="32"/>
      <c r="FM90" s="32"/>
      <c r="FN90" s="32"/>
      <c r="FO90" s="32"/>
      <c r="FP90" s="32"/>
      <c r="FQ90" s="32"/>
      <c r="FR90" s="32"/>
      <c r="FS90" s="32"/>
      <c r="FT90" s="32"/>
      <c r="FU90" s="32"/>
      <c r="FV90" s="32"/>
      <c r="FW90" s="32"/>
      <c r="FX90" s="32"/>
      <c r="FY90" s="32"/>
      <c r="FZ90" s="32"/>
      <c r="GA90" s="32"/>
      <c r="GB90" s="32"/>
      <c r="GC90" s="32"/>
      <c r="GD90" s="32"/>
      <c r="GE90" s="32"/>
      <c r="GF90" s="32"/>
      <c r="GG90" s="32"/>
      <c r="GH90" s="32"/>
      <c r="GI90" s="32"/>
      <c r="GJ90" s="32"/>
      <c r="GK90" s="32"/>
      <c r="GL90" s="32"/>
      <c r="GM90" s="32"/>
      <c r="GN90" s="32"/>
      <c r="GO90" s="32"/>
      <c r="GP90" s="32"/>
      <c r="GQ90" s="32"/>
      <c r="GR90" s="32"/>
      <c r="GS90" s="32"/>
      <c r="GT90" s="32"/>
      <c r="GU90" s="32"/>
      <c r="GV90" s="32"/>
      <c r="GW90" s="32"/>
      <c r="GX90" s="32"/>
      <c r="GY90" s="32"/>
      <c r="GZ90" s="32"/>
      <c r="HA90" s="32"/>
      <c r="HB90" s="32"/>
      <c r="HC90" s="32"/>
      <c r="HD90" s="32"/>
      <c r="HE90" s="32"/>
      <c r="HF90" s="32"/>
      <c r="HG90" s="32"/>
      <c r="HH90" s="32"/>
      <c r="HI90" s="32"/>
      <c r="HJ90" s="32"/>
      <c r="HK90" s="32"/>
      <c r="HL90" s="32"/>
      <c r="HM90" s="32"/>
      <c r="HN90" s="32"/>
      <c r="HO90" s="32"/>
      <c r="HP90" s="32"/>
      <c r="HQ90" s="32"/>
      <c r="HR90" s="32"/>
      <c r="HS90" s="32"/>
      <c r="HT90" s="32"/>
      <c r="HU90" s="32"/>
      <c r="HV90" s="32"/>
      <c r="HW90" s="32"/>
      <c r="HX90" s="32"/>
      <c r="HY90" s="32"/>
      <c r="HZ90" s="32"/>
      <c r="IA90" s="32"/>
      <c r="IB90" s="32"/>
      <c r="IC90" s="23"/>
    </row>
    <row r="91" spans="2:237" ht="15" customHeight="1" x14ac:dyDescent="0.2">
      <c r="B91" s="16"/>
      <c r="C91" s="39"/>
      <c r="D91" s="39"/>
      <c r="E91" s="39"/>
      <c r="F91" s="39"/>
      <c r="G91" s="39"/>
      <c r="H91" s="17"/>
      <c r="I91" s="17"/>
      <c r="J91" s="33" t="str">
        <f ca="1">IF(AND(H91&lt;&gt;"",I91&lt;&gt;""),IF($F$8=1,NETWORKDAYS(H91,I91),IF($F$8=3,I91-H91+1,NETWORKDAYS(H91,I91)+SUM(OFFSET($M$15,-2,MATCH(H91,$M$15:$IB$15,0)):OFFSET($M$15,-2,MATCH(I91,$M$15:$IB$15,0)-1)))),"")</f>
        <v/>
      </c>
      <c r="K91" s="33" t="str">
        <f t="shared" ca="1" si="12"/>
        <v/>
      </c>
      <c r="L91" s="33" t="str">
        <f t="shared" ca="1" si="13"/>
        <v/>
      </c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  <c r="EW91" s="32"/>
      <c r="EX91" s="32"/>
      <c r="EY91" s="32"/>
      <c r="EZ91" s="32"/>
      <c r="FA91" s="32"/>
      <c r="FB91" s="32"/>
      <c r="FC91" s="32"/>
      <c r="FD91" s="32"/>
      <c r="FE91" s="32"/>
      <c r="FF91" s="32"/>
      <c r="FG91" s="32"/>
      <c r="FH91" s="32"/>
      <c r="FI91" s="32"/>
      <c r="FJ91" s="32"/>
      <c r="FK91" s="32"/>
      <c r="FL91" s="32"/>
      <c r="FM91" s="32"/>
      <c r="FN91" s="32"/>
      <c r="FO91" s="32"/>
      <c r="FP91" s="32"/>
      <c r="FQ91" s="32"/>
      <c r="FR91" s="32"/>
      <c r="FS91" s="32"/>
      <c r="FT91" s="32"/>
      <c r="FU91" s="32"/>
      <c r="FV91" s="32"/>
      <c r="FW91" s="32"/>
      <c r="FX91" s="32"/>
      <c r="FY91" s="32"/>
      <c r="FZ91" s="32"/>
      <c r="GA91" s="32"/>
      <c r="GB91" s="32"/>
      <c r="GC91" s="32"/>
      <c r="GD91" s="32"/>
      <c r="GE91" s="32"/>
      <c r="GF91" s="32"/>
      <c r="GG91" s="32"/>
      <c r="GH91" s="32"/>
      <c r="GI91" s="32"/>
      <c r="GJ91" s="32"/>
      <c r="GK91" s="32"/>
      <c r="GL91" s="32"/>
      <c r="GM91" s="32"/>
      <c r="GN91" s="32"/>
      <c r="GO91" s="32"/>
      <c r="GP91" s="32"/>
      <c r="GQ91" s="32"/>
      <c r="GR91" s="32"/>
      <c r="GS91" s="32"/>
      <c r="GT91" s="32"/>
      <c r="GU91" s="32"/>
      <c r="GV91" s="32"/>
      <c r="GW91" s="32"/>
      <c r="GX91" s="32"/>
      <c r="GY91" s="32"/>
      <c r="GZ91" s="32"/>
      <c r="HA91" s="32"/>
      <c r="HB91" s="32"/>
      <c r="HC91" s="32"/>
      <c r="HD91" s="32"/>
      <c r="HE91" s="32"/>
      <c r="HF91" s="32"/>
      <c r="HG91" s="32"/>
      <c r="HH91" s="32"/>
      <c r="HI91" s="32"/>
      <c r="HJ91" s="32"/>
      <c r="HK91" s="32"/>
      <c r="HL91" s="32"/>
      <c r="HM91" s="32"/>
      <c r="HN91" s="32"/>
      <c r="HO91" s="32"/>
      <c r="HP91" s="32"/>
      <c r="HQ91" s="32"/>
      <c r="HR91" s="32"/>
      <c r="HS91" s="32"/>
      <c r="HT91" s="32"/>
      <c r="HU91" s="32"/>
      <c r="HV91" s="32"/>
      <c r="HW91" s="32"/>
      <c r="HX91" s="32"/>
      <c r="HY91" s="32"/>
      <c r="HZ91" s="32"/>
      <c r="IA91" s="32"/>
      <c r="IB91" s="32"/>
      <c r="IC91" s="23"/>
    </row>
    <row r="92" spans="2:237" ht="15" customHeight="1" x14ac:dyDescent="0.2">
      <c r="B92" s="16"/>
      <c r="C92" s="39"/>
      <c r="D92" s="39"/>
      <c r="E92" s="39"/>
      <c r="F92" s="39"/>
      <c r="G92" s="39"/>
      <c r="H92" s="17"/>
      <c r="I92" s="17"/>
      <c r="J92" s="33" t="str">
        <f ca="1">IF(AND(H92&lt;&gt;"",I92&lt;&gt;""),IF($F$8=1,NETWORKDAYS(H92,I92),IF($F$8=3,I92-H92+1,NETWORKDAYS(H92,I92)+SUM(OFFSET($M$15,-2,MATCH(H92,$M$15:$IB$15,0)):OFFSET($M$15,-2,MATCH(I92,$M$15:$IB$15,0)-1)))),"")</f>
        <v/>
      </c>
      <c r="K92" s="33" t="str">
        <f t="shared" ca="1" si="12"/>
        <v/>
      </c>
      <c r="L92" s="33" t="str">
        <f t="shared" ca="1" si="13"/>
        <v/>
      </c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  <c r="EW92" s="32"/>
      <c r="EX92" s="32"/>
      <c r="EY92" s="32"/>
      <c r="EZ92" s="32"/>
      <c r="FA92" s="32"/>
      <c r="FB92" s="32"/>
      <c r="FC92" s="32"/>
      <c r="FD92" s="32"/>
      <c r="FE92" s="32"/>
      <c r="FF92" s="32"/>
      <c r="FG92" s="32"/>
      <c r="FH92" s="32"/>
      <c r="FI92" s="32"/>
      <c r="FJ92" s="32"/>
      <c r="FK92" s="32"/>
      <c r="FL92" s="32"/>
      <c r="FM92" s="32"/>
      <c r="FN92" s="32"/>
      <c r="FO92" s="32"/>
      <c r="FP92" s="32"/>
      <c r="FQ92" s="32"/>
      <c r="FR92" s="32"/>
      <c r="FS92" s="32"/>
      <c r="FT92" s="32"/>
      <c r="FU92" s="32"/>
      <c r="FV92" s="32"/>
      <c r="FW92" s="32"/>
      <c r="FX92" s="32"/>
      <c r="FY92" s="32"/>
      <c r="FZ92" s="32"/>
      <c r="GA92" s="32"/>
      <c r="GB92" s="32"/>
      <c r="GC92" s="32"/>
      <c r="GD92" s="32"/>
      <c r="GE92" s="32"/>
      <c r="GF92" s="32"/>
      <c r="GG92" s="32"/>
      <c r="GH92" s="32"/>
      <c r="GI92" s="32"/>
      <c r="GJ92" s="32"/>
      <c r="GK92" s="32"/>
      <c r="GL92" s="32"/>
      <c r="GM92" s="32"/>
      <c r="GN92" s="32"/>
      <c r="GO92" s="32"/>
      <c r="GP92" s="32"/>
      <c r="GQ92" s="32"/>
      <c r="GR92" s="32"/>
      <c r="GS92" s="32"/>
      <c r="GT92" s="32"/>
      <c r="GU92" s="32"/>
      <c r="GV92" s="32"/>
      <c r="GW92" s="32"/>
      <c r="GX92" s="32"/>
      <c r="GY92" s="32"/>
      <c r="GZ92" s="32"/>
      <c r="HA92" s="32"/>
      <c r="HB92" s="32"/>
      <c r="HC92" s="32"/>
      <c r="HD92" s="32"/>
      <c r="HE92" s="32"/>
      <c r="HF92" s="32"/>
      <c r="HG92" s="32"/>
      <c r="HH92" s="32"/>
      <c r="HI92" s="32"/>
      <c r="HJ92" s="32"/>
      <c r="HK92" s="32"/>
      <c r="HL92" s="32"/>
      <c r="HM92" s="32"/>
      <c r="HN92" s="32"/>
      <c r="HO92" s="32"/>
      <c r="HP92" s="32"/>
      <c r="HQ92" s="32"/>
      <c r="HR92" s="32"/>
      <c r="HS92" s="32"/>
      <c r="HT92" s="32"/>
      <c r="HU92" s="32"/>
      <c r="HV92" s="32"/>
      <c r="HW92" s="32"/>
      <c r="HX92" s="32"/>
      <c r="HY92" s="32"/>
      <c r="HZ92" s="32"/>
      <c r="IA92" s="32"/>
      <c r="IB92" s="32"/>
      <c r="IC92" s="23"/>
    </row>
    <row r="93" spans="2:237" ht="15" customHeight="1" x14ac:dyDescent="0.2">
      <c r="B93" s="16"/>
      <c r="C93" s="39"/>
      <c r="D93" s="39"/>
      <c r="E93" s="39"/>
      <c r="F93" s="39"/>
      <c r="G93" s="39"/>
      <c r="H93" s="17"/>
      <c r="I93" s="17"/>
      <c r="J93" s="33" t="str">
        <f ca="1">IF(AND(H93&lt;&gt;"",I93&lt;&gt;""),IF($F$8=1,NETWORKDAYS(H93,I93),IF($F$8=3,I93-H93+1,NETWORKDAYS(H93,I93)+SUM(OFFSET($M$15,-2,MATCH(H93,$M$15:$IB$15,0)):OFFSET($M$15,-2,MATCH(I93,$M$15:$IB$15,0)-1)))),"")</f>
        <v/>
      </c>
      <c r="K93" s="33" t="str">
        <f t="shared" ca="1" si="12"/>
        <v/>
      </c>
      <c r="L93" s="33" t="str">
        <f t="shared" ca="1" si="13"/>
        <v/>
      </c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  <c r="EW93" s="32"/>
      <c r="EX93" s="32"/>
      <c r="EY93" s="32"/>
      <c r="EZ93" s="32"/>
      <c r="FA93" s="32"/>
      <c r="FB93" s="32"/>
      <c r="FC93" s="32"/>
      <c r="FD93" s="32"/>
      <c r="FE93" s="32"/>
      <c r="FF93" s="32"/>
      <c r="FG93" s="32"/>
      <c r="FH93" s="32"/>
      <c r="FI93" s="32"/>
      <c r="FJ93" s="32"/>
      <c r="FK93" s="32"/>
      <c r="FL93" s="32"/>
      <c r="FM93" s="32"/>
      <c r="FN93" s="32"/>
      <c r="FO93" s="32"/>
      <c r="FP93" s="32"/>
      <c r="FQ93" s="32"/>
      <c r="FR93" s="32"/>
      <c r="FS93" s="32"/>
      <c r="FT93" s="32"/>
      <c r="FU93" s="32"/>
      <c r="FV93" s="32"/>
      <c r="FW93" s="32"/>
      <c r="FX93" s="32"/>
      <c r="FY93" s="32"/>
      <c r="FZ93" s="32"/>
      <c r="GA93" s="32"/>
      <c r="GB93" s="32"/>
      <c r="GC93" s="32"/>
      <c r="GD93" s="32"/>
      <c r="GE93" s="32"/>
      <c r="GF93" s="32"/>
      <c r="GG93" s="32"/>
      <c r="GH93" s="32"/>
      <c r="GI93" s="32"/>
      <c r="GJ93" s="32"/>
      <c r="GK93" s="32"/>
      <c r="GL93" s="32"/>
      <c r="GM93" s="32"/>
      <c r="GN93" s="32"/>
      <c r="GO93" s="32"/>
      <c r="GP93" s="32"/>
      <c r="GQ93" s="32"/>
      <c r="GR93" s="32"/>
      <c r="GS93" s="32"/>
      <c r="GT93" s="32"/>
      <c r="GU93" s="32"/>
      <c r="GV93" s="32"/>
      <c r="GW93" s="32"/>
      <c r="GX93" s="32"/>
      <c r="GY93" s="32"/>
      <c r="GZ93" s="32"/>
      <c r="HA93" s="32"/>
      <c r="HB93" s="32"/>
      <c r="HC93" s="32"/>
      <c r="HD93" s="32"/>
      <c r="HE93" s="32"/>
      <c r="HF93" s="32"/>
      <c r="HG93" s="32"/>
      <c r="HH93" s="32"/>
      <c r="HI93" s="32"/>
      <c r="HJ93" s="32"/>
      <c r="HK93" s="32"/>
      <c r="HL93" s="32"/>
      <c r="HM93" s="32"/>
      <c r="HN93" s="32"/>
      <c r="HO93" s="32"/>
      <c r="HP93" s="32"/>
      <c r="HQ93" s="32"/>
      <c r="HR93" s="32"/>
      <c r="HS93" s="32"/>
      <c r="HT93" s="32"/>
      <c r="HU93" s="32"/>
      <c r="HV93" s="32"/>
      <c r="HW93" s="32"/>
      <c r="HX93" s="32"/>
      <c r="HY93" s="32"/>
      <c r="HZ93" s="32"/>
      <c r="IA93" s="32"/>
      <c r="IB93" s="32"/>
      <c r="IC93" s="23"/>
    </row>
    <row r="94" spans="2:237" ht="15" customHeight="1" x14ac:dyDescent="0.2">
      <c r="B94" s="16"/>
      <c r="C94" s="39"/>
      <c r="D94" s="39"/>
      <c r="E94" s="39"/>
      <c r="F94" s="39"/>
      <c r="G94" s="39"/>
      <c r="H94" s="17"/>
      <c r="I94" s="17"/>
      <c r="J94" s="33" t="str">
        <f ca="1">IF(AND(H94&lt;&gt;"",I94&lt;&gt;""),IF($F$8=1,NETWORKDAYS(H94,I94),IF($F$8=3,I94-H94+1,NETWORKDAYS(H94,I94)+SUM(OFFSET($M$15,-2,MATCH(H94,$M$15:$IB$15,0)):OFFSET($M$15,-2,MATCH(I94,$M$15:$IB$15,0)-1)))),"")</f>
        <v/>
      </c>
      <c r="K94" s="33" t="str">
        <f t="shared" ca="1" si="12"/>
        <v/>
      </c>
      <c r="L94" s="33" t="str">
        <f t="shared" ca="1" si="13"/>
        <v/>
      </c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  <c r="EW94" s="32"/>
      <c r="EX94" s="32"/>
      <c r="EY94" s="32"/>
      <c r="EZ94" s="32"/>
      <c r="FA94" s="32"/>
      <c r="FB94" s="32"/>
      <c r="FC94" s="32"/>
      <c r="FD94" s="32"/>
      <c r="FE94" s="32"/>
      <c r="FF94" s="32"/>
      <c r="FG94" s="32"/>
      <c r="FH94" s="32"/>
      <c r="FI94" s="32"/>
      <c r="FJ94" s="32"/>
      <c r="FK94" s="32"/>
      <c r="FL94" s="32"/>
      <c r="FM94" s="32"/>
      <c r="FN94" s="32"/>
      <c r="FO94" s="32"/>
      <c r="FP94" s="32"/>
      <c r="FQ94" s="32"/>
      <c r="FR94" s="32"/>
      <c r="FS94" s="32"/>
      <c r="FT94" s="32"/>
      <c r="FU94" s="32"/>
      <c r="FV94" s="32"/>
      <c r="FW94" s="32"/>
      <c r="FX94" s="32"/>
      <c r="FY94" s="32"/>
      <c r="FZ94" s="32"/>
      <c r="GA94" s="32"/>
      <c r="GB94" s="32"/>
      <c r="GC94" s="32"/>
      <c r="GD94" s="32"/>
      <c r="GE94" s="32"/>
      <c r="GF94" s="32"/>
      <c r="GG94" s="32"/>
      <c r="GH94" s="32"/>
      <c r="GI94" s="32"/>
      <c r="GJ94" s="32"/>
      <c r="GK94" s="32"/>
      <c r="GL94" s="32"/>
      <c r="GM94" s="32"/>
      <c r="GN94" s="32"/>
      <c r="GO94" s="32"/>
      <c r="GP94" s="32"/>
      <c r="GQ94" s="32"/>
      <c r="GR94" s="32"/>
      <c r="GS94" s="32"/>
      <c r="GT94" s="32"/>
      <c r="GU94" s="32"/>
      <c r="GV94" s="32"/>
      <c r="GW94" s="32"/>
      <c r="GX94" s="32"/>
      <c r="GY94" s="32"/>
      <c r="GZ94" s="32"/>
      <c r="HA94" s="32"/>
      <c r="HB94" s="32"/>
      <c r="HC94" s="32"/>
      <c r="HD94" s="32"/>
      <c r="HE94" s="32"/>
      <c r="HF94" s="32"/>
      <c r="HG94" s="32"/>
      <c r="HH94" s="32"/>
      <c r="HI94" s="32"/>
      <c r="HJ94" s="32"/>
      <c r="HK94" s="32"/>
      <c r="HL94" s="32"/>
      <c r="HM94" s="32"/>
      <c r="HN94" s="32"/>
      <c r="HO94" s="32"/>
      <c r="HP94" s="32"/>
      <c r="HQ94" s="32"/>
      <c r="HR94" s="32"/>
      <c r="HS94" s="32"/>
      <c r="HT94" s="32"/>
      <c r="HU94" s="32"/>
      <c r="HV94" s="32"/>
      <c r="HW94" s="32"/>
      <c r="HX94" s="32"/>
      <c r="HY94" s="32"/>
      <c r="HZ94" s="32"/>
      <c r="IA94" s="32"/>
      <c r="IB94" s="32"/>
      <c r="IC94" s="23"/>
    </row>
    <row r="95" spans="2:237" ht="15" customHeight="1" x14ac:dyDescent="0.2">
      <c r="B95" s="16"/>
      <c r="C95" s="39"/>
      <c r="D95" s="39"/>
      <c r="E95" s="39"/>
      <c r="F95" s="39"/>
      <c r="G95" s="39"/>
      <c r="H95" s="17"/>
      <c r="I95" s="17"/>
      <c r="J95" s="33" t="str">
        <f ca="1">IF(AND(H95&lt;&gt;"",I95&lt;&gt;""),IF($F$8=1,NETWORKDAYS(H95,I95),IF($F$8=3,I95-H95+1,NETWORKDAYS(H95,I95)+SUM(OFFSET($M$15,-2,MATCH(H95,$M$15:$IB$15,0)):OFFSET($M$15,-2,MATCH(I95,$M$15:$IB$15,0)-1)))),"")</f>
        <v/>
      </c>
      <c r="K95" s="33" t="str">
        <f t="shared" ca="1" si="12"/>
        <v/>
      </c>
      <c r="L95" s="33" t="str">
        <f t="shared" ca="1" si="13"/>
        <v/>
      </c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  <c r="EW95" s="32"/>
      <c r="EX95" s="32"/>
      <c r="EY95" s="32"/>
      <c r="EZ95" s="32"/>
      <c r="FA95" s="32"/>
      <c r="FB95" s="32"/>
      <c r="FC95" s="32"/>
      <c r="FD95" s="32"/>
      <c r="FE95" s="32"/>
      <c r="FF95" s="32"/>
      <c r="FG95" s="32"/>
      <c r="FH95" s="32"/>
      <c r="FI95" s="32"/>
      <c r="FJ95" s="32"/>
      <c r="FK95" s="32"/>
      <c r="FL95" s="32"/>
      <c r="FM95" s="32"/>
      <c r="FN95" s="32"/>
      <c r="FO95" s="32"/>
      <c r="FP95" s="32"/>
      <c r="FQ95" s="32"/>
      <c r="FR95" s="32"/>
      <c r="FS95" s="32"/>
      <c r="FT95" s="32"/>
      <c r="FU95" s="32"/>
      <c r="FV95" s="32"/>
      <c r="FW95" s="32"/>
      <c r="FX95" s="32"/>
      <c r="FY95" s="32"/>
      <c r="FZ95" s="32"/>
      <c r="GA95" s="32"/>
      <c r="GB95" s="32"/>
      <c r="GC95" s="32"/>
      <c r="GD95" s="32"/>
      <c r="GE95" s="32"/>
      <c r="GF95" s="32"/>
      <c r="GG95" s="32"/>
      <c r="GH95" s="32"/>
      <c r="GI95" s="32"/>
      <c r="GJ95" s="32"/>
      <c r="GK95" s="32"/>
      <c r="GL95" s="32"/>
      <c r="GM95" s="32"/>
      <c r="GN95" s="32"/>
      <c r="GO95" s="32"/>
      <c r="GP95" s="32"/>
      <c r="GQ95" s="32"/>
      <c r="GR95" s="32"/>
      <c r="GS95" s="32"/>
      <c r="GT95" s="32"/>
      <c r="GU95" s="32"/>
      <c r="GV95" s="32"/>
      <c r="GW95" s="32"/>
      <c r="GX95" s="32"/>
      <c r="GY95" s="32"/>
      <c r="GZ95" s="32"/>
      <c r="HA95" s="32"/>
      <c r="HB95" s="32"/>
      <c r="HC95" s="32"/>
      <c r="HD95" s="32"/>
      <c r="HE95" s="32"/>
      <c r="HF95" s="32"/>
      <c r="HG95" s="32"/>
      <c r="HH95" s="32"/>
      <c r="HI95" s="32"/>
      <c r="HJ95" s="32"/>
      <c r="HK95" s="32"/>
      <c r="HL95" s="32"/>
      <c r="HM95" s="32"/>
      <c r="HN95" s="32"/>
      <c r="HO95" s="32"/>
      <c r="HP95" s="32"/>
      <c r="HQ95" s="32"/>
      <c r="HR95" s="32"/>
      <c r="HS95" s="32"/>
      <c r="HT95" s="32"/>
      <c r="HU95" s="32"/>
      <c r="HV95" s="32"/>
      <c r="HW95" s="32"/>
      <c r="HX95" s="32"/>
      <c r="HY95" s="32"/>
      <c r="HZ95" s="32"/>
      <c r="IA95" s="32"/>
      <c r="IB95" s="32"/>
      <c r="IC95" s="23"/>
    </row>
    <row r="96" spans="2:237" ht="15" customHeight="1" x14ac:dyDescent="0.2">
      <c r="B96" s="16"/>
      <c r="C96" s="39"/>
      <c r="D96" s="39"/>
      <c r="E96" s="39"/>
      <c r="F96" s="39"/>
      <c r="G96" s="39"/>
      <c r="H96" s="17"/>
      <c r="I96" s="17"/>
      <c r="J96" s="33" t="str">
        <f ca="1">IF(AND(H96&lt;&gt;"",I96&lt;&gt;""),IF($F$8=1,NETWORKDAYS(H96,I96),IF($F$8=3,I96-H96+1,NETWORKDAYS(H96,I96)+SUM(OFFSET($M$15,-2,MATCH(H96,$M$15:$IB$15,0)):OFFSET($M$15,-2,MATCH(I96,$M$15:$IB$15,0)-1)))),"")</f>
        <v/>
      </c>
      <c r="K96" s="33" t="str">
        <f t="shared" ca="1" si="12"/>
        <v/>
      </c>
      <c r="L96" s="33" t="str">
        <f t="shared" ca="1" si="13"/>
        <v/>
      </c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  <c r="EW96" s="32"/>
      <c r="EX96" s="32"/>
      <c r="EY96" s="32"/>
      <c r="EZ96" s="32"/>
      <c r="FA96" s="32"/>
      <c r="FB96" s="32"/>
      <c r="FC96" s="32"/>
      <c r="FD96" s="32"/>
      <c r="FE96" s="32"/>
      <c r="FF96" s="32"/>
      <c r="FG96" s="32"/>
      <c r="FH96" s="32"/>
      <c r="FI96" s="32"/>
      <c r="FJ96" s="32"/>
      <c r="FK96" s="32"/>
      <c r="FL96" s="32"/>
      <c r="FM96" s="32"/>
      <c r="FN96" s="32"/>
      <c r="FO96" s="32"/>
      <c r="FP96" s="32"/>
      <c r="FQ96" s="32"/>
      <c r="FR96" s="32"/>
      <c r="FS96" s="32"/>
      <c r="FT96" s="32"/>
      <c r="FU96" s="32"/>
      <c r="FV96" s="32"/>
      <c r="FW96" s="32"/>
      <c r="FX96" s="32"/>
      <c r="FY96" s="32"/>
      <c r="FZ96" s="32"/>
      <c r="GA96" s="32"/>
      <c r="GB96" s="32"/>
      <c r="GC96" s="32"/>
      <c r="GD96" s="32"/>
      <c r="GE96" s="32"/>
      <c r="GF96" s="32"/>
      <c r="GG96" s="32"/>
      <c r="GH96" s="32"/>
      <c r="GI96" s="32"/>
      <c r="GJ96" s="32"/>
      <c r="GK96" s="32"/>
      <c r="GL96" s="32"/>
      <c r="GM96" s="32"/>
      <c r="GN96" s="32"/>
      <c r="GO96" s="32"/>
      <c r="GP96" s="32"/>
      <c r="GQ96" s="32"/>
      <c r="GR96" s="32"/>
      <c r="GS96" s="32"/>
      <c r="GT96" s="32"/>
      <c r="GU96" s="32"/>
      <c r="GV96" s="32"/>
      <c r="GW96" s="32"/>
      <c r="GX96" s="32"/>
      <c r="GY96" s="32"/>
      <c r="GZ96" s="32"/>
      <c r="HA96" s="32"/>
      <c r="HB96" s="32"/>
      <c r="HC96" s="32"/>
      <c r="HD96" s="32"/>
      <c r="HE96" s="32"/>
      <c r="HF96" s="32"/>
      <c r="HG96" s="32"/>
      <c r="HH96" s="32"/>
      <c r="HI96" s="32"/>
      <c r="HJ96" s="32"/>
      <c r="HK96" s="32"/>
      <c r="HL96" s="32"/>
      <c r="HM96" s="32"/>
      <c r="HN96" s="32"/>
      <c r="HO96" s="32"/>
      <c r="HP96" s="32"/>
      <c r="HQ96" s="32"/>
      <c r="HR96" s="32"/>
      <c r="HS96" s="32"/>
      <c r="HT96" s="32"/>
      <c r="HU96" s="32"/>
      <c r="HV96" s="32"/>
      <c r="HW96" s="32"/>
      <c r="HX96" s="32"/>
      <c r="HY96" s="32"/>
      <c r="HZ96" s="32"/>
      <c r="IA96" s="32"/>
      <c r="IB96" s="32"/>
      <c r="IC96" s="23"/>
    </row>
    <row r="97" spans="2:237" ht="15" customHeight="1" x14ac:dyDescent="0.2">
      <c r="B97" s="16"/>
      <c r="C97" s="39"/>
      <c r="D97" s="39"/>
      <c r="E97" s="39"/>
      <c r="F97" s="39"/>
      <c r="G97" s="39"/>
      <c r="H97" s="17"/>
      <c r="I97" s="17"/>
      <c r="J97" s="33" t="str">
        <f ca="1">IF(AND(H97&lt;&gt;"",I97&lt;&gt;""),IF($F$8=1,NETWORKDAYS(H97,I97),IF($F$8=3,I97-H97+1,NETWORKDAYS(H97,I97)+SUM(OFFSET($M$15,-2,MATCH(H97,$M$15:$IB$15,0)):OFFSET($M$15,-2,MATCH(I97,$M$15:$IB$15,0)-1)))),"")</f>
        <v/>
      </c>
      <c r="K97" s="33" t="str">
        <f t="shared" ca="1" si="12"/>
        <v/>
      </c>
      <c r="L97" s="33" t="str">
        <f t="shared" ca="1" si="13"/>
        <v/>
      </c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  <c r="EW97" s="32"/>
      <c r="EX97" s="32"/>
      <c r="EY97" s="32"/>
      <c r="EZ97" s="32"/>
      <c r="FA97" s="32"/>
      <c r="FB97" s="32"/>
      <c r="FC97" s="32"/>
      <c r="FD97" s="32"/>
      <c r="FE97" s="32"/>
      <c r="FF97" s="32"/>
      <c r="FG97" s="32"/>
      <c r="FH97" s="32"/>
      <c r="FI97" s="32"/>
      <c r="FJ97" s="32"/>
      <c r="FK97" s="32"/>
      <c r="FL97" s="32"/>
      <c r="FM97" s="32"/>
      <c r="FN97" s="32"/>
      <c r="FO97" s="32"/>
      <c r="FP97" s="32"/>
      <c r="FQ97" s="32"/>
      <c r="FR97" s="32"/>
      <c r="FS97" s="32"/>
      <c r="FT97" s="32"/>
      <c r="FU97" s="32"/>
      <c r="FV97" s="32"/>
      <c r="FW97" s="32"/>
      <c r="FX97" s="32"/>
      <c r="FY97" s="32"/>
      <c r="FZ97" s="32"/>
      <c r="GA97" s="32"/>
      <c r="GB97" s="32"/>
      <c r="GC97" s="32"/>
      <c r="GD97" s="32"/>
      <c r="GE97" s="32"/>
      <c r="GF97" s="32"/>
      <c r="GG97" s="32"/>
      <c r="GH97" s="32"/>
      <c r="GI97" s="32"/>
      <c r="GJ97" s="32"/>
      <c r="GK97" s="32"/>
      <c r="GL97" s="32"/>
      <c r="GM97" s="32"/>
      <c r="GN97" s="32"/>
      <c r="GO97" s="32"/>
      <c r="GP97" s="32"/>
      <c r="GQ97" s="32"/>
      <c r="GR97" s="32"/>
      <c r="GS97" s="32"/>
      <c r="GT97" s="32"/>
      <c r="GU97" s="32"/>
      <c r="GV97" s="32"/>
      <c r="GW97" s="32"/>
      <c r="GX97" s="32"/>
      <c r="GY97" s="32"/>
      <c r="GZ97" s="32"/>
      <c r="HA97" s="32"/>
      <c r="HB97" s="32"/>
      <c r="HC97" s="32"/>
      <c r="HD97" s="32"/>
      <c r="HE97" s="32"/>
      <c r="HF97" s="32"/>
      <c r="HG97" s="32"/>
      <c r="HH97" s="32"/>
      <c r="HI97" s="32"/>
      <c r="HJ97" s="32"/>
      <c r="HK97" s="32"/>
      <c r="HL97" s="32"/>
      <c r="HM97" s="32"/>
      <c r="HN97" s="32"/>
      <c r="HO97" s="32"/>
      <c r="HP97" s="32"/>
      <c r="HQ97" s="32"/>
      <c r="HR97" s="32"/>
      <c r="HS97" s="32"/>
      <c r="HT97" s="32"/>
      <c r="HU97" s="32"/>
      <c r="HV97" s="32"/>
      <c r="HW97" s="32"/>
      <c r="HX97" s="32"/>
      <c r="HY97" s="32"/>
      <c r="HZ97" s="32"/>
      <c r="IA97" s="32"/>
      <c r="IB97" s="32"/>
      <c r="IC97" s="23"/>
    </row>
    <row r="98" spans="2:237" ht="15" customHeight="1" x14ac:dyDescent="0.2">
      <c r="B98" s="16"/>
      <c r="C98" s="39"/>
      <c r="D98" s="39"/>
      <c r="E98" s="39"/>
      <c r="F98" s="39"/>
      <c r="G98" s="39"/>
      <c r="H98" s="17"/>
      <c r="I98" s="17"/>
      <c r="J98" s="33" t="str">
        <f ca="1">IF(AND(H98&lt;&gt;"",I98&lt;&gt;""),IF($F$8=1,NETWORKDAYS(H98,I98),IF($F$8=3,I98-H98+1,NETWORKDAYS(H98,I98)+SUM(OFFSET($M$15,-2,MATCH(H98,$M$15:$IB$15,0)):OFFSET($M$15,-2,MATCH(I98,$M$15:$IB$15,0)-1)))),"")</f>
        <v/>
      </c>
      <c r="K98" s="33" t="str">
        <f t="shared" ca="1" si="12"/>
        <v/>
      </c>
      <c r="L98" s="33" t="str">
        <f t="shared" ca="1" si="13"/>
        <v/>
      </c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  <c r="EW98" s="32"/>
      <c r="EX98" s="32"/>
      <c r="EY98" s="32"/>
      <c r="EZ98" s="32"/>
      <c r="FA98" s="32"/>
      <c r="FB98" s="32"/>
      <c r="FC98" s="32"/>
      <c r="FD98" s="32"/>
      <c r="FE98" s="32"/>
      <c r="FF98" s="32"/>
      <c r="FG98" s="32"/>
      <c r="FH98" s="32"/>
      <c r="FI98" s="32"/>
      <c r="FJ98" s="32"/>
      <c r="FK98" s="32"/>
      <c r="FL98" s="32"/>
      <c r="FM98" s="32"/>
      <c r="FN98" s="32"/>
      <c r="FO98" s="32"/>
      <c r="FP98" s="32"/>
      <c r="FQ98" s="32"/>
      <c r="FR98" s="32"/>
      <c r="FS98" s="32"/>
      <c r="FT98" s="32"/>
      <c r="FU98" s="32"/>
      <c r="FV98" s="32"/>
      <c r="FW98" s="32"/>
      <c r="FX98" s="32"/>
      <c r="FY98" s="32"/>
      <c r="FZ98" s="32"/>
      <c r="GA98" s="32"/>
      <c r="GB98" s="32"/>
      <c r="GC98" s="32"/>
      <c r="GD98" s="32"/>
      <c r="GE98" s="32"/>
      <c r="GF98" s="32"/>
      <c r="GG98" s="32"/>
      <c r="GH98" s="32"/>
      <c r="GI98" s="32"/>
      <c r="GJ98" s="32"/>
      <c r="GK98" s="32"/>
      <c r="GL98" s="32"/>
      <c r="GM98" s="32"/>
      <c r="GN98" s="32"/>
      <c r="GO98" s="32"/>
      <c r="GP98" s="32"/>
      <c r="GQ98" s="32"/>
      <c r="GR98" s="32"/>
      <c r="GS98" s="32"/>
      <c r="GT98" s="32"/>
      <c r="GU98" s="32"/>
      <c r="GV98" s="32"/>
      <c r="GW98" s="32"/>
      <c r="GX98" s="32"/>
      <c r="GY98" s="32"/>
      <c r="GZ98" s="32"/>
      <c r="HA98" s="32"/>
      <c r="HB98" s="32"/>
      <c r="HC98" s="32"/>
      <c r="HD98" s="32"/>
      <c r="HE98" s="32"/>
      <c r="HF98" s="32"/>
      <c r="HG98" s="32"/>
      <c r="HH98" s="32"/>
      <c r="HI98" s="32"/>
      <c r="HJ98" s="32"/>
      <c r="HK98" s="32"/>
      <c r="HL98" s="32"/>
      <c r="HM98" s="32"/>
      <c r="HN98" s="32"/>
      <c r="HO98" s="32"/>
      <c r="HP98" s="32"/>
      <c r="HQ98" s="32"/>
      <c r="HR98" s="32"/>
      <c r="HS98" s="32"/>
      <c r="HT98" s="32"/>
      <c r="HU98" s="32"/>
      <c r="HV98" s="32"/>
      <c r="HW98" s="32"/>
      <c r="HX98" s="32"/>
      <c r="HY98" s="32"/>
      <c r="HZ98" s="32"/>
      <c r="IA98" s="32"/>
      <c r="IB98" s="32"/>
      <c r="IC98" s="23"/>
    </row>
    <row r="99" spans="2:237" ht="15" customHeight="1" x14ac:dyDescent="0.2">
      <c r="B99" s="16"/>
      <c r="C99" s="39"/>
      <c r="D99" s="39"/>
      <c r="E99" s="39"/>
      <c r="F99" s="39"/>
      <c r="G99" s="39"/>
      <c r="H99" s="17"/>
      <c r="I99" s="17"/>
      <c r="J99" s="33" t="str">
        <f ca="1">IF(AND(H99&lt;&gt;"",I99&lt;&gt;""),IF($F$8=1,NETWORKDAYS(H99,I99),IF($F$8=3,I99-H99+1,NETWORKDAYS(H99,I99)+SUM(OFFSET($M$15,-2,MATCH(H99,$M$15:$IB$15,0)):OFFSET($M$15,-2,MATCH(I99,$M$15:$IB$15,0)-1)))),"")</f>
        <v/>
      </c>
      <c r="K99" s="33" t="str">
        <f t="shared" ca="1" si="12"/>
        <v/>
      </c>
      <c r="L99" s="33" t="str">
        <f t="shared" ca="1" si="13"/>
        <v/>
      </c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  <c r="EW99" s="32"/>
      <c r="EX99" s="32"/>
      <c r="EY99" s="32"/>
      <c r="EZ99" s="32"/>
      <c r="FA99" s="32"/>
      <c r="FB99" s="32"/>
      <c r="FC99" s="32"/>
      <c r="FD99" s="32"/>
      <c r="FE99" s="32"/>
      <c r="FF99" s="32"/>
      <c r="FG99" s="32"/>
      <c r="FH99" s="32"/>
      <c r="FI99" s="32"/>
      <c r="FJ99" s="32"/>
      <c r="FK99" s="32"/>
      <c r="FL99" s="32"/>
      <c r="FM99" s="32"/>
      <c r="FN99" s="32"/>
      <c r="FO99" s="32"/>
      <c r="FP99" s="32"/>
      <c r="FQ99" s="32"/>
      <c r="FR99" s="32"/>
      <c r="FS99" s="32"/>
      <c r="FT99" s="32"/>
      <c r="FU99" s="32"/>
      <c r="FV99" s="32"/>
      <c r="FW99" s="32"/>
      <c r="FX99" s="32"/>
      <c r="FY99" s="32"/>
      <c r="FZ99" s="32"/>
      <c r="GA99" s="32"/>
      <c r="GB99" s="32"/>
      <c r="GC99" s="32"/>
      <c r="GD99" s="32"/>
      <c r="GE99" s="32"/>
      <c r="GF99" s="32"/>
      <c r="GG99" s="32"/>
      <c r="GH99" s="32"/>
      <c r="GI99" s="32"/>
      <c r="GJ99" s="32"/>
      <c r="GK99" s="32"/>
      <c r="GL99" s="32"/>
      <c r="GM99" s="32"/>
      <c r="GN99" s="32"/>
      <c r="GO99" s="32"/>
      <c r="GP99" s="32"/>
      <c r="GQ99" s="32"/>
      <c r="GR99" s="32"/>
      <c r="GS99" s="32"/>
      <c r="GT99" s="32"/>
      <c r="GU99" s="32"/>
      <c r="GV99" s="32"/>
      <c r="GW99" s="32"/>
      <c r="GX99" s="32"/>
      <c r="GY99" s="32"/>
      <c r="GZ99" s="32"/>
      <c r="HA99" s="32"/>
      <c r="HB99" s="32"/>
      <c r="HC99" s="32"/>
      <c r="HD99" s="32"/>
      <c r="HE99" s="32"/>
      <c r="HF99" s="32"/>
      <c r="HG99" s="32"/>
      <c r="HH99" s="32"/>
      <c r="HI99" s="32"/>
      <c r="HJ99" s="32"/>
      <c r="HK99" s="32"/>
      <c r="HL99" s="32"/>
      <c r="HM99" s="32"/>
      <c r="HN99" s="32"/>
      <c r="HO99" s="32"/>
      <c r="HP99" s="32"/>
      <c r="HQ99" s="32"/>
      <c r="HR99" s="32"/>
      <c r="HS99" s="32"/>
      <c r="HT99" s="32"/>
      <c r="HU99" s="32"/>
      <c r="HV99" s="32"/>
      <c r="HW99" s="32"/>
      <c r="HX99" s="32"/>
      <c r="HY99" s="32"/>
      <c r="HZ99" s="32"/>
      <c r="IA99" s="32"/>
      <c r="IB99" s="32"/>
      <c r="IC99" s="23"/>
    </row>
    <row r="100" spans="2:237" ht="15" customHeight="1" x14ac:dyDescent="0.2">
      <c r="B100" s="16"/>
      <c r="C100" s="39"/>
      <c r="D100" s="39"/>
      <c r="E100" s="39"/>
      <c r="F100" s="39"/>
      <c r="G100" s="39"/>
      <c r="H100" s="17"/>
      <c r="I100" s="17"/>
      <c r="J100" s="33" t="str">
        <f ca="1">IF(AND(H100&lt;&gt;"",I100&lt;&gt;""),IF($F$8=1,NETWORKDAYS(H100,I100),IF($F$8=3,I100-H100+1,NETWORKDAYS(H100,I100)+SUM(OFFSET($M$15,-2,MATCH(H100,$M$15:$IB$15,0)):OFFSET($M$15,-2,MATCH(I100,$M$15:$IB$15,0)-1)))),"")</f>
        <v/>
      </c>
      <c r="K100" s="33" t="str">
        <f t="shared" ca="1" si="12"/>
        <v/>
      </c>
      <c r="L100" s="33" t="str">
        <f t="shared" ca="1" si="13"/>
        <v/>
      </c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  <c r="EW100" s="32"/>
      <c r="EX100" s="32"/>
      <c r="EY100" s="32"/>
      <c r="EZ100" s="32"/>
      <c r="FA100" s="32"/>
      <c r="FB100" s="32"/>
      <c r="FC100" s="32"/>
      <c r="FD100" s="32"/>
      <c r="FE100" s="32"/>
      <c r="FF100" s="32"/>
      <c r="FG100" s="32"/>
      <c r="FH100" s="32"/>
      <c r="FI100" s="32"/>
      <c r="FJ100" s="32"/>
      <c r="FK100" s="32"/>
      <c r="FL100" s="32"/>
      <c r="FM100" s="32"/>
      <c r="FN100" s="32"/>
      <c r="FO100" s="32"/>
      <c r="FP100" s="32"/>
      <c r="FQ100" s="32"/>
      <c r="FR100" s="32"/>
      <c r="FS100" s="32"/>
      <c r="FT100" s="32"/>
      <c r="FU100" s="32"/>
      <c r="FV100" s="32"/>
      <c r="FW100" s="32"/>
      <c r="FX100" s="32"/>
      <c r="FY100" s="32"/>
      <c r="FZ100" s="32"/>
      <c r="GA100" s="32"/>
      <c r="GB100" s="32"/>
      <c r="GC100" s="32"/>
      <c r="GD100" s="32"/>
      <c r="GE100" s="32"/>
      <c r="GF100" s="32"/>
      <c r="GG100" s="32"/>
      <c r="GH100" s="32"/>
      <c r="GI100" s="32"/>
      <c r="GJ100" s="32"/>
      <c r="GK100" s="32"/>
      <c r="GL100" s="32"/>
      <c r="GM100" s="32"/>
      <c r="GN100" s="32"/>
      <c r="GO100" s="32"/>
      <c r="GP100" s="32"/>
      <c r="GQ100" s="32"/>
      <c r="GR100" s="32"/>
      <c r="GS100" s="32"/>
      <c r="GT100" s="32"/>
      <c r="GU100" s="32"/>
      <c r="GV100" s="32"/>
      <c r="GW100" s="32"/>
      <c r="GX100" s="32"/>
      <c r="GY100" s="32"/>
      <c r="GZ100" s="32"/>
      <c r="HA100" s="32"/>
      <c r="HB100" s="32"/>
      <c r="HC100" s="32"/>
      <c r="HD100" s="32"/>
      <c r="HE100" s="32"/>
      <c r="HF100" s="32"/>
      <c r="HG100" s="32"/>
      <c r="HH100" s="32"/>
      <c r="HI100" s="32"/>
      <c r="HJ100" s="32"/>
      <c r="HK100" s="32"/>
      <c r="HL100" s="32"/>
      <c r="HM100" s="32"/>
      <c r="HN100" s="32"/>
      <c r="HO100" s="32"/>
      <c r="HP100" s="32"/>
      <c r="HQ100" s="32"/>
      <c r="HR100" s="32"/>
      <c r="HS100" s="32"/>
      <c r="HT100" s="32"/>
      <c r="HU100" s="32"/>
      <c r="HV100" s="32"/>
      <c r="HW100" s="32"/>
      <c r="HX100" s="32"/>
      <c r="HY100" s="32"/>
      <c r="HZ100" s="32"/>
      <c r="IA100" s="32"/>
      <c r="IB100" s="32"/>
      <c r="IC100" s="23"/>
    </row>
    <row r="101" spans="2:237" ht="15" customHeight="1" x14ac:dyDescent="0.2">
      <c r="B101" s="16"/>
      <c r="C101" s="39"/>
      <c r="D101" s="39"/>
      <c r="E101" s="39"/>
      <c r="F101" s="39"/>
      <c r="G101" s="39"/>
      <c r="H101" s="17"/>
      <c r="I101" s="17"/>
      <c r="J101" s="33" t="str">
        <f ca="1">IF(AND(H101&lt;&gt;"",I101&lt;&gt;""),IF($F$8=1,NETWORKDAYS(H101,I101),IF($F$8=3,I101-H101+1,NETWORKDAYS(H101,I101)+SUM(OFFSET($M$15,-2,MATCH(H101,$M$15:$IB$15,0)):OFFSET($M$15,-2,MATCH(I101,$M$15:$IB$15,0)-1)))),"")</f>
        <v/>
      </c>
      <c r="K101" s="33" t="str">
        <f t="shared" ca="1" si="12"/>
        <v/>
      </c>
      <c r="L101" s="33" t="str">
        <f t="shared" ca="1" si="13"/>
        <v/>
      </c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  <c r="EW101" s="32"/>
      <c r="EX101" s="32"/>
      <c r="EY101" s="32"/>
      <c r="EZ101" s="32"/>
      <c r="FA101" s="32"/>
      <c r="FB101" s="32"/>
      <c r="FC101" s="32"/>
      <c r="FD101" s="32"/>
      <c r="FE101" s="32"/>
      <c r="FF101" s="32"/>
      <c r="FG101" s="32"/>
      <c r="FH101" s="32"/>
      <c r="FI101" s="32"/>
      <c r="FJ101" s="32"/>
      <c r="FK101" s="32"/>
      <c r="FL101" s="32"/>
      <c r="FM101" s="32"/>
      <c r="FN101" s="32"/>
      <c r="FO101" s="32"/>
      <c r="FP101" s="32"/>
      <c r="FQ101" s="32"/>
      <c r="FR101" s="32"/>
      <c r="FS101" s="32"/>
      <c r="FT101" s="32"/>
      <c r="FU101" s="32"/>
      <c r="FV101" s="32"/>
      <c r="FW101" s="32"/>
      <c r="FX101" s="32"/>
      <c r="FY101" s="32"/>
      <c r="FZ101" s="32"/>
      <c r="GA101" s="32"/>
      <c r="GB101" s="32"/>
      <c r="GC101" s="32"/>
      <c r="GD101" s="32"/>
      <c r="GE101" s="32"/>
      <c r="GF101" s="32"/>
      <c r="GG101" s="32"/>
      <c r="GH101" s="32"/>
      <c r="GI101" s="32"/>
      <c r="GJ101" s="32"/>
      <c r="GK101" s="32"/>
      <c r="GL101" s="32"/>
      <c r="GM101" s="32"/>
      <c r="GN101" s="32"/>
      <c r="GO101" s="32"/>
      <c r="GP101" s="32"/>
      <c r="GQ101" s="32"/>
      <c r="GR101" s="32"/>
      <c r="GS101" s="32"/>
      <c r="GT101" s="32"/>
      <c r="GU101" s="32"/>
      <c r="GV101" s="32"/>
      <c r="GW101" s="32"/>
      <c r="GX101" s="32"/>
      <c r="GY101" s="32"/>
      <c r="GZ101" s="32"/>
      <c r="HA101" s="32"/>
      <c r="HB101" s="32"/>
      <c r="HC101" s="32"/>
      <c r="HD101" s="32"/>
      <c r="HE101" s="32"/>
      <c r="HF101" s="32"/>
      <c r="HG101" s="32"/>
      <c r="HH101" s="32"/>
      <c r="HI101" s="32"/>
      <c r="HJ101" s="32"/>
      <c r="HK101" s="32"/>
      <c r="HL101" s="32"/>
      <c r="HM101" s="32"/>
      <c r="HN101" s="32"/>
      <c r="HO101" s="32"/>
      <c r="HP101" s="32"/>
      <c r="HQ101" s="32"/>
      <c r="HR101" s="32"/>
      <c r="HS101" s="32"/>
      <c r="HT101" s="32"/>
      <c r="HU101" s="32"/>
      <c r="HV101" s="32"/>
      <c r="HW101" s="32"/>
      <c r="HX101" s="32"/>
      <c r="HY101" s="32"/>
      <c r="HZ101" s="32"/>
      <c r="IA101" s="32"/>
      <c r="IB101" s="32"/>
      <c r="IC101" s="23"/>
    </row>
    <row r="102" spans="2:237" ht="15" customHeight="1" x14ac:dyDescent="0.2">
      <c r="B102" s="16"/>
      <c r="C102" s="39"/>
      <c r="D102" s="39"/>
      <c r="E102" s="39"/>
      <c r="F102" s="39"/>
      <c r="G102" s="39"/>
      <c r="H102" s="17"/>
      <c r="I102" s="17"/>
      <c r="J102" s="33" t="str">
        <f ca="1">IF(AND(H102&lt;&gt;"",I102&lt;&gt;""),IF($F$8=1,NETWORKDAYS(H102,I102),IF($F$8=3,I102-H102+1,NETWORKDAYS(H102,I102)+SUM(OFFSET($M$15,-2,MATCH(H102,$M$15:$IB$15,0)):OFFSET($M$15,-2,MATCH(I102,$M$15:$IB$15,0)-1)))),"")</f>
        <v/>
      </c>
      <c r="K102" s="33" t="str">
        <f t="shared" ca="1" si="12"/>
        <v/>
      </c>
      <c r="L102" s="33" t="str">
        <f t="shared" ca="1" si="13"/>
        <v/>
      </c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  <c r="EW102" s="32"/>
      <c r="EX102" s="32"/>
      <c r="EY102" s="32"/>
      <c r="EZ102" s="32"/>
      <c r="FA102" s="32"/>
      <c r="FB102" s="32"/>
      <c r="FC102" s="32"/>
      <c r="FD102" s="32"/>
      <c r="FE102" s="32"/>
      <c r="FF102" s="32"/>
      <c r="FG102" s="32"/>
      <c r="FH102" s="32"/>
      <c r="FI102" s="32"/>
      <c r="FJ102" s="32"/>
      <c r="FK102" s="32"/>
      <c r="FL102" s="32"/>
      <c r="FM102" s="32"/>
      <c r="FN102" s="32"/>
      <c r="FO102" s="32"/>
      <c r="FP102" s="32"/>
      <c r="FQ102" s="32"/>
      <c r="FR102" s="32"/>
      <c r="FS102" s="32"/>
      <c r="FT102" s="32"/>
      <c r="FU102" s="32"/>
      <c r="FV102" s="32"/>
      <c r="FW102" s="32"/>
      <c r="FX102" s="32"/>
      <c r="FY102" s="32"/>
      <c r="FZ102" s="32"/>
      <c r="GA102" s="32"/>
      <c r="GB102" s="32"/>
      <c r="GC102" s="32"/>
      <c r="GD102" s="32"/>
      <c r="GE102" s="32"/>
      <c r="GF102" s="32"/>
      <c r="GG102" s="32"/>
      <c r="GH102" s="32"/>
      <c r="GI102" s="32"/>
      <c r="GJ102" s="32"/>
      <c r="GK102" s="32"/>
      <c r="GL102" s="32"/>
      <c r="GM102" s="32"/>
      <c r="GN102" s="32"/>
      <c r="GO102" s="32"/>
      <c r="GP102" s="32"/>
      <c r="GQ102" s="32"/>
      <c r="GR102" s="32"/>
      <c r="GS102" s="32"/>
      <c r="GT102" s="32"/>
      <c r="GU102" s="32"/>
      <c r="GV102" s="32"/>
      <c r="GW102" s="32"/>
      <c r="GX102" s="32"/>
      <c r="GY102" s="32"/>
      <c r="GZ102" s="32"/>
      <c r="HA102" s="32"/>
      <c r="HB102" s="32"/>
      <c r="HC102" s="32"/>
      <c r="HD102" s="32"/>
      <c r="HE102" s="32"/>
      <c r="HF102" s="32"/>
      <c r="HG102" s="32"/>
      <c r="HH102" s="32"/>
      <c r="HI102" s="32"/>
      <c r="HJ102" s="32"/>
      <c r="HK102" s="32"/>
      <c r="HL102" s="32"/>
      <c r="HM102" s="32"/>
      <c r="HN102" s="32"/>
      <c r="HO102" s="32"/>
      <c r="HP102" s="32"/>
      <c r="HQ102" s="32"/>
      <c r="HR102" s="32"/>
      <c r="HS102" s="32"/>
      <c r="HT102" s="32"/>
      <c r="HU102" s="32"/>
      <c r="HV102" s="32"/>
      <c r="HW102" s="32"/>
      <c r="HX102" s="32"/>
      <c r="HY102" s="32"/>
      <c r="HZ102" s="32"/>
      <c r="IA102" s="32"/>
      <c r="IB102" s="32"/>
      <c r="IC102" s="23"/>
    </row>
    <row r="103" spans="2:237" ht="15" customHeight="1" x14ac:dyDescent="0.2">
      <c r="B103" s="16"/>
      <c r="C103" s="39"/>
      <c r="D103" s="39"/>
      <c r="E103" s="39"/>
      <c r="F103" s="39"/>
      <c r="G103" s="39"/>
      <c r="H103" s="17"/>
      <c r="I103" s="17"/>
      <c r="J103" s="33" t="str">
        <f ca="1">IF(AND(H103&lt;&gt;"",I103&lt;&gt;""),IF($F$8=1,NETWORKDAYS(H103,I103),IF($F$8=3,I103-H103+1,NETWORKDAYS(H103,I103)+SUM(OFFSET($M$15,-2,MATCH(H103,$M$15:$IB$15,0)):OFFSET($M$15,-2,MATCH(I103,$M$15:$IB$15,0)-1)))),"")</f>
        <v/>
      </c>
      <c r="K103" s="33" t="str">
        <f t="shared" ca="1" si="12"/>
        <v/>
      </c>
      <c r="L103" s="33" t="str">
        <f t="shared" ca="1" si="13"/>
        <v/>
      </c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  <c r="EW103" s="32"/>
      <c r="EX103" s="32"/>
      <c r="EY103" s="32"/>
      <c r="EZ103" s="32"/>
      <c r="FA103" s="32"/>
      <c r="FB103" s="32"/>
      <c r="FC103" s="32"/>
      <c r="FD103" s="32"/>
      <c r="FE103" s="32"/>
      <c r="FF103" s="32"/>
      <c r="FG103" s="32"/>
      <c r="FH103" s="32"/>
      <c r="FI103" s="32"/>
      <c r="FJ103" s="32"/>
      <c r="FK103" s="32"/>
      <c r="FL103" s="32"/>
      <c r="FM103" s="32"/>
      <c r="FN103" s="32"/>
      <c r="FO103" s="32"/>
      <c r="FP103" s="32"/>
      <c r="FQ103" s="32"/>
      <c r="FR103" s="32"/>
      <c r="FS103" s="32"/>
      <c r="FT103" s="32"/>
      <c r="FU103" s="32"/>
      <c r="FV103" s="32"/>
      <c r="FW103" s="32"/>
      <c r="FX103" s="32"/>
      <c r="FY103" s="32"/>
      <c r="FZ103" s="32"/>
      <c r="GA103" s="32"/>
      <c r="GB103" s="32"/>
      <c r="GC103" s="32"/>
      <c r="GD103" s="32"/>
      <c r="GE103" s="32"/>
      <c r="GF103" s="32"/>
      <c r="GG103" s="32"/>
      <c r="GH103" s="32"/>
      <c r="GI103" s="32"/>
      <c r="GJ103" s="32"/>
      <c r="GK103" s="32"/>
      <c r="GL103" s="32"/>
      <c r="GM103" s="32"/>
      <c r="GN103" s="32"/>
      <c r="GO103" s="32"/>
      <c r="GP103" s="32"/>
      <c r="GQ103" s="32"/>
      <c r="GR103" s="32"/>
      <c r="GS103" s="32"/>
      <c r="GT103" s="32"/>
      <c r="GU103" s="32"/>
      <c r="GV103" s="32"/>
      <c r="GW103" s="32"/>
      <c r="GX103" s="32"/>
      <c r="GY103" s="32"/>
      <c r="GZ103" s="32"/>
      <c r="HA103" s="32"/>
      <c r="HB103" s="32"/>
      <c r="HC103" s="32"/>
      <c r="HD103" s="32"/>
      <c r="HE103" s="32"/>
      <c r="HF103" s="32"/>
      <c r="HG103" s="32"/>
      <c r="HH103" s="32"/>
      <c r="HI103" s="32"/>
      <c r="HJ103" s="32"/>
      <c r="HK103" s="32"/>
      <c r="HL103" s="32"/>
      <c r="HM103" s="32"/>
      <c r="HN103" s="32"/>
      <c r="HO103" s="32"/>
      <c r="HP103" s="32"/>
      <c r="HQ103" s="32"/>
      <c r="HR103" s="32"/>
      <c r="HS103" s="32"/>
      <c r="HT103" s="32"/>
      <c r="HU103" s="32"/>
      <c r="HV103" s="32"/>
      <c r="HW103" s="32"/>
      <c r="HX103" s="32"/>
      <c r="HY103" s="32"/>
      <c r="HZ103" s="32"/>
      <c r="IA103" s="32"/>
      <c r="IB103" s="32"/>
      <c r="IC103" s="23"/>
    </row>
    <row r="104" spans="2:237" ht="15" customHeight="1" x14ac:dyDescent="0.2">
      <c r="B104" s="16"/>
      <c r="C104" s="39"/>
      <c r="D104" s="39"/>
      <c r="E104" s="39"/>
      <c r="F104" s="39"/>
      <c r="G104" s="39"/>
      <c r="H104" s="17"/>
      <c r="I104" s="17"/>
      <c r="J104" s="33" t="str">
        <f ca="1">IF(AND(H104&lt;&gt;"",I104&lt;&gt;""),IF($F$8=1,NETWORKDAYS(H104,I104),IF($F$8=3,I104-H104+1,NETWORKDAYS(H104,I104)+SUM(OFFSET($M$15,-2,MATCH(H104,$M$15:$IB$15,0)):OFFSET($M$15,-2,MATCH(I104,$M$15:$IB$15,0)-1)))),"")</f>
        <v/>
      </c>
      <c r="K104" s="33" t="str">
        <f t="shared" ca="1" si="12"/>
        <v/>
      </c>
      <c r="L104" s="33" t="str">
        <f t="shared" ca="1" si="13"/>
        <v/>
      </c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  <c r="EW104" s="32"/>
      <c r="EX104" s="32"/>
      <c r="EY104" s="32"/>
      <c r="EZ104" s="32"/>
      <c r="FA104" s="32"/>
      <c r="FB104" s="32"/>
      <c r="FC104" s="32"/>
      <c r="FD104" s="32"/>
      <c r="FE104" s="32"/>
      <c r="FF104" s="32"/>
      <c r="FG104" s="32"/>
      <c r="FH104" s="32"/>
      <c r="FI104" s="32"/>
      <c r="FJ104" s="32"/>
      <c r="FK104" s="32"/>
      <c r="FL104" s="32"/>
      <c r="FM104" s="32"/>
      <c r="FN104" s="32"/>
      <c r="FO104" s="32"/>
      <c r="FP104" s="32"/>
      <c r="FQ104" s="32"/>
      <c r="FR104" s="32"/>
      <c r="FS104" s="32"/>
      <c r="FT104" s="32"/>
      <c r="FU104" s="32"/>
      <c r="FV104" s="32"/>
      <c r="FW104" s="32"/>
      <c r="FX104" s="32"/>
      <c r="FY104" s="32"/>
      <c r="FZ104" s="32"/>
      <c r="GA104" s="32"/>
      <c r="GB104" s="32"/>
      <c r="GC104" s="32"/>
      <c r="GD104" s="32"/>
      <c r="GE104" s="32"/>
      <c r="GF104" s="32"/>
      <c r="GG104" s="32"/>
      <c r="GH104" s="32"/>
      <c r="GI104" s="32"/>
      <c r="GJ104" s="32"/>
      <c r="GK104" s="32"/>
      <c r="GL104" s="32"/>
      <c r="GM104" s="32"/>
      <c r="GN104" s="32"/>
      <c r="GO104" s="32"/>
      <c r="GP104" s="32"/>
      <c r="GQ104" s="32"/>
      <c r="GR104" s="32"/>
      <c r="GS104" s="32"/>
      <c r="GT104" s="32"/>
      <c r="GU104" s="32"/>
      <c r="GV104" s="32"/>
      <c r="GW104" s="32"/>
      <c r="GX104" s="32"/>
      <c r="GY104" s="32"/>
      <c r="GZ104" s="32"/>
      <c r="HA104" s="32"/>
      <c r="HB104" s="32"/>
      <c r="HC104" s="32"/>
      <c r="HD104" s="32"/>
      <c r="HE104" s="32"/>
      <c r="HF104" s="32"/>
      <c r="HG104" s="32"/>
      <c r="HH104" s="32"/>
      <c r="HI104" s="32"/>
      <c r="HJ104" s="32"/>
      <c r="HK104" s="32"/>
      <c r="HL104" s="32"/>
      <c r="HM104" s="32"/>
      <c r="HN104" s="32"/>
      <c r="HO104" s="32"/>
      <c r="HP104" s="32"/>
      <c r="HQ104" s="32"/>
      <c r="HR104" s="32"/>
      <c r="HS104" s="32"/>
      <c r="HT104" s="32"/>
      <c r="HU104" s="32"/>
      <c r="HV104" s="32"/>
      <c r="HW104" s="32"/>
      <c r="HX104" s="32"/>
      <c r="HY104" s="32"/>
      <c r="HZ104" s="32"/>
      <c r="IA104" s="32"/>
      <c r="IB104" s="32"/>
      <c r="IC104" s="23"/>
    </row>
    <row r="105" spans="2:237" ht="15" customHeight="1" x14ac:dyDescent="0.2">
      <c r="B105" s="16"/>
      <c r="C105" s="39"/>
      <c r="D105" s="39"/>
      <c r="E105" s="39"/>
      <c r="F105" s="39"/>
      <c r="G105" s="39"/>
      <c r="H105" s="17"/>
      <c r="I105" s="17"/>
      <c r="J105" s="33" t="str">
        <f ca="1">IF(AND(H105&lt;&gt;"",I105&lt;&gt;""),IF($F$8=1,NETWORKDAYS(H105,I105),IF($F$8=3,I105-H105+1,NETWORKDAYS(H105,I105)+SUM(OFFSET($M$15,-2,MATCH(H105,$M$15:$IB$15,0)):OFFSET($M$15,-2,MATCH(I105,$M$15:$IB$15,0)-1)))),"")</f>
        <v/>
      </c>
      <c r="K105" s="33" t="str">
        <f t="shared" ca="1" si="12"/>
        <v/>
      </c>
      <c r="L105" s="33" t="str">
        <f t="shared" ca="1" si="13"/>
        <v/>
      </c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  <c r="EW105" s="32"/>
      <c r="EX105" s="32"/>
      <c r="EY105" s="32"/>
      <c r="EZ105" s="32"/>
      <c r="FA105" s="32"/>
      <c r="FB105" s="32"/>
      <c r="FC105" s="32"/>
      <c r="FD105" s="32"/>
      <c r="FE105" s="32"/>
      <c r="FF105" s="32"/>
      <c r="FG105" s="32"/>
      <c r="FH105" s="32"/>
      <c r="FI105" s="32"/>
      <c r="FJ105" s="32"/>
      <c r="FK105" s="32"/>
      <c r="FL105" s="32"/>
      <c r="FM105" s="32"/>
      <c r="FN105" s="32"/>
      <c r="FO105" s="32"/>
      <c r="FP105" s="32"/>
      <c r="FQ105" s="32"/>
      <c r="FR105" s="32"/>
      <c r="FS105" s="32"/>
      <c r="FT105" s="32"/>
      <c r="FU105" s="32"/>
      <c r="FV105" s="32"/>
      <c r="FW105" s="32"/>
      <c r="FX105" s="32"/>
      <c r="FY105" s="32"/>
      <c r="FZ105" s="32"/>
      <c r="GA105" s="32"/>
      <c r="GB105" s="32"/>
      <c r="GC105" s="32"/>
      <c r="GD105" s="32"/>
      <c r="GE105" s="32"/>
      <c r="GF105" s="32"/>
      <c r="GG105" s="32"/>
      <c r="GH105" s="32"/>
      <c r="GI105" s="32"/>
      <c r="GJ105" s="32"/>
      <c r="GK105" s="32"/>
      <c r="GL105" s="32"/>
      <c r="GM105" s="32"/>
      <c r="GN105" s="32"/>
      <c r="GO105" s="32"/>
      <c r="GP105" s="32"/>
      <c r="GQ105" s="32"/>
      <c r="GR105" s="32"/>
      <c r="GS105" s="32"/>
      <c r="GT105" s="32"/>
      <c r="GU105" s="32"/>
      <c r="GV105" s="32"/>
      <c r="GW105" s="32"/>
      <c r="GX105" s="32"/>
      <c r="GY105" s="32"/>
      <c r="GZ105" s="32"/>
      <c r="HA105" s="32"/>
      <c r="HB105" s="32"/>
      <c r="HC105" s="32"/>
      <c r="HD105" s="32"/>
      <c r="HE105" s="32"/>
      <c r="HF105" s="32"/>
      <c r="HG105" s="32"/>
      <c r="HH105" s="32"/>
      <c r="HI105" s="32"/>
      <c r="HJ105" s="32"/>
      <c r="HK105" s="32"/>
      <c r="HL105" s="32"/>
      <c r="HM105" s="32"/>
      <c r="HN105" s="32"/>
      <c r="HO105" s="32"/>
      <c r="HP105" s="32"/>
      <c r="HQ105" s="32"/>
      <c r="HR105" s="32"/>
      <c r="HS105" s="32"/>
      <c r="HT105" s="32"/>
      <c r="HU105" s="32"/>
      <c r="HV105" s="32"/>
      <c r="HW105" s="32"/>
      <c r="HX105" s="32"/>
      <c r="HY105" s="32"/>
      <c r="HZ105" s="32"/>
      <c r="IA105" s="32"/>
      <c r="IB105" s="32"/>
      <c r="IC105" s="23"/>
    </row>
    <row r="106" spans="2:237" ht="15" customHeight="1" x14ac:dyDescent="0.2">
      <c r="B106" s="16"/>
      <c r="C106" s="39"/>
      <c r="D106" s="39"/>
      <c r="E106" s="39"/>
      <c r="F106" s="39"/>
      <c r="G106" s="39"/>
      <c r="H106" s="17"/>
      <c r="I106" s="17"/>
      <c r="J106" s="33" t="str">
        <f ca="1">IF(AND(H106&lt;&gt;"",I106&lt;&gt;""),IF($F$8=1,NETWORKDAYS(H106,I106),IF($F$8=3,I106-H106+1,NETWORKDAYS(H106,I106)+SUM(OFFSET($M$15,-2,MATCH(H106,$M$15:$IB$15,0)):OFFSET($M$15,-2,MATCH(I106,$M$15:$IB$15,0)-1)))),"")</f>
        <v/>
      </c>
      <c r="K106" s="33" t="str">
        <f t="shared" ca="1" si="12"/>
        <v/>
      </c>
      <c r="L106" s="33" t="str">
        <f t="shared" ca="1" si="13"/>
        <v/>
      </c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  <c r="EW106" s="32"/>
      <c r="EX106" s="32"/>
      <c r="EY106" s="32"/>
      <c r="EZ106" s="32"/>
      <c r="FA106" s="32"/>
      <c r="FB106" s="32"/>
      <c r="FC106" s="32"/>
      <c r="FD106" s="32"/>
      <c r="FE106" s="32"/>
      <c r="FF106" s="32"/>
      <c r="FG106" s="32"/>
      <c r="FH106" s="32"/>
      <c r="FI106" s="32"/>
      <c r="FJ106" s="32"/>
      <c r="FK106" s="32"/>
      <c r="FL106" s="32"/>
      <c r="FM106" s="32"/>
      <c r="FN106" s="32"/>
      <c r="FO106" s="32"/>
      <c r="FP106" s="32"/>
      <c r="FQ106" s="32"/>
      <c r="FR106" s="32"/>
      <c r="FS106" s="32"/>
      <c r="FT106" s="32"/>
      <c r="FU106" s="32"/>
      <c r="FV106" s="32"/>
      <c r="FW106" s="32"/>
      <c r="FX106" s="32"/>
      <c r="FY106" s="32"/>
      <c r="FZ106" s="32"/>
      <c r="GA106" s="32"/>
      <c r="GB106" s="32"/>
      <c r="GC106" s="32"/>
      <c r="GD106" s="32"/>
      <c r="GE106" s="32"/>
      <c r="GF106" s="32"/>
      <c r="GG106" s="32"/>
      <c r="GH106" s="32"/>
      <c r="GI106" s="32"/>
      <c r="GJ106" s="32"/>
      <c r="GK106" s="32"/>
      <c r="GL106" s="32"/>
      <c r="GM106" s="32"/>
      <c r="GN106" s="32"/>
      <c r="GO106" s="32"/>
      <c r="GP106" s="32"/>
      <c r="GQ106" s="32"/>
      <c r="GR106" s="32"/>
      <c r="GS106" s="32"/>
      <c r="GT106" s="32"/>
      <c r="GU106" s="32"/>
      <c r="GV106" s="32"/>
      <c r="GW106" s="32"/>
      <c r="GX106" s="32"/>
      <c r="GY106" s="32"/>
      <c r="GZ106" s="32"/>
      <c r="HA106" s="32"/>
      <c r="HB106" s="32"/>
      <c r="HC106" s="32"/>
      <c r="HD106" s="32"/>
      <c r="HE106" s="32"/>
      <c r="HF106" s="32"/>
      <c r="HG106" s="32"/>
      <c r="HH106" s="32"/>
      <c r="HI106" s="32"/>
      <c r="HJ106" s="32"/>
      <c r="HK106" s="32"/>
      <c r="HL106" s="32"/>
      <c r="HM106" s="32"/>
      <c r="HN106" s="32"/>
      <c r="HO106" s="32"/>
      <c r="HP106" s="32"/>
      <c r="HQ106" s="32"/>
      <c r="HR106" s="32"/>
      <c r="HS106" s="32"/>
      <c r="HT106" s="32"/>
      <c r="HU106" s="32"/>
      <c r="HV106" s="32"/>
      <c r="HW106" s="32"/>
      <c r="HX106" s="32"/>
      <c r="HY106" s="32"/>
      <c r="HZ106" s="32"/>
      <c r="IA106" s="32"/>
      <c r="IB106" s="32"/>
      <c r="IC106" s="23"/>
    </row>
    <row r="107" spans="2:237" ht="15" customHeight="1" x14ac:dyDescent="0.2">
      <c r="B107" s="16"/>
      <c r="C107" s="39"/>
      <c r="D107" s="39"/>
      <c r="E107" s="39"/>
      <c r="F107" s="39"/>
      <c r="G107" s="39"/>
      <c r="H107" s="17"/>
      <c r="I107" s="17"/>
      <c r="J107" s="33" t="str">
        <f ca="1">IF(AND(H107&lt;&gt;"",I107&lt;&gt;""),IF($F$8=1,NETWORKDAYS(H107,I107),IF($F$8=3,I107-H107+1,NETWORKDAYS(H107,I107)+SUM(OFFSET($M$15,-2,MATCH(H107,$M$15:$IB$15,0)):OFFSET($M$15,-2,MATCH(I107,$M$15:$IB$15,0)-1)))),"")</f>
        <v/>
      </c>
      <c r="K107" s="33" t="str">
        <f t="shared" ca="1" si="12"/>
        <v/>
      </c>
      <c r="L107" s="33" t="str">
        <f t="shared" ca="1" si="13"/>
        <v/>
      </c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  <c r="EW107" s="32"/>
      <c r="EX107" s="32"/>
      <c r="EY107" s="32"/>
      <c r="EZ107" s="32"/>
      <c r="FA107" s="32"/>
      <c r="FB107" s="32"/>
      <c r="FC107" s="32"/>
      <c r="FD107" s="32"/>
      <c r="FE107" s="32"/>
      <c r="FF107" s="32"/>
      <c r="FG107" s="32"/>
      <c r="FH107" s="32"/>
      <c r="FI107" s="32"/>
      <c r="FJ107" s="32"/>
      <c r="FK107" s="32"/>
      <c r="FL107" s="32"/>
      <c r="FM107" s="32"/>
      <c r="FN107" s="32"/>
      <c r="FO107" s="32"/>
      <c r="FP107" s="32"/>
      <c r="FQ107" s="32"/>
      <c r="FR107" s="32"/>
      <c r="FS107" s="32"/>
      <c r="FT107" s="32"/>
      <c r="FU107" s="32"/>
      <c r="FV107" s="32"/>
      <c r="FW107" s="32"/>
      <c r="FX107" s="32"/>
      <c r="FY107" s="32"/>
      <c r="FZ107" s="32"/>
      <c r="GA107" s="32"/>
      <c r="GB107" s="32"/>
      <c r="GC107" s="32"/>
      <c r="GD107" s="32"/>
      <c r="GE107" s="32"/>
      <c r="GF107" s="32"/>
      <c r="GG107" s="32"/>
      <c r="GH107" s="32"/>
      <c r="GI107" s="32"/>
      <c r="GJ107" s="32"/>
      <c r="GK107" s="32"/>
      <c r="GL107" s="32"/>
      <c r="GM107" s="32"/>
      <c r="GN107" s="32"/>
      <c r="GO107" s="32"/>
      <c r="GP107" s="32"/>
      <c r="GQ107" s="32"/>
      <c r="GR107" s="32"/>
      <c r="GS107" s="32"/>
      <c r="GT107" s="32"/>
      <c r="GU107" s="32"/>
      <c r="GV107" s="32"/>
      <c r="GW107" s="32"/>
      <c r="GX107" s="32"/>
      <c r="GY107" s="32"/>
      <c r="GZ107" s="32"/>
      <c r="HA107" s="32"/>
      <c r="HB107" s="32"/>
      <c r="HC107" s="32"/>
      <c r="HD107" s="32"/>
      <c r="HE107" s="32"/>
      <c r="HF107" s="32"/>
      <c r="HG107" s="32"/>
      <c r="HH107" s="32"/>
      <c r="HI107" s="32"/>
      <c r="HJ107" s="32"/>
      <c r="HK107" s="32"/>
      <c r="HL107" s="32"/>
      <c r="HM107" s="32"/>
      <c r="HN107" s="32"/>
      <c r="HO107" s="32"/>
      <c r="HP107" s="32"/>
      <c r="HQ107" s="32"/>
      <c r="HR107" s="32"/>
      <c r="HS107" s="32"/>
      <c r="HT107" s="32"/>
      <c r="HU107" s="32"/>
      <c r="HV107" s="32"/>
      <c r="HW107" s="32"/>
      <c r="HX107" s="32"/>
      <c r="HY107" s="32"/>
      <c r="HZ107" s="32"/>
      <c r="IA107" s="32"/>
      <c r="IB107" s="32"/>
      <c r="IC107" s="23"/>
    </row>
    <row r="108" spans="2:237" ht="15" customHeight="1" x14ac:dyDescent="0.2">
      <c r="B108" s="16"/>
      <c r="C108" s="39"/>
      <c r="D108" s="39"/>
      <c r="E108" s="39"/>
      <c r="F108" s="39"/>
      <c r="G108" s="39"/>
      <c r="H108" s="17"/>
      <c r="I108" s="17"/>
      <c r="J108" s="33" t="str">
        <f ca="1">IF(AND(H108&lt;&gt;"",I108&lt;&gt;""),IF($F$8=1,NETWORKDAYS(H108,I108),IF($F$8=3,I108-H108+1,NETWORKDAYS(H108,I108)+SUM(OFFSET($M$15,-2,MATCH(H108,$M$15:$IB$15,0)):OFFSET($M$15,-2,MATCH(I108,$M$15:$IB$15,0)-1)))),"")</f>
        <v/>
      </c>
      <c r="K108" s="33" t="str">
        <f t="shared" ca="1" si="12"/>
        <v/>
      </c>
      <c r="L108" s="33" t="str">
        <f t="shared" ca="1" si="13"/>
        <v/>
      </c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  <c r="EW108" s="32"/>
      <c r="EX108" s="32"/>
      <c r="EY108" s="32"/>
      <c r="EZ108" s="32"/>
      <c r="FA108" s="32"/>
      <c r="FB108" s="32"/>
      <c r="FC108" s="32"/>
      <c r="FD108" s="32"/>
      <c r="FE108" s="32"/>
      <c r="FF108" s="32"/>
      <c r="FG108" s="32"/>
      <c r="FH108" s="32"/>
      <c r="FI108" s="32"/>
      <c r="FJ108" s="32"/>
      <c r="FK108" s="32"/>
      <c r="FL108" s="32"/>
      <c r="FM108" s="32"/>
      <c r="FN108" s="32"/>
      <c r="FO108" s="32"/>
      <c r="FP108" s="32"/>
      <c r="FQ108" s="32"/>
      <c r="FR108" s="32"/>
      <c r="FS108" s="32"/>
      <c r="FT108" s="32"/>
      <c r="FU108" s="32"/>
      <c r="FV108" s="32"/>
      <c r="FW108" s="32"/>
      <c r="FX108" s="32"/>
      <c r="FY108" s="32"/>
      <c r="FZ108" s="32"/>
      <c r="GA108" s="32"/>
      <c r="GB108" s="32"/>
      <c r="GC108" s="32"/>
      <c r="GD108" s="32"/>
      <c r="GE108" s="32"/>
      <c r="GF108" s="32"/>
      <c r="GG108" s="32"/>
      <c r="GH108" s="32"/>
      <c r="GI108" s="32"/>
      <c r="GJ108" s="32"/>
      <c r="GK108" s="32"/>
      <c r="GL108" s="32"/>
      <c r="GM108" s="32"/>
      <c r="GN108" s="32"/>
      <c r="GO108" s="32"/>
      <c r="GP108" s="32"/>
      <c r="GQ108" s="32"/>
      <c r="GR108" s="32"/>
      <c r="GS108" s="32"/>
      <c r="GT108" s="32"/>
      <c r="GU108" s="32"/>
      <c r="GV108" s="32"/>
      <c r="GW108" s="32"/>
      <c r="GX108" s="32"/>
      <c r="GY108" s="32"/>
      <c r="GZ108" s="32"/>
      <c r="HA108" s="32"/>
      <c r="HB108" s="32"/>
      <c r="HC108" s="32"/>
      <c r="HD108" s="32"/>
      <c r="HE108" s="32"/>
      <c r="HF108" s="32"/>
      <c r="HG108" s="32"/>
      <c r="HH108" s="32"/>
      <c r="HI108" s="32"/>
      <c r="HJ108" s="32"/>
      <c r="HK108" s="32"/>
      <c r="HL108" s="32"/>
      <c r="HM108" s="32"/>
      <c r="HN108" s="32"/>
      <c r="HO108" s="32"/>
      <c r="HP108" s="32"/>
      <c r="HQ108" s="32"/>
      <c r="HR108" s="32"/>
      <c r="HS108" s="32"/>
      <c r="HT108" s="32"/>
      <c r="HU108" s="32"/>
      <c r="HV108" s="32"/>
      <c r="HW108" s="32"/>
      <c r="HX108" s="32"/>
      <c r="HY108" s="32"/>
      <c r="HZ108" s="32"/>
      <c r="IA108" s="32"/>
      <c r="IB108" s="32"/>
      <c r="IC108" s="23"/>
    </row>
    <row r="109" spans="2:237" ht="15" customHeight="1" x14ac:dyDescent="0.2">
      <c r="B109" s="16"/>
      <c r="C109" s="39"/>
      <c r="D109" s="39"/>
      <c r="E109" s="39"/>
      <c r="F109" s="39"/>
      <c r="G109" s="39"/>
      <c r="H109" s="17"/>
      <c r="I109" s="17"/>
      <c r="J109" s="33" t="str">
        <f ca="1">IF(AND(H109&lt;&gt;"",I109&lt;&gt;""),IF($F$8=1,NETWORKDAYS(H109,I109),IF($F$8=3,I109-H109+1,NETWORKDAYS(H109,I109)+SUM(OFFSET($M$15,-2,MATCH(H109,$M$15:$IB$15,0)):OFFSET($M$15,-2,MATCH(I109,$M$15:$IB$15,0)-1)))),"")</f>
        <v/>
      </c>
      <c r="K109" s="33" t="str">
        <f t="shared" ca="1" si="12"/>
        <v/>
      </c>
      <c r="L109" s="33" t="str">
        <f t="shared" ca="1" si="13"/>
        <v/>
      </c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  <c r="EW109" s="32"/>
      <c r="EX109" s="32"/>
      <c r="EY109" s="32"/>
      <c r="EZ109" s="32"/>
      <c r="FA109" s="32"/>
      <c r="FB109" s="32"/>
      <c r="FC109" s="32"/>
      <c r="FD109" s="32"/>
      <c r="FE109" s="32"/>
      <c r="FF109" s="32"/>
      <c r="FG109" s="32"/>
      <c r="FH109" s="32"/>
      <c r="FI109" s="32"/>
      <c r="FJ109" s="32"/>
      <c r="FK109" s="32"/>
      <c r="FL109" s="32"/>
      <c r="FM109" s="32"/>
      <c r="FN109" s="32"/>
      <c r="FO109" s="32"/>
      <c r="FP109" s="32"/>
      <c r="FQ109" s="32"/>
      <c r="FR109" s="32"/>
      <c r="FS109" s="32"/>
      <c r="FT109" s="32"/>
      <c r="FU109" s="32"/>
      <c r="FV109" s="32"/>
      <c r="FW109" s="32"/>
      <c r="FX109" s="32"/>
      <c r="FY109" s="32"/>
      <c r="FZ109" s="32"/>
      <c r="GA109" s="32"/>
      <c r="GB109" s="32"/>
      <c r="GC109" s="32"/>
      <c r="GD109" s="32"/>
      <c r="GE109" s="32"/>
      <c r="GF109" s="32"/>
      <c r="GG109" s="32"/>
      <c r="GH109" s="32"/>
      <c r="GI109" s="32"/>
      <c r="GJ109" s="32"/>
      <c r="GK109" s="32"/>
      <c r="GL109" s="32"/>
      <c r="GM109" s="32"/>
      <c r="GN109" s="32"/>
      <c r="GO109" s="32"/>
      <c r="GP109" s="32"/>
      <c r="GQ109" s="32"/>
      <c r="GR109" s="32"/>
      <c r="GS109" s="32"/>
      <c r="GT109" s="32"/>
      <c r="GU109" s="32"/>
      <c r="GV109" s="32"/>
      <c r="GW109" s="32"/>
      <c r="GX109" s="32"/>
      <c r="GY109" s="32"/>
      <c r="GZ109" s="32"/>
      <c r="HA109" s="32"/>
      <c r="HB109" s="32"/>
      <c r="HC109" s="32"/>
      <c r="HD109" s="32"/>
      <c r="HE109" s="32"/>
      <c r="HF109" s="32"/>
      <c r="HG109" s="32"/>
      <c r="HH109" s="32"/>
      <c r="HI109" s="32"/>
      <c r="HJ109" s="32"/>
      <c r="HK109" s="32"/>
      <c r="HL109" s="32"/>
      <c r="HM109" s="32"/>
      <c r="HN109" s="32"/>
      <c r="HO109" s="32"/>
      <c r="HP109" s="32"/>
      <c r="HQ109" s="32"/>
      <c r="HR109" s="32"/>
      <c r="HS109" s="32"/>
      <c r="HT109" s="32"/>
      <c r="HU109" s="32"/>
      <c r="HV109" s="32"/>
      <c r="HW109" s="32"/>
      <c r="HX109" s="32"/>
      <c r="HY109" s="32"/>
      <c r="HZ109" s="32"/>
      <c r="IA109" s="32"/>
      <c r="IB109" s="32"/>
      <c r="IC109" s="23"/>
    </row>
    <row r="110" spans="2:237" ht="15" customHeight="1" x14ac:dyDescent="0.2">
      <c r="B110" s="16"/>
      <c r="C110" s="39"/>
      <c r="D110" s="39"/>
      <c r="E110" s="39"/>
      <c r="F110" s="39"/>
      <c r="G110" s="39"/>
      <c r="H110" s="17"/>
      <c r="I110" s="17"/>
      <c r="J110" s="33" t="str">
        <f ca="1">IF(AND(H110&lt;&gt;"",I110&lt;&gt;""),IF($F$8=1,NETWORKDAYS(H110,I110),IF($F$8=3,I110-H110+1,NETWORKDAYS(H110,I110)+SUM(OFFSET($M$15,-2,MATCH(H110,$M$15:$IB$15,0)):OFFSET($M$15,-2,MATCH(I110,$M$15:$IB$15,0)-1)))),"")</f>
        <v/>
      </c>
      <c r="K110" s="33" t="str">
        <f t="shared" ca="1" si="12"/>
        <v/>
      </c>
      <c r="L110" s="33" t="str">
        <f t="shared" ca="1" si="13"/>
        <v/>
      </c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  <c r="EW110" s="32"/>
      <c r="EX110" s="32"/>
      <c r="EY110" s="32"/>
      <c r="EZ110" s="32"/>
      <c r="FA110" s="32"/>
      <c r="FB110" s="32"/>
      <c r="FC110" s="32"/>
      <c r="FD110" s="32"/>
      <c r="FE110" s="32"/>
      <c r="FF110" s="32"/>
      <c r="FG110" s="32"/>
      <c r="FH110" s="32"/>
      <c r="FI110" s="32"/>
      <c r="FJ110" s="32"/>
      <c r="FK110" s="32"/>
      <c r="FL110" s="32"/>
      <c r="FM110" s="32"/>
      <c r="FN110" s="32"/>
      <c r="FO110" s="32"/>
      <c r="FP110" s="32"/>
      <c r="FQ110" s="32"/>
      <c r="FR110" s="32"/>
      <c r="FS110" s="32"/>
      <c r="FT110" s="32"/>
      <c r="FU110" s="32"/>
      <c r="FV110" s="32"/>
      <c r="FW110" s="32"/>
      <c r="FX110" s="32"/>
      <c r="FY110" s="32"/>
      <c r="FZ110" s="32"/>
      <c r="GA110" s="32"/>
      <c r="GB110" s="32"/>
      <c r="GC110" s="32"/>
      <c r="GD110" s="32"/>
      <c r="GE110" s="32"/>
      <c r="GF110" s="32"/>
      <c r="GG110" s="32"/>
      <c r="GH110" s="32"/>
      <c r="GI110" s="32"/>
      <c r="GJ110" s="32"/>
      <c r="GK110" s="32"/>
      <c r="GL110" s="32"/>
      <c r="GM110" s="32"/>
      <c r="GN110" s="32"/>
      <c r="GO110" s="32"/>
      <c r="GP110" s="32"/>
      <c r="GQ110" s="32"/>
      <c r="GR110" s="32"/>
      <c r="GS110" s="32"/>
      <c r="GT110" s="32"/>
      <c r="GU110" s="32"/>
      <c r="GV110" s="32"/>
      <c r="GW110" s="32"/>
      <c r="GX110" s="32"/>
      <c r="GY110" s="32"/>
      <c r="GZ110" s="32"/>
      <c r="HA110" s="32"/>
      <c r="HB110" s="32"/>
      <c r="HC110" s="32"/>
      <c r="HD110" s="32"/>
      <c r="HE110" s="32"/>
      <c r="HF110" s="32"/>
      <c r="HG110" s="32"/>
      <c r="HH110" s="32"/>
      <c r="HI110" s="32"/>
      <c r="HJ110" s="32"/>
      <c r="HK110" s="32"/>
      <c r="HL110" s="32"/>
      <c r="HM110" s="32"/>
      <c r="HN110" s="32"/>
      <c r="HO110" s="32"/>
      <c r="HP110" s="32"/>
      <c r="HQ110" s="32"/>
      <c r="HR110" s="32"/>
      <c r="HS110" s="32"/>
      <c r="HT110" s="32"/>
      <c r="HU110" s="32"/>
      <c r="HV110" s="32"/>
      <c r="HW110" s="32"/>
      <c r="HX110" s="32"/>
      <c r="HY110" s="32"/>
      <c r="HZ110" s="32"/>
      <c r="IA110" s="32"/>
      <c r="IB110" s="32"/>
      <c r="IC110" s="23"/>
    </row>
    <row r="111" spans="2:237" ht="15" customHeight="1" x14ac:dyDescent="0.2">
      <c r="B111" s="16"/>
      <c r="C111" s="39"/>
      <c r="D111" s="39"/>
      <c r="E111" s="39"/>
      <c r="F111" s="39"/>
      <c r="G111" s="39"/>
      <c r="H111" s="17"/>
      <c r="I111" s="17"/>
      <c r="J111" s="33" t="str">
        <f ca="1">IF(AND(H111&lt;&gt;"",I111&lt;&gt;""),IF($F$8=1,NETWORKDAYS(H111,I111),IF($F$8=3,I111-H111+1,NETWORKDAYS(H111,I111)+SUM(OFFSET($M$15,-2,MATCH(H111,$M$15:$IB$15,0)):OFFSET($M$15,-2,MATCH(I111,$M$15:$IB$15,0)-1)))),"")</f>
        <v/>
      </c>
      <c r="K111" s="33" t="str">
        <f t="shared" ca="1" si="12"/>
        <v/>
      </c>
      <c r="L111" s="33" t="str">
        <f t="shared" ca="1" si="13"/>
        <v/>
      </c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  <c r="EW111" s="32"/>
      <c r="EX111" s="32"/>
      <c r="EY111" s="32"/>
      <c r="EZ111" s="32"/>
      <c r="FA111" s="32"/>
      <c r="FB111" s="32"/>
      <c r="FC111" s="32"/>
      <c r="FD111" s="32"/>
      <c r="FE111" s="32"/>
      <c r="FF111" s="32"/>
      <c r="FG111" s="32"/>
      <c r="FH111" s="32"/>
      <c r="FI111" s="32"/>
      <c r="FJ111" s="32"/>
      <c r="FK111" s="32"/>
      <c r="FL111" s="32"/>
      <c r="FM111" s="32"/>
      <c r="FN111" s="32"/>
      <c r="FO111" s="32"/>
      <c r="FP111" s="32"/>
      <c r="FQ111" s="32"/>
      <c r="FR111" s="32"/>
      <c r="FS111" s="32"/>
      <c r="FT111" s="32"/>
      <c r="FU111" s="32"/>
      <c r="FV111" s="32"/>
      <c r="FW111" s="32"/>
      <c r="FX111" s="32"/>
      <c r="FY111" s="32"/>
      <c r="FZ111" s="32"/>
      <c r="GA111" s="32"/>
      <c r="GB111" s="32"/>
      <c r="GC111" s="32"/>
      <c r="GD111" s="32"/>
      <c r="GE111" s="32"/>
      <c r="GF111" s="32"/>
      <c r="GG111" s="32"/>
      <c r="GH111" s="32"/>
      <c r="GI111" s="32"/>
      <c r="GJ111" s="32"/>
      <c r="GK111" s="32"/>
      <c r="GL111" s="32"/>
      <c r="GM111" s="32"/>
      <c r="GN111" s="32"/>
      <c r="GO111" s="32"/>
      <c r="GP111" s="32"/>
      <c r="GQ111" s="32"/>
      <c r="GR111" s="32"/>
      <c r="GS111" s="32"/>
      <c r="GT111" s="32"/>
      <c r="GU111" s="32"/>
      <c r="GV111" s="32"/>
      <c r="GW111" s="32"/>
      <c r="GX111" s="32"/>
      <c r="GY111" s="32"/>
      <c r="GZ111" s="32"/>
      <c r="HA111" s="32"/>
      <c r="HB111" s="32"/>
      <c r="HC111" s="32"/>
      <c r="HD111" s="32"/>
      <c r="HE111" s="32"/>
      <c r="HF111" s="32"/>
      <c r="HG111" s="32"/>
      <c r="HH111" s="32"/>
      <c r="HI111" s="32"/>
      <c r="HJ111" s="32"/>
      <c r="HK111" s="32"/>
      <c r="HL111" s="32"/>
      <c r="HM111" s="32"/>
      <c r="HN111" s="32"/>
      <c r="HO111" s="32"/>
      <c r="HP111" s="32"/>
      <c r="HQ111" s="32"/>
      <c r="HR111" s="32"/>
      <c r="HS111" s="32"/>
      <c r="HT111" s="32"/>
      <c r="HU111" s="32"/>
      <c r="HV111" s="32"/>
      <c r="HW111" s="32"/>
      <c r="HX111" s="32"/>
      <c r="HY111" s="32"/>
      <c r="HZ111" s="32"/>
      <c r="IA111" s="32"/>
      <c r="IB111" s="32"/>
      <c r="IC111" s="23"/>
    </row>
    <row r="112" spans="2:237" ht="15" customHeight="1" x14ac:dyDescent="0.2">
      <c r="B112" s="16"/>
      <c r="C112" s="39"/>
      <c r="D112" s="39"/>
      <c r="E112" s="39"/>
      <c r="F112" s="39"/>
      <c r="G112" s="39"/>
      <c r="H112" s="17"/>
      <c r="I112" s="17"/>
      <c r="J112" s="33" t="str">
        <f ca="1">IF(AND(H112&lt;&gt;"",I112&lt;&gt;""),IF($F$8=1,NETWORKDAYS(H112,I112),IF($F$8=3,I112-H112+1,NETWORKDAYS(H112,I112)+SUM(OFFSET($M$15,-2,MATCH(H112,$M$15:$IB$15,0)):OFFSET($M$15,-2,MATCH(I112,$M$15:$IB$15,0)-1)))),"")</f>
        <v/>
      </c>
      <c r="K112" s="33" t="str">
        <f t="shared" ca="1" si="12"/>
        <v/>
      </c>
      <c r="L112" s="33" t="str">
        <f t="shared" ca="1" si="13"/>
        <v/>
      </c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  <c r="EW112" s="32"/>
      <c r="EX112" s="32"/>
      <c r="EY112" s="32"/>
      <c r="EZ112" s="32"/>
      <c r="FA112" s="32"/>
      <c r="FB112" s="32"/>
      <c r="FC112" s="32"/>
      <c r="FD112" s="32"/>
      <c r="FE112" s="32"/>
      <c r="FF112" s="32"/>
      <c r="FG112" s="32"/>
      <c r="FH112" s="32"/>
      <c r="FI112" s="32"/>
      <c r="FJ112" s="32"/>
      <c r="FK112" s="32"/>
      <c r="FL112" s="32"/>
      <c r="FM112" s="32"/>
      <c r="FN112" s="32"/>
      <c r="FO112" s="32"/>
      <c r="FP112" s="32"/>
      <c r="FQ112" s="32"/>
      <c r="FR112" s="32"/>
      <c r="FS112" s="32"/>
      <c r="FT112" s="32"/>
      <c r="FU112" s="32"/>
      <c r="FV112" s="32"/>
      <c r="FW112" s="32"/>
      <c r="FX112" s="32"/>
      <c r="FY112" s="32"/>
      <c r="FZ112" s="32"/>
      <c r="GA112" s="32"/>
      <c r="GB112" s="32"/>
      <c r="GC112" s="32"/>
      <c r="GD112" s="32"/>
      <c r="GE112" s="32"/>
      <c r="GF112" s="32"/>
      <c r="GG112" s="32"/>
      <c r="GH112" s="32"/>
      <c r="GI112" s="32"/>
      <c r="GJ112" s="32"/>
      <c r="GK112" s="32"/>
      <c r="GL112" s="32"/>
      <c r="GM112" s="32"/>
      <c r="GN112" s="32"/>
      <c r="GO112" s="32"/>
      <c r="GP112" s="32"/>
      <c r="GQ112" s="32"/>
      <c r="GR112" s="32"/>
      <c r="GS112" s="32"/>
      <c r="GT112" s="32"/>
      <c r="GU112" s="32"/>
      <c r="GV112" s="32"/>
      <c r="GW112" s="32"/>
      <c r="GX112" s="32"/>
      <c r="GY112" s="32"/>
      <c r="GZ112" s="32"/>
      <c r="HA112" s="32"/>
      <c r="HB112" s="32"/>
      <c r="HC112" s="32"/>
      <c r="HD112" s="32"/>
      <c r="HE112" s="32"/>
      <c r="HF112" s="32"/>
      <c r="HG112" s="32"/>
      <c r="HH112" s="32"/>
      <c r="HI112" s="32"/>
      <c r="HJ112" s="32"/>
      <c r="HK112" s="32"/>
      <c r="HL112" s="32"/>
      <c r="HM112" s="32"/>
      <c r="HN112" s="32"/>
      <c r="HO112" s="32"/>
      <c r="HP112" s="32"/>
      <c r="HQ112" s="32"/>
      <c r="HR112" s="32"/>
      <c r="HS112" s="32"/>
      <c r="HT112" s="32"/>
      <c r="HU112" s="32"/>
      <c r="HV112" s="32"/>
      <c r="HW112" s="32"/>
      <c r="HX112" s="32"/>
      <c r="HY112" s="32"/>
      <c r="HZ112" s="32"/>
      <c r="IA112" s="32"/>
      <c r="IB112" s="32"/>
      <c r="IC112" s="23"/>
    </row>
    <row r="113" spans="2:237" ht="15" customHeight="1" x14ac:dyDescent="0.2">
      <c r="B113" s="16"/>
      <c r="C113" s="39"/>
      <c r="D113" s="39"/>
      <c r="E113" s="39"/>
      <c r="F113" s="39"/>
      <c r="G113" s="39"/>
      <c r="H113" s="17"/>
      <c r="I113" s="17"/>
      <c r="J113" s="33" t="str">
        <f ca="1">IF(AND(H113&lt;&gt;"",I113&lt;&gt;""),IF($F$8=1,NETWORKDAYS(H113,I113),IF($F$8=3,I113-H113+1,NETWORKDAYS(H113,I113)+SUM(OFFSET($M$15,-2,MATCH(H113,$M$15:$IB$15,0)):OFFSET($M$15,-2,MATCH(I113,$M$15:$IB$15,0)-1)))),"")</f>
        <v/>
      </c>
      <c r="K113" s="33" t="str">
        <f t="shared" ca="1" si="12"/>
        <v/>
      </c>
      <c r="L113" s="33" t="str">
        <f t="shared" ca="1" si="13"/>
        <v/>
      </c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  <c r="EW113" s="32"/>
      <c r="EX113" s="32"/>
      <c r="EY113" s="32"/>
      <c r="EZ113" s="32"/>
      <c r="FA113" s="32"/>
      <c r="FB113" s="32"/>
      <c r="FC113" s="32"/>
      <c r="FD113" s="32"/>
      <c r="FE113" s="32"/>
      <c r="FF113" s="32"/>
      <c r="FG113" s="32"/>
      <c r="FH113" s="32"/>
      <c r="FI113" s="32"/>
      <c r="FJ113" s="32"/>
      <c r="FK113" s="32"/>
      <c r="FL113" s="32"/>
      <c r="FM113" s="32"/>
      <c r="FN113" s="32"/>
      <c r="FO113" s="32"/>
      <c r="FP113" s="32"/>
      <c r="FQ113" s="32"/>
      <c r="FR113" s="32"/>
      <c r="FS113" s="32"/>
      <c r="FT113" s="32"/>
      <c r="FU113" s="32"/>
      <c r="FV113" s="32"/>
      <c r="FW113" s="32"/>
      <c r="FX113" s="32"/>
      <c r="FY113" s="32"/>
      <c r="FZ113" s="32"/>
      <c r="GA113" s="32"/>
      <c r="GB113" s="32"/>
      <c r="GC113" s="32"/>
      <c r="GD113" s="32"/>
      <c r="GE113" s="32"/>
      <c r="GF113" s="32"/>
      <c r="GG113" s="32"/>
      <c r="GH113" s="32"/>
      <c r="GI113" s="32"/>
      <c r="GJ113" s="32"/>
      <c r="GK113" s="32"/>
      <c r="GL113" s="32"/>
      <c r="GM113" s="32"/>
      <c r="GN113" s="32"/>
      <c r="GO113" s="32"/>
      <c r="GP113" s="32"/>
      <c r="GQ113" s="32"/>
      <c r="GR113" s="32"/>
      <c r="GS113" s="32"/>
      <c r="GT113" s="32"/>
      <c r="GU113" s="32"/>
      <c r="GV113" s="32"/>
      <c r="GW113" s="32"/>
      <c r="GX113" s="32"/>
      <c r="GY113" s="32"/>
      <c r="GZ113" s="32"/>
      <c r="HA113" s="32"/>
      <c r="HB113" s="32"/>
      <c r="HC113" s="32"/>
      <c r="HD113" s="32"/>
      <c r="HE113" s="32"/>
      <c r="HF113" s="32"/>
      <c r="HG113" s="32"/>
      <c r="HH113" s="32"/>
      <c r="HI113" s="32"/>
      <c r="HJ113" s="32"/>
      <c r="HK113" s="32"/>
      <c r="HL113" s="32"/>
      <c r="HM113" s="32"/>
      <c r="HN113" s="32"/>
      <c r="HO113" s="32"/>
      <c r="HP113" s="32"/>
      <c r="HQ113" s="32"/>
      <c r="HR113" s="32"/>
      <c r="HS113" s="32"/>
      <c r="HT113" s="32"/>
      <c r="HU113" s="32"/>
      <c r="HV113" s="32"/>
      <c r="HW113" s="32"/>
      <c r="HX113" s="32"/>
      <c r="HY113" s="32"/>
      <c r="HZ113" s="32"/>
      <c r="IA113" s="32"/>
      <c r="IB113" s="32"/>
      <c r="IC113" s="23"/>
    </row>
    <row r="114" spans="2:237" ht="15" customHeight="1" x14ac:dyDescent="0.2">
      <c r="B114" s="16"/>
      <c r="C114" s="39"/>
      <c r="D114" s="39"/>
      <c r="E114" s="39"/>
      <c r="F114" s="39"/>
      <c r="G114" s="39"/>
      <c r="H114" s="17"/>
      <c r="I114" s="17"/>
      <c r="J114" s="33" t="str">
        <f ca="1">IF(AND(H114&lt;&gt;"",I114&lt;&gt;""),IF($F$8=1,NETWORKDAYS(H114,I114),IF($F$8=3,I114-H114+1,NETWORKDAYS(H114,I114)+SUM(OFFSET($M$15,-2,MATCH(H114,$M$15:$IB$15,0)):OFFSET($M$15,-2,MATCH(I114,$M$15:$IB$15,0)-1)))),"")</f>
        <v/>
      </c>
      <c r="K114" s="33" t="str">
        <f t="shared" ca="1" si="12"/>
        <v/>
      </c>
      <c r="L114" s="33" t="str">
        <f t="shared" ca="1" si="13"/>
        <v/>
      </c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  <c r="EW114" s="32"/>
      <c r="EX114" s="32"/>
      <c r="EY114" s="32"/>
      <c r="EZ114" s="32"/>
      <c r="FA114" s="32"/>
      <c r="FB114" s="32"/>
      <c r="FC114" s="32"/>
      <c r="FD114" s="32"/>
      <c r="FE114" s="32"/>
      <c r="FF114" s="32"/>
      <c r="FG114" s="32"/>
      <c r="FH114" s="32"/>
      <c r="FI114" s="32"/>
      <c r="FJ114" s="32"/>
      <c r="FK114" s="32"/>
      <c r="FL114" s="32"/>
      <c r="FM114" s="32"/>
      <c r="FN114" s="32"/>
      <c r="FO114" s="32"/>
      <c r="FP114" s="32"/>
      <c r="FQ114" s="32"/>
      <c r="FR114" s="32"/>
      <c r="FS114" s="32"/>
      <c r="FT114" s="32"/>
      <c r="FU114" s="32"/>
      <c r="FV114" s="32"/>
      <c r="FW114" s="32"/>
      <c r="FX114" s="32"/>
      <c r="FY114" s="32"/>
      <c r="FZ114" s="32"/>
      <c r="GA114" s="32"/>
      <c r="GB114" s="32"/>
      <c r="GC114" s="32"/>
      <c r="GD114" s="32"/>
      <c r="GE114" s="32"/>
      <c r="GF114" s="32"/>
      <c r="GG114" s="32"/>
      <c r="GH114" s="32"/>
      <c r="GI114" s="32"/>
      <c r="GJ114" s="32"/>
      <c r="GK114" s="32"/>
      <c r="GL114" s="32"/>
      <c r="GM114" s="32"/>
      <c r="GN114" s="32"/>
      <c r="GO114" s="32"/>
      <c r="GP114" s="32"/>
      <c r="GQ114" s="32"/>
      <c r="GR114" s="32"/>
      <c r="GS114" s="32"/>
      <c r="GT114" s="32"/>
      <c r="GU114" s="32"/>
      <c r="GV114" s="32"/>
      <c r="GW114" s="32"/>
      <c r="GX114" s="32"/>
      <c r="GY114" s="32"/>
      <c r="GZ114" s="32"/>
      <c r="HA114" s="32"/>
      <c r="HB114" s="32"/>
      <c r="HC114" s="32"/>
      <c r="HD114" s="32"/>
      <c r="HE114" s="32"/>
      <c r="HF114" s="32"/>
      <c r="HG114" s="32"/>
      <c r="HH114" s="32"/>
      <c r="HI114" s="32"/>
      <c r="HJ114" s="32"/>
      <c r="HK114" s="32"/>
      <c r="HL114" s="32"/>
      <c r="HM114" s="32"/>
      <c r="HN114" s="32"/>
      <c r="HO114" s="32"/>
      <c r="HP114" s="32"/>
      <c r="HQ114" s="32"/>
      <c r="HR114" s="32"/>
      <c r="HS114" s="32"/>
      <c r="HT114" s="32"/>
      <c r="HU114" s="32"/>
      <c r="HV114" s="32"/>
      <c r="HW114" s="32"/>
      <c r="HX114" s="32"/>
      <c r="HY114" s="32"/>
      <c r="HZ114" s="32"/>
      <c r="IA114" s="32"/>
      <c r="IB114" s="32"/>
      <c r="IC114" s="23"/>
    </row>
    <row r="115" spans="2:237" ht="15" customHeight="1" x14ac:dyDescent="0.2">
      <c r="B115" s="16"/>
      <c r="C115" s="39"/>
      <c r="D115" s="39"/>
      <c r="E115" s="39"/>
      <c r="F115" s="39"/>
      <c r="G115" s="39"/>
      <c r="H115" s="17"/>
      <c r="I115" s="17"/>
      <c r="J115" s="33" t="str">
        <f ca="1">IF(AND(H115&lt;&gt;"",I115&lt;&gt;""),IF($F$8=1,NETWORKDAYS(H115,I115),IF($F$8=3,I115-H115+1,NETWORKDAYS(H115,I115)+SUM(OFFSET($M$15,-2,MATCH(H115,$M$15:$IB$15,0)):OFFSET($M$15,-2,MATCH(I115,$M$15:$IB$15,0)-1)))),"")</f>
        <v/>
      </c>
      <c r="K115" s="33" t="str">
        <f t="shared" ca="1" si="12"/>
        <v/>
      </c>
      <c r="L115" s="33" t="str">
        <f t="shared" ca="1" si="13"/>
        <v/>
      </c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  <c r="EW115" s="32"/>
      <c r="EX115" s="32"/>
      <c r="EY115" s="32"/>
      <c r="EZ115" s="32"/>
      <c r="FA115" s="32"/>
      <c r="FB115" s="32"/>
      <c r="FC115" s="32"/>
      <c r="FD115" s="32"/>
      <c r="FE115" s="32"/>
      <c r="FF115" s="32"/>
      <c r="FG115" s="32"/>
      <c r="FH115" s="32"/>
      <c r="FI115" s="32"/>
      <c r="FJ115" s="32"/>
      <c r="FK115" s="32"/>
      <c r="FL115" s="32"/>
      <c r="FM115" s="32"/>
      <c r="FN115" s="32"/>
      <c r="FO115" s="32"/>
      <c r="FP115" s="32"/>
      <c r="FQ115" s="32"/>
      <c r="FR115" s="32"/>
      <c r="FS115" s="32"/>
      <c r="FT115" s="32"/>
      <c r="FU115" s="32"/>
      <c r="FV115" s="32"/>
      <c r="FW115" s="32"/>
      <c r="FX115" s="32"/>
      <c r="FY115" s="32"/>
      <c r="FZ115" s="32"/>
      <c r="GA115" s="32"/>
      <c r="GB115" s="32"/>
      <c r="GC115" s="32"/>
      <c r="GD115" s="32"/>
      <c r="GE115" s="32"/>
      <c r="GF115" s="32"/>
      <c r="GG115" s="32"/>
      <c r="GH115" s="32"/>
      <c r="GI115" s="32"/>
      <c r="GJ115" s="32"/>
      <c r="GK115" s="32"/>
      <c r="GL115" s="32"/>
      <c r="GM115" s="32"/>
      <c r="GN115" s="32"/>
      <c r="GO115" s="32"/>
      <c r="GP115" s="32"/>
      <c r="GQ115" s="32"/>
      <c r="GR115" s="32"/>
      <c r="GS115" s="32"/>
      <c r="GT115" s="32"/>
      <c r="GU115" s="32"/>
      <c r="GV115" s="32"/>
      <c r="GW115" s="32"/>
      <c r="GX115" s="32"/>
      <c r="GY115" s="32"/>
      <c r="GZ115" s="32"/>
      <c r="HA115" s="32"/>
      <c r="HB115" s="32"/>
      <c r="HC115" s="32"/>
      <c r="HD115" s="32"/>
      <c r="HE115" s="32"/>
      <c r="HF115" s="32"/>
      <c r="HG115" s="32"/>
      <c r="HH115" s="32"/>
      <c r="HI115" s="32"/>
      <c r="HJ115" s="32"/>
      <c r="HK115" s="32"/>
      <c r="HL115" s="32"/>
      <c r="HM115" s="32"/>
      <c r="HN115" s="32"/>
      <c r="HO115" s="32"/>
      <c r="HP115" s="32"/>
      <c r="HQ115" s="32"/>
      <c r="HR115" s="32"/>
      <c r="HS115" s="32"/>
      <c r="HT115" s="32"/>
      <c r="HU115" s="32"/>
      <c r="HV115" s="32"/>
      <c r="HW115" s="32"/>
      <c r="HX115" s="32"/>
      <c r="HY115" s="32"/>
      <c r="HZ115" s="32"/>
      <c r="IA115" s="32"/>
      <c r="IB115" s="32"/>
      <c r="IC115" s="23"/>
    </row>
    <row r="116" spans="2:237" ht="15" customHeight="1" x14ac:dyDescent="0.2">
      <c r="B116" s="18"/>
      <c r="C116" s="40"/>
      <c r="D116" s="40"/>
      <c r="E116" s="40"/>
      <c r="F116" s="40"/>
      <c r="G116" s="40"/>
      <c r="H116" s="19"/>
      <c r="I116" s="19"/>
      <c r="J116" s="34" t="str">
        <f ca="1">IF(AND(H116&lt;&gt;"",I116&lt;&gt;""),IF($F$8=1,NETWORKDAYS(H116,I116),IF($F$8=3,I116-H116+1,NETWORKDAYS(H116,I116)+SUM(OFFSET($M$15,-2,MATCH(H116,$M$15:$IB$15,0)):OFFSET($M$15,-2,MATCH(I116,$M$15:$IB$15,0)-1)))),"")</f>
        <v/>
      </c>
      <c r="K116" s="34" t="str">
        <f t="shared" ca="1" si="12"/>
        <v/>
      </c>
      <c r="L116" s="34" t="str">
        <f t="shared" ca="1" si="13"/>
        <v/>
      </c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  <c r="EW116" s="32"/>
      <c r="EX116" s="32"/>
      <c r="EY116" s="32"/>
      <c r="EZ116" s="32"/>
      <c r="FA116" s="32"/>
      <c r="FB116" s="32"/>
      <c r="FC116" s="32"/>
      <c r="FD116" s="32"/>
      <c r="FE116" s="32"/>
      <c r="FF116" s="32"/>
      <c r="FG116" s="32"/>
      <c r="FH116" s="32"/>
      <c r="FI116" s="32"/>
      <c r="FJ116" s="32"/>
      <c r="FK116" s="32"/>
      <c r="FL116" s="32"/>
      <c r="FM116" s="32"/>
      <c r="FN116" s="32"/>
      <c r="FO116" s="32"/>
      <c r="FP116" s="32"/>
      <c r="FQ116" s="32"/>
      <c r="FR116" s="32"/>
      <c r="FS116" s="32"/>
      <c r="FT116" s="32"/>
      <c r="FU116" s="32"/>
      <c r="FV116" s="32"/>
      <c r="FW116" s="32"/>
      <c r="FX116" s="32"/>
      <c r="FY116" s="32"/>
      <c r="FZ116" s="32"/>
      <c r="GA116" s="32"/>
      <c r="GB116" s="32"/>
      <c r="GC116" s="32"/>
      <c r="GD116" s="32"/>
      <c r="GE116" s="32"/>
      <c r="GF116" s="32"/>
      <c r="GG116" s="32"/>
      <c r="GH116" s="32"/>
      <c r="GI116" s="32"/>
      <c r="GJ116" s="32"/>
      <c r="GK116" s="32"/>
      <c r="GL116" s="32"/>
      <c r="GM116" s="32"/>
      <c r="GN116" s="32"/>
      <c r="GO116" s="32"/>
      <c r="GP116" s="32"/>
      <c r="GQ116" s="32"/>
      <c r="GR116" s="32"/>
      <c r="GS116" s="32"/>
      <c r="GT116" s="32"/>
      <c r="GU116" s="32"/>
      <c r="GV116" s="32"/>
      <c r="GW116" s="32"/>
      <c r="GX116" s="32"/>
      <c r="GY116" s="32"/>
      <c r="GZ116" s="32"/>
      <c r="HA116" s="32"/>
      <c r="HB116" s="32"/>
      <c r="HC116" s="32"/>
      <c r="HD116" s="32"/>
      <c r="HE116" s="32"/>
      <c r="HF116" s="32"/>
      <c r="HG116" s="32"/>
      <c r="HH116" s="32"/>
      <c r="HI116" s="32"/>
      <c r="HJ116" s="32"/>
      <c r="HK116" s="32"/>
      <c r="HL116" s="32"/>
      <c r="HM116" s="32"/>
      <c r="HN116" s="32"/>
      <c r="HO116" s="32"/>
      <c r="HP116" s="32"/>
      <c r="HQ116" s="32"/>
      <c r="HR116" s="32"/>
      <c r="HS116" s="32"/>
      <c r="HT116" s="32"/>
      <c r="HU116" s="32"/>
      <c r="HV116" s="32"/>
      <c r="HW116" s="32"/>
      <c r="HX116" s="32"/>
      <c r="HY116" s="32"/>
      <c r="HZ116" s="32"/>
      <c r="IA116" s="32"/>
      <c r="IB116" s="32"/>
      <c r="IC116" s="23"/>
    </row>
  </sheetData>
  <mergeCells count="274">
    <mergeCell ref="C113:E113"/>
    <mergeCell ref="F113:G113"/>
    <mergeCell ref="C110:E110"/>
    <mergeCell ref="F110:G110"/>
    <mergeCell ref="C111:E111"/>
    <mergeCell ref="F111:G111"/>
    <mergeCell ref="C116:E116"/>
    <mergeCell ref="F116:G116"/>
    <mergeCell ref="C114:E114"/>
    <mergeCell ref="F114:G114"/>
    <mergeCell ref="C115:E115"/>
    <mergeCell ref="F115:G115"/>
    <mergeCell ref="C108:E108"/>
    <mergeCell ref="F108:G108"/>
    <mergeCell ref="C109:E109"/>
    <mergeCell ref="F109:G109"/>
    <mergeCell ref="C106:E106"/>
    <mergeCell ref="F106:G106"/>
    <mergeCell ref="C107:E107"/>
    <mergeCell ref="F107:G107"/>
    <mergeCell ref="C112:E112"/>
    <mergeCell ref="F112:G112"/>
    <mergeCell ref="C101:E101"/>
    <mergeCell ref="F101:G101"/>
    <mergeCell ref="C98:E98"/>
    <mergeCell ref="F98:G98"/>
    <mergeCell ref="C99:E99"/>
    <mergeCell ref="F99:G99"/>
    <mergeCell ref="C104:E104"/>
    <mergeCell ref="F104:G104"/>
    <mergeCell ref="C105:E105"/>
    <mergeCell ref="F105:G105"/>
    <mergeCell ref="C102:E102"/>
    <mergeCell ref="F102:G102"/>
    <mergeCell ref="C103:E103"/>
    <mergeCell ref="F103:G103"/>
    <mergeCell ref="C96:E96"/>
    <mergeCell ref="F96:G96"/>
    <mergeCell ref="C97:E97"/>
    <mergeCell ref="F97:G97"/>
    <mergeCell ref="C94:E94"/>
    <mergeCell ref="F94:G94"/>
    <mergeCell ref="C95:E95"/>
    <mergeCell ref="F95:G95"/>
    <mergeCell ref="C100:E100"/>
    <mergeCell ref="F100:G100"/>
    <mergeCell ref="C89:E89"/>
    <mergeCell ref="F89:G89"/>
    <mergeCell ref="C86:E86"/>
    <mergeCell ref="F86:G86"/>
    <mergeCell ref="C87:E87"/>
    <mergeCell ref="F87:G87"/>
    <mergeCell ref="C92:E92"/>
    <mergeCell ref="F92:G92"/>
    <mergeCell ref="C93:E93"/>
    <mergeCell ref="F93:G93"/>
    <mergeCell ref="C90:E90"/>
    <mergeCell ref="F90:G90"/>
    <mergeCell ref="C91:E91"/>
    <mergeCell ref="F91:G91"/>
    <mergeCell ref="C84:E84"/>
    <mergeCell ref="F84:G84"/>
    <mergeCell ref="C85:E85"/>
    <mergeCell ref="F85:G85"/>
    <mergeCell ref="C82:E82"/>
    <mergeCell ref="F82:G82"/>
    <mergeCell ref="C83:E83"/>
    <mergeCell ref="F83:G83"/>
    <mergeCell ref="C88:E88"/>
    <mergeCell ref="F88:G88"/>
    <mergeCell ref="C77:E77"/>
    <mergeCell ref="F77:G77"/>
    <mergeCell ref="C74:E74"/>
    <mergeCell ref="F74:G74"/>
    <mergeCell ref="C75:E75"/>
    <mergeCell ref="F75:G75"/>
    <mergeCell ref="C80:E80"/>
    <mergeCell ref="F80:G80"/>
    <mergeCell ref="C81:E81"/>
    <mergeCell ref="F81:G81"/>
    <mergeCell ref="C78:E78"/>
    <mergeCell ref="F78:G78"/>
    <mergeCell ref="C79:E79"/>
    <mergeCell ref="F79:G79"/>
    <mergeCell ref="C72:E72"/>
    <mergeCell ref="F72:G72"/>
    <mergeCell ref="C73:E73"/>
    <mergeCell ref="F73:G73"/>
    <mergeCell ref="C70:E70"/>
    <mergeCell ref="F70:G70"/>
    <mergeCell ref="C71:E71"/>
    <mergeCell ref="F71:G71"/>
    <mergeCell ref="C76:E76"/>
    <mergeCell ref="F76:G76"/>
    <mergeCell ref="C65:E65"/>
    <mergeCell ref="F65:G65"/>
    <mergeCell ref="C62:E62"/>
    <mergeCell ref="F62:G62"/>
    <mergeCell ref="C63:E63"/>
    <mergeCell ref="F63:G63"/>
    <mergeCell ref="C68:E68"/>
    <mergeCell ref="F68:G68"/>
    <mergeCell ref="C69:E69"/>
    <mergeCell ref="F69:G69"/>
    <mergeCell ref="C66:E66"/>
    <mergeCell ref="F66:G66"/>
    <mergeCell ref="C67:E67"/>
    <mergeCell ref="F67:G67"/>
    <mergeCell ref="C60:E60"/>
    <mergeCell ref="F60:G60"/>
    <mergeCell ref="C61:E61"/>
    <mergeCell ref="F61:G61"/>
    <mergeCell ref="C58:E58"/>
    <mergeCell ref="F58:G58"/>
    <mergeCell ref="C59:E59"/>
    <mergeCell ref="F59:G59"/>
    <mergeCell ref="C64:E64"/>
    <mergeCell ref="F64:G64"/>
    <mergeCell ref="C53:E53"/>
    <mergeCell ref="F53:G53"/>
    <mergeCell ref="C50:E50"/>
    <mergeCell ref="F50:G50"/>
    <mergeCell ref="C51:E51"/>
    <mergeCell ref="F51:G51"/>
    <mergeCell ref="C56:E56"/>
    <mergeCell ref="F56:G56"/>
    <mergeCell ref="C57:E57"/>
    <mergeCell ref="F57:G57"/>
    <mergeCell ref="C54:E54"/>
    <mergeCell ref="F54:G54"/>
    <mergeCell ref="C55:E55"/>
    <mergeCell ref="F55:G55"/>
    <mergeCell ref="C48:E48"/>
    <mergeCell ref="F48:G48"/>
    <mergeCell ref="C49:E49"/>
    <mergeCell ref="F49:G49"/>
    <mergeCell ref="C46:E46"/>
    <mergeCell ref="F46:G46"/>
    <mergeCell ref="C47:E47"/>
    <mergeCell ref="F47:G47"/>
    <mergeCell ref="C52:E52"/>
    <mergeCell ref="F52:G52"/>
    <mergeCell ref="C41:E41"/>
    <mergeCell ref="F41:G41"/>
    <mergeCell ref="C38:E38"/>
    <mergeCell ref="F38:G38"/>
    <mergeCell ref="C39:E39"/>
    <mergeCell ref="F39:G39"/>
    <mergeCell ref="C44:E44"/>
    <mergeCell ref="F44:G44"/>
    <mergeCell ref="C45:E45"/>
    <mergeCell ref="F45:G45"/>
    <mergeCell ref="C42:E42"/>
    <mergeCell ref="F42:G42"/>
    <mergeCell ref="C43:E43"/>
    <mergeCell ref="F43:G43"/>
    <mergeCell ref="C36:E36"/>
    <mergeCell ref="F36:G36"/>
    <mergeCell ref="C37:E37"/>
    <mergeCell ref="F37:G37"/>
    <mergeCell ref="C34:E34"/>
    <mergeCell ref="F34:G34"/>
    <mergeCell ref="C35:E35"/>
    <mergeCell ref="F35:G35"/>
    <mergeCell ref="C40:E40"/>
    <mergeCell ref="F40:G40"/>
    <mergeCell ref="C29:E29"/>
    <mergeCell ref="F29:G29"/>
    <mergeCell ref="C26:E26"/>
    <mergeCell ref="F26:G26"/>
    <mergeCell ref="C27:E27"/>
    <mergeCell ref="F27:G27"/>
    <mergeCell ref="C32:E32"/>
    <mergeCell ref="F32:G32"/>
    <mergeCell ref="C33:E33"/>
    <mergeCell ref="F33:G33"/>
    <mergeCell ref="C30:E30"/>
    <mergeCell ref="F30:G30"/>
    <mergeCell ref="C31:E31"/>
    <mergeCell ref="F31:G31"/>
    <mergeCell ref="C24:E24"/>
    <mergeCell ref="F24:G24"/>
    <mergeCell ref="C25:E25"/>
    <mergeCell ref="F25:G25"/>
    <mergeCell ref="C22:E22"/>
    <mergeCell ref="F22:G22"/>
    <mergeCell ref="C23:E23"/>
    <mergeCell ref="F23:G23"/>
    <mergeCell ref="C28:E28"/>
    <mergeCell ref="F28:G28"/>
    <mergeCell ref="C16:E16"/>
    <mergeCell ref="F16:G16"/>
    <mergeCell ref="C17:E17"/>
    <mergeCell ref="F17:G17"/>
    <mergeCell ref="I12:I14"/>
    <mergeCell ref="J12:J14"/>
    <mergeCell ref="C20:E20"/>
    <mergeCell ref="F20:G20"/>
    <mergeCell ref="C21:E21"/>
    <mergeCell ref="F21:G21"/>
    <mergeCell ref="C18:E18"/>
    <mergeCell ref="F18:G18"/>
    <mergeCell ref="C19:E19"/>
    <mergeCell ref="F19:G19"/>
    <mergeCell ref="M12:S12"/>
    <mergeCell ref="T12:Z12"/>
    <mergeCell ref="AA12:AG12"/>
    <mergeCell ref="AH12:AN12"/>
    <mergeCell ref="AO12:AU12"/>
    <mergeCell ref="AV12:BB12"/>
    <mergeCell ref="K12:K14"/>
    <mergeCell ref="L12:L14"/>
    <mergeCell ref="B12:B14"/>
    <mergeCell ref="C12:E14"/>
    <mergeCell ref="H12:H14"/>
    <mergeCell ref="F12:G14"/>
    <mergeCell ref="DG12:DM12"/>
    <mergeCell ref="DN12:DT12"/>
    <mergeCell ref="DU12:EA12"/>
    <mergeCell ref="EB12:EH12"/>
    <mergeCell ref="BC12:BI12"/>
    <mergeCell ref="BJ12:BP12"/>
    <mergeCell ref="BQ12:BW12"/>
    <mergeCell ref="BX12:CD12"/>
    <mergeCell ref="CE12:CK12"/>
    <mergeCell ref="CL12:CR12"/>
    <mergeCell ref="HO12:HU12"/>
    <mergeCell ref="HV12:IB12"/>
    <mergeCell ref="AP14:AU14"/>
    <mergeCell ref="AW14:BB14"/>
    <mergeCell ref="BD14:BI14"/>
    <mergeCell ref="BK14:BP14"/>
    <mergeCell ref="CF14:CK14"/>
    <mergeCell ref="CM14:CR14"/>
    <mergeCell ref="CT14:CY14"/>
    <mergeCell ref="DA14:DF14"/>
    <mergeCell ref="FY12:GE12"/>
    <mergeCell ref="GF12:GL12"/>
    <mergeCell ref="GM12:GS12"/>
    <mergeCell ref="GT12:GZ12"/>
    <mergeCell ref="HA12:HG12"/>
    <mergeCell ref="HH12:HN12"/>
    <mergeCell ref="EI12:EO12"/>
    <mergeCell ref="EP12:EV12"/>
    <mergeCell ref="EW12:FC12"/>
    <mergeCell ref="FD12:FJ12"/>
    <mergeCell ref="FK12:FQ12"/>
    <mergeCell ref="FR12:FX12"/>
    <mergeCell ref="CS12:CY12"/>
    <mergeCell ref="CZ12:DF12"/>
    <mergeCell ref="DH14:DM14"/>
    <mergeCell ref="DO14:DT14"/>
    <mergeCell ref="DV14:EA14"/>
    <mergeCell ref="EC14:EH14"/>
    <mergeCell ref="EJ14:EO14"/>
    <mergeCell ref="EQ14:EV14"/>
    <mergeCell ref="N14:S14"/>
    <mergeCell ref="U14:Z14"/>
    <mergeCell ref="AB14:AG14"/>
    <mergeCell ref="AI14:AN14"/>
    <mergeCell ref="BR14:BW14"/>
    <mergeCell ref="BY14:CD14"/>
    <mergeCell ref="GN14:GS14"/>
    <mergeCell ref="GU14:GZ14"/>
    <mergeCell ref="HB14:HG14"/>
    <mergeCell ref="HI14:HN14"/>
    <mergeCell ref="HP14:HU14"/>
    <mergeCell ref="HW14:IB14"/>
    <mergeCell ref="EX14:FC14"/>
    <mergeCell ref="FE14:FJ14"/>
    <mergeCell ref="FL14:FQ14"/>
    <mergeCell ref="FS14:FX14"/>
    <mergeCell ref="FZ14:GE14"/>
    <mergeCell ref="GG14:GL14"/>
  </mergeCells>
  <phoneticPr fontId="1" type="noConversion"/>
  <conditionalFormatting sqref="H6">
    <cfRule type="expression" dxfId="14" priority="5" stopIfTrue="1">
      <formula>$F$6=FALSE</formula>
    </cfRule>
  </conditionalFormatting>
  <conditionalFormatting sqref="I7">
    <cfRule type="expression" dxfId="13" priority="6" stopIfTrue="1">
      <formula>$F$7=FALSE</formula>
    </cfRule>
  </conditionalFormatting>
  <conditionalFormatting sqref="H7">
    <cfRule type="expression" dxfId="12" priority="7" stopIfTrue="1">
      <formula>$F$7=TRUE</formula>
    </cfRule>
  </conditionalFormatting>
  <conditionalFormatting sqref="M15:IB15">
    <cfRule type="cellIs" dxfId="11" priority="8" stopIfTrue="1" operator="between">
      <formula>$E$6</formula>
      <formula>$H$6</formula>
    </cfRule>
    <cfRule type="cellIs" dxfId="10" priority="9" stopIfTrue="1" operator="equal">
      <formula>""</formula>
    </cfRule>
  </conditionalFormatting>
  <conditionalFormatting sqref="M12:IB12 M14:IB14">
    <cfRule type="cellIs" dxfId="9" priority="10" stopIfTrue="1" operator="equal">
      <formula>""</formula>
    </cfRule>
  </conditionalFormatting>
  <conditionalFormatting sqref="M13:IC13">
    <cfRule type="expression" dxfId="8" priority="11" stopIfTrue="1">
      <formula>M$15=""</formula>
    </cfRule>
  </conditionalFormatting>
  <conditionalFormatting sqref="M16:IB116">
    <cfRule type="expression" dxfId="7" priority="2" stopIfTrue="1">
      <formula>AND($H16&lt;&gt;"",$I16&lt;&gt;"",$F$9=1,M$15=TODAY())</formula>
    </cfRule>
    <cfRule type="expression" dxfId="6" priority="3" stopIfTrue="1">
      <formula>OR(AND($H16&lt;&gt;"",$I16&lt;&gt;"",$F$10=1,$F$8=2,WEEKDAY(M$15,2)=7),AND($H16&lt;&gt;"",$I16&lt;&gt;"",$F$10=1,$F$8=1,OR(WEEKDAY(M$15,2)=6,WEEKDAY(M$15,2)=7)))</formula>
    </cfRule>
    <cfRule type="expression" dxfId="5" priority="4" stopIfTrue="1">
      <formula>AND($H16&lt;&gt;"",$I16&lt;&gt;"",M$15&gt;=$H16,M$15&lt;=$I16,M$15&lt;=TODAY())</formula>
    </cfRule>
    <cfRule type="expression" dxfId="4" priority="12" stopIfTrue="1">
      <formula>AND($H16&lt;&gt;"",$I16&lt;&gt;"",M$15&gt;=$H16,M$15&lt;=$I16)</formula>
    </cfRule>
    <cfRule type="expression" dxfId="3" priority="13" stopIfTrue="1">
      <formula>AND($H16&lt;&gt;"",$I16&lt;&gt;"",M$15&lt;&gt;"",$B16&lt;&gt;"",OR(MOD($B16,2)=0,MOD($B16+1,2)=0))</formula>
    </cfRule>
    <cfRule type="expression" dxfId="2" priority="14" stopIfTrue="1">
      <formula>AND(OR($M15&lt;$H16,$M15&gt;$I16),M$15&lt;&gt;"")</formula>
    </cfRule>
  </conditionalFormatting>
  <conditionalFormatting sqref="B16:L116">
    <cfRule type="expression" dxfId="1" priority="15" stopIfTrue="1">
      <formula>AND($B16&lt;&gt;"",OR(MOD($B16,2)=0,MOD($B16+1,2)=0))</formula>
    </cfRule>
  </conditionalFormatting>
  <conditionalFormatting sqref="I6">
    <cfRule type="expression" dxfId="0" priority="1">
      <formula>$F$6=TRUE</formula>
    </cfRule>
  </conditionalFormatting>
  <dataValidations count="3">
    <dataValidation type="date" allowBlank="1" showInputMessage="1" showErrorMessage="1" sqref="H6">
      <formula1>E6</formula1>
      <formula2>E6+224</formula2>
    </dataValidation>
    <dataValidation type="list" allowBlank="1" showInputMessage="1" showErrorMessage="1" sqref="I7">
      <formula1>"4,5,6,7,8,9,10,11,12,13,14,15,16,17,18,19,20,21,22,23,24,25,26,27,28,29,30,31,32"</formula1>
    </dataValidation>
    <dataValidation type="list" allowBlank="1" showInputMessage="1" showErrorMessage="1" sqref="E8">
      <formula1>"Monday - Friday, Monday - Saturday, Monday - Sunday"</formula1>
    </dataValidation>
  </dataValidations>
  <pageMargins left="0.39" right="0.53" top="0.45" bottom="0.5" header="0.32" footer="0.35"/>
  <pageSetup orientation="landscape" horizontalDpi="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OptionButton1">
          <controlPr defaultSize="0" autoLine="0" linkedCell="F6" r:id="rId5">
            <anchor moveWithCells="1" sizeWithCells="1">
              <from>
                <xdr:col>6</xdr:col>
                <xdr:colOff>28575</xdr:colOff>
                <xdr:row>5</xdr:row>
                <xdr:rowOff>19050</xdr:rowOff>
              </from>
              <to>
                <xdr:col>6</xdr:col>
                <xdr:colOff>200025</xdr:colOff>
                <xdr:row>5</xdr:row>
                <xdr:rowOff>180975</xdr:rowOff>
              </to>
            </anchor>
          </controlPr>
        </control>
      </mc:Choice>
      <mc:Fallback>
        <control shapeId="1025" r:id="rId4" name="OptionButton1"/>
      </mc:Fallback>
    </mc:AlternateContent>
    <mc:AlternateContent xmlns:mc="http://schemas.openxmlformats.org/markup-compatibility/2006">
      <mc:Choice Requires="x14">
        <control shapeId="1026" r:id="rId6" name="OptionButton2">
          <controlPr defaultSize="0" autoLine="0" linkedCell="F7" r:id="rId7">
            <anchor moveWithCells="1" sizeWithCells="1">
              <from>
                <xdr:col>6</xdr:col>
                <xdr:colOff>28575</xdr:colOff>
                <xdr:row>6</xdr:row>
                <xdr:rowOff>57150</xdr:rowOff>
              </from>
              <to>
                <xdr:col>6</xdr:col>
                <xdr:colOff>200025</xdr:colOff>
                <xdr:row>7</xdr:row>
                <xdr:rowOff>28575</xdr:rowOff>
              </to>
            </anchor>
          </controlPr>
        </control>
      </mc:Choice>
      <mc:Fallback>
        <control shapeId="1026" r:id="rId6" name="OptionButton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Sheet2</vt:lpstr>
      <vt:lpstr>Sheet3</vt:lpstr>
    </vt:vector>
  </TitlesOfParts>
  <Company>Musadya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Agams</dc:creator>
  <cp:lastModifiedBy>user</cp:lastModifiedBy>
  <cp:lastPrinted>2009-06-15T11:12:56Z</cp:lastPrinted>
  <dcterms:created xsi:type="dcterms:W3CDTF">2009-03-30T13:58:47Z</dcterms:created>
  <dcterms:modified xsi:type="dcterms:W3CDTF">2016-03-18T02:28:57Z</dcterms:modified>
</cp:coreProperties>
</file>