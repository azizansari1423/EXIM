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E:\Dropbox\Dropbox\HR Global\06. Statutory Compliance's\Profession Tax\Kerala PT\"/>
    </mc:Choice>
  </mc:AlternateContent>
  <xr:revisionPtr revIDLastSave="0" documentId="13_ncr:1_{165EB6F6-F5D0-4F05-BF33-1E641EE6DA72}" xr6:coauthVersionLast="37" xr6:coauthVersionMax="37" xr10:uidLastSave="{00000000-0000-0000-0000-000000000000}"/>
  <bookViews>
    <workbookView xWindow="0" yWindow="0" windowWidth="20490" windowHeight="7755" activeTab="1" xr2:uid="{00000000-000D-0000-FFFF-FFFF00000000}"/>
  </bookViews>
  <sheets>
    <sheet name="PT Slab Kerala" sheetId="2" r:id="rId1"/>
    <sheet name="Half Year Calculation" sheetId="3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3" l="1"/>
  <c r="F8" i="3" l="1"/>
  <c r="C10" i="3" s="1"/>
  <c r="C12" i="3" s="1"/>
</calcChain>
</file>

<file path=xl/sharedStrings.xml><?xml version="1.0" encoding="utf-8"?>
<sst xmlns="http://schemas.openxmlformats.org/spreadsheetml/2006/main" count="72" uniqueCount="67">
  <si>
    <t>No.</t>
  </si>
  <si>
    <t>Name</t>
  </si>
  <si>
    <t>Designation</t>
  </si>
  <si>
    <t>Monthly Salary</t>
  </si>
  <si>
    <t>Salary x 6 Months</t>
  </si>
  <si>
    <t>Tax</t>
  </si>
  <si>
    <t>1</t>
  </si>
  <si>
    <t>2</t>
  </si>
  <si>
    <t>3</t>
  </si>
  <si>
    <t>4</t>
  </si>
  <si>
    <t>Total Profession Tax Payable</t>
  </si>
  <si>
    <t>5</t>
  </si>
  <si>
    <t>Half Yearly Income</t>
  </si>
  <si>
    <t>Half Yearly Tax</t>
  </si>
  <si>
    <t>Rs 12000 to Rs 17999.</t>
  </si>
  <si>
    <t>Rs 120</t>
  </si>
  <si>
    <t>Rs 18000 to Rs 29999</t>
  </si>
  <si>
    <t>Rs 180</t>
  </si>
  <si>
    <t>Rs 300</t>
  </si>
  <si>
    <t>Rs 50000 to Rs 59999</t>
  </si>
  <si>
    <t>Rs 450</t>
  </si>
  <si>
    <t>Rs 600</t>
  </si>
  <si>
    <t>Rs 75000 to Rs 99999</t>
  </si>
  <si>
    <t>Rs 750</t>
  </si>
  <si>
    <t>Rs 100000 to Rs 124999</t>
  </si>
  <si>
    <t>Rs 1000</t>
  </si>
  <si>
    <t>Rs 1250</t>
  </si>
  <si>
    <t>Sl.No</t>
  </si>
  <si>
    <t>PT Slab Kerala</t>
  </si>
  <si>
    <t>6</t>
  </si>
  <si>
    <t>7</t>
  </si>
  <si>
    <t>8</t>
  </si>
  <si>
    <t>Rs 125000 and above</t>
  </si>
  <si>
    <t>Monthly Income</t>
  </si>
  <si>
    <t>Monthly Tax</t>
  </si>
  <si>
    <t>Rs 2000 to Rs 2999</t>
  </si>
  <si>
    <t>Rs 3000 to Rs 4999</t>
  </si>
  <si>
    <t>Rs 5000 to Rs 7999</t>
  </si>
  <si>
    <t>Rs 8000 to Rs 9999</t>
  </si>
  <si>
    <t>Rs 10000 to Rs 12499</t>
  </si>
  <si>
    <t>Rs 12500 to Rs 16666</t>
  </si>
  <si>
    <t>Rs 16667 to Rs 20833</t>
  </si>
  <si>
    <t>Rs 20834 and above</t>
  </si>
  <si>
    <t>Rs 20</t>
  </si>
  <si>
    <t>Rs 30</t>
  </si>
  <si>
    <t>Rs 50</t>
  </si>
  <si>
    <t>Rs 75</t>
  </si>
  <si>
    <t>Rs 100</t>
  </si>
  <si>
    <t>Rs 125</t>
  </si>
  <si>
    <t>Rs 167</t>
  </si>
  <si>
    <t>Rs 210</t>
  </si>
  <si>
    <t>Rs 30000 to Rs 48999</t>
  </si>
  <si>
    <t>1st Half Yearly Profession Tax Remittance Apr 2017 to September 2017</t>
  </si>
  <si>
    <t>Rs 60000 to Rs 74999</t>
  </si>
  <si>
    <t>Abdul Hakeem B  K</t>
  </si>
  <si>
    <t>Senior Assistant (Stores)</t>
  </si>
  <si>
    <t>Prem Kumar R</t>
  </si>
  <si>
    <t>Quantity Surveyor</t>
  </si>
  <si>
    <t>Manoj  Kumar K P</t>
  </si>
  <si>
    <t>Senior Project Engineer</t>
  </si>
  <si>
    <t>Jayaram  C</t>
  </si>
  <si>
    <t>Construction Manager</t>
  </si>
  <si>
    <t>Deepak  P</t>
  </si>
  <si>
    <t>Senior Assistant Accountant</t>
  </si>
  <si>
    <t>Employee Share</t>
  </si>
  <si>
    <t>Employer Share</t>
  </si>
  <si>
    <t>Total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</si>
</sst>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="130" zoomScaleNormal="130" workbookViewId="0">
      <selection activeCell="D3" sqref="D3:D10"/>
    </sheetView>
  </sheetViews>
  <sheetFormatPr defaultColWidth="7.42578125" defaultRowHeight="20.25" customHeight="1" x14ac:dyDescent="0.25"/>
  <cols>
    <col min="1" max="1" width="6.28515625" style="8" customWidth="1"/>
    <col min="2" max="2" width="19.7109375" style="8" bestFit="1" customWidth="1"/>
    <col min="3" max="3" width="12" style="8" bestFit="1" customWidth="1"/>
    <col min="4" max="4" width="21.28515625" style="8" bestFit="1" customWidth="1"/>
    <col min="5" max="5" width="14.140625" style="8" bestFit="1" customWidth="1"/>
    <col min="6" max="16384" width="7.42578125" style="8"/>
  </cols>
  <sheetData>
    <row r="1" spans="1:5" ht="23.25" customHeight="1" x14ac:dyDescent="0.25">
      <c r="A1" s="13" t="s">
        <v>28</v>
      </c>
      <c r="B1" s="13"/>
      <c r="C1" s="13"/>
      <c r="D1" s="13"/>
      <c r="E1" s="13"/>
    </row>
    <row r="2" spans="1:5" s="6" customFormat="1" ht="23.25" customHeight="1" x14ac:dyDescent="0.25">
      <c r="A2" s="9" t="s">
        <v>27</v>
      </c>
      <c r="B2" s="9" t="s">
        <v>33</v>
      </c>
      <c r="C2" s="9" t="s">
        <v>34</v>
      </c>
      <c r="D2" s="9" t="s">
        <v>12</v>
      </c>
      <c r="E2" s="9" t="s">
        <v>13</v>
      </c>
    </row>
    <row r="3" spans="1:5" ht="23.25" customHeight="1" x14ac:dyDescent="0.25">
      <c r="A3" s="11" t="s">
        <v>6</v>
      </c>
      <c r="B3" s="12" t="s">
        <v>35</v>
      </c>
      <c r="C3" s="10" t="s">
        <v>43</v>
      </c>
      <c r="D3" s="12" t="s">
        <v>14</v>
      </c>
      <c r="E3" s="10" t="s">
        <v>15</v>
      </c>
    </row>
    <row r="4" spans="1:5" ht="23.25" customHeight="1" x14ac:dyDescent="0.25">
      <c r="A4" s="11" t="s">
        <v>7</v>
      </c>
      <c r="B4" s="12" t="s">
        <v>36</v>
      </c>
      <c r="C4" s="10" t="s">
        <v>44</v>
      </c>
      <c r="D4" s="12" t="s">
        <v>16</v>
      </c>
      <c r="E4" s="10" t="s">
        <v>17</v>
      </c>
    </row>
    <row r="5" spans="1:5" ht="23.25" customHeight="1" x14ac:dyDescent="0.25">
      <c r="A5" s="11" t="s">
        <v>8</v>
      </c>
      <c r="B5" s="12" t="s">
        <v>37</v>
      </c>
      <c r="C5" s="10" t="s">
        <v>45</v>
      </c>
      <c r="D5" s="12" t="s">
        <v>51</v>
      </c>
      <c r="E5" s="10" t="s">
        <v>18</v>
      </c>
    </row>
    <row r="6" spans="1:5" ht="23.25" customHeight="1" x14ac:dyDescent="0.25">
      <c r="A6" s="11" t="s">
        <v>9</v>
      </c>
      <c r="B6" s="12" t="s">
        <v>38</v>
      </c>
      <c r="C6" s="10" t="s">
        <v>46</v>
      </c>
      <c r="D6" s="12" t="s">
        <v>19</v>
      </c>
      <c r="E6" s="10" t="s">
        <v>20</v>
      </c>
    </row>
    <row r="7" spans="1:5" ht="23.25" customHeight="1" x14ac:dyDescent="0.25">
      <c r="A7" s="11" t="s">
        <v>11</v>
      </c>
      <c r="B7" s="12" t="s">
        <v>39</v>
      </c>
      <c r="C7" s="10" t="s">
        <v>47</v>
      </c>
      <c r="D7" s="12" t="s">
        <v>53</v>
      </c>
      <c r="E7" s="10" t="s">
        <v>21</v>
      </c>
    </row>
    <row r="8" spans="1:5" ht="23.25" customHeight="1" x14ac:dyDescent="0.25">
      <c r="A8" s="11" t="s">
        <v>29</v>
      </c>
      <c r="B8" s="12" t="s">
        <v>40</v>
      </c>
      <c r="C8" s="10" t="s">
        <v>48</v>
      </c>
      <c r="D8" s="12" t="s">
        <v>22</v>
      </c>
      <c r="E8" s="10" t="s">
        <v>23</v>
      </c>
    </row>
    <row r="9" spans="1:5" ht="23.25" customHeight="1" x14ac:dyDescent="0.25">
      <c r="A9" s="11" t="s">
        <v>30</v>
      </c>
      <c r="B9" s="12" t="s">
        <v>41</v>
      </c>
      <c r="C9" s="10" t="s">
        <v>49</v>
      </c>
      <c r="D9" s="12" t="s">
        <v>24</v>
      </c>
      <c r="E9" s="10" t="s">
        <v>25</v>
      </c>
    </row>
    <row r="10" spans="1:5" ht="23.25" customHeight="1" x14ac:dyDescent="0.25">
      <c r="A10" s="11" t="s">
        <v>31</v>
      </c>
      <c r="B10" s="12" t="s">
        <v>42</v>
      </c>
      <c r="C10" s="9" t="s">
        <v>50</v>
      </c>
      <c r="D10" s="12" t="s">
        <v>32</v>
      </c>
      <c r="E10" s="9" t="s">
        <v>26</v>
      </c>
    </row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A8" sqref="A8:E8"/>
    </sheetView>
  </sheetViews>
  <sheetFormatPr defaultColWidth="7.42578125" defaultRowHeight="20.25" customHeight="1" x14ac:dyDescent="0.25"/>
  <cols>
    <col min="1" max="1" width="10.28515625" style="1" customWidth="1"/>
    <col min="2" max="2" width="28.5703125" style="1" customWidth="1"/>
    <col min="3" max="3" width="26.140625" style="1" bestFit="1" customWidth="1"/>
    <col min="4" max="4" width="18" style="1" customWidth="1"/>
    <col min="5" max="5" width="19" style="1" customWidth="1"/>
    <col min="6" max="6" width="12.85546875" style="1" customWidth="1"/>
    <col min="7" max="16384" width="7.42578125" style="1"/>
  </cols>
  <sheetData>
    <row r="1" spans="1:6" ht="23.25" customHeight="1" x14ac:dyDescent="0.25">
      <c r="A1" s="13" t="s">
        <v>52</v>
      </c>
      <c r="B1" s="13"/>
      <c r="C1" s="13"/>
      <c r="D1" s="13"/>
      <c r="E1" s="13"/>
      <c r="F1" s="13"/>
    </row>
    <row r="2" spans="1:6" s="6" customFormat="1" ht="23.2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ht="23.25" customHeight="1" x14ac:dyDescent="0.25">
      <c r="A3" s="2" t="s">
        <v>6</v>
      </c>
      <c r="B3" s="3" t="s">
        <v>54</v>
      </c>
      <c r="C3" s="3" t="s">
        <v>55</v>
      </c>
      <c r="D3" s="3"/>
      <c r="E3" s="3"/>
      <c r="F3" s="4">
        <f>125+125+125+125+125+167</f>
        <v>792</v>
      </c>
    </row>
    <row r="4" spans="1:6" ht="23.25" customHeight="1" x14ac:dyDescent="0.25">
      <c r="A4" s="2" t="s">
        <v>7</v>
      </c>
      <c r="B4" s="3" t="s">
        <v>56</v>
      </c>
      <c r="C4" s="3" t="s">
        <v>57</v>
      </c>
      <c r="D4" s="3"/>
      <c r="E4" s="3"/>
      <c r="F4" s="4">
        <v>1250</v>
      </c>
    </row>
    <row r="5" spans="1:6" ht="23.25" customHeight="1" x14ac:dyDescent="0.25">
      <c r="A5" s="2" t="s">
        <v>8</v>
      </c>
      <c r="B5" s="3" t="s">
        <v>58</v>
      </c>
      <c r="C5" s="3" t="s">
        <v>59</v>
      </c>
      <c r="D5" s="3"/>
      <c r="E5" s="3"/>
      <c r="F5" s="4">
        <v>1000</v>
      </c>
    </row>
    <row r="6" spans="1:6" ht="23.25" customHeight="1" x14ac:dyDescent="0.25">
      <c r="A6" s="2" t="s">
        <v>9</v>
      </c>
      <c r="B6" s="3" t="s">
        <v>60</v>
      </c>
      <c r="C6" s="3" t="s">
        <v>61</v>
      </c>
      <c r="D6" s="3"/>
      <c r="E6" s="3"/>
      <c r="F6" s="4">
        <v>1250</v>
      </c>
    </row>
    <row r="7" spans="1:6" ht="23.25" customHeight="1" x14ac:dyDescent="0.25">
      <c r="A7" s="2" t="s">
        <v>11</v>
      </c>
      <c r="B7" s="3" t="s">
        <v>62</v>
      </c>
      <c r="C7" s="3" t="s">
        <v>63</v>
      </c>
      <c r="D7" s="3"/>
      <c r="E7" s="3"/>
      <c r="F7" s="4">
        <v>600</v>
      </c>
    </row>
    <row r="8" spans="1:6" ht="20.25" customHeight="1" x14ac:dyDescent="0.25">
      <c r="A8" s="14" t="s">
        <v>10</v>
      </c>
      <c r="B8" s="15"/>
      <c r="C8" s="15"/>
      <c r="D8" s="15"/>
      <c r="E8" s="16"/>
      <c r="F8" s="7">
        <f>SUM(F3:F7)</f>
        <v>4892</v>
      </c>
    </row>
    <row r="10" spans="1:6" ht="20.25" customHeight="1" x14ac:dyDescent="0.25">
      <c r="B10" s="3" t="s">
        <v>64</v>
      </c>
      <c r="C10" s="4">
        <f>F8</f>
        <v>4892</v>
      </c>
    </row>
    <row r="11" spans="1:6" ht="20.25" customHeight="1" x14ac:dyDescent="0.25">
      <c r="B11" s="3" t="s">
        <v>65</v>
      </c>
      <c r="C11" s="4">
        <v>1250</v>
      </c>
    </row>
    <row r="12" spans="1:6" ht="20.25" customHeight="1" x14ac:dyDescent="0.25">
      <c r="B12" s="3" t="s">
        <v>66</v>
      </c>
      <c r="C12" s="7">
        <f>+C10+C11</f>
        <v>6142</v>
      </c>
    </row>
  </sheetData>
  <mergeCells count="2">
    <mergeCell ref="A1:F1"/>
    <mergeCell ref="A8:E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 Slab Kerala</vt:lpstr>
      <vt:lpstr>Half Year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cp:lastPrinted>2015-03-29T06:11:28Z</cp:lastPrinted>
  <dcterms:created xsi:type="dcterms:W3CDTF">2014-09-19T08:31:11Z</dcterms:created>
  <dcterms:modified xsi:type="dcterms:W3CDTF">2018-10-10T07:20:26Z</dcterms:modified>
</cp:coreProperties>
</file>