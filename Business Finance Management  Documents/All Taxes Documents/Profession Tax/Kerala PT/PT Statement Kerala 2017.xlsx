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730"/>
  <workbookPr codeName="ThisWorkbook"/>
  <mc:AlternateContent xmlns:mc="http://schemas.openxmlformats.org/markup-compatibility/2006">
    <mc:Choice Requires="x15">
      <x15ac:absPath xmlns:x15ac="http://schemas.microsoft.com/office/spreadsheetml/2010/11/ac" url="E:\Dropbox\Dropbox\HR Global\Statutory Compliance's\Profession Tax\Kerala PT\"/>
    </mc:Choice>
  </mc:AlternateContent>
  <bookViews>
    <workbookView xWindow="0" yWindow="0" windowWidth="20490" windowHeight="7755" tabRatio="745" xr2:uid="{00000000-000D-0000-FFFF-FFFF00000000}"/>
  </bookViews>
  <sheets>
    <sheet name="Payroll_Statement" sheetId="1" r:id="rId1"/>
  </sheets>
  <definedNames>
    <definedName name="_xlnm._FilterDatabase" localSheetId="0" hidden="1">Payroll_Statement!$A$2:$G$8</definedName>
    <definedName name="Payroll_Statement" localSheetId="0">Payroll_Statement!$A$2:$G$7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1" i="1" l="1"/>
  <c r="E21" i="1"/>
  <c r="F20" i="1"/>
  <c r="G8" i="1" l="1"/>
  <c r="F8" i="1"/>
</calcChain>
</file>

<file path=xl/sharedStrings.xml><?xml version="1.0" encoding="utf-8"?>
<sst xmlns="http://schemas.openxmlformats.org/spreadsheetml/2006/main" count="64" uniqueCount="50">
  <si>
    <t>Sl. No.</t>
  </si>
  <si>
    <t>Employee No</t>
  </si>
  <si>
    <t>Name</t>
  </si>
  <si>
    <t>Location</t>
  </si>
  <si>
    <t>Total Payments</t>
  </si>
  <si>
    <t>Professional Tax</t>
  </si>
  <si>
    <t>1</t>
  </si>
  <si>
    <t>2</t>
  </si>
  <si>
    <t>3</t>
  </si>
  <si>
    <t>4</t>
  </si>
  <si>
    <t>5</t>
  </si>
  <si>
    <t>6</t>
  </si>
  <si>
    <t>7</t>
  </si>
  <si>
    <t>8</t>
  </si>
  <si>
    <t>MTC-2193</t>
  </si>
  <si>
    <t>Abdul Hakeem B  K</t>
  </si>
  <si>
    <t>Kannur</t>
  </si>
  <si>
    <t>MTC-2760</t>
  </si>
  <si>
    <t>Prem Kumar R</t>
  </si>
  <si>
    <t>MTC-2780</t>
  </si>
  <si>
    <t>Manoj  Kumar K P</t>
  </si>
  <si>
    <t>MTC-2781</t>
  </si>
  <si>
    <t>Jayaram  C</t>
  </si>
  <si>
    <t>MTC-2791</t>
  </si>
  <si>
    <t>Deepak  P</t>
  </si>
  <si>
    <t>State</t>
  </si>
  <si>
    <t>Kerala</t>
  </si>
  <si>
    <t>Grand Total</t>
  </si>
  <si>
    <t>Sl.No</t>
  </si>
  <si>
    <t>Monthly Income</t>
  </si>
  <si>
    <t>Monthly Tax</t>
  </si>
  <si>
    <t>Rs 2000 to Rs 2999</t>
  </si>
  <si>
    <t>Rs 20</t>
  </si>
  <si>
    <t>Rs 3000 to Rs 4999</t>
  </si>
  <si>
    <t>Rs 30</t>
  </si>
  <si>
    <t>Rs 5000 to Rs 7999</t>
  </si>
  <si>
    <t>Rs 50</t>
  </si>
  <si>
    <t>Rs 8000 to Rs 9999</t>
  </si>
  <si>
    <t>Rs 75</t>
  </si>
  <si>
    <t>Rs 10000 to Rs 12499</t>
  </si>
  <si>
    <t>Rs 100</t>
  </si>
  <si>
    <t>Rs 12500 to Rs 16666</t>
  </si>
  <si>
    <t>Rs 125</t>
  </si>
  <si>
    <t>Rs 16667 to Rs 20833</t>
  </si>
  <si>
    <t>Rs 167</t>
  </si>
  <si>
    <t>Rs 20834 and above</t>
  </si>
  <si>
    <t>Rs 210</t>
  </si>
  <si>
    <t>No. of Emp</t>
  </si>
  <si>
    <t>Tax</t>
  </si>
  <si>
    <t>PT Statement for the month of May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</si>
</sst>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Palatino Linotype"/>
      <family val="1"/>
    </font>
    <font>
      <sz val="10"/>
      <name val="Palatino Linotype"/>
      <family val="1"/>
    </font>
    <font>
      <sz val="11"/>
      <color indexed="8"/>
      <name val="Calibri"/>
      <family val="2"/>
    </font>
    <font>
      <b/>
      <sz val="20"/>
      <name val="Palatino Linotype"/>
      <family val="1"/>
    </font>
    <font>
      <b/>
      <sz val="10.5"/>
      <name val="Palatino Linotype"/>
      <family val="1"/>
    </font>
    <font>
      <b/>
      <sz val="11"/>
      <color theme="1"/>
      <name val="Palatino Linotype"/>
      <family val="1"/>
    </font>
    <font>
      <b/>
      <sz val="12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164" fontId="5" fillId="0" borderId="0" applyFont="0" applyFill="0" applyBorder="0" applyAlignment="0" applyProtection="0"/>
    <xf numFmtId="0" fontId="1" fillId="0" borderId="0"/>
  </cellStyleXfs>
  <cellXfs count="23">
    <xf numFmtId="0" fontId="0" fillId="0" borderId="0" xfId="0"/>
    <xf numFmtId="0" fontId="3" fillId="2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1" xfId="0" quotePrefix="1" applyNumberFormat="1" applyFont="1" applyFill="1" applyBorder="1" applyAlignment="1">
      <alignment horizontal="center" vertical="center"/>
    </xf>
    <xf numFmtId="0" fontId="4" fillId="2" borderId="1" xfId="0" quotePrefix="1" applyNumberFormat="1" applyFont="1" applyFill="1" applyBorder="1" applyAlignment="1">
      <alignment vertical="center"/>
    </xf>
    <xf numFmtId="4" fontId="4" fillId="2" borderId="1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7" fillId="2" borderId="1" xfId="0" quotePrefix="1" applyNumberFormat="1" applyFont="1" applyFill="1" applyBorder="1" applyAlignment="1">
      <alignment horizontal="center" vertical="center"/>
    </xf>
    <xf numFmtId="0" fontId="7" fillId="2" borderId="1" xfId="0" quotePrefix="1" applyNumberFormat="1" applyFont="1" applyFill="1" applyBorder="1" applyAlignment="1">
      <alignment vertical="center"/>
    </xf>
    <xf numFmtId="4" fontId="7" fillId="2" borderId="1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0" fontId="4" fillId="3" borderId="1" xfId="0" quotePrefix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9" fillId="3" borderId="3" xfId="0" quotePrefix="1" applyFont="1" applyFill="1" applyBorder="1" applyAlignment="1">
      <alignment horizontal="center" vertical="center" wrapText="1"/>
    </xf>
    <xf numFmtId="0" fontId="9" fillId="3" borderId="4" xfId="0" quotePrefix="1" applyFont="1" applyFill="1" applyBorder="1" applyAlignment="1">
      <alignment horizontal="center" vertical="center" wrapText="1"/>
    </xf>
    <xf numFmtId="0" fontId="9" fillId="3" borderId="5" xfId="0" quotePrefix="1" applyFont="1" applyFill="1" applyBorder="1" applyAlignment="1">
      <alignment horizontal="center" vertical="center" wrapText="1"/>
    </xf>
  </cellXfs>
  <cellStyles count="4">
    <cellStyle name="Comma 2" xfId="2" xr:uid="{00000000-0005-0000-0000-000000000000}"/>
    <cellStyle name="Normal" xfId="0" builtinId="0"/>
    <cellStyle name="Normal 2" xfId="1" xr:uid="{00000000-0005-0000-0000-000002000000}"/>
    <cellStyle name="Normal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G21"/>
  <sheetViews>
    <sheetView tabSelected="1" workbookViewId="0">
      <selection activeCell="D19" sqref="D19"/>
    </sheetView>
  </sheetViews>
  <sheetFormatPr defaultRowHeight="15" x14ac:dyDescent="0.2"/>
  <cols>
    <col min="1" max="1" width="7.85546875" style="7" customWidth="1"/>
    <col min="2" max="2" width="13.140625" style="7" customWidth="1"/>
    <col min="3" max="3" width="29.42578125" style="3" bestFit="1" customWidth="1"/>
    <col min="4" max="4" width="14.28515625" style="3" bestFit="1" customWidth="1"/>
    <col min="5" max="5" width="14.85546875" style="3" customWidth="1"/>
    <col min="6" max="6" width="15.7109375" style="3" customWidth="1"/>
    <col min="7" max="7" width="13.140625" style="3" customWidth="1"/>
    <col min="8" max="16384" width="9.140625" style="3"/>
  </cols>
  <sheetData>
    <row r="1" spans="1:7" ht="28.5" customHeight="1" x14ac:dyDescent="0.2">
      <c r="A1" s="19" t="s">
        <v>49</v>
      </c>
      <c r="B1" s="19"/>
      <c r="C1" s="19"/>
      <c r="D1" s="19"/>
      <c r="E1" s="19"/>
      <c r="F1" s="19"/>
      <c r="G1" s="19"/>
    </row>
    <row r="2" spans="1:7" s="2" customFormat="1" ht="30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25</v>
      </c>
      <c r="F2" s="1" t="s">
        <v>4</v>
      </c>
      <c r="G2" s="1" t="s">
        <v>5</v>
      </c>
    </row>
    <row r="3" spans="1:7" ht="18" customHeight="1" x14ac:dyDescent="0.2">
      <c r="A3" s="4" t="s">
        <v>6</v>
      </c>
      <c r="B3" s="4" t="s">
        <v>14</v>
      </c>
      <c r="C3" s="5" t="s">
        <v>15</v>
      </c>
      <c r="D3" s="5" t="s">
        <v>16</v>
      </c>
      <c r="E3" s="5" t="s">
        <v>26</v>
      </c>
      <c r="F3" s="6">
        <v>13350</v>
      </c>
      <c r="G3" s="6">
        <v>125</v>
      </c>
    </row>
    <row r="4" spans="1:7" ht="18" customHeight="1" x14ac:dyDescent="0.2">
      <c r="A4" s="4" t="s">
        <v>7</v>
      </c>
      <c r="B4" s="4" t="s">
        <v>17</v>
      </c>
      <c r="C4" s="5" t="s">
        <v>18</v>
      </c>
      <c r="D4" s="5" t="s">
        <v>16</v>
      </c>
      <c r="E4" s="5" t="s">
        <v>26</v>
      </c>
      <c r="F4" s="6">
        <v>32000</v>
      </c>
      <c r="G4" s="6">
        <v>210</v>
      </c>
    </row>
    <row r="5" spans="1:7" ht="18" customHeight="1" x14ac:dyDescent="0.2">
      <c r="A5" s="4" t="s">
        <v>8</v>
      </c>
      <c r="B5" s="4" t="s">
        <v>19</v>
      </c>
      <c r="C5" s="5" t="s">
        <v>20</v>
      </c>
      <c r="D5" s="5" t="s">
        <v>16</v>
      </c>
      <c r="E5" s="5" t="s">
        <v>26</v>
      </c>
      <c r="F5" s="6">
        <v>34000</v>
      </c>
      <c r="G5" s="6">
        <v>210</v>
      </c>
    </row>
    <row r="6" spans="1:7" ht="18" customHeight="1" x14ac:dyDescent="0.2">
      <c r="A6" s="4" t="s">
        <v>9</v>
      </c>
      <c r="B6" s="4" t="s">
        <v>21</v>
      </c>
      <c r="C6" s="5" t="s">
        <v>22</v>
      </c>
      <c r="D6" s="5" t="s">
        <v>16</v>
      </c>
      <c r="E6" s="5" t="s">
        <v>26</v>
      </c>
      <c r="F6" s="6">
        <v>61740</v>
      </c>
      <c r="G6" s="6">
        <v>210</v>
      </c>
    </row>
    <row r="7" spans="1:7" ht="18" customHeight="1" x14ac:dyDescent="0.2">
      <c r="A7" s="4" t="s">
        <v>10</v>
      </c>
      <c r="B7" s="4" t="s">
        <v>23</v>
      </c>
      <c r="C7" s="5" t="s">
        <v>24</v>
      </c>
      <c r="D7" s="5" t="s">
        <v>16</v>
      </c>
      <c r="E7" s="5" t="s">
        <v>26</v>
      </c>
      <c r="F7" s="6">
        <v>10000</v>
      </c>
      <c r="G7" s="6">
        <v>100</v>
      </c>
    </row>
    <row r="8" spans="1:7" s="11" customFormat="1" ht="18" customHeight="1" x14ac:dyDescent="0.2">
      <c r="A8" s="8"/>
      <c r="B8" s="8"/>
      <c r="C8" s="9" t="s">
        <v>27</v>
      </c>
      <c r="D8" s="9"/>
      <c r="E8" s="9"/>
      <c r="F8" s="10">
        <f>SUM(F3:F7)</f>
        <v>151090</v>
      </c>
      <c r="G8" s="10">
        <f>SUM(G3:G7)</f>
        <v>855</v>
      </c>
    </row>
    <row r="12" spans="1:7" ht="31.5" customHeight="1" x14ac:dyDescent="0.2">
      <c r="B12" s="12" t="s">
        <v>28</v>
      </c>
      <c r="C12" s="12" t="s">
        <v>29</v>
      </c>
      <c r="D12" s="12" t="s">
        <v>30</v>
      </c>
      <c r="E12" s="12" t="s">
        <v>47</v>
      </c>
      <c r="F12" s="12" t="s">
        <v>48</v>
      </c>
    </row>
    <row r="13" spans="1:7" ht="19.5" customHeight="1" x14ac:dyDescent="0.2">
      <c r="B13" s="13" t="s">
        <v>6</v>
      </c>
      <c r="C13" s="14" t="s">
        <v>31</v>
      </c>
      <c r="D13" s="15" t="s">
        <v>32</v>
      </c>
      <c r="E13" s="15">
        <v>0</v>
      </c>
      <c r="F13" s="15">
        <v>0</v>
      </c>
    </row>
    <row r="14" spans="1:7" ht="19.5" customHeight="1" x14ac:dyDescent="0.2">
      <c r="B14" s="13" t="s">
        <v>7</v>
      </c>
      <c r="C14" s="14" t="s">
        <v>33</v>
      </c>
      <c r="D14" s="15" t="s">
        <v>34</v>
      </c>
      <c r="E14" s="15">
        <v>0</v>
      </c>
      <c r="F14" s="15">
        <v>0</v>
      </c>
    </row>
    <row r="15" spans="1:7" ht="19.5" customHeight="1" x14ac:dyDescent="0.2">
      <c r="B15" s="13" t="s">
        <v>8</v>
      </c>
      <c r="C15" s="14" t="s">
        <v>35</v>
      </c>
      <c r="D15" s="15" t="s">
        <v>36</v>
      </c>
      <c r="E15" s="15">
        <v>0</v>
      </c>
      <c r="F15" s="15">
        <v>0</v>
      </c>
    </row>
    <row r="16" spans="1:7" ht="19.5" customHeight="1" x14ac:dyDescent="0.2">
      <c r="B16" s="13" t="s">
        <v>9</v>
      </c>
      <c r="C16" s="14" t="s">
        <v>37</v>
      </c>
      <c r="D16" s="15" t="s">
        <v>38</v>
      </c>
      <c r="E16" s="15">
        <v>0</v>
      </c>
      <c r="F16" s="15">
        <v>0</v>
      </c>
    </row>
    <row r="17" spans="1:6" ht="19.5" customHeight="1" x14ac:dyDescent="0.2">
      <c r="B17" s="13" t="s">
        <v>10</v>
      </c>
      <c r="C17" s="14" t="s">
        <v>39</v>
      </c>
      <c r="D17" s="15" t="s">
        <v>40</v>
      </c>
      <c r="E17" s="15">
        <v>1</v>
      </c>
      <c r="F17" s="15">
        <v>100</v>
      </c>
    </row>
    <row r="18" spans="1:6" ht="19.5" customHeight="1" x14ac:dyDescent="0.2">
      <c r="B18" s="13" t="s">
        <v>11</v>
      </c>
      <c r="C18" s="14" t="s">
        <v>41</v>
      </c>
      <c r="D18" s="15" t="s">
        <v>42</v>
      </c>
      <c r="E18" s="15">
        <v>1</v>
      </c>
      <c r="F18" s="15">
        <v>125</v>
      </c>
    </row>
    <row r="19" spans="1:6" ht="19.5" customHeight="1" x14ac:dyDescent="0.2">
      <c r="B19" s="13" t="s">
        <v>12</v>
      </c>
      <c r="C19" s="14" t="s">
        <v>43</v>
      </c>
      <c r="D19" s="15" t="s">
        <v>44</v>
      </c>
      <c r="E19" s="15">
        <v>0</v>
      </c>
      <c r="F19" s="15">
        <v>0</v>
      </c>
    </row>
    <row r="20" spans="1:6" ht="19.5" customHeight="1" x14ac:dyDescent="0.2">
      <c r="B20" s="13" t="s">
        <v>13</v>
      </c>
      <c r="C20" s="14" t="s">
        <v>45</v>
      </c>
      <c r="D20" s="12" t="s">
        <v>46</v>
      </c>
      <c r="E20" s="15">
        <v>3</v>
      </c>
      <c r="F20" s="12">
        <f>+E20*210</f>
        <v>630</v>
      </c>
    </row>
    <row r="21" spans="1:6" s="18" customFormat="1" ht="19.5" customHeight="1" x14ac:dyDescent="0.2">
      <c r="A21" s="16"/>
      <c r="B21" s="20" t="s">
        <v>27</v>
      </c>
      <c r="C21" s="21"/>
      <c r="D21" s="22"/>
      <c r="E21" s="17">
        <f>SUM(E13:E20)</f>
        <v>5</v>
      </c>
      <c r="F21" s="17">
        <f>SUM(F13:F20)</f>
        <v>855</v>
      </c>
    </row>
  </sheetData>
  <sortState ref="B3:G17">
    <sortCondition ref="B3:B17"/>
  </sortState>
  <mergeCells count="2">
    <mergeCell ref="A1:G1"/>
    <mergeCell ref="B21:D21"/>
  </mergeCells>
  <pageMargins left="0.75" right="0.75" top="1" bottom="1" header="0.5" footer="0.5"/>
  <pageSetup orientation="portrait" horizontalDpi="0" verticalDpi="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Payroll_Statement</vt:lpstr>
      <vt:lpstr>Payroll_Statement!Payroll_Statement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Sopesh</dc:creator>
  <cp:lastModifiedBy>Dell</cp:lastModifiedBy>
  <dcterms:created xsi:type="dcterms:W3CDTF">2014-11-18T05:30:03Z</dcterms:created>
  <dcterms:modified xsi:type="dcterms:W3CDTF">2018-01-11T06:45:04Z</dcterms:modified>
</cp:coreProperties>
</file>