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E:\Dropbox\Dropbox\IIHR BANGALORE\06. Statutory Compliance's\Profession Tax\"/>
    </mc:Choice>
  </mc:AlternateContent>
  <xr:revisionPtr revIDLastSave="0" documentId="13_ncr:1_{CA2E3BDF-780C-4596-9D23-A12FAD30D784}" xr6:coauthVersionLast="45" xr6:coauthVersionMax="45" xr10:uidLastSave="{00000000-0000-0000-0000-000000000000}"/>
  <bookViews>
    <workbookView xWindow="-120" yWindow="-120" windowWidth="15600" windowHeight="11160" tabRatio="745" xr2:uid="{00000000-000D-0000-FFFF-FFFF00000000}"/>
  </bookViews>
  <sheets>
    <sheet name="Payroll_Statement" sheetId="1" r:id="rId1"/>
  </sheets>
  <definedNames>
    <definedName name="_xlnm._FilterDatabase" localSheetId="0" hidden="1">Payroll_Statement!$A$2:$G$182</definedName>
    <definedName name="Payroll_Statement" localSheetId="0">Payroll_Statement!$A$2:$G$181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91" i="1" l="1"/>
  <c r="F187" i="1"/>
  <c r="F188" i="1"/>
  <c r="F189" i="1"/>
  <c r="F190" i="1"/>
  <c r="F186" i="1"/>
  <c r="E19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3" i="1"/>
  <c r="F182" i="1"/>
  <c r="G182" i="1" l="1"/>
</calcChain>
</file>

<file path=xl/sharedStrings.xml><?xml version="1.0" encoding="utf-8"?>
<sst xmlns="http://schemas.openxmlformats.org/spreadsheetml/2006/main" count="914" uniqueCount="553">
  <si>
    <t>Sl. No.</t>
  </si>
  <si>
    <t>Employee No</t>
  </si>
  <si>
    <t>Name</t>
  </si>
  <si>
    <t>Location</t>
  </si>
  <si>
    <t>Total Payments</t>
  </si>
  <si>
    <t>Professional Tax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</si>
  <si>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</si>
  <si>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</si>
  <si>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</si>
  <si>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</si>
  <si>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</si>
  <si>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</si>
  <si>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</si>
  <si>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</si>
  <si>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</si>
  <si>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</si>
  <si>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</si>
  <si>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</si>
  <si>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</si>
  <si>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</si>
  <si>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</si>
  <si>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</si>
  <si>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</si>
  <si>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</si>
  <si>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</si>
  <si>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</si>
  <si>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</si>
  <si>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</si>
  <si>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</si>
  <si>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</si>
  <si>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</si>
  <si>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</si>
  <si>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</si>
  <si>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</si>
  <si>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</si>
  <si>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</si>
  <si>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</si>
  <si>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</si>
  <si>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</si>
  <si>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</si>
  <si>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</si>
  <si>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</si>
  <si>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</si>
  <si>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</si>
  <si>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</si>
  <si>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</si>
  <si>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</si>
  <si>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</si>
  <si>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</si>
  <si>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</si>
  <si>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</si>
  <si>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</si>
  <si>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</si>
  <si>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</si>
  <si>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</si>
  <si>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</si>
  <si>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</si>
  <si>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</si>
  <si>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</si>
  <si>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</si>
  <si>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</si>
  <si>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</si>
  <si>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</si>
  <si>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</si>
  <si>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</si>
  <si>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</si>
  <si>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</si>
  <si>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</si>
  <si>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</si>
  <si>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</si>
  <si>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</si>
  <si>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</si>
  <si>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MTC-0776</t>
  </si>
  <si>
    <t>Ravi Ram  Mahto</t>
  </si>
  <si>
    <t>Kolkata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</si>
  <si>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</si>
  <si>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</si>
  <si>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</si>
  <si>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</si>
  <si>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</si>
  <si>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</si>
  <si>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</si>
  <si>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</si>
  <si>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</si>
  <si>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</si>
  <si>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MTC-0916</t>
  </si>
  <si>
    <t>Rabindra Nath  Dutta</t>
  </si>
  <si>
    <t>77</t>
  </si>
  <si>
    <t>78</t>
  </si>
  <si>
    <t>MTC-0933</t>
  </si>
  <si>
    <t>Nityananda  Mondal</t>
  </si>
  <si>
    <t>79</t>
  </si>
  <si>
    <t>80</t>
  </si>
  <si>
    <t>81</t>
  </si>
  <si>
    <t>Subramanyam  V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</si>
  <si>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</si>
  <si>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</si>
  <si>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</si>
  <si>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</si>
  <si>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</si>
  <si>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</si>
  <si>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</si>
  <si>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</si>
  <si>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</si>
  <si>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</si>
  <si>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MTC-1040</t>
  </si>
  <si>
    <t>Prakash  Patra</t>
  </si>
  <si>
    <t>92</t>
  </si>
  <si>
    <t>93</t>
  </si>
  <si>
    <t>94</t>
  </si>
  <si>
    <t>MTC-1059</t>
  </si>
  <si>
    <t>95</t>
  </si>
  <si>
    <t>96</t>
  </si>
  <si>
    <t>97</t>
  </si>
  <si>
    <t>MTC-1082</t>
  </si>
  <si>
    <t>Sadananda  Chakraborty</t>
  </si>
  <si>
    <t>98</t>
  </si>
  <si>
    <t>MTC-1090</t>
  </si>
  <si>
    <t>Rajkishore  Biswas</t>
  </si>
  <si>
    <t>99</t>
  </si>
  <si>
    <t>100</t>
  </si>
  <si>
    <t>MTC-1098</t>
  </si>
  <si>
    <t>Puranta  Bhandari</t>
  </si>
  <si>
    <t>101</t>
  </si>
  <si>
    <t>MTC-1099</t>
  </si>
  <si>
    <t>Subhra  De</t>
  </si>
  <si>
    <t>102</t>
  </si>
  <si>
    <t>103</t>
  </si>
  <si>
    <t>MTC-1114</t>
  </si>
  <si>
    <t>Madan  Rana</t>
  </si>
  <si>
    <t>104</t>
  </si>
  <si>
    <t>105</t>
  </si>
  <si>
    <t>MTC-1130</t>
  </si>
  <si>
    <t>Sudipta  Sarkar</t>
  </si>
  <si>
    <t>106</t>
  </si>
  <si>
    <t>107</t>
  </si>
  <si>
    <t>108</t>
  </si>
  <si>
    <t>MTC-1139</t>
  </si>
  <si>
    <t>Anupam  Dutta</t>
  </si>
  <si>
    <t>109</t>
  </si>
  <si>
    <t>110</t>
  </si>
  <si>
    <t>111</t>
  </si>
  <si>
    <t>MTC-1157</t>
  </si>
  <si>
    <t>Biswajit  Mishra</t>
  </si>
  <si>
    <t>112</t>
  </si>
  <si>
    <t>113</t>
  </si>
  <si>
    <t>MTC-1170</t>
  </si>
  <si>
    <t>Buddheswar  Mahato</t>
  </si>
  <si>
    <t>114</t>
  </si>
  <si>
    <t>115</t>
  </si>
  <si>
    <t>116</t>
  </si>
  <si>
    <t>MTC-1194</t>
  </si>
  <si>
    <t>Rama Prasad  Sengupta</t>
  </si>
  <si>
    <t>117</t>
  </si>
  <si>
    <t>118</t>
  </si>
  <si>
    <t>119</t>
  </si>
  <si>
    <t>120</t>
  </si>
  <si>
    <t>121</t>
  </si>
  <si>
    <t>MTC-1223</t>
  </si>
  <si>
    <t>Raju  Sharma</t>
  </si>
  <si>
    <t>122</t>
  </si>
  <si>
    <t>MTC-1226</t>
  </si>
  <si>
    <t>Indrajit  Paul</t>
  </si>
  <si>
    <t>123</t>
  </si>
  <si>
    <t>124</t>
  </si>
  <si>
    <t>MTC-1242</t>
  </si>
  <si>
    <t>Manab  Mukherjee</t>
  </si>
  <si>
    <t>125</t>
  </si>
  <si>
    <t>126</t>
  </si>
  <si>
    <t>MTC-1250</t>
  </si>
  <si>
    <t>Subrata  Mahapatra</t>
  </si>
  <si>
    <t>127</t>
  </si>
  <si>
    <t>128</t>
  </si>
  <si>
    <t>129</t>
  </si>
  <si>
    <t>130</t>
  </si>
  <si>
    <t>MTC-1263</t>
  </si>
  <si>
    <t>Soumya  Mukherjee</t>
  </si>
  <si>
    <t>131</t>
  </si>
  <si>
    <t>132</t>
  </si>
  <si>
    <t>MTC-1272</t>
  </si>
  <si>
    <t>Basu Deb  Banerjee</t>
  </si>
  <si>
    <t>133</t>
  </si>
  <si>
    <t>134</t>
  </si>
  <si>
    <t>135</t>
  </si>
  <si>
    <t>136</t>
  </si>
  <si>
    <t>137</t>
  </si>
  <si>
    <t>138</t>
  </si>
  <si>
    <t>139</t>
  </si>
  <si>
    <t>MTC-1305</t>
  </si>
  <si>
    <t>Goutam Kumar  Mitra</t>
  </si>
  <si>
    <t>140</t>
  </si>
  <si>
    <t>141</t>
  </si>
  <si>
    <t>MTC-1327</t>
  </si>
  <si>
    <t>Swarupananda  Mukhopadhyay</t>
  </si>
  <si>
    <t>142</t>
  </si>
  <si>
    <t>MTC-1340</t>
  </si>
  <si>
    <t>Kaushik  Mukherjee</t>
  </si>
  <si>
    <t>143</t>
  </si>
  <si>
    <t>MTC-1352</t>
  </si>
  <si>
    <t>144</t>
  </si>
  <si>
    <t>145</t>
  </si>
  <si>
    <t>MTC-1371</t>
  </si>
  <si>
    <t>Suvendu  Satpati</t>
  </si>
  <si>
    <t>146</t>
  </si>
  <si>
    <t>147</t>
  </si>
  <si>
    <t>148</t>
  </si>
  <si>
    <t>149</t>
  </si>
  <si>
    <t>150</t>
  </si>
  <si>
    <t>151</t>
  </si>
  <si>
    <t>Ravinathan  V</t>
  </si>
  <si>
    <t>152</t>
  </si>
  <si>
    <t>MTC-1419</t>
  </si>
  <si>
    <t>Arijit  Bhattacharjee</t>
  </si>
  <si>
    <t>153</t>
  </si>
  <si>
    <t>154</t>
  </si>
  <si>
    <t>155</t>
  </si>
  <si>
    <t>MTC-1437</t>
  </si>
  <si>
    <t>Tarapada  Pan</t>
  </si>
  <si>
    <t>156</t>
  </si>
  <si>
    <t>157</t>
  </si>
  <si>
    <t>158</t>
  </si>
  <si>
    <t>159</t>
  </si>
  <si>
    <t>160</t>
  </si>
  <si>
    <t>MTC-1458</t>
  </si>
  <si>
    <t>Rabindra Nath  Gangopadhyay</t>
  </si>
  <si>
    <t>161</t>
  </si>
  <si>
    <t>162</t>
  </si>
  <si>
    <t>MTC-1465</t>
  </si>
  <si>
    <t>Koushik  Bhattacharya</t>
  </si>
  <si>
    <t>163</t>
  </si>
  <si>
    <t>MTC-1489</t>
  </si>
  <si>
    <t>Subhash  Banerjee</t>
  </si>
  <si>
    <t>164</t>
  </si>
  <si>
    <t>MTC-1516</t>
  </si>
  <si>
    <t>Santanu  Pal</t>
  </si>
  <si>
    <t>165</t>
  </si>
  <si>
    <t>MTC-1518</t>
  </si>
  <si>
    <t>Atanu Das  Gupta</t>
  </si>
  <si>
    <t>166</t>
  </si>
  <si>
    <t>167</t>
  </si>
  <si>
    <t>MTC-1527</t>
  </si>
  <si>
    <t>Anjan  Sarkar</t>
  </si>
  <si>
    <t>168</t>
  </si>
  <si>
    <t>MTC-1529</t>
  </si>
  <si>
    <t>Bikash Chandra  Mondal</t>
  </si>
  <si>
    <t>169</t>
  </si>
  <si>
    <t>170</t>
  </si>
  <si>
    <t>MTC-1535</t>
  </si>
  <si>
    <t>Jadunandan  Bhunia</t>
  </si>
  <si>
    <t>171</t>
  </si>
  <si>
    <t>MTC-1549</t>
  </si>
  <si>
    <t>Manoj Kumar  Mishra</t>
  </si>
  <si>
    <t>172</t>
  </si>
  <si>
    <t>MTC-1556</t>
  </si>
  <si>
    <t>Suman  Burman</t>
  </si>
  <si>
    <t>173</t>
  </si>
  <si>
    <t>MTC-1559</t>
  </si>
  <si>
    <t>Sukumar Roy  Chowdhury</t>
  </si>
  <si>
    <t>174</t>
  </si>
  <si>
    <t>MTC-1562</t>
  </si>
  <si>
    <t>Biswajit  Chowdhury</t>
  </si>
  <si>
    <t>175</t>
  </si>
  <si>
    <t>MTC-1575</t>
  </si>
  <si>
    <t>Tapan Kumar Biswal</t>
  </si>
  <si>
    <t>176</t>
  </si>
  <si>
    <t>177</t>
  </si>
  <si>
    <t>MTC-1581</t>
  </si>
  <si>
    <t>Ajit Kumar  Nag</t>
  </si>
  <si>
    <t>178</t>
  </si>
  <si>
    <t>MTC-1586</t>
  </si>
  <si>
    <t>179</t>
  </si>
  <si>
    <t>MTC-1587</t>
  </si>
  <si>
    <t>Amit  Sarkar</t>
  </si>
  <si>
    <t>MTC-1603</t>
  </si>
  <si>
    <t>Tanmoy  Chattopadhyay</t>
  </si>
  <si>
    <t>MTC-1604</t>
  </si>
  <si>
    <t>Molay Kumar  Naskar</t>
  </si>
  <si>
    <t>MTC-1611</t>
  </si>
  <si>
    <t>Subrata  Sarkar</t>
  </si>
  <si>
    <t>MTC-1619</t>
  </si>
  <si>
    <t>MTC-1633</t>
  </si>
  <si>
    <t>Arabinda  Karmakar</t>
  </si>
  <si>
    <t>MTC-1634</t>
  </si>
  <si>
    <t>Dipendu  Karmakar</t>
  </si>
  <si>
    <t>MTC-1638</t>
  </si>
  <si>
    <t>Ashis Kumar  Sen</t>
  </si>
  <si>
    <t>MTC-1649</t>
  </si>
  <si>
    <t>Prasenjit  Chakraborty</t>
  </si>
  <si>
    <t>Divakaran  P</t>
  </si>
  <si>
    <t>MTC-1664</t>
  </si>
  <si>
    <t>Bhaskar  Chakrabortty</t>
  </si>
  <si>
    <t>MTC-1686</t>
  </si>
  <si>
    <t>Roshan Kumar  Singh</t>
  </si>
  <si>
    <t>MTC-1699</t>
  </si>
  <si>
    <t>Shyamal Kumar  Chatterjee</t>
  </si>
  <si>
    <t>MTC-1700</t>
  </si>
  <si>
    <t>MTC-1707</t>
  </si>
  <si>
    <t>Tusar  Biswas</t>
  </si>
  <si>
    <t>MTC-1764</t>
  </si>
  <si>
    <t>Sunanda Kumar  Maiti</t>
  </si>
  <si>
    <t>MTC-1781</t>
  </si>
  <si>
    <t>MTC-1791</t>
  </si>
  <si>
    <t>Ranjeet Kumar  Singh</t>
  </si>
  <si>
    <t>MTC-1795</t>
  </si>
  <si>
    <t>Anis  Chattopadhyay</t>
  </si>
  <si>
    <t>MTC-1803</t>
  </si>
  <si>
    <t>MTC-1815</t>
  </si>
  <si>
    <t>Santanu  Chakrabartty</t>
  </si>
  <si>
    <t>MTC-1838</t>
  </si>
  <si>
    <t>Narottom  Biswas</t>
  </si>
  <si>
    <t>MTC-1863</t>
  </si>
  <si>
    <t>Avijit  Dutta</t>
  </si>
  <si>
    <t>MTC-1864</t>
  </si>
  <si>
    <t>Chanchal  Mondal</t>
  </si>
  <si>
    <t>MTC-1884</t>
  </si>
  <si>
    <t>Mahadeb  Karar</t>
  </si>
  <si>
    <t>MTC-1906</t>
  </si>
  <si>
    <t>Gopinath  Ghosh</t>
  </si>
  <si>
    <t>MTC-1934</t>
  </si>
  <si>
    <t>Rajesh Kumar  Jha</t>
  </si>
  <si>
    <t>MTC-1940</t>
  </si>
  <si>
    <t>Ashish Kumar  Nag</t>
  </si>
  <si>
    <t>MTC-1941</t>
  </si>
  <si>
    <t>Sib Sankar Debnath</t>
  </si>
  <si>
    <t>MTC-1947</t>
  </si>
  <si>
    <t>Biswajit  Sardar</t>
  </si>
  <si>
    <t>MTC-1953</t>
  </si>
  <si>
    <t>Sukanta  Mondal</t>
  </si>
  <si>
    <t>MTC-1995</t>
  </si>
  <si>
    <t>Sudip  Paik</t>
  </si>
  <si>
    <t>MTC-2021</t>
  </si>
  <si>
    <t>Shyam Sundar Saha</t>
  </si>
  <si>
    <t>MTC-2028</t>
  </si>
  <si>
    <t>Sanjib  Mallick</t>
  </si>
  <si>
    <t>MTC-2047</t>
  </si>
  <si>
    <t>Saumya  Lahiri</t>
  </si>
  <si>
    <t>MTC-2156</t>
  </si>
  <si>
    <t>Debiprasad  Biswas</t>
  </si>
  <si>
    <t>MTC-2159</t>
  </si>
  <si>
    <t>Bablu  Maiti</t>
  </si>
  <si>
    <t>MTC-2187</t>
  </si>
  <si>
    <t>Ashoke  Dutta</t>
  </si>
  <si>
    <t>MTC-2229</t>
  </si>
  <si>
    <t>Bandhudas  Maiti</t>
  </si>
  <si>
    <t>MTC-2236</t>
  </si>
  <si>
    <t>Sudipta  Adak</t>
  </si>
  <si>
    <t>MTC-2242</t>
  </si>
  <si>
    <t>Ranjith  Pramanik</t>
  </si>
  <si>
    <t>MTC-2253</t>
  </si>
  <si>
    <t>Ashok Kumar Mishra</t>
  </si>
  <si>
    <t>MTC-2255</t>
  </si>
  <si>
    <t>Manab  Ghosh</t>
  </si>
  <si>
    <t>MTC-2257</t>
  </si>
  <si>
    <t>Bibhuti Bhusan  Panigrahi</t>
  </si>
  <si>
    <t>MTC-2277</t>
  </si>
  <si>
    <t>Ujjal  Koley</t>
  </si>
  <si>
    <t>MTC-2305</t>
  </si>
  <si>
    <t>Neeta  Ganguly</t>
  </si>
  <si>
    <t>MTC-2307</t>
  </si>
  <si>
    <t>Chinmoy  Acharya</t>
  </si>
  <si>
    <t>MTC-2311</t>
  </si>
  <si>
    <t>Uttam Roy  Chowdhury</t>
  </si>
  <si>
    <t>MTC-2350</t>
  </si>
  <si>
    <t>Anjan  Dey</t>
  </si>
  <si>
    <t>MTC-2359</t>
  </si>
  <si>
    <t>Biswajit  Mondal</t>
  </si>
  <si>
    <t>MTC-2360</t>
  </si>
  <si>
    <t>Arun  Pramanik</t>
  </si>
  <si>
    <t>MTC-2370</t>
  </si>
  <si>
    <t>Soumyajit  Majumder</t>
  </si>
  <si>
    <t>MTC-2374</t>
  </si>
  <si>
    <t>Soma  Das</t>
  </si>
  <si>
    <t>MTC-2398</t>
  </si>
  <si>
    <t>Bijoy  Banerjee</t>
  </si>
  <si>
    <t>MTC-2402</t>
  </si>
  <si>
    <t>Arindrajit  Ganguly</t>
  </si>
  <si>
    <t>MTC-2410</t>
  </si>
  <si>
    <t>Soumen  Das</t>
  </si>
  <si>
    <t>MTC-2417</t>
  </si>
  <si>
    <t>Krishnendu  Sardar</t>
  </si>
  <si>
    <t>MTC-2419</t>
  </si>
  <si>
    <t>Sanjay  Shasmal</t>
  </si>
  <si>
    <t>MTC-2421</t>
  </si>
  <si>
    <t>Basudeb Chandra Sarkar</t>
  </si>
  <si>
    <t>MTC-2450</t>
  </si>
  <si>
    <t>Subhendu  Sekhar Paul</t>
  </si>
  <si>
    <t>MTC-2454</t>
  </si>
  <si>
    <t>Bijoy  Chakraborty</t>
  </si>
  <si>
    <t>MTC-2468</t>
  </si>
  <si>
    <t>Mithun  Sardar</t>
  </si>
  <si>
    <t>MTC-2485</t>
  </si>
  <si>
    <t>Chandan  Bhaumik</t>
  </si>
  <si>
    <t>MTC-2488</t>
  </si>
  <si>
    <t>Sanjoy  Das</t>
  </si>
  <si>
    <t>MTC-2489</t>
  </si>
  <si>
    <t>Jay  Jana</t>
  </si>
  <si>
    <t>MTC-2510</t>
  </si>
  <si>
    <t>Ananda  Kundu</t>
  </si>
  <si>
    <t>MTC-2517</t>
  </si>
  <si>
    <t>Subrata  Das</t>
  </si>
  <si>
    <t>MTC-2518</t>
  </si>
  <si>
    <t>Deepak  Mondal</t>
  </si>
  <si>
    <t>MTC-2535</t>
  </si>
  <si>
    <t>Samir  Jana</t>
  </si>
  <si>
    <t>MTC-2538</t>
  </si>
  <si>
    <t>Jiten  Shit</t>
  </si>
  <si>
    <t>MTC-2570</t>
  </si>
  <si>
    <t>Sahadev  Barman</t>
  </si>
  <si>
    <t>MTC-2571</t>
  </si>
  <si>
    <t>Ranajit  Banerjee</t>
  </si>
  <si>
    <t>MTC-2597</t>
  </si>
  <si>
    <t>Probirlal  Manna</t>
  </si>
  <si>
    <t>MTC-2605</t>
  </si>
  <si>
    <t>Samar  Sardar</t>
  </si>
  <si>
    <t>MTC-2637</t>
  </si>
  <si>
    <t>Rajib Roy Chowdhury</t>
  </si>
  <si>
    <t>MTC-2657</t>
  </si>
  <si>
    <t>Shambhunath  Mukherjee</t>
  </si>
  <si>
    <t>MTC-2667</t>
  </si>
  <si>
    <t>Mohijit  Pramanik</t>
  </si>
  <si>
    <t>MTC-2687</t>
  </si>
  <si>
    <t>Subhas  Santra</t>
  </si>
  <si>
    <t>MTC-2690</t>
  </si>
  <si>
    <t>Subhashis  Das</t>
  </si>
  <si>
    <t>MTC-2692</t>
  </si>
  <si>
    <t>Mrinmoy  Maiti</t>
  </si>
  <si>
    <t>MTC-2702</t>
  </si>
  <si>
    <t>Dhruba  Jyoti Banerjee</t>
  </si>
  <si>
    <t>MTC-2708</t>
  </si>
  <si>
    <t>Dipak Kumar Mishra</t>
  </si>
  <si>
    <t>MTC-2731</t>
  </si>
  <si>
    <t>Pulak Roy Choudhuri</t>
  </si>
  <si>
    <t>MTC-2772</t>
  </si>
  <si>
    <t>Avijit  Maity</t>
  </si>
  <si>
    <t>MTC-2776</t>
  </si>
  <si>
    <t>Answar  Ali Mondal</t>
  </si>
  <si>
    <t>MTC-2795</t>
  </si>
  <si>
    <t>Sanjay  Sarkar</t>
  </si>
  <si>
    <t>MTC-2796</t>
  </si>
  <si>
    <t>Pranab  Ghosh</t>
  </si>
  <si>
    <t>MTC-2808</t>
  </si>
  <si>
    <t>Arijit  Chowdhury</t>
  </si>
  <si>
    <t>MTC-2811</t>
  </si>
  <si>
    <t>Joydeep  Datta</t>
  </si>
  <si>
    <t>MTC-2823</t>
  </si>
  <si>
    <t>Mithu  Saha</t>
  </si>
  <si>
    <t>MTC-2825</t>
  </si>
  <si>
    <t>Ansu Pratim De</t>
  </si>
  <si>
    <t>MTC-2842</t>
  </si>
  <si>
    <t>Debasis  Kayal</t>
  </si>
  <si>
    <t>MTC-2857</t>
  </si>
  <si>
    <t>Santanu  Bhowmik</t>
  </si>
  <si>
    <t>MTC-2862</t>
  </si>
  <si>
    <t>Mohan Lal Ghritlahare</t>
  </si>
  <si>
    <t>MTC-2869</t>
  </si>
  <si>
    <t>Surojit  Ghosh</t>
  </si>
  <si>
    <t>MTC-2870</t>
  </si>
  <si>
    <t>Satirtha  Roy</t>
  </si>
  <si>
    <t>MTC-2892</t>
  </si>
  <si>
    <t>Phool Kumar Biswas</t>
  </si>
  <si>
    <t>MTC-2894</t>
  </si>
  <si>
    <t>Ajoy Kumar Dey</t>
  </si>
  <si>
    <t>MTC-2896</t>
  </si>
  <si>
    <t>Dinesh  Sengupta</t>
  </si>
  <si>
    <t>MTC-2897</t>
  </si>
  <si>
    <t>Chandan  Pramanik</t>
  </si>
  <si>
    <t>MTC-2898</t>
  </si>
  <si>
    <t>Kanchan  Sahoo</t>
  </si>
  <si>
    <t>MTC-2899</t>
  </si>
  <si>
    <t>Sanjay  Banerjee</t>
  </si>
  <si>
    <t>MTC-2900</t>
  </si>
  <si>
    <t>Manoj Kumar Kar</t>
  </si>
  <si>
    <t>MTC-2901</t>
  </si>
  <si>
    <t>Mithilesh  Sharma</t>
  </si>
  <si>
    <t>MTC-2902</t>
  </si>
  <si>
    <t>Provash  Ghosh</t>
  </si>
  <si>
    <t>MTC-2903</t>
  </si>
  <si>
    <t>Subhrajit  Halder</t>
  </si>
  <si>
    <t>MTC-2906</t>
  </si>
  <si>
    <t>Soumen  Bhowmick</t>
  </si>
  <si>
    <t>MTC-2909</t>
  </si>
  <si>
    <t>Ranajit  Adhikari</t>
  </si>
  <si>
    <t>MTC-2915</t>
  </si>
  <si>
    <t>Kanchan  Bhattacharya</t>
  </si>
  <si>
    <t>MTC-2917</t>
  </si>
  <si>
    <t>Subhajit  Nath</t>
  </si>
  <si>
    <t>MTC-2919</t>
  </si>
  <si>
    <t>Ratan  Basak</t>
  </si>
  <si>
    <t>MTC-2924</t>
  </si>
  <si>
    <t>Sanjay  Ghosh</t>
  </si>
  <si>
    <t>MTC-2989</t>
  </si>
  <si>
    <t>Kaushik  Laha</t>
  </si>
  <si>
    <t>MTC-3005</t>
  </si>
  <si>
    <t>Probir  Mullick</t>
  </si>
  <si>
    <t>MTC-3021</t>
  </si>
  <si>
    <t>Nandita  Roy</t>
  </si>
  <si>
    <t>MTC-3025</t>
  </si>
  <si>
    <t>Sumanta  Dutta</t>
  </si>
  <si>
    <t>MTC-3042</t>
  </si>
  <si>
    <t>Avijit  Dhibar</t>
  </si>
  <si>
    <t>MTC-3051</t>
  </si>
  <si>
    <t>Biprajit  Banerjee</t>
  </si>
  <si>
    <t>MTC-3054</t>
  </si>
  <si>
    <t>Shyama Pada Dey</t>
  </si>
  <si>
    <t>MTC-3057</t>
  </si>
  <si>
    <t>Sekhar  Bhattacharya</t>
  </si>
  <si>
    <t>MTC-3074</t>
  </si>
  <si>
    <t>Atish  Kumar</t>
  </si>
  <si>
    <t>MTC-3078</t>
  </si>
  <si>
    <t>Sankha  Chakraborty</t>
  </si>
  <si>
    <t>MTC-3099</t>
  </si>
  <si>
    <t>Tapan  Jana</t>
  </si>
  <si>
    <t>MTC-3101</t>
  </si>
  <si>
    <t>Shiv Kumar Singh</t>
  </si>
  <si>
    <t>MTC-3106</t>
  </si>
  <si>
    <t>Sharmistha  Mallick</t>
  </si>
  <si>
    <t>MTC-3107</t>
  </si>
  <si>
    <t>Shankar  Dutta</t>
  </si>
  <si>
    <t>MTC-3108</t>
  </si>
  <si>
    <t>Sukdeb  Mondal</t>
  </si>
  <si>
    <t>MTC-3109</t>
  </si>
  <si>
    <t>Anit  Som</t>
  </si>
  <si>
    <t>MTC-3110</t>
  </si>
  <si>
    <t>Sanjoy  Sarkar</t>
  </si>
  <si>
    <t>MTC-3135</t>
  </si>
  <si>
    <t>Jayanta  Chakraborty</t>
  </si>
  <si>
    <t>MTC-3136</t>
  </si>
  <si>
    <t>Deep Sankar Sengupta</t>
  </si>
  <si>
    <t>MTC-3137</t>
  </si>
  <si>
    <t>Jayanta  Halder</t>
  </si>
  <si>
    <t>MTC-3146</t>
  </si>
  <si>
    <t>Sanjoy  Bhattacharya</t>
  </si>
  <si>
    <t>MTC-3147</t>
  </si>
  <si>
    <t>Bikash Chandra Maity</t>
  </si>
  <si>
    <t>MTC-3165</t>
  </si>
  <si>
    <t>Sibendu  Dutta</t>
  </si>
  <si>
    <t>MTC-3166</t>
  </si>
  <si>
    <t>Mukul  Mondal</t>
  </si>
  <si>
    <t>MTC-3197</t>
  </si>
  <si>
    <t>Ripan Hira</t>
  </si>
  <si>
    <t>State</t>
  </si>
  <si>
    <t>West Bengal</t>
  </si>
  <si>
    <t>Grand Total</t>
  </si>
  <si>
    <t>PT Statement for the month of January 2019</t>
  </si>
  <si>
    <t>Salary Range</t>
  </si>
  <si>
    <t>PT</t>
  </si>
  <si>
    <t>No. of Emp</t>
  </si>
  <si>
    <t>PT Amount</t>
  </si>
  <si>
    <t>Up to Rs.10000</t>
  </si>
  <si>
    <t>10001 to 15000</t>
  </si>
  <si>
    <t>15001 to 25000</t>
  </si>
  <si>
    <t>25001 to 40000</t>
  </si>
  <si>
    <t>Above Rs.40001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</si>
</sst>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Palatino Linotype"/>
      <family val="1"/>
    </font>
    <font>
      <sz val="10"/>
      <name val="Palatino Linotype"/>
      <family val="1"/>
    </font>
    <font>
      <sz val="11"/>
      <color indexed="8"/>
      <name val="Calibri"/>
      <family val="2"/>
    </font>
    <font>
      <b/>
      <sz val="20"/>
      <name val="Palatino Linotype"/>
      <family val="1"/>
    </font>
    <font>
      <b/>
      <sz val="10.5"/>
      <name val="Palatino Linotype"/>
      <family val="1"/>
    </font>
    <font>
      <sz val="8"/>
      <name val="Arial"/>
      <family val="2"/>
    </font>
    <font>
      <b/>
      <sz val="1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NumberFormat="1" applyFont="1" applyFill="1" applyBorder="1" applyAlignment="1">
      <alignment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4" fontId="7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2" borderId="1" xfId="0" quotePrefix="1" applyNumberFormat="1" applyFont="1" applyFill="1" applyBorder="1" applyAlignment="1">
      <alignment vertical="center"/>
    </xf>
    <xf numFmtId="4" fontId="9" fillId="2" borderId="1" xfId="0" applyNumberFormat="1" applyFont="1" applyFill="1" applyBorder="1" applyAlignment="1">
      <alignment horizontal="right" vertical="center"/>
    </xf>
    <xf numFmtId="0" fontId="9" fillId="2" borderId="2" xfId="0" quotePrefix="1" applyNumberFormat="1" applyFont="1" applyFill="1" applyBorder="1" applyAlignment="1">
      <alignment horizontal="center" vertical="center"/>
    </xf>
    <xf numFmtId="0" fontId="9" fillId="2" borderId="4" xfId="0" quotePrefix="1" applyNumberFormat="1" applyFont="1" applyFill="1" applyBorder="1" applyAlignment="1">
      <alignment horizontal="center" vertical="center"/>
    </xf>
    <xf numFmtId="0" fontId="9" fillId="2" borderId="1" xfId="0" quotePrefix="1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0" fontId="7" fillId="2" borderId="2" xfId="0" quotePrefix="1" applyNumberFormat="1" applyFont="1" applyFill="1" applyBorder="1" applyAlignment="1">
      <alignment horizontal="center" vertical="center"/>
    </xf>
    <xf numFmtId="0" fontId="7" fillId="2" borderId="3" xfId="0" quotePrefix="1" applyNumberFormat="1" applyFont="1" applyFill="1" applyBorder="1" applyAlignment="1">
      <alignment horizontal="center" vertical="center"/>
    </xf>
    <xf numFmtId="0" fontId="7" fillId="2" borderId="4" xfId="0" quotePrefix="1" applyNumberFormat="1" applyFont="1" applyFill="1" applyBorder="1" applyAlignment="1">
      <alignment horizontal="center" vertical="center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G191"/>
  <sheetViews>
    <sheetView tabSelected="1" topLeftCell="A179" workbookViewId="0">
      <selection activeCell="F191" sqref="F191"/>
    </sheetView>
  </sheetViews>
  <sheetFormatPr defaultRowHeight="15" x14ac:dyDescent="0.2"/>
  <cols>
    <col min="1" max="1" width="7.85546875" style="7" customWidth="1"/>
    <col min="2" max="2" width="13.140625" style="7" customWidth="1"/>
    <col min="3" max="3" width="29.42578125" style="3" bestFit="1" customWidth="1"/>
    <col min="4" max="4" width="14.28515625" style="3" bestFit="1" customWidth="1"/>
    <col min="5" max="5" width="11.5703125" style="3" bestFit="1" customWidth="1"/>
    <col min="6" max="6" width="15.7109375" style="3" customWidth="1"/>
    <col min="7" max="7" width="13.140625" style="3" customWidth="1"/>
    <col min="8" max="16384" width="9.140625" style="3"/>
  </cols>
  <sheetData>
    <row r="1" spans="1:7" ht="28.5" customHeight="1" x14ac:dyDescent="0.2">
      <c r="A1" s="10" t="s">
        <v>543</v>
      </c>
      <c r="B1" s="11"/>
      <c r="C1" s="11"/>
      <c r="D1" s="11"/>
      <c r="E1" s="11"/>
      <c r="F1" s="11"/>
      <c r="G1" s="12"/>
    </row>
    <row r="2" spans="1:7" s="2" customFormat="1" ht="3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540</v>
      </c>
      <c r="F2" s="1" t="s">
        <v>4</v>
      </c>
      <c r="G2" s="1" t="s">
        <v>5</v>
      </c>
    </row>
    <row r="3" spans="1:7" ht="18" customHeight="1" x14ac:dyDescent="0.2">
      <c r="A3" s="4" t="s">
        <v>6</v>
      </c>
      <c r="B3" s="4" t="s">
        <v>72</v>
      </c>
      <c r="C3" s="5" t="s">
        <v>73</v>
      </c>
      <c r="D3" s="5" t="s">
        <v>74</v>
      </c>
      <c r="E3" s="5" t="s">
        <v>541</v>
      </c>
      <c r="F3" s="6">
        <v>25180</v>
      </c>
      <c r="G3" s="6">
        <f>IF(F3&lt;10001,0,IF(F3&lt;15001,110,IF(F3&lt;25001,130,IF(F3&lt;40001,150,200))))</f>
        <v>150</v>
      </c>
    </row>
    <row r="4" spans="1:7" ht="18" customHeight="1" x14ac:dyDescent="0.2">
      <c r="A4" s="4" t="s">
        <v>7</v>
      </c>
      <c r="B4" s="4" t="s">
        <v>85</v>
      </c>
      <c r="C4" s="5" t="s">
        <v>86</v>
      </c>
      <c r="D4" s="5" t="s">
        <v>74</v>
      </c>
      <c r="E4" s="5" t="s">
        <v>541</v>
      </c>
      <c r="F4" s="6">
        <v>20580</v>
      </c>
      <c r="G4" s="6">
        <f t="shared" ref="G4:G67" si="0">IF(F4&lt;10001,0,IF(F4&lt;15001,110,IF(F4&lt;25001,130,IF(F4&lt;40001,150,200))))</f>
        <v>130</v>
      </c>
    </row>
    <row r="5" spans="1:7" ht="18" customHeight="1" x14ac:dyDescent="0.2">
      <c r="A5" s="4" t="s">
        <v>8</v>
      </c>
      <c r="B5" s="4" t="s">
        <v>89</v>
      </c>
      <c r="C5" s="5" t="s">
        <v>90</v>
      </c>
      <c r="D5" s="5" t="s">
        <v>74</v>
      </c>
      <c r="E5" s="5" t="s">
        <v>541</v>
      </c>
      <c r="F5" s="6">
        <v>48314</v>
      </c>
      <c r="G5" s="6">
        <f t="shared" si="0"/>
        <v>200</v>
      </c>
    </row>
    <row r="6" spans="1:7" ht="18" customHeight="1" x14ac:dyDescent="0.2">
      <c r="A6" s="4" t="s">
        <v>9</v>
      </c>
      <c r="B6" s="4" t="s">
        <v>105</v>
      </c>
      <c r="C6" s="5" t="s">
        <v>106</v>
      </c>
      <c r="D6" s="5" t="s">
        <v>74</v>
      </c>
      <c r="E6" s="5" t="s">
        <v>541</v>
      </c>
      <c r="F6" s="6">
        <v>39200</v>
      </c>
      <c r="G6" s="6">
        <f t="shared" si="0"/>
        <v>150</v>
      </c>
    </row>
    <row r="7" spans="1:7" ht="18" customHeight="1" x14ac:dyDescent="0.2">
      <c r="A7" s="4" t="s">
        <v>10</v>
      </c>
      <c r="B7" s="4" t="s">
        <v>110</v>
      </c>
      <c r="C7" s="5" t="s">
        <v>94</v>
      </c>
      <c r="D7" s="5" t="s">
        <v>74</v>
      </c>
      <c r="E7" s="5" t="s">
        <v>541</v>
      </c>
      <c r="F7" s="6">
        <v>22240</v>
      </c>
      <c r="G7" s="6">
        <f t="shared" si="0"/>
        <v>130</v>
      </c>
    </row>
    <row r="8" spans="1:7" ht="18" customHeight="1" x14ac:dyDescent="0.2">
      <c r="A8" s="4" t="s">
        <v>11</v>
      </c>
      <c r="B8" s="4" t="s">
        <v>114</v>
      </c>
      <c r="C8" s="5" t="s">
        <v>115</v>
      </c>
      <c r="D8" s="5" t="s">
        <v>74</v>
      </c>
      <c r="E8" s="5" t="s">
        <v>541</v>
      </c>
      <c r="F8" s="6">
        <v>25840</v>
      </c>
      <c r="G8" s="6">
        <f t="shared" si="0"/>
        <v>150</v>
      </c>
    </row>
    <row r="9" spans="1:7" ht="18" customHeight="1" x14ac:dyDescent="0.2">
      <c r="A9" s="4" t="s">
        <v>12</v>
      </c>
      <c r="B9" s="4" t="s">
        <v>117</v>
      </c>
      <c r="C9" s="5" t="s">
        <v>118</v>
      </c>
      <c r="D9" s="5" t="s">
        <v>74</v>
      </c>
      <c r="E9" s="5" t="s">
        <v>541</v>
      </c>
      <c r="F9" s="6">
        <v>34300</v>
      </c>
      <c r="G9" s="6">
        <f t="shared" si="0"/>
        <v>150</v>
      </c>
    </row>
    <row r="10" spans="1:7" ht="18" customHeight="1" x14ac:dyDescent="0.2">
      <c r="A10" s="4" t="s">
        <v>13</v>
      </c>
      <c r="B10" s="4" t="s">
        <v>121</v>
      </c>
      <c r="C10" s="5" t="s">
        <v>122</v>
      </c>
      <c r="D10" s="5" t="s">
        <v>74</v>
      </c>
      <c r="E10" s="5" t="s">
        <v>541</v>
      </c>
      <c r="F10" s="6">
        <v>65317</v>
      </c>
      <c r="G10" s="6">
        <f t="shared" si="0"/>
        <v>200</v>
      </c>
    </row>
    <row r="11" spans="1:7" ht="18" customHeight="1" x14ac:dyDescent="0.2">
      <c r="A11" s="4" t="s">
        <v>14</v>
      </c>
      <c r="B11" s="4" t="s">
        <v>124</v>
      </c>
      <c r="C11" s="5" t="s">
        <v>125</v>
      </c>
      <c r="D11" s="5" t="s">
        <v>74</v>
      </c>
      <c r="E11" s="5" t="s">
        <v>541</v>
      </c>
      <c r="F11" s="6">
        <v>30625</v>
      </c>
      <c r="G11" s="6">
        <f t="shared" si="0"/>
        <v>150</v>
      </c>
    </row>
    <row r="12" spans="1:7" ht="18" customHeight="1" x14ac:dyDescent="0.2">
      <c r="A12" s="4" t="s">
        <v>15</v>
      </c>
      <c r="B12" s="4" t="s">
        <v>128</v>
      </c>
      <c r="C12" s="5" t="s">
        <v>129</v>
      </c>
      <c r="D12" s="5" t="s">
        <v>74</v>
      </c>
      <c r="E12" s="5" t="s">
        <v>541</v>
      </c>
      <c r="F12" s="6">
        <v>19374</v>
      </c>
      <c r="G12" s="6">
        <f t="shared" si="0"/>
        <v>130</v>
      </c>
    </row>
    <row r="13" spans="1:7" ht="18" customHeight="1" x14ac:dyDescent="0.2">
      <c r="A13" s="4" t="s">
        <v>16</v>
      </c>
      <c r="B13" s="4" t="s">
        <v>132</v>
      </c>
      <c r="C13" s="5" t="s">
        <v>133</v>
      </c>
      <c r="D13" s="5" t="s">
        <v>74</v>
      </c>
      <c r="E13" s="5" t="s">
        <v>541</v>
      </c>
      <c r="F13" s="6">
        <v>22980</v>
      </c>
      <c r="G13" s="6">
        <f t="shared" si="0"/>
        <v>130</v>
      </c>
    </row>
    <row r="14" spans="1:7" ht="18" customHeight="1" x14ac:dyDescent="0.2">
      <c r="A14" s="4" t="s">
        <v>17</v>
      </c>
      <c r="B14" s="4" t="s">
        <v>137</v>
      </c>
      <c r="C14" s="5" t="s">
        <v>138</v>
      </c>
      <c r="D14" s="5" t="s">
        <v>74</v>
      </c>
      <c r="E14" s="5" t="s">
        <v>541</v>
      </c>
      <c r="F14" s="6">
        <v>19500</v>
      </c>
      <c r="G14" s="6">
        <f t="shared" si="0"/>
        <v>130</v>
      </c>
    </row>
    <row r="15" spans="1:7" ht="18" customHeight="1" x14ac:dyDescent="0.2">
      <c r="A15" s="4" t="s">
        <v>18</v>
      </c>
      <c r="B15" s="4" t="s">
        <v>142</v>
      </c>
      <c r="C15" s="5" t="s">
        <v>143</v>
      </c>
      <c r="D15" s="5" t="s">
        <v>74</v>
      </c>
      <c r="E15" s="5" t="s">
        <v>541</v>
      </c>
      <c r="F15" s="6">
        <v>20625</v>
      </c>
      <c r="G15" s="6">
        <f t="shared" si="0"/>
        <v>130</v>
      </c>
    </row>
    <row r="16" spans="1:7" ht="18" customHeight="1" x14ac:dyDescent="0.2">
      <c r="A16" s="4" t="s">
        <v>19</v>
      </c>
      <c r="B16" s="4" t="s">
        <v>146</v>
      </c>
      <c r="C16" s="5" t="s">
        <v>147</v>
      </c>
      <c r="D16" s="5" t="s">
        <v>74</v>
      </c>
      <c r="E16" s="5" t="s">
        <v>541</v>
      </c>
      <c r="F16" s="6">
        <v>28000</v>
      </c>
      <c r="G16" s="6">
        <f t="shared" si="0"/>
        <v>150</v>
      </c>
    </row>
    <row r="17" spans="1:7" ht="18" customHeight="1" x14ac:dyDescent="0.2">
      <c r="A17" s="4" t="s">
        <v>20</v>
      </c>
      <c r="B17" s="4" t="s">
        <v>151</v>
      </c>
      <c r="C17" s="5" t="s">
        <v>152</v>
      </c>
      <c r="D17" s="5" t="s">
        <v>74</v>
      </c>
      <c r="E17" s="5" t="s">
        <v>541</v>
      </c>
      <c r="F17" s="6">
        <v>66640</v>
      </c>
      <c r="G17" s="6">
        <f t="shared" si="0"/>
        <v>200</v>
      </c>
    </row>
    <row r="18" spans="1:7" ht="18" customHeight="1" x14ac:dyDescent="0.2">
      <c r="A18" s="4" t="s">
        <v>21</v>
      </c>
      <c r="B18" s="4" t="s">
        <v>158</v>
      </c>
      <c r="C18" s="5" t="s">
        <v>159</v>
      </c>
      <c r="D18" s="5" t="s">
        <v>74</v>
      </c>
      <c r="E18" s="5" t="s">
        <v>541</v>
      </c>
      <c r="F18" s="6">
        <v>11800</v>
      </c>
      <c r="G18" s="6">
        <f t="shared" si="0"/>
        <v>110</v>
      </c>
    </row>
    <row r="19" spans="1:7" ht="18" customHeight="1" x14ac:dyDescent="0.2">
      <c r="A19" s="4" t="s">
        <v>22</v>
      </c>
      <c r="B19" s="4" t="s">
        <v>161</v>
      </c>
      <c r="C19" s="5" t="s">
        <v>162</v>
      </c>
      <c r="D19" s="5" t="s">
        <v>74</v>
      </c>
      <c r="E19" s="5" t="s">
        <v>541</v>
      </c>
      <c r="F19" s="6">
        <v>12740</v>
      </c>
      <c r="G19" s="6">
        <f t="shared" si="0"/>
        <v>110</v>
      </c>
    </row>
    <row r="20" spans="1:7" ht="18" customHeight="1" x14ac:dyDescent="0.2">
      <c r="A20" s="4" t="s">
        <v>23</v>
      </c>
      <c r="B20" s="4" t="s">
        <v>165</v>
      </c>
      <c r="C20" s="5" t="s">
        <v>166</v>
      </c>
      <c r="D20" s="5" t="s">
        <v>74</v>
      </c>
      <c r="E20" s="5" t="s">
        <v>541</v>
      </c>
      <c r="F20" s="6">
        <v>14990</v>
      </c>
      <c r="G20" s="6">
        <f t="shared" si="0"/>
        <v>110</v>
      </c>
    </row>
    <row r="21" spans="1:7" ht="18" customHeight="1" x14ac:dyDescent="0.2">
      <c r="A21" s="4" t="s">
        <v>24</v>
      </c>
      <c r="B21" s="4" t="s">
        <v>169</v>
      </c>
      <c r="C21" s="5" t="s">
        <v>170</v>
      </c>
      <c r="D21" s="5" t="s">
        <v>74</v>
      </c>
      <c r="E21" s="5" t="s">
        <v>541</v>
      </c>
      <c r="F21" s="6">
        <v>20874</v>
      </c>
      <c r="G21" s="6">
        <f t="shared" si="0"/>
        <v>130</v>
      </c>
    </row>
    <row r="22" spans="1:7" ht="18" customHeight="1" x14ac:dyDescent="0.2">
      <c r="A22" s="4" t="s">
        <v>25</v>
      </c>
      <c r="B22" s="4" t="s">
        <v>175</v>
      </c>
      <c r="C22" s="5" t="s">
        <v>176</v>
      </c>
      <c r="D22" s="5" t="s">
        <v>74</v>
      </c>
      <c r="E22" s="5" t="s">
        <v>541</v>
      </c>
      <c r="F22" s="6">
        <v>20380</v>
      </c>
      <c r="G22" s="6">
        <f t="shared" si="0"/>
        <v>130</v>
      </c>
    </row>
    <row r="23" spans="1:7" ht="18" customHeight="1" x14ac:dyDescent="0.2">
      <c r="A23" s="4" t="s">
        <v>26</v>
      </c>
      <c r="B23" s="4" t="s">
        <v>179</v>
      </c>
      <c r="C23" s="5" t="s">
        <v>180</v>
      </c>
      <c r="D23" s="5" t="s">
        <v>74</v>
      </c>
      <c r="E23" s="5" t="s">
        <v>541</v>
      </c>
      <c r="F23" s="6">
        <v>31654</v>
      </c>
      <c r="G23" s="6">
        <f t="shared" si="0"/>
        <v>150</v>
      </c>
    </row>
    <row r="24" spans="1:7" ht="18" customHeight="1" x14ac:dyDescent="0.2">
      <c r="A24" s="4" t="s">
        <v>27</v>
      </c>
      <c r="B24" s="4" t="s">
        <v>188</v>
      </c>
      <c r="C24" s="5" t="s">
        <v>189</v>
      </c>
      <c r="D24" s="5" t="s">
        <v>74</v>
      </c>
      <c r="E24" s="5" t="s">
        <v>541</v>
      </c>
      <c r="F24" s="6">
        <v>20360</v>
      </c>
      <c r="G24" s="6">
        <f t="shared" si="0"/>
        <v>130</v>
      </c>
    </row>
    <row r="25" spans="1:7" ht="18" customHeight="1" x14ac:dyDescent="0.2">
      <c r="A25" s="4" t="s">
        <v>28</v>
      </c>
      <c r="B25" s="4" t="s">
        <v>192</v>
      </c>
      <c r="C25" s="5" t="s">
        <v>193</v>
      </c>
      <c r="D25" s="5" t="s">
        <v>74</v>
      </c>
      <c r="E25" s="5" t="s">
        <v>541</v>
      </c>
      <c r="F25" s="6">
        <v>62720</v>
      </c>
      <c r="G25" s="6">
        <f t="shared" si="0"/>
        <v>200</v>
      </c>
    </row>
    <row r="26" spans="1:7" ht="18" customHeight="1" x14ac:dyDescent="0.2">
      <c r="A26" s="4" t="s">
        <v>29</v>
      </c>
      <c r="B26" s="4" t="s">
        <v>195</v>
      </c>
      <c r="C26" s="5" t="s">
        <v>196</v>
      </c>
      <c r="D26" s="5" t="s">
        <v>74</v>
      </c>
      <c r="E26" s="5" t="s">
        <v>541</v>
      </c>
      <c r="F26" s="6">
        <v>35450</v>
      </c>
      <c r="G26" s="6">
        <f t="shared" si="0"/>
        <v>150</v>
      </c>
    </row>
    <row r="27" spans="1:7" ht="18" customHeight="1" x14ac:dyDescent="0.2">
      <c r="A27" s="4" t="s">
        <v>30</v>
      </c>
      <c r="B27" s="4" t="s">
        <v>198</v>
      </c>
      <c r="C27" s="5" t="s">
        <v>166</v>
      </c>
      <c r="D27" s="5" t="s">
        <v>74</v>
      </c>
      <c r="E27" s="5" t="s">
        <v>541</v>
      </c>
      <c r="F27" s="6">
        <v>31360</v>
      </c>
      <c r="G27" s="6">
        <f t="shared" si="0"/>
        <v>150</v>
      </c>
    </row>
    <row r="28" spans="1:7" ht="18" customHeight="1" x14ac:dyDescent="0.2">
      <c r="A28" s="4" t="s">
        <v>31</v>
      </c>
      <c r="B28" s="4" t="s">
        <v>201</v>
      </c>
      <c r="C28" s="5" t="s">
        <v>202</v>
      </c>
      <c r="D28" s="5" t="s">
        <v>74</v>
      </c>
      <c r="E28" s="5" t="s">
        <v>541</v>
      </c>
      <c r="F28" s="6">
        <v>35182</v>
      </c>
      <c r="G28" s="6">
        <f t="shared" si="0"/>
        <v>150</v>
      </c>
    </row>
    <row r="29" spans="1:7" ht="18" customHeight="1" x14ac:dyDescent="0.2">
      <c r="A29" s="4" t="s">
        <v>32</v>
      </c>
      <c r="B29" s="4" t="s">
        <v>211</v>
      </c>
      <c r="C29" s="5" t="s">
        <v>212</v>
      </c>
      <c r="D29" s="5" t="s">
        <v>74</v>
      </c>
      <c r="E29" s="5" t="s">
        <v>541</v>
      </c>
      <c r="F29" s="6">
        <v>34300</v>
      </c>
      <c r="G29" s="6">
        <f t="shared" si="0"/>
        <v>150</v>
      </c>
    </row>
    <row r="30" spans="1:7" ht="18" customHeight="1" x14ac:dyDescent="0.2">
      <c r="A30" s="4" t="s">
        <v>33</v>
      </c>
      <c r="B30" s="4" t="s">
        <v>216</v>
      </c>
      <c r="C30" s="5" t="s">
        <v>217</v>
      </c>
      <c r="D30" s="5" t="s">
        <v>74</v>
      </c>
      <c r="E30" s="5" t="s">
        <v>541</v>
      </c>
      <c r="F30" s="6">
        <v>42140</v>
      </c>
      <c r="G30" s="6">
        <f t="shared" si="0"/>
        <v>200</v>
      </c>
    </row>
    <row r="31" spans="1:7" ht="18" customHeight="1" x14ac:dyDescent="0.2">
      <c r="A31" s="4" t="s">
        <v>34</v>
      </c>
      <c r="B31" s="4" t="s">
        <v>223</v>
      </c>
      <c r="C31" s="5" t="s">
        <v>224</v>
      </c>
      <c r="D31" s="5" t="s">
        <v>74</v>
      </c>
      <c r="E31" s="5" t="s">
        <v>541</v>
      </c>
      <c r="F31" s="6">
        <v>60907</v>
      </c>
      <c r="G31" s="6">
        <f t="shared" si="0"/>
        <v>200</v>
      </c>
    </row>
    <row r="32" spans="1:7" ht="18" customHeight="1" x14ac:dyDescent="0.2">
      <c r="A32" s="4" t="s">
        <v>35</v>
      </c>
      <c r="B32" s="4" t="s">
        <v>227</v>
      </c>
      <c r="C32" s="5" t="s">
        <v>228</v>
      </c>
      <c r="D32" s="5" t="s">
        <v>74</v>
      </c>
      <c r="E32" s="5" t="s">
        <v>541</v>
      </c>
      <c r="F32" s="6">
        <v>117800</v>
      </c>
      <c r="G32" s="6">
        <f t="shared" si="0"/>
        <v>200</v>
      </c>
    </row>
    <row r="33" spans="1:7" ht="18" customHeight="1" x14ac:dyDescent="0.2">
      <c r="A33" s="4" t="s">
        <v>36</v>
      </c>
      <c r="B33" s="4" t="s">
        <v>230</v>
      </c>
      <c r="C33" s="5" t="s">
        <v>231</v>
      </c>
      <c r="D33" s="5" t="s">
        <v>74</v>
      </c>
      <c r="E33" s="5" t="s">
        <v>541</v>
      </c>
      <c r="F33" s="6">
        <v>0</v>
      </c>
      <c r="G33" s="6">
        <f t="shared" si="0"/>
        <v>0</v>
      </c>
    </row>
    <row r="34" spans="1:7" ht="18" customHeight="1" x14ac:dyDescent="0.2">
      <c r="A34" s="4" t="s">
        <v>37</v>
      </c>
      <c r="B34" s="4" t="s">
        <v>233</v>
      </c>
      <c r="C34" s="5" t="s">
        <v>234</v>
      </c>
      <c r="D34" s="5" t="s">
        <v>74</v>
      </c>
      <c r="E34" s="5" t="s">
        <v>541</v>
      </c>
      <c r="F34" s="6">
        <v>34202</v>
      </c>
      <c r="G34" s="6">
        <f t="shared" si="0"/>
        <v>150</v>
      </c>
    </row>
    <row r="35" spans="1:7" ht="18" customHeight="1" x14ac:dyDescent="0.2">
      <c r="A35" s="4" t="s">
        <v>38</v>
      </c>
      <c r="B35" s="4" t="s">
        <v>236</v>
      </c>
      <c r="C35" s="5" t="s">
        <v>237</v>
      </c>
      <c r="D35" s="5" t="s">
        <v>74</v>
      </c>
      <c r="E35" s="5" t="s">
        <v>541</v>
      </c>
      <c r="F35" s="6">
        <v>29500</v>
      </c>
      <c r="G35" s="6">
        <f t="shared" si="0"/>
        <v>150</v>
      </c>
    </row>
    <row r="36" spans="1:7" ht="18" customHeight="1" x14ac:dyDescent="0.2">
      <c r="A36" s="4" t="s">
        <v>39</v>
      </c>
      <c r="B36" s="4" t="s">
        <v>240</v>
      </c>
      <c r="C36" s="5" t="s">
        <v>241</v>
      </c>
      <c r="D36" s="5" t="s">
        <v>74</v>
      </c>
      <c r="E36" s="5" t="s">
        <v>541</v>
      </c>
      <c r="F36" s="6">
        <v>10758</v>
      </c>
      <c r="G36" s="6">
        <f t="shared" si="0"/>
        <v>110</v>
      </c>
    </row>
    <row r="37" spans="1:7" ht="18" customHeight="1" x14ac:dyDescent="0.2">
      <c r="A37" s="4" t="s">
        <v>40</v>
      </c>
      <c r="B37" s="4" t="s">
        <v>243</v>
      </c>
      <c r="C37" s="5" t="s">
        <v>244</v>
      </c>
      <c r="D37" s="5" t="s">
        <v>74</v>
      </c>
      <c r="E37" s="5" t="s">
        <v>541</v>
      </c>
      <c r="F37" s="6">
        <v>11000</v>
      </c>
      <c r="G37" s="6">
        <f t="shared" si="0"/>
        <v>110</v>
      </c>
    </row>
    <row r="38" spans="1:7" ht="18" customHeight="1" x14ac:dyDescent="0.2">
      <c r="A38" s="4" t="s">
        <v>41</v>
      </c>
      <c r="B38" s="4" t="s">
        <v>247</v>
      </c>
      <c r="C38" s="5" t="s">
        <v>248</v>
      </c>
      <c r="D38" s="5" t="s">
        <v>74</v>
      </c>
      <c r="E38" s="5" t="s">
        <v>541</v>
      </c>
      <c r="F38" s="6">
        <v>15100</v>
      </c>
      <c r="G38" s="6">
        <f t="shared" si="0"/>
        <v>130</v>
      </c>
    </row>
    <row r="39" spans="1:7" ht="18" customHeight="1" x14ac:dyDescent="0.2">
      <c r="A39" s="4" t="s">
        <v>42</v>
      </c>
      <c r="B39" s="4" t="s">
        <v>250</v>
      </c>
      <c r="C39" s="5" t="s">
        <v>251</v>
      </c>
      <c r="D39" s="5" t="s">
        <v>74</v>
      </c>
      <c r="E39" s="5" t="s">
        <v>541</v>
      </c>
      <c r="F39" s="6">
        <v>68600</v>
      </c>
      <c r="G39" s="6">
        <f t="shared" si="0"/>
        <v>200</v>
      </c>
    </row>
    <row r="40" spans="1:7" ht="18" customHeight="1" x14ac:dyDescent="0.2">
      <c r="A40" s="4" t="s">
        <v>43</v>
      </c>
      <c r="B40" s="4" t="s">
        <v>253</v>
      </c>
      <c r="C40" s="5" t="s">
        <v>254</v>
      </c>
      <c r="D40" s="5" t="s">
        <v>74</v>
      </c>
      <c r="E40" s="5" t="s">
        <v>541</v>
      </c>
      <c r="F40" s="6">
        <v>20670</v>
      </c>
      <c r="G40" s="6">
        <f t="shared" si="0"/>
        <v>130</v>
      </c>
    </row>
    <row r="41" spans="1:7" ht="18" customHeight="1" x14ac:dyDescent="0.2">
      <c r="A41" s="4" t="s">
        <v>44</v>
      </c>
      <c r="B41" s="4" t="s">
        <v>256</v>
      </c>
      <c r="C41" s="5" t="s">
        <v>257</v>
      </c>
      <c r="D41" s="5" t="s">
        <v>74</v>
      </c>
      <c r="E41" s="5" t="s">
        <v>541</v>
      </c>
      <c r="F41" s="6">
        <v>68894</v>
      </c>
      <c r="G41" s="6">
        <f t="shared" si="0"/>
        <v>200</v>
      </c>
    </row>
    <row r="42" spans="1:7" ht="18" customHeight="1" x14ac:dyDescent="0.2">
      <c r="A42" s="4" t="s">
        <v>45</v>
      </c>
      <c r="B42" s="4" t="s">
        <v>259</v>
      </c>
      <c r="C42" s="5" t="s">
        <v>260</v>
      </c>
      <c r="D42" s="5" t="s">
        <v>74</v>
      </c>
      <c r="E42" s="5" t="s">
        <v>541</v>
      </c>
      <c r="F42" s="6">
        <v>29500</v>
      </c>
      <c r="G42" s="6">
        <f t="shared" si="0"/>
        <v>150</v>
      </c>
    </row>
    <row r="43" spans="1:7" ht="18" customHeight="1" x14ac:dyDescent="0.2">
      <c r="A43" s="4" t="s">
        <v>46</v>
      </c>
      <c r="B43" s="4" t="s">
        <v>262</v>
      </c>
      <c r="C43" s="5" t="s">
        <v>263</v>
      </c>
      <c r="D43" s="5" t="s">
        <v>74</v>
      </c>
      <c r="E43" s="5" t="s">
        <v>541</v>
      </c>
      <c r="F43" s="6">
        <v>25578</v>
      </c>
      <c r="G43" s="6">
        <f t="shared" si="0"/>
        <v>150</v>
      </c>
    </row>
    <row r="44" spans="1:7" ht="18" customHeight="1" x14ac:dyDescent="0.2">
      <c r="A44" s="4" t="s">
        <v>47</v>
      </c>
      <c r="B44" s="4" t="s">
        <v>266</v>
      </c>
      <c r="C44" s="5" t="s">
        <v>267</v>
      </c>
      <c r="D44" s="5" t="s">
        <v>74</v>
      </c>
      <c r="E44" s="5" t="s">
        <v>541</v>
      </c>
      <c r="F44" s="6">
        <v>0</v>
      </c>
      <c r="G44" s="6">
        <f t="shared" si="0"/>
        <v>0</v>
      </c>
    </row>
    <row r="45" spans="1:7" ht="18" customHeight="1" x14ac:dyDescent="0.2">
      <c r="A45" s="4" t="s">
        <v>48</v>
      </c>
      <c r="B45" s="4" t="s">
        <v>269</v>
      </c>
      <c r="C45" s="5" t="s">
        <v>209</v>
      </c>
      <c r="D45" s="5" t="s">
        <v>74</v>
      </c>
      <c r="E45" s="5" t="s">
        <v>541</v>
      </c>
      <c r="F45" s="6">
        <v>9500</v>
      </c>
      <c r="G45" s="6">
        <f t="shared" si="0"/>
        <v>0</v>
      </c>
    </row>
    <row r="46" spans="1:7" ht="18" customHeight="1" x14ac:dyDescent="0.2">
      <c r="A46" s="4" t="s">
        <v>49</v>
      </c>
      <c r="B46" s="4" t="s">
        <v>271</v>
      </c>
      <c r="C46" s="5" t="s">
        <v>272</v>
      </c>
      <c r="D46" s="5" t="s">
        <v>74</v>
      </c>
      <c r="E46" s="5" t="s">
        <v>541</v>
      </c>
      <c r="F46" s="6">
        <v>23350</v>
      </c>
      <c r="G46" s="6">
        <f t="shared" si="0"/>
        <v>130</v>
      </c>
    </row>
    <row r="47" spans="1:7" ht="18" customHeight="1" x14ac:dyDescent="0.2">
      <c r="A47" s="4" t="s">
        <v>50</v>
      </c>
      <c r="B47" s="4" t="s">
        <v>273</v>
      </c>
      <c r="C47" s="5" t="s">
        <v>274</v>
      </c>
      <c r="D47" s="5" t="s">
        <v>74</v>
      </c>
      <c r="E47" s="5" t="s">
        <v>541</v>
      </c>
      <c r="F47" s="6">
        <v>21550</v>
      </c>
      <c r="G47" s="6">
        <f t="shared" si="0"/>
        <v>130</v>
      </c>
    </row>
    <row r="48" spans="1:7" ht="18" customHeight="1" x14ac:dyDescent="0.2">
      <c r="A48" s="4" t="s">
        <v>51</v>
      </c>
      <c r="B48" s="4" t="s">
        <v>275</v>
      </c>
      <c r="C48" s="5" t="s">
        <v>276</v>
      </c>
      <c r="D48" s="5" t="s">
        <v>74</v>
      </c>
      <c r="E48" s="5" t="s">
        <v>541</v>
      </c>
      <c r="F48" s="6">
        <v>14050</v>
      </c>
      <c r="G48" s="6">
        <f t="shared" si="0"/>
        <v>110</v>
      </c>
    </row>
    <row r="49" spans="1:7" ht="18" customHeight="1" x14ac:dyDescent="0.2">
      <c r="A49" s="4" t="s">
        <v>52</v>
      </c>
      <c r="B49" s="4" t="s">
        <v>277</v>
      </c>
      <c r="C49" s="5" t="s">
        <v>278</v>
      </c>
      <c r="D49" s="5" t="s">
        <v>74</v>
      </c>
      <c r="E49" s="5" t="s">
        <v>541</v>
      </c>
      <c r="F49" s="6">
        <v>34006</v>
      </c>
      <c r="G49" s="6">
        <f t="shared" si="0"/>
        <v>150</v>
      </c>
    </row>
    <row r="50" spans="1:7" ht="18" customHeight="1" x14ac:dyDescent="0.2">
      <c r="A50" s="4" t="s">
        <v>53</v>
      </c>
      <c r="B50" s="4" t="s">
        <v>279</v>
      </c>
      <c r="C50" s="5" t="s">
        <v>209</v>
      </c>
      <c r="D50" s="5" t="s">
        <v>74</v>
      </c>
      <c r="E50" s="5" t="s">
        <v>541</v>
      </c>
      <c r="F50" s="6">
        <v>11448</v>
      </c>
      <c r="G50" s="6">
        <f t="shared" si="0"/>
        <v>110</v>
      </c>
    </row>
    <row r="51" spans="1:7" ht="18" customHeight="1" x14ac:dyDescent="0.2">
      <c r="A51" s="4" t="s">
        <v>54</v>
      </c>
      <c r="B51" s="4" t="s">
        <v>280</v>
      </c>
      <c r="C51" s="5" t="s">
        <v>281</v>
      </c>
      <c r="D51" s="5" t="s">
        <v>74</v>
      </c>
      <c r="E51" s="5" t="s">
        <v>541</v>
      </c>
      <c r="F51" s="6">
        <v>16140</v>
      </c>
      <c r="G51" s="6">
        <f t="shared" si="0"/>
        <v>130</v>
      </c>
    </row>
    <row r="52" spans="1:7" ht="18" customHeight="1" x14ac:dyDescent="0.2">
      <c r="A52" s="4" t="s">
        <v>55</v>
      </c>
      <c r="B52" s="4" t="s">
        <v>282</v>
      </c>
      <c r="C52" s="5" t="s">
        <v>283</v>
      </c>
      <c r="D52" s="5" t="s">
        <v>74</v>
      </c>
      <c r="E52" s="5" t="s">
        <v>541</v>
      </c>
      <c r="F52" s="6">
        <v>17120</v>
      </c>
      <c r="G52" s="6">
        <f t="shared" si="0"/>
        <v>130</v>
      </c>
    </row>
    <row r="53" spans="1:7" ht="18" customHeight="1" x14ac:dyDescent="0.2">
      <c r="A53" s="4" t="s">
        <v>56</v>
      </c>
      <c r="B53" s="4" t="s">
        <v>284</v>
      </c>
      <c r="C53" s="5" t="s">
        <v>285</v>
      </c>
      <c r="D53" s="5" t="s">
        <v>74</v>
      </c>
      <c r="E53" s="5" t="s">
        <v>541</v>
      </c>
      <c r="F53" s="6">
        <v>29400</v>
      </c>
      <c r="G53" s="6">
        <f t="shared" si="0"/>
        <v>150</v>
      </c>
    </row>
    <row r="54" spans="1:7" ht="18" customHeight="1" x14ac:dyDescent="0.2">
      <c r="A54" s="4" t="s">
        <v>57</v>
      </c>
      <c r="B54" s="4" t="s">
        <v>286</v>
      </c>
      <c r="C54" s="5" t="s">
        <v>287</v>
      </c>
      <c r="D54" s="5" t="s">
        <v>74</v>
      </c>
      <c r="E54" s="5" t="s">
        <v>541</v>
      </c>
      <c r="F54" s="6">
        <v>0</v>
      </c>
      <c r="G54" s="6">
        <f t="shared" si="0"/>
        <v>0</v>
      </c>
    </row>
    <row r="55" spans="1:7" ht="18" customHeight="1" x14ac:dyDescent="0.2">
      <c r="A55" s="4" t="s">
        <v>58</v>
      </c>
      <c r="B55" s="4" t="s">
        <v>289</v>
      </c>
      <c r="C55" s="5" t="s">
        <v>290</v>
      </c>
      <c r="D55" s="5" t="s">
        <v>74</v>
      </c>
      <c r="E55" s="5" t="s">
        <v>541</v>
      </c>
      <c r="F55" s="6">
        <v>15040</v>
      </c>
      <c r="G55" s="6">
        <f t="shared" si="0"/>
        <v>130</v>
      </c>
    </row>
    <row r="56" spans="1:7" ht="18" customHeight="1" x14ac:dyDescent="0.2">
      <c r="A56" s="4" t="s">
        <v>59</v>
      </c>
      <c r="B56" s="4" t="s">
        <v>291</v>
      </c>
      <c r="C56" s="5" t="s">
        <v>292</v>
      </c>
      <c r="D56" s="5" t="s">
        <v>74</v>
      </c>
      <c r="E56" s="5" t="s">
        <v>541</v>
      </c>
      <c r="F56" s="6">
        <v>29400</v>
      </c>
      <c r="G56" s="6">
        <f t="shared" si="0"/>
        <v>150</v>
      </c>
    </row>
    <row r="57" spans="1:7" ht="18" customHeight="1" x14ac:dyDescent="0.2">
      <c r="A57" s="4" t="s">
        <v>60</v>
      </c>
      <c r="B57" s="4" t="s">
        <v>293</v>
      </c>
      <c r="C57" s="5" t="s">
        <v>294</v>
      </c>
      <c r="D57" s="5" t="s">
        <v>74</v>
      </c>
      <c r="E57" s="5" t="s">
        <v>541</v>
      </c>
      <c r="F57" s="6">
        <v>9750</v>
      </c>
      <c r="G57" s="6">
        <f t="shared" si="0"/>
        <v>0</v>
      </c>
    </row>
    <row r="58" spans="1:7" ht="18" customHeight="1" x14ac:dyDescent="0.2">
      <c r="A58" s="4" t="s">
        <v>61</v>
      </c>
      <c r="B58" s="4" t="s">
        <v>295</v>
      </c>
      <c r="C58" s="5" t="s">
        <v>288</v>
      </c>
      <c r="D58" s="5" t="s">
        <v>74</v>
      </c>
      <c r="E58" s="5" t="s">
        <v>541</v>
      </c>
      <c r="F58" s="6">
        <v>35476</v>
      </c>
      <c r="G58" s="6">
        <f t="shared" si="0"/>
        <v>150</v>
      </c>
    </row>
    <row r="59" spans="1:7" ht="18" customHeight="1" x14ac:dyDescent="0.2">
      <c r="A59" s="4" t="s">
        <v>62</v>
      </c>
      <c r="B59" s="4" t="s">
        <v>296</v>
      </c>
      <c r="C59" s="5" t="s">
        <v>297</v>
      </c>
      <c r="D59" s="5" t="s">
        <v>74</v>
      </c>
      <c r="E59" s="5" t="s">
        <v>541</v>
      </c>
      <c r="F59" s="6">
        <v>16900</v>
      </c>
      <c r="G59" s="6">
        <f t="shared" si="0"/>
        <v>130</v>
      </c>
    </row>
    <row r="60" spans="1:7" ht="18" customHeight="1" x14ac:dyDescent="0.2">
      <c r="A60" s="4" t="s">
        <v>63</v>
      </c>
      <c r="B60" s="4" t="s">
        <v>298</v>
      </c>
      <c r="C60" s="5" t="s">
        <v>299</v>
      </c>
      <c r="D60" s="5" t="s">
        <v>74</v>
      </c>
      <c r="E60" s="5" t="s">
        <v>541</v>
      </c>
      <c r="F60" s="6">
        <v>40891</v>
      </c>
      <c r="G60" s="6">
        <f t="shared" si="0"/>
        <v>200</v>
      </c>
    </row>
    <row r="61" spans="1:7" ht="18" customHeight="1" x14ac:dyDescent="0.2">
      <c r="A61" s="4" t="s">
        <v>64</v>
      </c>
      <c r="B61" s="4" t="s">
        <v>300</v>
      </c>
      <c r="C61" s="5" t="s">
        <v>288</v>
      </c>
      <c r="D61" s="5" t="s">
        <v>74</v>
      </c>
      <c r="E61" s="5" t="s">
        <v>541</v>
      </c>
      <c r="F61" s="6">
        <v>14040</v>
      </c>
      <c r="G61" s="6">
        <f t="shared" si="0"/>
        <v>110</v>
      </c>
    </row>
    <row r="62" spans="1:7" ht="18" customHeight="1" x14ac:dyDescent="0.2">
      <c r="A62" s="4" t="s">
        <v>65</v>
      </c>
      <c r="B62" s="4" t="s">
        <v>301</v>
      </c>
      <c r="C62" s="5" t="s">
        <v>302</v>
      </c>
      <c r="D62" s="5" t="s">
        <v>74</v>
      </c>
      <c r="E62" s="5" t="s">
        <v>541</v>
      </c>
      <c r="F62" s="6">
        <v>17540</v>
      </c>
      <c r="G62" s="6">
        <f t="shared" si="0"/>
        <v>130</v>
      </c>
    </row>
    <row r="63" spans="1:7" ht="18" customHeight="1" x14ac:dyDescent="0.2">
      <c r="A63" s="4" t="s">
        <v>66</v>
      </c>
      <c r="B63" s="4" t="s">
        <v>303</v>
      </c>
      <c r="C63" s="5" t="s">
        <v>304</v>
      </c>
      <c r="D63" s="5" t="s">
        <v>74</v>
      </c>
      <c r="E63" s="5" t="s">
        <v>541</v>
      </c>
      <c r="F63" s="6">
        <v>51352</v>
      </c>
      <c r="G63" s="6">
        <f t="shared" si="0"/>
        <v>200</v>
      </c>
    </row>
    <row r="64" spans="1:7" ht="18" customHeight="1" x14ac:dyDescent="0.2">
      <c r="A64" s="4" t="s">
        <v>67</v>
      </c>
      <c r="B64" s="4" t="s">
        <v>305</v>
      </c>
      <c r="C64" s="5" t="s">
        <v>288</v>
      </c>
      <c r="D64" s="5" t="s">
        <v>74</v>
      </c>
      <c r="E64" s="5" t="s">
        <v>541</v>
      </c>
      <c r="F64" s="6">
        <v>24500</v>
      </c>
      <c r="G64" s="6">
        <f t="shared" si="0"/>
        <v>130</v>
      </c>
    </row>
    <row r="65" spans="1:7" ht="18" customHeight="1" x14ac:dyDescent="0.2">
      <c r="A65" s="4" t="s">
        <v>68</v>
      </c>
      <c r="B65" s="4" t="s">
        <v>306</v>
      </c>
      <c r="C65" s="5" t="s">
        <v>307</v>
      </c>
      <c r="D65" s="5" t="s">
        <v>74</v>
      </c>
      <c r="E65" s="5" t="s">
        <v>541</v>
      </c>
      <c r="F65" s="6">
        <v>17440</v>
      </c>
      <c r="G65" s="6">
        <f t="shared" si="0"/>
        <v>130</v>
      </c>
    </row>
    <row r="66" spans="1:7" ht="18" customHeight="1" x14ac:dyDescent="0.2">
      <c r="A66" s="4" t="s">
        <v>69</v>
      </c>
      <c r="B66" s="4" t="s">
        <v>308</v>
      </c>
      <c r="C66" s="5" t="s">
        <v>309</v>
      </c>
      <c r="D66" s="5" t="s">
        <v>74</v>
      </c>
      <c r="E66" s="5" t="s">
        <v>541</v>
      </c>
      <c r="F66" s="6">
        <v>11400</v>
      </c>
      <c r="G66" s="6">
        <f t="shared" si="0"/>
        <v>110</v>
      </c>
    </row>
    <row r="67" spans="1:7" ht="18" customHeight="1" x14ac:dyDescent="0.2">
      <c r="A67" s="4" t="s">
        <v>70</v>
      </c>
      <c r="B67" s="4" t="s">
        <v>310</v>
      </c>
      <c r="C67" s="5" t="s">
        <v>311</v>
      </c>
      <c r="D67" s="5" t="s">
        <v>74</v>
      </c>
      <c r="E67" s="5" t="s">
        <v>541</v>
      </c>
      <c r="F67" s="6">
        <v>100940</v>
      </c>
      <c r="G67" s="6">
        <f t="shared" si="0"/>
        <v>200</v>
      </c>
    </row>
    <row r="68" spans="1:7" ht="18" customHeight="1" x14ac:dyDescent="0.2">
      <c r="A68" s="4" t="s">
        <v>71</v>
      </c>
      <c r="B68" s="4" t="s">
        <v>312</v>
      </c>
      <c r="C68" s="5" t="s">
        <v>313</v>
      </c>
      <c r="D68" s="5" t="s">
        <v>74</v>
      </c>
      <c r="E68" s="5" t="s">
        <v>541</v>
      </c>
      <c r="F68" s="6">
        <v>8300</v>
      </c>
      <c r="G68" s="6">
        <f t="shared" ref="G68:G131" si="1">IF(F68&lt;10001,0,IF(F68&lt;15001,110,IF(F68&lt;25001,130,IF(F68&lt;40001,150,200))))</f>
        <v>0</v>
      </c>
    </row>
    <row r="69" spans="1:7" ht="18" customHeight="1" x14ac:dyDescent="0.2">
      <c r="A69" s="4" t="s">
        <v>75</v>
      </c>
      <c r="B69" s="4" t="s">
        <v>314</v>
      </c>
      <c r="C69" s="5" t="s">
        <v>315</v>
      </c>
      <c r="D69" s="5" t="s">
        <v>74</v>
      </c>
      <c r="E69" s="5" t="s">
        <v>541</v>
      </c>
      <c r="F69" s="6">
        <v>16900</v>
      </c>
      <c r="G69" s="6">
        <f t="shared" si="1"/>
        <v>130</v>
      </c>
    </row>
    <row r="70" spans="1:7" ht="18" customHeight="1" x14ac:dyDescent="0.2">
      <c r="A70" s="4" t="s">
        <v>76</v>
      </c>
      <c r="B70" s="4" t="s">
        <v>316</v>
      </c>
      <c r="C70" s="5" t="s">
        <v>317</v>
      </c>
      <c r="D70" s="5" t="s">
        <v>74</v>
      </c>
      <c r="E70" s="5" t="s">
        <v>541</v>
      </c>
      <c r="F70" s="6">
        <v>26656</v>
      </c>
      <c r="G70" s="6">
        <f t="shared" si="1"/>
        <v>150</v>
      </c>
    </row>
    <row r="71" spans="1:7" ht="18" customHeight="1" x14ac:dyDescent="0.2">
      <c r="A71" s="4" t="s">
        <v>77</v>
      </c>
      <c r="B71" s="4" t="s">
        <v>318</v>
      </c>
      <c r="C71" s="5" t="s">
        <v>319</v>
      </c>
      <c r="D71" s="5" t="s">
        <v>74</v>
      </c>
      <c r="E71" s="5" t="s">
        <v>541</v>
      </c>
      <c r="F71" s="6">
        <v>25480</v>
      </c>
      <c r="G71" s="6">
        <f t="shared" si="1"/>
        <v>150</v>
      </c>
    </row>
    <row r="72" spans="1:7" ht="18" customHeight="1" x14ac:dyDescent="0.2">
      <c r="A72" s="4" t="s">
        <v>78</v>
      </c>
      <c r="B72" s="4" t="s">
        <v>320</v>
      </c>
      <c r="C72" s="5" t="s">
        <v>321</v>
      </c>
      <c r="D72" s="5" t="s">
        <v>74</v>
      </c>
      <c r="E72" s="5" t="s">
        <v>541</v>
      </c>
      <c r="F72" s="6">
        <v>18620</v>
      </c>
      <c r="G72" s="6">
        <f t="shared" si="1"/>
        <v>130</v>
      </c>
    </row>
    <row r="73" spans="1:7" ht="18" customHeight="1" x14ac:dyDescent="0.2">
      <c r="A73" s="4" t="s">
        <v>79</v>
      </c>
      <c r="B73" s="4" t="s">
        <v>322</v>
      </c>
      <c r="C73" s="5" t="s">
        <v>323</v>
      </c>
      <c r="D73" s="5" t="s">
        <v>74</v>
      </c>
      <c r="E73" s="5" t="s">
        <v>541</v>
      </c>
      <c r="F73" s="6">
        <v>24500</v>
      </c>
      <c r="G73" s="6">
        <f t="shared" si="1"/>
        <v>130</v>
      </c>
    </row>
    <row r="74" spans="1:7" ht="18" customHeight="1" x14ac:dyDescent="0.2">
      <c r="A74" s="4" t="s">
        <v>80</v>
      </c>
      <c r="B74" s="4" t="s">
        <v>324</v>
      </c>
      <c r="C74" s="5" t="s">
        <v>325</v>
      </c>
      <c r="D74" s="5" t="s">
        <v>74</v>
      </c>
      <c r="E74" s="5" t="s">
        <v>541</v>
      </c>
      <c r="F74" s="6">
        <v>17640</v>
      </c>
      <c r="G74" s="6">
        <f t="shared" si="1"/>
        <v>130</v>
      </c>
    </row>
    <row r="75" spans="1:7" ht="18" customHeight="1" x14ac:dyDescent="0.2">
      <c r="A75" s="4" t="s">
        <v>81</v>
      </c>
      <c r="B75" s="4" t="s">
        <v>326</v>
      </c>
      <c r="C75" s="5" t="s">
        <v>327</v>
      </c>
      <c r="D75" s="5" t="s">
        <v>74</v>
      </c>
      <c r="E75" s="5" t="s">
        <v>541</v>
      </c>
      <c r="F75" s="6">
        <v>38220</v>
      </c>
      <c r="G75" s="6">
        <f t="shared" si="1"/>
        <v>150</v>
      </c>
    </row>
    <row r="76" spans="1:7" ht="18" customHeight="1" x14ac:dyDescent="0.2">
      <c r="A76" s="4" t="s">
        <v>82</v>
      </c>
      <c r="B76" s="4" t="s">
        <v>328</v>
      </c>
      <c r="C76" s="5" t="s">
        <v>329</v>
      </c>
      <c r="D76" s="5" t="s">
        <v>74</v>
      </c>
      <c r="E76" s="5" t="s">
        <v>541</v>
      </c>
      <c r="F76" s="6">
        <v>11760</v>
      </c>
      <c r="G76" s="6">
        <f t="shared" si="1"/>
        <v>110</v>
      </c>
    </row>
    <row r="77" spans="1:7" ht="18" customHeight="1" x14ac:dyDescent="0.2">
      <c r="A77" s="4" t="s">
        <v>83</v>
      </c>
      <c r="B77" s="4" t="s">
        <v>330</v>
      </c>
      <c r="C77" s="5" t="s">
        <v>331</v>
      </c>
      <c r="D77" s="5" t="s">
        <v>74</v>
      </c>
      <c r="E77" s="5" t="s">
        <v>541</v>
      </c>
      <c r="F77" s="6">
        <v>14700</v>
      </c>
      <c r="G77" s="6">
        <f t="shared" si="1"/>
        <v>110</v>
      </c>
    </row>
    <row r="78" spans="1:7" ht="18" customHeight="1" x14ac:dyDescent="0.2">
      <c r="A78" s="4" t="s">
        <v>84</v>
      </c>
      <c r="B78" s="4" t="s">
        <v>332</v>
      </c>
      <c r="C78" s="5" t="s">
        <v>333</v>
      </c>
      <c r="D78" s="5" t="s">
        <v>74</v>
      </c>
      <c r="E78" s="5" t="s">
        <v>541</v>
      </c>
      <c r="F78" s="6">
        <v>9100</v>
      </c>
      <c r="G78" s="6">
        <f t="shared" si="1"/>
        <v>0</v>
      </c>
    </row>
    <row r="79" spans="1:7" ht="18" customHeight="1" x14ac:dyDescent="0.2">
      <c r="A79" s="4" t="s">
        <v>87</v>
      </c>
      <c r="B79" s="4" t="s">
        <v>334</v>
      </c>
      <c r="C79" s="5" t="s">
        <v>335</v>
      </c>
      <c r="D79" s="5" t="s">
        <v>74</v>
      </c>
      <c r="E79" s="5" t="s">
        <v>541</v>
      </c>
      <c r="F79" s="6">
        <v>19150</v>
      </c>
      <c r="G79" s="6">
        <f t="shared" si="1"/>
        <v>130</v>
      </c>
    </row>
    <row r="80" spans="1:7" ht="18" customHeight="1" x14ac:dyDescent="0.2">
      <c r="A80" s="4" t="s">
        <v>88</v>
      </c>
      <c r="B80" s="4" t="s">
        <v>336</v>
      </c>
      <c r="C80" s="5" t="s">
        <v>337</v>
      </c>
      <c r="D80" s="5" t="s">
        <v>74</v>
      </c>
      <c r="E80" s="5" t="s">
        <v>541</v>
      </c>
      <c r="F80" s="6">
        <v>31550</v>
      </c>
      <c r="G80" s="6">
        <f t="shared" si="1"/>
        <v>150</v>
      </c>
    </row>
    <row r="81" spans="1:7" ht="18" customHeight="1" x14ac:dyDescent="0.2">
      <c r="A81" s="4" t="s">
        <v>91</v>
      </c>
      <c r="B81" s="4" t="s">
        <v>338</v>
      </c>
      <c r="C81" s="5" t="s">
        <v>339</v>
      </c>
      <c r="D81" s="5" t="s">
        <v>74</v>
      </c>
      <c r="E81" s="5" t="s">
        <v>541</v>
      </c>
      <c r="F81" s="6">
        <v>9389</v>
      </c>
      <c r="G81" s="6">
        <f t="shared" si="1"/>
        <v>0</v>
      </c>
    </row>
    <row r="82" spans="1:7" ht="18" customHeight="1" x14ac:dyDescent="0.2">
      <c r="A82" s="4" t="s">
        <v>92</v>
      </c>
      <c r="B82" s="4" t="s">
        <v>340</v>
      </c>
      <c r="C82" s="5" t="s">
        <v>341</v>
      </c>
      <c r="D82" s="5" t="s">
        <v>74</v>
      </c>
      <c r="E82" s="5" t="s">
        <v>541</v>
      </c>
      <c r="F82" s="6">
        <v>12800</v>
      </c>
      <c r="G82" s="6">
        <f t="shared" si="1"/>
        <v>110</v>
      </c>
    </row>
    <row r="83" spans="1:7" ht="18" customHeight="1" x14ac:dyDescent="0.2">
      <c r="A83" s="4" t="s">
        <v>93</v>
      </c>
      <c r="B83" s="4" t="s">
        <v>342</v>
      </c>
      <c r="C83" s="5" t="s">
        <v>343</v>
      </c>
      <c r="D83" s="5" t="s">
        <v>74</v>
      </c>
      <c r="E83" s="5" t="s">
        <v>541</v>
      </c>
      <c r="F83" s="6">
        <v>31360</v>
      </c>
      <c r="G83" s="6">
        <f t="shared" si="1"/>
        <v>150</v>
      </c>
    </row>
    <row r="84" spans="1:7" ht="18" customHeight="1" x14ac:dyDescent="0.2">
      <c r="A84" s="4" t="s">
        <v>95</v>
      </c>
      <c r="B84" s="4" t="s">
        <v>344</v>
      </c>
      <c r="C84" s="5" t="s">
        <v>345</v>
      </c>
      <c r="D84" s="5" t="s">
        <v>74</v>
      </c>
      <c r="E84" s="5" t="s">
        <v>541</v>
      </c>
      <c r="F84" s="6">
        <v>17300</v>
      </c>
      <c r="G84" s="6">
        <f t="shared" si="1"/>
        <v>130</v>
      </c>
    </row>
    <row r="85" spans="1:7" ht="18" customHeight="1" x14ac:dyDescent="0.2">
      <c r="A85" s="4" t="s">
        <v>96</v>
      </c>
      <c r="B85" s="4" t="s">
        <v>346</v>
      </c>
      <c r="C85" s="5" t="s">
        <v>347</v>
      </c>
      <c r="D85" s="5" t="s">
        <v>74</v>
      </c>
      <c r="E85" s="5" t="s">
        <v>541</v>
      </c>
      <c r="F85" s="6">
        <v>12740</v>
      </c>
      <c r="G85" s="6">
        <f t="shared" si="1"/>
        <v>110</v>
      </c>
    </row>
    <row r="86" spans="1:7" ht="18" customHeight="1" x14ac:dyDescent="0.2">
      <c r="A86" s="4" t="s">
        <v>97</v>
      </c>
      <c r="B86" s="4" t="s">
        <v>348</v>
      </c>
      <c r="C86" s="5" t="s">
        <v>349</v>
      </c>
      <c r="D86" s="5" t="s">
        <v>74</v>
      </c>
      <c r="E86" s="5" t="s">
        <v>541</v>
      </c>
      <c r="F86" s="6">
        <v>16900</v>
      </c>
      <c r="G86" s="6">
        <f t="shared" si="1"/>
        <v>130</v>
      </c>
    </row>
    <row r="87" spans="1:7" ht="18" customHeight="1" x14ac:dyDescent="0.2">
      <c r="A87" s="4" t="s">
        <v>98</v>
      </c>
      <c r="B87" s="4" t="s">
        <v>350</v>
      </c>
      <c r="C87" s="5" t="s">
        <v>351</v>
      </c>
      <c r="D87" s="5" t="s">
        <v>74</v>
      </c>
      <c r="E87" s="5" t="s">
        <v>541</v>
      </c>
      <c r="F87" s="6">
        <v>6639</v>
      </c>
      <c r="G87" s="6">
        <f t="shared" si="1"/>
        <v>0</v>
      </c>
    </row>
    <row r="88" spans="1:7" ht="18" customHeight="1" x14ac:dyDescent="0.2">
      <c r="A88" s="4" t="s">
        <v>99</v>
      </c>
      <c r="B88" s="4" t="s">
        <v>352</v>
      </c>
      <c r="C88" s="5" t="s">
        <v>353</v>
      </c>
      <c r="D88" s="5" t="s">
        <v>74</v>
      </c>
      <c r="E88" s="5" t="s">
        <v>541</v>
      </c>
      <c r="F88" s="6">
        <v>15850</v>
      </c>
      <c r="G88" s="6">
        <f t="shared" si="1"/>
        <v>130</v>
      </c>
    </row>
    <row r="89" spans="1:7" ht="18" customHeight="1" x14ac:dyDescent="0.2">
      <c r="A89" s="4" t="s">
        <v>100</v>
      </c>
      <c r="B89" s="4" t="s">
        <v>354</v>
      </c>
      <c r="C89" s="5" t="s">
        <v>355</v>
      </c>
      <c r="D89" s="5" t="s">
        <v>74</v>
      </c>
      <c r="E89" s="5" t="s">
        <v>541</v>
      </c>
      <c r="F89" s="6">
        <v>26460</v>
      </c>
      <c r="G89" s="6">
        <f t="shared" si="1"/>
        <v>150</v>
      </c>
    </row>
    <row r="90" spans="1:7" ht="18" customHeight="1" x14ac:dyDescent="0.2">
      <c r="A90" s="4" t="s">
        <v>101</v>
      </c>
      <c r="B90" s="4" t="s">
        <v>356</v>
      </c>
      <c r="C90" s="5" t="s">
        <v>357</v>
      </c>
      <c r="D90" s="5" t="s">
        <v>74</v>
      </c>
      <c r="E90" s="5" t="s">
        <v>541</v>
      </c>
      <c r="F90" s="6">
        <v>20480</v>
      </c>
      <c r="G90" s="6">
        <f t="shared" si="1"/>
        <v>130</v>
      </c>
    </row>
    <row r="91" spans="1:7" ht="18" customHeight="1" x14ac:dyDescent="0.2">
      <c r="A91" s="4" t="s">
        <v>102</v>
      </c>
      <c r="B91" s="4" t="s">
        <v>358</v>
      </c>
      <c r="C91" s="5" t="s">
        <v>359</v>
      </c>
      <c r="D91" s="5" t="s">
        <v>74</v>
      </c>
      <c r="E91" s="5" t="s">
        <v>541</v>
      </c>
      <c r="F91" s="6">
        <v>20300</v>
      </c>
      <c r="G91" s="6">
        <f t="shared" si="1"/>
        <v>130</v>
      </c>
    </row>
    <row r="92" spans="1:7" ht="18" customHeight="1" x14ac:dyDescent="0.2">
      <c r="A92" s="4" t="s">
        <v>103</v>
      </c>
      <c r="B92" s="4" t="s">
        <v>360</v>
      </c>
      <c r="C92" s="5" t="s">
        <v>361</v>
      </c>
      <c r="D92" s="5" t="s">
        <v>74</v>
      </c>
      <c r="E92" s="5" t="s">
        <v>541</v>
      </c>
      <c r="F92" s="6">
        <v>14700</v>
      </c>
      <c r="G92" s="6">
        <f t="shared" si="1"/>
        <v>110</v>
      </c>
    </row>
    <row r="93" spans="1:7" ht="18" customHeight="1" x14ac:dyDescent="0.2">
      <c r="A93" s="4" t="s">
        <v>104</v>
      </c>
      <c r="B93" s="4" t="s">
        <v>362</v>
      </c>
      <c r="C93" s="5" t="s">
        <v>363</v>
      </c>
      <c r="D93" s="5" t="s">
        <v>74</v>
      </c>
      <c r="E93" s="5" t="s">
        <v>541</v>
      </c>
      <c r="F93" s="6">
        <v>14500</v>
      </c>
      <c r="G93" s="6">
        <f t="shared" si="1"/>
        <v>110</v>
      </c>
    </row>
    <row r="94" spans="1:7" ht="18" customHeight="1" x14ac:dyDescent="0.2">
      <c r="A94" s="4" t="s">
        <v>107</v>
      </c>
      <c r="B94" s="4" t="s">
        <v>364</v>
      </c>
      <c r="C94" s="5" t="s">
        <v>365</v>
      </c>
      <c r="D94" s="5" t="s">
        <v>74</v>
      </c>
      <c r="E94" s="5" t="s">
        <v>541</v>
      </c>
      <c r="F94" s="6">
        <v>11760</v>
      </c>
      <c r="G94" s="6">
        <f t="shared" si="1"/>
        <v>110</v>
      </c>
    </row>
    <row r="95" spans="1:7" ht="18" customHeight="1" x14ac:dyDescent="0.2">
      <c r="A95" s="4" t="s">
        <v>108</v>
      </c>
      <c r="B95" s="4" t="s">
        <v>366</v>
      </c>
      <c r="C95" s="5" t="s">
        <v>367</v>
      </c>
      <c r="D95" s="5" t="s">
        <v>74</v>
      </c>
      <c r="E95" s="5" t="s">
        <v>541</v>
      </c>
      <c r="F95" s="6">
        <v>19600</v>
      </c>
      <c r="G95" s="6">
        <f t="shared" si="1"/>
        <v>130</v>
      </c>
    </row>
    <row r="96" spans="1:7" ht="18" customHeight="1" x14ac:dyDescent="0.2">
      <c r="A96" s="4" t="s">
        <v>109</v>
      </c>
      <c r="B96" s="4" t="s">
        <v>368</v>
      </c>
      <c r="C96" s="5" t="s">
        <v>369</v>
      </c>
      <c r="D96" s="5" t="s">
        <v>74</v>
      </c>
      <c r="E96" s="5" t="s">
        <v>541</v>
      </c>
      <c r="F96" s="6">
        <v>21950</v>
      </c>
      <c r="G96" s="6">
        <f t="shared" si="1"/>
        <v>130</v>
      </c>
    </row>
    <row r="97" spans="1:7" ht="18" customHeight="1" x14ac:dyDescent="0.2">
      <c r="A97" s="4" t="s">
        <v>111</v>
      </c>
      <c r="B97" s="4" t="s">
        <v>370</v>
      </c>
      <c r="C97" s="5" t="s">
        <v>371</v>
      </c>
      <c r="D97" s="5" t="s">
        <v>74</v>
      </c>
      <c r="E97" s="5" t="s">
        <v>541</v>
      </c>
      <c r="F97" s="6">
        <v>35182</v>
      </c>
      <c r="G97" s="6">
        <f t="shared" si="1"/>
        <v>150</v>
      </c>
    </row>
    <row r="98" spans="1:7" ht="18" customHeight="1" x14ac:dyDescent="0.2">
      <c r="A98" s="4" t="s">
        <v>112</v>
      </c>
      <c r="B98" s="4" t="s">
        <v>372</v>
      </c>
      <c r="C98" s="5" t="s">
        <v>373</v>
      </c>
      <c r="D98" s="5" t="s">
        <v>74</v>
      </c>
      <c r="E98" s="5" t="s">
        <v>541</v>
      </c>
      <c r="F98" s="6">
        <v>29400</v>
      </c>
      <c r="G98" s="6">
        <f t="shared" si="1"/>
        <v>150</v>
      </c>
    </row>
    <row r="99" spans="1:7" ht="18" customHeight="1" x14ac:dyDescent="0.2">
      <c r="A99" s="4" t="s">
        <v>113</v>
      </c>
      <c r="B99" s="4" t="s">
        <v>374</v>
      </c>
      <c r="C99" s="5" t="s">
        <v>375</v>
      </c>
      <c r="D99" s="5" t="s">
        <v>74</v>
      </c>
      <c r="E99" s="5" t="s">
        <v>541</v>
      </c>
      <c r="F99" s="6">
        <v>14790</v>
      </c>
      <c r="G99" s="6">
        <f t="shared" si="1"/>
        <v>110</v>
      </c>
    </row>
    <row r="100" spans="1:7" ht="18" customHeight="1" x14ac:dyDescent="0.2">
      <c r="A100" s="4" t="s">
        <v>116</v>
      </c>
      <c r="B100" s="4" t="s">
        <v>376</v>
      </c>
      <c r="C100" s="5" t="s">
        <v>377</v>
      </c>
      <c r="D100" s="5" t="s">
        <v>74</v>
      </c>
      <c r="E100" s="5" t="s">
        <v>541</v>
      </c>
      <c r="F100" s="6">
        <v>14890</v>
      </c>
      <c r="G100" s="6">
        <f t="shared" si="1"/>
        <v>110</v>
      </c>
    </row>
    <row r="101" spans="1:7" ht="18" customHeight="1" x14ac:dyDescent="0.2">
      <c r="A101" s="4" t="s">
        <v>119</v>
      </c>
      <c r="B101" s="4" t="s">
        <v>378</v>
      </c>
      <c r="C101" s="5" t="s">
        <v>379</v>
      </c>
      <c r="D101" s="5" t="s">
        <v>74</v>
      </c>
      <c r="E101" s="5" t="s">
        <v>541</v>
      </c>
      <c r="F101" s="6">
        <v>26460</v>
      </c>
      <c r="G101" s="6">
        <f t="shared" si="1"/>
        <v>150</v>
      </c>
    </row>
    <row r="102" spans="1:7" ht="18" customHeight="1" x14ac:dyDescent="0.2">
      <c r="A102" s="4" t="s">
        <v>120</v>
      </c>
      <c r="B102" s="4" t="s">
        <v>380</v>
      </c>
      <c r="C102" s="5" t="s">
        <v>381</v>
      </c>
      <c r="D102" s="5" t="s">
        <v>74</v>
      </c>
      <c r="E102" s="5" t="s">
        <v>541</v>
      </c>
      <c r="F102" s="6">
        <v>17190</v>
      </c>
      <c r="G102" s="6">
        <f t="shared" si="1"/>
        <v>130</v>
      </c>
    </row>
    <row r="103" spans="1:7" ht="18" customHeight="1" x14ac:dyDescent="0.2">
      <c r="A103" s="4" t="s">
        <v>123</v>
      </c>
      <c r="B103" s="4" t="s">
        <v>382</v>
      </c>
      <c r="C103" s="5" t="s">
        <v>383</v>
      </c>
      <c r="D103" s="5" t="s">
        <v>74</v>
      </c>
      <c r="E103" s="5" t="s">
        <v>541</v>
      </c>
      <c r="F103" s="6">
        <v>22000</v>
      </c>
      <c r="G103" s="6">
        <f t="shared" si="1"/>
        <v>130</v>
      </c>
    </row>
    <row r="104" spans="1:7" ht="18" customHeight="1" x14ac:dyDescent="0.2">
      <c r="A104" s="4" t="s">
        <v>126</v>
      </c>
      <c r="B104" s="4" t="s">
        <v>384</v>
      </c>
      <c r="C104" s="5" t="s">
        <v>385</v>
      </c>
      <c r="D104" s="5" t="s">
        <v>74</v>
      </c>
      <c r="E104" s="5" t="s">
        <v>541</v>
      </c>
      <c r="F104" s="6">
        <v>6850</v>
      </c>
      <c r="G104" s="6">
        <f t="shared" si="1"/>
        <v>0</v>
      </c>
    </row>
    <row r="105" spans="1:7" ht="18" customHeight="1" x14ac:dyDescent="0.2">
      <c r="A105" s="4" t="s">
        <v>127</v>
      </c>
      <c r="B105" s="4" t="s">
        <v>386</v>
      </c>
      <c r="C105" s="5" t="s">
        <v>387</v>
      </c>
      <c r="D105" s="5" t="s">
        <v>74</v>
      </c>
      <c r="E105" s="5" t="s">
        <v>541</v>
      </c>
      <c r="F105" s="6">
        <v>19374</v>
      </c>
      <c r="G105" s="6">
        <f t="shared" si="1"/>
        <v>130</v>
      </c>
    </row>
    <row r="106" spans="1:7" ht="18" customHeight="1" x14ac:dyDescent="0.2">
      <c r="A106" s="4" t="s">
        <v>130</v>
      </c>
      <c r="B106" s="4" t="s">
        <v>388</v>
      </c>
      <c r="C106" s="5" t="s">
        <v>389</v>
      </c>
      <c r="D106" s="5" t="s">
        <v>74</v>
      </c>
      <c r="E106" s="5" t="s">
        <v>541</v>
      </c>
      <c r="F106" s="6">
        <v>9800</v>
      </c>
      <c r="G106" s="6">
        <f t="shared" si="1"/>
        <v>0</v>
      </c>
    </row>
    <row r="107" spans="1:7" ht="18" customHeight="1" x14ac:dyDescent="0.2">
      <c r="A107" s="4" t="s">
        <v>131</v>
      </c>
      <c r="B107" s="4" t="s">
        <v>390</v>
      </c>
      <c r="C107" s="5" t="s">
        <v>391</v>
      </c>
      <c r="D107" s="5" t="s">
        <v>74</v>
      </c>
      <c r="E107" s="5" t="s">
        <v>541</v>
      </c>
      <c r="F107" s="6">
        <v>10250</v>
      </c>
      <c r="G107" s="6">
        <f t="shared" si="1"/>
        <v>110</v>
      </c>
    </row>
    <row r="108" spans="1:7" ht="18" customHeight="1" x14ac:dyDescent="0.2">
      <c r="A108" s="4" t="s">
        <v>134</v>
      </c>
      <c r="B108" s="4" t="s">
        <v>392</v>
      </c>
      <c r="C108" s="5" t="s">
        <v>393</v>
      </c>
      <c r="D108" s="5" t="s">
        <v>74</v>
      </c>
      <c r="E108" s="5" t="s">
        <v>541</v>
      </c>
      <c r="F108" s="6">
        <v>12100</v>
      </c>
      <c r="G108" s="6">
        <f t="shared" si="1"/>
        <v>110</v>
      </c>
    </row>
    <row r="109" spans="1:7" ht="18" customHeight="1" x14ac:dyDescent="0.2">
      <c r="A109" s="4" t="s">
        <v>135</v>
      </c>
      <c r="B109" s="4" t="s">
        <v>394</v>
      </c>
      <c r="C109" s="5" t="s">
        <v>395</v>
      </c>
      <c r="D109" s="5" t="s">
        <v>74</v>
      </c>
      <c r="E109" s="5" t="s">
        <v>541</v>
      </c>
      <c r="F109" s="6">
        <v>13230</v>
      </c>
      <c r="G109" s="6">
        <f t="shared" si="1"/>
        <v>110</v>
      </c>
    </row>
    <row r="110" spans="1:7" ht="18" customHeight="1" x14ac:dyDescent="0.2">
      <c r="A110" s="4" t="s">
        <v>136</v>
      </c>
      <c r="B110" s="4" t="s">
        <v>396</v>
      </c>
      <c r="C110" s="5" t="s">
        <v>397</v>
      </c>
      <c r="D110" s="5" t="s">
        <v>74</v>
      </c>
      <c r="E110" s="5" t="s">
        <v>541</v>
      </c>
      <c r="F110" s="6">
        <v>9700</v>
      </c>
      <c r="G110" s="6">
        <f t="shared" si="1"/>
        <v>0</v>
      </c>
    </row>
    <row r="111" spans="1:7" ht="18" customHeight="1" x14ac:dyDescent="0.2">
      <c r="A111" s="4" t="s">
        <v>139</v>
      </c>
      <c r="B111" s="4" t="s">
        <v>398</v>
      </c>
      <c r="C111" s="5" t="s">
        <v>399</v>
      </c>
      <c r="D111" s="5" t="s">
        <v>74</v>
      </c>
      <c r="E111" s="5" t="s">
        <v>541</v>
      </c>
      <c r="F111" s="6">
        <v>11760</v>
      </c>
      <c r="G111" s="6">
        <f t="shared" si="1"/>
        <v>110</v>
      </c>
    </row>
    <row r="112" spans="1:7" ht="18" customHeight="1" x14ac:dyDescent="0.2">
      <c r="A112" s="4" t="s">
        <v>140</v>
      </c>
      <c r="B112" s="4" t="s">
        <v>400</v>
      </c>
      <c r="C112" s="5" t="s">
        <v>401</v>
      </c>
      <c r="D112" s="5" t="s">
        <v>74</v>
      </c>
      <c r="E112" s="5" t="s">
        <v>541</v>
      </c>
      <c r="F112" s="6">
        <v>15000</v>
      </c>
      <c r="G112" s="6">
        <f t="shared" si="1"/>
        <v>110</v>
      </c>
    </row>
    <row r="113" spans="1:7" ht="18" customHeight="1" x14ac:dyDescent="0.2">
      <c r="A113" s="4" t="s">
        <v>141</v>
      </c>
      <c r="B113" s="4" t="s">
        <v>402</v>
      </c>
      <c r="C113" s="5" t="s">
        <v>403</v>
      </c>
      <c r="D113" s="5" t="s">
        <v>74</v>
      </c>
      <c r="E113" s="5" t="s">
        <v>541</v>
      </c>
      <c r="F113" s="6">
        <v>8625</v>
      </c>
      <c r="G113" s="6">
        <f t="shared" si="1"/>
        <v>0</v>
      </c>
    </row>
    <row r="114" spans="1:7" ht="18" customHeight="1" x14ac:dyDescent="0.2">
      <c r="A114" s="4" t="s">
        <v>144</v>
      </c>
      <c r="B114" s="4" t="s">
        <v>404</v>
      </c>
      <c r="C114" s="5" t="s">
        <v>405</v>
      </c>
      <c r="D114" s="5" t="s">
        <v>74</v>
      </c>
      <c r="E114" s="5" t="s">
        <v>541</v>
      </c>
      <c r="F114" s="6">
        <v>13000</v>
      </c>
      <c r="G114" s="6">
        <f t="shared" si="1"/>
        <v>110</v>
      </c>
    </row>
    <row r="115" spans="1:7" ht="18" customHeight="1" x14ac:dyDescent="0.2">
      <c r="A115" s="4" t="s">
        <v>145</v>
      </c>
      <c r="B115" s="4" t="s">
        <v>406</v>
      </c>
      <c r="C115" s="5" t="s">
        <v>407</v>
      </c>
      <c r="D115" s="5" t="s">
        <v>74</v>
      </c>
      <c r="E115" s="5" t="s">
        <v>541</v>
      </c>
      <c r="F115" s="6">
        <v>14700</v>
      </c>
      <c r="G115" s="6">
        <f t="shared" si="1"/>
        <v>110</v>
      </c>
    </row>
    <row r="116" spans="1:7" ht="18" customHeight="1" x14ac:dyDescent="0.2">
      <c r="A116" s="4" t="s">
        <v>148</v>
      </c>
      <c r="B116" s="4" t="s">
        <v>408</v>
      </c>
      <c r="C116" s="5" t="s">
        <v>409</v>
      </c>
      <c r="D116" s="5" t="s">
        <v>74</v>
      </c>
      <c r="E116" s="5" t="s">
        <v>541</v>
      </c>
      <c r="F116" s="6">
        <v>39400</v>
      </c>
      <c r="G116" s="6">
        <f t="shared" si="1"/>
        <v>150</v>
      </c>
    </row>
    <row r="117" spans="1:7" ht="18" customHeight="1" x14ac:dyDescent="0.2">
      <c r="A117" s="4" t="s">
        <v>149</v>
      </c>
      <c r="B117" s="4" t="s">
        <v>410</v>
      </c>
      <c r="C117" s="5" t="s">
        <v>411</v>
      </c>
      <c r="D117" s="5" t="s">
        <v>74</v>
      </c>
      <c r="E117" s="5" t="s">
        <v>541</v>
      </c>
      <c r="F117" s="6">
        <v>14700</v>
      </c>
      <c r="G117" s="6">
        <f t="shared" si="1"/>
        <v>110</v>
      </c>
    </row>
    <row r="118" spans="1:7" ht="18" customHeight="1" x14ac:dyDescent="0.2">
      <c r="A118" s="4" t="s">
        <v>150</v>
      </c>
      <c r="B118" s="4" t="s">
        <v>412</v>
      </c>
      <c r="C118" s="5" t="s">
        <v>413</v>
      </c>
      <c r="D118" s="5" t="s">
        <v>74</v>
      </c>
      <c r="E118" s="5" t="s">
        <v>541</v>
      </c>
      <c r="F118" s="6">
        <v>22314</v>
      </c>
      <c r="G118" s="6">
        <f t="shared" si="1"/>
        <v>130</v>
      </c>
    </row>
    <row r="119" spans="1:7" ht="18" customHeight="1" x14ac:dyDescent="0.2">
      <c r="A119" s="4" t="s">
        <v>153</v>
      </c>
      <c r="B119" s="4" t="s">
        <v>414</v>
      </c>
      <c r="C119" s="5" t="s">
        <v>415</v>
      </c>
      <c r="D119" s="5" t="s">
        <v>74</v>
      </c>
      <c r="E119" s="5" t="s">
        <v>541</v>
      </c>
      <c r="F119" s="6">
        <v>46060</v>
      </c>
      <c r="G119" s="6">
        <f t="shared" si="1"/>
        <v>200</v>
      </c>
    </row>
    <row r="120" spans="1:7" ht="18" customHeight="1" x14ac:dyDescent="0.2">
      <c r="A120" s="4" t="s">
        <v>154</v>
      </c>
      <c r="B120" s="4" t="s">
        <v>416</v>
      </c>
      <c r="C120" s="5" t="s">
        <v>417</v>
      </c>
      <c r="D120" s="5" t="s">
        <v>74</v>
      </c>
      <c r="E120" s="5" t="s">
        <v>541</v>
      </c>
      <c r="F120" s="6">
        <v>74000</v>
      </c>
      <c r="G120" s="6">
        <f t="shared" si="1"/>
        <v>200</v>
      </c>
    </row>
    <row r="121" spans="1:7" ht="18" customHeight="1" x14ac:dyDescent="0.2">
      <c r="A121" s="4" t="s">
        <v>155</v>
      </c>
      <c r="B121" s="4" t="s">
        <v>418</v>
      </c>
      <c r="C121" s="5" t="s">
        <v>419</v>
      </c>
      <c r="D121" s="5" t="s">
        <v>74</v>
      </c>
      <c r="E121" s="5" t="s">
        <v>541</v>
      </c>
      <c r="F121" s="6">
        <v>72912</v>
      </c>
      <c r="G121" s="6">
        <f t="shared" si="1"/>
        <v>200</v>
      </c>
    </row>
    <row r="122" spans="1:7" ht="18" customHeight="1" x14ac:dyDescent="0.2">
      <c r="A122" s="4" t="s">
        <v>156</v>
      </c>
      <c r="B122" s="4" t="s">
        <v>420</v>
      </c>
      <c r="C122" s="5" t="s">
        <v>421</v>
      </c>
      <c r="D122" s="5" t="s">
        <v>74</v>
      </c>
      <c r="E122" s="5" t="s">
        <v>541</v>
      </c>
      <c r="F122" s="6">
        <v>28850</v>
      </c>
      <c r="G122" s="6">
        <f t="shared" si="1"/>
        <v>150</v>
      </c>
    </row>
    <row r="123" spans="1:7" ht="18" customHeight="1" x14ac:dyDescent="0.2">
      <c r="A123" s="4" t="s">
        <v>157</v>
      </c>
      <c r="B123" s="4" t="s">
        <v>422</v>
      </c>
      <c r="C123" s="5" t="s">
        <v>423</v>
      </c>
      <c r="D123" s="5" t="s">
        <v>74</v>
      </c>
      <c r="E123" s="5" t="s">
        <v>541</v>
      </c>
      <c r="F123" s="6">
        <v>16382</v>
      </c>
      <c r="G123" s="6">
        <f t="shared" si="1"/>
        <v>130</v>
      </c>
    </row>
    <row r="124" spans="1:7" ht="18" customHeight="1" x14ac:dyDescent="0.2">
      <c r="A124" s="4" t="s">
        <v>160</v>
      </c>
      <c r="B124" s="4" t="s">
        <v>424</v>
      </c>
      <c r="C124" s="5" t="s">
        <v>425</v>
      </c>
      <c r="D124" s="5" t="s">
        <v>74</v>
      </c>
      <c r="E124" s="5" t="s">
        <v>541</v>
      </c>
      <c r="F124" s="6">
        <v>18980</v>
      </c>
      <c r="G124" s="6">
        <f t="shared" si="1"/>
        <v>130</v>
      </c>
    </row>
    <row r="125" spans="1:7" ht="18" customHeight="1" x14ac:dyDescent="0.2">
      <c r="A125" s="4" t="s">
        <v>163</v>
      </c>
      <c r="B125" s="4" t="s">
        <v>426</v>
      </c>
      <c r="C125" s="5" t="s">
        <v>427</v>
      </c>
      <c r="D125" s="5" t="s">
        <v>74</v>
      </c>
      <c r="E125" s="5" t="s">
        <v>541</v>
      </c>
      <c r="F125" s="6">
        <v>24822</v>
      </c>
      <c r="G125" s="6">
        <f t="shared" si="1"/>
        <v>130</v>
      </c>
    </row>
    <row r="126" spans="1:7" ht="18" customHeight="1" x14ac:dyDescent="0.2">
      <c r="A126" s="4" t="s">
        <v>164</v>
      </c>
      <c r="B126" s="4" t="s">
        <v>428</v>
      </c>
      <c r="C126" s="5" t="s">
        <v>429</v>
      </c>
      <c r="D126" s="5" t="s">
        <v>74</v>
      </c>
      <c r="E126" s="5" t="s">
        <v>541</v>
      </c>
      <c r="F126" s="6">
        <v>11350</v>
      </c>
      <c r="G126" s="6">
        <f t="shared" si="1"/>
        <v>110</v>
      </c>
    </row>
    <row r="127" spans="1:7" ht="18" customHeight="1" x14ac:dyDescent="0.2">
      <c r="A127" s="4" t="s">
        <v>167</v>
      </c>
      <c r="B127" s="4" t="s">
        <v>430</v>
      </c>
      <c r="C127" s="5" t="s">
        <v>431</v>
      </c>
      <c r="D127" s="5" t="s">
        <v>74</v>
      </c>
      <c r="E127" s="5" t="s">
        <v>541</v>
      </c>
      <c r="F127" s="6">
        <v>24500</v>
      </c>
      <c r="G127" s="6">
        <f t="shared" si="1"/>
        <v>130</v>
      </c>
    </row>
    <row r="128" spans="1:7" ht="18" customHeight="1" x14ac:dyDescent="0.2">
      <c r="A128" s="4" t="s">
        <v>168</v>
      </c>
      <c r="B128" s="4" t="s">
        <v>432</v>
      </c>
      <c r="C128" s="5" t="s">
        <v>433</v>
      </c>
      <c r="D128" s="5" t="s">
        <v>74</v>
      </c>
      <c r="E128" s="5" t="s">
        <v>541</v>
      </c>
      <c r="F128" s="6">
        <v>12250</v>
      </c>
      <c r="G128" s="6">
        <f t="shared" si="1"/>
        <v>110</v>
      </c>
    </row>
    <row r="129" spans="1:7" ht="18" customHeight="1" x14ac:dyDescent="0.2">
      <c r="A129" s="4" t="s">
        <v>171</v>
      </c>
      <c r="B129" s="4" t="s">
        <v>434</v>
      </c>
      <c r="C129" s="5" t="s">
        <v>435</v>
      </c>
      <c r="D129" s="5" t="s">
        <v>74</v>
      </c>
      <c r="E129" s="5" t="s">
        <v>541</v>
      </c>
      <c r="F129" s="6">
        <v>17640</v>
      </c>
      <c r="G129" s="6">
        <f t="shared" si="1"/>
        <v>130</v>
      </c>
    </row>
    <row r="130" spans="1:7" ht="18" customHeight="1" x14ac:dyDescent="0.2">
      <c r="A130" s="4" t="s">
        <v>172</v>
      </c>
      <c r="B130" s="4" t="s">
        <v>436</v>
      </c>
      <c r="C130" s="5" t="s">
        <v>437</v>
      </c>
      <c r="D130" s="5" t="s">
        <v>74</v>
      </c>
      <c r="E130" s="5" t="s">
        <v>541</v>
      </c>
      <c r="F130" s="6">
        <v>13230</v>
      </c>
      <c r="G130" s="6">
        <f t="shared" si="1"/>
        <v>110</v>
      </c>
    </row>
    <row r="131" spans="1:7" ht="18" customHeight="1" x14ac:dyDescent="0.2">
      <c r="A131" s="4" t="s">
        <v>173</v>
      </c>
      <c r="B131" s="4" t="s">
        <v>438</v>
      </c>
      <c r="C131" s="5" t="s">
        <v>439</v>
      </c>
      <c r="D131" s="5" t="s">
        <v>74</v>
      </c>
      <c r="E131" s="5" t="s">
        <v>541</v>
      </c>
      <c r="F131" s="6">
        <v>9800</v>
      </c>
      <c r="G131" s="6">
        <f t="shared" si="1"/>
        <v>0</v>
      </c>
    </row>
    <row r="132" spans="1:7" ht="18" customHeight="1" x14ac:dyDescent="0.2">
      <c r="A132" s="4" t="s">
        <v>174</v>
      </c>
      <c r="B132" s="4" t="s">
        <v>440</v>
      </c>
      <c r="C132" s="5" t="s">
        <v>441</v>
      </c>
      <c r="D132" s="5" t="s">
        <v>74</v>
      </c>
      <c r="E132" s="5" t="s">
        <v>541</v>
      </c>
      <c r="F132" s="6">
        <v>29400</v>
      </c>
      <c r="G132" s="6">
        <f t="shared" ref="G132:G181" si="2">IF(F132&lt;10001,0,IF(F132&lt;15001,110,IF(F132&lt;25001,130,IF(F132&lt;40001,150,200))))</f>
        <v>150</v>
      </c>
    </row>
    <row r="133" spans="1:7" ht="18" customHeight="1" x14ac:dyDescent="0.2">
      <c r="A133" s="4" t="s">
        <v>177</v>
      </c>
      <c r="B133" s="4" t="s">
        <v>442</v>
      </c>
      <c r="C133" s="5" t="s">
        <v>443</v>
      </c>
      <c r="D133" s="5" t="s">
        <v>74</v>
      </c>
      <c r="E133" s="5" t="s">
        <v>541</v>
      </c>
      <c r="F133" s="6">
        <v>20620</v>
      </c>
      <c r="G133" s="6">
        <f t="shared" si="2"/>
        <v>130</v>
      </c>
    </row>
    <row r="134" spans="1:7" ht="18" customHeight="1" x14ac:dyDescent="0.2">
      <c r="A134" s="4" t="s">
        <v>178</v>
      </c>
      <c r="B134" s="4" t="s">
        <v>444</v>
      </c>
      <c r="C134" s="5" t="s">
        <v>445</v>
      </c>
      <c r="D134" s="5" t="s">
        <v>74</v>
      </c>
      <c r="E134" s="5" t="s">
        <v>541</v>
      </c>
      <c r="F134" s="6">
        <v>15680</v>
      </c>
      <c r="G134" s="6">
        <f t="shared" si="2"/>
        <v>130</v>
      </c>
    </row>
    <row r="135" spans="1:7" ht="18" customHeight="1" x14ac:dyDescent="0.2">
      <c r="A135" s="4" t="s">
        <v>181</v>
      </c>
      <c r="B135" s="4" t="s">
        <v>446</v>
      </c>
      <c r="C135" s="5" t="s">
        <v>447</v>
      </c>
      <c r="D135" s="5" t="s">
        <v>74</v>
      </c>
      <c r="E135" s="5" t="s">
        <v>541</v>
      </c>
      <c r="F135" s="6">
        <v>42480</v>
      </c>
      <c r="G135" s="6">
        <f t="shared" si="2"/>
        <v>200</v>
      </c>
    </row>
    <row r="136" spans="1:7" ht="18" customHeight="1" x14ac:dyDescent="0.2">
      <c r="A136" s="4" t="s">
        <v>182</v>
      </c>
      <c r="B136" s="4" t="s">
        <v>448</v>
      </c>
      <c r="C136" s="5" t="s">
        <v>449</v>
      </c>
      <c r="D136" s="5" t="s">
        <v>74</v>
      </c>
      <c r="E136" s="5" t="s">
        <v>541</v>
      </c>
      <c r="F136" s="6">
        <v>12000</v>
      </c>
      <c r="G136" s="6">
        <f t="shared" si="2"/>
        <v>110</v>
      </c>
    </row>
    <row r="137" spans="1:7" ht="18" customHeight="1" x14ac:dyDescent="0.2">
      <c r="A137" s="4" t="s">
        <v>183</v>
      </c>
      <c r="B137" s="4" t="s">
        <v>450</v>
      </c>
      <c r="C137" s="5" t="s">
        <v>451</v>
      </c>
      <c r="D137" s="5" t="s">
        <v>74</v>
      </c>
      <c r="E137" s="5" t="s">
        <v>541</v>
      </c>
      <c r="F137" s="6">
        <v>21500</v>
      </c>
      <c r="G137" s="6">
        <f t="shared" si="2"/>
        <v>130</v>
      </c>
    </row>
    <row r="138" spans="1:7" ht="18" customHeight="1" x14ac:dyDescent="0.2">
      <c r="A138" s="4" t="s">
        <v>184</v>
      </c>
      <c r="B138" s="4" t="s">
        <v>452</v>
      </c>
      <c r="C138" s="5" t="s">
        <v>453</v>
      </c>
      <c r="D138" s="5" t="s">
        <v>74</v>
      </c>
      <c r="E138" s="5" t="s">
        <v>541</v>
      </c>
      <c r="F138" s="6">
        <v>3274</v>
      </c>
      <c r="G138" s="6">
        <f t="shared" si="2"/>
        <v>0</v>
      </c>
    </row>
    <row r="139" spans="1:7" ht="18" customHeight="1" x14ac:dyDescent="0.2">
      <c r="A139" s="4" t="s">
        <v>185</v>
      </c>
      <c r="B139" s="4" t="s">
        <v>454</v>
      </c>
      <c r="C139" s="5" t="s">
        <v>455</v>
      </c>
      <c r="D139" s="5" t="s">
        <v>74</v>
      </c>
      <c r="E139" s="5" t="s">
        <v>541</v>
      </c>
      <c r="F139" s="6">
        <v>11000</v>
      </c>
      <c r="G139" s="6">
        <f t="shared" si="2"/>
        <v>110</v>
      </c>
    </row>
    <row r="140" spans="1:7" ht="18" customHeight="1" x14ac:dyDescent="0.2">
      <c r="A140" s="4" t="s">
        <v>186</v>
      </c>
      <c r="B140" s="4" t="s">
        <v>456</v>
      </c>
      <c r="C140" s="5" t="s">
        <v>457</v>
      </c>
      <c r="D140" s="5" t="s">
        <v>74</v>
      </c>
      <c r="E140" s="5" t="s">
        <v>541</v>
      </c>
      <c r="F140" s="6">
        <v>17500</v>
      </c>
      <c r="G140" s="6">
        <f t="shared" si="2"/>
        <v>130</v>
      </c>
    </row>
    <row r="141" spans="1:7" ht="18" customHeight="1" x14ac:dyDescent="0.2">
      <c r="A141" s="4" t="s">
        <v>187</v>
      </c>
      <c r="B141" s="4" t="s">
        <v>458</v>
      </c>
      <c r="C141" s="5" t="s">
        <v>459</v>
      </c>
      <c r="D141" s="5" t="s">
        <v>74</v>
      </c>
      <c r="E141" s="5" t="s">
        <v>541</v>
      </c>
      <c r="F141" s="6">
        <v>35000</v>
      </c>
      <c r="G141" s="6">
        <f t="shared" si="2"/>
        <v>150</v>
      </c>
    </row>
    <row r="142" spans="1:7" ht="18" customHeight="1" x14ac:dyDescent="0.2">
      <c r="A142" s="4" t="s">
        <v>190</v>
      </c>
      <c r="B142" s="4" t="s">
        <v>460</v>
      </c>
      <c r="C142" s="5" t="s">
        <v>461</v>
      </c>
      <c r="D142" s="5" t="s">
        <v>74</v>
      </c>
      <c r="E142" s="5" t="s">
        <v>541</v>
      </c>
      <c r="F142" s="6">
        <v>8000</v>
      </c>
      <c r="G142" s="6">
        <f t="shared" si="2"/>
        <v>0</v>
      </c>
    </row>
    <row r="143" spans="1:7" ht="18" customHeight="1" x14ac:dyDescent="0.2">
      <c r="A143" s="4" t="s">
        <v>191</v>
      </c>
      <c r="B143" s="4" t="s">
        <v>462</v>
      </c>
      <c r="C143" s="5" t="s">
        <v>463</v>
      </c>
      <c r="D143" s="5" t="s">
        <v>74</v>
      </c>
      <c r="E143" s="5" t="s">
        <v>541</v>
      </c>
      <c r="F143" s="6">
        <v>8500</v>
      </c>
      <c r="G143" s="6">
        <f t="shared" si="2"/>
        <v>0</v>
      </c>
    </row>
    <row r="144" spans="1:7" ht="18" customHeight="1" x14ac:dyDescent="0.2">
      <c r="A144" s="4" t="s">
        <v>194</v>
      </c>
      <c r="B144" s="4" t="s">
        <v>464</v>
      </c>
      <c r="C144" s="5" t="s">
        <v>465</v>
      </c>
      <c r="D144" s="5" t="s">
        <v>74</v>
      </c>
      <c r="E144" s="5" t="s">
        <v>541</v>
      </c>
      <c r="F144" s="6">
        <v>11500</v>
      </c>
      <c r="G144" s="6">
        <f t="shared" si="2"/>
        <v>110</v>
      </c>
    </row>
    <row r="145" spans="1:7" ht="18" customHeight="1" x14ac:dyDescent="0.2">
      <c r="A145" s="4" t="s">
        <v>197</v>
      </c>
      <c r="B145" s="4" t="s">
        <v>466</v>
      </c>
      <c r="C145" s="5" t="s">
        <v>467</v>
      </c>
      <c r="D145" s="5" t="s">
        <v>74</v>
      </c>
      <c r="E145" s="5" t="s">
        <v>541</v>
      </c>
      <c r="F145" s="6">
        <v>7500</v>
      </c>
      <c r="G145" s="6">
        <f t="shared" si="2"/>
        <v>0</v>
      </c>
    </row>
    <row r="146" spans="1:7" ht="18" customHeight="1" x14ac:dyDescent="0.2">
      <c r="A146" s="4" t="s">
        <v>199</v>
      </c>
      <c r="B146" s="4" t="s">
        <v>468</v>
      </c>
      <c r="C146" s="5" t="s">
        <v>469</v>
      </c>
      <c r="D146" s="5" t="s">
        <v>74</v>
      </c>
      <c r="E146" s="5" t="s">
        <v>541</v>
      </c>
      <c r="F146" s="6">
        <v>14000</v>
      </c>
      <c r="G146" s="6">
        <f t="shared" si="2"/>
        <v>110</v>
      </c>
    </row>
    <row r="147" spans="1:7" ht="18" customHeight="1" x14ac:dyDescent="0.2">
      <c r="A147" s="4" t="s">
        <v>200</v>
      </c>
      <c r="B147" s="4" t="s">
        <v>470</v>
      </c>
      <c r="C147" s="5" t="s">
        <v>471</v>
      </c>
      <c r="D147" s="5" t="s">
        <v>74</v>
      </c>
      <c r="E147" s="5" t="s">
        <v>541</v>
      </c>
      <c r="F147" s="6">
        <v>8000</v>
      </c>
      <c r="G147" s="6">
        <f t="shared" si="2"/>
        <v>0</v>
      </c>
    </row>
    <row r="148" spans="1:7" ht="18" customHeight="1" x14ac:dyDescent="0.2">
      <c r="A148" s="4" t="s">
        <v>203</v>
      </c>
      <c r="B148" s="4" t="s">
        <v>472</v>
      </c>
      <c r="C148" s="5" t="s">
        <v>473</v>
      </c>
      <c r="D148" s="5" t="s">
        <v>74</v>
      </c>
      <c r="E148" s="5" t="s">
        <v>541</v>
      </c>
      <c r="F148" s="6">
        <v>9000</v>
      </c>
      <c r="G148" s="6">
        <f t="shared" si="2"/>
        <v>0</v>
      </c>
    </row>
    <row r="149" spans="1:7" ht="18" customHeight="1" x14ac:dyDescent="0.2">
      <c r="A149" s="4" t="s">
        <v>204</v>
      </c>
      <c r="B149" s="4" t="s">
        <v>474</v>
      </c>
      <c r="C149" s="5" t="s">
        <v>475</v>
      </c>
      <c r="D149" s="5" t="s">
        <v>74</v>
      </c>
      <c r="E149" s="5" t="s">
        <v>541</v>
      </c>
      <c r="F149" s="6">
        <v>14000</v>
      </c>
      <c r="G149" s="6">
        <f t="shared" si="2"/>
        <v>110</v>
      </c>
    </row>
    <row r="150" spans="1:7" ht="18" customHeight="1" x14ac:dyDescent="0.2">
      <c r="A150" s="4" t="s">
        <v>205</v>
      </c>
      <c r="B150" s="4" t="s">
        <v>476</v>
      </c>
      <c r="C150" s="5" t="s">
        <v>477</v>
      </c>
      <c r="D150" s="5" t="s">
        <v>74</v>
      </c>
      <c r="E150" s="5" t="s">
        <v>541</v>
      </c>
      <c r="F150" s="6">
        <v>7500</v>
      </c>
      <c r="G150" s="6">
        <f t="shared" si="2"/>
        <v>0</v>
      </c>
    </row>
    <row r="151" spans="1:7" ht="18" customHeight="1" x14ac:dyDescent="0.2">
      <c r="A151" s="4" t="s">
        <v>206</v>
      </c>
      <c r="B151" s="4" t="s">
        <v>478</v>
      </c>
      <c r="C151" s="5" t="s">
        <v>479</v>
      </c>
      <c r="D151" s="5" t="s">
        <v>74</v>
      </c>
      <c r="E151" s="5" t="s">
        <v>541</v>
      </c>
      <c r="F151" s="6">
        <v>8750</v>
      </c>
      <c r="G151" s="6">
        <f t="shared" si="2"/>
        <v>0</v>
      </c>
    </row>
    <row r="152" spans="1:7" ht="18" customHeight="1" x14ac:dyDescent="0.2">
      <c r="A152" s="4" t="s">
        <v>207</v>
      </c>
      <c r="B152" s="4" t="s">
        <v>480</v>
      </c>
      <c r="C152" s="5" t="s">
        <v>481</v>
      </c>
      <c r="D152" s="5" t="s">
        <v>74</v>
      </c>
      <c r="E152" s="5" t="s">
        <v>541</v>
      </c>
      <c r="F152" s="6">
        <v>25000</v>
      </c>
      <c r="G152" s="6">
        <f t="shared" si="2"/>
        <v>130</v>
      </c>
    </row>
    <row r="153" spans="1:7" ht="18" customHeight="1" x14ac:dyDescent="0.2">
      <c r="A153" s="4" t="s">
        <v>208</v>
      </c>
      <c r="B153" s="4" t="s">
        <v>482</v>
      </c>
      <c r="C153" s="5" t="s">
        <v>483</v>
      </c>
      <c r="D153" s="5" t="s">
        <v>74</v>
      </c>
      <c r="E153" s="5" t="s">
        <v>541</v>
      </c>
      <c r="F153" s="6">
        <v>9000</v>
      </c>
      <c r="G153" s="6">
        <f t="shared" si="2"/>
        <v>0</v>
      </c>
    </row>
    <row r="154" spans="1:7" ht="18" customHeight="1" x14ac:dyDescent="0.2">
      <c r="A154" s="4" t="s">
        <v>210</v>
      </c>
      <c r="B154" s="4" t="s">
        <v>484</v>
      </c>
      <c r="C154" s="5" t="s">
        <v>485</v>
      </c>
      <c r="D154" s="5" t="s">
        <v>74</v>
      </c>
      <c r="E154" s="5" t="s">
        <v>541</v>
      </c>
      <c r="F154" s="6">
        <v>3677</v>
      </c>
      <c r="G154" s="6">
        <f t="shared" si="2"/>
        <v>0</v>
      </c>
    </row>
    <row r="155" spans="1:7" ht="18" customHeight="1" x14ac:dyDescent="0.2">
      <c r="A155" s="4" t="s">
        <v>213</v>
      </c>
      <c r="B155" s="4" t="s">
        <v>486</v>
      </c>
      <c r="C155" s="5" t="s">
        <v>487</v>
      </c>
      <c r="D155" s="5" t="s">
        <v>74</v>
      </c>
      <c r="E155" s="5" t="s">
        <v>541</v>
      </c>
      <c r="F155" s="6">
        <v>8903</v>
      </c>
      <c r="G155" s="6">
        <f t="shared" si="2"/>
        <v>0</v>
      </c>
    </row>
    <row r="156" spans="1:7" ht="18" customHeight="1" x14ac:dyDescent="0.2">
      <c r="A156" s="4" t="s">
        <v>214</v>
      </c>
      <c r="B156" s="4" t="s">
        <v>488</v>
      </c>
      <c r="C156" s="5" t="s">
        <v>489</v>
      </c>
      <c r="D156" s="5" t="s">
        <v>74</v>
      </c>
      <c r="E156" s="5" t="s">
        <v>541</v>
      </c>
      <c r="F156" s="6">
        <v>60800</v>
      </c>
      <c r="G156" s="6">
        <f t="shared" si="2"/>
        <v>200</v>
      </c>
    </row>
    <row r="157" spans="1:7" ht="18" customHeight="1" x14ac:dyDescent="0.2">
      <c r="A157" s="4" t="s">
        <v>215</v>
      </c>
      <c r="B157" s="4" t="s">
        <v>490</v>
      </c>
      <c r="C157" s="5" t="s">
        <v>491</v>
      </c>
      <c r="D157" s="5" t="s">
        <v>74</v>
      </c>
      <c r="E157" s="5" t="s">
        <v>541</v>
      </c>
      <c r="F157" s="6">
        <v>18000</v>
      </c>
      <c r="G157" s="6">
        <f t="shared" si="2"/>
        <v>130</v>
      </c>
    </row>
    <row r="158" spans="1:7" ht="18" customHeight="1" x14ac:dyDescent="0.2">
      <c r="A158" s="4" t="s">
        <v>218</v>
      </c>
      <c r="B158" s="4" t="s">
        <v>492</v>
      </c>
      <c r="C158" s="5" t="s">
        <v>493</v>
      </c>
      <c r="D158" s="5" t="s">
        <v>74</v>
      </c>
      <c r="E158" s="5" t="s">
        <v>541</v>
      </c>
      <c r="F158" s="6">
        <v>10000</v>
      </c>
      <c r="G158" s="6">
        <f t="shared" si="2"/>
        <v>0</v>
      </c>
    </row>
    <row r="159" spans="1:7" ht="18" customHeight="1" x14ac:dyDescent="0.2">
      <c r="A159" s="4" t="s">
        <v>219</v>
      </c>
      <c r="B159" s="4" t="s">
        <v>494</v>
      </c>
      <c r="C159" s="5" t="s">
        <v>495</v>
      </c>
      <c r="D159" s="5" t="s">
        <v>74</v>
      </c>
      <c r="E159" s="5" t="s">
        <v>541</v>
      </c>
      <c r="F159" s="6">
        <v>11000</v>
      </c>
      <c r="G159" s="6">
        <f t="shared" si="2"/>
        <v>110</v>
      </c>
    </row>
    <row r="160" spans="1:7" ht="18" customHeight="1" x14ac:dyDescent="0.2">
      <c r="A160" s="4" t="s">
        <v>220</v>
      </c>
      <c r="B160" s="4" t="s">
        <v>496</v>
      </c>
      <c r="C160" s="5" t="s">
        <v>497</v>
      </c>
      <c r="D160" s="5" t="s">
        <v>74</v>
      </c>
      <c r="E160" s="5" t="s">
        <v>541</v>
      </c>
      <c r="F160" s="6">
        <v>26000</v>
      </c>
      <c r="G160" s="6">
        <f t="shared" si="2"/>
        <v>150</v>
      </c>
    </row>
    <row r="161" spans="1:7" ht="18" customHeight="1" x14ac:dyDescent="0.2">
      <c r="A161" s="4" t="s">
        <v>221</v>
      </c>
      <c r="B161" s="4" t="s">
        <v>498</v>
      </c>
      <c r="C161" s="5" t="s">
        <v>499</v>
      </c>
      <c r="D161" s="5" t="s">
        <v>74</v>
      </c>
      <c r="E161" s="5" t="s">
        <v>541</v>
      </c>
      <c r="F161" s="6">
        <v>14000</v>
      </c>
      <c r="G161" s="6">
        <f t="shared" si="2"/>
        <v>110</v>
      </c>
    </row>
    <row r="162" spans="1:7" ht="18" customHeight="1" x14ac:dyDescent="0.2">
      <c r="A162" s="4" t="s">
        <v>222</v>
      </c>
      <c r="B162" s="4" t="s">
        <v>500</v>
      </c>
      <c r="C162" s="5" t="s">
        <v>501</v>
      </c>
      <c r="D162" s="5" t="s">
        <v>74</v>
      </c>
      <c r="E162" s="5" t="s">
        <v>541</v>
      </c>
      <c r="F162" s="6">
        <v>9823</v>
      </c>
      <c r="G162" s="6">
        <f t="shared" si="2"/>
        <v>0</v>
      </c>
    </row>
    <row r="163" spans="1:7" ht="18" customHeight="1" x14ac:dyDescent="0.2">
      <c r="A163" s="4" t="s">
        <v>225</v>
      </c>
      <c r="B163" s="4" t="s">
        <v>502</v>
      </c>
      <c r="C163" s="5" t="s">
        <v>503</v>
      </c>
      <c r="D163" s="5" t="s">
        <v>74</v>
      </c>
      <c r="E163" s="5" t="s">
        <v>541</v>
      </c>
      <c r="F163" s="6">
        <v>22000</v>
      </c>
      <c r="G163" s="6">
        <f t="shared" si="2"/>
        <v>130</v>
      </c>
    </row>
    <row r="164" spans="1:7" ht="18" customHeight="1" x14ac:dyDescent="0.2">
      <c r="A164" s="4" t="s">
        <v>226</v>
      </c>
      <c r="B164" s="4" t="s">
        <v>504</v>
      </c>
      <c r="C164" s="5" t="s">
        <v>505</v>
      </c>
      <c r="D164" s="5" t="s">
        <v>74</v>
      </c>
      <c r="E164" s="5" t="s">
        <v>541</v>
      </c>
      <c r="F164" s="6">
        <v>275700</v>
      </c>
      <c r="G164" s="6">
        <f t="shared" si="2"/>
        <v>200</v>
      </c>
    </row>
    <row r="165" spans="1:7" ht="18" customHeight="1" x14ac:dyDescent="0.2">
      <c r="A165" s="4" t="s">
        <v>229</v>
      </c>
      <c r="B165" s="4" t="s">
        <v>506</v>
      </c>
      <c r="C165" s="5" t="s">
        <v>507</v>
      </c>
      <c r="D165" s="5" t="s">
        <v>74</v>
      </c>
      <c r="E165" s="5" t="s">
        <v>541</v>
      </c>
      <c r="F165" s="6">
        <v>45000</v>
      </c>
      <c r="G165" s="6">
        <f t="shared" si="2"/>
        <v>200</v>
      </c>
    </row>
    <row r="166" spans="1:7" ht="18" customHeight="1" x14ac:dyDescent="0.2">
      <c r="A166" s="4" t="s">
        <v>232</v>
      </c>
      <c r="B166" s="4" t="s">
        <v>508</v>
      </c>
      <c r="C166" s="5" t="s">
        <v>509</v>
      </c>
      <c r="D166" s="5" t="s">
        <v>74</v>
      </c>
      <c r="E166" s="5" t="s">
        <v>541</v>
      </c>
      <c r="F166" s="6">
        <v>710</v>
      </c>
      <c r="G166" s="6">
        <f t="shared" si="2"/>
        <v>0</v>
      </c>
    </row>
    <row r="167" spans="1:7" ht="18" customHeight="1" x14ac:dyDescent="0.2">
      <c r="A167" s="4" t="s">
        <v>235</v>
      </c>
      <c r="B167" s="4" t="s">
        <v>510</v>
      </c>
      <c r="C167" s="5" t="s">
        <v>511</v>
      </c>
      <c r="D167" s="5" t="s">
        <v>74</v>
      </c>
      <c r="E167" s="5" t="s">
        <v>541</v>
      </c>
      <c r="F167" s="6">
        <v>25000</v>
      </c>
      <c r="G167" s="6">
        <f t="shared" si="2"/>
        <v>130</v>
      </c>
    </row>
    <row r="168" spans="1:7" ht="18" customHeight="1" x14ac:dyDescent="0.2">
      <c r="A168" s="4" t="s">
        <v>238</v>
      </c>
      <c r="B168" s="4" t="s">
        <v>512</v>
      </c>
      <c r="C168" s="5" t="s">
        <v>513</v>
      </c>
      <c r="D168" s="5" t="s">
        <v>74</v>
      </c>
      <c r="E168" s="5" t="s">
        <v>541</v>
      </c>
      <c r="F168" s="6">
        <v>30000</v>
      </c>
      <c r="G168" s="6">
        <f t="shared" si="2"/>
        <v>150</v>
      </c>
    </row>
    <row r="169" spans="1:7" ht="18" customHeight="1" x14ac:dyDescent="0.2">
      <c r="A169" s="4" t="s">
        <v>239</v>
      </c>
      <c r="B169" s="4" t="s">
        <v>514</v>
      </c>
      <c r="C169" s="5" t="s">
        <v>515</v>
      </c>
      <c r="D169" s="5" t="s">
        <v>74</v>
      </c>
      <c r="E169" s="5" t="s">
        <v>541</v>
      </c>
      <c r="F169" s="6">
        <v>13000</v>
      </c>
      <c r="G169" s="6">
        <f t="shared" si="2"/>
        <v>110</v>
      </c>
    </row>
    <row r="170" spans="1:7" ht="18" customHeight="1" x14ac:dyDescent="0.2">
      <c r="A170" s="4" t="s">
        <v>242</v>
      </c>
      <c r="B170" s="4" t="s">
        <v>516</v>
      </c>
      <c r="C170" s="5" t="s">
        <v>517</v>
      </c>
      <c r="D170" s="5" t="s">
        <v>74</v>
      </c>
      <c r="E170" s="5" t="s">
        <v>541</v>
      </c>
      <c r="F170" s="6">
        <v>50000</v>
      </c>
      <c r="G170" s="6">
        <f t="shared" si="2"/>
        <v>200</v>
      </c>
    </row>
    <row r="171" spans="1:7" ht="18" customHeight="1" x14ac:dyDescent="0.2">
      <c r="A171" s="4" t="s">
        <v>245</v>
      </c>
      <c r="B171" s="4" t="s">
        <v>518</v>
      </c>
      <c r="C171" s="5" t="s">
        <v>519</v>
      </c>
      <c r="D171" s="5" t="s">
        <v>74</v>
      </c>
      <c r="E171" s="5" t="s">
        <v>541</v>
      </c>
      <c r="F171" s="6">
        <v>40000</v>
      </c>
      <c r="G171" s="6">
        <f t="shared" si="2"/>
        <v>150</v>
      </c>
    </row>
    <row r="172" spans="1:7" ht="18" customHeight="1" x14ac:dyDescent="0.2">
      <c r="A172" s="4" t="s">
        <v>246</v>
      </c>
      <c r="B172" s="4" t="s">
        <v>520</v>
      </c>
      <c r="C172" s="5" t="s">
        <v>521</v>
      </c>
      <c r="D172" s="5" t="s">
        <v>74</v>
      </c>
      <c r="E172" s="5" t="s">
        <v>541</v>
      </c>
      <c r="F172" s="6">
        <v>35000</v>
      </c>
      <c r="G172" s="6">
        <f t="shared" si="2"/>
        <v>150</v>
      </c>
    </row>
    <row r="173" spans="1:7" ht="18" customHeight="1" x14ac:dyDescent="0.2">
      <c r="A173" s="4" t="s">
        <v>249</v>
      </c>
      <c r="B173" s="4" t="s">
        <v>522</v>
      </c>
      <c r="C173" s="5" t="s">
        <v>523</v>
      </c>
      <c r="D173" s="5" t="s">
        <v>74</v>
      </c>
      <c r="E173" s="5" t="s">
        <v>541</v>
      </c>
      <c r="F173" s="6">
        <v>30000</v>
      </c>
      <c r="G173" s="6">
        <f t="shared" si="2"/>
        <v>150</v>
      </c>
    </row>
    <row r="174" spans="1:7" ht="18" customHeight="1" x14ac:dyDescent="0.2">
      <c r="A174" s="4" t="s">
        <v>252</v>
      </c>
      <c r="B174" s="4" t="s">
        <v>524</v>
      </c>
      <c r="C174" s="5" t="s">
        <v>525</v>
      </c>
      <c r="D174" s="5" t="s">
        <v>74</v>
      </c>
      <c r="E174" s="5" t="s">
        <v>541</v>
      </c>
      <c r="F174" s="6">
        <v>41097</v>
      </c>
      <c r="G174" s="6">
        <f t="shared" si="2"/>
        <v>200</v>
      </c>
    </row>
    <row r="175" spans="1:7" ht="18" customHeight="1" x14ac:dyDescent="0.2">
      <c r="A175" s="4" t="s">
        <v>255</v>
      </c>
      <c r="B175" s="4" t="s">
        <v>526</v>
      </c>
      <c r="C175" s="5" t="s">
        <v>527</v>
      </c>
      <c r="D175" s="5" t="s">
        <v>74</v>
      </c>
      <c r="E175" s="5" t="s">
        <v>541</v>
      </c>
      <c r="F175" s="6">
        <v>12000</v>
      </c>
      <c r="G175" s="6">
        <f t="shared" si="2"/>
        <v>110</v>
      </c>
    </row>
    <row r="176" spans="1:7" ht="18" customHeight="1" x14ac:dyDescent="0.2">
      <c r="A176" s="4" t="s">
        <v>258</v>
      </c>
      <c r="B176" s="4" t="s">
        <v>528</v>
      </c>
      <c r="C176" s="5" t="s">
        <v>529</v>
      </c>
      <c r="D176" s="5" t="s">
        <v>74</v>
      </c>
      <c r="E176" s="5" t="s">
        <v>541</v>
      </c>
      <c r="F176" s="6">
        <v>12000</v>
      </c>
      <c r="G176" s="6">
        <f t="shared" si="2"/>
        <v>110</v>
      </c>
    </row>
    <row r="177" spans="1:7" ht="18" customHeight="1" x14ac:dyDescent="0.2">
      <c r="A177" s="4" t="s">
        <v>261</v>
      </c>
      <c r="B177" s="4" t="s">
        <v>530</v>
      </c>
      <c r="C177" s="5" t="s">
        <v>531</v>
      </c>
      <c r="D177" s="5" t="s">
        <v>74</v>
      </c>
      <c r="E177" s="5" t="s">
        <v>541</v>
      </c>
      <c r="F177" s="6">
        <v>24000</v>
      </c>
      <c r="G177" s="6">
        <f t="shared" si="2"/>
        <v>130</v>
      </c>
    </row>
    <row r="178" spans="1:7" ht="18" customHeight="1" x14ac:dyDescent="0.2">
      <c r="A178" s="4" t="s">
        <v>264</v>
      </c>
      <c r="B178" s="4" t="s">
        <v>532</v>
      </c>
      <c r="C178" s="5" t="s">
        <v>533</v>
      </c>
      <c r="D178" s="5" t="s">
        <v>74</v>
      </c>
      <c r="E178" s="5" t="s">
        <v>541</v>
      </c>
      <c r="F178" s="6">
        <v>12645</v>
      </c>
      <c r="G178" s="6">
        <f t="shared" si="2"/>
        <v>110</v>
      </c>
    </row>
    <row r="179" spans="1:7" ht="18" customHeight="1" x14ac:dyDescent="0.2">
      <c r="A179" s="4" t="s">
        <v>265</v>
      </c>
      <c r="B179" s="4" t="s">
        <v>534</v>
      </c>
      <c r="C179" s="5" t="s">
        <v>535</v>
      </c>
      <c r="D179" s="5" t="s">
        <v>74</v>
      </c>
      <c r="E179" s="5" t="s">
        <v>541</v>
      </c>
      <c r="F179" s="6">
        <v>21000</v>
      </c>
      <c r="G179" s="6">
        <f t="shared" si="2"/>
        <v>130</v>
      </c>
    </row>
    <row r="180" spans="1:7" ht="18" customHeight="1" x14ac:dyDescent="0.2">
      <c r="A180" s="4" t="s">
        <v>268</v>
      </c>
      <c r="B180" s="4" t="s">
        <v>536</v>
      </c>
      <c r="C180" s="5" t="s">
        <v>537</v>
      </c>
      <c r="D180" s="5" t="s">
        <v>74</v>
      </c>
      <c r="E180" s="5" t="s">
        <v>541</v>
      </c>
      <c r="F180" s="6">
        <v>6500</v>
      </c>
      <c r="G180" s="6">
        <f t="shared" si="2"/>
        <v>0</v>
      </c>
    </row>
    <row r="181" spans="1:7" ht="18" customHeight="1" x14ac:dyDescent="0.2">
      <c r="A181" s="4" t="s">
        <v>270</v>
      </c>
      <c r="B181" s="4" t="s">
        <v>538</v>
      </c>
      <c r="C181" s="5" t="s">
        <v>539</v>
      </c>
      <c r="D181" s="5" t="s">
        <v>74</v>
      </c>
      <c r="E181" s="5" t="s">
        <v>541</v>
      </c>
      <c r="F181" s="6">
        <v>4435</v>
      </c>
      <c r="G181" s="6">
        <f t="shared" si="2"/>
        <v>0</v>
      </c>
    </row>
    <row r="182" spans="1:7" s="9" customFormat="1" ht="18" customHeight="1" x14ac:dyDescent="0.2">
      <c r="A182" s="19" t="s">
        <v>542</v>
      </c>
      <c r="B182" s="20"/>
      <c r="C182" s="20"/>
      <c r="D182" s="20"/>
      <c r="E182" s="21"/>
      <c r="F182" s="8">
        <f t="shared" ref="F182" si="3">SUM(F3:F181)</f>
        <v>4404696</v>
      </c>
      <c r="G182" s="8">
        <f>SUM(G3:G181)</f>
        <v>20780</v>
      </c>
    </row>
    <row r="185" spans="1:7" ht="24" customHeight="1" x14ac:dyDescent="0.2">
      <c r="C185" s="17" t="s">
        <v>544</v>
      </c>
      <c r="D185" s="17" t="s">
        <v>545</v>
      </c>
      <c r="E185" s="17" t="s">
        <v>546</v>
      </c>
      <c r="F185" s="18" t="s">
        <v>547</v>
      </c>
    </row>
    <row r="186" spans="1:7" ht="24" customHeight="1" x14ac:dyDescent="0.2">
      <c r="C186" s="5" t="s">
        <v>548</v>
      </c>
      <c r="D186" s="5">
        <v>0</v>
      </c>
      <c r="E186" s="5">
        <v>30</v>
      </c>
      <c r="F186" s="6">
        <f>D186*E186</f>
        <v>0</v>
      </c>
    </row>
    <row r="187" spans="1:7" ht="24" customHeight="1" x14ac:dyDescent="0.2">
      <c r="C187" s="5" t="s">
        <v>549</v>
      </c>
      <c r="D187" s="5">
        <v>110</v>
      </c>
      <c r="E187" s="5">
        <v>40</v>
      </c>
      <c r="F187" s="6">
        <f t="shared" ref="F187:F190" si="4">D187*E187</f>
        <v>4400</v>
      </c>
    </row>
    <row r="188" spans="1:7" ht="24" customHeight="1" x14ac:dyDescent="0.2">
      <c r="C188" s="5" t="s">
        <v>550</v>
      </c>
      <c r="D188" s="5">
        <v>130</v>
      </c>
      <c r="E188" s="5">
        <v>51</v>
      </c>
      <c r="F188" s="6">
        <f t="shared" si="4"/>
        <v>6630</v>
      </c>
    </row>
    <row r="189" spans="1:7" ht="24" customHeight="1" x14ac:dyDescent="0.2">
      <c r="C189" s="5" t="s">
        <v>551</v>
      </c>
      <c r="D189" s="5">
        <v>150</v>
      </c>
      <c r="E189" s="5">
        <v>37</v>
      </c>
      <c r="F189" s="6">
        <f t="shared" si="4"/>
        <v>5550</v>
      </c>
    </row>
    <row r="190" spans="1:7" ht="24" customHeight="1" x14ac:dyDescent="0.2">
      <c r="C190" s="5" t="s">
        <v>552</v>
      </c>
      <c r="D190" s="5">
        <v>200</v>
      </c>
      <c r="E190" s="5">
        <v>21</v>
      </c>
      <c r="F190" s="6">
        <f t="shared" si="4"/>
        <v>4200</v>
      </c>
    </row>
    <row r="191" spans="1:7" ht="24" customHeight="1" x14ac:dyDescent="0.2">
      <c r="C191" s="15" t="s">
        <v>542</v>
      </c>
      <c r="D191" s="16"/>
      <c r="E191" s="13">
        <f>SUBTOTAL(9,E186:E190)</f>
        <v>179</v>
      </c>
      <c r="F191" s="14">
        <f>SUM(F186:F190)</f>
        <v>20780</v>
      </c>
    </row>
  </sheetData>
  <autoFilter ref="A2:G182" xr:uid="{011C7A3A-6A53-46AF-A7AC-F3BBCB0DDF1E}"/>
  <sortState xmlns:xlrd2="http://schemas.microsoft.com/office/spreadsheetml/2017/richdata2" ref="B3:G191">
    <sortCondition ref="B3:B191"/>
  </sortState>
  <mergeCells count="3">
    <mergeCell ref="A1:G1"/>
    <mergeCell ref="C191:D191"/>
    <mergeCell ref="A182:E182"/>
  </mergeCells>
  <phoneticPr fontId="8" type="noConversion"/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Payroll_Statement</vt:lpstr>
      <vt:lpstr>Payroll_Statement!Payroll_Statement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</dc:creator>
  <cp:lastModifiedBy>Dell</cp:lastModifiedBy>
  <dcterms:created xsi:type="dcterms:W3CDTF">2014-11-18T05:30:03Z</dcterms:created>
  <dcterms:modified xsi:type="dcterms:W3CDTF">2019-11-14T07:16:27Z</dcterms:modified>
</cp:coreProperties>
</file>