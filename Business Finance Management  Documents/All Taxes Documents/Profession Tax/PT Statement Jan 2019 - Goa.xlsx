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codeName="ThisWorkbook"/>
  <mc:AlternateContent xmlns:mc="http://schemas.openxmlformats.org/markup-compatibility/2006">
    <mc:Choice Requires="x15">
      <x15ac:absPath xmlns:x15ac="http://schemas.microsoft.com/office/spreadsheetml/2010/11/ac" url="E:\Dropbox\Dropbox\IIHR BANGALORE\06. Statutory Compliance's\Profession Tax\"/>
    </mc:Choice>
  </mc:AlternateContent>
  <xr:revisionPtr revIDLastSave="0" documentId="13_ncr:1_{56072FB6-8CAA-43E9-9183-36C08ECC58B1}" xr6:coauthVersionLast="40" xr6:coauthVersionMax="40" xr10:uidLastSave="{00000000-0000-0000-0000-000000000000}"/>
  <bookViews>
    <workbookView xWindow="-120" yWindow="-120" windowWidth="15600" windowHeight="11160" tabRatio="745" xr2:uid="{00000000-000D-0000-FFFF-FFFF00000000}"/>
  </bookViews>
  <sheets>
    <sheet name="Payroll_Statement" sheetId="1" r:id="rId1"/>
  </sheets>
  <definedNames>
    <definedName name="_xlnm._FilterDatabase" localSheetId="0" hidden="1">Payroll_Statement!$A$2:$G$35</definedName>
    <definedName name="Payroll_Statement" localSheetId="0">Payroll_Statement!$A$2:$G$34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1" i="1" l="1"/>
  <c r="F42" i="1"/>
  <c r="F40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" i="1"/>
  <c r="E43" i="1"/>
  <c r="F43" i="1"/>
  <c r="F35" i="1"/>
  <c r="G35" i="1" l="1"/>
</calcChain>
</file>

<file path=xl/sharedStrings.xml><?xml version="1.0" encoding="utf-8"?>
<sst xmlns="http://schemas.openxmlformats.org/spreadsheetml/2006/main" count="176" uniqueCount="113">
  <si>
    <t>Sl. No.</t>
  </si>
  <si>
    <t>Employee No</t>
  </si>
  <si>
    <t>Name</t>
  </si>
  <si>
    <t>Location</t>
  </si>
  <si>
    <t>Total Payments</t>
  </si>
  <si>
    <t>Professional Tax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</si>
  <si>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</si>
  <si>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</si>
  <si>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</si>
  <si>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</si>
  <si>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</si>
  <si>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</si>
  <si>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</si>
  <si>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</si>
  <si>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</si>
  <si>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</si>
  <si>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</si>
  <si>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</si>
  <si>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</si>
  <si>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</si>
  <si>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</si>
  <si>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</si>
  <si>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MTC-0195</t>
  </si>
  <si>
    <t>Palaksha  A</t>
  </si>
  <si>
    <t>Goa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</si>
  <si>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</si>
  <si>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</si>
  <si>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</si>
  <si>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</si>
  <si>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</si>
  <si>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</si>
  <si>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</si>
  <si>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</si>
  <si>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</si>
  <si>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</si>
  <si>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</si>
  <si>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</si>
  <si>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MTC-0368</t>
  </si>
  <si>
    <t>Naveen  Kumar</t>
  </si>
  <si>
    <t>29</t>
  </si>
  <si>
    <t>30</t>
  </si>
  <si>
    <t>31</t>
  </si>
  <si>
    <t>32</t>
  </si>
  <si>
    <t>MTC-1044</t>
  </si>
  <si>
    <t>Dhiren Kumar Mallick</t>
  </si>
  <si>
    <t>MTC-1155</t>
  </si>
  <si>
    <t>Mahesh  Mukund</t>
  </si>
  <si>
    <t>MTC-1174</t>
  </si>
  <si>
    <t>Chaya Kumar A</t>
  </si>
  <si>
    <t>MTC-1762</t>
  </si>
  <si>
    <t>Prashanth  B</t>
  </si>
  <si>
    <t>MTC-1874</t>
  </si>
  <si>
    <t>Raja Reddy G V</t>
  </si>
  <si>
    <t>MTC-2060</t>
  </si>
  <si>
    <t>Umashankar  V</t>
  </si>
  <si>
    <t>MTC-2298</t>
  </si>
  <si>
    <t>Dhanesh V  M</t>
  </si>
  <si>
    <t>MTC-2357</t>
  </si>
  <si>
    <t>Babson Binu  Shile</t>
  </si>
  <si>
    <t>MTC-2646</t>
  </si>
  <si>
    <t>Vasantha  Kumar C M</t>
  </si>
  <si>
    <t>MTC-2841</t>
  </si>
  <si>
    <t>Debdipta  Adhikari</t>
  </si>
  <si>
    <t>MTC-2853</t>
  </si>
  <si>
    <t>Zulfiquar  Ahmad</t>
  </si>
  <si>
    <t>MTC-2884</t>
  </si>
  <si>
    <t>Balakrishna  K</t>
  </si>
  <si>
    <t>MTC-2926</t>
  </si>
  <si>
    <t>Raghuram  P</t>
  </si>
  <si>
    <t>MTC-2929</t>
  </si>
  <si>
    <t>Santosh  Tubachi</t>
  </si>
  <si>
    <t>MTC-2935</t>
  </si>
  <si>
    <t>Mohammed  Shabbir</t>
  </si>
  <si>
    <t>MTC-2954</t>
  </si>
  <si>
    <t>Shylesh R Nair</t>
  </si>
  <si>
    <t>MTC-2957</t>
  </si>
  <si>
    <t>Nandeeshwar  G B</t>
  </si>
  <si>
    <t>MTC-2964</t>
  </si>
  <si>
    <t>Anoop  K T</t>
  </si>
  <si>
    <t>MTC-2965</t>
  </si>
  <si>
    <t>Vidhyanand Y Gaonkar</t>
  </si>
  <si>
    <t>MTC-2968</t>
  </si>
  <si>
    <t>Bhushan Vinayak Tari</t>
  </si>
  <si>
    <t>MTC-3070</t>
  </si>
  <si>
    <t>Alekha Prasad Parida</t>
  </si>
  <si>
    <t>MTC-3084</t>
  </si>
  <si>
    <t>Gopalkrishna M Naik</t>
  </si>
  <si>
    <t>MTC-3098</t>
  </si>
  <si>
    <t>Gibson A V</t>
  </si>
  <si>
    <t>MTC-3102</t>
  </si>
  <si>
    <t>Kotureshwara M M</t>
  </si>
  <si>
    <t>MTC-3129</t>
  </si>
  <si>
    <t>Vikaram N Patankar</t>
  </si>
  <si>
    <t>MTC-3130</t>
  </si>
  <si>
    <t>Vinayak  Barki</t>
  </si>
  <si>
    <t>MTC-3160</t>
  </si>
  <si>
    <t>Arun Kumar K</t>
  </si>
  <si>
    <t>MTC-3162</t>
  </si>
  <si>
    <t>Akhtar  Hussain</t>
  </si>
  <si>
    <t>MTC-3175</t>
  </si>
  <si>
    <t>Ravi  Kumar</t>
  </si>
  <si>
    <t>MTC-3176</t>
  </si>
  <si>
    <t>Veeresha  Shetter</t>
  </si>
  <si>
    <t>State</t>
  </si>
  <si>
    <t>Grand Total</t>
  </si>
  <si>
    <t>PT Statement for the month of January 2019 - Goa</t>
  </si>
  <si>
    <t>Salary Range</t>
  </si>
  <si>
    <t>PT</t>
  </si>
  <si>
    <t>No. of Emp</t>
  </si>
  <si>
    <t>PT Amount</t>
  </si>
  <si>
    <t>Up to 15000</t>
  </si>
  <si>
    <t>Rs.15001 to 25000</t>
  </si>
  <si>
    <t>Rs.25001 &amp;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</si>
</sst>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Palatino Linotype"/>
      <family val="1"/>
    </font>
    <font>
      <sz val="10"/>
      <name val="Palatino Linotype"/>
      <family val="1"/>
    </font>
    <font>
      <sz val="11"/>
      <color indexed="8"/>
      <name val="Calibri"/>
      <family val="2"/>
    </font>
    <font>
      <b/>
      <sz val="20"/>
      <name val="Palatino Linotype"/>
      <family val="1"/>
    </font>
    <font>
      <b/>
      <sz val="10.5"/>
      <name val="Palatino Linotype"/>
      <family val="1"/>
    </font>
    <font>
      <b/>
      <sz val="10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164" fontId="5" fillId="0" borderId="0" applyFont="0" applyFill="0" applyBorder="0" applyAlignment="0" applyProtection="0"/>
    <xf numFmtId="0" fontId="1" fillId="0" borderId="0"/>
  </cellStyleXfs>
  <cellXfs count="23">
    <xf numFmtId="0" fontId="0" fillId="0" borderId="0" xfId="0"/>
    <xf numFmtId="0" fontId="3" fillId="2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1" xfId="0" quotePrefix="1" applyNumberFormat="1" applyFont="1" applyFill="1" applyBorder="1" applyAlignment="1">
      <alignment horizontal="center" vertical="center"/>
    </xf>
    <xf numFmtId="0" fontId="4" fillId="2" borderId="1" xfId="0" quotePrefix="1" applyNumberFormat="1" applyFont="1" applyFill="1" applyBorder="1" applyAlignment="1">
      <alignment vertical="center"/>
    </xf>
    <xf numFmtId="4" fontId="4" fillId="2" borderId="1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4" fontId="7" fillId="2" borderId="1" xfId="0" applyNumberFormat="1" applyFont="1" applyFill="1" applyBorder="1" applyAlignment="1">
      <alignment horizontal="right" vertical="center"/>
    </xf>
    <xf numFmtId="0" fontId="3" fillId="3" borderId="1" xfId="0" applyNumberFormat="1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right" vertical="center"/>
    </xf>
    <xf numFmtId="0" fontId="4" fillId="3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2" xfId="0" quotePrefix="1" applyNumberFormat="1" applyFont="1" applyFill="1" applyBorder="1" applyAlignment="1">
      <alignment horizontal="center" vertical="center"/>
    </xf>
    <xf numFmtId="0" fontId="4" fillId="2" borderId="3" xfId="0" quotePrefix="1" applyNumberFormat="1" applyFont="1" applyFill="1" applyBorder="1" applyAlignment="1">
      <alignment horizontal="center" vertical="center"/>
    </xf>
    <xf numFmtId="0" fontId="4" fillId="2" borderId="4" xfId="0" quotePrefix="1" applyNumberFormat="1" applyFont="1" applyFill="1" applyBorder="1" applyAlignment="1">
      <alignment horizontal="center" vertical="center"/>
    </xf>
    <xf numFmtId="4" fontId="8" fillId="3" borderId="1" xfId="0" applyNumberFormat="1" applyFont="1" applyFill="1" applyBorder="1" applyAlignment="1">
      <alignment horizontal="right" vertical="center"/>
    </xf>
    <xf numFmtId="0" fontId="8" fillId="2" borderId="1" xfId="0" quotePrefix="1" applyFont="1" applyFill="1" applyBorder="1" applyAlignment="1">
      <alignment horizontal="center" vertical="center"/>
    </xf>
    <xf numFmtId="4" fontId="8" fillId="2" borderId="1" xfId="0" applyNumberFormat="1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vertical="center"/>
    </xf>
    <xf numFmtId="0" fontId="4" fillId="2" borderId="1" xfId="0" quotePrefix="1" applyFont="1" applyFill="1" applyBorder="1" applyAlignment="1">
      <alignment horizontal="center" vertical="center"/>
    </xf>
    <xf numFmtId="0" fontId="7" fillId="2" borderId="2" xfId="0" quotePrefix="1" applyFont="1" applyFill="1" applyBorder="1" applyAlignment="1">
      <alignment horizontal="center" vertical="center"/>
    </xf>
    <xf numFmtId="0" fontId="7" fillId="2" borderId="4" xfId="0" quotePrefix="1" applyFont="1" applyFill="1" applyBorder="1" applyAlignment="1">
      <alignment horizontal="center" vertical="center"/>
    </xf>
  </cellXfs>
  <cellStyles count="4">
    <cellStyle name="Comma 2" xfId="2" xr:uid="{00000000-0005-0000-0000-000000000000}"/>
    <cellStyle name="Normal" xfId="0" builtinId="0"/>
    <cellStyle name="Normal 2" xfId="1" xr:uid="{00000000-0005-0000-0000-000002000000}"/>
    <cellStyle name="Normal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G43"/>
  <sheetViews>
    <sheetView tabSelected="1" topLeftCell="A31" workbookViewId="0">
      <selection activeCell="H43" sqref="H43"/>
    </sheetView>
  </sheetViews>
  <sheetFormatPr defaultRowHeight="15" x14ac:dyDescent="0.2"/>
  <cols>
    <col min="1" max="1" width="7.85546875" style="7" customWidth="1"/>
    <col min="2" max="2" width="13.140625" style="7" customWidth="1"/>
    <col min="3" max="3" width="29.42578125" style="3" bestFit="1" customWidth="1"/>
    <col min="4" max="4" width="14.28515625" style="3" bestFit="1" customWidth="1"/>
    <col min="5" max="5" width="11.5703125" style="3" bestFit="1" customWidth="1"/>
    <col min="6" max="6" width="15.7109375" style="11" customWidth="1"/>
    <col min="7" max="7" width="13.140625" style="3" customWidth="1"/>
    <col min="8" max="16384" width="9.140625" style="3"/>
  </cols>
  <sheetData>
    <row r="1" spans="1:7" ht="28.5" customHeight="1" x14ac:dyDescent="0.2">
      <c r="A1" s="12" t="s">
        <v>105</v>
      </c>
      <c r="B1" s="12"/>
      <c r="C1" s="12"/>
      <c r="D1" s="12"/>
      <c r="E1" s="12"/>
      <c r="F1" s="12"/>
      <c r="G1" s="12"/>
    </row>
    <row r="2" spans="1:7" s="2" customFormat="1" ht="30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103</v>
      </c>
      <c r="F2" s="9" t="s">
        <v>4</v>
      </c>
      <c r="G2" s="1" t="s">
        <v>5</v>
      </c>
    </row>
    <row r="3" spans="1:7" ht="18" customHeight="1" x14ac:dyDescent="0.2">
      <c r="A3" s="4" t="s">
        <v>6</v>
      </c>
      <c r="B3" s="4" t="s">
        <v>22</v>
      </c>
      <c r="C3" s="5" t="s">
        <v>23</v>
      </c>
      <c r="D3" s="5" t="s">
        <v>24</v>
      </c>
      <c r="E3" s="5" t="s">
        <v>24</v>
      </c>
      <c r="F3" s="10">
        <v>88000</v>
      </c>
      <c r="G3" s="6">
        <f>IF(F3&lt;15001,0,IF(F3&lt;25001,150,200))</f>
        <v>200</v>
      </c>
    </row>
    <row r="4" spans="1:7" ht="18" customHeight="1" x14ac:dyDescent="0.2">
      <c r="A4" s="4" t="s">
        <v>7</v>
      </c>
      <c r="B4" s="4" t="s">
        <v>37</v>
      </c>
      <c r="C4" s="5" t="s">
        <v>38</v>
      </c>
      <c r="D4" s="5" t="s">
        <v>24</v>
      </c>
      <c r="E4" s="5" t="s">
        <v>24</v>
      </c>
      <c r="F4" s="10">
        <v>24400</v>
      </c>
      <c r="G4" s="6">
        <f t="shared" ref="G4:G34" si="0">IF(F4&lt;15001,0,IF(F4&lt;25001,150,200))</f>
        <v>150</v>
      </c>
    </row>
    <row r="5" spans="1:7" ht="18" customHeight="1" x14ac:dyDescent="0.2">
      <c r="A5" s="4" t="s">
        <v>8</v>
      </c>
      <c r="B5" s="4" t="s">
        <v>43</v>
      </c>
      <c r="C5" s="5" t="s">
        <v>44</v>
      </c>
      <c r="D5" s="5" t="s">
        <v>24</v>
      </c>
      <c r="E5" s="5" t="s">
        <v>24</v>
      </c>
      <c r="F5" s="10">
        <v>6605</v>
      </c>
      <c r="G5" s="6">
        <f t="shared" si="0"/>
        <v>0</v>
      </c>
    </row>
    <row r="6" spans="1:7" ht="18" customHeight="1" x14ac:dyDescent="0.2">
      <c r="A6" s="4" t="s">
        <v>9</v>
      </c>
      <c r="B6" s="4" t="s">
        <v>45</v>
      </c>
      <c r="C6" s="5" t="s">
        <v>46</v>
      </c>
      <c r="D6" s="5" t="s">
        <v>24</v>
      </c>
      <c r="E6" s="5" t="s">
        <v>24</v>
      </c>
      <c r="F6" s="10">
        <v>14936</v>
      </c>
      <c r="G6" s="6">
        <f t="shared" si="0"/>
        <v>0</v>
      </c>
    </row>
    <row r="7" spans="1:7" ht="18" customHeight="1" x14ac:dyDescent="0.2">
      <c r="A7" s="4" t="s">
        <v>10</v>
      </c>
      <c r="B7" s="4" t="s">
        <v>47</v>
      </c>
      <c r="C7" s="5" t="s">
        <v>48</v>
      </c>
      <c r="D7" s="5" t="s">
        <v>24</v>
      </c>
      <c r="E7" s="5" t="s">
        <v>24</v>
      </c>
      <c r="F7" s="10">
        <v>13435</v>
      </c>
      <c r="G7" s="6">
        <f t="shared" si="0"/>
        <v>0</v>
      </c>
    </row>
    <row r="8" spans="1:7" ht="18" customHeight="1" x14ac:dyDescent="0.2">
      <c r="A8" s="4" t="s">
        <v>11</v>
      </c>
      <c r="B8" s="4" t="s">
        <v>49</v>
      </c>
      <c r="C8" s="5" t="s">
        <v>50</v>
      </c>
      <c r="D8" s="5" t="s">
        <v>24</v>
      </c>
      <c r="E8" s="5" t="s">
        <v>24</v>
      </c>
      <c r="F8" s="10">
        <v>14600</v>
      </c>
      <c r="G8" s="6">
        <f t="shared" si="0"/>
        <v>0</v>
      </c>
    </row>
    <row r="9" spans="1:7" ht="18" customHeight="1" x14ac:dyDescent="0.2">
      <c r="A9" s="4" t="s">
        <v>12</v>
      </c>
      <c r="B9" s="4" t="s">
        <v>51</v>
      </c>
      <c r="C9" s="5" t="s">
        <v>52</v>
      </c>
      <c r="D9" s="5" t="s">
        <v>24</v>
      </c>
      <c r="E9" s="5" t="s">
        <v>24</v>
      </c>
      <c r="F9" s="10">
        <v>14890</v>
      </c>
      <c r="G9" s="6">
        <f t="shared" si="0"/>
        <v>0</v>
      </c>
    </row>
    <row r="10" spans="1:7" ht="18" customHeight="1" x14ac:dyDescent="0.2">
      <c r="A10" s="4" t="s">
        <v>13</v>
      </c>
      <c r="B10" s="4" t="s">
        <v>53</v>
      </c>
      <c r="C10" s="5" t="s">
        <v>54</v>
      </c>
      <c r="D10" s="5" t="s">
        <v>24</v>
      </c>
      <c r="E10" s="5" t="s">
        <v>24</v>
      </c>
      <c r="F10" s="10">
        <v>48600</v>
      </c>
      <c r="G10" s="6">
        <f t="shared" si="0"/>
        <v>200</v>
      </c>
    </row>
    <row r="11" spans="1:7" ht="18" customHeight="1" x14ac:dyDescent="0.2">
      <c r="A11" s="4" t="s">
        <v>14</v>
      </c>
      <c r="B11" s="4" t="s">
        <v>55</v>
      </c>
      <c r="C11" s="5" t="s">
        <v>56</v>
      </c>
      <c r="D11" s="5" t="s">
        <v>24</v>
      </c>
      <c r="E11" s="5" t="s">
        <v>24</v>
      </c>
      <c r="F11" s="10">
        <v>9700</v>
      </c>
      <c r="G11" s="6">
        <f t="shared" si="0"/>
        <v>0</v>
      </c>
    </row>
    <row r="12" spans="1:7" ht="18" customHeight="1" x14ac:dyDescent="0.2">
      <c r="A12" s="4" t="s">
        <v>15</v>
      </c>
      <c r="B12" s="4" t="s">
        <v>57</v>
      </c>
      <c r="C12" s="5" t="s">
        <v>58</v>
      </c>
      <c r="D12" s="5" t="s">
        <v>24</v>
      </c>
      <c r="E12" s="5" t="s">
        <v>24</v>
      </c>
      <c r="F12" s="10">
        <v>14600</v>
      </c>
      <c r="G12" s="6">
        <f t="shared" si="0"/>
        <v>0</v>
      </c>
    </row>
    <row r="13" spans="1:7" ht="18" customHeight="1" x14ac:dyDescent="0.2">
      <c r="A13" s="4" t="s">
        <v>16</v>
      </c>
      <c r="B13" s="4" t="s">
        <v>59</v>
      </c>
      <c r="C13" s="5" t="s">
        <v>60</v>
      </c>
      <c r="D13" s="5" t="s">
        <v>24</v>
      </c>
      <c r="E13" s="5" t="s">
        <v>24</v>
      </c>
      <c r="F13" s="10">
        <v>14500</v>
      </c>
      <c r="G13" s="6">
        <f t="shared" si="0"/>
        <v>0</v>
      </c>
    </row>
    <row r="14" spans="1:7" ht="18" customHeight="1" x14ac:dyDescent="0.2">
      <c r="A14" s="4" t="s">
        <v>17</v>
      </c>
      <c r="B14" s="4" t="s">
        <v>61</v>
      </c>
      <c r="C14" s="5" t="s">
        <v>62</v>
      </c>
      <c r="D14" s="5" t="s">
        <v>24</v>
      </c>
      <c r="E14" s="5" t="s">
        <v>24</v>
      </c>
      <c r="F14" s="10">
        <v>7265</v>
      </c>
      <c r="G14" s="6">
        <f t="shared" si="0"/>
        <v>0</v>
      </c>
    </row>
    <row r="15" spans="1:7" ht="18" customHeight="1" x14ac:dyDescent="0.2">
      <c r="A15" s="4" t="s">
        <v>18</v>
      </c>
      <c r="B15" s="4" t="s">
        <v>63</v>
      </c>
      <c r="C15" s="5" t="s">
        <v>64</v>
      </c>
      <c r="D15" s="5" t="s">
        <v>24</v>
      </c>
      <c r="E15" s="5" t="s">
        <v>24</v>
      </c>
      <c r="F15" s="10">
        <v>16710</v>
      </c>
      <c r="G15" s="6">
        <f t="shared" si="0"/>
        <v>150</v>
      </c>
    </row>
    <row r="16" spans="1:7" ht="18" customHeight="1" x14ac:dyDescent="0.2">
      <c r="A16" s="4" t="s">
        <v>19</v>
      </c>
      <c r="B16" s="4" t="s">
        <v>65</v>
      </c>
      <c r="C16" s="5" t="s">
        <v>66</v>
      </c>
      <c r="D16" s="5" t="s">
        <v>24</v>
      </c>
      <c r="E16" s="5" t="s">
        <v>24</v>
      </c>
      <c r="F16" s="10">
        <v>26000</v>
      </c>
      <c r="G16" s="6">
        <f t="shared" si="0"/>
        <v>200</v>
      </c>
    </row>
    <row r="17" spans="1:7" ht="18" customHeight="1" x14ac:dyDescent="0.2">
      <c r="A17" s="4" t="s">
        <v>20</v>
      </c>
      <c r="B17" s="4" t="s">
        <v>67</v>
      </c>
      <c r="C17" s="5" t="s">
        <v>68</v>
      </c>
      <c r="D17" s="5" t="s">
        <v>24</v>
      </c>
      <c r="E17" s="5" t="s">
        <v>24</v>
      </c>
      <c r="F17" s="10">
        <v>25161</v>
      </c>
      <c r="G17" s="6">
        <f t="shared" si="0"/>
        <v>200</v>
      </c>
    </row>
    <row r="18" spans="1:7" ht="18" customHeight="1" x14ac:dyDescent="0.2">
      <c r="A18" s="4" t="s">
        <v>21</v>
      </c>
      <c r="B18" s="4" t="s">
        <v>69</v>
      </c>
      <c r="C18" s="5" t="s">
        <v>70</v>
      </c>
      <c r="D18" s="5" t="s">
        <v>24</v>
      </c>
      <c r="E18" s="5" t="s">
        <v>24</v>
      </c>
      <c r="F18" s="10">
        <v>16258</v>
      </c>
      <c r="G18" s="6">
        <f t="shared" si="0"/>
        <v>150</v>
      </c>
    </row>
    <row r="19" spans="1:7" ht="18" customHeight="1" x14ac:dyDescent="0.2">
      <c r="A19" s="4" t="s">
        <v>25</v>
      </c>
      <c r="B19" s="4" t="s">
        <v>71</v>
      </c>
      <c r="C19" s="5" t="s">
        <v>72</v>
      </c>
      <c r="D19" s="5" t="s">
        <v>24</v>
      </c>
      <c r="E19" s="5" t="s">
        <v>24</v>
      </c>
      <c r="F19" s="10">
        <v>28000</v>
      </c>
      <c r="G19" s="6">
        <f t="shared" si="0"/>
        <v>200</v>
      </c>
    </row>
    <row r="20" spans="1:7" ht="18" customHeight="1" x14ac:dyDescent="0.2">
      <c r="A20" s="4" t="s">
        <v>26</v>
      </c>
      <c r="B20" s="4" t="s">
        <v>73</v>
      </c>
      <c r="C20" s="5" t="s">
        <v>74</v>
      </c>
      <c r="D20" s="5" t="s">
        <v>24</v>
      </c>
      <c r="E20" s="5" t="s">
        <v>24</v>
      </c>
      <c r="F20" s="10">
        <v>45000</v>
      </c>
      <c r="G20" s="6">
        <f t="shared" si="0"/>
        <v>200</v>
      </c>
    </row>
    <row r="21" spans="1:7" ht="18" customHeight="1" x14ac:dyDescent="0.2">
      <c r="A21" s="4" t="s">
        <v>27</v>
      </c>
      <c r="B21" s="4" t="s">
        <v>75</v>
      </c>
      <c r="C21" s="5" t="s">
        <v>76</v>
      </c>
      <c r="D21" s="5" t="s">
        <v>24</v>
      </c>
      <c r="E21" s="5" t="s">
        <v>24</v>
      </c>
      <c r="F21" s="10">
        <v>3581</v>
      </c>
      <c r="G21" s="6">
        <f t="shared" si="0"/>
        <v>0</v>
      </c>
    </row>
    <row r="22" spans="1:7" ht="18" customHeight="1" x14ac:dyDescent="0.2">
      <c r="A22" s="4" t="s">
        <v>28</v>
      </c>
      <c r="B22" s="4" t="s">
        <v>77</v>
      </c>
      <c r="C22" s="5" t="s">
        <v>78</v>
      </c>
      <c r="D22" s="5" t="s">
        <v>24</v>
      </c>
      <c r="E22" s="5" t="s">
        <v>24</v>
      </c>
      <c r="F22" s="10">
        <v>7500</v>
      </c>
      <c r="G22" s="6">
        <f t="shared" si="0"/>
        <v>0</v>
      </c>
    </row>
    <row r="23" spans="1:7" ht="18" customHeight="1" x14ac:dyDescent="0.2">
      <c r="A23" s="4" t="s">
        <v>29</v>
      </c>
      <c r="B23" s="4" t="s">
        <v>79</v>
      </c>
      <c r="C23" s="5" t="s">
        <v>80</v>
      </c>
      <c r="D23" s="5" t="s">
        <v>24</v>
      </c>
      <c r="E23" s="5" t="s">
        <v>24</v>
      </c>
      <c r="F23" s="10">
        <v>0</v>
      </c>
      <c r="G23" s="6">
        <f t="shared" si="0"/>
        <v>0</v>
      </c>
    </row>
    <row r="24" spans="1:7" ht="18" customHeight="1" x14ac:dyDescent="0.2">
      <c r="A24" s="4" t="s">
        <v>30</v>
      </c>
      <c r="B24" s="4" t="s">
        <v>81</v>
      </c>
      <c r="C24" s="5" t="s">
        <v>82</v>
      </c>
      <c r="D24" s="5" t="s">
        <v>24</v>
      </c>
      <c r="E24" s="5" t="s">
        <v>24</v>
      </c>
      <c r="F24" s="10">
        <v>2419</v>
      </c>
      <c r="G24" s="6">
        <f t="shared" si="0"/>
        <v>0</v>
      </c>
    </row>
    <row r="25" spans="1:7" ht="18" customHeight="1" x14ac:dyDescent="0.2">
      <c r="A25" s="4" t="s">
        <v>31</v>
      </c>
      <c r="B25" s="4" t="s">
        <v>83</v>
      </c>
      <c r="C25" s="5" t="s">
        <v>84</v>
      </c>
      <c r="D25" s="5" t="s">
        <v>24</v>
      </c>
      <c r="E25" s="5" t="s">
        <v>24</v>
      </c>
      <c r="F25" s="10">
        <v>12000</v>
      </c>
      <c r="G25" s="6">
        <f t="shared" si="0"/>
        <v>0</v>
      </c>
    </row>
    <row r="26" spans="1:7" ht="18" customHeight="1" x14ac:dyDescent="0.2">
      <c r="A26" s="4" t="s">
        <v>32</v>
      </c>
      <c r="B26" s="4" t="s">
        <v>85</v>
      </c>
      <c r="C26" s="5" t="s">
        <v>86</v>
      </c>
      <c r="D26" s="5" t="s">
        <v>24</v>
      </c>
      <c r="E26" s="5" t="s">
        <v>24</v>
      </c>
      <c r="F26" s="10">
        <v>24000</v>
      </c>
      <c r="G26" s="6">
        <f t="shared" si="0"/>
        <v>150</v>
      </c>
    </row>
    <row r="27" spans="1:7" ht="18" customHeight="1" x14ac:dyDescent="0.2">
      <c r="A27" s="4" t="s">
        <v>33</v>
      </c>
      <c r="B27" s="4" t="s">
        <v>87</v>
      </c>
      <c r="C27" s="5" t="s">
        <v>88</v>
      </c>
      <c r="D27" s="5" t="s">
        <v>24</v>
      </c>
      <c r="E27" s="5" t="s">
        <v>24</v>
      </c>
      <c r="F27" s="10">
        <v>22581</v>
      </c>
      <c r="G27" s="6">
        <f t="shared" si="0"/>
        <v>150</v>
      </c>
    </row>
    <row r="28" spans="1:7" ht="18" customHeight="1" x14ac:dyDescent="0.2">
      <c r="A28" s="4" t="s">
        <v>34</v>
      </c>
      <c r="B28" s="4" t="s">
        <v>89</v>
      </c>
      <c r="C28" s="5" t="s">
        <v>90</v>
      </c>
      <c r="D28" s="5" t="s">
        <v>24</v>
      </c>
      <c r="E28" s="5" t="s">
        <v>24</v>
      </c>
      <c r="F28" s="10">
        <v>50000</v>
      </c>
      <c r="G28" s="6">
        <f t="shared" si="0"/>
        <v>200</v>
      </c>
    </row>
    <row r="29" spans="1:7" ht="18" customHeight="1" x14ac:dyDescent="0.2">
      <c r="A29" s="4" t="s">
        <v>35</v>
      </c>
      <c r="B29" s="4" t="s">
        <v>91</v>
      </c>
      <c r="C29" s="5" t="s">
        <v>92</v>
      </c>
      <c r="D29" s="5" t="s">
        <v>24</v>
      </c>
      <c r="E29" s="5" t="s">
        <v>24</v>
      </c>
      <c r="F29" s="10">
        <v>0</v>
      </c>
      <c r="G29" s="6">
        <f t="shared" si="0"/>
        <v>0</v>
      </c>
    </row>
    <row r="30" spans="1:7" ht="18" customHeight="1" x14ac:dyDescent="0.2">
      <c r="A30" s="4" t="s">
        <v>36</v>
      </c>
      <c r="B30" s="4" t="s">
        <v>93</v>
      </c>
      <c r="C30" s="5" t="s">
        <v>94</v>
      </c>
      <c r="D30" s="5" t="s">
        <v>24</v>
      </c>
      <c r="E30" s="5" t="s">
        <v>24</v>
      </c>
      <c r="F30" s="10">
        <v>19500</v>
      </c>
      <c r="G30" s="6">
        <f t="shared" si="0"/>
        <v>150</v>
      </c>
    </row>
    <row r="31" spans="1:7" ht="18" customHeight="1" x14ac:dyDescent="0.2">
      <c r="A31" s="4" t="s">
        <v>39</v>
      </c>
      <c r="B31" s="4" t="s">
        <v>95</v>
      </c>
      <c r="C31" s="5" t="s">
        <v>96</v>
      </c>
      <c r="D31" s="5" t="s">
        <v>24</v>
      </c>
      <c r="E31" s="5" t="s">
        <v>24</v>
      </c>
      <c r="F31" s="10">
        <v>27000</v>
      </c>
      <c r="G31" s="6">
        <f t="shared" si="0"/>
        <v>200</v>
      </c>
    </row>
    <row r="32" spans="1:7" ht="18" customHeight="1" x14ac:dyDescent="0.2">
      <c r="A32" s="4" t="s">
        <v>40</v>
      </c>
      <c r="B32" s="4" t="s">
        <v>97</v>
      </c>
      <c r="C32" s="5" t="s">
        <v>98</v>
      </c>
      <c r="D32" s="5" t="s">
        <v>24</v>
      </c>
      <c r="E32" s="5" t="s">
        <v>24</v>
      </c>
      <c r="F32" s="10">
        <v>15000</v>
      </c>
      <c r="G32" s="6">
        <f t="shared" si="0"/>
        <v>0</v>
      </c>
    </row>
    <row r="33" spans="1:7" ht="18" customHeight="1" x14ac:dyDescent="0.2">
      <c r="A33" s="4" t="s">
        <v>41</v>
      </c>
      <c r="B33" s="4" t="s">
        <v>99</v>
      </c>
      <c r="C33" s="5" t="s">
        <v>100</v>
      </c>
      <c r="D33" s="5" t="s">
        <v>24</v>
      </c>
      <c r="E33" s="5" t="s">
        <v>24</v>
      </c>
      <c r="F33" s="10">
        <v>23226</v>
      </c>
      <c r="G33" s="6">
        <f t="shared" si="0"/>
        <v>150</v>
      </c>
    </row>
    <row r="34" spans="1:7" ht="18" customHeight="1" x14ac:dyDescent="0.2">
      <c r="A34" s="4" t="s">
        <v>42</v>
      </c>
      <c r="B34" s="4" t="s">
        <v>101</v>
      </c>
      <c r="C34" s="5" t="s">
        <v>102</v>
      </c>
      <c r="D34" s="5" t="s">
        <v>24</v>
      </c>
      <c r="E34" s="5" t="s">
        <v>24</v>
      </c>
      <c r="F34" s="10">
        <v>15000</v>
      </c>
      <c r="G34" s="6">
        <f t="shared" si="0"/>
        <v>0</v>
      </c>
    </row>
    <row r="35" spans="1:7" ht="18" customHeight="1" x14ac:dyDescent="0.2">
      <c r="A35" s="13"/>
      <c r="B35" s="14"/>
      <c r="C35" s="14"/>
      <c r="D35" s="14"/>
      <c r="E35" s="15"/>
      <c r="F35" s="16">
        <f>SUM(F3:F34)</f>
        <v>650467</v>
      </c>
      <c r="G35" s="16">
        <f>SUM(G3:G34)</f>
        <v>2650</v>
      </c>
    </row>
    <row r="39" spans="1:7" ht="19.5" customHeight="1" x14ac:dyDescent="0.2">
      <c r="C39" s="17" t="s">
        <v>106</v>
      </c>
      <c r="D39" s="17" t="s">
        <v>107</v>
      </c>
      <c r="E39" s="17" t="s">
        <v>108</v>
      </c>
      <c r="F39" s="18" t="s">
        <v>109</v>
      </c>
    </row>
    <row r="40" spans="1:7" ht="19.5" customHeight="1" x14ac:dyDescent="0.2">
      <c r="C40" s="19" t="s">
        <v>110</v>
      </c>
      <c r="D40" s="20">
        <v>0</v>
      </c>
      <c r="E40" s="20">
        <v>17</v>
      </c>
      <c r="F40" s="6">
        <f>D40*E40</f>
        <v>0</v>
      </c>
    </row>
    <row r="41" spans="1:7" ht="19.5" customHeight="1" x14ac:dyDescent="0.2">
      <c r="C41" s="19" t="s">
        <v>111</v>
      </c>
      <c r="D41" s="20">
        <v>150</v>
      </c>
      <c r="E41" s="20">
        <v>7</v>
      </c>
      <c r="F41" s="6">
        <f t="shared" ref="F41:F42" si="1">D41*E41</f>
        <v>1050</v>
      </c>
    </row>
    <row r="42" spans="1:7" ht="19.5" customHeight="1" x14ac:dyDescent="0.2">
      <c r="C42" s="19" t="s">
        <v>112</v>
      </c>
      <c r="D42" s="20">
        <v>200</v>
      </c>
      <c r="E42" s="20">
        <v>8</v>
      </c>
      <c r="F42" s="6">
        <f t="shared" si="1"/>
        <v>1600</v>
      </c>
    </row>
    <row r="43" spans="1:7" ht="19.5" customHeight="1" x14ac:dyDescent="0.2">
      <c r="C43" s="21" t="s">
        <v>104</v>
      </c>
      <c r="D43" s="22"/>
      <c r="E43" s="8">
        <f>SUBTOTAL(9,E40:E42)</f>
        <v>32</v>
      </c>
      <c r="F43" s="8">
        <f>SUBTOTAL(9,F40:F42)</f>
        <v>2650</v>
      </c>
    </row>
  </sheetData>
  <sortState xmlns:xlrd2="http://schemas.microsoft.com/office/spreadsheetml/2017/richdata2" ref="B3:G34">
    <sortCondition ref="B3:B34"/>
  </sortState>
  <mergeCells count="3">
    <mergeCell ref="A1:G1"/>
    <mergeCell ref="A35:E35"/>
    <mergeCell ref="C43:D43"/>
  </mergeCells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Payroll_Statement</vt:lpstr>
      <vt:lpstr>Payroll_Statement!Payroll_Statement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Sopesh</dc:creator>
  <cp:lastModifiedBy>Dell</cp:lastModifiedBy>
  <dcterms:created xsi:type="dcterms:W3CDTF">2014-11-18T05:30:03Z</dcterms:created>
  <dcterms:modified xsi:type="dcterms:W3CDTF">2019-02-06T06:59:12Z</dcterms:modified>
</cp:coreProperties>
</file>