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HR Global\06. Statutory Compliance's\Profession Tax\"/>
    </mc:Choice>
  </mc:AlternateContent>
  <xr:revisionPtr revIDLastSave="0" documentId="13_ncr:1_{97D9842D-E2E5-4362-AAD4-7F0A59D5E623}" xr6:coauthVersionLast="37" xr6:coauthVersionMax="37" xr10:uidLastSave="{00000000-0000-0000-0000-000000000000}"/>
  <bookViews>
    <workbookView xWindow="0" yWindow="0" windowWidth="20490" windowHeight="7755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Payroll_Statement!$A$2:$H$7</definedName>
    <definedName name="Payroll_Statement" localSheetId="0">Payroll_Statement!$A$2:$H$6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 s="1"/>
  <c r="F11" i="1"/>
  <c r="E15" i="1"/>
  <c r="G7" i="1"/>
  <c r="H7" i="1"/>
  <c r="F7" i="1"/>
</calcChain>
</file>

<file path=xl/sharedStrings.xml><?xml version="1.0" encoding="utf-8"?>
<sst xmlns="http://schemas.openxmlformats.org/spreadsheetml/2006/main" count="39" uniqueCount="32">
  <si>
    <t>Sl. No.</t>
  </si>
  <si>
    <t>Employee No</t>
  </si>
  <si>
    <t>Name</t>
  </si>
  <si>
    <t>Location</t>
  </si>
  <si>
    <t>Actual Gross Salary</t>
  </si>
  <si>
    <t>Total Payments</t>
  </si>
  <si>
    <t>Professional Tax</t>
  </si>
  <si>
    <t>1</t>
  </si>
  <si>
    <t>2</t>
  </si>
  <si>
    <t>3</t>
  </si>
  <si>
    <t>4</t>
  </si>
  <si>
    <t>MTC-0732</t>
  </si>
  <si>
    <t>Venkatesh  K</t>
  </si>
  <si>
    <t>Patna</t>
  </si>
  <si>
    <t>MTC-1900</t>
  </si>
  <si>
    <t>Pradeep Kumar  Nayak</t>
  </si>
  <si>
    <t>MTC-2199</t>
  </si>
  <si>
    <t>Nanda Kishore Singh</t>
  </si>
  <si>
    <t>MTC-2920</t>
  </si>
  <si>
    <t>Praphul  Kumar</t>
  </si>
  <si>
    <t>State</t>
  </si>
  <si>
    <t>Bihar</t>
  </si>
  <si>
    <t>Grand Total</t>
  </si>
  <si>
    <t>PT Statement for the month of Mar 2018</t>
  </si>
  <si>
    <t>Salary Range</t>
  </si>
  <si>
    <t>PT</t>
  </si>
  <si>
    <t>No. of Emp</t>
  </si>
  <si>
    <t>PT Amount</t>
  </si>
  <si>
    <t>Up to 25000</t>
  </si>
  <si>
    <t>Rs.41667 to Rs.83333</t>
  </si>
  <si>
    <t>Rs.25001 to Rs.41666</t>
  </si>
  <si>
    <t>Rs.83334 &amp;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</si>
</sst>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b/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quotePrefix="1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0" fontId="7" fillId="2" borderId="2" xfId="0" quotePrefix="1" applyNumberFormat="1" applyFont="1" applyFill="1" applyBorder="1" applyAlignment="1">
      <alignment horizontal="center" vertical="center"/>
    </xf>
    <xf numFmtId="0" fontId="7" fillId="2" borderId="3" xfId="0" quotePrefix="1" applyNumberFormat="1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H15"/>
  <sheetViews>
    <sheetView tabSelected="1" workbookViewId="0">
      <selection activeCell="I12" sqref="I12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14.28515625" style="3" bestFit="1" customWidth="1"/>
    <col min="5" max="5" width="11.5703125" style="3" bestFit="1" customWidth="1"/>
    <col min="6" max="6" width="14.140625" style="3" customWidth="1"/>
    <col min="7" max="7" width="15.7109375" style="3" customWidth="1"/>
    <col min="8" max="8" width="13.140625" style="3" customWidth="1"/>
    <col min="9" max="16384" width="9.140625" style="3"/>
  </cols>
  <sheetData>
    <row r="1" spans="1:8" ht="28.5" customHeight="1" x14ac:dyDescent="0.2">
      <c r="A1" s="12" t="s">
        <v>23</v>
      </c>
      <c r="B1" s="12"/>
      <c r="C1" s="12"/>
      <c r="D1" s="12"/>
      <c r="E1" s="12"/>
      <c r="F1" s="12"/>
      <c r="G1" s="12"/>
      <c r="H1" s="12"/>
    </row>
    <row r="2" spans="1:8" s="2" customFormat="1" ht="39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20</v>
      </c>
      <c r="F2" s="1" t="s">
        <v>4</v>
      </c>
      <c r="G2" s="1" t="s">
        <v>5</v>
      </c>
      <c r="H2" s="1" t="s">
        <v>6</v>
      </c>
    </row>
    <row r="3" spans="1:8" ht="22.5" customHeight="1" x14ac:dyDescent="0.2">
      <c r="A3" s="4" t="s">
        <v>7</v>
      </c>
      <c r="B3" s="4" t="s">
        <v>11</v>
      </c>
      <c r="C3" s="5" t="s">
        <v>12</v>
      </c>
      <c r="D3" s="5" t="s">
        <v>13</v>
      </c>
      <c r="E3" s="5" t="s">
        <v>21</v>
      </c>
      <c r="F3" s="6">
        <v>25480</v>
      </c>
      <c r="G3" s="6">
        <v>85000</v>
      </c>
      <c r="H3" s="6">
        <v>208</v>
      </c>
    </row>
    <row r="4" spans="1:8" ht="22.5" customHeight="1" x14ac:dyDescent="0.2">
      <c r="A4" s="4" t="s">
        <v>8</v>
      </c>
      <c r="B4" s="4" t="s">
        <v>14</v>
      </c>
      <c r="C4" s="5" t="s">
        <v>15</v>
      </c>
      <c r="D4" s="5" t="s">
        <v>13</v>
      </c>
      <c r="E4" s="5" t="s">
        <v>21</v>
      </c>
      <c r="F4" s="6">
        <v>8450</v>
      </c>
      <c r="G4" s="6">
        <v>8450</v>
      </c>
      <c r="H4" s="6">
        <v>0</v>
      </c>
    </row>
    <row r="5" spans="1:8" ht="22.5" customHeight="1" x14ac:dyDescent="0.2">
      <c r="A5" s="4" t="s">
        <v>9</v>
      </c>
      <c r="B5" s="4" t="s">
        <v>16</v>
      </c>
      <c r="C5" s="5" t="s">
        <v>17</v>
      </c>
      <c r="D5" s="5" t="s">
        <v>13</v>
      </c>
      <c r="E5" s="5" t="s">
        <v>21</v>
      </c>
      <c r="F5" s="6">
        <v>15825</v>
      </c>
      <c r="G5" s="6">
        <v>9699</v>
      </c>
      <c r="H5" s="6">
        <v>0</v>
      </c>
    </row>
    <row r="6" spans="1:8" ht="22.5" customHeight="1" x14ac:dyDescent="0.2">
      <c r="A6" s="4" t="s">
        <v>10</v>
      </c>
      <c r="B6" s="4" t="s">
        <v>18</v>
      </c>
      <c r="C6" s="5" t="s">
        <v>19</v>
      </c>
      <c r="D6" s="5" t="s">
        <v>13</v>
      </c>
      <c r="E6" s="5" t="s">
        <v>21</v>
      </c>
      <c r="F6" s="6">
        <v>55000</v>
      </c>
      <c r="G6" s="6">
        <v>28387</v>
      </c>
      <c r="H6" s="6">
        <v>83</v>
      </c>
    </row>
    <row r="7" spans="1:8" s="11" customFormat="1" ht="22.5" customHeight="1" x14ac:dyDescent="0.2">
      <c r="A7" s="8"/>
      <c r="B7" s="8"/>
      <c r="C7" s="9" t="s">
        <v>22</v>
      </c>
      <c r="D7" s="9"/>
      <c r="E7" s="9"/>
      <c r="F7" s="10">
        <f>SUM(F3:F6)</f>
        <v>104755</v>
      </c>
      <c r="G7" s="10">
        <f t="shared" ref="G7:H7" si="0">SUM(G3:G6)</f>
        <v>131536</v>
      </c>
      <c r="H7" s="10">
        <f t="shared" si="0"/>
        <v>291</v>
      </c>
    </row>
    <row r="10" spans="1:8" ht="19.5" customHeight="1" x14ac:dyDescent="0.2">
      <c r="C10" s="13" t="s">
        <v>24</v>
      </c>
      <c r="D10" s="13" t="s">
        <v>25</v>
      </c>
      <c r="E10" s="13" t="s">
        <v>26</v>
      </c>
      <c r="F10" s="14" t="s">
        <v>27</v>
      </c>
    </row>
    <row r="11" spans="1:8" ht="19.5" customHeight="1" x14ac:dyDescent="0.2">
      <c r="C11" s="5" t="s">
        <v>28</v>
      </c>
      <c r="D11" s="4">
        <v>0</v>
      </c>
      <c r="E11" s="4">
        <v>2</v>
      </c>
      <c r="F11" s="6">
        <f>+D11*E11</f>
        <v>0</v>
      </c>
    </row>
    <row r="12" spans="1:8" ht="19.5" customHeight="1" x14ac:dyDescent="0.2">
      <c r="C12" s="5" t="s">
        <v>30</v>
      </c>
      <c r="D12" s="4">
        <v>83</v>
      </c>
      <c r="E12" s="4">
        <v>1</v>
      </c>
      <c r="F12" s="6">
        <f t="shared" ref="F12:F14" si="1">+D12*E12</f>
        <v>83</v>
      </c>
    </row>
    <row r="13" spans="1:8" ht="19.5" customHeight="1" x14ac:dyDescent="0.2">
      <c r="C13" s="5" t="s">
        <v>29</v>
      </c>
      <c r="D13" s="4">
        <v>167</v>
      </c>
      <c r="E13" s="4">
        <v>0</v>
      </c>
      <c r="F13" s="6">
        <f t="shared" si="1"/>
        <v>0</v>
      </c>
    </row>
    <row r="14" spans="1:8" ht="19.5" customHeight="1" x14ac:dyDescent="0.2">
      <c r="C14" s="5" t="s">
        <v>31</v>
      </c>
      <c r="D14" s="4">
        <v>208</v>
      </c>
      <c r="E14" s="4">
        <v>1</v>
      </c>
      <c r="F14" s="6">
        <f t="shared" si="1"/>
        <v>208</v>
      </c>
    </row>
    <row r="15" spans="1:8" ht="19.5" customHeight="1" x14ac:dyDescent="0.2">
      <c r="C15" s="15" t="s">
        <v>22</v>
      </c>
      <c r="D15" s="16"/>
      <c r="E15" s="8">
        <f>SUBTOTAL(9,E11:E14)</f>
        <v>4</v>
      </c>
      <c r="F15" s="10">
        <f>SUM(F10:F14)</f>
        <v>291</v>
      </c>
    </row>
  </sheetData>
  <autoFilter ref="A2:H7" xr:uid="{98148B0B-DC9E-45E6-B336-F8A1EA076CE9}"/>
  <sortState ref="B3:H16">
    <sortCondition ref="B3:B16"/>
  </sortState>
  <mergeCells count="2">
    <mergeCell ref="A1:H1"/>
    <mergeCell ref="C15:D15"/>
  </mergeCells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2018-10-10T07:05:23Z</dcterms:modified>
</cp:coreProperties>
</file>