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externalLinks/externalLink1.xml" ContentType="application/vnd.openxmlformats-officedocument.spreadsheetml.externalLink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oc Review - December\Proformas and worksheets\"/>
    </mc:Choice>
  </mc:AlternateContent>
  <bookViews>
    <workbookView xWindow="0" yWindow="0" windowWidth="25200" windowHeight="11850"/>
  </bookViews>
  <sheets>
    <sheet name="Cashflow" sheetId="1" r:id="rId1"/>
  </sheets>
  <externalReferences>
    <externalReference r:id="rId2"/>
  </externalReferences>
  <definedNames>
    <definedName name="cash">[1]Sheet1!$A$1:$A$4</definedName>
    <definedName name="_xlnm.Print_Area" localSheetId="0">Cashflow!$A$1:$O$146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52" i="1" l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C146" i="1"/>
  <c r="C49" i="1"/>
  <c r="C144" i="1"/>
  <c r="C5" i="1"/>
  <c r="L49" i="1" l="1"/>
  <c r="H49" i="1"/>
  <c r="P30" i="1"/>
  <c r="P26" i="1"/>
  <c r="P9" i="1"/>
  <c r="J49" i="1"/>
  <c r="N49" i="1"/>
  <c r="P10" i="1"/>
  <c r="P11" i="1"/>
  <c r="I49" i="1"/>
  <c r="P13" i="1"/>
  <c r="O49" i="1"/>
  <c r="P17" i="1"/>
  <c r="K49" i="1"/>
  <c r="F49" i="1"/>
  <c r="E49" i="1"/>
  <c r="P14" i="1"/>
  <c r="P18" i="1"/>
  <c r="P22" i="1"/>
  <c r="P28" i="1"/>
  <c r="P32" i="1"/>
  <c r="P34" i="1"/>
  <c r="P36" i="1"/>
  <c r="P38" i="1"/>
  <c r="P41" i="1"/>
  <c r="P42" i="1"/>
  <c r="P44" i="1"/>
  <c r="P45" i="1"/>
  <c r="P46" i="1"/>
  <c r="P48" i="1"/>
  <c r="O144" i="1"/>
  <c r="H144" i="1"/>
  <c r="D144" i="1" l="1"/>
  <c r="P40" i="1"/>
  <c r="P24" i="1"/>
  <c r="P20" i="1"/>
  <c r="I144" i="1"/>
  <c r="L144" i="1"/>
  <c r="N144" i="1"/>
  <c r="P31" i="1"/>
  <c r="P43" i="1"/>
  <c r="P23" i="1"/>
  <c r="G144" i="1"/>
  <c r="G49" i="1"/>
  <c r="P12" i="1"/>
  <c r="P35" i="1"/>
  <c r="E144" i="1"/>
  <c r="M144" i="1"/>
  <c r="P27" i="1"/>
  <c r="P15" i="1"/>
  <c r="M49" i="1"/>
  <c r="J144" i="1"/>
  <c r="P37" i="1"/>
  <c r="P33" i="1"/>
  <c r="P29" i="1"/>
  <c r="P25" i="1"/>
  <c r="P21" i="1"/>
  <c r="K144" i="1"/>
  <c r="F144" i="1"/>
  <c r="P47" i="1"/>
  <c r="P16" i="1"/>
  <c r="D49" i="1"/>
  <c r="P8" i="1"/>
  <c r="P19" i="1"/>
  <c r="P39" i="1"/>
  <c r="P49" i="1" l="1"/>
  <c r="D146" i="1"/>
  <c r="E146" i="1" s="1"/>
  <c r="F146" i="1" s="1"/>
  <c r="G146" i="1" s="1"/>
  <c r="H146" i="1" s="1"/>
  <c r="I146" i="1" s="1"/>
  <c r="J146" i="1" s="1"/>
  <c r="K146" i="1" s="1"/>
  <c r="L146" i="1" s="1"/>
  <c r="M146" i="1" s="1"/>
  <c r="N146" i="1" s="1"/>
  <c r="O146" i="1" s="1"/>
  <c r="P144" i="1"/>
  <c r="P146" i="1" l="1"/>
</calcChain>
</file>

<file path=xl/sharedStrings.xml><?xml version="1.0" encoding="utf-8"?>
<sst xmlns="http://schemas.openxmlformats.org/spreadsheetml/2006/main" count="170" uniqueCount="150">
  <si>
    <t>Monthly Cash Flow Template</t>
  </si>
  <si>
    <t>Expected Revenue</t>
  </si>
  <si>
    <t>January</t>
  </si>
  <si>
    <t>February</t>
  </si>
  <si>
    <t>March</t>
  </si>
  <si>
    <t>April</t>
  </si>
  <si>
    <t>May</t>
  </si>
  <si>
    <t xml:space="preserve">June </t>
  </si>
  <si>
    <t>July</t>
  </si>
  <si>
    <t>August</t>
  </si>
  <si>
    <t>September</t>
  </si>
  <si>
    <t>October</t>
  </si>
  <si>
    <t>November</t>
  </si>
  <si>
    <t>December</t>
  </si>
  <si>
    <t>TOTAL</t>
  </si>
  <si>
    <t>BAS Refunds</t>
  </si>
  <si>
    <t>Expected Expenditure</t>
  </si>
  <si>
    <t xml:space="preserve">July </t>
  </si>
  <si>
    <t>Projected Balance</t>
  </si>
  <si>
    <t>Cash Funding including STLR</t>
  </si>
  <si>
    <t>Conveyance Allowance</t>
  </si>
  <si>
    <t>Overseas Fee Paying</t>
  </si>
  <si>
    <t>CSEF</t>
  </si>
  <si>
    <t>ECD DET Funding</t>
  </si>
  <si>
    <t>Interest Subsidy</t>
  </si>
  <si>
    <t>Dep’t Funding</t>
  </si>
  <si>
    <t>Targeted Program Reimbursement</t>
  </si>
  <si>
    <t>Capital Funding</t>
  </si>
  <si>
    <t>Outside School Hrs Care Funding</t>
  </si>
  <si>
    <t>ECD Commonwealth Grant</t>
  </si>
  <si>
    <t>Commonwealth Capital Grant</t>
  </si>
  <si>
    <t>Commonwealth Government Grants</t>
  </si>
  <si>
    <t>ECD State Government Grant</t>
  </si>
  <si>
    <t>State Capital Grants</t>
  </si>
  <si>
    <t>State Government Grants</t>
  </si>
  <si>
    <t>Reimbursements</t>
  </si>
  <si>
    <t>Interest Received</t>
  </si>
  <si>
    <t>Sale Furniture / Equipment</t>
  </si>
  <si>
    <t>Local Government Grants</t>
  </si>
  <si>
    <t>Capital Local Government Grants</t>
  </si>
  <si>
    <t>Transfers from other Schools</t>
  </si>
  <si>
    <t>Fundraising Activities</t>
  </si>
  <si>
    <t>Donations</t>
  </si>
  <si>
    <t>Commission</t>
  </si>
  <si>
    <t>Hire of Facilities</t>
  </si>
  <si>
    <t>Canteen License</t>
  </si>
  <si>
    <t>Camps/ Excursions/ Activities</t>
  </si>
  <si>
    <t>Government School Camps</t>
  </si>
  <si>
    <t>International Student Travel</t>
  </si>
  <si>
    <t>Trading Operations</t>
  </si>
  <si>
    <t>Charities and Collections</t>
  </si>
  <si>
    <t>Essential Student Learning Items</t>
  </si>
  <si>
    <t>Optional Items</t>
  </si>
  <si>
    <t>Voluntary Contributions</t>
  </si>
  <si>
    <t>ECD Local Funds</t>
  </si>
  <si>
    <t>Shared Local School Funds</t>
  </si>
  <si>
    <t>Other Locally Raised Funds</t>
  </si>
  <si>
    <t>International Relaitionships</t>
  </si>
  <si>
    <t>Home Stay Revenue</t>
  </si>
  <si>
    <t>Non-Teaching Staff</t>
  </si>
  <si>
    <t>ECD Staff Salaries</t>
  </si>
  <si>
    <t>Work Experience</t>
  </si>
  <si>
    <t>Specialist Teachers</t>
  </si>
  <si>
    <t>Casual Relief Teaching Staff</t>
  </si>
  <si>
    <t>Superannuation</t>
  </si>
  <si>
    <t>WorkCover</t>
  </si>
  <si>
    <t>Annual Leave</t>
  </si>
  <si>
    <t>Long Service Leave</t>
  </si>
  <si>
    <t>Bank Charges</t>
  </si>
  <si>
    <t>Non Curriculum Consumables</t>
  </si>
  <si>
    <t>Photocopying</t>
  </si>
  <si>
    <t>Curriculum Consumables</t>
  </si>
  <si>
    <t>Computer Applications &lt;$5,000</t>
  </si>
  <si>
    <t>ECD Consumables</t>
  </si>
  <si>
    <t>Library Books</t>
  </si>
  <si>
    <t>ECD Books and Publications</t>
  </si>
  <si>
    <t>Postage</t>
  </si>
  <si>
    <t>Telephone</t>
  </si>
  <si>
    <t>Internet/Comm Costs &lt;$5,000</t>
  </si>
  <si>
    <t>ECD Comms Costs</t>
  </si>
  <si>
    <t>Furniture and Fittings &lt;$5,000</t>
  </si>
  <si>
    <t>Repairs/Maint Equipment</t>
  </si>
  <si>
    <t>Leased Equipment</t>
  </si>
  <si>
    <t>Technology Equipment &lt;$5,000</t>
  </si>
  <si>
    <t>Plant &amp; Equipment &lt;$5000</t>
  </si>
  <si>
    <t>Leased Facilities</t>
  </si>
  <si>
    <t>Hired Equipment</t>
  </si>
  <si>
    <t>Hired Facilities</t>
  </si>
  <si>
    <t>ECD Equipment/Maintenance/Hire</t>
  </si>
  <si>
    <t>Electricity</t>
  </si>
  <si>
    <t>Gas -Mains</t>
  </si>
  <si>
    <t>Gas – LPG</t>
  </si>
  <si>
    <t>Water incl Water Rates</t>
  </si>
  <si>
    <t>Sewerage</t>
  </si>
  <si>
    <t>Rates - Property</t>
  </si>
  <si>
    <t>ECD Utilities</t>
  </si>
  <si>
    <t>Refuse and Garbage</t>
  </si>
  <si>
    <t>Security/Safety/Fire Prevention</t>
  </si>
  <si>
    <t>Sanitation</t>
  </si>
  <si>
    <t>Contract Cleaning</t>
  </si>
  <si>
    <t>Building Works</t>
  </si>
  <si>
    <t>Ground Works</t>
  </si>
  <si>
    <t>ECD Property Services</t>
  </si>
  <si>
    <t>Travel Airfares - Domestic</t>
  </si>
  <si>
    <t>Meals and Accommodation Domestic</t>
  </si>
  <si>
    <t>Travel Airfares - International</t>
  </si>
  <si>
    <t>Meals and Accommodation International</t>
  </si>
  <si>
    <t>International Travel Expenses</t>
  </si>
  <si>
    <t>Domestic Travel Expenses</t>
  </si>
  <si>
    <t>ECD Travel</t>
  </si>
  <si>
    <t>Motor Vehicle Expenses</t>
  </si>
  <si>
    <t>Motor Vehicle Lease/Rental</t>
  </si>
  <si>
    <t>Motor Vehicles &lt;$5,000</t>
  </si>
  <si>
    <t>ECD Motor Vehicle Expenses/Lease</t>
  </si>
  <si>
    <t>Advertising/ Marketing</t>
  </si>
  <si>
    <t>Insurance</t>
  </si>
  <si>
    <t>Affiliations</t>
  </si>
  <si>
    <t>Cooperative Loan Interest</t>
  </si>
  <si>
    <t>Police Check Payment</t>
  </si>
  <si>
    <t>ECD Administration</t>
  </si>
  <si>
    <t>Medical Costs</t>
  </si>
  <si>
    <t>First Aid Materials</t>
  </si>
  <si>
    <t>ECD Health &amp; Personal Development</t>
  </si>
  <si>
    <t>Conferences/ Courses/ Seminars</t>
  </si>
  <si>
    <t>ECD Professional Development</t>
  </si>
  <si>
    <t>Hospitality</t>
  </si>
  <si>
    <t>Light Refreshments ON SITE</t>
  </si>
  <si>
    <t>ECD Hospitality</t>
  </si>
  <si>
    <t>ECD Light Refreshments ON SITE</t>
  </si>
  <si>
    <t>Donations, Gifts and Awards</t>
  </si>
  <si>
    <t>Fundraising Expenses</t>
  </si>
  <si>
    <t>Outside School Hours Care</t>
  </si>
  <si>
    <t>ECD Fundraising Activities</t>
  </si>
  <si>
    <t>Technical Support – Specialist</t>
  </si>
  <si>
    <t>Technical Support – General</t>
  </si>
  <si>
    <t>Service Provider</t>
  </si>
  <si>
    <t>ECD Support/Service</t>
  </si>
  <si>
    <t>School to school transfers</t>
  </si>
  <si>
    <t>School to DET Transfers</t>
  </si>
  <si>
    <t>Remunerations</t>
  </si>
  <si>
    <t>Fees and Charges</t>
  </si>
  <si>
    <t>Home Stay Expenditure</t>
  </si>
  <si>
    <t>Audit</t>
  </si>
  <si>
    <t>FBT Liability Expense</t>
  </si>
  <si>
    <t>ATO Charges/Payments</t>
  </si>
  <si>
    <t>ECD Miscellaneous</t>
  </si>
  <si>
    <t>Capital Expenditure</t>
  </si>
  <si>
    <t>Official Account</t>
  </si>
  <si>
    <t>Balance at</t>
  </si>
  <si>
    <t>High Yield Investment Account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</si>
</sst>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6" formatCode="&quot;$&quot;#,##0;[Red]\-&quot;$&quot;#,##0"/>
    <numFmt numFmtId="164" formatCode="_(&quot;$&quot;* #,##0.00_);_(&quot;$&quot;* \(#,##0.00\);_(&quot;$&quot;* &quot;-&quot;??_);_(@_)"/>
    <numFmt numFmtId="165" formatCode="&quot;$&quot;#,##0"/>
    <numFmt numFmtId="166" formatCode="&quot;$&quot;#,##0.00;[Red]&quot;$&quot;#,##0.00"/>
    <numFmt numFmtId="167" formatCode="&quot;$&quot;#,##0;[Red]&quot;$&quot;#,##0"/>
    <numFmt numFmtId="168" formatCode="&quot;$&quot;#,##0.00"/>
  </numFmts>
  <fonts count="10" x14ac:knownFonts="1">
    <font>
      <sz val="10"/>
      <name val="Arial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name val="Arial"/>
      <family val="2"/>
    </font>
    <font>
      <sz val="9"/>
      <name val="Calibri"/>
      <family val="2"/>
      <scheme val="minor"/>
    </font>
    <font>
      <sz val="9"/>
      <color theme="0"/>
      <name val="Arial"/>
      <family val="2"/>
    </font>
    <font>
      <b/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164" fontId="3" fillId="0" borderId="0" applyFont="0" applyFill="0" applyBorder="0" applyAlignment="0" applyProtection="0"/>
  </cellStyleXfs>
  <cellXfs count="29">
    <xf numFmtId="0" fontId="0" fillId="0" borderId="0" xfId="0"/>
    <xf numFmtId="0" fontId="2" fillId="0" borderId="0" xfId="0" applyFont="1"/>
    <xf numFmtId="0" fontId="4" fillId="0" borderId="0" xfId="0" applyFont="1"/>
    <xf numFmtId="166" fontId="4" fillId="0" borderId="0" xfId="0" applyNumberFormat="1" applyFont="1"/>
    <xf numFmtId="0" fontId="5" fillId="0" borderId="0" xfId="0" applyFont="1" applyFill="1"/>
    <xf numFmtId="165" fontId="5" fillId="2" borderId="0" xfId="1" applyNumberFormat="1" applyFont="1" applyFill="1"/>
    <xf numFmtId="166" fontId="5" fillId="0" borderId="0" xfId="0" applyNumberFormat="1" applyFont="1" applyFill="1"/>
    <xf numFmtId="0" fontId="5" fillId="3" borderId="0" xfId="0" applyFont="1" applyFill="1"/>
    <xf numFmtId="166" fontId="5" fillId="3" borderId="0" xfId="0" applyNumberFormat="1" applyFont="1" applyFill="1" applyAlignment="1">
      <alignment horizontal="center"/>
    </xf>
    <xf numFmtId="0" fontId="3" fillId="0" borderId="0" xfId="0" applyFont="1"/>
    <xf numFmtId="0" fontId="6" fillId="0" borderId="0" xfId="0" applyFont="1" applyBorder="1"/>
    <xf numFmtId="165" fontId="7" fillId="0" borderId="0" xfId="0" applyNumberFormat="1" applyFont="1"/>
    <xf numFmtId="0" fontId="7" fillId="0" borderId="1" xfId="0" applyFont="1" applyBorder="1"/>
    <xf numFmtId="0" fontId="6" fillId="0" borderId="1" xfId="0" applyFont="1" applyBorder="1"/>
    <xf numFmtId="0" fontId="8" fillId="0" borderId="0" xfId="0" applyFont="1" applyFill="1" applyBorder="1"/>
    <xf numFmtId="0" fontId="5" fillId="0" borderId="0" xfId="0" applyFont="1" applyAlignment="1">
      <alignment horizontal="right"/>
    </xf>
    <xf numFmtId="165" fontId="5" fillId="2" borderId="0" xfId="0" applyNumberFormat="1" applyFont="1" applyFill="1"/>
    <xf numFmtId="0" fontId="5" fillId="3" borderId="0" xfId="0" applyFont="1" applyFill="1" applyBorder="1"/>
    <xf numFmtId="0" fontId="8" fillId="0" borderId="0" xfId="0" applyFont="1" applyBorder="1"/>
    <xf numFmtId="167" fontId="5" fillId="2" borderId="0" xfId="0" applyNumberFormat="1" applyFont="1" applyFill="1"/>
    <xf numFmtId="167" fontId="4" fillId="0" borderId="0" xfId="0" applyNumberFormat="1" applyFont="1"/>
    <xf numFmtId="0" fontId="1" fillId="4" borderId="0" xfId="0" applyFont="1" applyFill="1"/>
    <xf numFmtId="167" fontId="1" fillId="4" borderId="0" xfId="0" applyNumberFormat="1" applyFont="1" applyFill="1"/>
    <xf numFmtId="6" fontId="0" fillId="0" borderId="0" xfId="0" applyNumberFormat="1"/>
    <xf numFmtId="168" fontId="0" fillId="0" borderId="0" xfId="0" applyNumberFormat="1"/>
    <xf numFmtId="0" fontId="5" fillId="0" borderId="0" xfId="0" applyFont="1"/>
    <xf numFmtId="165" fontId="5" fillId="0" borderId="0" xfId="0" applyNumberFormat="1" applyFont="1" applyFill="1"/>
    <xf numFmtId="0" fontId="9" fillId="0" borderId="0" xfId="0" applyFont="1" applyAlignment="1">
      <alignment horizontal="right"/>
    </xf>
    <xf numFmtId="0" fontId="5" fillId="3" borderId="0" xfId="0" applyFont="1" applyFill="1" applyAlignment="1">
      <alignment horizontal="center"/>
    </xf>
  </cellXfs>
  <cellStyles count="2">
    <cellStyle name="Currency" xfId="1" builtinId="4"/>
    <cellStyle name="Normal" xfId="0" builtinId="0"/>
  </cellStyles>
  <dxfs count="1">
    <dxf>
      <fill>
        <patternFill>
          <bgColor theme="5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www.education.vic.gov.au/Documents/school/principals/finance/annualmasterbudgetsumm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s"/>
      <sheetName val="Master"/>
      <sheetName val="Cashflow"/>
      <sheetName val="Sheet1"/>
    </sheetNames>
    <sheetDataSet>
      <sheetData sheetId="0"/>
      <sheetData sheetId="1"/>
      <sheetData sheetId="2"/>
      <sheetData sheetId="3">
        <row r="1">
          <cell r="A1" t="str">
            <v>Annual</v>
          </cell>
        </row>
        <row r="2">
          <cell r="A2" t="str">
            <v>Monthly</v>
          </cell>
        </row>
        <row r="3">
          <cell r="A3" t="str">
            <v>Quarterly</v>
          </cell>
        </row>
        <row r="4">
          <cell r="A4" t="str">
            <v>Other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R149"/>
  <sheetViews>
    <sheetView tabSelected="1" topLeftCell="A10" workbookViewId="0">
      <selection activeCell="C51" sqref="C51"/>
    </sheetView>
  </sheetViews>
  <sheetFormatPr defaultRowHeight="12.75" x14ac:dyDescent="0.2"/>
  <cols>
    <col min="1" max="1" width="6.5703125" customWidth="1"/>
    <col min="2" max="2" width="38.28515625" bestFit="1" customWidth="1"/>
    <col min="3" max="16" width="11" customWidth="1"/>
    <col min="17" max="21" width="9.140625" customWidth="1"/>
  </cols>
  <sheetData>
    <row r="1" spans="1:18" ht="23.25" x14ac:dyDescent="0.35">
      <c r="A1" s="1" t="s">
        <v>0</v>
      </c>
    </row>
    <row r="2" spans="1:18" x14ac:dyDescent="0.2">
      <c r="A2" s="2"/>
      <c r="B2" s="3" t="s">
        <v>149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8" x14ac:dyDescent="0.2">
      <c r="A3" s="2"/>
      <c r="B3" s="3" t="s">
        <v>147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8" x14ac:dyDescent="0.2">
      <c r="A4" s="2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spans="1:18" x14ac:dyDescent="0.2">
      <c r="A5" s="4"/>
      <c r="B5" s="25" t="s">
        <v>148</v>
      </c>
      <c r="C5" s="5">
        <f>SUM(C2:C4)</f>
        <v>0</v>
      </c>
      <c r="E5" s="6"/>
      <c r="F5" s="6"/>
      <c r="G5" s="6"/>
      <c r="H5" s="6"/>
      <c r="I5" s="6"/>
      <c r="J5" s="6"/>
      <c r="K5" s="6"/>
      <c r="L5" s="6"/>
      <c r="M5" s="6"/>
      <c r="N5" s="6"/>
      <c r="O5" s="6"/>
    </row>
    <row r="6" spans="1:18" x14ac:dyDescent="0.2">
      <c r="A6" s="2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8" x14ac:dyDescent="0.2">
      <c r="A7" s="7" t="s">
        <v>1</v>
      </c>
      <c r="B7" s="7"/>
      <c r="C7" s="28" t="s">
        <v>14</v>
      </c>
      <c r="D7" s="8" t="s">
        <v>2</v>
      </c>
      <c r="E7" s="8" t="s">
        <v>3</v>
      </c>
      <c r="F7" s="8" t="s">
        <v>4</v>
      </c>
      <c r="G7" s="8" t="s">
        <v>5</v>
      </c>
      <c r="H7" s="8" t="s">
        <v>6</v>
      </c>
      <c r="I7" s="8" t="s">
        <v>7</v>
      </c>
      <c r="J7" s="8" t="s">
        <v>8</v>
      </c>
      <c r="K7" s="8" t="s">
        <v>9</v>
      </c>
      <c r="L7" s="8" t="s">
        <v>10</v>
      </c>
      <c r="M7" s="8" t="s">
        <v>11</v>
      </c>
      <c r="N7" s="8" t="s">
        <v>12</v>
      </c>
      <c r="O7" s="8" t="s">
        <v>13</v>
      </c>
      <c r="P7" s="8" t="s">
        <v>14</v>
      </c>
      <c r="R7" s="9"/>
    </row>
    <row r="8" spans="1:18" x14ac:dyDescent="0.2">
      <c r="A8" s="10">
        <v>70001</v>
      </c>
      <c r="B8" s="3" t="s">
        <v>19</v>
      </c>
      <c r="C8" s="3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>
        <f t="shared" ref="P8:P45" si="0">SUM(D8:O8)</f>
        <v>0</v>
      </c>
    </row>
    <row r="9" spans="1:18" x14ac:dyDescent="0.2">
      <c r="A9" s="10">
        <v>70004</v>
      </c>
      <c r="B9" s="3" t="s">
        <v>20</v>
      </c>
      <c r="C9" s="3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>
        <f t="shared" ref="P9:P10" si="1">SUM(D9:O9)</f>
        <v>0</v>
      </c>
    </row>
    <row r="10" spans="1:18" x14ac:dyDescent="0.2">
      <c r="A10" s="10">
        <v>70006</v>
      </c>
      <c r="B10" s="3" t="s">
        <v>21</v>
      </c>
      <c r="C10" s="3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>
        <f t="shared" si="1"/>
        <v>0</v>
      </c>
    </row>
    <row r="11" spans="1:18" x14ac:dyDescent="0.2">
      <c r="A11" s="10">
        <v>70007</v>
      </c>
      <c r="B11" s="3" t="s">
        <v>22</v>
      </c>
      <c r="C11" s="3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>
        <f t="shared" si="0"/>
        <v>0</v>
      </c>
    </row>
    <row r="12" spans="1:18" x14ac:dyDescent="0.2">
      <c r="A12" s="10">
        <v>70020</v>
      </c>
      <c r="B12" s="3" t="s">
        <v>23</v>
      </c>
      <c r="C12" s="3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>
        <f t="shared" si="0"/>
        <v>0</v>
      </c>
    </row>
    <row r="13" spans="1:18" x14ac:dyDescent="0.2">
      <c r="A13" s="10">
        <v>70053</v>
      </c>
      <c r="B13" s="3" t="s">
        <v>24</v>
      </c>
      <c r="C13" s="3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>
        <f t="shared" si="0"/>
        <v>0</v>
      </c>
    </row>
    <row r="14" spans="1:18" x14ac:dyDescent="0.2">
      <c r="A14" s="10">
        <v>70080</v>
      </c>
      <c r="B14" s="3" t="s">
        <v>25</v>
      </c>
      <c r="C14" s="3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>
        <f t="shared" ref="P14:P34" si="2">SUM(D14:O14)</f>
        <v>0</v>
      </c>
    </row>
    <row r="15" spans="1:18" x14ac:dyDescent="0.2">
      <c r="A15" s="10">
        <v>70085</v>
      </c>
      <c r="B15" s="3" t="s">
        <v>26</v>
      </c>
      <c r="C15" s="3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>
        <f t="shared" si="2"/>
        <v>0</v>
      </c>
    </row>
    <row r="16" spans="1:18" x14ac:dyDescent="0.2">
      <c r="A16" s="10">
        <v>70090</v>
      </c>
      <c r="B16" s="3" t="s">
        <v>27</v>
      </c>
      <c r="C16" s="3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>
        <f t="shared" si="2"/>
        <v>0</v>
      </c>
    </row>
    <row r="17" spans="1:16" x14ac:dyDescent="0.2">
      <c r="A17" s="10">
        <v>71002</v>
      </c>
      <c r="B17" s="3" t="s">
        <v>28</v>
      </c>
      <c r="C17" s="3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>
        <f t="shared" si="2"/>
        <v>0</v>
      </c>
    </row>
    <row r="18" spans="1:16" x14ac:dyDescent="0.2">
      <c r="A18" s="10">
        <v>71020</v>
      </c>
      <c r="B18" s="3" t="s">
        <v>29</v>
      </c>
      <c r="C18" s="3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>
        <f t="shared" si="2"/>
        <v>0</v>
      </c>
    </row>
    <row r="19" spans="1:16" x14ac:dyDescent="0.2">
      <c r="A19" s="10">
        <v>71050</v>
      </c>
      <c r="B19" s="3" t="s">
        <v>30</v>
      </c>
      <c r="C19" s="3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>
        <f t="shared" si="2"/>
        <v>0</v>
      </c>
    </row>
    <row r="20" spans="1:16" x14ac:dyDescent="0.2">
      <c r="A20" s="10">
        <v>71080</v>
      </c>
      <c r="B20" s="3" t="s">
        <v>31</v>
      </c>
      <c r="C20" s="3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>
        <f t="shared" si="2"/>
        <v>0</v>
      </c>
    </row>
    <row r="21" spans="1:16" x14ac:dyDescent="0.2">
      <c r="A21" s="10">
        <v>72020</v>
      </c>
      <c r="B21" s="3" t="s">
        <v>32</v>
      </c>
      <c r="C21" s="3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>
        <f t="shared" si="2"/>
        <v>0</v>
      </c>
    </row>
    <row r="22" spans="1:16" x14ac:dyDescent="0.2">
      <c r="A22" s="10">
        <v>72050</v>
      </c>
      <c r="B22" s="3" t="s">
        <v>33</v>
      </c>
      <c r="C22" s="3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>
        <f t="shared" si="2"/>
        <v>0</v>
      </c>
    </row>
    <row r="23" spans="1:16" x14ac:dyDescent="0.2">
      <c r="A23" s="10">
        <v>72080</v>
      </c>
      <c r="B23" s="3" t="s">
        <v>34</v>
      </c>
      <c r="C23" s="3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>
        <f t="shared" si="2"/>
        <v>0</v>
      </c>
    </row>
    <row r="24" spans="1:16" x14ac:dyDescent="0.2">
      <c r="A24" s="10">
        <v>73001</v>
      </c>
      <c r="B24" s="3" t="s">
        <v>35</v>
      </c>
      <c r="C24" s="3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>
        <f t="shared" si="2"/>
        <v>0</v>
      </c>
    </row>
    <row r="25" spans="1:16" x14ac:dyDescent="0.2">
      <c r="A25" s="10">
        <v>73002</v>
      </c>
      <c r="B25" s="3" t="s">
        <v>36</v>
      </c>
      <c r="C25" s="3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>
        <f t="shared" si="2"/>
        <v>0</v>
      </c>
    </row>
    <row r="26" spans="1:16" x14ac:dyDescent="0.2">
      <c r="A26" s="10">
        <v>73003</v>
      </c>
      <c r="B26" s="3" t="s">
        <v>37</v>
      </c>
      <c r="C26" s="3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>
        <f t="shared" si="2"/>
        <v>0</v>
      </c>
    </row>
    <row r="27" spans="1:16" x14ac:dyDescent="0.2">
      <c r="A27" s="10">
        <v>73504</v>
      </c>
      <c r="B27" s="3" t="s">
        <v>38</v>
      </c>
      <c r="C27" s="3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>
        <f t="shared" si="2"/>
        <v>0</v>
      </c>
    </row>
    <row r="28" spans="1:16" x14ac:dyDescent="0.2">
      <c r="A28" s="10">
        <v>73505</v>
      </c>
      <c r="B28" s="3" t="s">
        <v>39</v>
      </c>
      <c r="C28" s="3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>
        <f t="shared" si="2"/>
        <v>0</v>
      </c>
    </row>
    <row r="29" spans="1:16" x14ac:dyDescent="0.2">
      <c r="A29" s="10">
        <v>73541</v>
      </c>
      <c r="B29" s="3" t="s">
        <v>40</v>
      </c>
      <c r="C29" s="3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>
        <f t="shared" si="2"/>
        <v>0</v>
      </c>
    </row>
    <row r="30" spans="1:16" x14ac:dyDescent="0.2">
      <c r="A30" s="10">
        <v>74101</v>
      </c>
      <c r="B30" s="3" t="s">
        <v>41</v>
      </c>
      <c r="C30" s="3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>
        <f t="shared" si="2"/>
        <v>0</v>
      </c>
    </row>
    <row r="31" spans="1:16" x14ac:dyDescent="0.2">
      <c r="A31" s="10">
        <v>74102</v>
      </c>
      <c r="B31" s="3" t="s">
        <v>42</v>
      </c>
      <c r="C31" s="3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>
        <f t="shared" si="2"/>
        <v>0</v>
      </c>
    </row>
    <row r="32" spans="1:16" x14ac:dyDescent="0.2">
      <c r="A32" s="10">
        <v>74103</v>
      </c>
      <c r="B32" s="3" t="s">
        <v>43</v>
      </c>
      <c r="C32" s="3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>
        <f t="shared" si="2"/>
        <v>0</v>
      </c>
    </row>
    <row r="33" spans="1:16" x14ac:dyDescent="0.2">
      <c r="A33" s="10">
        <v>74201</v>
      </c>
      <c r="B33" s="3" t="s">
        <v>44</v>
      </c>
      <c r="C33" s="3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>
        <f t="shared" si="2"/>
        <v>0</v>
      </c>
    </row>
    <row r="34" spans="1:16" x14ac:dyDescent="0.2">
      <c r="A34" s="10">
        <v>74202</v>
      </c>
      <c r="B34" s="3" t="s">
        <v>45</v>
      </c>
      <c r="C34" s="3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>
        <f t="shared" si="2"/>
        <v>0</v>
      </c>
    </row>
    <row r="35" spans="1:16" x14ac:dyDescent="0.2">
      <c r="A35" s="10">
        <v>74301</v>
      </c>
      <c r="B35" s="3" t="s">
        <v>46</v>
      </c>
      <c r="C35" s="3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>
        <f t="shared" ref="P35:P36" si="3">SUM(D35:O35)</f>
        <v>0</v>
      </c>
    </row>
    <row r="36" spans="1:16" x14ac:dyDescent="0.2">
      <c r="A36" s="10">
        <v>74302</v>
      </c>
      <c r="B36" s="3" t="s">
        <v>47</v>
      </c>
      <c r="C36" s="3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>
        <f t="shared" si="3"/>
        <v>0</v>
      </c>
    </row>
    <row r="37" spans="1:16" x14ac:dyDescent="0.2">
      <c r="A37" s="12">
        <v>74303</v>
      </c>
      <c r="B37" s="3" t="s">
        <v>48</v>
      </c>
      <c r="C37" s="3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>
        <f t="shared" ref="P37" si="4">SUM(D37:O37)</f>
        <v>0</v>
      </c>
    </row>
    <row r="38" spans="1:16" x14ac:dyDescent="0.2">
      <c r="A38" s="10">
        <v>74402</v>
      </c>
      <c r="B38" s="3" t="s">
        <v>49</v>
      </c>
      <c r="C38" s="3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>
        <f t="shared" si="0"/>
        <v>0</v>
      </c>
    </row>
    <row r="39" spans="1:16" x14ac:dyDescent="0.2">
      <c r="A39" s="10">
        <v>74403</v>
      </c>
      <c r="B39" s="3" t="s">
        <v>50</v>
      </c>
      <c r="C39" s="3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>
        <f t="shared" si="0"/>
        <v>0</v>
      </c>
    </row>
    <row r="40" spans="1:16" x14ac:dyDescent="0.2">
      <c r="A40" s="10">
        <v>74405</v>
      </c>
      <c r="B40" s="3" t="s">
        <v>51</v>
      </c>
      <c r="C40" s="3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>
        <f t="shared" si="0"/>
        <v>0</v>
      </c>
    </row>
    <row r="41" spans="1:16" x14ac:dyDescent="0.2">
      <c r="A41" s="10">
        <v>74406</v>
      </c>
      <c r="B41" s="3" t="s">
        <v>52</v>
      </c>
      <c r="C41" s="3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>
        <f t="shared" si="0"/>
        <v>0</v>
      </c>
    </row>
    <row r="42" spans="1:16" x14ac:dyDescent="0.2">
      <c r="A42" s="10">
        <v>74407</v>
      </c>
      <c r="B42" s="3" t="s">
        <v>53</v>
      </c>
      <c r="C42" s="3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>
        <f t="shared" si="0"/>
        <v>0</v>
      </c>
    </row>
    <row r="43" spans="1:16" x14ac:dyDescent="0.2">
      <c r="A43" s="10">
        <v>74420</v>
      </c>
      <c r="B43" s="3" t="s">
        <v>54</v>
      </c>
      <c r="C43" s="3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>
        <f t="shared" si="0"/>
        <v>0</v>
      </c>
    </row>
    <row r="44" spans="1:16" x14ac:dyDescent="0.2">
      <c r="A44" s="10">
        <v>74450</v>
      </c>
      <c r="B44" s="3" t="s">
        <v>55</v>
      </c>
      <c r="C44" s="3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>
        <f t="shared" si="0"/>
        <v>0</v>
      </c>
    </row>
    <row r="45" spans="1:16" x14ac:dyDescent="0.2">
      <c r="A45" s="10">
        <v>74580</v>
      </c>
      <c r="B45" s="3" t="s">
        <v>56</v>
      </c>
      <c r="C45" s="3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>
        <f t="shared" si="0"/>
        <v>0</v>
      </c>
    </row>
    <row r="46" spans="1:16" x14ac:dyDescent="0.2">
      <c r="A46" s="13">
        <v>74581</v>
      </c>
      <c r="B46" s="3" t="s">
        <v>57</v>
      </c>
      <c r="C46" s="3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>
        <f t="shared" ref="P46" si="5">SUM(D46:O46)</f>
        <v>0</v>
      </c>
    </row>
    <row r="47" spans="1:16" x14ac:dyDescent="0.2">
      <c r="A47" s="13">
        <v>74582</v>
      </c>
      <c r="B47" s="3" t="s">
        <v>58</v>
      </c>
      <c r="C47" s="3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>
        <f t="shared" ref="P47:P48" si="6">SUM(D47:O47)</f>
        <v>0</v>
      </c>
    </row>
    <row r="48" spans="1:16" x14ac:dyDescent="0.2">
      <c r="A48" s="14">
        <v>0</v>
      </c>
      <c r="B48" s="2" t="s">
        <v>15</v>
      </c>
      <c r="C48" s="2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>
        <f t="shared" si="6"/>
        <v>0</v>
      </c>
    </row>
    <row r="49" spans="1:16" x14ac:dyDescent="0.2">
      <c r="A49" s="10"/>
      <c r="B49" s="27" t="s">
        <v>14</v>
      </c>
      <c r="C49" s="16">
        <f t="shared" ref="C49:O49" si="7">SUM(C8:C48)</f>
        <v>0</v>
      </c>
      <c r="D49" s="16">
        <f t="shared" si="7"/>
        <v>0</v>
      </c>
      <c r="E49" s="16">
        <f t="shared" si="7"/>
        <v>0</v>
      </c>
      <c r="F49" s="16">
        <f t="shared" si="7"/>
        <v>0</v>
      </c>
      <c r="G49" s="16">
        <f t="shared" si="7"/>
        <v>0</v>
      </c>
      <c r="H49" s="16">
        <f t="shared" si="7"/>
        <v>0</v>
      </c>
      <c r="I49" s="16">
        <f t="shared" si="7"/>
        <v>0</v>
      </c>
      <c r="J49" s="16">
        <f t="shared" si="7"/>
        <v>0</v>
      </c>
      <c r="K49" s="16">
        <f t="shared" si="7"/>
        <v>0</v>
      </c>
      <c r="L49" s="16">
        <f t="shared" si="7"/>
        <v>0</v>
      </c>
      <c r="M49" s="16">
        <f t="shared" si="7"/>
        <v>0</v>
      </c>
      <c r="N49" s="16">
        <f t="shared" si="7"/>
        <v>0</v>
      </c>
      <c r="O49" s="16">
        <f t="shared" si="7"/>
        <v>0</v>
      </c>
      <c r="P49" s="16">
        <f>SUM(D49:O49)</f>
        <v>0</v>
      </c>
    </row>
    <row r="50" spans="1:16" x14ac:dyDescent="0.2">
      <c r="A50" s="10"/>
      <c r="B50" s="15"/>
      <c r="C50" s="15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</row>
    <row r="51" spans="1:16" x14ac:dyDescent="0.2">
      <c r="A51" s="17" t="s">
        <v>16</v>
      </c>
      <c r="B51" s="7"/>
      <c r="C51" s="28" t="s">
        <v>14</v>
      </c>
      <c r="D51" s="8" t="s">
        <v>2</v>
      </c>
      <c r="E51" s="8" t="s">
        <v>3</v>
      </c>
      <c r="F51" s="8" t="s">
        <v>4</v>
      </c>
      <c r="G51" s="8" t="s">
        <v>5</v>
      </c>
      <c r="H51" s="8" t="s">
        <v>6</v>
      </c>
      <c r="I51" s="8" t="s">
        <v>7</v>
      </c>
      <c r="J51" s="8" t="s">
        <v>17</v>
      </c>
      <c r="K51" s="8" t="s">
        <v>9</v>
      </c>
      <c r="L51" s="8" t="s">
        <v>10</v>
      </c>
      <c r="M51" s="8" t="s">
        <v>11</v>
      </c>
      <c r="N51" s="8" t="s">
        <v>12</v>
      </c>
      <c r="O51" s="8" t="s">
        <v>13</v>
      </c>
      <c r="P51" s="8" t="s">
        <v>14</v>
      </c>
    </row>
    <row r="52" spans="1:16" x14ac:dyDescent="0.2">
      <c r="A52" s="10">
        <v>80052</v>
      </c>
      <c r="B52" s="2" t="s">
        <v>59</v>
      </c>
      <c r="C52" s="2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>
        <f t="shared" ref="P52:P117" si="8">SUM(D52:O52)</f>
        <v>0</v>
      </c>
    </row>
    <row r="53" spans="1:16" x14ac:dyDescent="0.2">
      <c r="A53" s="10">
        <v>80053</v>
      </c>
      <c r="B53" s="2" t="s">
        <v>60</v>
      </c>
      <c r="C53" s="2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>
        <f t="shared" si="8"/>
        <v>0</v>
      </c>
    </row>
    <row r="54" spans="1:16" x14ac:dyDescent="0.2">
      <c r="A54" s="10">
        <v>80060</v>
      </c>
      <c r="B54" s="2" t="s">
        <v>61</v>
      </c>
      <c r="C54" s="2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>
        <f t="shared" si="8"/>
        <v>0</v>
      </c>
    </row>
    <row r="55" spans="1:16" x14ac:dyDescent="0.2">
      <c r="A55" s="10">
        <v>80070</v>
      </c>
      <c r="B55" s="2" t="s">
        <v>62</v>
      </c>
      <c r="C55" s="2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>
        <f t="shared" si="8"/>
        <v>0</v>
      </c>
    </row>
    <row r="56" spans="1:16" x14ac:dyDescent="0.2">
      <c r="A56" s="10">
        <v>80071</v>
      </c>
      <c r="B56" s="2" t="s">
        <v>63</v>
      </c>
      <c r="C56" s="2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>
        <f t="shared" si="8"/>
        <v>0</v>
      </c>
    </row>
    <row r="57" spans="1:16" x14ac:dyDescent="0.2">
      <c r="A57" s="10">
        <v>80080</v>
      </c>
      <c r="B57" s="2" t="s">
        <v>64</v>
      </c>
      <c r="C57" s="2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>
        <f t="shared" si="8"/>
        <v>0</v>
      </c>
    </row>
    <row r="58" spans="1:16" x14ac:dyDescent="0.2">
      <c r="A58" s="10">
        <v>80081</v>
      </c>
      <c r="B58" s="2" t="s">
        <v>65</v>
      </c>
      <c r="C58" s="2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>
        <f t="shared" si="8"/>
        <v>0</v>
      </c>
    </row>
    <row r="59" spans="1:16" x14ac:dyDescent="0.2">
      <c r="A59" s="10">
        <v>81001</v>
      </c>
      <c r="B59" s="2" t="s">
        <v>66</v>
      </c>
      <c r="C59" s="2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>
        <f t="shared" si="8"/>
        <v>0</v>
      </c>
    </row>
    <row r="60" spans="1:16" x14ac:dyDescent="0.2">
      <c r="A60" s="10">
        <v>81002</v>
      </c>
      <c r="B60" s="2" t="s">
        <v>67</v>
      </c>
      <c r="C60" s="2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>
        <f t="shared" si="8"/>
        <v>0</v>
      </c>
    </row>
    <row r="61" spans="1:16" x14ac:dyDescent="0.2">
      <c r="A61" s="10">
        <v>82801</v>
      </c>
      <c r="B61" s="2" t="s">
        <v>68</v>
      </c>
      <c r="C61" s="2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>
        <f t="shared" si="8"/>
        <v>0</v>
      </c>
    </row>
    <row r="62" spans="1:16" x14ac:dyDescent="0.2">
      <c r="A62" s="10">
        <v>86101</v>
      </c>
      <c r="B62" s="2" t="s">
        <v>69</v>
      </c>
      <c r="C62" s="2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>
        <f t="shared" si="8"/>
        <v>0</v>
      </c>
    </row>
    <row r="63" spans="1:16" x14ac:dyDescent="0.2">
      <c r="A63" s="10">
        <v>86102</v>
      </c>
      <c r="B63" s="2" t="s">
        <v>70</v>
      </c>
      <c r="C63" s="2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>
        <f t="shared" si="8"/>
        <v>0</v>
      </c>
    </row>
    <row r="64" spans="1:16" x14ac:dyDescent="0.2">
      <c r="A64" s="10">
        <v>86104</v>
      </c>
      <c r="B64" s="2" t="s">
        <v>71</v>
      </c>
      <c r="C64" s="2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>
        <f t="shared" si="8"/>
        <v>0</v>
      </c>
    </row>
    <row r="65" spans="1:16" x14ac:dyDescent="0.2">
      <c r="A65" s="10">
        <v>86105</v>
      </c>
      <c r="B65" s="2" t="s">
        <v>72</v>
      </c>
      <c r="C65" s="2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>
        <f t="shared" si="8"/>
        <v>0</v>
      </c>
    </row>
    <row r="66" spans="1:16" x14ac:dyDescent="0.2">
      <c r="A66" s="10">
        <v>86150</v>
      </c>
      <c r="B66" s="2" t="s">
        <v>73</v>
      </c>
      <c r="C66" s="2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>
        <f t="shared" si="8"/>
        <v>0</v>
      </c>
    </row>
    <row r="67" spans="1:16" x14ac:dyDescent="0.2">
      <c r="A67" s="10">
        <v>86201</v>
      </c>
      <c r="B67" s="2" t="s">
        <v>74</v>
      </c>
      <c r="C67" s="2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>
        <f t="shared" si="8"/>
        <v>0</v>
      </c>
    </row>
    <row r="68" spans="1:16" x14ac:dyDescent="0.2">
      <c r="A68" s="10">
        <v>86250</v>
      </c>
      <c r="B68" s="2" t="s">
        <v>75</v>
      </c>
      <c r="C68" s="2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>
        <f t="shared" si="8"/>
        <v>0</v>
      </c>
    </row>
    <row r="69" spans="1:16" x14ac:dyDescent="0.2">
      <c r="A69" s="10">
        <v>86301</v>
      </c>
      <c r="B69" s="2" t="s">
        <v>76</v>
      </c>
      <c r="C69" s="2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>
        <f t="shared" si="8"/>
        <v>0</v>
      </c>
    </row>
    <row r="70" spans="1:16" x14ac:dyDescent="0.2">
      <c r="A70" s="10">
        <v>86302</v>
      </c>
      <c r="B70" s="2" t="s">
        <v>77</v>
      </c>
      <c r="C70" s="2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>
        <f t="shared" si="8"/>
        <v>0</v>
      </c>
    </row>
    <row r="71" spans="1:16" x14ac:dyDescent="0.2">
      <c r="A71" s="10">
        <v>86303</v>
      </c>
      <c r="B71" s="2" t="s">
        <v>78</v>
      </c>
      <c r="C71" s="2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>
        <f t="shared" si="8"/>
        <v>0</v>
      </c>
    </row>
    <row r="72" spans="1:16" x14ac:dyDescent="0.2">
      <c r="A72" s="10">
        <v>86350</v>
      </c>
      <c r="B72" s="2" t="s">
        <v>79</v>
      </c>
      <c r="C72" s="2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>
        <f t="shared" si="8"/>
        <v>0</v>
      </c>
    </row>
    <row r="73" spans="1:16" x14ac:dyDescent="0.2">
      <c r="A73" s="10">
        <v>86401</v>
      </c>
      <c r="B73" s="2" t="s">
        <v>80</v>
      </c>
      <c r="C73" s="2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>
        <f t="shared" si="8"/>
        <v>0</v>
      </c>
    </row>
    <row r="74" spans="1:16" x14ac:dyDescent="0.2">
      <c r="A74" s="10">
        <v>86402</v>
      </c>
      <c r="B74" s="2" t="s">
        <v>81</v>
      </c>
      <c r="C74" s="2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>
        <f t="shared" si="8"/>
        <v>0</v>
      </c>
    </row>
    <row r="75" spans="1:16" x14ac:dyDescent="0.2">
      <c r="A75" s="10">
        <v>86403</v>
      </c>
      <c r="B75" s="2" t="s">
        <v>82</v>
      </c>
      <c r="C75" s="2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>
        <f t="shared" si="8"/>
        <v>0</v>
      </c>
    </row>
    <row r="76" spans="1:16" x14ac:dyDescent="0.2">
      <c r="A76" s="10">
        <v>86404</v>
      </c>
      <c r="B76" s="2" t="s">
        <v>83</v>
      </c>
      <c r="C76" s="2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>
        <f t="shared" si="8"/>
        <v>0</v>
      </c>
    </row>
    <row r="77" spans="1:16" x14ac:dyDescent="0.2">
      <c r="A77" s="10">
        <v>86407</v>
      </c>
      <c r="B77" s="2" t="s">
        <v>84</v>
      </c>
      <c r="C77" s="2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>
        <f t="shared" si="8"/>
        <v>0</v>
      </c>
    </row>
    <row r="78" spans="1:16" x14ac:dyDescent="0.2">
      <c r="A78" s="10">
        <v>86408</v>
      </c>
      <c r="B78" s="2" t="s">
        <v>85</v>
      </c>
      <c r="C78" s="2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>
        <f t="shared" si="8"/>
        <v>0</v>
      </c>
    </row>
    <row r="79" spans="1:16" x14ac:dyDescent="0.2">
      <c r="A79" s="10">
        <v>86409</v>
      </c>
      <c r="B79" s="2" t="s">
        <v>86</v>
      </c>
      <c r="C79" s="2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>
        <f t="shared" si="8"/>
        <v>0</v>
      </c>
    </row>
    <row r="80" spans="1:16" x14ac:dyDescent="0.2">
      <c r="A80" s="10">
        <v>86410</v>
      </c>
      <c r="B80" s="2" t="s">
        <v>87</v>
      </c>
      <c r="C80" s="2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>
        <f t="shared" si="8"/>
        <v>0</v>
      </c>
    </row>
    <row r="81" spans="1:16" x14ac:dyDescent="0.2">
      <c r="A81" s="10">
        <v>86450</v>
      </c>
      <c r="B81" s="2" t="s">
        <v>88</v>
      </c>
      <c r="C81" s="2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>
        <f t="shared" si="8"/>
        <v>0</v>
      </c>
    </row>
    <row r="82" spans="1:16" x14ac:dyDescent="0.2">
      <c r="A82" s="10">
        <v>86452</v>
      </c>
      <c r="B82" s="2" t="s">
        <v>89</v>
      </c>
      <c r="C82" s="2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>
        <f t="shared" si="8"/>
        <v>0</v>
      </c>
    </row>
    <row r="83" spans="1:16" x14ac:dyDescent="0.2">
      <c r="A83" s="10">
        <v>86453</v>
      </c>
      <c r="B83" s="2" t="s">
        <v>90</v>
      </c>
      <c r="C83" s="2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>
        <f t="shared" si="8"/>
        <v>0</v>
      </c>
    </row>
    <row r="84" spans="1:16" x14ac:dyDescent="0.2">
      <c r="A84" s="10">
        <v>86454</v>
      </c>
      <c r="B84" s="2" t="s">
        <v>91</v>
      </c>
      <c r="C84" s="2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>
        <f t="shared" si="8"/>
        <v>0</v>
      </c>
    </row>
    <row r="85" spans="1:16" x14ac:dyDescent="0.2">
      <c r="A85" s="10">
        <v>86455</v>
      </c>
      <c r="B85" s="2" t="s">
        <v>92</v>
      </c>
      <c r="C85" s="2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>
        <f t="shared" ref="P85:P109" si="9">SUM(D85:O85)</f>
        <v>0</v>
      </c>
    </row>
    <row r="86" spans="1:16" x14ac:dyDescent="0.2">
      <c r="A86" s="10">
        <v>86459</v>
      </c>
      <c r="B86" s="2" t="s">
        <v>93</v>
      </c>
      <c r="C86" s="2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>
        <f t="shared" si="9"/>
        <v>0</v>
      </c>
    </row>
    <row r="87" spans="1:16" x14ac:dyDescent="0.2">
      <c r="A87" s="10">
        <v>86457</v>
      </c>
      <c r="B87" s="2" t="s">
        <v>94</v>
      </c>
      <c r="C87" s="2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>
        <f t="shared" si="9"/>
        <v>0</v>
      </c>
    </row>
    <row r="88" spans="1:16" x14ac:dyDescent="0.2">
      <c r="A88" s="10">
        <v>86470</v>
      </c>
      <c r="B88" s="2" t="s">
        <v>95</v>
      </c>
      <c r="C88" s="2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>
        <f t="shared" si="9"/>
        <v>0</v>
      </c>
    </row>
    <row r="89" spans="1:16" x14ac:dyDescent="0.2">
      <c r="A89" s="10">
        <v>86503</v>
      </c>
      <c r="B89" s="2" t="s">
        <v>96</v>
      </c>
      <c r="C89" s="2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>
        <f t="shared" si="9"/>
        <v>0</v>
      </c>
    </row>
    <row r="90" spans="1:16" x14ac:dyDescent="0.2">
      <c r="A90" s="10">
        <v>86500</v>
      </c>
      <c r="B90" s="2" t="s">
        <v>97</v>
      </c>
      <c r="C90" s="2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>
        <f t="shared" si="9"/>
        <v>0</v>
      </c>
    </row>
    <row r="91" spans="1:16" x14ac:dyDescent="0.2">
      <c r="A91" s="10">
        <v>86501</v>
      </c>
      <c r="B91" s="2" t="s">
        <v>98</v>
      </c>
      <c r="C91" s="2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>
        <f t="shared" si="9"/>
        <v>0</v>
      </c>
    </row>
    <row r="92" spans="1:16" x14ac:dyDescent="0.2">
      <c r="A92" s="10">
        <v>86502</v>
      </c>
      <c r="B92" s="2" t="s">
        <v>99</v>
      </c>
      <c r="C92" s="2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>
        <f t="shared" si="9"/>
        <v>0</v>
      </c>
    </row>
    <row r="93" spans="1:16" x14ac:dyDescent="0.2">
      <c r="A93" s="10">
        <v>86504</v>
      </c>
      <c r="B93" s="2" t="s">
        <v>100</v>
      </c>
      <c r="C93" s="2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>
        <f t="shared" si="9"/>
        <v>0</v>
      </c>
    </row>
    <row r="94" spans="1:16" x14ac:dyDescent="0.2">
      <c r="A94" s="10">
        <v>86505</v>
      </c>
      <c r="B94" s="2" t="s">
        <v>101</v>
      </c>
      <c r="C94" s="2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>
        <f t="shared" si="9"/>
        <v>0</v>
      </c>
    </row>
    <row r="95" spans="1:16" x14ac:dyDescent="0.2">
      <c r="A95" s="10">
        <v>86550</v>
      </c>
      <c r="B95" s="2" t="s">
        <v>102</v>
      </c>
      <c r="C95" s="2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>
        <f t="shared" si="9"/>
        <v>0</v>
      </c>
    </row>
    <row r="96" spans="1:16" x14ac:dyDescent="0.2">
      <c r="A96" s="10">
        <v>86603</v>
      </c>
      <c r="B96" s="2" t="s">
        <v>103</v>
      </c>
      <c r="C96" s="2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>
        <f t="shared" si="9"/>
        <v>0</v>
      </c>
    </row>
    <row r="97" spans="1:16" x14ac:dyDescent="0.2">
      <c r="A97" s="10">
        <v>86604</v>
      </c>
      <c r="B97" s="2" t="s">
        <v>104</v>
      </c>
      <c r="C97" s="2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>
        <f t="shared" si="9"/>
        <v>0</v>
      </c>
    </row>
    <row r="98" spans="1:16" x14ac:dyDescent="0.2">
      <c r="A98" s="10">
        <v>86605</v>
      </c>
      <c r="B98" s="2" t="s">
        <v>105</v>
      </c>
      <c r="C98" s="2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>
        <f t="shared" si="9"/>
        <v>0</v>
      </c>
    </row>
    <row r="99" spans="1:16" x14ac:dyDescent="0.2">
      <c r="A99" s="10">
        <v>86606</v>
      </c>
      <c r="B99" s="2" t="s">
        <v>106</v>
      </c>
      <c r="C99" s="2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>
        <f t="shared" si="9"/>
        <v>0</v>
      </c>
    </row>
    <row r="100" spans="1:16" x14ac:dyDescent="0.2">
      <c r="A100" s="10">
        <v>86607</v>
      </c>
      <c r="B100" s="2" t="s">
        <v>107</v>
      </c>
      <c r="C100" s="2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>
        <f t="shared" si="9"/>
        <v>0</v>
      </c>
    </row>
    <row r="101" spans="1:16" x14ac:dyDescent="0.2">
      <c r="A101" s="10">
        <v>86608</v>
      </c>
      <c r="B101" s="2" t="s">
        <v>108</v>
      </c>
      <c r="C101" s="2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>
        <f t="shared" si="9"/>
        <v>0</v>
      </c>
    </row>
    <row r="102" spans="1:16" x14ac:dyDescent="0.2">
      <c r="A102" s="10">
        <v>86620</v>
      </c>
      <c r="B102" s="2" t="s">
        <v>109</v>
      </c>
      <c r="C102" s="2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>
        <f t="shared" si="9"/>
        <v>0</v>
      </c>
    </row>
    <row r="103" spans="1:16" x14ac:dyDescent="0.2">
      <c r="A103" s="10">
        <v>86701</v>
      </c>
      <c r="B103" s="2" t="s">
        <v>110</v>
      </c>
      <c r="C103" s="2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>
        <f t="shared" si="9"/>
        <v>0</v>
      </c>
    </row>
    <row r="104" spans="1:16" x14ac:dyDescent="0.2">
      <c r="A104" s="10">
        <v>86702</v>
      </c>
      <c r="B104" s="2" t="s">
        <v>111</v>
      </c>
      <c r="C104" s="2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>
        <f t="shared" si="9"/>
        <v>0</v>
      </c>
    </row>
    <row r="105" spans="1:16" x14ac:dyDescent="0.2">
      <c r="A105" s="10">
        <v>86703</v>
      </c>
      <c r="B105" s="2" t="s">
        <v>112</v>
      </c>
      <c r="C105" s="2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>
        <f t="shared" si="9"/>
        <v>0</v>
      </c>
    </row>
    <row r="106" spans="1:16" x14ac:dyDescent="0.2">
      <c r="A106" s="10">
        <v>86704</v>
      </c>
      <c r="B106" s="2" t="s">
        <v>113</v>
      </c>
      <c r="C106" s="2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>
        <f t="shared" si="9"/>
        <v>0</v>
      </c>
    </row>
    <row r="107" spans="1:16" x14ac:dyDescent="0.2">
      <c r="A107" s="10">
        <v>86801</v>
      </c>
      <c r="B107" s="2" t="s">
        <v>114</v>
      </c>
      <c r="C107" s="2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>
        <f t="shared" si="9"/>
        <v>0</v>
      </c>
    </row>
    <row r="108" spans="1:16" x14ac:dyDescent="0.2">
      <c r="A108" s="10">
        <v>86802</v>
      </c>
      <c r="B108" s="2" t="s">
        <v>115</v>
      </c>
      <c r="C108" s="2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>
        <f t="shared" si="9"/>
        <v>0</v>
      </c>
    </row>
    <row r="109" spans="1:16" x14ac:dyDescent="0.2">
      <c r="A109" s="10">
        <v>86803</v>
      </c>
      <c r="B109" s="2" t="s">
        <v>116</v>
      </c>
      <c r="C109" s="2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>
        <f t="shared" si="9"/>
        <v>0</v>
      </c>
    </row>
    <row r="110" spans="1:16" x14ac:dyDescent="0.2">
      <c r="A110" s="10">
        <v>86805</v>
      </c>
      <c r="B110" s="2" t="s">
        <v>117</v>
      </c>
      <c r="C110" s="2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>
        <f t="shared" si="8"/>
        <v>0</v>
      </c>
    </row>
    <row r="111" spans="1:16" x14ac:dyDescent="0.2">
      <c r="A111" s="10">
        <v>86806</v>
      </c>
      <c r="B111" s="2" t="s">
        <v>118</v>
      </c>
      <c r="C111" s="2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>
        <f t="shared" si="8"/>
        <v>0</v>
      </c>
    </row>
    <row r="112" spans="1:16" x14ac:dyDescent="0.2">
      <c r="A112" s="10">
        <v>86850</v>
      </c>
      <c r="B112" s="2" t="s">
        <v>119</v>
      </c>
      <c r="C112" s="2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>
        <f t="shared" si="8"/>
        <v>0</v>
      </c>
    </row>
    <row r="113" spans="1:16" x14ac:dyDescent="0.2">
      <c r="A113" s="10">
        <v>86901</v>
      </c>
      <c r="B113" s="2" t="s">
        <v>120</v>
      </c>
      <c r="C113" s="2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>
        <f t="shared" si="8"/>
        <v>0</v>
      </c>
    </row>
    <row r="114" spans="1:16" x14ac:dyDescent="0.2">
      <c r="A114" s="10">
        <v>86902</v>
      </c>
      <c r="B114" s="2" t="s">
        <v>121</v>
      </c>
      <c r="C114" s="2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>
        <f t="shared" si="8"/>
        <v>0</v>
      </c>
    </row>
    <row r="115" spans="1:16" x14ac:dyDescent="0.2">
      <c r="A115" s="10">
        <v>86903</v>
      </c>
      <c r="B115" s="2" t="s">
        <v>122</v>
      </c>
      <c r="C115" s="2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>
        <f t="shared" si="8"/>
        <v>0</v>
      </c>
    </row>
    <row r="116" spans="1:16" x14ac:dyDescent="0.2">
      <c r="A116" s="10">
        <v>86910</v>
      </c>
      <c r="B116" s="2" t="s">
        <v>123</v>
      </c>
      <c r="C116" s="2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>
        <f t="shared" si="8"/>
        <v>0</v>
      </c>
    </row>
    <row r="117" spans="1:16" x14ac:dyDescent="0.2">
      <c r="A117" s="10">
        <v>86919</v>
      </c>
      <c r="B117" s="2" t="s">
        <v>124</v>
      </c>
      <c r="C117" s="2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>
        <f t="shared" si="8"/>
        <v>0</v>
      </c>
    </row>
    <row r="118" spans="1:16" x14ac:dyDescent="0.2">
      <c r="A118" s="10">
        <v>86920</v>
      </c>
      <c r="B118" s="2" t="s">
        <v>125</v>
      </c>
      <c r="C118" s="2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>
        <f t="shared" ref="P118:P143" si="10">SUM(D118:O118)</f>
        <v>0</v>
      </c>
    </row>
    <row r="119" spans="1:16" x14ac:dyDescent="0.2">
      <c r="A119" s="10">
        <v>86930</v>
      </c>
      <c r="B119" s="2" t="s">
        <v>126</v>
      </c>
      <c r="C119" s="2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>
        <f t="shared" si="10"/>
        <v>0</v>
      </c>
    </row>
    <row r="120" spans="1:16" x14ac:dyDescent="0.2">
      <c r="A120" s="10">
        <v>86940</v>
      </c>
      <c r="B120" s="2" t="s">
        <v>127</v>
      </c>
      <c r="C120" s="2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>
        <f t="shared" si="10"/>
        <v>0</v>
      </c>
    </row>
    <row r="121" spans="1:16" x14ac:dyDescent="0.2">
      <c r="A121" s="10">
        <v>86950</v>
      </c>
      <c r="B121" s="2" t="s">
        <v>128</v>
      </c>
      <c r="C121" s="2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>
        <f t="shared" si="10"/>
        <v>0</v>
      </c>
    </row>
    <row r="122" spans="1:16" x14ac:dyDescent="0.2">
      <c r="A122" s="10">
        <v>89101</v>
      </c>
      <c r="B122" s="2" t="s">
        <v>49</v>
      </c>
      <c r="C122" s="2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>
        <f t="shared" si="10"/>
        <v>0</v>
      </c>
    </row>
    <row r="123" spans="1:16" x14ac:dyDescent="0.2">
      <c r="A123" s="10">
        <v>89102</v>
      </c>
      <c r="B123" s="2" t="s">
        <v>50</v>
      </c>
      <c r="C123" s="2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>
        <f t="shared" si="10"/>
        <v>0</v>
      </c>
    </row>
    <row r="124" spans="1:16" x14ac:dyDescent="0.2">
      <c r="A124" s="10">
        <v>89103</v>
      </c>
      <c r="B124" s="2" t="s">
        <v>129</v>
      </c>
      <c r="C124" s="2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>
        <f t="shared" si="10"/>
        <v>0</v>
      </c>
    </row>
    <row r="125" spans="1:16" x14ac:dyDescent="0.2">
      <c r="A125" s="10">
        <v>89104</v>
      </c>
      <c r="B125" s="2" t="s">
        <v>130</v>
      </c>
      <c r="C125" s="2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>
        <f t="shared" si="10"/>
        <v>0</v>
      </c>
    </row>
    <row r="126" spans="1:16" x14ac:dyDescent="0.2">
      <c r="A126" s="10">
        <v>89120</v>
      </c>
      <c r="B126" s="2" t="s">
        <v>131</v>
      </c>
      <c r="C126" s="2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>
        <f t="shared" si="10"/>
        <v>0</v>
      </c>
    </row>
    <row r="127" spans="1:16" x14ac:dyDescent="0.2">
      <c r="A127" s="10">
        <v>89140</v>
      </c>
      <c r="B127" s="2" t="s">
        <v>132</v>
      </c>
      <c r="C127" s="2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>
        <f t="shared" si="10"/>
        <v>0</v>
      </c>
    </row>
    <row r="128" spans="1:16" x14ac:dyDescent="0.2">
      <c r="A128" s="10">
        <v>89201</v>
      </c>
      <c r="B128" s="2" t="s">
        <v>133</v>
      </c>
      <c r="C128" s="2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>
        <f t="shared" si="10"/>
        <v>0</v>
      </c>
    </row>
    <row r="129" spans="1:16" x14ac:dyDescent="0.2">
      <c r="A129" s="10">
        <v>89202</v>
      </c>
      <c r="B129" s="2" t="s">
        <v>134</v>
      </c>
      <c r="C129" s="2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>
        <f t="shared" si="10"/>
        <v>0</v>
      </c>
    </row>
    <row r="130" spans="1:16" x14ac:dyDescent="0.2">
      <c r="A130" s="10">
        <v>89204</v>
      </c>
      <c r="B130" s="2" t="s">
        <v>135</v>
      </c>
      <c r="C130" s="2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>
        <f t="shared" si="10"/>
        <v>0</v>
      </c>
    </row>
    <row r="131" spans="1:16" x14ac:dyDescent="0.2">
      <c r="A131" s="10">
        <v>89230</v>
      </c>
      <c r="B131" s="2" t="s">
        <v>136</v>
      </c>
      <c r="C131" s="2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>
        <f t="shared" si="10"/>
        <v>0</v>
      </c>
    </row>
    <row r="132" spans="1:16" x14ac:dyDescent="0.2">
      <c r="A132" s="10">
        <v>89302</v>
      </c>
      <c r="B132" s="2" t="s">
        <v>46</v>
      </c>
      <c r="C132" s="2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>
        <f t="shared" si="10"/>
        <v>0</v>
      </c>
    </row>
    <row r="133" spans="1:16" x14ac:dyDescent="0.2">
      <c r="A133" s="10">
        <v>89360</v>
      </c>
      <c r="B133" s="2" t="s">
        <v>137</v>
      </c>
      <c r="C133" s="2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>
        <f t="shared" si="10"/>
        <v>0</v>
      </c>
    </row>
    <row r="134" spans="1:16" x14ac:dyDescent="0.2">
      <c r="A134" s="10">
        <v>89361</v>
      </c>
      <c r="B134" s="2" t="s">
        <v>138</v>
      </c>
      <c r="C134" s="2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>
        <f t="shared" si="10"/>
        <v>0</v>
      </c>
    </row>
    <row r="135" spans="1:16" x14ac:dyDescent="0.2">
      <c r="A135" s="10">
        <v>89301</v>
      </c>
      <c r="B135" s="2" t="s">
        <v>139</v>
      </c>
      <c r="C135" s="2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>
        <f t="shared" si="10"/>
        <v>0</v>
      </c>
    </row>
    <row r="136" spans="1:16" x14ac:dyDescent="0.2">
      <c r="A136" s="13">
        <v>89303</v>
      </c>
      <c r="B136" s="2" t="s">
        <v>48</v>
      </c>
      <c r="C136" s="2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>
        <f t="shared" si="10"/>
        <v>0</v>
      </c>
    </row>
    <row r="137" spans="1:16" x14ac:dyDescent="0.2">
      <c r="A137" s="10">
        <v>89304</v>
      </c>
      <c r="B137" s="2" t="s">
        <v>140</v>
      </c>
      <c r="C137" s="2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>
        <f t="shared" si="10"/>
        <v>0</v>
      </c>
    </row>
    <row r="138" spans="1:16" x14ac:dyDescent="0.2">
      <c r="A138" s="10">
        <v>89305</v>
      </c>
      <c r="B138" s="2" t="s">
        <v>141</v>
      </c>
      <c r="C138" s="2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>
        <f t="shared" si="10"/>
        <v>0</v>
      </c>
    </row>
    <row r="139" spans="1:16" x14ac:dyDescent="0.2">
      <c r="A139" s="10">
        <v>89306</v>
      </c>
      <c r="B139" s="2" t="s">
        <v>142</v>
      </c>
      <c r="C139" s="2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>
        <f t="shared" si="10"/>
        <v>0</v>
      </c>
    </row>
    <row r="140" spans="1:16" x14ac:dyDescent="0.2">
      <c r="A140" s="10">
        <v>89308</v>
      </c>
      <c r="B140" s="2" t="s">
        <v>143</v>
      </c>
      <c r="C140" s="2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>
        <f t="shared" si="10"/>
        <v>0</v>
      </c>
    </row>
    <row r="141" spans="1:16" x14ac:dyDescent="0.2">
      <c r="A141" s="10">
        <v>89309</v>
      </c>
      <c r="B141" s="2" t="s">
        <v>144</v>
      </c>
      <c r="C141" s="2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>
        <f t="shared" si="10"/>
        <v>0</v>
      </c>
    </row>
    <row r="142" spans="1:16" x14ac:dyDescent="0.2">
      <c r="A142" s="10">
        <v>89350</v>
      </c>
      <c r="B142" s="2" t="s">
        <v>145</v>
      </c>
      <c r="C142" s="2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>
        <f t="shared" si="10"/>
        <v>0</v>
      </c>
    </row>
    <row r="143" spans="1:16" x14ac:dyDescent="0.2">
      <c r="A143" s="18">
        <v>1</v>
      </c>
      <c r="B143" s="2" t="s">
        <v>146</v>
      </c>
      <c r="C143" s="2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>
        <f t="shared" si="10"/>
        <v>0</v>
      </c>
    </row>
    <row r="144" spans="1:16" x14ac:dyDescent="0.2">
      <c r="B144" s="15" t="s">
        <v>14</v>
      </c>
      <c r="C144" s="19">
        <f t="shared" ref="C144:O144" si="11">SUM(C52:C143)</f>
        <v>0</v>
      </c>
      <c r="D144" s="19">
        <f t="shared" si="11"/>
        <v>0</v>
      </c>
      <c r="E144" s="19">
        <f t="shared" si="11"/>
        <v>0</v>
      </c>
      <c r="F144" s="19">
        <f t="shared" si="11"/>
        <v>0</v>
      </c>
      <c r="G144" s="19">
        <f t="shared" si="11"/>
        <v>0</v>
      </c>
      <c r="H144" s="19">
        <f t="shared" si="11"/>
        <v>0</v>
      </c>
      <c r="I144" s="19">
        <f t="shared" si="11"/>
        <v>0</v>
      </c>
      <c r="J144" s="19">
        <f t="shared" si="11"/>
        <v>0</v>
      </c>
      <c r="K144" s="19">
        <f t="shared" si="11"/>
        <v>0</v>
      </c>
      <c r="L144" s="19">
        <f t="shared" si="11"/>
        <v>0</v>
      </c>
      <c r="M144" s="19">
        <f t="shared" si="11"/>
        <v>0</v>
      </c>
      <c r="N144" s="19">
        <f t="shared" si="11"/>
        <v>0</v>
      </c>
      <c r="O144" s="19">
        <f t="shared" si="11"/>
        <v>0</v>
      </c>
      <c r="P144" s="19">
        <f>SUM(D144:O144)</f>
        <v>0</v>
      </c>
    </row>
    <row r="145" spans="2:16" x14ac:dyDescent="0.2">
      <c r="B145" s="2"/>
      <c r="C145" s="2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</row>
    <row r="146" spans="2:16" ht="15" x14ac:dyDescent="0.25">
      <c r="B146" s="21" t="s">
        <v>18</v>
      </c>
      <c r="C146" s="22">
        <f>SUM(C5+C49)-C144</f>
        <v>0</v>
      </c>
      <c r="D146" s="22">
        <f>SUM(C5+D49)-D144</f>
        <v>0</v>
      </c>
      <c r="E146" s="22">
        <f t="shared" ref="E146:P146" si="12">SUM(D146+E49)-E144</f>
        <v>0</v>
      </c>
      <c r="F146" s="22">
        <f t="shared" si="12"/>
        <v>0</v>
      </c>
      <c r="G146" s="22">
        <f t="shared" si="12"/>
        <v>0</v>
      </c>
      <c r="H146" s="22">
        <f t="shared" si="12"/>
        <v>0</v>
      </c>
      <c r="I146" s="22">
        <f t="shared" si="12"/>
        <v>0</v>
      </c>
      <c r="J146" s="22">
        <f t="shared" si="12"/>
        <v>0</v>
      </c>
      <c r="K146" s="22">
        <f t="shared" si="12"/>
        <v>0</v>
      </c>
      <c r="L146" s="22">
        <f t="shared" si="12"/>
        <v>0</v>
      </c>
      <c r="M146" s="22">
        <f t="shared" si="12"/>
        <v>0</v>
      </c>
      <c r="N146" s="22">
        <f t="shared" si="12"/>
        <v>0</v>
      </c>
      <c r="O146" s="22">
        <f t="shared" si="12"/>
        <v>0</v>
      </c>
      <c r="P146" s="22">
        <f t="shared" si="12"/>
        <v>0</v>
      </c>
    </row>
    <row r="149" spans="2:16" x14ac:dyDescent="0.2">
      <c r="O149" s="23"/>
      <c r="P149" s="24"/>
    </row>
  </sheetData>
  <conditionalFormatting sqref="D8:O48 D53:O143">
    <cfRule type="expression" dxfId="0" priority="3">
      <formula>$P8&lt;&gt;#REF!</formula>
    </cfRule>
  </conditionalFormatting>
  <pageMargins left="0.17" right="0.17" top="0.38" bottom="0.27" header="0.3" footer="0.17"/>
  <pageSetup paperSize="9" scale="74" orientation="landscape" horizontalDpi="4294967293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WebCM Documents" ma:contentTypeID="0x0101008840106FE30D4F50BC61A726A7CA6E3800A01D47DD30CBB54F95863B7DC80A2CEC" ma:contentTypeVersion="7" ma:contentTypeDescription="WebCM Documents Content Type" ma:contentTypeScope="" ma:versionID="2445d155e79af3f8de50d6e6a41d98b0">
  <xsd:schema xmlns:xsd="http://www.w3.org/2001/XMLSchema" xmlns:xs="http://www.w3.org/2001/XMLSchema" xmlns:p="http://schemas.microsoft.com/office/2006/metadata/properties" xmlns:ns1="http://schemas.microsoft.com/sharepoint/v3" xmlns:ns2="76b566cd-adb9-46c2-964b-22eba181fd0b" xmlns:ns3="cb9114c1-daad-44dd-acad-30f4246641f2" targetNamespace="http://schemas.microsoft.com/office/2006/metadata/properties" ma:root="true" ma:fieldsID="df1fa0b351c270b0bd4fc58157dcf1ab" ns1:_="" ns2:_="" ns3:_="">
    <xsd:import namespace="http://schemas.microsoft.com/sharepoint/v3"/>
    <xsd:import namespace="76b566cd-adb9-46c2-964b-22eba181fd0b"/>
    <xsd:import namespace="cb9114c1-daad-44dd-acad-30f4246641f2"/>
    <xsd:element name="properties">
      <xsd:complexType>
        <xsd:sequence>
          <xsd:element name="documentManagement">
            <xsd:complexType>
              <xsd:all>
                <xsd:element ref="ns1:DEECD_Description"/>
                <xsd:element ref="ns1:DEECD_Publisher" minOccurs="0"/>
                <xsd:element ref="ns1:DEECD_Keywords" minOccurs="0"/>
                <xsd:element ref="ns1:DEECD_Expired" minOccurs="0"/>
                <xsd:element ref="ns2:PublishingStartDate" minOccurs="0"/>
                <xsd:element ref="ns1:PublishingExpirationDate" minOccurs="0"/>
                <xsd:element ref="ns3:TaxCatchAll" minOccurs="0"/>
                <xsd:element ref="ns2:pfad5814e62747ed9f131defefc62dac" minOccurs="0"/>
                <xsd:element ref="ns2:a319977fc8504e09982f090ae1d7c602" minOccurs="0"/>
                <xsd:element ref="ns2:ofbb8b9a280a423a91cf717fb81349cd" minOccurs="0"/>
                <xsd:element ref="ns2:b1688cb4a3a940449dc8286705012a42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DEECD_Description" ma:index="2" ma:displayName="Description" ma:internalName="DEECD_Description">
      <xsd:simpleType>
        <xsd:restriction base="dms:Note">
          <xsd:maxLength value="255"/>
        </xsd:restriction>
      </xsd:simpleType>
    </xsd:element>
    <xsd:element name="DEECD_Publisher" ma:index="3" nillable="true" ma:displayName="Publisher" ma:default="Department of Education and Training" ma:internalName="DEECD_Publisher">
      <xsd:simpleType>
        <xsd:restriction base="dms:Text">
          <xsd:maxLength value="255"/>
        </xsd:restriction>
      </xsd:simpleType>
    </xsd:element>
    <xsd:element name="DEECD_Keywords" ma:index="7" nillable="true" ma:displayName="Keywords" ma:internalName="DEECD_Keywords">
      <xsd:simpleType>
        <xsd:restriction base="dms:Note">
          <xsd:maxLength value="255"/>
        </xsd:restriction>
      </xsd:simpleType>
    </xsd:element>
    <xsd:element name="DEECD_Expired" ma:index="8" nillable="true" ma:displayName="Expired" ma:default="0" ma:internalName="DEECD_Expired">
      <xsd:simpleType>
        <xsd:restriction base="dms:Boolean"/>
      </xsd:simpleType>
    </xsd:element>
    <xsd:element name="PublishingExpirationDate" ma:index="10" nillable="true" ma:displayName="Scheduling End Dat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b566cd-adb9-46c2-964b-22eba181fd0b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9" nillable="true" ma:displayName="Scheduling Start Date" ma:internalName="PublishingStartDate">
      <xsd:simpleType>
        <xsd:restriction base="dms:Unknown"/>
      </xsd:simpleType>
    </xsd:element>
    <xsd:element name="pfad5814e62747ed9f131defefc62dac" ma:index="19" nillable="true" ma:taxonomy="true" ma:internalName="pfad5814e62747ed9f131defefc62dac" ma:taxonomyFieldName="DEECD_SubjectCategory" ma:displayName="Subject Category" ma:readOnly="false" ma:fieldId="{9fad5814-e627-47ed-9f13-1defefc62dac}" ma:sspId="272df97b-2740-40bb-9c0d-572a441144cd" ma:termSetId="cc6468fc-15c3-4209-9517-a733b6c80435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a319977fc8504e09982f090ae1d7c602" ma:index="20" nillable="true" ma:taxonomy="true" ma:internalName="a319977fc8504e09982f090ae1d7c602" ma:taxonomyFieldName="DEECD_ItemType" ma:displayName="Item Type" ma:default="101;#Page|eb523acf-a821-456c-a76b-7607578309d7" ma:fieldId="{a319977f-c850-4e09-982f-090ae1d7c602}" ma:sspId="272df97b-2740-40bb-9c0d-572a441144cd" ma:termSetId="87a54e1a-a086-4056-9430-e3def70b5bc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ofbb8b9a280a423a91cf717fb81349cd" ma:index="21" nillable="true" ma:taxonomy="true" ma:internalName="ofbb8b9a280a423a91cf717fb81349cd" ma:taxonomyFieldName="DEECD_Author" ma:displayName="Author" ma:default="94;#Education|5232e41c-5101-41fe-b638-7d41d1371531" ma:fieldId="{8fbb8b9a-280a-423a-91cf-717fb81349cd}" ma:sspId="272df97b-2740-40bb-9c0d-572a441144cd" ma:termSetId="f9681774-4169-418a-ae49-9bc331f72a4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b1688cb4a3a940449dc8286705012a42" ma:index="22" nillable="true" ma:taxonomy="true" ma:internalName="b1688cb4a3a940449dc8286705012a42" ma:taxonomyFieldName="DEECD_Audience" ma:displayName="Audience" ma:fieldId="{b1688cb4-a3a9-4044-9dc8-286705012a42}" ma:taxonomyMulti="true" ma:sspId="272df97b-2740-40bb-9c0d-572a441144cd" ma:termSetId="af0be819-ce00-4865-904d-8408c82c2300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9114c1-daad-44dd-acad-30f4246641f2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d7017a8d-dd8f-40f0-bbcf-d0d7f718f6eb}" ma:internalName="TaxCatchAll" ma:showField="CatchAllData" ma:web="cb9114c1-daad-44dd-acad-30f4246641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4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ECD_Expired xmlns="http://schemas.microsoft.com/sharepoint/v3">false</DEECD_Expired>
    <pfad5814e62747ed9f131defefc62dac xmlns="76b566cd-adb9-46c2-964b-22eba181fd0b">
      <Terms xmlns="http://schemas.microsoft.com/office/infopath/2007/PartnerControls">
        <TermInfo xmlns="http://schemas.microsoft.com/office/infopath/2007/PartnerControls">
          <TermName xmlns="http://schemas.microsoft.com/office/infopath/2007/PartnerControls">Administration</TermName>
          <TermId xmlns="http://schemas.microsoft.com/office/infopath/2007/PartnerControls">c730c9c3-9aac-4250-81b6-4c4e6e105907</TermId>
        </TermInfo>
      </Terms>
    </pfad5814e62747ed9f131defefc62dac>
    <a319977fc8504e09982f090ae1d7c602 xmlns="76b566cd-adb9-46c2-964b-22eba181fd0b">
      <Terms xmlns="http://schemas.microsoft.com/office/infopath/2007/PartnerControls"/>
    </a319977fc8504e09982f090ae1d7c602>
    <PublishingStartDate xmlns="76b566cd-adb9-46c2-964b-22eba181fd0b" xsi:nil="true"/>
    <DEECD_Keywords xmlns="http://schemas.microsoft.com/sharepoint/v3" xsi:nil="true"/>
    <b1688cb4a3a940449dc8286705012a42 xmlns="76b566cd-adb9-46c2-964b-22eba181fd0b">
      <Terms xmlns="http://schemas.microsoft.com/office/infopath/2007/PartnerControls"/>
    </b1688cb4a3a940449dc8286705012a42>
    <TaxCatchAll xmlns="cb9114c1-daad-44dd-acad-30f4246641f2"/>
    <DEECD_Description xmlns="http://schemas.microsoft.com/sharepoint/v3">monthlycashflowtemplate</DEECD_Description>
    <ofbb8b9a280a423a91cf717fb81349cd xmlns="76b566cd-adb9-46c2-964b-22eba181fd0b">
      <Terms xmlns="http://schemas.microsoft.com/office/infopath/2007/PartnerControls"/>
    </ofbb8b9a280a423a91cf717fb81349cd>
    <PublishingExpirationDate xmlns="http://schemas.microsoft.com/sharepoint/v3" xsi:nil="true"/>
    <DEECD_Publisher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62E5C443-3F0C-4F3E-B4E6-330F787C358F}"/>
</file>

<file path=customXml/itemProps2.xml><?xml version="1.0" encoding="utf-8"?>
<ds:datastoreItem xmlns:ds="http://schemas.openxmlformats.org/officeDocument/2006/customXml" ds:itemID="{2587E6AC-8675-47E3-ACEB-C5D0AD603166}"/>
</file>

<file path=customXml/itemProps3.xml><?xml version="1.0" encoding="utf-8"?>
<ds:datastoreItem xmlns:ds="http://schemas.openxmlformats.org/officeDocument/2006/customXml" ds:itemID="{FC8F0338-56FF-40E5-BD1F-1E0C7F0EB5A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Cashflow</vt:lpstr>
      <vt:lpstr>Cashflow!Print_Area</vt:lpstr>
    </vt:vector>
  </TitlesOfParts>
  <Company>Department of Education and Training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Fitzgerald, Liam S</dc:creator>
  <cp:lastModifiedBy>Larkin, Kimberley K</cp:lastModifiedBy>
  <dcterms:created xsi:type="dcterms:W3CDTF">2019-05-07T23:45:34Z</dcterms:created>
  <dcterms:modified xsi:type="dcterms:W3CDTF">2019-05-08T01:19:07Z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EECD_Author">
    <vt:lpwstr/>
  </property>
  <property fmtid="{D5CDD505-2E9C-101B-9397-08002B2CF9AE}" pid="3" name="DEECD_SubjectCategory">
    <vt:lpwstr>57;#Administration|c730c9c3-9aac-4250-81b6-4c4e6e105907</vt:lpwstr>
  </property>
  <property fmtid="{D5CDD505-2E9C-101B-9397-08002B2CF9AE}" pid="4" name="Order">
    <vt:r8>1283200</vt:r8>
  </property>
  <property fmtid="{D5CDD505-2E9C-101B-9397-08002B2CF9AE}" pid="5" name="DEECD_PageLanguage">
    <vt:lpwstr>1;#en-AU|09a79c66-a57f-4b52-ac52-4c16941cab37</vt:lpwstr>
  </property>
  <property fmtid="{D5CDD505-2E9C-101B-9397-08002B2CF9AE}" pid="6" name="xd_Signature">
    <vt:bool>false</vt:bool>
  </property>
  <property fmtid="{D5CDD505-2E9C-101B-9397-08002B2CF9AE}" pid="7" name="xd_ProgID">
    <vt:lpwstr/>
  </property>
  <property fmtid="{D5CDD505-2E9C-101B-9397-08002B2CF9AE}" pid="8" name="ContentTypeId">
    <vt:lpwstr>0x0101008840106FE30D4F50BC61A726A7CA6E3800A01D47DD30CBB54F95863B7DC80A2CEC</vt:lpwstr>
  </property>
  <property fmtid="{D5CDD505-2E9C-101B-9397-08002B2CF9AE}" pid="9" name="DEECD_ItemType">
    <vt:lpwstr/>
  </property>
  <property fmtid="{D5CDD505-2E9C-101B-9397-08002B2CF9AE}" pid="10" name="_SourceUrl">
    <vt:lpwstr/>
  </property>
  <property fmtid="{D5CDD505-2E9C-101B-9397-08002B2CF9AE}" pid="11" name="_SharedFileIndex">
    <vt:lpwstr/>
  </property>
  <property fmtid="{D5CDD505-2E9C-101B-9397-08002B2CF9AE}" pid="12" name="TemplateUrl">
    <vt:lpwstr/>
  </property>
  <property fmtid="{D5CDD505-2E9C-101B-9397-08002B2CF9AE}" pid="13" name="DEECD_Audience">
    <vt:lpwstr/>
  </property>
</Properties>
</file>