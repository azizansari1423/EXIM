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I:\Templates\Accounts and Finance\Cash Flows\"/>
    </mc:Choice>
  </mc:AlternateContent>
  <bookViews>
    <workbookView xWindow="0" yWindow="0" windowWidth="23040" windowHeight="9204" tabRatio="714" activeTab="2"/>
  </bookViews>
  <sheets>
    <sheet name="Cash Receipts" sheetId="7" r:id="rId1"/>
    <sheet name="Cash Paid Out" sheetId="5" r:id="rId2"/>
    <sheet name="Cash Paid Out (Non P&amp;L)" sheetId="6" r:id="rId3"/>
  </sheets>
  <definedNames>
    <definedName name="FiscalYearStartDate" localSheetId="1">'Cash Paid Out'!$B$4</definedName>
    <definedName name="FiscalYearStartDate" localSheetId="2">'Cash Paid Out (Non P&amp;L)'!$B$4</definedName>
    <definedName name="FiscalYearStartDate" localSheetId="0">'Cash Receipts'!$B$4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8" i="7" l="1"/>
  <c r="B4" i="7" l="1"/>
  <c r="E12" i="6"/>
  <c r="F12" i="6"/>
  <c r="G12" i="6"/>
  <c r="H12" i="6"/>
  <c r="I12" i="6"/>
  <c r="J12" i="6"/>
  <c r="K12" i="6"/>
  <c r="L12" i="6"/>
  <c r="M12" i="6"/>
  <c r="N12" i="6"/>
  <c r="O12" i="6"/>
  <c r="P12" i="6"/>
  <c r="D12" i="6"/>
  <c r="D12" i="7"/>
  <c r="P11" i="7"/>
  <c r="O11" i="7"/>
  <c r="N11" i="7"/>
  <c r="M11" i="7"/>
  <c r="L11" i="7"/>
  <c r="K11" i="7"/>
  <c r="J11" i="7"/>
  <c r="I11" i="7"/>
  <c r="H11" i="7"/>
  <c r="G11" i="7"/>
  <c r="F11" i="7"/>
  <c r="E11" i="7"/>
  <c r="D11" i="7"/>
  <c r="R10" i="7"/>
  <c r="R9" i="7"/>
  <c r="P11" i="6"/>
  <c r="O11" i="6"/>
  <c r="N11" i="6"/>
  <c r="M11" i="6"/>
  <c r="L11" i="6"/>
  <c r="K11" i="6"/>
  <c r="J11" i="6"/>
  <c r="I11" i="6"/>
  <c r="H11" i="6"/>
  <c r="G11" i="6"/>
  <c r="F11" i="6"/>
  <c r="E11" i="6"/>
  <c r="D11" i="6"/>
  <c r="R10" i="6"/>
  <c r="R9" i="6"/>
  <c r="R8" i="6"/>
  <c r="R7" i="6"/>
  <c r="R6" i="6"/>
  <c r="P27" i="5"/>
  <c r="O27" i="5"/>
  <c r="N27" i="5"/>
  <c r="M27" i="5"/>
  <c r="L27" i="5"/>
  <c r="K27" i="5"/>
  <c r="J27" i="5"/>
  <c r="I27" i="5"/>
  <c r="H27" i="5"/>
  <c r="G27" i="5"/>
  <c r="F27" i="5"/>
  <c r="E27" i="5"/>
  <c r="D27" i="5"/>
  <c r="R26" i="5"/>
  <c r="R25" i="5"/>
  <c r="R24" i="5"/>
  <c r="R23" i="5"/>
  <c r="R22" i="5"/>
  <c r="R21" i="5"/>
  <c r="R20" i="5"/>
  <c r="R19" i="5"/>
  <c r="R18" i="5"/>
  <c r="R17" i="5"/>
  <c r="R16" i="5"/>
  <c r="R15" i="5"/>
  <c r="R14" i="5"/>
  <c r="R13" i="5"/>
  <c r="R12" i="5"/>
  <c r="R11" i="5"/>
  <c r="R10" i="5"/>
  <c r="R9" i="5"/>
  <c r="R8" i="5"/>
  <c r="R7" i="5"/>
  <c r="R6" i="5"/>
  <c r="P3" i="7" l="1"/>
  <c r="R12" i="6"/>
  <c r="R11" i="7"/>
  <c r="D14" i="7"/>
  <c r="B4" i="6"/>
  <c r="B4" i="5"/>
  <c r="K3" i="7"/>
  <c r="L3" i="7"/>
  <c r="E3" i="7"/>
  <c r="I3" i="7"/>
  <c r="M3" i="7"/>
  <c r="G3" i="7"/>
  <c r="H3" i="7"/>
  <c r="F3" i="7"/>
  <c r="J3" i="7"/>
  <c r="E4" i="7"/>
  <c r="F4" i="7" s="1"/>
  <c r="G4" i="7" s="1"/>
  <c r="H4" i="7" s="1"/>
  <c r="I4" i="7" s="1"/>
  <c r="N3" i="7"/>
  <c r="O3" i="7"/>
  <c r="R11" i="6"/>
  <c r="E6" i="7"/>
  <c r="E12" i="7" s="1"/>
  <c r="R27" i="5"/>
  <c r="J4" i="7" l="1"/>
  <c r="K4" i="7" s="1"/>
  <c r="L4" i="7" s="1"/>
  <c r="M4" i="7" s="1"/>
  <c r="N4" i="7" s="1"/>
  <c r="O4" i="7" s="1"/>
  <c r="P4" i="7" s="1"/>
  <c r="P3" i="6"/>
  <c r="N3" i="6"/>
  <c r="J3" i="6"/>
  <c r="F3" i="6"/>
  <c r="H3" i="6"/>
  <c r="K3" i="6"/>
  <c r="G3" i="6"/>
  <c r="E4" i="6"/>
  <c r="F4" i="6" s="1"/>
  <c r="G4" i="6" s="1"/>
  <c r="H4" i="6" s="1"/>
  <c r="I4" i="6" s="1"/>
  <c r="J4" i="6" s="1"/>
  <c r="K4" i="6" s="1"/>
  <c r="L4" i="6" s="1"/>
  <c r="M4" i="6" s="1"/>
  <c r="N4" i="6" s="1"/>
  <c r="O4" i="6" s="1"/>
  <c r="P4" i="6" s="1"/>
  <c r="M3" i="6"/>
  <c r="I3" i="6"/>
  <c r="E3" i="6"/>
  <c r="L3" i="6"/>
  <c r="O3" i="6"/>
  <c r="O3" i="5"/>
  <c r="K3" i="5"/>
  <c r="G3" i="5"/>
  <c r="N3" i="5"/>
  <c r="E4" i="5"/>
  <c r="F4" i="5" s="1"/>
  <c r="G4" i="5" s="1"/>
  <c r="H4" i="5" s="1"/>
  <c r="I4" i="5" s="1"/>
  <c r="J4" i="5" s="1"/>
  <c r="K4" i="5" s="1"/>
  <c r="L4" i="5" s="1"/>
  <c r="M4" i="5" s="1"/>
  <c r="N4" i="5" s="1"/>
  <c r="O4" i="5" s="1"/>
  <c r="P4" i="5" s="1"/>
  <c r="M3" i="5"/>
  <c r="I3" i="5"/>
  <c r="E3" i="5"/>
  <c r="P3" i="5"/>
  <c r="L3" i="5"/>
  <c r="H3" i="5"/>
  <c r="J3" i="5"/>
  <c r="F3" i="5"/>
  <c r="E14" i="7"/>
  <c r="F6" i="7" s="1"/>
  <c r="F12" i="7" s="1"/>
  <c r="F14" i="7" s="1"/>
  <c r="G6" i="7" s="1"/>
  <c r="G12" i="7" s="1"/>
  <c r="G14" i="7" l="1"/>
  <c r="H6" i="7" s="1"/>
  <c r="H12" i="7" s="1"/>
  <c r="H14" i="7" l="1"/>
  <c r="I6" i="7" s="1"/>
  <c r="I12" i="7" s="1"/>
  <c r="I14" i="7" l="1"/>
  <c r="J6" i="7" s="1"/>
  <c r="J12" i="7" s="1"/>
  <c r="J14" i="7" l="1"/>
  <c r="K6" i="7" s="1"/>
  <c r="K12" i="7" s="1"/>
  <c r="K14" i="7" l="1"/>
  <c r="L6" i="7" s="1"/>
  <c r="L12" i="7" s="1"/>
  <c r="L14" i="7" l="1"/>
  <c r="M6" i="7" s="1"/>
  <c r="M12" i="7" s="1"/>
  <c r="M14" i="7" l="1"/>
  <c r="N6" i="7" s="1"/>
  <c r="N12" i="7" s="1"/>
  <c r="N14" i="7" l="1"/>
  <c r="O6" i="7" s="1"/>
  <c r="O12" i="7" s="1"/>
  <c r="O14" i="7" l="1"/>
  <c r="P6" i="7" s="1"/>
  <c r="R6" i="7" l="1"/>
  <c r="R12" i="7" s="1"/>
  <c r="R14" i="7" s="1"/>
  <c r="P12" i="7"/>
  <c r="P14" i="7" s="1"/>
</calcChain>
</file>

<file path=xl/sharedStrings.xml><?xml version="1.0" encoding="utf-8"?>
<sst xmlns="http://schemas.openxmlformats.org/spreadsheetml/2006/main" count="57" uniqueCount="41">
  <si>
    <t>Fiscal year begins:</t>
  </si>
  <si>
    <t>(Pre) Startup</t>
  </si>
  <si>
    <t>Total</t>
  </si>
  <si>
    <t>EST</t>
  </si>
  <si>
    <t>Item EST</t>
  </si>
  <si>
    <t>Cash on Hand (beginning of month)</t>
  </si>
  <si>
    <t>Cash Receipts</t>
  </si>
  <si>
    <t>Cash Sales</t>
  </si>
  <si>
    <t>Total Cash Available (before cash out)</t>
  </si>
  <si>
    <t>Cash Paid Out</t>
  </si>
  <si>
    <t>Purchases (merchandise)</t>
  </si>
  <si>
    <t>Purchases (specify)</t>
  </si>
  <si>
    <t>Gross wages (exact withdrawal)</t>
  </si>
  <si>
    <t>Payroll expenses (taxes, etc.)</t>
  </si>
  <si>
    <t>Outside services</t>
  </si>
  <si>
    <t>Repairs &amp; maintenance</t>
  </si>
  <si>
    <t>Advertising</t>
  </si>
  <si>
    <t>Car, delivery &amp; travel</t>
  </si>
  <si>
    <t>Accounting &amp; legal</t>
  </si>
  <si>
    <t>Rent</t>
  </si>
  <si>
    <t>Telephone</t>
  </si>
  <si>
    <t>Utilities</t>
  </si>
  <si>
    <t>Insurance</t>
  </si>
  <si>
    <t>Taxes (real estate, etc.)</t>
  </si>
  <si>
    <t>Interest</t>
  </si>
  <si>
    <t>Other expenses (specify)</t>
  </si>
  <si>
    <t>Other (specify)</t>
  </si>
  <si>
    <t>Miscellaneous</t>
  </si>
  <si>
    <t>Cash Paid Out (Non P&amp;L)</t>
  </si>
  <si>
    <t>Loan principal payment</t>
  </si>
  <si>
    <t>Capital purchase (specify)</t>
  </si>
  <si>
    <t>Other startup costs</t>
  </si>
  <si>
    <t>Reserve and/or escrow</t>
  </si>
  <si>
    <t>Owners' withdrawal</t>
  </si>
  <si>
    <t>Total Cash Paid Out</t>
  </si>
  <si>
    <t>Cash Position (end of month)</t>
  </si>
  <si>
    <t>Loan/other cash injections</t>
  </si>
  <si>
    <t>Collections from CR accounts</t>
  </si>
  <si>
    <t>Supplies (office &amp; operations)</t>
  </si>
  <si>
    <t xml:space="preserve"> Item EST</t>
  </si>
  <si>
    <t>Cash Flow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</si>
</sst>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mmm"/>
    <numFmt numFmtId="168" formatCode="dd"/>
    <numFmt numFmtId="169" formatCode="0_);\-0_)"/>
  </numFmts>
  <fonts count="20" x14ac:knownFonts="1">
    <font>
      <sz val="11"/>
      <color theme="1" tint="0.14993743705557422"/>
      <name val="Calibri"/>
      <family val="2"/>
      <scheme val="minor"/>
    </font>
    <font>
      <sz val="11"/>
      <color theme="1"/>
      <name val="Calibri"/>
      <family val="2"/>
      <scheme val="minor"/>
    </font>
    <font>
      <b/>
      <sz val="11"/>
      <color theme="4" tint="-0.249977111117893"/>
      <name val="Calibri"/>
      <family val="2"/>
      <scheme val="minor"/>
    </font>
    <font>
      <sz val="10"/>
      <color theme="1" tint="0.14999847407452621"/>
      <name val="Calibri"/>
      <family val="2"/>
      <scheme val="minor"/>
    </font>
    <font>
      <b/>
      <sz val="12"/>
      <color theme="1" tint="0.14999847407452621"/>
      <name val="Calibri"/>
      <family val="2"/>
      <scheme val="minor"/>
    </font>
    <font>
      <b/>
      <sz val="28"/>
      <color theme="4"/>
      <name val="Calibri"/>
      <family val="2"/>
      <scheme val="major"/>
    </font>
    <font>
      <b/>
      <sz val="12"/>
      <color theme="1" tint="0.14999847407452621"/>
      <name val="Calibri"/>
      <family val="2"/>
      <scheme val="major"/>
    </font>
    <font>
      <sz val="18"/>
      <color theme="1" tint="0.14996795556505021"/>
      <name val="Calibri"/>
      <family val="2"/>
      <scheme val="major"/>
    </font>
    <font>
      <sz val="11"/>
      <color theme="1" tint="0.14975432599871821"/>
      <name val="Calibri"/>
      <family val="2"/>
      <scheme val="major"/>
    </font>
    <font>
      <sz val="12"/>
      <color theme="3"/>
      <name val="Calibri"/>
      <family val="2"/>
      <scheme val="major"/>
    </font>
    <font>
      <sz val="11"/>
      <color theme="1" tint="0.14993743705557422"/>
      <name val="Calibri"/>
      <family val="2"/>
      <scheme val="major"/>
    </font>
    <font>
      <sz val="14"/>
      <color theme="1" tint="0.14975432599871821"/>
      <name val="Calibri"/>
      <family val="2"/>
      <scheme val="major"/>
    </font>
    <font>
      <sz val="10"/>
      <color theme="1" tint="0.499984740745262"/>
      <name val="Calibri"/>
      <family val="2"/>
      <scheme val="minor"/>
    </font>
    <font>
      <sz val="11"/>
      <color theme="1" tint="0.14993743705557422"/>
      <name val="Calibri"/>
      <family val="2"/>
      <scheme val="minor"/>
    </font>
    <font>
      <sz val="11"/>
      <color theme="1" tint="0.499984740745262"/>
      <name val="Calibri"/>
      <family val="2"/>
      <scheme val="minor"/>
    </font>
    <font>
      <i/>
      <sz val="11"/>
      <color theme="1" tint="0.34998626667073579"/>
      <name val="Calibri"/>
      <family val="2"/>
      <scheme val="minor"/>
    </font>
    <font>
      <sz val="11"/>
      <color theme="1" tint="0.14999847407452621"/>
      <name val="Calibri"/>
      <family val="2"/>
      <scheme val="minor"/>
    </font>
    <font>
      <sz val="11"/>
      <color theme="1" tint="0.34998626667073579"/>
      <name val="Calibri"/>
      <family val="2"/>
      <scheme val="minor"/>
    </font>
    <font>
      <sz val="12"/>
      <color theme="1" tint="0.14999847407452621"/>
      <name val="Calibri"/>
      <family val="2"/>
      <scheme val="minor"/>
    </font>
    <font>
      <b/>
      <sz val="28"/>
      <color rgb="FF7030A0"/>
      <name val="Calibri"/>
      <family val="2"/>
      <scheme val="major"/>
    </font>
  </fonts>
  <fills count="5">
    <fill>
      <patternFill patternType="none"/>
    </fill>
    <fill>
      <patternFill patternType="gray125"/>
    </fill>
    <fill>
      <patternFill patternType="solid">
        <fgColor theme="0"/>
        <bgColor indexed="64"/>
      </patternFill>
    </fill>
    <fill>
      <patternFill patternType="solid">
        <fgColor theme="4" tint="0.59996337778862885"/>
        <bgColor indexed="64"/>
      </patternFill>
    </fill>
    <fill>
      <patternFill patternType="solid">
        <fgColor rgb="FFFFFFCC"/>
      </patternFill>
    </fill>
  </fills>
  <borders count="16">
    <border>
      <left/>
      <right/>
      <top/>
      <bottom/>
      <diagonal/>
    </border>
    <border>
      <left/>
      <right/>
      <top/>
      <bottom style="double">
        <color theme="1" tint="0.14996795556505021"/>
      </bottom>
      <diagonal/>
    </border>
    <border>
      <left/>
      <right/>
      <top/>
      <bottom style="thick">
        <color theme="0"/>
      </bottom>
      <diagonal/>
    </border>
    <border>
      <left/>
      <right/>
      <top style="thin">
        <color theme="0"/>
      </top>
      <bottom/>
      <diagonal/>
    </border>
    <border>
      <left/>
      <right/>
      <top style="thin">
        <color theme="0"/>
      </top>
      <bottom style="thin">
        <color theme="0"/>
      </bottom>
      <diagonal/>
    </border>
    <border>
      <left style="dotted">
        <color theme="0" tint="-0.34998626667073579"/>
      </left>
      <right/>
      <top style="thin">
        <color theme="0"/>
      </top>
      <bottom style="thin">
        <color theme="0"/>
      </bottom>
      <diagonal/>
    </border>
    <border>
      <left/>
      <right/>
      <top/>
      <bottom style="thin">
        <color theme="0"/>
      </bottom>
      <diagonal/>
    </border>
    <border>
      <left style="dotted">
        <color theme="0" tint="-0.34998626667073579"/>
      </left>
      <right style="dotted">
        <color theme="0" tint="-0.34998626667073579"/>
      </right>
      <top/>
      <bottom style="medium">
        <color theme="4" tint="0.39994506668294322"/>
      </bottom>
      <diagonal/>
    </border>
    <border>
      <left style="dotted">
        <color theme="1" tint="0.34998626667073579"/>
      </left>
      <right style="dotted">
        <color theme="1" tint="0.34998626667073579"/>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dotted">
        <color theme="1" tint="0.34998626667073579"/>
      </left>
      <right style="dotted">
        <color theme="1" tint="0.34998626667073579"/>
      </right>
      <top/>
      <bottom style="medium">
        <color theme="4" tint="-0.24994659260841701"/>
      </bottom>
      <diagonal/>
    </border>
    <border>
      <left style="dotted">
        <color theme="1" tint="0.34998626667073579"/>
      </left>
      <right style="dotted">
        <color theme="1" tint="0.34998626667073579"/>
      </right>
      <top/>
      <bottom style="thick">
        <color theme="4"/>
      </bottom>
      <diagonal/>
    </border>
    <border>
      <left/>
      <right style="dotted">
        <color theme="1" tint="0.34998626667073579"/>
      </right>
      <top/>
      <bottom style="medium">
        <color theme="4" tint="-0.24994659260841701"/>
      </bottom>
      <diagonal/>
    </border>
    <border>
      <left/>
      <right/>
      <top style="medium">
        <color theme="4" tint="-0.24994659260841701"/>
      </top>
      <bottom/>
      <diagonal/>
    </border>
    <border>
      <left style="dotted">
        <color theme="1" tint="0.34998626667073579"/>
      </left>
      <right/>
      <top/>
      <bottom/>
      <diagonal/>
    </border>
    <border>
      <left/>
      <right/>
      <top style="double">
        <color theme="1" tint="0.14996795556505021"/>
      </top>
      <bottom/>
      <diagonal/>
    </border>
  </borders>
  <cellStyleXfs count="14">
    <xf numFmtId="0" fontId="0" fillId="0" borderId="0">
      <alignment vertical="center" wrapText="1"/>
    </xf>
    <xf numFmtId="0" fontId="5"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169" fontId="3" fillId="3" borderId="7" applyFont="0" applyAlignment="0">
      <alignment vertical="center"/>
    </xf>
    <xf numFmtId="167" fontId="7" fillId="0" borderId="8">
      <alignment horizontal="right" vertical="center" wrapText="1" indent="1"/>
    </xf>
    <xf numFmtId="43" fontId="13" fillId="0" borderId="0" applyFill="0" applyBorder="0" applyAlignment="0" applyProtection="0"/>
    <xf numFmtId="165" fontId="13" fillId="0" borderId="0" applyFill="0" applyBorder="0" applyAlignment="0" applyProtection="0"/>
    <xf numFmtId="166" fontId="13" fillId="0" borderId="0" applyFill="0" applyBorder="0" applyAlignment="0" applyProtection="0"/>
    <xf numFmtId="164" fontId="13" fillId="0" borderId="0" applyFill="0" applyBorder="0" applyAlignment="0" applyProtection="0"/>
    <xf numFmtId="9" fontId="13" fillId="0" borderId="0" applyFill="0" applyBorder="0" applyAlignment="0" applyProtection="0"/>
    <xf numFmtId="0" fontId="13" fillId="4" borderId="9" applyNumberFormat="0" applyAlignment="0" applyProtection="0"/>
    <xf numFmtId="0" fontId="15" fillId="0" borderId="0" applyNumberFormat="0" applyFill="0" applyBorder="0" applyAlignment="0" applyProtection="0"/>
  </cellStyleXfs>
  <cellXfs count="64">
    <xf numFmtId="0" fontId="0" fillId="0" borderId="0" xfId="0">
      <alignment vertical="center" wrapText="1"/>
    </xf>
    <xf numFmtId="3" fontId="0" fillId="0" borderId="0" xfId="0" applyNumberFormat="1" applyFont="1" applyFill="1" applyBorder="1">
      <alignment vertical="center" wrapText="1"/>
    </xf>
    <xf numFmtId="0" fontId="0" fillId="0" borderId="0" xfId="0" applyFill="1" applyBorder="1">
      <alignment vertical="center" wrapText="1"/>
    </xf>
    <xf numFmtId="0" fontId="8" fillId="0" borderId="0" xfId="2" applyAlignment="1">
      <alignment horizontal="left"/>
    </xf>
    <xf numFmtId="0" fontId="0" fillId="0" borderId="0" xfId="0" applyFont="1" applyFill="1" applyBorder="1" applyAlignment="1">
      <alignment horizontal="left" vertical="center" indent="1"/>
    </xf>
    <xf numFmtId="0" fontId="0" fillId="0" borderId="0" xfId="0" applyFont="1" applyFill="1" applyBorder="1" applyAlignment="1"/>
    <xf numFmtId="0" fontId="0" fillId="0" borderId="0" xfId="0" applyAlignment="1"/>
    <xf numFmtId="0" fontId="0" fillId="0" borderId="0" xfId="0" applyFont="1" applyFill="1" applyBorder="1" applyAlignment="1">
      <alignment vertical="center"/>
    </xf>
    <xf numFmtId="0" fontId="0" fillId="0" borderId="0" xfId="0" applyAlignment="1">
      <alignment vertical="center"/>
    </xf>
    <xf numFmtId="0" fontId="0" fillId="2" borderId="0" xfId="0" applyFill="1">
      <alignment vertical="center" wrapText="1"/>
    </xf>
    <xf numFmtId="0" fontId="0" fillId="2" borderId="2" xfId="0" applyFill="1" applyBorder="1">
      <alignment vertical="center" wrapText="1"/>
    </xf>
    <xf numFmtId="0" fontId="0" fillId="2" borderId="4" xfId="0" applyFill="1" applyBorder="1">
      <alignment vertical="center" wrapText="1"/>
    </xf>
    <xf numFmtId="0" fontId="0" fillId="2" borderId="3" xfId="0" applyFill="1" applyBorder="1">
      <alignment vertical="center" wrapText="1"/>
    </xf>
    <xf numFmtId="167" fontId="7" fillId="0" borderId="8" xfId="6">
      <alignment horizontal="right" vertical="center" wrapText="1" indent="1"/>
    </xf>
    <xf numFmtId="0" fontId="11" fillId="0" borderId="0" xfId="2" applyFont="1"/>
    <xf numFmtId="38" fontId="0" fillId="0" borderId="0" xfId="0" applyNumberFormat="1">
      <alignment vertical="center" wrapText="1"/>
    </xf>
    <xf numFmtId="38" fontId="0" fillId="0" borderId="0" xfId="0" applyNumberFormat="1" applyFont="1" applyFill="1" applyBorder="1" applyAlignment="1">
      <alignment vertical="center"/>
    </xf>
    <xf numFmtId="0" fontId="0" fillId="2" borderId="6" xfId="0" applyNumberFormat="1" applyFill="1" applyBorder="1">
      <alignment vertical="center" wrapText="1"/>
    </xf>
    <xf numFmtId="0" fontId="0" fillId="2" borderId="4" xfId="0" applyNumberFormat="1" applyFill="1" applyBorder="1">
      <alignment vertical="center" wrapText="1"/>
    </xf>
    <xf numFmtId="0" fontId="0" fillId="2" borderId="4" xfId="0" applyNumberFormat="1" applyFill="1" applyBorder="1" applyAlignment="1">
      <alignment vertical="center"/>
    </xf>
    <xf numFmtId="0" fontId="0" fillId="2" borderId="4" xfId="0" applyNumberFormat="1" applyFont="1" applyFill="1" applyBorder="1" applyAlignment="1">
      <alignment vertical="center"/>
    </xf>
    <xf numFmtId="0" fontId="0" fillId="2" borderId="0" xfId="0" applyNumberFormat="1" applyFill="1">
      <alignment vertical="center" wrapText="1"/>
    </xf>
    <xf numFmtId="0" fontId="0" fillId="0" borderId="0" xfId="0" applyNumberFormat="1">
      <alignment vertical="center" wrapText="1"/>
    </xf>
    <xf numFmtId="0" fontId="12" fillId="2" borderId="4" xfId="0" applyNumberFormat="1" applyFont="1" applyFill="1" applyBorder="1">
      <alignment vertical="center" wrapText="1"/>
    </xf>
    <xf numFmtId="14" fontId="16" fillId="0" borderId="0" xfId="0" applyNumberFormat="1" applyFont="1" applyBorder="1" applyAlignment="1">
      <alignment horizontal="left" vertical="center" indent="1"/>
    </xf>
    <xf numFmtId="0" fontId="0" fillId="0" borderId="0" xfId="0" applyFont="1">
      <alignment vertical="center" wrapText="1"/>
    </xf>
    <xf numFmtId="0" fontId="0" fillId="0" borderId="0" xfId="0" applyFont="1" applyFill="1" applyBorder="1">
      <alignment vertical="center" wrapText="1"/>
    </xf>
    <xf numFmtId="3" fontId="16" fillId="0" borderId="0" xfId="0" applyNumberFormat="1" applyFont="1" applyFill="1" applyBorder="1" applyAlignment="1">
      <alignment horizontal="right" wrapText="1" indent="1"/>
    </xf>
    <xf numFmtId="168" fontId="16" fillId="0" borderId="0" xfId="0" applyNumberFormat="1" applyFont="1" applyFill="1" applyBorder="1" applyAlignment="1">
      <alignment horizontal="right" wrapText="1" indent="1"/>
    </xf>
    <xf numFmtId="0" fontId="16" fillId="2" borderId="4" xfId="0" applyNumberFormat="1" applyFont="1" applyFill="1" applyBorder="1" applyAlignment="1">
      <alignment horizontal="right" wrapText="1" indent="1"/>
    </xf>
    <xf numFmtId="38" fontId="17" fillId="0" borderId="0" xfId="0" applyNumberFormat="1" applyFont="1" applyAlignment="1">
      <alignment horizontal="right" vertical="center"/>
    </xf>
    <xf numFmtId="38" fontId="17" fillId="0" borderId="0" xfId="0" applyNumberFormat="1" applyFont="1">
      <alignment vertical="center" wrapText="1"/>
    </xf>
    <xf numFmtId="38" fontId="17" fillId="0" borderId="0" xfId="0" applyNumberFormat="1" applyFont="1" applyFill="1" applyBorder="1" applyAlignment="1">
      <alignment horizontal="right" vertical="center"/>
    </xf>
    <xf numFmtId="38" fontId="17" fillId="0" borderId="0" xfId="0" applyNumberFormat="1" applyFont="1" applyFill="1" applyBorder="1">
      <alignment vertical="center" wrapText="1"/>
    </xf>
    <xf numFmtId="38" fontId="17" fillId="0" borderId="10" xfId="7" applyNumberFormat="1" applyFont="1" applyFill="1" applyBorder="1" applyAlignment="1">
      <alignment horizontal="right" vertical="center"/>
    </xf>
    <xf numFmtId="3" fontId="16" fillId="0" borderId="11" xfId="0" applyNumberFormat="1" applyFont="1" applyFill="1" applyBorder="1" applyAlignment="1">
      <alignment horizontal="right" wrapText="1" indent="1"/>
    </xf>
    <xf numFmtId="168" fontId="16" fillId="0" borderId="11" xfId="0" applyNumberFormat="1" applyFont="1" applyFill="1" applyBorder="1" applyAlignment="1">
      <alignment horizontal="right" wrapText="1" indent="1"/>
    </xf>
    <xf numFmtId="0" fontId="6" fillId="2" borderId="5" xfId="0" applyNumberFormat="1" applyFont="1" applyFill="1" applyBorder="1" applyAlignment="1">
      <alignment horizontal="right" vertical="center" wrapText="1" indent="1"/>
    </xf>
    <xf numFmtId="3" fontId="4" fillId="0" borderId="8" xfId="0" applyNumberFormat="1" applyFont="1" applyFill="1" applyBorder="1" applyAlignment="1">
      <alignment horizontal="right" vertical="center" wrapText="1" indent="1"/>
    </xf>
    <xf numFmtId="3" fontId="16" fillId="0" borderId="8" xfId="0" applyNumberFormat="1" applyFont="1" applyFill="1" applyBorder="1" applyAlignment="1">
      <alignment horizontal="right" wrapText="1" indent="1"/>
    </xf>
    <xf numFmtId="0" fontId="14" fillId="2" borderId="4" xfId="7" applyNumberFormat="1" applyFont="1" applyFill="1" applyBorder="1" applyAlignment="1">
      <alignment horizontal="right"/>
    </xf>
    <xf numFmtId="0" fontId="2" fillId="0" borderId="10" xfId="0" applyFont="1" applyFill="1" applyBorder="1">
      <alignment vertical="center" wrapText="1"/>
    </xf>
    <xf numFmtId="38" fontId="14" fillId="0" borderId="0" xfId="0" applyNumberFormat="1" applyFont="1" applyFill="1" applyBorder="1" applyAlignment="1">
      <alignment horizontal="right" vertical="center"/>
    </xf>
    <xf numFmtId="0" fontId="17" fillId="0" borderId="0" xfId="0" applyFont="1" applyFill="1" applyBorder="1" applyAlignment="1">
      <alignment horizontal="left" vertical="center" indent="1"/>
    </xf>
    <xf numFmtId="169" fontId="1" fillId="0" borderId="0" xfId="0" applyNumberFormat="1" applyFont="1" applyAlignment="1">
      <alignment horizontal="left" vertical="center" indent="1"/>
    </xf>
    <xf numFmtId="169" fontId="17" fillId="0" borderId="0" xfId="0" applyNumberFormat="1" applyFont="1" applyAlignment="1">
      <alignment horizontal="left" vertical="center" indent="1"/>
    </xf>
    <xf numFmtId="169" fontId="8" fillId="0" borderId="12" xfId="2" applyNumberFormat="1" applyFont="1" applyFill="1" applyBorder="1" applyAlignment="1">
      <alignment horizontal="left" vertical="center"/>
    </xf>
    <xf numFmtId="38" fontId="16" fillId="3" borderId="10" xfId="5" applyNumberFormat="1" applyFont="1" applyBorder="1" applyAlignment="1">
      <alignment vertical="center"/>
    </xf>
    <xf numFmtId="0" fontId="2" fillId="0" borderId="10" xfId="0" applyFont="1" applyFill="1" applyBorder="1" applyAlignment="1"/>
    <xf numFmtId="169" fontId="8" fillId="3" borderId="12" xfId="2" applyNumberFormat="1" applyFill="1" applyBorder="1" applyAlignment="1">
      <alignment horizontal="left" vertical="center"/>
    </xf>
    <xf numFmtId="0" fontId="3" fillId="2" borderId="4" xfId="0" applyNumberFormat="1" applyFont="1" applyFill="1" applyBorder="1" applyAlignment="1">
      <alignment vertical="center"/>
    </xf>
    <xf numFmtId="0" fontId="0" fillId="0" borderId="10" xfId="0" applyBorder="1">
      <alignment vertical="center" wrapText="1"/>
    </xf>
    <xf numFmtId="0" fontId="8" fillId="0" borderId="0" xfId="2" applyAlignment="1"/>
    <xf numFmtId="0" fontId="0" fillId="0" borderId="0" xfId="0" applyAlignment="1">
      <alignment wrapText="1"/>
    </xf>
    <xf numFmtId="0" fontId="0" fillId="2" borderId="4" xfId="0" applyNumberFormat="1" applyFill="1" applyBorder="1" applyAlignment="1">
      <alignment wrapText="1"/>
    </xf>
    <xf numFmtId="3" fontId="4" fillId="0" borderId="8" xfId="0" applyNumberFormat="1" applyFont="1" applyFill="1" applyBorder="1" applyAlignment="1">
      <alignment horizontal="right" vertical="center" wrapText="1"/>
    </xf>
    <xf numFmtId="3" fontId="18" fillId="0" borderId="8" xfId="0" applyNumberFormat="1" applyFont="1" applyFill="1" applyBorder="1" applyAlignment="1">
      <alignment horizontal="right" wrapText="1"/>
    </xf>
    <xf numFmtId="3" fontId="16" fillId="0" borderId="8" xfId="0" applyNumberFormat="1" applyFont="1" applyFill="1" applyBorder="1" applyAlignment="1">
      <alignment horizontal="right" wrapText="1"/>
    </xf>
    <xf numFmtId="3" fontId="16" fillId="0" borderId="11" xfId="0" applyNumberFormat="1" applyFont="1" applyFill="1" applyBorder="1" applyAlignment="1">
      <alignment horizontal="right" wrapText="1"/>
    </xf>
    <xf numFmtId="0" fontId="0" fillId="0" borderId="13" xfId="0" applyBorder="1" applyAlignment="1">
      <alignment horizontal="center"/>
    </xf>
    <xf numFmtId="0" fontId="0" fillId="0" borderId="13" xfId="0" applyBorder="1" applyAlignment="1">
      <alignment horizontal="center" wrapText="1"/>
    </xf>
    <xf numFmtId="0" fontId="0" fillId="0" borderId="14" xfId="0" applyFill="1" applyBorder="1" applyAlignment="1">
      <alignment horizontal="center" vertical="center" wrapText="1"/>
    </xf>
    <xf numFmtId="0" fontId="0" fillId="0" borderId="15" xfId="0" applyBorder="1" applyAlignment="1">
      <alignment horizontal="center" vertical="center" wrapText="1"/>
    </xf>
    <xf numFmtId="0" fontId="19" fillId="0" borderId="1" xfId="1" applyFont="1" applyBorder="1"/>
  </cellXfs>
  <cellStyles count="14">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Heading 1" xfId="2" builtinId="16" customBuiltin="1"/>
    <cellStyle name="Heading 2" xfId="3" builtinId="17" customBuiltin="1"/>
    <cellStyle name="Heading 3" xfId="4" builtinId="18" customBuiltin="1"/>
    <cellStyle name="Month" xfId="6"/>
    <cellStyle name="Normal" xfId="0" builtinId="0" customBuiltin="1"/>
    <cellStyle name="Note" xfId="12" builtinId="10" customBuiltin="1"/>
    <cellStyle name="Percent" xfId="11" builtinId="5" customBuiltin="1"/>
    <cellStyle name="Title" xfId="1" builtinId="15" customBuiltin="1"/>
    <cellStyle name="Totals" xfId="5"/>
  </cellStyles>
  <dxfs count="89">
    <dxf>
      <font>
        <b val="0"/>
        <i val="0"/>
        <strike val="0"/>
        <condense val="0"/>
        <extend val="0"/>
        <outline val="0"/>
        <shadow val="0"/>
        <u val="none"/>
        <vertAlign val="baseline"/>
        <sz val="10"/>
        <color theme="1" tint="0.14996795556505021"/>
        <name val="Calibri"/>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top/>
        <bottom/>
      </border>
    </dxf>
    <dxf>
      <font>
        <strike val="0"/>
        <outline val="0"/>
        <shadow val="0"/>
        <u val="none"/>
        <vertAlign val="baseline"/>
        <sz val="11"/>
        <name val="Calibri"/>
        <scheme val="minor"/>
      </font>
    </dxf>
    <dxf>
      <font>
        <strike val="0"/>
        <outline val="0"/>
        <shadow val="0"/>
        <u val="none"/>
        <vertAlign val="baseline"/>
        <sz val="11"/>
        <color theme="1" tint="0.34998626667073579"/>
        <name val="Calibri"/>
        <scheme val="minor"/>
      </font>
      <numFmt numFmtId="6" formatCode="#,##0_);[Red]\(#,##0\)"/>
    </dxf>
    <dxf>
      <font>
        <b val="0"/>
        <i val="0"/>
        <strike val="0"/>
        <condense val="0"/>
        <extend val="0"/>
        <outline val="0"/>
        <shadow val="0"/>
        <u val="none"/>
        <vertAlign val="baseline"/>
        <sz val="10"/>
        <color theme="1" tint="0.499984740745262"/>
        <name val="Calibri"/>
        <scheme val="minor"/>
      </font>
      <numFmt numFmtId="0" formatCode="General"/>
      <fill>
        <patternFill patternType="none">
          <fgColor indexed="64"/>
          <bgColor theme="0"/>
        </patternFill>
      </fill>
      <border diagonalUp="0" diagonalDown="0" outline="0">
        <left/>
        <right/>
        <top style="thin">
          <color theme="0"/>
        </top>
        <bottom style="thin">
          <color theme="0"/>
        </bottom>
      </border>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color theme="1" tint="0.499984740745262"/>
        <name val="Calibri"/>
        <scheme val="minor"/>
      </font>
      <numFmt numFmtId="6" formatCode="#,##0_);[Red]\(#,##0\)"/>
      <alignment horizontal="right" vertical="center" textRotation="0" wrapText="0" indent="0" justifyLastLine="0" shrinkToFit="0" readingOrder="0"/>
    </dxf>
    <dxf>
      <fill>
        <patternFill patternType="solid">
          <fgColor indexed="64"/>
          <bgColor theme="0"/>
        </patternFill>
      </fill>
      <border diagonalUp="0" diagonalDown="0" outline="0">
        <left/>
        <right/>
        <top style="thin">
          <color theme="0"/>
        </top>
        <bottom style="thin">
          <color theme="0"/>
        </bottom>
      </border>
    </dxf>
    <dxf>
      <fill>
        <patternFill patternType="solid">
          <fgColor indexed="64"/>
          <bgColor theme="0"/>
        </patternFill>
      </fill>
      <border diagonalUp="0" diagonalDown="0" outline="0">
        <left/>
        <right/>
        <top style="thin">
          <color theme="0"/>
        </top>
        <bottom style="thin">
          <color theme="0"/>
        </bottom>
      </border>
    </dxf>
    <dxf>
      <alignment horizontal="left" vertical="bottom" textRotation="0" wrapText="0" indent="1" justifyLastLine="0" shrinkToFit="0" readingOrder="0"/>
    </dxf>
    <dxf>
      <font>
        <b val="0"/>
        <i val="0"/>
        <strike val="0"/>
        <condense val="0"/>
        <extend val="0"/>
        <outline val="0"/>
        <shadow val="0"/>
        <u val="none"/>
        <vertAlign val="baseline"/>
        <sz val="10"/>
        <color theme="1" tint="0.1499679555650502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color theme="1" tint="0.34998626667073579"/>
        <name val="Calibri"/>
        <scheme val="minor"/>
      </font>
      <alignment horizontal="left" vertical="center" textRotation="0" wrapText="0" indent="1" justifyLastLine="0" shrinkToFit="0" readingOrder="0"/>
    </dxf>
    <dxf>
      <alignment horizontal="left" vertical="bottom" textRotation="0" wrapText="0" indent="1" justifyLastLine="0" shrinkToFit="0" readingOrder="0"/>
    </dxf>
    <dxf>
      <font>
        <b val="0"/>
        <i val="0"/>
        <strike val="0"/>
        <condense val="0"/>
        <extend val="0"/>
        <outline val="0"/>
        <shadow val="0"/>
        <u val="none"/>
        <vertAlign val="baseline"/>
        <sz val="10"/>
        <color theme="1" tint="0.1499679555650502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theme="1" tint="0.34998626667073579"/>
        <name val="Calibri"/>
        <scheme val="minor"/>
      </font>
      <numFmt numFmtId="6" formatCode="#,##0_);[Red]\(#,##0\)"/>
    </dxf>
    <dxf>
      <font>
        <b val="0"/>
        <i val="0"/>
        <strike val="0"/>
        <condense val="0"/>
        <extend val="0"/>
        <outline val="0"/>
        <shadow val="0"/>
        <u val="none"/>
        <vertAlign val="baseline"/>
        <sz val="10"/>
        <color theme="1" tint="0.499984740745262"/>
        <name val="Calibri"/>
        <scheme val="minor"/>
      </font>
      <numFmt numFmtId="0" formatCode="General"/>
      <fill>
        <patternFill patternType="none">
          <fgColor indexed="64"/>
          <bgColor theme="0"/>
        </patternFill>
      </fill>
      <border diagonalUp="0" diagonalDown="0" outline="0">
        <left/>
        <right/>
        <top style="thin">
          <color theme="0"/>
        </top>
        <bottom style="thin">
          <color theme="0"/>
        </bottom>
      </border>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ill>
        <patternFill patternType="solid">
          <fgColor indexed="64"/>
          <bgColor theme="0"/>
        </patternFill>
      </fill>
      <border diagonalUp="0" diagonalDown="0" outline="0">
        <left/>
        <right/>
        <top style="thin">
          <color theme="0"/>
        </top>
        <bottom style="thin">
          <color theme="0"/>
        </bottom>
      </border>
    </dxf>
    <dxf>
      <fill>
        <patternFill patternType="solid">
          <fgColor indexed="64"/>
          <bgColor theme="0"/>
        </patternFill>
      </fill>
      <border diagonalUp="0" diagonalDown="0" outline="0">
        <left/>
        <right/>
        <top style="thin">
          <color theme="0"/>
        </top>
        <bottom style="thin">
          <color theme="0"/>
        </bottom>
      </border>
    </dxf>
    <dxf>
      <alignment horizontal="left" vertical="bottom" textRotation="0" wrapText="0" indent="1" justifyLastLine="0" shrinkToFit="0" readingOrder="0"/>
    </dxf>
    <dxf>
      <font>
        <b val="0"/>
        <i val="0"/>
        <strike val="0"/>
        <condense val="0"/>
        <extend val="0"/>
        <outline val="0"/>
        <shadow val="0"/>
        <u val="none"/>
        <vertAlign val="baseline"/>
        <sz val="10"/>
        <color theme="1" tint="0.1499679555650502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color theme="1" tint="0.34998626667073579"/>
        <name val="Calibri"/>
        <scheme val="minor"/>
      </font>
      <alignment horizontal="left" vertical="center" textRotation="0" wrapText="0" indent="1" justifyLastLine="0" shrinkToFit="0" readingOrder="0"/>
    </dxf>
    <dxf>
      <alignment horizontal="left" vertical="bottom" textRotation="0" wrapText="0" indent="1" justifyLastLine="0" shrinkToFit="0" readingOrder="0"/>
    </dxf>
    <dxf>
      <font>
        <strike val="0"/>
        <outline val="0"/>
        <shadow val="0"/>
        <u val="none"/>
        <vertAlign val="baseline"/>
        <sz val="11"/>
        <color theme="1" tint="0.34998626667073579"/>
        <name val="Calibri"/>
        <scheme val="minor"/>
      </font>
      <numFmt numFmtId="6" formatCode="#,##0_);[Red]\(#,##0\)"/>
    </dxf>
    <dxf>
      <font>
        <strike val="0"/>
        <outline val="0"/>
        <shadow val="0"/>
        <u val="none"/>
        <vertAlign val="baseline"/>
        <sz val="10"/>
        <color theme="1" tint="0.499984740745262"/>
        <name val="Calibri"/>
        <scheme val="minor"/>
      </font>
      <numFmt numFmtId="0" formatCode="General"/>
      <fill>
        <patternFill>
          <fgColor indexed="64"/>
          <bgColor theme="0"/>
        </patternFill>
      </fill>
      <border diagonalUp="0" diagonalDown="0" outline="0">
        <left/>
        <right/>
        <top style="thin">
          <color theme="0"/>
        </top>
        <bottom style="thin">
          <color theme="0"/>
        </bottom>
      </border>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ont>
        <strike val="0"/>
        <outline val="0"/>
        <shadow val="0"/>
        <u val="none"/>
        <vertAlign val="baseline"/>
        <sz val="11"/>
        <color theme="1" tint="0.34998626667073579"/>
        <name val="Calibri"/>
        <scheme val="minor"/>
      </font>
      <numFmt numFmtId="6" formatCode="#,##0_);[Red]\(#,##0\)"/>
      <alignment horizontal="right" vertical="center" textRotation="0" wrapText="0" indent="0" justifyLastLine="0" shrinkToFit="0" readingOrder="0"/>
    </dxf>
    <dxf>
      <fill>
        <patternFill patternType="solid">
          <fgColor indexed="64"/>
          <bgColor theme="0"/>
        </patternFill>
      </fill>
      <border diagonalUp="0" diagonalDown="0" outline="0">
        <left/>
        <right/>
        <top/>
        <bottom style="thick">
          <color theme="0"/>
        </bottom>
      </border>
    </dxf>
    <dxf>
      <fill>
        <patternFill patternType="solid">
          <fgColor indexed="64"/>
          <bgColor theme="0"/>
        </patternFill>
      </fill>
      <border diagonalUp="0" diagonalDown="0" outline="0">
        <left/>
        <right/>
        <top style="thin">
          <color theme="0"/>
        </top>
        <bottom style="thin">
          <color theme="0"/>
        </bottom>
      </border>
    </dxf>
    <dxf>
      <alignment horizontal="left" vertical="bottom" textRotation="0" wrapText="0" indent="1" justifyLastLine="0" shrinkToFit="0" readingOrder="0"/>
    </dxf>
    <dxf>
      <font>
        <b val="0"/>
        <i val="0"/>
        <strike val="0"/>
        <condense val="0"/>
        <extend val="0"/>
        <outline val="0"/>
        <shadow val="0"/>
        <u val="none"/>
        <vertAlign val="baseline"/>
        <sz val="11"/>
        <color theme="1"/>
        <name val="Calibri"/>
        <scheme val="minor"/>
      </font>
      <numFmt numFmtId="169" formatCode="0_);\-0_)"/>
      <alignment horizontal="left" vertical="center" textRotation="0" wrapText="0" indent="1" justifyLastLine="0" shrinkToFit="0" readingOrder="0"/>
    </dxf>
    <dxf>
      <font>
        <strike val="0"/>
        <outline val="0"/>
        <shadow val="0"/>
        <u val="none"/>
        <vertAlign val="baseline"/>
        <sz val="11"/>
        <color theme="1" tint="0.34998626667073579"/>
        <name val="Calibri"/>
        <scheme val="minor"/>
      </font>
      <numFmt numFmtId="169" formatCode="0_);\-0_)"/>
      <alignment horizontal="left" vertical="center" textRotation="0" wrapText="0" indent="1" justifyLastLine="0" shrinkToFit="0" readingOrder="0"/>
    </dxf>
    <dxf>
      <alignment horizontal="left" vertical="bottom" textRotation="0" wrapText="0" indent="1" justifyLastLine="0" shrinkToFit="0" readingOrder="0"/>
    </dxf>
    <dxf>
      <font>
        <color rgb="FFFF0000"/>
      </font>
    </dxf>
    <dxf>
      <font>
        <color rgb="FFFF0000"/>
      </font>
    </dxf>
    <dxf>
      <font>
        <color rgb="FFFF0000"/>
      </font>
    </dxf>
    <dxf>
      <fill>
        <patternFill patternType="none">
          <bgColor auto="1"/>
        </patternFill>
      </fill>
      <border>
        <vertical/>
        <horizontal/>
      </border>
    </dxf>
    <dxf>
      <font>
        <color theme="1" tint="0.14996795556505021"/>
      </font>
    </dxf>
    <dxf>
      <border diagonalUp="0" diagonalDown="0">
        <left style="dotted">
          <color theme="1" tint="0.34998626667073579"/>
        </left>
        <right style="dotted">
          <color theme="1" tint="0.34998626667073579"/>
        </right>
        <top style="thin">
          <color theme="1" tint="0.34998626667073579"/>
        </top>
        <bottom style="dotted">
          <color theme="1" tint="0.34998626667073579"/>
        </bottom>
        <vertical/>
        <horizontal/>
      </border>
    </dxf>
    <dxf>
      <font>
        <b val="0"/>
        <i val="0"/>
        <color theme="1" tint="0.34998626667073579"/>
      </font>
    </dxf>
    <dxf>
      <font>
        <b val="0"/>
        <i val="0"/>
        <color theme="1" tint="0.14996795556505021"/>
      </font>
      <fill>
        <patternFill patternType="solid">
          <bgColor theme="4" tint="0.79998168889431442"/>
        </patternFill>
      </fill>
      <border>
        <top/>
        <bottom style="medium">
          <color theme="4" tint="-0.24994659260841701"/>
        </bottom>
      </border>
    </dxf>
    <dxf>
      <font>
        <b val="0"/>
        <i val="0"/>
        <color theme="1" tint="0.14996795556505021"/>
      </font>
    </dxf>
    <dxf>
      <font>
        <color theme="1" tint="0.34998626667073579"/>
      </font>
      <border>
        <left/>
        <right style="thin">
          <color theme="1" tint="0.34998626667073579"/>
        </right>
        <top style="thin">
          <color theme="1" tint="0.34998626667073579"/>
        </top>
        <bottom style="thin">
          <color theme="1" tint="0.34998626667073579"/>
        </bottom>
        <vertical style="dashed">
          <color theme="1" tint="0.34998626667073579"/>
        </vertical>
        <horizontal style="thin">
          <color theme="1" tint="0.34998626667073579"/>
        </horizontal>
      </border>
    </dxf>
  </dxfs>
  <tableStyles count="1" defaultTableStyle="Cash Receipts" defaultPivotStyle="PivotStyleLight16">
    <tableStyle name="Cash Receipts" pivot="0" count="7">
      <tableStyleElement type="wholeTable" dxfId="88"/>
      <tableStyleElement type="headerRow" dxfId="87"/>
      <tableStyleElement type="totalRow" dxfId="86"/>
      <tableStyleElement type="firstColumn" dxfId="85"/>
      <tableStyleElement type="lastColumn" dxfId="84"/>
      <tableStyleElement type="firstTotalCell" dxfId="83"/>
      <tableStyleElement type="lastTotalCell" dxfId="8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9" name="CashReceipts" displayName="CashReceipts" ref="B8:S11" headerRowCount="0" totalsRowCount="1">
  <tableColumns count="18">
    <tableColumn id="1" name="Items" totalsRowLabel="Total" headerRowDxfId="78" dataDxfId="77" totalsRowDxfId="76"/>
    <tableColumn id="17" name="Column2" headerRowDxfId="75" dataDxfId="74" totalsRowDxfId="73"/>
    <tableColumn id="2" name="Period 0" totalsRowFunction="sum" dataDxfId="72"/>
    <tableColumn id="3" name="Period 1" totalsRowFunction="sum" dataDxfId="71"/>
    <tableColumn id="4" name="Period 2" totalsRowFunction="sum" dataDxfId="70"/>
    <tableColumn id="5" name="Period 3" totalsRowFunction="sum" dataDxfId="69"/>
    <tableColumn id="6" name="Period 4" totalsRowFunction="sum" dataDxfId="68"/>
    <tableColumn id="7" name="Period 5" totalsRowFunction="sum" dataDxfId="67"/>
    <tableColumn id="8" name="Period 6" totalsRowFunction="sum" dataDxfId="66"/>
    <tableColumn id="9" name="Period 7" totalsRowFunction="sum" dataDxfId="65"/>
    <tableColumn id="10" name="Period 8" totalsRowFunction="sum" dataDxfId="64"/>
    <tableColumn id="11" name="Period 9" totalsRowFunction="sum" dataDxfId="63"/>
    <tableColumn id="12" name="Period 10" totalsRowFunction="sum" dataDxfId="62"/>
    <tableColumn id="13" name="Period 11" totalsRowFunction="sum" dataDxfId="61"/>
    <tableColumn id="14" name="Period 12" totalsRowFunction="sum" dataDxfId="60"/>
    <tableColumn id="18" name="Column3" dataDxfId="59"/>
    <tableColumn id="15" name="Total" totalsRowFunction="sum" dataDxfId="58">
      <calculatedColumnFormula>SUM(CashReceipts[[#This Row],[Period 0]:[Period 12]])</calculatedColumnFormula>
    </tableColumn>
    <tableColumn id="16" name="Column1"/>
  </tableColumns>
  <tableStyleInfo name="Cash Receipts" showFirstColumn="1" showLastColumn="1" showRowStripes="0" showColumnStripes="0"/>
  <extLst>
    <ext xmlns:x14="http://schemas.microsoft.com/office/spreadsheetml/2009/9/main" uri="{504A1905-F514-4f6f-8877-14C23A59335A}">
      <x14:table altTextSummary="Cash receipts for 12 months starting with the first month of the fiscal year along with a calculated grand total"/>
    </ext>
  </extLst>
</table>
</file>

<file path=xl/tables/table2.xml><?xml version="1.0" encoding="utf-8"?>
<table xmlns="http://schemas.openxmlformats.org/spreadsheetml/2006/main" id="14" name="CashPaidOut" displayName="CashPaidOut" ref="B6:S27" headerRowCount="0" totalsRowCount="1">
  <tableColumns count="18">
    <tableColumn id="1" name="Items" totalsRowLabel="Total" headerRowDxfId="57" dataDxfId="56" totalsRowDxfId="55"/>
    <tableColumn id="17" name="Column2" headerRowDxfId="54" dataDxfId="53" totalsRowDxfId="52"/>
    <tableColumn id="2" name="Period 0" totalsRowFunction="sum" dataDxfId="51"/>
    <tableColumn id="3" name="Period 1" totalsRowFunction="sum" dataDxfId="50"/>
    <tableColumn id="4" name="Period 2" totalsRowFunction="sum" dataDxfId="49"/>
    <tableColumn id="5" name="Period 3" totalsRowFunction="sum" dataDxfId="48"/>
    <tableColumn id="6" name="Period 4" totalsRowFunction="sum" dataDxfId="47"/>
    <tableColumn id="7" name="Period 5" totalsRowFunction="sum" dataDxfId="46"/>
    <tableColumn id="8" name="Period 6" totalsRowFunction="sum" dataDxfId="45"/>
    <tableColumn id="9" name="Period 7" totalsRowFunction="sum" dataDxfId="44"/>
    <tableColumn id="10" name="Period 8" totalsRowFunction="sum" dataDxfId="43"/>
    <tableColumn id="11" name="Period 9" totalsRowFunction="sum" dataDxfId="42"/>
    <tableColumn id="12" name="Period 10" totalsRowFunction="sum" dataDxfId="41"/>
    <tableColumn id="13" name="Period 11" totalsRowFunction="sum" dataDxfId="40"/>
    <tableColumn id="14" name="Period 12" totalsRowFunction="sum" dataDxfId="39"/>
    <tableColumn id="18" name="Column3" dataDxfId="38"/>
    <tableColumn id="15" name="Total" totalsRowFunction="sum" dataDxfId="37">
      <calculatedColumnFormula>SUM(CashPaidOut[[#This Row],[Period 0]:[Period 12]])</calculatedColumnFormula>
    </tableColumn>
    <tableColumn id="16" name="Column1" totalsRowDxfId="36"/>
  </tableColumns>
  <tableStyleInfo name="Cash Receipts" showFirstColumn="1" showLastColumn="1" showRowStripes="0" showColumnStripes="0"/>
  <extLst>
    <ext xmlns:x14="http://schemas.microsoft.com/office/spreadsheetml/2009/9/main" uri="{504A1905-F514-4f6f-8877-14C23A59335A}">
      <x14:table altTextSummary="Cash payouts for 12 months starting with the first month of the fiscal year along with a calculated grand total"/>
    </ext>
  </extLst>
</table>
</file>

<file path=xl/tables/table3.xml><?xml version="1.0" encoding="utf-8"?>
<table xmlns="http://schemas.openxmlformats.org/spreadsheetml/2006/main" id="18" name="CashPaid" displayName="CashPaid" ref="B6:S11" headerRowCount="0" totalsRowCount="1">
  <tableColumns count="18">
    <tableColumn id="1" name="Items" totalsRowLabel="Total" headerRowDxfId="35" dataDxfId="34" totalsRowDxfId="33"/>
    <tableColumn id="17" name="Column2" headerRowDxfId="32" dataDxfId="31" totalsRowDxfId="30"/>
    <tableColumn id="2" name="Period 0" totalsRowFunction="sum" dataDxfId="29" totalsRowDxfId="28"/>
    <tableColumn id="3" name="Period 1" totalsRowFunction="sum" dataDxfId="27" totalsRowDxfId="26"/>
    <tableColumn id="4" name="Period 2" totalsRowFunction="sum" dataDxfId="25" totalsRowDxfId="24"/>
    <tableColumn id="5" name="Period 3" totalsRowFunction="sum" dataDxfId="23" totalsRowDxfId="22"/>
    <tableColumn id="6" name="Period 4" totalsRowFunction="sum" dataDxfId="21" totalsRowDxfId="20"/>
    <tableColumn id="7" name="Period 5" totalsRowFunction="sum" dataDxfId="19" totalsRowDxfId="18"/>
    <tableColumn id="8" name="Period 6" totalsRowFunction="sum" dataDxfId="17" totalsRowDxfId="16"/>
    <tableColumn id="9" name="Period 7" totalsRowFunction="sum" dataDxfId="15" totalsRowDxfId="14"/>
    <tableColumn id="10" name="Period 8" totalsRowFunction="sum" dataDxfId="13" totalsRowDxfId="12"/>
    <tableColumn id="11" name="Period 9" totalsRowFunction="sum" dataDxfId="11" totalsRowDxfId="10"/>
    <tableColumn id="12" name="Period 10" totalsRowFunction="sum" dataDxfId="9" totalsRowDxfId="8"/>
    <tableColumn id="13" name="Period 11" totalsRowFunction="sum" dataDxfId="7" totalsRowDxfId="6"/>
    <tableColumn id="14" name="Period 12" totalsRowFunction="sum" dataDxfId="5" totalsRowDxfId="4"/>
    <tableColumn id="18" name="Column3" dataDxfId="3"/>
    <tableColumn id="15" name="Total" totalsRowFunction="sum" dataDxfId="2" totalsRowDxfId="1">
      <calculatedColumnFormula>SUM(CashPaid[[#This Row],[Period 0]:[Period 12]])</calculatedColumnFormula>
    </tableColumn>
    <tableColumn id="16" name="Column1" totalsRowDxfId="0"/>
  </tableColumns>
  <tableStyleInfo name="Cash Receipts" showFirstColumn="1" showLastColumn="1" showRowStripes="0" showColumnStripes="0"/>
  <extLst>
    <ext xmlns:x14="http://schemas.microsoft.com/office/spreadsheetml/2009/9/main" uri="{504A1905-F514-4f6f-8877-14C23A59335A}">
      <x14:table altTextSummary="Cash receipts (non P&amp;L) for 12 months starting with the first month of the fiscal year along with a calculated grand total"/>
    </ext>
  </extLst>
</table>
</file>

<file path=xl/theme/theme1.xml><?xml version="1.0" encoding="utf-8"?>
<a:theme xmlns:a="http://schemas.openxmlformats.org/drawingml/2006/main" name="Office Theme">
  <a:themeElements>
    <a:clrScheme name="Cash Flow Statement">
      <a:dk1>
        <a:sysClr val="windowText" lastClr="000000"/>
      </a:dk1>
      <a:lt1>
        <a:sysClr val="window" lastClr="FFFFFF"/>
      </a:lt1>
      <a:dk2>
        <a:srgbClr val="313F55"/>
      </a:dk2>
      <a:lt2>
        <a:srgbClr val="F2F2F2"/>
      </a:lt2>
      <a:accent1>
        <a:srgbClr val="308DA2"/>
      </a:accent1>
      <a:accent2>
        <a:srgbClr val="EB7A20"/>
      </a:accent2>
      <a:accent3>
        <a:srgbClr val="009D00"/>
      </a:accent3>
      <a:accent4>
        <a:srgbClr val="9D4CA4"/>
      </a:accent4>
      <a:accent5>
        <a:srgbClr val="FFC000"/>
      </a:accent5>
      <a:accent6>
        <a:srgbClr val="DC3220"/>
      </a:accent6>
      <a:hlink>
        <a:srgbClr val="1AA2B5"/>
      </a:hlink>
      <a:folHlink>
        <a:srgbClr val="9D4CA4"/>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B1:S14"/>
  <sheetViews>
    <sheetView showGridLines="0" zoomScaleNormal="100" workbookViewId="0">
      <pane ySplit="4" topLeftCell="A5" activePane="bottomLeft" state="frozen"/>
      <selection pane="bottomLeft" activeCell="I20" sqref="I20"/>
    </sheetView>
  </sheetViews>
  <sheetFormatPr defaultRowHeight="17.25" customHeight="1" x14ac:dyDescent="0.3"/>
  <cols>
    <col min="1" max="1" width="2.5546875" customWidth="1"/>
    <col min="2" max="2" width="36" customWidth="1"/>
    <col min="3" max="3" width="3" customWidth="1"/>
    <col min="4" max="4" width="9.44140625" customWidth="1"/>
    <col min="5" max="16" width="12.21875" customWidth="1"/>
    <col min="17" max="17" width="3" style="22" customWidth="1"/>
    <col min="18" max="18" width="10.77734375" customWidth="1"/>
  </cols>
  <sheetData>
    <row r="1" spans="2:19" ht="42" customHeight="1" thickBot="1" x14ac:dyDescent="0.75">
      <c r="B1" s="63" t="s">
        <v>40</v>
      </c>
      <c r="C1" s="63"/>
      <c r="D1" s="63"/>
      <c r="E1" s="63"/>
      <c r="F1" s="63"/>
      <c r="G1" s="63"/>
      <c r="H1" s="63"/>
      <c r="I1" s="63"/>
      <c r="J1" s="63"/>
      <c r="K1" s="63"/>
      <c r="L1" s="63"/>
      <c r="M1" s="63"/>
      <c r="N1" s="63"/>
      <c r="O1" s="63"/>
      <c r="P1" s="63"/>
      <c r="Q1" s="63"/>
      <c r="R1" s="63"/>
      <c r="S1" s="63"/>
    </row>
    <row r="2" spans="2:19" ht="22.5" customHeight="1" thickTop="1" x14ac:dyDescent="0.3">
      <c r="D2" s="62"/>
      <c r="E2" s="62"/>
      <c r="F2" s="62"/>
      <c r="G2" s="62"/>
      <c r="H2" s="62"/>
      <c r="I2" s="62"/>
      <c r="J2" s="62"/>
      <c r="K2" s="62"/>
      <c r="L2" s="62"/>
      <c r="M2" s="62"/>
      <c r="N2" s="62"/>
      <c r="O2" s="62"/>
      <c r="P2" s="62"/>
      <c r="Q2" s="17"/>
    </row>
    <row r="3" spans="2:19" ht="30" customHeight="1" x14ac:dyDescent="0.35">
      <c r="B3" s="14" t="s">
        <v>0</v>
      </c>
      <c r="D3" s="57" t="s">
        <v>1</v>
      </c>
      <c r="E3" s="13" t="str">
        <f ca="1">UPPER(TEXT(FiscalYearStartDate,"mmm"))</f>
        <v>JUL</v>
      </c>
      <c r="F3" s="13" t="str">
        <f ca="1">UPPER(TEXT(EOMONTH(FiscalYearStartDate,1),"mmm"))</f>
        <v>AUG</v>
      </c>
      <c r="G3" s="13" t="str">
        <f ca="1">UPPER(TEXT(EOMONTH(FiscalYearStartDate,2),"mmm"))</f>
        <v>SEP</v>
      </c>
      <c r="H3" s="13" t="str">
        <f ca="1">UPPER(TEXT(EOMONTH(FiscalYearStartDate,3),"mmm"))</f>
        <v>OCT</v>
      </c>
      <c r="I3" s="13" t="str">
        <f ca="1">UPPER(TEXT(EOMONTH(FiscalYearStartDate,4),"mmm"))</f>
        <v>NOV</v>
      </c>
      <c r="J3" s="13" t="str">
        <f ca="1">UPPER(TEXT(EOMONTH(FiscalYearStartDate,5),"mmm"))</f>
        <v>DEC</v>
      </c>
      <c r="K3" s="13" t="str">
        <f ca="1">UPPER(TEXT(EOMONTH(FiscalYearStartDate,6),"mmm"))</f>
        <v>JAN</v>
      </c>
      <c r="L3" s="13" t="str">
        <f ca="1">UPPER(TEXT(EOMONTH(FiscalYearStartDate,7),"mmm"))</f>
        <v>FEB</v>
      </c>
      <c r="M3" s="13" t="str">
        <f ca="1">UPPER(TEXT(EOMONTH(FiscalYearStartDate,8),"mmm"))</f>
        <v>MAR</v>
      </c>
      <c r="N3" s="13" t="str">
        <f ca="1">UPPER(TEXT(EOMONTH(FiscalYearStartDate,9),"mmm"))</f>
        <v>APR</v>
      </c>
      <c r="O3" s="13" t="str">
        <f ca="1">UPPER(TEXT(EOMONTH(FiscalYearStartDate,10),"mmm"))</f>
        <v>MAY</v>
      </c>
      <c r="P3" s="13" t="str">
        <f ca="1">UPPER(TEXT(EOMONTH(FiscalYearStartDate,11),"mmm"))</f>
        <v>JUN</v>
      </c>
      <c r="Q3" s="37"/>
      <c r="R3" s="55" t="s">
        <v>2</v>
      </c>
      <c r="S3" s="61"/>
    </row>
    <row r="4" spans="2:19" s="25" customFormat="1" ht="16.5" customHeight="1" thickBot="1" x14ac:dyDescent="0.35">
      <c r="B4" s="24">
        <f ca="1">DATE(YEAR(TODAY()),7,1)</f>
        <v>44743</v>
      </c>
      <c r="D4" s="58" t="s">
        <v>3</v>
      </c>
      <c r="E4" s="36">
        <f ca="1">FiscalYearStartDate</f>
        <v>44743</v>
      </c>
      <c r="F4" s="36">
        <f t="shared" ref="F4" ca="1" si="0">EOMONTH(E4,0)+DAY(FiscalYearStartDate)</f>
        <v>44774</v>
      </c>
      <c r="G4" s="36">
        <f t="shared" ref="G4" ca="1" si="1">EOMONTH(F4,0)+DAY(FiscalYearStartDate)</f>
        <v>44805</v>
      </c>
      <c r="H4" s="36">
        <f t="shared" ref="H4" ca="1" si="2">EOMONTH(G4,0)+DAY(FiscalYearStartDate)</f>
        <v>44835</v>
      </c>
      <c r="I4" s="36">
        <f ca="1">EOMONTH(H4,0)+DAY(FiscalYearStartDate)</f>
        <v>44866</v>
      </c>
      <c r="J4" s="36">
        <f t="shared" ref="J4" ca="1" si="3">EOMONTH(I4,0)+DAY(FiscalYearStartDate)</f>
        <v>44896</v>
      </c>
      <c r="K4" s="36">
        <f t="shared" ref="K4" ca="1" si="4">EOMONTH(J4,0)+DAY(FiscalYearStartDate)</f>
        <v>44927</v>
      </c>
      <c r="L4" s="36">
        <f t="shared" ref="L4" ca="1" si="5">EOMONTH(K4,0)+DAY(FiscalYearStartDate)</f>
        <v>44958</v>
      </c>
      <c r="M4" s="36">
        <f t="shared" ref="M4" ca="1" si="6">EOMONTH(L4,0)+DAY(FiscalYearStartDate)</f>
        <v>44986</v>
      </c>
      <c r="N4" s="36">
        <f t="shared" ref="N4" ca="1" si="7">EOMONTH(M4,0)+DAY(FiscalYearStartDate)</f>
        <v>45017</v>
      </c>
      <c r="O4" s="36">
        <f t="shared" ref="O4" ca="1" si="8">EOMONTH(N4,0)+DAY(FiscalYearStartDate)</f>
        <v>45047</v>
      </c>
      <c r="P4" s="36">
        <f t="shared" ref="P4" ca="1" si="9">EOMONTH(O4,0)+DAY(FiscalYearStartDate)</f>
        <v>45078</v>
      </c>
      <c r="Q4" s="29"/>
      <c r="R4" s="56" t="s">
        <v>39</v>
      </c>
      <c r="S4" s="61"/>
    </row>
    <row r="5" spans="2:19" s="25" customFormat="1" ht="17.25" customHeight="1" thickTop="1" x14ac:dyDescent="0.3">
      <c r="B5" s="24"/>
      <c r="D5" s="27"/>
      <c r="E5" s="28"/>
      <c r="F5" s="28"/>
      <c r="G5" s="28"/>
      <c r="H5" s="28"/>
      <c r="I5" s="28"/>
      <c r="J5" s="28"/>
      <c r="K5" s="28"/>
      <c r="L5" s="28"/>
      <c r="M5" s="28"/>
      <c r="N5" s="28"/>
      <c r="O5" s="28"/>
      <c r="P5" s="28"/>
      <c r="Q5" s="29"/>
      <c r="R5" s="27"/>
      <c r="S5" s="26"/>
    </row>
    <row r="6" spans="2:19" s="25" customFormat="1" ht="17.25" customHeight="1" thickBot="1" x14ac:dyDescent="0.35">
      <c r="B6" s="46" t="s">
        <v>5</v>
      </c>
      <c r="D6" s="34">
        <v>100</v>
      </c>
      <c r="E6" s="34">
        <f>D14</f>
        <v>100</v>
      </c>
      <c r="F6" s="34">
        <f>E14</f>
        <v>-175</v>
      </c>
      <c r="G6" s="34">
        <f>F14</f>
        <v>-5</v>
      </c>
      <c r="H6" s="34">
        <f t="shared" ref="H6:P6" si="10">G14</f>
        <v>-51</v>
      </c>
      <c r="I6" s="34">
        <f t="shared" si="10"/>
        <v>174</v>
      </c>
      <c r="J6" s="34">
        <f t="shared" si="10"/>
        <v>219</v>
      </c>
      <c r="K6" s="34">
        <f t="shared" si="10"/>
        <v>219</v>
      </c>
      <c r="L6" s="34">
        <f t="shared" si="10"/>
        <v>219</v>
      </c>
      <c r="M6" s="34">
        <f t="shared" si="10"/>
        <v>219</v>
      </c>
      <c r="N6" s="34">
        <f t="shared" si="10"/>
        <v>219</v>
      </c>
      <c r="O6" s="34">
        <f t="shared" si="10"/>
        <v>219</v>
      </c>
      <c r="P6" s="34">
        <f t="shared" si="10"/>
        <v>219</v>
      </c>
      <c r="Q6" s="40"/>
      <c r="R6" s="34">
        <f>P6</f>
        <v>219</v>
      </c>
      <c r="S6" s="41"/>
    </row>
    <row r="7" spans="2:19" s="53" customFormat="1" ht="34.5" customHeight="1" x14ac:dyDescent="0.3">
      <c r="B7" s="52" t="s">
        <v>6</v>
      </c>
      <c r="D7" s="60"/>
      <c r="E7" s="60"/>
      <c r="F7" s="60"/>
      <c r="G7" s="60"/>
      <c r="H7" s="60"/>
      <c r="I7" s="60"/>
      <c r="J7" s="60"/>
      <c r="K7" s="60"/>
      <c r="L7" s="60"/>
      <c r="M7" s="60"/>
      <c r="N7" s="60"/>
      <c r="O7" s="60"/>
      <c r="P7" s="60"/>
      <c r="Q7" s="54"/>
    </row>
    <row r="8" spans="2:19" ht="17.25" customHeight="1" x14ac:dyDescent="0.3">
      <c r="B8" s="45" t="s">
        <v>7</v>
      </c>
      <c r="C8" s="11"/>
      <c r="D8" s="30"/>
      <c r="E8" s="30">
        <v>125</v>
      </c>
      <c r="F8" s="30">
        <v>120</v>
      </c>
      <c r="G8" s="30">
        <v>130</v>
      </c>
      <c r="H8" s="30">
        <v>100</v>
      </c>
      <c r="I8" s="30"/>
      <c r="J8" s="30"/>
      <c r="K8" s="30"/>
      <c r="L8" s="30"/>
      <c r="M8" s="30"/>
      <c r="N8" s="30"/>
      <c r="O8" s="30"/>
      <c r="P8" s="30"/>
      <c r="Q8" s="23"/>
      <c r="R8" s="31">
        <f>SUM(CashReceipts[[#This Row],[Period 0]:[Period 12]])</f>
        <v>475</v>
      </c>
    </row>
    <row r="9" spans="2:19" ht="17.25" customHeight="1" x14ac:dyDescent="0.3">
      <c r="B9" s="45" t="s">
        <v>37</v>
      </c>
      <c r="C9" s="11"/>
      <c r="D9" s="30"/>
      <c r="E9" s="30"/>
      <c r="F9" s="30"/>
      <c r="G9" s="30"/>
      <c r="H9" s="30">
        <v>75</v>
      </c>
      <c r="I9" s="30">
        <v>45</v>
      </c>
      <c r="J9" s="30"/>
      <c r="K9" s="30"/>
      <c r="L9" s="30"/>
      <c r="M9" s="30"/>
      <c r="N9" s="30"/>
      <c r="O9" s="30"/>
      <c r="P9" s="30"/>
      <c r="Q9" s="23"/>
      <c r="R9" s="31">
        <f>SUM(CashReceipts[[#This Row],[Period 0]:[Period 12]])</f>
        <v>120</v>
      </c>
    </row>
    <row r="10" spans="2:19" ht="17.25" customHeight="1" x14ac:dyDescent="0.3">
      <c r="B10" s="45" t="s">
        <v>36</v>
      </c>
      <c r="C10" s="12"/>
      <c r="D10" s="30"/>
      <c r="E10" s="30"/>
      <c r="F10" s="30">
        <v>50</v>
      </c>
      <c r="G10" s="30">
        <v>50</v>
      </c>
      <c r="H10" s="30">
        <v>50</v>
      </c>
      <c r="I10" s="30"/>
      <c r="J10" s="30"/>
      <c r="K10" s="30"/>
      <c r="L10" s="30"/>
      <c r="M10" s="30"/>
      <c r="N10" s="30"/>
      <c r="O10" s="30"/>
      <c r="P10" s="30"/>
      <c r="Q10" s="23"/>
      <c r="R10" s="31">
        <f>SUM(CashReceipts[[#This Row],[Period 0]:[Period 12]])</f>
        <v>150</v>
      </c>
    </row>
    <row r="11" spans="2:19" ht="17.25" customHeight="1" thickBot="1" x14ac:dyDescent="0.35">
      <c r="B11" s="44" t="s">
        <v>2</v>
      </c>
      <c r="C11" s="10"/>
      <c r="D11" s="15">
        <f>SUBTOTAL(109,CashReceipts[Period 0])</f>
        <v>0</v>
      </c>
      <c r="E11" s="15">
        <f>SUBTOTAL(109,CashReceipts[Period 1])</f>
        <v>125</v>
      </c>
      <c r="F11" s="15">
        <f>SUBTOTAL(109,CashReceipts[Period 2])</f>
        <v>170</v>
      </c>
      <c r="G11" s="15">
        <f>SUBTOTAL(109,CashReceipts[Period 3])</f>
        <v>180</v>
      </c>
      <c r="H11" s="15">
        <f>SUBTOTAL(109,CashReceipts[Period 4])</f>
        <v>225</v>
      </c>
      <c r="I11" s="15">
        <f>SUBTOTAL(109,CashReceipts[Period 5])</f>
        <v>45</v>
      </c>
      <c r="J11" s="15">
        <f>SUBTOTAL(109,CashReceipts[Period 6])</f>
        <v>0</v>
      </c>
      <c r="K11" s="15">
        <f>SUBTOTAL(109,CashReceipts[Period 7])</f>
        <v>0</v>
      </c>
      <c r="L11" s="15">
        <f>SUBTOTAL(109,CashReceipts[Period 8])</f>
        <v>0</v>
      </c>
      <c r="M11" s="15">
        <f>SUBTOTAL(109,CashReceipts[Period 9])</f>
        <v>0</v>
      </c>
      <c r="N11" s="15">
        <f>SUBTOTAL(109,CashReceipts[Period 10])</f>
        <v>0</v>
      </c>
      <c r="O11" s="15">
        <f>SUBTOTAL(109,CashReceipts[Period 11])</f>
        <v>0</v>
      </c>
      <c r="P11" s="15">
        <f>SUBTOTAL(109,CashReceipts[Period 12])</f>
        <v>0</v>
      </c>
      <c r="Q11" s="18"/>
      <c r="R11" s="15">
        <f>SUBTOTAL(109,CashReceipts[Total])</f>
        <v>745</v>
      </c>
    </row>
    <row r="12" spans="2:19" ht="17.25" customHeight="1" thickTop="1" thickBot="1" x14ac:dyDescent="0.35">
      <c r="B12" s="49" t="s">
        <v>8</v>
      </c>
      <c r="C12" s="9"/>
      <c r="D12" s="47">
        <f>D6+SUM(CashReceipts[Period 0])</f>
        <v>100</v>
      </c>
      <c r="E12" s="47">
        <f>E6+SUM(CashReceipts[Period 1])</f>
        <v>225</v>
      </c>
      <c r="F12" s="47">
        <f>F6+SUM(CashReceipts[Period 2])</f>
        <v>-5</v>
      </c>
      <c r="G12" s="47">
        <f>G6+SUM(CashReceipts[Period 3])</f>
        <v>175</v>
      </c>
      <c r="H12" s="47">
        <f>H6+SUM(CashReceipts[Period 4])</f>
        <v>174</v>
      </c>
      <c r="I12" s="47">
        <f>I6+SUM(CashReceipts[Period 5])</f>
        <v>219</v>
      </c>
      <c r="J12" s="47">
        <f>J6+SUM(CashReceipts[Period 6])</f>
        <v>219</v>
      </c>
      <c r="K12" s="47">
        <f>K6+SUM(CashReceipts[Period 7])</f>
        <v>219</v>
      </c>
      <c r="L12" s="47">
        <f>L6+SUM(CashReceipts[Period 8])</f>
        <v>219</v>
      </c>
      <c r="M12" s="47">
        <f>M6+SUM(CashReceipts[Period 9])</f>
        <v>219</v>
      </c>
      <c r="N12" s="47">
        <f>N6+SUM(CashReceipts[Period 10])</f>
        <v>219</v>
      </c>
      <c r="O12" s="47">
        <f>O6+SUM(CashReceipts[Period 11])</f>
        <v>219</v>
      </c>
      <c r="P12" s="47">
        <f>P6+SUM(CashReceipts[Period 12])</f>
        <v>219</v>
      </c>
      <c r="Q12" s="50"/>
      <c r="R12" s="47">
        <f>R6+SUM(CashReceipts[Total])</f>
        <v>964</v>
      </c>
      <c r="S12" s="51"/>
    </row>
    <row r="13" spans="2:19" s="6" customFormat="1" ht="17.25" customHeight="1" x14ac:dyDescent="0.3">
      <c r="D13" s="59"/>
      <c r="E13" s="59"/>
      <c r="F13" s="59"/>
      <c r="G13" s="59"/>
      <c r="H13" s="59"/>
      <c r="I13" s="59"/>
      <c r="J13" s="59"/>
      <c r="K13" s="59"/>
      <c r="L13" s="59"/>
      <c r="M13" s="59"/>
      <c r="N13" s="59"/>
      <c r="O13" s="59"/>
      <c r="P13" s="59"/>
      <c r="R13" s="59"/>
      <c r="S13" s="59"/>
    </row>
    <row r="14" spans="2:19" ht="17.25" customHeight="1" thickBot="1" x14ac:dyDescent="0.35">
      <c r="B14" s="49" t="s">
        <v>35</v>
      </c>
      <c r="C14" s="9"/>
      <c r="D14" s="47">
        <f>D12-'Cash Paid Out (Non P&amp;L)'!D12</f>
        <v>100</v>
      </c>
      <c r="E14" s="47">
        <f>E12-'Cash Paid Out (Non P&amp;L)'!E12</f>
        <v>-175</v>
      </c>
      <c r="F14" s="47">
        <f>F12-'Cash Paid Out (Non P&amp;L)'!F12</f>
        <v>-5</v>
      </c>
      <c r="G14" s="47">
        <f>G12-'Cash Paid Out (Non P&amp;L)'!G12</f>
        <v>-51</v>
      </c>
      <c r="H14" s="47">
        <f>H12-'Cash Paid Out (Non P&amp;L)'!H12</f>
        <v>174</v>
      </c>
      <c r="I14" s="47">
        <f>I12-'Cash Paid Out (Non P&amp;L)'!I12</f>
        <v>219</v>
      </c>
      <c r="J14" s="47">
        <f>J12-'Cash Paid Out (Non P&amp;L)'!J12</f>
        <v>219</v>
      </c>
      <c r="K14" s="47">
        <f>K12-'Cash Paid Out (Non P&amp;L)'!K12</f>
        <v>219</v>
      </c>
      <c r="L14" s="47">
        <f>L12-'Cash Paid Out (Non P&amp;L)'!L12</f>
        <v>219</v>
      </c>
      <c r="M14" s="47">
        <f>M12-'Cash Paid Out (Non P&amp;L)'!M12</f>
        <v>219</v>
      </c>
      <c r="N14" s="47">
        <f>N12-'Cash Paid Out (Non P&amp;L)'!N12</f>
        <v>219</v>
      </c>
      <c r="O14" s="47">
        <f>O12-'Cash Paid Out (Non P&amp;L)'!O12</f>
        <v>219</v>
      </c>
      <c r="P14" s="47">
        <f>P12-'Cash Paid Out (Non P&amp;L)'!P12</f>
        <v>219</v>
      </c>
      <c r="Q14" s="21"/>
      <c r="R14" s="47">
        <f>R12-'Cash Paid Out (Non P&amp;L)'!R12</f>
        <v>338</v>
      </c>
      <c r="S14" s="48"/>
    </row>
  </sheetData>
  <mergeCells count="6">
    <mergeCell ref="B1:S1"/>
    <mergeCell ref="D13:P13"/>
    <mergeCell ref="R13:S13"/>
    <mergeCell ref="D7:P7"/>
    <mergeCell ref="S3:S4"/>
    <mergeCell ref="D2:P2"/>
  </mergeCells>
  <conditionalFormatting sqref="E6:P6">
    <cfRule type="expression" dxfId="81" priority="3">
      <formula>E6&lt;0</formula>
    </cfRule>
  </conditionalFormatting>
  <conditionalFormatting sqref="E14:P14">
    <cfRule type="expression" dxfId="80" priority="2">
      <formula>E14&lt;0</formula>
    </cfRule>
  </conditionalFormatting>
  <conditionalFormatting sqref="E12:P12">
    <cfRule type="expression" dxfId="79" priority="1">
      <formula>E12&lt;0</formula>
    </cfRule>
  </conditionalFormatting>
  <dataValidations xWindow="169" yWindow="488" count="9">
    <dataValidation allowBlank="1" showInputMessage="1" showErrorMessage="1" prompt="Create Cash Flow Statement in this workbook. Enter Date in cell B4, Startup Estimated Cash on Hand in D6, and details in Cash Receipts table starting in cell B8 in this worksheet" sqref="A1"/>
    <dataValidation allowBlank="1" showErrorMessage="1" prompt="Title of this worksheet is in this cell, and labels of Pre Startup Estimated in cell D3 and D4 and Total Item Estimated in R3 and R4" sqref="B1:S1"/>
    <dataValidation allowBlank="1" showInputMessage="1" showErrorMessage="1" prompt="Total Cash Available before cash out is automatically calculated in cells at right for each month. Flag icon is automatically updated for negative value" sqref="B12"/>
    <dataValidation allowBlank="1" showInputMessage="1" showErrorMessage="1" prompt="Cash Position at end of month is automatically calculated in cells at right for each month. Flag icon is automatically updated for negative value" sqref="B14"/>
    <dataValidation allowBlank="1" showInputMessage="1" showErrorMessage="1" prompt="Total Item EST is automatically updated in cell below" sqref="R4"/>
    <dataValidation allowBlank="1" showInputMessage="1" showErrorMessage="1" prompt="Total Item EST is automatically updated in this cell and trendline in cell at right" sqref="R6"/>
    <dataValidation allowBlank="1" showInputMessage="1" showErrorMessage="1" prompt="Total Item EST is automatically updated in cells below and trendline in cell at right" sqref="R7"/>
    <dataValidation allowBlank="1" showInputMessage="1" showErrorMessage="1" prompt="Total Item EST is automatically updated in cell R6" sqref="R3"/>
    <dataValidation allowBlank="1" showErrorMessage="1" sqref="B3:P7"/>
  </dataValidations>
  <printOptions horizontalCentered="1" verticalCentered="1"/>
  <pageMargins left="0.5" right="0.5" top="0.5" bottom="0.5" header="0.3" footer="0.3"/>
  <pageSetup scale="59" orientation="landscape" r:id="rId1"/>
  <ignoredErrors>
    <ignoredError sqref="D12:P12 R8:R10" emptyCellReference="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4" id="{BEB8DCC7-BD44-450B-8DEC-9A5CB7F7562E}">
            <x14:iconSet iconSet="3Flags" custom="1">
              <x14:cfvo type="percent">
                <xm:f>0</xm:f>
              </x14:cfvo>
              <x14:cfvo type="num">
                <xm:f>0</xm:f>
              </x14:cfvo>
              <x14:cfvo type="num">
                <xm:f>1</xm:f>
              </x14:cfvo>
              <x14:cfIcon iconSet="3Flags" iconId="0"/>
              <x14:cfIcon iconSet="NoIcons" iconId="0"/>
              <x14:cfIcon iconSet="NoIcons" iconId="0"/>
            </x14:iconSet>
          </x14:cfRule>
          <xm:sqref>E6:R6</xm:sqref>
        </x14:conditionalFormatting>
        <x14:conditionalFormatting xmlns:xm="http://schemas.microsoft.com/office/excel/2006/main">
          <x14:cfRule type="iconSet" priority="5" id="{D0C1FC46-96F7-4525-9334-A0DECAEE0171}">
            <x14:iconSet iconSet="3Flags" custom="1">
              <x14:cfvo type="percent">
                <xm:f>0</xm:f>
              </x14:cfvo>
              <x14:cfvo type="num">
                <xm:f>0</xm:f>
              </x14:cfvo>
              <x14:cfvo type="num">
                <xm:f>1</xm:f>
              </x14:cfvo>
              <x14:cfIcon iconSet="3Flags" iconId="0"/>
              <x14:cfIcon iconSet="NoIcons" iconId="0"/>
              <x14:cfIcon iconSet="NoIcons" iconId="0"/>
            </x14:iconSet>
          </x14:cfRule>
          <xm:sqref>D12:R12</xm:sqref>
        </x14:conditionalFormatting>
        <x14:conditionalFormatting xmlns:xm="http://schemas.microsoft.com/office/excel/2006/main">
          <x14:cfRule type="iconSet" priority="6" id="{37737BA8-5E6F-4A7E-9C76-34D53D1ABE64}">
            <x14:iconSet iconSet="3Flags" custom="1">
              <x14:cfvo type="percent">
                <xm:f>0</xm:f>
              </x14:cfvo>
              <x14:cfvo type="num" gte="0">
                <xm:f>0</xm:f>
              </x14:cfvo>
              <x14:cfvo type="num">
                <xm:f>1</xm:f>
              </x14:cfvo>
              <x14:cfIcon iconSet="3Flags" iconId="0"/>
              <x14:cfIcon iconSet="NoIcons" iconId="0"/>
              <x14:cfIcon iconSet="NoIcons" iconId="0"/>
            </x14:iconSet>
          </x14:cfRule>
          <xm:sqref>R14 D14:P14</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x14:colorSeries theme="0" tint="-0.34998626667073579"/>
          <x14:colorNegative theme="9"/>
          <x14:colorAxis rgb="FF000000"/>
          <x14:colorMarkers theme="9"/>
          <x14:colorFirst theme="4"/>
          <x14:colorLast theme="5"/>
          <x14:colorHigh theme="6"/>
          <x14:colorLow theme="7"/>
          <x14:sparklines>
            <x14:sparkline>
              <xm:f>'Cash Receipts'!D14:P14</xm:f>
              <xm:sqref>S14</xm:sqref>
            </x14:sparkline>
            <x14:sparkline>
              <xm:f>'Cash Receipts'!D12:P12</xm:f>
              <xm:sqref>S12</xm:sqref>
            </x14:sparkline>
            <x14:sparkline>
              <xm:f>'Cash Receipts'!D6:P6</xm:f>
              <xm:sqref>S6</xm:sqref>
            </x14:sparkline>
            <x14:sparkline>
              <xm:f>'Cash Receipts'!D11:P11</xm:f>
              <xm:sqref>S11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B1:S27"/>
  <sheetViews>
    <sheetView showGridLines="0" zoomScaleNormal="100" workbookViewId="0">
      <pane ySplit="4" topLeftCell="A5" activePane="bottomLeft" state="frozen"/>
      <selection activeCell="D2" sqref="D2:P2"/>
      <selection pane="bottomLeft" activeCell="B1" sqref="B1:S1"/>
    </sheetView>
  </sheetViews>
  <sheetFormatPr defaultRowHeight="17.25" customHeight="1" x14ac:dyDescent="0.3"/>
  <cols>
    <col min="1" max="1" width="2.5546875" customWidth="1"/>
    <col min="2" max="2" width="36" customWidth="1"/>
    <col min="3" max="3" width="3" customWidth="1"/>
    <col min="4" max="4" width="9.44140625" customWidth="1"/>
    <col min="5" max="16" width="12.21875" customWidth="1"/>
    <col min="17" max="17" width="3" style="22" customWidth="1"/>
    <col min="18" max="18" width="10.77734375" customWidth="1"/>
  </cols>
  <sheetData>
    <row r="1" spans="2:19" ht="42" customHeight="1" thickBot="1" x14ac:dyDescent="0.75">
      <c r="B1" s="63" t="s">
        <v>40</v>
      </c>
      <c r="C1" s="63"/>
      <c r="D1" s="63"/>
      <c r="E1" s="63"/>
      <c r="F1" s="63"/>
      <c r="G1" s="63"/>
      <c r="H1" s="63"/>
      <c r="I1" s="63"/>
      <c r="J1" s="63"/>
      <c r="K1" s="63"/>
      <c r="L1" s="63"/>
      <c r="M1" s="63"/>
      <c r="N1" s="63"/>
      <c r="O1" s="63"/>
      <c r="P1" s="63"/>
      <c r="Q1" s="63"/>
      <c r="R1" s="63"/>
      <c r="S1" s="63"/>
    </row>
    <row r="2" spans="2:19" ht="22.5" customHeight="1" thickTop="1" x14ac:dyDescent="0.3">
      <c r="Q2" s="17"/>
    </row>
    <row r="3" spans="2:19" ht="30" customHeight="1" x14ac:dyDescent="0.35">
      <c r="B3" s="14" t="s">
        <v>0</v>
      </c>
      <c r="D3" s="39" t="s">
        <v>1</v>
      </c>
      <c r="E3" s="13" t="str">
        <f ca="1">UPPER(TEXT(FiscalYearStartDate,"mmm"))</f>
        <v>JUL</v>
      </c>
      <c r="F3" s="13" t="str">
        <f ca="1">UPPER(TEXT(EOMONTH(FiscalYearStartDate,1),"mmm"))</f>
        <v>AUG</v>
      </c>
      <c r="G3" s="13" t="str">
        <f ca="1">UPPER(TEXT(EOMONTH(FiscalYearStartDate,2),"mmm"))</f>
        <v>SEP</v>
      </c>
      <c r="H3" s="13" t="str">
        <f ca="1">UPPER(TEXT(EOMONTH(FiscalYearStartDate,3),"mmm"))</f>
        <v>OCT</v>
      </c>
      <c r="I3" s="13" t="str">
        <f ca="1">UPPER(TEXT(EOMONTH(FiscalYearStartDate,4),"mmm"))</f>
        <v>NOV</v>
      </c>
      <c r="J3" s="13" t="str">
        <f ca="1">UPPER(TEXT(EOMONTH(FiscalYearStartDate,5),"mmm"))</f>
        <v>DEC</v>
      </c>
      <c r="K3" s="13" t="str">
        <f ca="1">UPPER(TEXT(EOMONTH(FiscalYearStartDate,6),"mmm"))</f>
        <v>JAN</v>
      </c>
      <c r="L3" s="13" t="str">
        <f ca="1">UPPER(TEXT(EOMONTH(FiscalYearStartDate,7),"mmm"))</f>
        <v>FEB</v>
      </c>
      <c r="M3" s="13" t="str">
        <f ca="1">UPPER(TEXT(EOMONTH(FiscalYearStartDate,8),"mmm"))</f>
        <v>MAR</v>
      </c>
      <c r="N3" s="13" t="str">
        <f ca="1">UPPER(TEXT(EOMONTH(FiscalYearStartDate,9),"mmm"))</f>
        <v>APR</v>
      </c>
      <c r="O3" s="13" t="str">
        <f ca="1">UPPER(TEXT(EOMONTH(FiscalYearStartDate,10),"mmm"))</f>
        <v>MAY</v>
      </c>
      <c r="P3" s="13" t="str">
        <f ca="1">UPPER(TEXT(EOMONTH(FiscalYearStartDate,11),"mmm"))</f>
        <v>JUN</v>
      </c>
      <c r="Q3" s="37"/>
      <c r="R3" s="38" t="s">
        <v>2</v>
      </c>
      <c r="S3" s="2"/>
    </row>
    <row r="4" spans="2:19" s="25" customFormat="1" ht="16.5" customHeight="1" thickBot="1" x14ac:dyDescent="0.35">
      <c r="B4" s="24">
        <f ca="1">'Cash Receipts'!FiscalYearStartDate</f>
        <v>44743</v>
      </c>
      <c r="D4" s="35" t="s">
        <v>3</v>
      </c>
      <c r="E4" s="36">
        <f ca="1">FiscalYearStartDate</f>
        <v>44743</v>
      </c>
      <c r="F4" s="36">
        <f t="shared" ref="F4" ca="1" si="0">EOMONTH(E4,0)+DAY(FiscalYearStartDate)</f>
        <v>44774</v>
      </c>
      <c r="G4" s="36">
        <f t="shared" ref="G4" ca="1" si="1">EOMONTH(F4,0)+DAY(FiscalYearStartDate)</f>
        <v>44805</v>
      </c>
      <c r="H4" s="36">
        <f t="shared" ref="H4" ca="1" si="2">EOMONTH(G4,0)+DAY(FiscalYearStartDate)</f>
        <v>44835</v>
      </c>
      <c r="I4" s="36">
        <f t="shared" ref="I4" ca="1" si="3">EOMONTH(H4,0)+DAY(FiscalYearStartDate)</f>
        <v>44866</v>
      </c>
      <c r="J4" s="36">
        <f t="shared" ref="J4" ca="1" si="4">EOMONTH(I4,0)+DAY(FiscalYearStartDate)</f>
        <v>44896</v>
      </c>
      <c r="K4" s="36">
        <f t="shared" ref="K4" ca="1" si="5">EOMONTH(J4,0)+DAY(FiscalYearStartDate)</f>
        <v>44927</v>
      </c>
      <c r="L4" s="36">
        <f t="shared" ref="L4" ca="1" si="6">EOMONTH(K4,0)+DAY(FiscalYearStartDate)</f>
        <v>44958</v>
      </c>
      <c r="M4" s="36">
        <f t="shared" ref="M4" ca="1" si="7">EOMONTH(L4,0)+DAY(FiscalYearStartDate)</f>
        <v>44986</v>
      </c>
      <c r="N4" s="36">
        <f t="shared" ref="N4" ca="1" si="8">EOMONTH(M4,0)+DAY(FiscalYearStartDate)</f>
        <v>45017</v>
      </c>
      <c r="O4" s="36">
        <f t="shared" ref="O4" ca="1" si="9">EOMONTH(N4,0)+DAY(FiscalYearStartDate)</f>
        <v>45047</v>
      </c>
      <c r="P4" s="36">
        <f t="shared" ref="P4" ca="1" si="10">EOMONTH(O4,0)+DAY(FiscalYearStartDate)</f>
        <v>45078</v>
      </c>
      <c r="Q4" s="29"/>
      <c r="R4" s="39" t="s">
        <v>4</v>
      </c>
      <c r="S4" s="26"/>
    </row>
    <row r="5" spans="2:19" ht="17.25" customHeight="1" thickTop="1" x14ac:dyDescent="0.3">
      <c r="B5" s="3" t="s">
        <v>9</v>
      </c>
      <c r="C5" s="11"/>
      <c r="Q5" s="18"/>
    </row>
    <row r="6" spans="2:19" ht="17.25" customHeight="1" x14ac:dyDescent="0.3">
      <c r="B6" s="43" t="s">
        <v>10</v>
      </c>
      <c r="C6" s="11"/>
      <c r="D6" s="32"/>
      <c r="E6" s="32">
        <v>400</v>
      </c>
      <c r="F6" s="32"/>
      <c r="G6" s="32">
        <v>226</v>
      </c>
      <c r="H6" s="32"/>
      <c r="I6" s="32"/>
      <c r="J6" s="32"/>
      <c r="K6" s="32"/>
      <c r="L6" s="32"/>
      <c r="M6" s="32"/>
      <c r="N6" s="32"/>
      <c r="O6" s="32"/>
      <c r="P6" s="32"/>
      <c r="Q6" s="23"/>
      <c r="R6" s="33">
        <f>SUM(CashPaidOut[[#This Row],[Period 0]:[Period 12]])</f>
        <v>626</v>
      </c>
      <c r="S6" s="1"/>
    </row>
    <row r="7" spans="2:19" ht="17.25" customHeight="1" x14ac:dyDescent="0.3">
      <c r="B7" s="43" t="s">
        <v>11</v>
      </c>
      <c r="C7" s="11"/>
      <c r="D7" s="32"/>
      <c r="E7" s="32"/>
      <c r="F7" s="32"/>
      <c r="G7" s="32"/>
      <c r="H7" s="32"/>
      <c r="I7" s="32"/>
      <c r="J7" s="32"/>
      <c r="K7" s="32"/>
      <c r="L7" s="32"/>
      <c r="M7" s="32"/>
      <c r="N7" s="32"/>
      <c r="O7" s="32"/>
      <c r="P7" s="32"/>
      <c r="Q7" s="23"/>
      <c r="R7" s="33">
        <f>SUM(CashPaidOut[[#This Row],[Period 0]:[Period 12]])</f>
        <v>0</v>
      </c>
      <c r="S7" s="1"/>
    </row>
    <row r="8" spans="2:19" ht="17.25" customHeight="1" x14ac:dyDescent="0.3">
      <c r="B8" s="43" t="s">
        <v>11</v>
      </c>
      <c r="C8" s="11"/>
      <c r="D8" s="32"/>
      <c r="E8" s="32"/>
      <c r="F8" s="32"/>
      <c r="G8" s="32"/>
      <c r="H8" s="32"/>
      <c r="I8" s="32"/>
      <c r="J8" s="32"/>
      <c r="K8" s="32"/>
      <c r="L8" s="32"/>
      <c r="M8" s="32"/>
      <c r="N8" s="32"/>
      <c r="O8" s="32"/>
      <c r="P8" s="32"/>
      <c r="Q8" s="23"/>
      <c r="R8" s="33">
        <f>SUM(CashPaidOut[[#This Row],[Period 0]:[Period 12]])</f>
        <v>0</v>
      </c>
      <c r="S8" s="1"/>
    </row>
    <row r="9" spans="2:19" ht="17.25" customHeight="1" x14ac:dyDescent="0.3">
      <c r="B9" s="43" t="s">
        <v>12</v>
      </c>
      <c r="C9" s="11"/>
      <c r="D9" s="32"/>
      <c r="E9" s="32"/>
      <c r="F9" s="32"/>
      <c r="G9" s="32"/>
      <c r="H9" s="32"/>
      <c r="I9" s="32"/>
      <c r="J9" s="32"/>
      <c r="K9" s="32"/>
      <c r="L9" s="32"/>
      <c r="M9" s="32"/>
      <c r="N9" s="32"/>
      <c r="O9" s="32"/>
      <c r="P9" s="32"/>
      <c r="Q9" s="23"/>
      <c r="R9" s="33">
        <f>SUM(CashPaidOut[[#This Row],[Period 0]:[Period 12]])</f>
        <v>0</v>
      </c>
      <c r="S9" s="1"/>
    </row>
    <row r="10" spans="2:19" ht="17.25" customHeight="1" x14ac:dyDescent="0.3">
      <c r="B10" s="43" t="s">
        <v>13</v>
      </c>
      <c r="C10" s="11"/>
      <c r="D10" s="32"/>
      <c r="E10" s="32"/>
      <c r="F10" s="32"/>
      <c r="G10" s="32"/>
      <c r="H10" s="32"/>
      <c r="I10" s="32"/>
      <c r="J10" s="32"/>
      <c r="K10" s="32"/>
      <c r="L10" s="32"/>
      <c r="M10" s="32"/>
      <c r="N10" s="32"/>
      <c r="O10" s="32"/>
      <c r="P10" s="32"/>
      <c r="Q10" s="23"/>
      <c r="R10" s="33">
        <f>SUM(CashPaidOut[[#This Row],[Period 0]:[Period 12]])</f>
        <v>0</v>
      </c>
      <c r="S10" s="1"/>
    </row>
    <row r="11" spans="2:19" ht="17.25" customHeight="1" x14ac:dyDescent="0.3">
      <c r="B11" s="43" t="s">
        <v>14</v>
      </c>
      <c r="C11" s="11"/>
      <c r="D11" s="32"/>
      <c r="E11" s="32"/>
      <c r="F11" s="32"/>
      <c r="G11" s="32"/>
      <c r="H11" s="32"/>
      <c r="I11" s="32"/>
      <c r="J11" s="32"/>
      <c r="K11" s="32"/>
      <c r="L11" s="32"/>
      <c r="M11" s="32"/>
      <c r="N11" s="32"/>
      <c r="O11" s="32"/>
      <c r="P11" s="32"/>
      <c r="Q11" s="23"/>
      <c r="R11" s="33">
        <f>SUM(CashPaidOut[[#This Row],[Period 0]:[Period 12]])</f>
        <v>0</v>
      </c>
      <c r="S11" s="1"/>
    </row>
    <row r="12" spans="2:19" ht="17.25" customHeight="1" x14ac:dyDescent="0.3">
      <c r="B12" s="43" t="s">
        <v>38</v>
      </c>
      <c r="C12" s="11"/>
      <c r="D12" s="32"/>
      <c r="E12" s="32"/>
      <c r="F12" s="32"/>
      <c r="G12" s="32"/>
      <c r="H12" s="32"/>
      <c r="I12" s="32"/>
      <c r="J12" s="32"/>
      <c r="K12" s="32"/>
      <c r="L12" s="32"/>
      <c r="M12" s="32"/>
      <c r="N12" s="32"/>
      <c r="O12" s="32"/>
      <c r="P12" s="32"/>
      <c r="Q12" s="23"/>
      <c r="R12" s="33">
        <f>SUM(CashPaidOut[[#This Row],[Period 0]:[Period 12]])</f>
        <v>0</v>
      </c>
      <c r="S12" s="1"/>
    </row>
    <row r="13" spans="2:19" ht="17.25" customHeight="1" x14ac:dyDescent="0.3">
      <c r="B13" s="43" t="s">
        <v>15</v>
      </c>
      <c r="C13" s="11"/>
      <c r="D13" s="32"/>
      <c r="E13" s="32"/>
      <c r="F13" s="32"/>
      <c r="G13" s="32"/>
      <c r="H13" s="32"/>
      <c r="I13" s="32"/>
      <c r="J13" s="32"/>
      <c r="K13" s="32"/>
      <c r="L13" s="32"/>
      <c r="M13" s="32"/>
      <c r="N13" s="32"/>
      <c r="O13" s="32"/>
      <c r="P13" s="32"/>
      <c r="Q13" s="23"/>
      <c r="R13" s="33">
        <f>SUM(CashPaidOut[[#This Row],[Period 0]:[Period 12]])</f>
        <v>0</v>
      </c>
      <c r="S13" s="1"/>
    </row>
    <row r="14" spans="2:19" ht="17.25" customHeight="1" x14ac:dyDescent="0.3">
      <c r="B14" s="43" t="s">
        <v>16</v>
      </c>
      <c r="C14" s="11"/>
      <c r="D14" s="32"/>
      <c r="E14" s="32"/>
      <c r="F14" s="32"/>
      <c r="G14" s="32"/>
      <c r="H14" s="32"/>
      <c r="I14" s="32"/>
      <c r="J14" s="32"/>
      <c r="K14" s="32"/>
      <c r="L14" s="32"/>
      <c r="M14" s="32"/>
      <c r="N14" s="32"/>
      <c r="O14" s="32"/>
      <c r="P14" s="32"/>
      <c r="Q14" s="23"/>
      <c r="R14" s="33">
        <f>SUM(CashPaidOut[[#This Row],[Period 0]:[Period 12]])</f>
        <v>0</v>
      </c>
      <c r="S14" s="1"/>
    </row>
    <row r="15" spans="2:19" ht="17.25" customHeight="1" x14ac:dyDescent="0.3">
      <c r="B15" s="43" t="s">
        <v>17</v>
      </c>
      <c r="C15" s="11"/>
      <c r="D15" s="32"/>
      <c r="E15" s="32"/>
      <c r="F15" s="32"/>
      <c r="G15" s="32"/>
      <c r="H15" s="32"/>
      <c r="I15" s="32"/>
      <c r="J15" s="32"/>
      <c r="K15" s="32"/>
      <c r="L15" s="32"/>
      <c r="M15" s="32"/>
      <c r="N15" s="32"/>
      <c r="O15" s="32"/>
      <c r="P15" s="32"/>
      <c r="Q15" s="23"/>
      <c r="R15" s="33">
        <f>SUM(CashPaidOut[[#This Row],[Period 0]:[Period 12]])</f>
        <v>0</v>
      </c>
      <c r="S15" s="1"/>
    </row>
    <row r="16" spans="2:19" ht="17.25" customHeight="1" x14ac:dyDescent="0.3">
      <c r="B16" s="43" t="s">
        <v>18</v>
      </c>
      <c r="C16" s="11"/>
      <c r="D16" s="32"/>
      <c r="E16" s="32"/>
      <c r="F16" s="32"/>
      <c r="G16" s="32"/>
      <c r="H16" s="32"/>
      <c r="I16" s="32"/>
      <c r="J16" s="32"/>
      <c r="K16" s="32"/>
      <c r="L16" s="32"/>
      <c r="M16" s="32"/>
      <c r="N16" s="32"/>
      <c r="O16" s="32"/>
      <c r="P16" s="32"/>
      <c r="Q16" s="23"/>
      <c r="R16" s="33">
        <f>SUM(CashPaidOut[[#This Row],[Period 0]:[Period 12]])</f>
        <v>0</v>
      </c>
      <c r="S16" s="1"/>
    </row>
    <row r="17" spans="2:19" ht="17.25" customHeight="1" x14ac:dyDescent="0.3">
      <c r="B17" s="43" t="s">
        <v>19</v>
      </c>
      <c r="C17" s="11"/>
      <c r="D17" s="32"/>
      <c r="E17" s="32"/>
      <c r="F17" s="32"/>
      <c r="G17" s="32"/>
      <c r="H17" s="32"/>
      <c r="I17" s="32"/>
      <c r="J17" s="32"/>
      <c r="K17" s="32"/>
      <c r="L17" s="32"/>
      <c r="M17" s="32"/>
      <c r="N17" s="32"/>
      <c r="O17" s="32"/>
      <c r="P17" s="32"/>
      <c r="Q17" s="23"/>
      <c r="R17" s="33">
        <f>SUM(CashPaidOut[[#This Row],[Period 0]:[Period 12]])</f>
        <v>0</v>
      </c>
      <c r="S17" s="1"/>
    </row>
    <row r="18" spans="2:19" ht="17.25" customHeight="1" x14ac:dyDescent="0.3">
      <c r="B18" s="43" t="s">
        <v>20</v>
      </c>
      <c r="C18" s="11"/>
      <c r="D18" s="32"/>
      <c r="E18" s="32"/>
      <c r="F18" s="32"/>
      <c r="G18" s="32"/>
      <c r="H18" s="32"/>
      <c r="I18" s="32"/>
      <c r="J18" s="32"/>
      <c r="K18" s="32"/>
      <c r="L18" s="32"/>
      <c r="M18" s="32"/>
      <c r="N18" s="32"/>
      <c r="O18" s="32"/>
      <c r="P18" s="32"/>
      <c r="Q18" s="23"/>
      <c r="R18" s="33">
        <f>SUM(CashPaidOut[[#This Row],[Period 0]:[Period 12]])</f>
        <v>0</v>
      </c>
      <c r="S18" s="1"/>
    </row>
    <row r="19" spans="2:19" ht="17.25" customHeight="1" x14ac:dyDescent="0.3">
      <c r="B19" s="43" t="s">
        <v>21</v>
      </c>
      <c r="C19" s="11"/>
      <c r="D19" s="32"/>
      <c r="E19" s="32"/>
      <c r="F19" s="32"/>
      <c r="G19" s="32"/>
      <c r="H19" s="32"/>
      <c r="I19" s="32"/>
      <c r="J19" s="32"/>
      <c r="K19" s="32"/>
      <c r="L19" s="32"/>
      <c r="M19" s="32"/>
      <c r="N19" s="32"/>
      <c r="O19" s="32"/>
      <c r="P19" s="32"/>
      <c r="Q19" s="23"/>
      <c r="R19" s="33">
        <f>SUM(CashPaidOut[[#This Row],[Period 0]:[Period 12]])</f>
        <v>0</v>
      </c>
      <c r="S19" s="1"/>
    </row>
    <row r="20" spans="2:19" ht="17.25" customHeight="1" x14ac:dyDescent="0.3">
      <c r="B20" s="43" t="s">
        <v>22</v>
      </c>
      <c r="C20" s="11"/>
      <c r="D20" s="32"/>
      <c r="E20" s="32"/>
      <c r="F20" s="32"/>
      <c r="G20" s="32"/>
      <c r="H20" s="32"/>
      <c r="I20" s="32"/>
      <c r="J20" s="32"/>
      <c r="K20" s="32"/>
      <c r="L20" s="32"/>
      <c r="M20" s="32"/>
      <c r="N20" s="32"/>
      <c r="O20" s="32"/>
      <c r="P20" s="32"/>
      <c r="Q20" s="23"/>
      <c r="R20" s="33">
        <f>SUM(CashPaidOut[[#This Row],[Period 0]:[Period 12]])</f>
        <v>0</v>
      </c>
      <c r="S20" s="1"/>
    </row>
    <row r="21" spans="2:19" ht="17.25" customHeight="1" x14ac:dyDescent="0.3">
      <c r="B21" s="43" t="s">
        <v>23</v>
      </c>
      <c r="C21" s="11"/>
      <c r="D21" s="32"/>
      <c r="E21" s="32"/>
      <c r="F21" s="32"/>
      <c r="G21" s="32"/>
      <c r="H21" s="32"/>
      <c r="I21" s="32"/>
      <c r="J21" s="32"/>
      <c r="K21" s="32"/>
      <c r="L21" s="32"/>
      <c r="M21" s="32"/>
      <c r="N21" s="32"/>
      <c r="O21" s="32"/>
      <c r="P21" s="32"/>
      <c r="Q21" s="23"/>
      <c r="R21" s="33">
        <f>SUM(CashPaidOut[[#This Row],[Period 0]:[Period 12]])</f>
        <v>0</v>
      </c>
      <c r="S21" s="1"/>
    </row>
    <row r="22" spans="2:19" ht="17.25" customHeight="1" x14ac:dyDescent="0.3">
      <c r="B22" s="43" t="s">
        <v>24</v>
      </c>
      <c r="C22" s="11"/>
      <c r="D22" s="32"/>
      <c r="E22" s="32"/>
      <c r="F22" s="32"/>
      <c r="G22" s="32"/>
      <c r="H22" s="32"/>
      <c r="I22" s="32"/>
      <c r="J22" s="32"/>
      <c r="K22" s="32"/>
      <c r="L22" s="32"/>
      <c r="M22" s="32"/>
      <c r="N22" s="32"/>
      <c r="O22" s="32"/>
      <c r="P22" s="32"/>
      <c r="Q22" s="23"/>
      <c r="R22" s="33">
        <f>SUM(CashPaidOut[[#This Row],[Period 0]:[Period 12]])</f>
        <v>0</v>
      </c>
      <c r="S22" s="1"/>
    </row>
    <row r="23" spans="2:19" ht="17.25" customHeight="1" x14ac:dyDescent="0.3">
      <c r="B23" s="43" t="s">
        <v>25</v>
      </c>
      <c r="C23" s="11"/>
      <c r="D23" s="32"/>
      <c r="E23" s="32"/>
      <c r="F23" s="32"/>
      <c r="G23" s="32"/>
      <c r="H23" s="32"/>
      <c r="I23" s="32"/>
      <c r="J23" s="32"/>
      <c r="K23" s="32"/>
      <c r="L23" s="32"/>
      <c r="M23" s="32"/>
      <c r="N23" s="32"/>
      <c r="O23" s="32"/>
      <c r="P23" s="32"/>
      <c r="Q23" s="23"/>
      <c r="R23" s="33">
        <f>SUM(CashPaidOut[[#This Row],[Period 0]:[Period 12]])</f>
        <v>0</v>
      </c>
      <c r="S23" s="1"/>
    </row>
    <row r="24" spans="2:19" ht="17.25" customHeight="1" x14ac:dyDescent="0.3">
      <c r="B24" s="43" t="s">
        <v>26</v>
      </c>
      <c r="C24" s="11"/>
      <c r="D24" s="32"/>
      <c r="E24" s="32"/>
      <c r="F24" s="32"/>
      <c r="G24" s="32"/>
      <c r="H24" s="32"/>
      <c r="I24" s="32"/>
      <c r="J24" s="32"/>
      <c r="K24" s="32"/>
      <c r="L24" s="32"/>
      <c r="M24" s="32"/>
      <c r="N24" s="32"/>
      <c r="O24" s="32"/>
      <c r="P24" s="32"/>
      <c r="Q24" s="23"/>
      <c r="R24" s="33">
        <f>SUM(CashPaidOut[[#This Row],[Period 0]:[Period 12]])</f>
        <v>0</v>
      </c>
      <c r="S24" s="1"/>
    </row>
    <row r="25" spans="2:19" ht="17.25" customHeight="1" x14ac:dyDescent="0.3">
      <c r="B25" s="43" t="s">
        <v>26</v>
      </c>
      <c r="C25" s="11"/>
      <c r="D25" s="32"/>
      <c r="E25" s="32"/>
      <c r="F25" s="32"/>
      <c r="G25" s="32"/>
      <c r="H25" s="32"/>
      <c r="I25" s="32"/>
      <c r="J25" s="32"/>
      <c r="K25" s="32"/>
      <c r="L25" s="32"/>
      <c r="M25" s="32"/>
      <c r="N25" s="32"/>
      <c r="O25" s="32"/>
      <c r="P25" s="32"/>
      <c r="Q25" s="23"/>
      <c r="R25" s="33">
        <f>SUM(CashPaidOut[[#This Row],[Period 0]:[Period 12]])</f>
        <v>0</v>
      </c>
      <c r="S25" s="1"/>
    </row>
    <row r="26" spans="2:19" ht="17.25" customHeight="1" x14ac:dyDescent="0.3">
      <c r="B26" s="43" t="s">
        <v>27</v>
      </c>
      <c r="C26" s="11"/>
      <c r="D26" s="32"/>
      <c r="E26" s="32"/>
      <c r="F26" s="32"/>
      <c r="G26" s="32"/>
      <c r="H26" s="32"/>
      <c r="I26" s="32"/>
      <c r="J26" s="32"/>
      <c r="K26" s="32"/>
      <c r="L26" s="32"/>
      <c r="M26" s="32"/>
      <c r="N26" s="32"/>
      <c r="O26" s="32"/>
      <c r="P26" s="32"/>
      <c r="Q26" s="23"/>
      <c r="R26" s="33">
        <f>SUM(CashPaidOut[[#This Row],[Period 0]:[Period 12]])</f>
        <v>0</v>
      </c>
      <c r="S26" s="1"/>
    </row>
    <row r="27" spans="2:19" ht="17.25" customHeight="1" x14ac:dyDescent="0.3">
      <c r="B27" s="4" t="s">
        <v>2</v>
      </c>
      <c r="C27" s="11"/>
      <c r="D27" s="16">
        <f>SUBTOTAL(109,CashPaidOut[Period 0])</f>
        <v>0</v>
      </c>
      <c r="E27" s="16">
        <f>SUBTOTAL(109,CashPaidOut[Period 1])</f>
        <v>400</v>
      </c>
      <c r="F27" s="16">
        <f>SUBTOTAL(109,CashPaidOut[Period 2])</f>
        <v>0</v>
      </c>
      <c r="G27" s="16">
        <f>SUBTOTAL(109,CashPaidOut[Period 3])</f>
        <v>226</v>
      </c>
      <c r="H27" s="16">
        <f>SUBTOTAL(109,CashPaidOut[Period 4])</f>
        <v>0</v>
      </c>
      <c r="I27" s="16">
        <f>SUBTOTAL(109,CashPaidOut[Period 5])</f>
        <v>0</v>
      </c>
      <c r="J27" s="16">
        <f>SUBTOTAL(109,CashPaidOut[Period 6])</f>
        <v>0</v>
      </c>
      <c r="K27" s="16">
        <f>SUBTOTAL(109,CashPaidOut[Period 7])</f>
        <v>0</v>
      </c>
      <c r="L27" s="16">
        <f>SUBTOTAL(109,CashPaidOut[Period 8])</f>
        <v>0</v>
      </c>
      <c r="M27" s="16">
        <f>SUBTOTAL(109,CashPaidOut[Period 9])</f>
        <v>0</v>
      </c>
      <c r="N27" s="16">
        <f>SUBTOTAL(109,CashPaidOut[Period 10])</f>
        <v>0</v>
      </c>
      <c r="O27" s="16">
        <f>SUBTOTAL(109,CashPaidOut[Period 11])</f>
        <v>0</v>
      </c>
      <c r="P27" s="16">
        <f>SUBTOTAL(109,CashPaidOut[Period 12])</f>
        <v>0</v>
      </c>
      <c r="Q27" s="19"/>
      <c r="R27" s="16">
        <f>SUBTOTAL(109,CashPaidOut[Total])</f>
        <v>626</v>
      </c>
      <c r="S27" s="7"/>
    </row>
  </sheetData>
  <mergeCells count="1">
    <mergeCell ref="B1:S1"/>
  </mergeCells>
  <dataValidations count="4">
    <dataValidation allowBlank="1" showInputMessage="1" showErrorMessage="1" prompt="Create a list of Cash Paid Out items for each month in Cash Paid Out table starting in cell B6 in this worksheet" sqref="A1"/>
    <dataValidation allowBlank="1" showInputMessage="1" showErrorMessage="1" prompt="Title of this worksheet is in this cell, labels of Pre Startup Estimated in D3 and D4, and Total Item Estimated in R3 and R4" sqref="B1:S1"/>
    <dataValidation allowBlank="1" showInputMessage="1" showErrorMessage="1" prompt="Modify Cash Paid Out labels in table column below and Pre Startup and each month amount in table. Total Item Estimated is automatically calculated and trendline updated at the end" sqref="B5"/>
    <dataValidation allowBlank="1" sqref="A3:XFD4"/>
  </dataValidations>
  <printOptions horizontalCentered="1" verticalCentered="1"/>
  <pageMargins left="0.5" right="0.5" top="0.5" bottom="0.5" header="0.3" footer="0.3"/>
  <pageSetup scale="59" orientation="landscape" r:id="rId1"/>
  <ignoredErrors>
    <ignoredError sqref="R6:R26" emptyCellReference="1"/>
  </ignoredErrors>
  <tableParts count="1">
    <tablePart r:id="rId2"/>
  </tableParts>
  <extLst>
    <ext xmlns:x14="http://schemas.microsoft.com/office/spreadsheetml/2009/9/main" uri="{05C60535-1F16-4fd2-B633-F4F36F0B64E0}">
      <x14:sparklineGroups xmlns:xm="http://schemas.microsoft.com/office/excel/2006/main">
        <x14:sparklineGroup displayEmptyCellsAs="gap" markers="1">
          <x14:colorSeries theme="0" tint="-0.34998626667073579"/>
          <x14:colorNegative theme="9"/>
          <x14:colorAxis rgb="FF000000"/>
          <x14:colorMarkers theme="9"/>
          <x14:colorFirst theme="4"/>
          <x14:colorLast theme="5"/>
          <x14:colorHigh theme="6"/>
          <x14:colorLow theme="7"/>
          <x14:sparklines>
            <x14:sparkline>
              <xm:f>'Cash Paid Out'!D27:P27</xm:f>
              <xm:sqref>S27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B1:S13"/>
  <sheetViews>
    <sheetView showGridLines="0" tabSelected="1" zoomScaleNormal="100" workbookViewId="0">
      <pane ySplit="4" topLeftCell="A5" activePane="bottomLeft" state="frozen"/>
      <selection activeCell="D2" sqref="D2:P2"/>
      <selection pane="bottomLeft" activeCell="D15" sqref="D15"/>
    </sheetView>
  </sheetViews>
  <sheetFormatPr defaultRowHeight="17.25" customHeight="1" x14ac:dyDescent="0.3"/>
  <cols>
    <col min="1" max="1" width="2.5546875" customWidth="1"/>
    <col min="2" max="2" width="36" customWidth="1"/>
    <col min="3" max="3" width="3" customWidth="1"/>
    <col min="4" max="4" width="9.44140625" customWidth="1"/>
    <col min="5" max="16" width="12.21875" customWidth="1"/>
    <col min="17" max="17" width="3" style="22" customWidth="1"/>
    <col min="18" max="18" width="10.77734375" customWidth="1"/>
  </cols>
  <sheetData>
    <row r="1" spans="2:19" ht="42" customHeight="1" thickBot="1" x14ac:dyDescent="0.75">
      <c r="B1" s="63" t="s">
        <v>40</v>
      </c>
      <c r="C1" s="63"/>
      <c r="D1" s="63"/>
      <c r="E1" s="63"/>
      <c r="F1" s="63"/>
      <c r="G1" s="63"/>
      <c r="H1" s="63"/>
      <c r="I1" s="63"/>
      <c r="J1" s="63"/>
      <c r="K1" s="63"/>
      <c r="L1" s="63"/>
      <c r="M1" s="63"/>
      <c r="N1" s="63"/>
      <c r="O1" s="63"/>
      <c r="P1" s="63"/>
      <c r="Q1" s="63"/>
      <c r="R1" s="63"/>
      <c r="S1" s="63"/>
    </row>
    <row r="2" spans="2:19" ht="22.5" customHeight="1" thickTop="1" x14ac:dyDescent="0.3">
      <c r="Q2" s="17"/>
    </row>
    <row r="3" spans="2:19" ht="30" customHeight="1" x14ac:dyDescent="0.35">
      <c r="B3" s="14" t="s">
        <v>0</v>
      </c>
      <c r="D3" s="39" t="s">
        <v>1</v>
      </c>
      <c r="E3" s="13" t="str">
        <f ca="1">UPPER(TEXT(FiscalYearStartDate,"mmm"))</f>
        <v>JUL</v>
      </c>
      <c r="F3" s="13" t="str">
        <f ca="1">UPPER(TEXT(EOMONTH(FiscalYearStartDate,1),"mmm"))</f>
        <v>AUG</v>
      </c>
      <c r="G3" s="13" t="str">
        <f ca="1">UPPER(TEXT(EOMONTH(FiscalYearStartDate,2),"mmm"))</f>
        <v>SEP</v>
      </c>
      <c r="H3" s="13" t="str">
        <f ca="1">UPPER(TEXT(EOMONTH(FiscalYearStartDate,3),"mmm"))</f>
        <v>OCT</v>
      </c>
      <c r="I3" s="13" t="str">
        <f ca="1">UPPER(TEXT(EOMONTH(FiscalYearStartDate,4),"mmm"))</f>
        <v>NOV</v>
      </c>
      <c r="J3" s="13" t="str">
        <f ca="1">UPPER(TEXT(EOMONTH(FiscalYearStartDate,5),"mmm"))</f>
        <v>DEC</v>
      </c>
      <c r="K3" s="13" t="str">
        <f ca="1">UPPER(TEXT(EOMONTH(FiscalYearStartDate,6),"mmm"))</f>
        <v>JAN</v>
      </c>
      <c r="L3" s="13" t="str">
        <f ca="1">UPPER(TEXT(EOMONTH(FiscalYearStartDate,7),"mmm"))</f>
        <v>FEB</v>
      </c>
      <c r="M3" s="13" t="str">
        <f ca="1">UPPER(TEXT(EOMONTH(FiscalYearStartDate,8),"mmm"))</f>
        <v>MAR</v>
      </c>
      <c r="N3" s="13" t="str">
        <f ca="1">UPPER(TEXT(EOMONTH(FiscalYearStartDate,9),"mmm"))</f>
        <v>APR</v>
      </c>
      <c r="O3" s="13" t="str">
        <f ca="1">UPPER(TEXT(EOMONTH(FiscalYearStartDate,10),"mmm"))</f>
        <v>MAY</v>
      </c>
      <c r="P3" s="13" t="str">
        <f ca="1">UPPER(TEXT(EOMONTH(FiscalYearStartDate,11),"mmm"))</f>
        <v>JUN</v>
      </c>
      <c r="Q3" s="37"/>
      <c r="R3" s="38" t="s">
        <v>2</v>
      </c>
      <c r="S3" s="2"/>
    </row>
    <row r="4" spans="2:19" s="25" customFormat="1" ht="16.5" customHeight="1" thickBot="1" x14ac:dyDescent="0.35">
      <c r="B4" s="24">
        <f ca="1">'Cash Receipts'!FiscalYearStartDate</f>
        <v>44743</v>
      </c>
      <c r="D4" s="35" t="s">
        <v>3</v>
      </c>
      <c r="E4" s="36">
        <f ca="1">FiscalYearStartDate</f>
        <v>44743</v>
      </c>
      <c r="F4" s="36">
        <f t="shared" ref="F4" ca="1" si="0">EOMONTH(E4,0)+DAY(FiscalYearStartDate)</f>
        <v>44774</v>
      </c>
      <c r="G4" s="36">
        <f t="shared" ref="G4" ca="1" si="1">EOMONTH(F4,0)+DAY(FiscalYearStartDate)</f>
        <v>44805</v>
      </c>
      <c r="H4" s="36">
        <f t="shared" ref="H4" ca="1" si="2">EOMONTH(G4,0)+DAY(FiscalYearStartDate)</f>
        <v>44835</v>
      </c>
      <c r="I4" s="36">
        <f t="shared" ref="I4" ca="1" si="3">EOMONTH(H4,0)+DAY(FiscalYearStartDate)</f>
        <v>44866</v>
      </c>
      <c r="J4" s="36">
        <f t="shared" ref="J4" ca="1" si="4">EOMONTH(I4,0)+DAY(FiscalYearStartDate)</f>
        <v>44896</v>
      </c>
      <c r="K4" s="36">
        <f t="shared" ref="K4" ca="1" si="5">EOMONTH(J4,0)+DAY(FiscalYearStartDate)</f>
        <v>44927</v>
      </c>
      <c r="L4" s="36">
        <f t="shared" ref="L4" ca="1" si="6">EOMONTH(K4,0)+DAY(FiscalYearStartDate)</f>
        <v>44958</v>
      </c>
      <c r="M4" s="36">
        <f t="shared" ref="M4" ca="1" si="7">EOMONTH(L4,0)+DAY(FiscalYearStartDate)</f>
        <v>44986</v>
      </c>
      <c r="N4" s="36">
        <f t="shared" ref="N4" ca="1" si="8">EOMONTH(M4,0)+DAY(FiscalYearStartDate)</f>
        <v>45017</v>
      </c>
      <c r="O4" s="36">
        <f t="shared" ref="O4" ca="1" si="9">EOMONTH(N4,0)+DAY(FiscalYearStartDate)</f>
        <v>45047</v>
      </c>
      <c r="P4" s="36">
        <f t="shared" ref="P4" ca="1" si="10">EOMONTH(O4,0)+DAY(FiscalYearStartDate)</f>
        <v>45078</v>
      </c>
      <c r="Q4" s="29"/>
      <c r="R4" s="39" t="s">
        <v>4</v>
      </c>
      <c r="S4" s="26"/>
    </row>
    <row r="5" spans="2:19" s="8" customFormat="1" ht="17.25" customHeight="1" thickTop="1" x14ac:dyDescent="0.3">
      <c r="B5" s="3" t="s">
        <v>28</v>
      </c>
      <c r="C5" s="9"/>
      <c r="D5"/>
      <c r="E5"/>
      <c r="F5"/>
      <c r="G5"/>
      <c r="H5"/>
      <c r="I5"/>
      <c r="J5"/>
      <c r="K5"/>
      <c r="L5"/>
      <c r="M5"/>
      <c r="N5"/>
      <c r="O5"/>
      <c r="P5"/>
      <c r="Q5" s="18"/>
      <c r="R5"/>
      <c r="S5"/>
    </row>
    <row r="6" spans="2:19" ht="17.25" customHeight="1" x14ac:dyDescent="0.3">
      <c r="B6" s="43" t="s">
        <v>29</v>
      </c>
      <c r="C6" s="11"/>
      <c r="D6" s="42"/>
      <c r="E6" s="42"/>
      <c r="F6" s="42"/>
      <c r="G6" s="42"/>
      <c r="H6" s="42"/>
      <c r="I6" s="42"/>
      <c r="J6" s="42"/>
      <c r="K6" s="42"/>
      <c r="L6" s="42"/>
      <c r="M6" s="42"/>
      <c r="N6" s="42"/>
      <c r="O6" s="42"/>
      <c r="P6" s="42"/>
      <c r="Q6" s="23"/>
      <c r="R6" s="33">
        <f>SUM(CashPaid[[#This Row],[Period 0]:[Period 12]])</f>
        <v>0</v>
      </c>
      <c r="S6" s="1"/>
    </row>
    <row r="7" spans="2:19" ht="17.25" customHeight="1" x14ac:dyDescent="0.3">
      <c r="B7" s="43" t="s">
        <v>30</v>
      </c>
      <c r="C7" s="11"/>
      <c r="D7" s="42"/>
      <c r="E7" s="42"/>
      <c r="F7" s="42"/>
      <c r="G7" s="42"/>
      <c r="H7" s="42"/>
      <c r="I7" s="42"/>
      <c r="J7" s="42"/>
      <c r="K7" s="42"/>
      <c r="L7" s="42"/>
      <c r="M7" s="42"/>
      <c r="N7" s="42"/>
      <c r="O7" s="42"/>
      <c r="P7" s="42"/>
      <c r="Q7" s="23"/>
      <c r="R7" s="33">
        <f>SUM(CashPaid[[#This Row],[Period 0]:[Period 12]])</f>
        <v>0</v>
      </c>
      <c r="S7" s="1"/>
    </row>
    <row r="8" spans="2:19" ht="17.25" customHeight="1" x14ac:dyDescent="0.3">
      <c r="B8" s="43" t="s">
        <v>31</v>
      </c>
      <c r="C8" s="11"/>
      <c r="D8" s="42"/>
      <c r="E8" s="42"/>
      <c r="F8" s="42"/>
      <c r="G8" s="42"/>
      <c r="H8" s="42"/>
      <c r="I8" s="42"/>
      <c r="J8" s="42"/>
      <c r="K8" s="42"/>
      <c r="L8" s="42"/>
      <c r="M8" s="42"/>
      <c r="N8" s="42"/>
      <c r="O8" s="42"/>
      <c r="P8" s="42"/>
      <c r="Q8" s="23"/>
      <c r="R8" s="33">
        <f>SUM(CashPaid[[#This Row],[Period 0]:[Period 12]])</f>
        <v>0</v>
      </c>
      <c r="S8" s="1"/>
    </row>
    <row r="9" spans="2:19" ht="17.25" customHeight="1" x14ac:dyDescent="0.3">
      <c r="B9" s="43" t="s">
        <v>32</v>
      </c>
      <c r="C9" s="11"/>
      <c r="D9" s="42"/>
      <c r="E9" s="42"/>
      <c r="F9" s="42"/>
      <c r="G9" s="42"/>
      <c r="H9" s="42"/>
      <c r="I9" s="42"/>
      <c r="J9" s="42"/>
      <c r="K9" s="42"/>
      <c r="L9" s="42"/>
      <c r="M9" s="42"/>
      <c r="N9" s="42"/>
      <c r="O9" s="42"/>
      <c r="P9" s="42"/>
      <c r="Q9" s="23"/>
      <c r="R9" s="33">
        <f>SUM(CashPaid[[#This Row],[Period 0]:[Period 12]])</f>
        <v>0</v>
      </c>
      <c r="S9" s="1"/>
    </row>
    <row r="10" spans="2:19" ht="17.25" customHeight="1" x14ac:dyDescent="0.3">
      <c r="B10" s="43" t="s">
        <v>33</v>
      </c>
      <c r="C10" s="11"/>
      <c r="D10" s="42"/>
      <c r="E10" s="42"/>
      <c r="F10" s="42"/>
      <c r="G10" s="42"/>
      <c r="H10" s="42"/>
      <c r="I10" s="42"/>
      <c r="J10" s="42"/>
      <c r="K10" s="42"/>
      <c r="L10" s="42"/>
      <c r="M10" s="42"/>
      <c r="N10" s="42"/>
      <c r="O10" s="42"/>
      <c r="P10" s="42"/>
      <c r="Q10" s="23"/>
      <c r="R10" s="33">
        <f>SUM(CashPaid[[#This Row],[Period 0]:[Period 12]])</f>
        <v>0</v>
      </c>
      <c r="S10" s="1"/>
    </row>
    <row r="11" spans="2:19" ht="17.25" customHeight="1" x14ac:dyDescent="0.3">
      <c r="B11" s="4" t="s">
        <v>2</v>
      </c>
      <c r="C11" s="11"/>
      <c r="D11" s="16">
        <f>SUBTOTAL(109,CashPaid[Period 0])</f>
        <v>0</v>
      </c>
      <c r="E11" s="16">
        <f>SUBTOTAL(109,CashPaid[Period 1])</f>
        <v>0</v>
      </c>
      <c r="F11" s="16">
        <f>SUBTOTAL(109,CashPaid[Period 2])</f>
        <v>0</v>
      </c>
      <c r="G11" s="16">
        <f>SUBTOTAL(109,CashPaid[Period 3])</f>
        <v>0</v>
      </c>
      <c r="H11" s="16">
        <f>SUBTOTAL(109,CashPaid[Period 4])</f>
        <v>0</v>
      </c>
      <c r="I11" s="16">
        <f>SUBTOTAL(109,CashPaid[Period 5])</f>
        <v>0</v>
      </c>
      <c r="J11" s="16">
        <f>SUBTOTAL(109,CashPaid[Period 6])</f>
        <v>0</v>
      </c>
      <c r="K11" s="16">
        <f>SUBTOTAL(109,CashPaid[Period 7])</f>
        <v>0</v>
      </c>
      <c r="L11" s="16">
        <f>SUBTOTAL(109,CashPaid[Period 8])</f>
        <v>0</v>
      </c>
      <c r="M11" s="16">
        <f>SUBTOTAL(109,CashPaid[Period 9])</f>
        <v>0</v>
      </c>
      <c r="N11" s="16">
        <f>SUBTOTAL(109,CashPaid[Period 10])</f>
        <v>0</v>
      </c>
      <c r="O11" s="16">
        <f>SUBTOTAL(109,CashPaid[Period 11])</f>
        <v>0</v>
      </c>
      <c r="P11" s="16">
        <f>SUBTOTAL(109,CashPaid[Period 12])</f>
        <v>0</v>
      </c>
      <c r="Q11" s="20"/>
      <c r="R11" s="16">
        <f>SUBTOTAL(109,CashPaid[Total])</f>
        <v>0</v>
      </c>
      <c r="S11" s="5"/>
    </row>
    <row r="12" spans="2:19" ht="17.25" customHeight="1" thickBot="1" x14ac:dyDescent="0.35">
      <c r="B12" s="49" t="s">
        <v>34</v>
      </c>
      <c r="C12" s="9"/>
      <c r="D12" s="47">
        <f>SUM(CashPaidOut[Period 0],CashPaid[Period 0])</f>
        <v>0</v>
      </c>
      <c r="E12" s="47">
        <f>SUM(CashPaidOut[Period 1],CashPaid[Period 1])</f>
        <v>400</v>
      </c>
      <c r="F12" s="47">
        <f>SUM(CashPaidOut[Period 2],CashPaid[Period 2])</f>
        <v>0</v>
      </c>
      <c r="G12" s="47">
        <f>SUM(CashPaidOut[Period 3],CashPaid[Period 3])</f>
        <v>226</v>
      </c>
      <c r="H12" s="47">
        <f>SUM(CashPaidOut[Period 4],CashPaid[Period 4])</f>
        <v>0</v>
      </c>
      <c r="I12" s="47">
        <f>SUM(CashPaidOut[Period 5],CashPaid[Period 5])</f>
        <v>0</v>
      </c>
      <c r="J12" s="47">
        <f>SUM(CashPaidOut[Period 6],CashPaid[Period 6])</f>
        <v>0</v>
      </c>
      <c r="K12" s="47">
        <f>SUM(CashPaidOut[Period 7],CashPaid[Period 7])</f>
        <v>0</v>
      </c>
      <c r="L12" s="47">
        <f>SUM(CashPaidOut[Period 8],CashPaid[Period 8])</f>
        <v>0</v>
      </c>
      <c r="M12" s="47">
        <f>SUM(CashPaidOut[Period 9],CashPaid[Period 9])</f>
        <v>0</v>
      </c>
      <c r="N12" s="47">
        <f>SUM(CashPaidOut[Period 10],CashPaid[Period 10])</f>
        <v>0</v>
      </c>
      <c r="O12" s="47">
        <f>SUM(CashPaidOut[Period 11],CashPaid[Period 11])</f>
        <v>0</v>
      </c>
      <c r="P12" s="47">
        <f>SUM(CashPaidOut[Period 12],CashPaid[Period 12])</f>
        <v>0</v>
      </c>
      <c r="Q12" s="21"/>
      <c r="R12" s="47">
        <f>SUM(CashPaidOut[Total],CashPaid[Total])</f>
        <v>626</v>
      </c>
      <c r="S12" s="48"/>
    </row>
    <row r="13" spans="2:19" s="6" customFormat="1" ht="17.25" customHeight="1" x14ac:dyDescent="0.3"/>
  </sheetData>
  <mergeCells count="1">
    <mergeCell ref="B1:S1"/>
  </mergeCells>
  <dataValidations count="5">
    <dataValidation allowBlank="1" showInputMessage="1" showErrorMessage="1" prompt="Create a list of Cash Paid Out – Non Profit &amp; Loss items for each month in Cash Paid table starting in cell B6 in this worksheet" sqref="A1"/>
    <dataValidation allowBlank="1" showInputMessage="1" showErrorMessage="1" prompt="Title of this worksheet is in this cell, labels of Pre Startup Estimated in D3 and D4, and Total Item Estimated in R3 and R4" sqref="B1:S1"/>
    <dataValidation allowBlank="1" showInputMessage="1" showErrorMessage="1" prompt="Modify labels in table column below and enter amounts for Pre Startup and each month in table. Total Item Estimated is automatically calculated and trendline updated at the end" sqref="B5"/>
    <dataValidation allowBlank="1" showInputMessage="1" showErrorMessage="1" prompt="Total Cash Paid Out amount for each month and trendline are automatically updated in cells at right " sqref="B12"/>
    <dataValidation allowBlank="1" showErrorMessage="1" sqref="A2:XFD4"/>
  </dataValidations>
  <printOptions horizontalCentered="1" verticalCentered="1"/>
  <pageMargins left="0.5" right="0.5" top="0.5" bottom="0.5" header="0.3" footer="0.3"/>
  <pageSetup scale="59" orientation="landscape" r:id="rId1"/>
  <ignoredErrors>
    <ignoredError sqref="R6:R10 D12:P12" emptyCellReference="1"/>
  </ignoredErrors>
  <tableParts count="1">
    <tablePart r:id="rId2"/>
  </tableParts>
  <extLst>
    <ext xmlns:x14="http://schemas.microsoft.com/office/spreadsheetml/2009/9/main" uri="{05C60535-1F16-4fd2-B633-F4F36F0B64E0}">
      <x14:sparklineGroups xmlns:xm="http://schemas.microsoft.com/office/excel/2006/main">
        <x14:sparklineGroup displayEmptyCellsAs="gap" markers="1">
          <x14:colorSeries theme="0" tint="-0.34998626667073579"/>
          <x14:colorNegative theme="9"/>
          <x14:colorAxis rgb="FF000000"/>
          <x14:colorMarkers theme="9"/>
          <x14:colorFirst theme="4"/>
          <x14:colorLast theme="5"/>
          <x14:colorHigh theme="6"/>
          <x14:colorLow theme="7"/>
          <x14:sparklines>
            <x14:sparkline>
              <xm:f>'Cash Paid Out (Non P&amp;L)'!D11:P11</xm:f>
              <xm:sqref>S11</xm:sqref>
            </x14:sparkline>
            <x14:sparkline>
              <xm:f>'Cash Paid Out (Non P&amp;L)'!D12:P12</xm:f>
              <xm:sqref>S12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Cash Receipts</vt:lpstr>
      <vt:lpstr>Cash Paid Out</vt:lpstr>
      <vt:lpstr>Cash Paid Out (Non P&amp;L)</vt:lpstr>
      <vt:lpstr>'Cash Paid Out'!FiscalYearStartDate</vt:lpstr>
      <vt:lpstr>'Cash Paid Out (Non P&amp;L)'!FiscalYearStartDate</vt:lpstr>
      <vt:lpstr>'Cash Receipts'!FiscalYearStartDate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Jamshaid Ali</dc:creator>
  <cp:lastModifiedBy>Windows User</cp:lastModifiedBy>
  <dcterms:created xsi:type="dcterms:W3CDTF">2018-03-27T13:04:53Z</dcterms:created>
  <dcterms:modified xsi:type="dcterms:W3CDTF">2022-08-12T22:03:25Z</dcterms:modified>
</cp:coreProperties>
</file>