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/>
  <bookViews>
    <workbookView xWindow="0" yWindow="0" windowWidth="20490" windowHeight="7620"/>
  </bookViews>
  <sheets>
    <sheet name="Weekly Sales Activity" sheetId="1" r:id="rId1"/>
  </sheets>
  <definedNames>
    <definedName name="_xlnm.Print_Titles" localSheetId="0">'Weekly Sales Activity'!$5:$5</definedName>
    <definedName name="RowTitleRegion1..J3">'Weekly Sales Activity'!$I$1:$I$2</definedName>
    <definedName name="RowTitleRegion2..M3">'Weekly Sales Activity'!$L$1:$L$2</definedName>
    <definedName name="Title1">Activity[[#Headers],[DAYS]]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" i="1" l="1"/>
  <c r="C16" i="1" l="1"/>
  <c r="D13" i="1"/>
  <c r="D16" i="1" s="1"/>
  <c r="E13" i="1"/>
  <c r="F16" i="1" s="1"/>
  <c r="F13" i="1"/>
  <c r="G13" i="1"/>
  <c r="G16" i="1" s="1"/>
  <c r="H13" i="1"/>
  <c r="H16" i="1" s="1"/>
  <c r="I13" i="1"/>
  <c r="I16" i="1" s="1"/>
  <c r="J13" i="1"/>
  <c r="J16" i="1" s="1"/>
  <c r="K13" i="1"/>
  <c r="K16" i="1" s="1"/>
  <c r="L13" i="1"/>
  <c r="L16" i="1" s="1"/>
  <c r="M15" i="1"/>
  <c r="M12" i="1"/>
  <c r="M11" i="1"/>
  <c r="M10" i="1"/>
  <c r="M9" i="1"/>
  <c r="M8" i="1"/>
  <c r="M7" i="1"/>
  <c r="M6" i="1"/>
  <c r="E16" i="1" l="1"/>
  <c r="M13" i="1"/>
  <c r="M16" i="1"/>
</calcChain>
</file>

<file path=xl/sharedStrings.xml><?xml version="1.0" encoding="utf-8"?>
<sst xmlns="http://schemas.openxmlformats.org/spreadsheetml/2006/main" count="34" uniqueCount="33">
  <si>
    <t>SALESPERSON</t>
  </si>
  <si>
    <t>WEEK ENDING</t>
  </si>
  <si>
    <t>LOCATION</t>
  </si>
  <si>
    <t>TODAY'S DATE</t>
  </si>
  <si>
    <t>DAYS</t>
  </si>
  <si>
    <t>IN SALES OFFICE</t>
  </si>
  <si>
    <t>OUTSIDE OFFICE</t>
  </si>
  <si>
    <t>IN OFFICE VISITS</t>
  </si>
  <si>
    <t>OUTSIDE CALLS</t>
  </si>
  <si>
    <t>FILE PHONE CALLS</t>
  </si>
  <si>
    <t>NEW ACCT. PHONE</t>
  </si>
  <si>
    <t>TOTAL</t>
  </si>
  <si>
    <t>Monday</t>
  </si>
  <si>
    <t>Tuesday</t>
  </si>
  <si>
    <t>Wednesday</t>
  </si>
  <si>
    <t>Thursday</t>
  </si>
  <si>
    <t>Friday</t>
  </si>
  <si>
    <t>Saturday</t>
  </si>
  <si>
    <t>Sunday</t>
  </si>
  <si>
    <t>Totals</t>
  </si>
  <si>
    <t>GOAL</t>
  </si>
  <si>
    <t>VARIANCE</t>
  </si>
  <si>
    <t>Approval</t>
  </si>
  <si>
    <t>*EXPLANATION</t>
  </si>
  <si>
    <t>OTHER*</t>
  </si>
  <si>
    <r>
      <t>WEEKLY</t>
    </r>
    <r>
      <rPr>
        <sz val="24"/>
        <color theme="4"/>
        <rFont val="Arial"/>
        <family val="2"/>
        <scheme val="minor"/>
      </rPr>
      <t xml:space="preserve"> </t>
    </r>
    <r>
      <rPr>
        <sz val="24"/>
        <color theme="4" tint="-0.499984740745262"/>
        <rFont val="Arial"/>
        <family val="2"/>
        <scheme val="minor"/>
      </rPr>
      <t>SALES ACTIVITY</t>
    </r>
  </si>
  <si>
    <t>Date</t>
  </si>
  <si>
    <t>Name</t>
  </si>
  <si>
    <t>Location</t>
  </si>
  <si>
    <t>OTHER SALES AVENUES</t>
  </si>
  <si>
    <t>OTHER SALES AVENUES 2</t>
  </si>
  <si>
    <t>OTHER SALES AVENUES 3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</si>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</sst>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&quot;$&quot;#,##0.00"/>
    <numFmt numFmtId="170" formatCode="_([$$-409]* #,##0.00_);_([$$-409]* \(#,##0.00\);_([$$-409]* &quot;-&quot;??_);_(@_)"/>
  </numFmts>
  <fonts count="15" x14ac:knownFonts="1">
    <font>
      <sz val="11"/>
      <color theme="3"/>
      <name val="Arial"/>
      <family val="2"/>
      <scheme val="minor"/>
    </font>
    <font>
      <sz val="24"/>
      <color theme="3"/>
      <name val="Arial Black"/>
      <family val="2"/>
      <scheme val="major"/>
    </font>
    <font>
      <sz val="24"/>
      <color theme="4"/>
      <name val="Arial"/>
      <family val="2"/>
      <scheme val="minor"/>
    </font>
    <font>
      <sz val="8"/>
      <color theme="0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3"/>
      <name val="Arial"/>
      <family val="2"/>
      <scheme val="minor"/>
    </font>
    <font>
      <i/>
      <sz val="11"/>
      <color theme="3"/>
      <name val="Arial"/>
      <family val="2"/>
      <scheme val="minor"/>
    </font>
    <font>
      <sz val="11"/>
      <color theme="5" tint="-0.24994659260841701"/>
      <name val="Arial"/>
      <family val="2"/>
      <scheme val="minor"/>
    </font>
    <font>
      <sz val="24"/>
      <color theme="4" tint="-0.499984740745262"/>
      <name val="Arial"/>
      <family val="2"/>
      <scheme val="minor"/>
    </font>
    <font>
      <b/>
      <sz val="11"/>
      <color theme="5" tint="-0.249977111117893"/>
      <name val="Arial"/>
      <family val="2"/>
      <scheme val="minor"/>
    </font>
    <font>
      <b/>
      <sz val="11"/>
      <color theme="5" tint="-0.499984740745262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</borders>
  <cellStyleXfs count="23">
    <xf numFmtId="0" fontId="0" fillId="0" borderId="0" applyNumberFormat="0" applyFill="0" applyBorder="0" applyProtection="0">
      <alignment wrapText="1"/>
    </xf>
    <xf numFmtId="0" fontId="1" fillId="0" borderId="0" applyNumberFormat="0" applyFill="0" applyBorder="0" applyAlignment="0" applyProtection="0"/>
    <xf numFmtId="0" fontId="9" fillId="0" borderId="0" applyNumberFormat="0" applyFill="0" applyBorder="0" applyProtection="0">
      <alignment horizontal="right"/>
    </xf>
    <xf numFmtId="0" fontId="9" fillId="0" borderId="0" applyNumberFormat="0" applyFill="0" applyBorder="0" applyProtection="0">
      <alignment horizontal="left"/>
    </xf>
    <xf numFmtId="14" fontId="9" fillId="0" borderId="0" applyFill="0" applyBorder="0" applyAlignment="0" applyProtection="0"/>
    <xf numFmtId="0" fontId="11" fillId="0" borderId="0" applyNumberFormat="0" applyFill="0" applyBorder="0" applyProtection="0">
      <alignment horizontal="left" wrapText="1"/>
    </xf>
    <xf numFmtId="0" fontId="6" fillId="0" borderId="0" applyNumberFormat="0" applyFill="0" applyBorder="0" applyProtection="0">
      <alignment vertical="center"/>
    </xf>
    <xf numFmtId="168" fontId="9" fillId="0" borderId="0" applyFill="0" applyBorder="0" applyProtection="0">
      <alignment vertical="center"/>
    </xf>
    <xf numFmtId="0" fontId="9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9" fillId="0" borderId="10" applyNumberFormat="0" applyFill="0" applyProtection="0">
      <alignment vertical="top" wrapText="1"/>
    </xf>
    <xf numFmtId="167" fontId="9" fillId="0" borderId="0" applyFill="0" applyBorder="0" applyAlignment="0" applyProtection="0"/>
    <xf numFmtId="165" fontId="9" fillId="0" borderId="0" applyFill="0" applyBorder="0" applyAlignment="0" applyProtection="0"/>
    <xf numFmtId="166" fontId="9" fillId="0" borderId="0" applyFill="0" applyBorder="0" applyAlignment="0" applyProtection="0"/>
    <xf numFmtId="164" fontId="9" fillId="0" borderId="0" applyFill="0" applyBorder="0" applyAlignment="0" applyProtection="0"/>
    <xf numFmtId="9" fontId="9" fillId="0" borderId="0" applyFill="0" applyBorder="0" applyAlignment="0" applyProtection="0"/>
    <xf numFmtId="0" fontId="4" fillId="0" borderId="7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9" fillId="4" borderId="6" applyNumberFormat="0" applyAlignment="0" applyProtection="0"/>
    <xf numFmtId="0" fontId="10" fillId="0" borderId="0" applyNumberFormat="0" applyFill="0" applyBorder="0" applyAlignment="0" applyProtection="0"/>
    <xf numFmtId="0" fontId="7" fillId="0" borderId="9" applyNumberFormat="0" applyFill="0" applyAlignment="0" applyProtection="0"/>
  </cellStyleXfs>
  <cellXfs count="30">
    <xf numFmtId="0" fontId="0" fillId="0" borderId="0" xfId="0">
      <alignment wrapText="1"/>
    </xf>
    <xf numFmtId="170" fontId="1" fillId="0" borderId="0" xfId="1" applyNumberFormat="1" applyAlignment="1">
      <alignment horizontal="left" vertical="center"/>
    </xf>
    <xf numFmtId="170" fontId="9" fillId="0" borderId="0" xfId="2" applyNumberFormat="1">
      <alignment horizontal="right"/>
    </xf>
    <xf numFmtId="170" fontId="0" fillId="0" borderId="0" xfId="3" applyNumberFormat="1" applyFont="1">
      <alignment horizontal="left"/>
    </xf>
    <xf numFmtId="170" fontId="0" fillId="0" borderId="0" xfId="4" applyNumberFormat="1" applyFont="1" applyAlignment="1">
      <alignment horizontal="left"/>
    </xf>
    <xf numFmtId="170" fontId="0" fillId="0" borderId="0" xfId="0" applyNumberFormat="1">
      <alignment wrapText="1"/>
    </xf>
    <xf numFmtId="170" fontId="9" fillId="0" borderId="0" xfId="4" applyNumberFormat="1" applyAlignment="1">
      <alignment horizontal="left"/>
    </xf>
    <xf numFmtId="170" fontId="9" fillId="0" borderId="0" xfId="2" applyNumberFormat="1" applyAlignment="1">
      <alignment horizontal="right" vertical="center"/>
    </xf>
    <xf numFmtId="170" fontId="0" fillId="0" borderId="0" xfId="3" applyNumberFormat="1" applyFont="1" applyAlignment="1">
      <alignment horizontal="left" vertical="center"/>
    </xf>
    <xf numFmtId="170" fontId="0" fillId="0" borderId="0" xfId="4" applyNumberFormat="1" applyFont="1" applyAlignment="1">
      <alignment horizontal="left" vertical="center"/>
    </xf>
    <xf numFmtId="170" fontId="9" fillId="0" borderId="0" xfId="4" applyNumberFormat="1" applyAlignment="1">
      <alignment horizontal="left" vertical="center"/>
    </xf>
    <xf numFmtId="170" fontId="13" fillId="0" borderId="0" xfId="5" applyNumberFormat="1" applyFont="1">
      <alignment horizontal="left" wrapText="1"/>
    </xf>
    <xf numFmtId="170" fontId="11" fillId="0" borderId="0" xfId="5" applyNumberFormat="1">
      <alignment horizontal="left" wrapText="1"/>
    </xf>
    <xf numFmtId="170" fontId="6" fillId="0" borderId="0" xfId="6" applyNumberFormat="1">
      <alignment vertical="center"/>
    </xf>
    <xf numFmtId="170" fontId="0" fillId="0" borderId="0" xfId="7" applyNumberFormat="1" applyFont="1">
      <alignment vertical="center"/>
    </xf>
    <xf numFmtId="170" fontId="0" fillId="2" borderId="0" xfId="8" applyNumberFormat="1" applyFont="1" applyAlignment="1">
      <alignment vertical="center"/>
    </xf>
    <xf numFmtId="170" fontId="8" fillId="5" borderId="0" xfId="0" applyNumberFormat="1" applyFont="1" applyFill="1" applyAlignment="1">
      <alignment vertical="center"/>
    </xf>
    <xf numFmtId="170" fontId="0" fillId="0" borderId="0" xfId="0" applyNumberFormat="1" applyAlignment="1">
      <alignment horizontal="center" wrapText="1"/>
    </xf>
    <xf numFmtId="170" fontId="14" fillId="3" borderId="1" xfId="7" applyNumberFormat="1" applyFont="1" applyFill="1" applyBorder="1">
      <alignment vertical="center"/>
    </xf>
    <xf numFmtId="170" fontId="0" fillId="3" borderId="2" xfId="7" applyNumberFormat="1" applyFont="1" applyFill="1" applyBorder="1">
      <alignment vertical="center"/>
    </xf>
    <xf numFmtId="170" fontId="0" fillId="3" borderId="3" xfId="7" applyNumberFormat="1" applyFont="1" applyFill="1" applyBorder="1">
      <alignment vertical="center"/>
    </xf>
    <xf numFmtId="170" fontId="14" fillId="3" borderId="4" xfId="7" applyNumberFormat="1" applyFont="1" applyFill="1" applyBorder="1">
      <alignment vertical="center"/>
    </xf>
    <xf numFmtId="170" fontId="0" fillId="3" borderId="5" xfId="7" applyNumberFormat="1" applyFont="1" applyFill="1" applyBorder="1">
      <alignment vertical="center"/>
    </xf>
    <xf numFmtId="170" fontId="9" fillId="0" borderId="11" xfId="11" applyNumberFormat="1" applyFont="1" applyBorder="1" applyAlignment="1">
      <alignment horizontal="left" vertical="top"/>
    </xf>
    <xf numFmtId="170" fontId="9" fillId="0" borderId="12" xfId="11" applyNumberFormat="1" applyFont="1" applyBorder="1" applyAlignment="1">
      <alignment horizontal="left" vertical="top"/>
    </xf>
    <xf numFmtId="170" fontId="9" fillId="0" borderId="17" xfId="11" applyNumberFormat="1" applyFont="1" applyBorder="1" applyAlignment="1">
      <alignment horizontal="left" vertical="top"/>
    </xf>
    <xf numFmtId="170" fontId="9" fillId="0" borderId="14" xfId="11" applyNumberFormat="1" applyFont="1" applyBorder="1" applyAlignment="1">
      <alignment horizontal="left" vertical="top"/>
    </xf>
    <xf numFmtId="170" fontId="9" fillId="0" borderId="15" xfId="11" applyNumberFormat="1" applyFont="1" applyBorder="1" applyAlignment="1">
      <alignment horizontal="left" vertical="top"/>
    </xf>
    <xf numFmtId="170" fontId="9" fillId="0" borderId="16" xfId="11" applyNumberFormat="1" applyFont="1" applyBorder="1" applyAlignment="1">
      <alignment horizontal="left" vertical="top"/>
    </xf>
    <xf numFmtId="170" fontId="0" fillId="0" borderId="13" xfId="0" applyNumberFormat="1" applyBorder="1" applyAlignment="1">
      <alignment horizontal="left"/>
    </xf>
  </cellXfs>
  <cellStyles count="23">
    <cellStyle name="Comma" xfId="12" builtinId="3" customBuiltin="1"/>
    <cellStyle name="Comma [0]" xfId="13" builtinId="6" customBuiltin="1"/>
    <cellStyle name="Currency" xfId="14" builtinId="4" customBuiltin="1"/>
    <cellStyle name="Currency [0]" xfId="15" builtinId="7" customBuiltin="1"/>
    <cellStyle name="Currency Custom" xfId="7"/>
    <cellStyle name="Date Custom" xfId="4"/>
    <cellStyle name="Days" xfId="6"/>
    <cellStyle name="Do Not Type" xfId="8"/>
    <cellStyle name="Explanatory Text" xfId="21" builtinId="53" customBuiltin="1"/>
    <cellStyle name="Goal Var" xfId="10"/>
    <cellStyle name="Heading 1" xfId="17" builtinId="16" customBuiltin="1"/>
    <cellStyle name="Heading 2" xfId="18" builtinId="17" customBuiltin="1"/>
    <cellStyle name="Heading 3" xfId="19" builtinId="18" customBuiltin="1"/>
    <cellStyle name="Input Custom" xfId="3"/>
    <cellStyle name="Labels" xfId="2"/>
    <cellStyle name="Normal" xfId="0" builtinId="0" customBuiltin="1"/>
    <cellStyle name="Note" xfId="20" builtinId="10" customBuiltin="1"/>
    <cellStyle name="Notes" xfId="11"/>
    <cellStyle name="Percent" xfId="16" builtinId="5" customBuiltin="1"/>
    <cellStyle name="Table Headers" xfId="5"/>
    <cellStyle name="Table Totals" xfId="9"/>
    <cellStyle name="Title" xfId="1" builtinId="15"/>
    <cellStyle name="Total" xfId="22" builtinId="25" customBuiltin="1"/>
  </cellStyles>
  <dxfs count="30">
    <dxf>
      <numFmt numFmtId="170" formatCode="_([$$-409]* #,##0.00_);_([$$-409]* \(#,##0.00\);_([$$-409]* &quot;-&quot;??_);_(@_)"/>
    </dxf>
    <dxf>
      <font>
        <strike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numFmt numFmtId="170" formatCode="_([$$-409]* #,##0.00_);_([$$-409]* \(#,##0.00\);_([$$-409]* &quot;-&quot;??_);_(@_)"/>
      <fill>
        <patternFill patternType="solid">
          <fgColor indexed="64"/>
          <bgColor theme="4" tint="-0.499984740745262"/>
        </patternFill>
      </fill>
      <alignment horizontal="general" vertical="center" textRotation="0" wrapText="0" indent="0" justifyLastLine="0" shrinkToFit="0" readingOrder="0"/>
    </dxf>
    <dxf>
      <numFmt numFmtId="170" formatCode="_([$$-409]* #,##0.00_);_([$$-409]* \(#,##0.00\);_([$$-409]* &quot;-&quot;??_);_(@_)"/>
    </dxf>
    <dxf>
      <font>
        <b/>
        <i val="0"/>
        <color theme="0"/>
      </font>
      <fill>
        <patternFill>
          <bgColor theme="4"/>
        </patternFill>
      </fill>
      <border>
        <vertical style="thin">
          <color theme="0"/>
        </vertical>
      </border>
    </dxf>
    <dxf>
      <border>
        <bottom style="thin">
          <color theme="3"/>
        </bottom>
      </border>
    </dxf>
    <dxf>
      <border>
        <vertical style="thin">
          <color theme="3"/>
        </vertical>
      </border>
    </dxf>
  </dxfs>
  <tableStyles count="1" defaultTableStyle="TableStyleMedium2" defaultPivotStyle="PivotStyleLight16">
    <tableStyle name="Weeky Sales Activity" pivot="0" count="3">
      <tableStyleElement type="wholeTable" dxfId="29"/>
      <tableStyleElement type="headerRow" dxfId="28"/>
      <tableStyleElement type="totalRow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ctivity" displayName="Activity" ref="B5:M13" totalsRowCount="1" headerRowDxfId="2" dataDxfId="0" totalsRowDxfId="1" headerRowCellStyle="Table Headers" totalsRowCellStyle="Table Totals">
  <tableColumns count="12">
    <tableColumn id="1" name="DAYS" totalsRowLabel="Totals" dataDxfId="26" totalsRowDxfId="25" dataCellStyle="Table Totals"/>
    <tableColumn id="2" name="IN SALES OFFICE" totalsRowFunction="sum" dataDxfId="24" totalsRowDxfId="23" dataCellStyle="Currency Custom"/>
    <tableColumn id="3" name="OUTSIDE OFFICE" totalsRowFunction="sum" dataDxfId="22" totalsRowDxfId="21" dataCellStyle="Currency Custom"/>
    <tableColumn id="4" name="IN OFFICE VISITS" totalsRowFunction="sum" dataDxfId="20" totalsRowDxfId="19" dataCellStyle="Currency Custom"/>
    <tableColumn id="5" name="OUTSIDE CALLS" totalsRowFunction="sum" dataDxfId="18" totalsRowDxfId="17" dataCellStyle="Currency Custom"/>
    <tableColumn id="6" name="FILE PHONE CALLS" totalsRowFunction="sum" dataDxfId="16" totalsRowDxfId="15" dataCellStyle="Currency Custom"/>
    <tableColumn id="7" name="NEW ACCT. PHONE" totalsRowFunction="sum" dataDxfId="14" totalsRowDxfId="13" dataCellStyle="Currency Custom"/>
    <tableColumn id="8" name="OTHER SALES AVENUES" totalsRowFunction="min" dataDxfId="12" totalsRowDxfId="11" dataCellStyle="Currency Custom"/>
    <tableColumn id="9" name="OTHER SALES AVENUES 2" totalsRowFunction="sum" dataDxfId="10" totalsRowDxfId="9" dataCellStyle="Currency Custom"/>
    <tableColumn id="10" name="OTHER SALES AVENUES 3" totalsRowFunction="sum" dataDxfId="8" totalsRowDxfId="7" dataCellStyle="Currency Custom"/>
    <tableColumn id="11" name="OTHER*" totalsRowFunction="sum" dataDxfId="6" totalsRowDxfId="5" dataCellStyle="Currency Custom"/>
    <tableColumn id="12" name="TOTAL" totalsRowFunction="sum" dataDxfId="4" totalsRowDxfId="3" dataCellStyle="Currency Custom">
      <calculatedColumnFormula>SUM(Activity[[#This Row],[IN SALES OFFICE]:[OTHER*]])</calculatedColumnFormula>
    </tableColumn>
  </tableColumns>
  <tableStyleInfo name="Weeky Sales Activity" showFirstColumn="0" showLastColumn="0" showRowStripes="1" showColumnStripes="0"/>
  <extLst>
    <ext xmlns:x14="http://schemas.microsoft.com/office/spreadsheetml/2009/9/main" uri="{504A1905-F514-4f6f-8877-14C23A59335A}">
      <x14:table altTextSummary="Enter Days and various sales costs, including In Office visits, Outside Calls, Food and Beverage, and Meeting Room Rental in this table. Total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Weeky Sales Activity">
      <a:dk1>
        <a:srgbClr val="000000"/>
      </a:dk1>
      <a:lt1>
        <a:srgbClr val="FFFFFF"/>
      </a:lt1>
      <a:dk2>
        <a:srgbClr val="4E4F4B"/>
      </a:dk2>
      <a:lt2>
        <a:srgbClr val="EAEBEA"/>
      </a:lt2>
      <a:accent1>
        <a:srgbClr val="83BA96"/>
      </a:accent1>
      <a:accent2>
        <a:srgbClr val="D18A4E"/>
      </a:accent2>
      <a:accent3>
        <a:srgbClr val="977974"/>
      </a:accent3>
      <a:accent4>
        <a:srgbClr val="CFA94E"/>
      </a:accent4>
      <a:accent5>
        <a:srgbClr val="7596A9"/>
      </a:accent5>
      <a:accent6>
        <a:srgbClr val="A46675"/>
      </a:accent6>
      <a:hlink>
        <a:srgbClr val="7596A9"/>
      </a:hlink>
      <a:folHlink>
        <a:srgbClr val="A46675"/>
      </a:folHlink>
    </a:clrScheme>
    <a:fontScheme name="Weeky Sales Activity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fitToPage="1"/>
  </sheetPr>
  <dimension ref="B1:M20"/>
  <sheetViews>
    <sheetView showGridLines="0" tabSelected="1" zoomScaleNormal="100" workbookViewId="0">
      <selection activeCell="G5" sqref="G5"/>
    </sheetView>
  </sheetViews>
  <sheetFormatPr defaultColWidth="8.875" defaultRowHeight="20.25" customHeight="1" x14ac:dyDescent="0.2"/>
  <cols>
    <col min="1" max="1" width="2.625" style="5" customWidth="1"/>
    <col min="2" max="2" width="14.5" style="5" customWidth="1"/>
    <col min="3" max="8" width="13.625" style="5" customWidth="1"/>
    <col min="9" max="9" width="14.125" style="5" customWidth="1"/>
    <col min="10" max="13" width="13.625" style="5" customWidth="1"/>
    <col min="14" max="14" width="2.625" style="5" customWidth="1"/>
    <col min="15" max="16384" width="8.875" style="5"/>
  </cols>
  <sheetData>
    <row r="1" spans="2:13" ht="12" customHeight="1" x14ac:dyDescent="0.2">
      <c r="B1" s="1" t="s">
        <v>25</v>
      </c>
      <c r="C1" s="1"/>
      <c r="D1" s="1"/>
      <c r="E1" s="1"/>
      <c r="F1" s="1"/>
      <c r="G1" s="1"/>
      <c r="H1" s="1"/>
      <c r="I1" s="2" t="s">
        <v>0</v>
      </c>
      <c r="J1" s="3" t="s">
        <v>27</v>
      </c>
      <c r="K1" s="3"/>
      <c r="L1" s="2" t="s">
        <v>1</v>
      </c>
      <c r="M1" s="4" t="s">
        <v>26</v>
      </c>
    </row>
    <row r="2" spans="2:13" ht="20.25" customHeight="1" x14ac:dyDescent="0.2">
      <c r="B2" s="1"/>
      <c r="C2" s="1"/>
      <c r="D2" s="1"/>
      <c r="E2" s="1"/>
      <c r="F2" s="1"/>
      <c r="G2" s="1"/>
      <c r="H2" s="1"/>
      <c r="I2" s="2"/>
      <c r="J2" s="3"/>
      <c r="K2" s="3"/>
      <c r="L2" s="2"/>
      <c r="M2" s="6"/>
    </row>
    <row r="3" spans="2:13" ht="20.25" customHeight="1" x14ac:dyDescent="0.2">
      <c r="B3" s="1"/>
      <c r="C3" s="1"/>
      <c r="D3" s="1"/>
      <c r="E3" s="1"/>
      <c r="F3" s="1"/>
      <c r="G3" s="1"/>
      <c r="H3" s="1"/>
      <c r="I3" s="7" t="s">
        <v>2</v>
      </c>
      <c r="J3" s="8" t="s">
        <v>28</v>
      </c>
      <c r="K3" s="8"/>
      <c r="L3" s="7" t="s">
        <v>3</v>
      </c>
      <c r="M3" s="9" t="s">
        <v>26</v>
      </c>
    </row>
    <row r="4" spans="2:13" ht="29.25" customHeight="1" x14ac:dyDescent="0.2">
      <c r="B4" s="1"/>
      <c r="C4" s="1"/>
      <c r="D4" s="1"/>
      <c r="E4" s="1"/>
      <c r="F4" s="1"/>
      <c r="G4" s="1"/>
      <c r="H4" s="1"/>
      <c r="I4" s="7"/>
      <c r="J4" s="8"/>
      <c r="K4" s="8"/>
      <c r="L4" s="7"/>
      <c r="M4" s="10"/>
    </row>
    <row r="5" spans="2:13" ht="30.75" customHeight="1" x14ac:dyDescent="0.25">
      <c r="B5" s="11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29</v>
      </c>
      <c r="J5" s="12" t="s">
        <v>30</v>
      </c>
      <c r="K5" s="12" t="s">
        <v>31</v>
      </c>
      <c r="L5" s="12" t="s">
        <v>24</v>
      </c>
      <c r="M5" s="12" t="s">
        <v>11</v>
      </c>
    </row>
    <row r="6" spans="2:13" ht="20.25" customHeight="1" x14ac:dyDescent="0.2">
      <c r="B6" s="13" t="s">
        <v>12</v>
      </c>
      <c r="C6" s="14">
        <v>14</v>
      </c>
      <c r="D6" s="14">
        <v>23</v>
      </c>
      <c r="E6" s="14">
        <v>4</v>
      </c>
      <c r="F6" s="14">
        <v>45</v>
      </c>
      <c r="G6" s="14">
        <v>22</v>
      </c>
      <c r="H6" s="14">
        <v>2</v>
      </c>
      <c r="I6" s="14">
        <v>100</v>
      </c>
      <c r="J6" s="14">
        <v>0</v>
      </c>
      <c r="K6" s="14">
        <v>0</v>
      </c>
      <c r="L6" s="14">
        <v>0</v>
      </c>
      <c r="M6" s="15">
        <f>SUM(Activity[[#This Row],[IN SALES OFFICE]:[OTHER*]])</f>
        <v>210</v>
      </c>
    </row>
    <row r="7" spans="2:13" ht="20.25" customHeight="1" x14ac:dyDescent="0.2">
      <c r="B7" s="13" t="s">
        <v>13</v>
      </c>
      <c r="C7" s="14">
        <v>23</v>
      </c>
      <c r="D7" s="14">
        <v>76</v>
      </c>
      <c r="E7" s="14">
        <v>10</v>
      </c>
      <c r="F7" s="14">
        <v>50</v>
      </c>
      <c r="G7" s="14">
        <v>54</v>
      </c>
      <c r="H7" s="14">
        <v>45</v>
      </c>
      <c r="I7" s="14">
        <v>80</v>
      </c>
      <c r="J7" s="14">
        <v>0</v>
      </c>
      <c r="K7" s="14">
        <v>0</v>
      </c>
      <c r="L7" s="14">
        <v>0</v>
      </c>
      <c r="M7" s="15">
        <f>SUM(Activity[[#This Row],[IN SALES OFFICE]:[OTHER*]])</f>
        <v>338</v>
      </c>
    </row>
    <row r="8" spans="2:13" ht="20.25" customHeight="1" x14ac:dyDescent="0.2">
      <c r="B8" s="13" t="s">
        <v>14</v>
      </c>
      <c r="C8" s="14">
        <v>4</v>
      </c>
      <c r="D8" s="14">
        <v>130</v>
      </c>
      <c r="E8" s="14">
        <v>11</v>
      </c>
      <c r="F8" s="14">
        <v>33</v>
      </c>
      <c r="G8" s="14">
        <v>67</v>
      </c>
      <c r="H8" s="14">
        <v>65</v>
      </c>
      <c r="I8" s="14">
        <v>400</v>
      </c>
      <c r="J8" s="14">
        <v>0</v>
      </c>
      <c r="K8" s="14">
        <v>0</v>
      </c>
      <c r="L8" s="14">
        <v>0</v>
      </c>
      <c r="M8" s="15">
        <f>SUM(Activity[[#This Row],[IN SALES OFFICE]:[OTHER*]])</f>
        <v>710</v>
      </c>
    </row>
    <row r="9" spans="2:13" ht="20.25" customHeight="1" x14ac:dyDescent="0.2">
      <c r="B9" s="13" t="s">
        <v>15</v>
      </c>
      <c r="C9" s="14">
        <v>102</v>
      </c>
      <c r="D9" s="14">
        <v>40</v>
      </c>
      <c r="E9" s="14">
        <v>18</v>
      </c>
      <c r="F9" s="14">
        <v>0</v>
      </c>
      <c r="G9" s="14">
        <v>86</v>
      </c>
      <c r="H9" s="14">
        <v>82</v>
      </c>
      <c r="I9" s="14">
        <v>97</v>
      </c>
      <c r="J9" s="14">
        <v>0</v>
      </c>
      <c r="K9" s="14">
        <v>0</v>
      </c>
      <c r="L9" s="14">
        <v>0</v>
      </c>
      <c r="M9" s="15">
        <f>SUM(Activity[[#This Row],[IN SALES OFFICE]:[OTHER*]])</f>
        <v>425</v>
      </c>
    </row>
    <row r="10" spans="2:13" ht="20.25" customHeight="1" x14ac:dyDescent="0.2">
      <c r="B10" s="13" t="s">
        <v>16</v>
      </c>
      <c r="C10" s="14">
        <v>33</v>
      </c>
      <c r="D10" s="14">
        <v>55</v>
      </c>
      <c r="E10" s="14">
        <v>22</v>
      </c>
      <c r="F10" s="14">
        <v>49</v>
      </c>
      <c r="G10" s="14">
        <v>143</v>
      </c>
      <c r="H10" s="14">
        <v>26</v>
      </c>
      <c r="I10" s="14">
        <v>50</v>
      </c>
      <c r="J10" s="14">
        <v>0</v>
      </c>
      <c r="K10" s="14">
        <v>0</v>
      </c>
      <c r="L10" s="14">
        <v>0</v>
      </c>
      <c r="M10" s="15">
        <f>SUM(Activity[[#This Row],[IN SALES OFFICE]:[OTHER*]])</f>
        <v>378</v>
      </c>
    </row>
    <row r="11" spans="2:13" ht="20.25" customHeight="1" x14ac:dyDescent="0.2">
      <c r="B11" s="13" t="s">
        <v>17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5">
        <f>SUM(Activity[[#This Row],[IN SALES OFFICE]:[OTHER*]])</f>
        <v>0</v>
      </c>
    </row>
    <row r="12" spans="2:13" ht="20.25" customHeight="1" x14ac:dyDescent="0.2">
      <c r="B12" s="13" t="s">
        <v>18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5">
        <f>SUM(Activity[[#This Row],[IN SALES OFFICE]:[OTHER*]])</f>
        <v>0</v>
      </c>
    </row>
    <row r="13" spans="2:13" ht="20.25" customHeight="1" x14ac:dyDescent="0.2">
      <c r="B13" s="16" t="s">
        <v>19</v>
      </c>
      <c r="C13" s="16">
        <f>SUBTOTAL(109,Activity[IN SALES OFFICE])</f>
        <v>176</v>
      </c>
      <c r="D13" s="16">
        <f>SUBTOTAL(109,Activity[OUTSIDE OFFICE])</f>
        <v>324</v>
      </c>
      <c r="E13" s="16">
        <f>SUBTOTAL(109,Activity[IN OFFICE VISITS])</f>
        <v>65</v>
      </c>
      <c r="F13" s="16">
        <f>SUBTOTAL(109,Activity[OUTSIDE CALLS])</f>
        <v>177</v>
      </c>
      <c r="G13" s="16">
        <f>SUBTOTAL(109,Activity[FILE PHONE CALLS])</f>
        <v>372</v>
      </c>
      <c r="H13" s="16">
        <f>SUBTOTAL(109,Activity[NEW ACCT. PHONE])</f>
        <v>220</v>
      </c>
      <c r="I13" s="16">
        <f>SUBTOTAL(105,Activity[OTHER SALES AVENUES])</f>
        <v>0</v>
      </c>
      <c r="J13" s="16">
        <f>SUBTOTAL(109,Activity[OTHER SALES AVENUES 2])</f>
        <v>0</v>
      </c>
      <c r="K13" s="16">
        <f>SUBTOTAL(109,Activity[OTHER SALES AVENUES 3])</f>
        <v>0</v>
      </c>
      <c r="L13" s="16">
        <f>SUBTOTAL(109,Activity[OTHER*])</f>
        <v>0</v>
      </c>
      <c r="M13" s="16">
        <f>SUBTOTAL(109,Activity[TOTAL])</f>
        <v>2061</v>
      </c>
    </row>
    <row r="14" spans="2:13" ht="20.25" customHeight="1" x14ac:dyDescent="0.2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2:13" ht="20.25" customHeight="1" x14ac:dyDescent="0.2">
      <c r="B15" s="18" t="s">
        <v>20</v>
      </c>
      <c r="C15" s="19">
        <v>200</v>
      </c>
      <c r="D15" s="19">
        <v>400</v>
      </c>
      <c r="E15" s="19">
        <v>300</v>
      </c>
      <c r="F15" s="19">
        <v>65</v>
      </c>
      <c r="G15" s="19">
        <v>500</v>
      </c>
      <c r="H15" s="19">
        <v>300</v>
      </c>
      <c r="I15" s="19">
        <v>400</v>
      </c>
      <c r="J15" s="19">
        <v>600</v>
      </c>
      <c r="K15" s="19">
        <v>300</v>
      </c>
      <c r="L15" s="19">
        <v>300</v>
      </c>
      <c r="M15" s="20">
        <f>SUM(C15:L15)</f>
        <v>3365</v>
      </c>
    </row>
    <row r="16" spans="2:13" ht="20.25" customHeight="1" x14ac:dyDescent="0.2">
      <c r="B16" s="21" t="s">
        <v>21</v>
      </c>
      <c r="C16" s="22">
        <f>SUM(Activity[[#Totals],[IN SALES OFFICE]]-C15)</f>
        <v>-24</v>
      </c>
      <c r="D16" s="22">
        <f>SUM(Activity[[#Totals],[OUTSIDE OFFICE]]-D15)</f>
        <v>-76</v>
      </c>
      <c r="E16" s="22">
        <f>SUM(Activity[[#Totals],[IN OFFICE VISITS]]-E15)</f>
        <v>-235</v>
      </c>
      <c r="F16" s="22">
        <f>SUM(Activity[[#Totals],[IN OFFICE VISITS]]-F15)</f>
        <v>0</v>
      </c>
      <c r="G16" s="22">
        <f>SUM(Activity[[#Totals],[FILE PHONE CALLS]]-G15)</f>
        <v>-128</v>
      </c>
      <c r="H16" s="22">
        <f>SUM(Activity[[#Totals],[NEW ACCT. PHONE]]-H15)</f>
        <v>-80</v>
      </c>
      <c r="I16" s="22">
        <f>SUM(Activity[[#Totals],[OTHER SALES AVENUES]]-I15)</f>
        <v>-400</v>
      </c>
      <c r="J16" s="22">
        <f>SUM(Activity[[#Totals],[OTHER SALES AVENUES 2]]-J15)</f>
        <v>-600</v>
      </c>
      <c r="K16" s="22">
        <f>SUM(Activity[[#Totals],[OTHER SALES AVENUES 3]]-K15)</f>
        <v>-300</v>
      </c>
      <c r="L16" s="22">
        <f>SUM(Activity[[#Totals],[OTHER*]]-L15)</f>
        <v>-300</v>
      </c>
      <c r="M16" s="20">
        <f>SUM(C16:L16)</f>
        <v>-2143</v>
      </c>
    </row>
    <row r="17" spans="2:10" ht="40.5" customHeight="1" x14ac:dyDescent="0.2"/>
    <row r="18" spans="2:10" ht="20.25" customHeight="1" x14ac:dyDescent="0.2">
      <c r="B18" s="23" t="s">
        <v>23</v>
      </c>
      <c r="C18" s="24"/>
      <c r="D18" s="24"/>
      <c r="E18" s="24"/>
      <c r="F18" s="25"/>
    </row>
    <row r="19" spans="2:10" ht="20.25" customHeight="1" x14ac:dyDescent="0.2">
      <c r="B19" s="26"/>
      <c r="C19" s="27"/>
      <c r="D19" s="27"/>
      <c r="E19" s="27"/>
      <c r="F19" s="28"/>
      <c r="J19" s="5" t="s">
        <v>32</v>
      </c>
    </row>
    <row r="20" spans="2:10" ht="27.75" customHeight="1" x14ac:dyDescent="0.2">
      <c r="B20" s="5" t="s">
        <v>22</v>
      </c>
      <c r="C20" s="29"/>
      <c r="D20" s="29"/>
      <c r="E20" s="29"/>
      <c r="F20" s="29"/>
    </row>
  </sheetData>
  <mergeCells count="11">
    <mergeCell ref="C20:F20"/>
    <mergeCell ref="B1:H4"/>
    <mergeCell ref="I1:I2"/>
    <mergeCell ref="I3:I4"/>
    <mergeCell ref="J3:K4"/>
    <mergeCell ref="L3:L4"/>
    <mergeCell ref="M1:M2"/>
    <mergeCell ref="M3:M4"/>
    <mergeCell ref="L1:L2"/>
    <mergeCell ref="B18:F19"/>
    <mergeCell ref="J1:K2"/>
  </mergeCells>
  <dataValidations count="25">
    <dataValidation allowBlank="1" showInputMessage="1" showErrorMessage="1" prompt="Create a Weekly Sales Activity Report in this worksheet. Enter sales details in Activity table and Goal amount in row below the table. Variance is automatically calculated" sqref="A1"/>
    <dataValidation allowBlank="1" showInputMessage="1" showErrorMessage="1" prompt="Enter Salesperson name in cell at right" sqref="I1"/>
    <dataValidation allowBlank="1" showInputMessage="1" showErrorMessage="1" prompt="Enter Salesperson name in this cell" sqref="J1"/>
    <dataValidation allowBlank="1" showInputMessage="1" showErrorMessage="1" prompt="Enter Location in cell at right" sqref="I3"/>
    <dataValidation allowBlank="1" showInputMessage="1" showErrorMessage="1" prompt="Enter Location in this cell" sqref="J3"/>
    <dataValidation allowBlank="1" showInputMessage="1" showErrorMessage="1" prompt="Enter Week Ending Date in cell at right" sqref="L1"/>
    <dataValidation allowBlank="1" showInputMessage="1" showErrorMessage="1" prompt="Enter Week Ending Date in this cell" sqref="M1"/>
    <dataValidation allowBlank="1" showInputMessage="1" showErrorMessage="1" prompt="Enter Today’s Date in cell at right" sqref="L3"/>
    <dataValidation allowBlank="1" showInputMessage="1" showErrorMessage="1" prompt="Enter Today’s Date in this cell" sqref="M3"/>
    <dataValidation allowBlank="1" showInputMessage="1" showErrorMessage="1" prompt="Enter Days in this column under this heading" sqref="B5"/>
    <dataValidation allowBlank="1" showInputMessage="1" showErrorMessage="1" prompt="Enter In Sales Office amount in this column under this heading" sqref="C5"/>
    <dataValidation allowBlank="1" showInputMessage="1" showErrorMessage="1" prompt="Enter Outside Office amount in this column under this heading" sqref="D5"/>
    <dataValidation allowBlank="1" showInputMessage="1" showErrorMessage="1" prompt="Enter In Office Visits cost in this column under this heading" sqref="E5"/>
    <dataValidation allowBlank="1" showInputMessage="1" showErrorMessage="1" prompt="Enter Outside Calls cost in this column under this heading" sqref="F5"/>
    <dataValidation allowBlank="1" showInputMessage="1" showErrorMessage="1" prompt="Enter File Phone Calls cost in this column under this heading" sqref="G5"/>
    <dataValidation allowBlank="1" showInputMessage="1" showErrorMessage="1" prompt="Enter New Account Phone cost in this column under this heading" sqref="H5"/>
    <dataValidation allowBlank="1" showInputMessage="1" showErrorMessage="1" prompt="Enter Guest Rooms cost in this column under this heading" sqref="I5:K5"/>
    <dataValidation allowBlank="1" showInputMessage="1" showErrorMessage="1" prompt="Enter Other costs in this column under this heading" sqref="L5"/>
    <dataValidation allowBlank="1" showInputMessage="1" showErrorMessage="1" prompt="Total is automatically calculated in this column under this heading. Enter Goal costs in cells below the table and Variance is automatically calculated" sqref="M5"/>
    <dataValidation allowBlank="1" showInputMessage="1" showErrorMessage="1" prompt="Enter Goal costs in cells at right. Variance is automatically calculated in cells below" sqref="B15"/>
    <dataValidation allowBlank="1" showInputMessage="1" showErrorMessage="1" prompt="Variance is automatically calculated, and icons are updated in cells at right. Enter Explanation and Approval in cells below" sqref="B16"/>
    <dataValidation allowBlank="1" showInputMessage="1" showErrorMessage="1" prompt="Enter Explanation in this cell, and Approval in cell C20" sqref="B18:F19"/>
    <dataValidation allowBlank="1" showInputMessage="1" showErrorMessage="1" prompt="Enter Approval in cell at right" sqref="B20"/>
    <dataValidation allowBlank="1" showInputMessage="1" showErrorMessage="1" prompt="Enter Approval in this cell" sqref="C20:F20"/>
    <dataValidation allowBlank="1" showInputMessage="1" showErrorMessage="1" prompt="Title of this worksheet is in this cell. Enter Salesperson name in cell J1, Location in cell J3, and Dates in cells M1 and M3" sqref="B1:H4"/>
  </dataValidations>
  <printOptions horizontalCentered="1"/>
  <pageMargins left="0.25" right="0.25" top="0.75" bottom="0.75" header="0.3" footer="0.3"/>
  <pageSetup scale="73"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7D709EC-13E9-4561-9B3E-7D590451F364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C16:M16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1E3A98-9609-43BD-B7A0-BA767F1239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DFBA7A-E0E6-4FA0-A1DC-8B8075979C4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F85888F6-428D-40B9-BC17-9CB2FB3E38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TM03107674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Weekly Sales Activity</vt:lpstr>
      <vt:lpstr>'Weekly Sales Activity'!Print_Titles</vt:lpstr>
      <vt:lpstr>RowTitleRegion1..J3</vt:lpstr>
      <vt:lpstr>RowTitleRegion2..M3</vt:lpstr>
      <vt:lpstr>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2022-02-14T06:30:43Z</dcterms:created>
  <dcterms:modified xsi:type="dcterms:W3CDTF">2023-05-14T15:41:26Z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