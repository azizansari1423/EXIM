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 tabRatio="500"/>
  </bookViews>
  <sheets>
    <sheet name="Sales Fun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  <c r="H4" i="1"/>
  <c r="G5" i="1"/>
  <c r="G6" i="1"/>
  <c r="G7" i="1"/>
  <c r="G8" i="1"/>
  <c r="G9" i="1"/>
  <c r="G10" i="1"/>
  <c r="G11" i="1"/>
  <c r="G12" i="1"/>
  <c r="G4" i="1"/>
  <c r="F5" i="1"/>
  <c r="F6" i="1"/>
  <c r="F7" i="1"/>
  <c r="F8" i="1"/>
  <c r="F9" i="1"/>
  <c r="F10" i="1"/>
  <c r="F11" i="1"/>
  <c r="F12" i="1"/>
  <c r="F4" i="1"/>
  <c r="C14" i="1"/>
  <c r="D14" i="1"/>
</calcChain>
</file>

<file path=xl/sharedStrings.xml><?xml version="1.0" encoding="utf-8"?>
<sst xmlns="http://schemas.openxmlformats.org/spreadsheetml/2006/main" count="18" uniqueCount="15">
  <si>
    <t>SALES FUNNEL</t>
  </si>
  <si>
    <t>Pre-Approach</t>
  </si>
  <si>
    <t>First Contact</t>
  </si>
  <si>
    <t>First Interview</t>
  </si>
  <si>
    <t>Analysis</t>
  </si>
  <si>
    <t>Development</t>
  </si>
  <si>
    <t>Negotiations</t>
  </si>
  <si>
    <t>Final Commitment</t>
  </si>
  <si>
    <t xml:space="preserve">Proposed Commitment </t>
  </si>
  <si>
    <t>Follow Up</t>
  </si>
  <si>
    <t>ACTION</t>
  </si>
  <si>
    <t>PROBABILITY PERCENTAGE</t>
  </si>
  <si>
    <t>SALES FORECAST</t>
  </si>
  <si>
    <t>AVG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</si>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</sst>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\-&quot;$&quot;* #,##0.00_-;_-&quot;$&quot;* &quot;-&quot;??_-;_-@_-"/>
    <numFmt numFmtId="167" formatCode="_([$$-409]* #,##0.00_);_([$$-409]* \(#,##0.00\);_([$$-409]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36"/>
      <color rgb="FF002060"/>
      <name val="Arial"/>
      <family val="2"/>
    </font>
    <font>
      <b/>
      <sz val="12"/>
      <color theme="8" tint="-0.249977111117893"/>
      <name val="Calibri"/>
      <family val="2"/>
      <scheme val="minor"/>
    </font>
    <font>
      <b/>
      <sz val="14"/>
      <color theme="0" tint="-0.499984740745262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theme="0" tint="-0.249977111117893"/>
      <name val="Arial"/>
      <family val="2"/>
    </font>
    <font>
      <b/>
      <sz val="3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167" fontId="12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 indent="1"/>
    </xf>
    <xf numFmtId="167" fontId="0" fillId="0" borderId="0" xfId="0" applyNumberFormat="1"/>
    <xf numFmtId="167" fontId="7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center"/>
    </xf>
    <xf numFmtId="167" fontId="6" fillId="2" borderId="2" xfId="0" applyNumberFormat="1" applyFont="1" applyFill="1" applyBorder="1" applyAlignment="1">
      <alignment horizontal="center" vertical="center" wrapText="1"/>
    </xf>
    <xf numFmtId="167" fontId="6" fillId="2" borderId="3" xfId="0" applyNumberFormat="1" applyFont="1" applyFill="1" applyBorder="1" applyAlignment="1">
      <alignment horizontal="center" vertical="center" wrapText="1"/>
    </xf>
    <xf numFmtId="167" fontId="6" fillId="2" borderId="4" xfId="0" applyNumberFormat="1" applyFont="1" applyFill="1" applyBorder="1" applyAlignment="1">
      <alignment horizontal="center" vertical="center" wrapText="1"/>
    </xf>
    <xf numFmtId="167" fontId="11" fillId="5" borderId="11" xfId="0" applyNumberFormat="1" applyFont="1" applyFill="1" applyBorder="1" applyAlignment="1">
      <alignment horizontal="center" vertical="center" wrapText="1"/>
    </xf>
    <xf numFmtId="167" fontId="11" fillId="5" borderId="12" xfId="0" applyNumberFormat="1" applyFont="1" applyFill="1" applyBorder="1" applyAlignment="1">
      <alignment horizontal="center" vertical="center" wrapText="1"/>
    </xf>
    <xf numFmtId="167" fontId="11" fillId="5" borderId="13" xfId="0" applyNumberFormat="1" applyFont="1" applyFill="1" applyBorder="1" applyAlignment="1">
      <alignment horizontal="center" vertical="center" wrapText="1"/>
    </xf>
    <xf numFmtId="167" fontId="5" fillId="0" borderId="5" xfId="0" applyNumberFormat="1" applyFont="1" applyFill="1" applyBorder="1" applyAlignment="1">
      <alignment horizontal="left" vertical="center" indent="1"/>
    </xf>
    <xf numFmtId="167" fontId="5" fillId="0" borderId="1" xfId="2" applyNumberFormat="1" applyFont="1" applyFill="1" applyBorder="1" applyAlignment="1">
      <alignment horizontal="center" vertical="center"/>
    </xf>
    <xf numFmtId="167" fontId="0" fillId="0" borderId="6" xfId="1" applyNumberFormat="1" applyFont="1" applyFill="1" applyBorder="1" applyAlignment="1">
      <alignment horizontal="left" vertical="center" indent="1"/>
    </xf>
    <xf numFmtId="167" fontId="3" fillId="0" borderId="0" xfId="0" applyNumberFormat="1" applyFont="1"/>
    <xf numFmtId="167" fontId="5" fillId="0" borderId="14" xfId="0" applyNumberFormat="1" applyFont="1" applyFill="1" applyBorder="1" applyAlignment="1">
      <alignment horizontal="left" vertical="center" indent="1"/>
    </xf>
    <xf numFmtId="167" fontId="5" fillId="0" borderId="10" xfId="2" applyNumberFormat="1" applyFont="1" applyFill="1" applyBorder="1" applyAlignment="1">
      <alignment horizontal="center" vertical="center"/>
    </xf>
    <xf numFmtId="167" fontId="0" fillId="0" borderId="15" xfId="1" applyNumberFormat="1" applyFont="1" applyFill="1" applyBorder="1" applyAlignment="1">
      <alignment horizontal="left" vertical="center" indent="1"/>
    </xf>
    <xf numFmtId="167" fontId="5" fillId="0" borderId="0" xfId="0" applyNumberFormat="1" applyFont="1" applyAlignment="1">
      <alignment horizontal="left" vertical="center" indent="1"/>
    </xf>
    <xf numFmtId="167" fontId="0" fillId="0" borderId="1" xfId="2" applyNumberFormat="1" applyFont="1" applyFill="1" applyBorder="1" applyAlignment="1">
      <alignment horizontal="center" vertical="center"/>
    </xf>
    <xf numFmtId="167" fontId="5" fillId="0" borderId="7" xfId="0" applyNumberFormat="1" applyFont="1" applyFill="1" applyBorder="1" applyAlignment="1">
      <alignment horizontal="left" vertical="center" indent="1"/>
    </xf>
    <xf numFmtId="167" fontId="5" fillId="0" borderId="8" xfId="2" applyNumberFormat="1" applyFont="1" applyFill="1" applyBorder="1" applyAlignment="1">
      <alignment horizontal="center" vertical="center"/>
    </xf>
    <xf numFmtId="167" fontId="0" fillId="0" borderId="9" xfId="1" applyNumberFormat="1" applyFont="1" applyFill="1" applyBorder="1" applyAlignment="1">
      <alignment horizontal="left" vertical="center" indent="1"/>
    </xf>
    <xf numFmtId="167" fontId="5" fillId="0" borderId="16" xfId="0" applyNumberFormat="1" applyFont="1" applyFill="1" applyBorder="1" applyAlignment="1">
      <alignment horizontal="left" vertical="center" indent="1"/>
    </xf>
    <xf numFmtId="167" fontId="5" fillId="0" borderId="17" xfId="2" applyNumberFormat="1" applyFont="1" applyFill="1" applyBorder="1" applyAlignment="1">
      <alignment horizontal="center" vertical="center"/>
    </xf>
    <xf numFmtId="167" fontId="0" fillId="0" borderId="18" xfId="1" applyNumberFormat="1" applyFont="1" applyFill="1" applyBorder="1" applyAlignment="1">
      <alignment horizontal="left" vertical="center" indent="1"/>
    </xf>
    <xf numFmtId="167" fontId="6" fillId="4" borderId="1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Alignment="1">
      <alignment horizontal="left" vertical="center" indent="1"/>
    </xf>
    <xf numFmtId="167" fontId="6" fillId="0" borderId="0" xfId="0" applyNumberFormat="1" applyFont="1" applyFill="1" applyBorder="1" applyAlignment="1">
      <alignment horizontal="center" vertical="center" wrapText="1"/>
    </xf>
    <xf numFmtId="167" fontId="10" fillId="3" borderId="1" xfId="2" applyNumberFormat="1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>
      <alignment horizontal="left" vertical="center" indent="1"/>
    </xf>
    <xf numFmtId="167" fontId="8" fillId="0" borderId="0" xfId="2" applyNumberFormat="1" applyFont="1" applyFill="1" applyBorder="1" applyAlignment="1">
      <alignment horizontal="center" vertical="center"/>
    </xf>
    <xf numFmtId="167" fontId="8" fillId="0" borderId="0" xfId="1" applyNumberFormat="1" applyFont="1" applyFill="1" applyBorder="1" applyAlignment="1">
      <alignment horizontal="left" vertical="center" indent="1"/>
    </xf>
    <xf numFmtId="167" fontId="4" fillId="0" borderId="0" xfId="0" applyNumberFormat="1" applyFont="1" applyAlignment="1">
      <alignment horizontal="left" indent="1"/>
    </xf>
    <xf numFmtId="167" fontId="4" fillId="0" borderId="0" xfId="0" applyNumberFormat="1" applyFont="1" applyFill="1" applyBorder="1" applyAlignment="1">
      <alignment horizontal="left" indent="1"/>
    </xf>
  </cellXfs>
  <cellStyles count="4">
    <cellStyle name="Currency" xfId="1" builtinId="4"/>
    <cellStyle name="Normal" xfId="0" builtinId="0"/>
    <cellStyle name="Normal 2" xfId="3"/>
    <cellStyle name="Percent" xfId="2" builtinId="5"/>
  </cellStyles>
  <dxfs count="16">
    <dxf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0.249977111117893"/>
        <name val="Arial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numFmt numFmtId="167" formatCode="_([$$-409]* #,##0.00_);_([$$-409]* \(#,##0.00\);_([$$-409]* &quot;-&quot;??_);_(@_)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1" tint="0.499984740745262"/>
        </top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bottom style="thin">
          <color theme="1" tint="0.499984740745262"/>
        </bottom>
      </border>
    </dxf>
    <dxf>
      <border>
        <top style="thin">
          <color theme="4"/>
        </top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bottom style="thin">
          <color theme="4"/>
        </bottom>
      </border>
    </dxf>
  </dxfs>
  <tableStyles count="0" defaultTableStyle="TableStyleMedium9" defaultPivotStyle="PivotStyleMedium7"/>
  <colors>
    <mruColors>
      <color rgb="FF00BD32"/>
      <color rgb="FF7E90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1"/>
          <c:order val="0"/>
          <c:tx>
            <c:strRef>
              <c:f>'Sales Funnel'!$D$3</c:f>
              <c:strCache>
                <c:ptCount val="1"/>
                <c:pt idx="0">
                  <c:v>SALES FORECAST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3D-40D9-B5D1-4C78184FE07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3D-40D9-B5D1-4C78184FE07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3D-40D9-B5D1-4C78184FE070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A3D-40D9-B5D1-4C78184FE070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A3D-40D9-B5D1-4C78184FE070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3D-40D9-B5D1-4C78184FE070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A3D-40D9-B5D1-4C78184FE070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A3D-40D9-B5D1-4C78184FE070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A3D-40D9-B5D1-4C78184FE0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Funnel'!$B$4:$B$12</c:f>
              <c:strCache>
                <c:ptCount val="9"/>
                <c:pt idx="0">
                  <c:v>Analysis</c:v>
                </c:pt>
                <c:pt idx="1">
                  <c:v>First Contact</c:v>
                </c:pt>
                <c:pt idx="2">
                  <c:v>Negotiations</c:v>
                </c:pt>
                <c:pt idx="3">
                  <c:v>First Interview</c:v>
                </c:pt>
                <c:pt idx="4">
                  <c:v>Final Commitment</c:v>
                </c:pt>
                <c:pt idx="5">
                  <c:v>Pre-Approach</c:v>
                </c:pt>
                <c:pt idx="6">
                  <c:v>Development</c:v>
                </c:pt>
                <c:pt idx="7">
                  <c:v>Follow Up</c:v>
                </c:pt>
                <c:pt idx="8">
                  <c:v>Proposed Commitment </c:v>
                </c:pt>
              </c:strCache>
            </c:strRef>
          </c:cat>
          <c:val>
            <c:numRef>
              <c:f>'Sales Funnel'!$D$4:$D$12</c:f>
              <c:numCache>
                <c:formatCode>_([$$-409]* #,##0.00_);_([$$-409]* \(#,##0.00\);_([$$-409]* "-"??_);_(@_)</c:formatCode>
                <c:ptCount val="9"/>
                <c:pt idx="0">
                  <c:v>38284</c:v>
                </c:pt>
                <c:pt idx="1">
                  <c:v>45025</c:v>
                </c:pt>
                <c:pt idx="2">
                  <c:v>51821</c:v>
                </c:pt>
                <c:pt idx="3">
                  <c:v>69758</c:v>
                </c:pt>
                <c:pt idx="4">
                  <c:v>76787</c:v>
                </c:pt>
                <c:pt idx="5">
                  <c:v>140291</c:v>
                </c:pt>
                <c:pt idx="6">
                  <c:v>166174</c:v>
                </c:pt>
                <c:pt idx="7">
                  <c:v>176982</c:v>
                </c:pt>
                <c:pt idx="8">
                  <c:v>192792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A3D-40D9-B5D1-4C78184FE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105927096"/>
        <c:axId val="2143446120"/>
      </c:barChart>
      <c:catAx>
        <c:axId val="2105927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3446120"/>
        <c:crosses val="autoZero"/>
        <c:auto val="1"/>
        <c:lblAlgn val="ctr"/>
        <c:lblOffset val="100"/>
        <c:tickLblSkip val="1"/>
        <c:noMultiLvlLbl val="0"/>
      </c:catAx>
      <c:valAx>
        <c:axId val="2143446120"/>
        <c:scaling>
          <c:orientation val="minMax"/>
        </c:scaling>
        <c:delete val="1"/>
        <c:axPos val="b"/>
        <c:numFmt formatCode="_([$$-409]* #,##0.00_);_([$$-409]* \(#,##0.00\);_([$$-409]* &quot;-&quot;??_);_(@_)" sourceLinked="1"/>
        <c:majorTickMark val="none"/>
        <c:minorTickMark val="none"/>
        <c:tickLblPos val="nextTo"/>
        <c:crossAx val="21059270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93460648"/>
        <c:axId val="2109473992"/>
      </c:barChart>
      <c:catAx>
        <c:axId val="2093460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9473992"/>
        <c:crosses val="autoZero"/>
        <c:auto val="1"/>
        <c:lblAlgn val="ctr"/>
        <c:lblOffset val="100"/>
        <c:tickLblSkip val="1"/>
        <c:noMultiLvlLbl val="0"/>
      </c:catAx>
      <c:valAx>
        <c:axId val="2109473992"/>
        <c:scaling>
          <c:orientation val="minMax"/>
        </c:scaling>
        <c:delete val="1"/>
        <c:axPos val="b"/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2093460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83323</xdr:rowOff>
    </xdr:from>
    <xdr:to>
      <xdr:col>10</xdr:col>
      <xdr:colOff>228600</xdr:colOff>
      <xdr:row>42</xdr:row>
      <xdr:rowOff>139866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83323</xdr:rowOff>
    </xdr:from>
    <xdr:to>
      <xdr:col>5</xdr:col>
      <xdr:colOff>596900</xdr:colOff>
      <xdr:row>42</xdr:row>
      <xdr:rowOff>139866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3:D12" totalsRowShown="0" headerRowDxfId="6" dataDxfId="5" headerRowBorderDxfId="15" tableBorderDxfId="14" totalsRowBorderDxfId="13">
  <autoFilter ref="B3:D12"/>
  <sortState ref="B2:D10">
    <sortCondition ref="D1:D10"/>
  </sortState>
  <tableColumns count="3">
    <tableColumn id="1" name="ACTION" dataDxfId="9"/>
    <tableColumn id="2" name="PROBABILITY PERCENTAGE" dataDxfId="8"/>
    <tableColumn id="3" name="SALES FORECAST" dataDxfId="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e2" displayName="Table2" ref="F3:H12" totalsRowShown="0" headerRowDxfId="1" dataDxfId="0" headerRowBorderDxfId="12" tableBorderDxfId="11" totalsRowBorderDxfId="10">
  <autoFilter ref="F3:H12"/>
  <sortState ref="F2:H10">
    <sortCondition ref="H1:H10"/>
  </sortState>
  <tableColumns count="3">
    <tableColumn id="1" name="ACTION" dataDxfId="4">
      <calculatedColumnFormula>B4</calculatedColumnFormula>
    </tableColumn>
    <tableColumn id="2" name="PROBABILITY PERCENTAGE" dataDxfId="3">
      <calculatedColumnFormula>Table1[[#This Row],[PROBABILITY PERCENTAGE]]</calculatedColumnFormula>
    </tableColumn>
    <tableColumn id="3" name="SALES FORECAST" dataDxfId="2">
      <calculatedColumnFormula>Table1[[#This Row],[SALES FORECAST]]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B1:K15"/>
  <sheetViews>
    <sheetView showGridLines="0" tabSelected="1" workbookViewId="0">
      <selection activeCell="D10" sqref="D10"/>
    </sheetView>
  </sheetViews>
  <sheetFormatPr defaultColWidth="10.875" defaultRowHeight="15" x14ac:dyDescent="0.2"/>
  <cols>
    <col min="1" max="1" width="2.5" style="34" customWidth="1"/>
    <col min="2" max="2" width="30.875" style="34" customWidth="1"/>
    <col min="3" max="3" width="31.625" style="34" customWidth="1"/>
    <col min="4" max="4" width="24" style="34" customWidth="1"/>
    <col min="5" max="5" width="10.875" style="34"/>
    <col min="6" max="6" width="30.875" style="34" customWidth="1"/>
    <col min="7" max="7" width="31.625" style="34" customWidth="1"/>
    <col min="8" max="8" width="24" style="34" customWidth="1"/>
    <col min="9" max="16384" width="10.875" style="34"/>
  </cols>
  <sheetData>
    <row r="1" spans="2:11" s="2" customFormat="1" ht="50.1" customHeight="1" x14ac:dyDescent="0.25">
      <c r="B1" s="1" t="s">
        <v>0</v>
      </c>
      <c r="I1" s="3"/>
      <c r="J1" s="3"/>
      <c r="K1" s="3"/>
    </row>
    <row r="2" spans="2:11" s="2" customFormat="1" ht="27" customHeight="1" x14ac:dyDescent="0.25">
      <c r="B2" s="4"/>
      <c r="F2" s="5"/>
      <c r="G2" s="5"/>
      <c r="H2" s="5"/>
    </row>
    <row r="3" spans="2:11" s="2" customFormat="1" ht="42.95" customHeight="1" x14ac:dyDescent="0.25">
      <c r="B3" s="6" t="s">
        <v>10</v>
      </c>
      <c r="C3" s="7" t="s">
        <v>11</v>
      </c>
      <c r="D3" s="8" t="s">
        <v>12</v>
      </c>
      <c r="F3" s="9" t="s">
        <v>10</v>
      </c>
      <c r="G3" s="10" t="s">
        <v>11</v>
      </c>
      <c r="H3" s="11" t="s">
        <v>12</v>
      </c>
    </row>
    <row r="4" spans="2:11" s="19" customFormat="1" ht="18" customHeight="1" x14ac:dyDescent="0.25">
      <c r="B4" s="12" t="s">
        <v>4</v>
      </c>
      <c r="C4" s="13">
        <v>0.22</v>
      </c>
      <c r="D4" s="14">
        <v>38284</v>
      </c>
      <c r="E4" s="15"/>
      <c r="F4" s="16" t="str">
        <f>B4</f>
        <v>Analysis</v>
      </c>
      <c r="G4" s="17">
        <f>Table1[[#This Row],[PROBABILITY PERCENTAGE]]</f>
        <v>0.22</v>
      </c>
      <c r="H4" s="18">
        <f>Table1[[#This Row],[SALES FORECAST]]</f>
        <v>38284</v>
      </c>
    </row>
    <row r="5" spans="2:11" s="19" customFormat="1" ht="18" customHeight="1" x14ac:dyDescent="0.25">
      <c r="B5" s="12" t="s">
        <v>2</v>
      </c>
      <c r="C5" s="13">
        <v>0.32</v>
      </c>
      <c r="D5" s="14">
        <v>45025</v>
      </c>
      <c r="E5" s="15"/>
      <c r="F5" s="16" t="str">
        <f t="shared" ref="F5:F12" si="0">B5</f>
        <v>First Contact</v>
      </c>
      <c r="G5" s="17">
        <f>Table1[[#This Row],[PROBABILITY PERCENTAGE]]</f>
        <v>0.32</v>
      </c>
      <c r="H5" s="18">
        <f>Table1[[#This Row],[SALES FORECAST]]</f>
        <v>45025</v>
      </c>
    </row>
    <row r="6" spans="2:11" s="19" customFormat="1" ht="18" customHeight="1" x14ac:dyDescent="0.25">
      <c r="B6" s="12" t="s">
        <v>6</v>
      </c>
      <c r="C6" s="13">
        <v>0.42</v>
      </c>
      <c r="D6" s="14">
        <v>51821</v>
      </c>
      <c r="E6" s="15"/>
      <c r="F6" s="16" t="str">
        <f t="shared" si="0"/>
        <v>Negotiations</v>
      </c>
      <c r="G6" s="17">
        <f>Table1[[#This Row],[PROBABILITY PERCENTAGE]]</f>
        <v>0.42</v>
      </c>
      <c r="H6" s="18">
        <f>Table1[[#This Row],[SALES FORECAST]]</f>
        <v>51821</v>
      </c>
    </row>
    <row r="7" spans="2:11" s="19" customFormat="1" ht="18" customHeight="1" x14ac:dyDescent="0.25">
      <c r="B7" s="12" t="s">
        <v>3</v>
      </c>
      <c r="C7" s="13">
        <v>0.21</v>
      </c>
      <c r="D7" s="14">
        <v>69758</v>
      </c>
      <c r="E7" s="15"/>
      <c r="F7" s="16" t="str">
        <f t="shared" si="0"/>
        <v>First Interview</v>
      </c>
      <c r="G7" s="17">
        <f>Table1[[#This Row],[PROBABILITY PERCENTAGE]]</f>
        <v>0.21</v>
      </c>
      <c r="H7" s="18">
        <f>Table1[[#This Row],[SALES FORECAST]]</f>
        <v>69758</v>
      </c>
    </row>
    <row r="8" spans="2:11" s="19" customFormat="1" ht="18" customHeight="1" x14ac:dyDescent="0.25">
      <c r="B8" s="12" t="s">
        <v>7</v>
      </c>
      <c r="C8" s="13">
        <v>0.76</v>
      </c>
      <c r="D8" s="14">
        <v>76787</v>
      </c>
      <c r="E8" s="15"/>
      <c r="F8" s="16" t="str">
        <f t="shared" si="0"/>
        <v>Final Commitment</v>
      </c>
      <c r="G8" s="17">
        <f>Table1[[#This Row],[PROBABILITY PERCENTAGE]]</f>
        <v>0.76</v>
      </c>
      <c r="H8" s="18">
        <f>Table1[[#This Row],[SALES FORECAST]]</f>
        <v>76787</v>
      </c>
    </row>
    <row r="9" spans="2:11" s="19" customFormat="1" ht="18" customHeight="1" x14ac:dyDescent="0.25">
      <c r="B9" s="12" t="s">
        <v>1</v>
      </c>
      <c r="C9" s="20">
        <v>0.66</v>
      </c>
      <c r="D9" s="14">
        <v>140291</v>
      </c>
      <c r="E9" s="15"/>
      <c r="F9" s="16" t="str">
        <f t="shared" si="0"/>
        <v>Pre-Approach</v>
      </c>
      <c r="G9" s="17">
        <f>Table1[[#This Row],[PROBABILITY PERCENTAGE]]</f>
        <v>0.66</v>
      </c>
      <c r="H9" s="18">
        <f>Table1[[#This Row],[SALES FORECAST]]</f>
        <v>140291</v>
      </c>
    </row>
    <row r="10" spans="2:11" s="19" customFormat="1" ht="18" customHeight="1" x14ac:dyDescent="0.25">
      <c r="B10" s="12" t="s">
        <v>5</v>
      </c>
      <c r="C10" s="13">
        <v>0.55000000000000004</v>
      </c>
      <c r="D10" s="14">
        <v>166174</v>
      </c>
      <c r="E10" s="15"/>
      <c r="F10" s="16" t="str">
        <f t="shared" si="0"/>
        <v>Development</v>
      </c>
      <c r="G10" s="17">
        <f>Table1[[#This Row],[PROBABILITY PERCENTAGE]]</f>
        <v>0.55000000000000004</v>
      </c>
      <c r="H10" s="18">
        <f>Table1[[#This Row],[SALES FORECAST]]</f>
        <v>166174</v>
      </c>
    </row>
    <row r="11" spans="2:11" s="19" customFormat="1" ht="18" customHeight="1" x14ac:dyDescent="0.25">
      <c r="B11" s="12" t="s">
        <v>9</v>
      </c>
      <c r="C11" s="13">
        <v>0.43</v>
      </c>
      <c r="D11" s="14">
        <v>176982</v>
      </c>
      <c r="E11" s="15"/>
      <c r="F11" s="16" t="str">
        <f t="shared" si="0"/>
        <v>Follow Up</v>
      </c>
      <c r="G11" s="17">
        <f>Table1[[#This Row],[PROBABILITY PERCENTAGE]]</f>
        <v>0.43</v>
      </c>
      <c r="H11" s="18">
        <f>Table1[[#This Row],[SALES FORECAST]]</f>
        <v>176982</v>
      </c>
    </row>
    <row r="12" spans="2:11" s="19" customFormat="1" ht="18" customHeight="1" x14ac:dyDescent="0.25">
      <c r="B12" s="21" t="s">
        <v>8</v>
      </c>
      <c r="C12" s="22"/>
      <c r="D12" s="23">
        <v>192792</v>
      </c>
      <c r="E12" s="15"/>
      <c r="F12" s="24" t="str">
        <f t="shared" si="0"/>
        <v xml:space="preserve">Proposed Commitment </v>
      </c>
      <c r="G12" s="25">
        <f>Table1[[#This Row],[PROBABILITY PERCENTAGE]]</f>
        <v>0</v>
      </c>
      <c r="H12" s="26">
        <f>Table1[[#This Row],[SALES FORECAST]]</f>
        <v>192792</v>
      </c>
    </row>
    <row r="13" spans="2:11" s="2" customFormat="1" ht="21.95" customHeight="1" x14ac:dyDescent="0.25">
      <c r="C13" s="27" t="s">
        <v>13</v>
      </c>
      <c r="D13" s="27" t="s">
        <v>14</v>
      </c>
      <c r="F13" s="28"/>
      <c r="G13" s="29"/>
      <c r="H13" s="29"/>
      <c r="I13" s="28"/>
    </row>
    <row r="14" spans="2:11" s="2" customFormat="1" ht="21.95" customHeight="1" x14ac:dyDescent="0.25">
      <c r="C14" s="30">
        <f>AVERAGE(C4:C12)</f>
        <v>0.44624999999999998</v>
      </c>
      <c r="D14" s="31">
        <f>SUM(D4:D12)</f>
        <v>957914</v>
      </c>
      <c r="F14" s="28"/>
      <c r="G14" s="32"/>
      <c r="H14" s="33"/>
      <c r="I14" s="28"/>
    </row>
    <row r="15" spans="2:11" x14ac:dyDescent="0.2">
      <c r="F15" s="35"/>
      <c r="G15" s="35"/>
      <c r="H15" s="35"/>
      <c r="I15" s="35"/>
    </row>
  </sheetData>
  <pageMargins left="0.7" right="0.7" top="0.75" bottom="0.75" header="0.3" footer="0.3"/>
  <pageSetup orientation="portrait" horizontalDpi="0" verticalDpi="0"/>
  <drawing r:id="rId1"/>
  <tableParts count="2"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2016-05-22T17:56:43Z</dcterms:created>
  <dcterms:modified xsi:type="dcterms:W3CDTF">2023-05-14T15:37:21Z</dcterms:modified>
</cp:coreProperties>
</file>