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620" tabRatio="778"/>
  </bookViews>
  <sheets>
    <sheet name="Start-Up Costs Template" sheetId="5" r:id="rId1"/>
    <sheet name="Start-Up Costs Example" sheetId="3" r:id="rId2"/>
    <sheet name="P&amp;L Template" sheetId="7" r:id="rId3"/>
    <sheet name="P&amp;L Example" sheetId="4" r:id="rId4"/>
  </sheets>
  <definedNames>
    <definedName name="_xlnm.Print_Area" localSheetId="3">'P&amp;L Example'!$B$1:$O$23</definedName>
    <definedName name="_xlnm.Print_Area" localSheetId="2">'P&amp;L Template'!$B$1:$O$24</definedName>
    <definedName name="_xlnm.Print_Area" localSheetId="1">'Start-Up Costs Example'!$B$1:$F$9</definedName>
    <definedName name="_xlnm.Print_Area" localSheetId="0">'Start-Up Costs Template'!$B$1:$F$9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E19" i="7" l="1"/>
  <c r="F19" i="7"/>
  <c r="G19" i="7"/>
  <c r="H19" i="7"/>
  <c r="I19" i="7"/>
  <c r="J19" i="7"/>
  <c r="K19" i="7"/>
  <c r="L19" i="7"/>
  <c r="M19" i="7"/>
  <c r="N19" i="7"/>
  <c r="D19" i="7"/>
  <c r="C19" i="7"/>
  <c r="O18" i="7"/>
  <c r="N9" i="7"/>
  <c r="M9" i="7"/>
  <c r="L9" i="7"/>
  <c r="K9" i="7"/>
  <c r="J9" i="7"/>
  <c r="I9" i="7"/>
  <c r="H9" i="7"/>
  <c r="G9" i="7"/>
  <c r="F9" i="7"/>
  <c r="E9" i="7"/>
  <c r="D9" i="7"/>
  <c r="C9" i="7"/>
  <c r="D9" i="4"/>
  <c r="C18" i="4"/>
  <c r="D18" i="4"/>
  <c r="E18" i="4"/>
  <c r="F18" i="4"/>
  <c r="G18" i="4"/>
  <c r="H18" i="4"/>
  <c r="I18" i="4"/>
  <c r="J18" i="4"/>
  <c r="K18" i="4"/>
  <c r="L18" i="4"/>
  <c r="M18" i="4"/>
  <c r="N18" i="4"/>
  <c r="N9" i="4"/>
  <c r="M9" i="4"/>
  <c r="L9" i="4"/>
  <c r="K9" i="4"/>
  <c r="J9" i="4"/>
  <c r="I9" i="4"/>
  <c r="H9" i="4"/>
  <c r="G9" i="4"/>
  <c r="F9" i="4"/>
  <c r="E9" i="4"/>
  <c r="C9" i="4"/>
  <c r="B2" i="4"/>
  <c r="B2" i="7"/>
  <c r="B2" i="3"/>
  <c r="O19" i="7" l="1"/>
  <c r="O9" i="7"/>
  <c r="O18" i="4"/>
  <c r="O9" i="4"/>
  <c r="C2" i="7" l="1"/>
  <c r="C2" i="4"/>
  <c r="C10" i="7"/>
  <c r="D10" i="7"/>
  <c r="D11" i="7" s="1"/>
  <c r="E10" i="7"/>
  <c r="E11" i="7" s="1"/>
  <c r="F10" i="7"/>
  <c r="F11" i="7" s="1"/>
  <c r="G10" i="7"/>
  <c r="G11" i="7" s="1"/>
  <c r="H10" i="7"/>
  <c r="H11" i="7" s="1"/>
  <c r="I10" i="7"/>
  <c r="I11" i="7" s="1"/>
  <c r="J10" i="7"/>
  <c r="J11" i="7" s="1"/>
  <c r="K10" i="7"/>
  <c r="K11" i="7" s="1"/>
  <c r="L10" i="7"/>
  <c r="L11" i="7" s="1"/>
  <c r="M10" i="7"/>
  <c r="M11" i="7" s="1"/>
  <c r="N10" i="7"/>
  <c r="N11" i="7" s="1"/>
  <c r="C11" i="7" l="1"/>
  <c r="O10" i="7"/>
  <c r="C2" i="3"/>
  <c r="C2" i="5"/>
  <c r="F20" i="7" l="1"/>
  <c r="J20" i="7"/>
  <c r="N20" i="7"/>
  <c r="H20" i="7"/>
  <c r="I20" i="7"/>
  <c r="G20" i="7"/>
  <c r="K20" i="7"/>
  <c r="D20" i="7"/>
  <c r="L20" i="7"/>
  <c r="E20" i="7"/>
  <c r="M20" i="7"/>
  <c r="C20" i="7"/>
  <c r="O17" i="7"/>
  <c r="O16" i="7"/>
  <c r="O15" i="7"/>
  <c r="O14" i="7"/>
  <c r="O8" i="7"/>
  <c r="O7" i="7"/>
  <c r="O6" i="7"/>
  <c r="O5" i="7"/>
  <c r="F9" i="5"/>
  <c r="F8" i="5"/>
  <c r="F7" i="5"/>
  <c r="F6" i="5"/>
  <c r="F5" i="5"/>
  <c r="O15" i="4"/>
  <c r="O16" i="4"/>
  <c r="O17" i="4"/>
  <c r="O14" i="4"/>
  <c r="D10" i="4"/>
  <c r="D11" i="4" s="1"/>
  <c r="D19" i="4" s="1"/>
  <c r="E10" i="4"/>
  <c r="E11" i="4" s="1"/>
  <c r="E19" i="4" s="1"/>
  <c r="F10" i="4"/>
  <c r="F11" i="4" s="1"/>
  <c r="F19" i="4" s="1"/>
  <c r="G10" i="4"/>
  <c r="G11" i="4" s="1"/>
  <c r="G19" i="4" s="1"/>
  <c r="H10" i="4"/>
  <c r="H11" i="4" s="1"/>
  <c r="H19" i="4" s="1"/>
  <c r="I10" i="4"/>
  <c r="I11" i="4" s="1"/>
  <c r="I19" i="4" s="1"/>
  <c r="J10" i="4"/>
  <c r="J11" i="4" s="1"/>
  <c r="J19" i="4" s="1"/>
  <c r="K10" i="4"/>
  <c r="K11" i="4" s="1"/>
  <c r="K19" i="4" s="1"/>
  <c r="L10" i="4"/>
  <c r="L11" i="4" s="1"/>
  <c r="L19" i="4" s="1"/>
  <c r="M10" i="4"/>
  <c r="M11" i="4" s="1"/>
  <c r="M19" i="4" s="1"/>
  <c r="N10" i="4"/>
  <c r="N11" i="4" s="1"/>
  <c r="N19" i="4" s="1"/>
  <c r="C10" i="4"/>
  <c r="C11" i="4" s="1"/>
  <c r="C19" i="4" s="1"/>
  <c r="O6" i="4"/>
  <c r="O7" i="4"/>
  <c r="O8" i="4"/>
  <c r="O5" i="4"/>
  <c r="F6" i="3"/>
  <c r="F7" i="3"/>
  <c r="F8" i="3"/>
  <c r="F9" i="3"/>
  <c r="F5" i="3"/>
  <c r="F20" i="4" l="1"/>
  <c r="F22" i="4" s="1"/>
  <c r="M20" i="4"/>
  <c r="M22" i="4"/>
  <c r="I20" i="4"/>
  <c r="I22" i="4" s="1"/>
  <c r="E20" i="4"/>
  <c r="E22" i="4"/>
  <c r="J20" i="4"/>
  <c r="J22" i="4" s="1"/>
  <c r="L20" i="4"/>
  <c r="L22" i="4" s="1"/>
  <c r="H20" i="4"/>
  <c r="H22" i="4" s="1"/>
  <c r="D20" i="4"/>
  <c r="D22" i="4"/>
  <c r="N20" i="4"/>
  <c r="N22" i="4" s="1"/>
  <c r="K20" i="4"/>
  <c r="K22" i="4" s="1"/>
  <c r="G20" i="4"/>
  <c r="G22" i="4" s="1"/>
  <c r="M21" i="7"/>
  <c r="M23" i="7" s="1"/>
  <c r="C21" i="7"/>
  <c r="C23" i="7" s="1"/>
  <c r="D21" i="7"/>
  <c r="D23" i="7" s="1"/>
  <c r="H21" i="7"/>
  <c r="H23" i="7" s="1"/>
  <c r="N21" i="7"/>
  <c r="N23" i="7" s="1"/>
  <c r="E21" i="7"/>
  <c r="E23" i="7" s="1"/>
  <c r="G21" i="7"/>
  <c r="G23" i="7" s="1"/>
  <c r="J21" i="7"/>
  <c r="J23" i="7" s="1"/>
  <c r="K21" i="7"/>
  <c r="K23" i="7" s="1"/>
  <c r="L21" i="7"/>
  <c r="L23" i="7" s="1"/>
  <c r="I21" i="7"/>
  <c r="I23" i="7" s="1"/>
  <c r="F21" i="7"/>
  <c r="F23" i="7" s="1"/>
  <c r="O19" i="4"/>
  <c r="O10" i="4"/>
  <c r="F10" i="3"/>
  <c r="F10" i="5"/>
  <c r="O21" i="7" l="1"/>
  <c r="O11" i="4"/>
  <c r="C20" i="4" l="1"/>
  <c r="O20" i="7"/>
  <c r="O23" i="7" s="1"/>
  <c r="O11" i="7"/>
  <c r="O20" i="4" l="1"/>
  <c r="O22" i="4" s="1"/>
  <c r="C22" i="4"/>
</calcChain>
</file>

<file path=xl/sharedStrings.xml><?xml version="1.0" encoding="utf-8"?>
<sst xmlns="http://schemas.openxmlformats.org/spreadsheetml/2006/main" count="114" uniqueCount="44">
  <si>
    <t>START-UP COSTS</t>
  </si>
  <si>
    <t>COST ITEMS</t>
  </si>
  <si>
    <t>MONTHS</t>
  </si>
  <si>
    <t>COST/ MONTH</t>
  </si>
  <si>
    <t>ONE-TIME COST</t>
  </si>
  <si>
    <t>TOTAL COST</t>
  </si>
  <si>
    <t>Advertising/Marketing</t>
  </si>
  <si>
    <t>Employee Salaries</t>
  </si>
  <si>
    <t>Employee Payroll Taxes and Benefits</t>
  </si>
  <si>
    <t>Rent/Lease Payments/Utilities</t>
  </si>
  <si>
    <t>Postage/Shipping</t>
  </si>
  <si>
    <t>ESTIMATED START-UP BUDGET</t>
  </si>
  <si>
    <t>REVENUE</t>
  </si>
  <si>
    <t>JAN</t>
  </si>
  <si>
    <t>FEB</t>
  </si>
  <si>
    <t>MAR</t>
  </si>
  <si>
    <t>APR</t>
  </si>
  <si>
    <t>MAY</t>
  </si>
  <si>
    <t>JUN</t>
  </si>
  <si>
    <t>JUL</t>
  </si>
  <si>
    <t>AUG</t>
  </si>
  <si>
    <t>SEP</t>
  </si>
  <si>
    <t>OCT</t>
  </si>
  <si>
    <t>NOV</t>
  </si>
  <si>
    <t>DEC</t>
  </si>
  <si>
    <t>YTD</t>
  </si>
  <si>
    <t>Estimated Product Sales</t>
  </si>
  <si>
    <t>Less Sales Returns &amp; Discounts</t>
  </si>
  <si>
    <t>Service Revenue</t>
  </si>
  <si>
    <t xml:space="preserve">Other Revenue </t>
  </si>
  <si>
    <t>Net Sales</t>
  </si>
  <si>
    <t>Cost of Goods Sold</t>
  </si>
  <si>
    <t>Gross Profit</t>
  </si>
  <si>
    <t>EXPENSES</t>
  </si>
  <si>
    <t>Salaries &amp; Wages</t>
  </si>
  <si>
    <t>Marketing/Advertising</t>
  </si>
  <si>
    <t>Sales Commissions</t>
  </si>
  <si>
    <t>Rent</t>
  </si>
  <si>
    <t>Other 1</t>
  </si>
  <si>
    <t>Total Expenses</t>
  </si>
  <si>
    <t>Income Before Taxes</t>
  </si>
  <si>
    <t>Income Tax Expense</t>
  </si>
  <si>
    <t>NET INCOME</t>
  </si>
  <si>
    <t>YOUR COMPANY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</si>
</sst>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mmmm\ d\,\ yyyy;@"/>
    <numFmt numFmtId="165" formatCode="&quot;$&quot;#,##0"/>
    <numFmt numFmtId="167" formatCode="_([$$-409]* #,##0.00_);_([$$-409]* \(#,##0.00\);_([$$-409]* &quot;-&quot;??_);_(@_)"/>
  </numFmts>
  <fonts count="17" x14ac:knownFonts="1">
    <font>
      <sz val="11"/>
      <color theme="1"/>
      <name val="Calibri"/>
      <family val="2"/>
      <scheme val="minor"/>
    </font>
    <font>
      <sz val="11"/>
      <color theme="0" tint="-4.9989318521683403E-2"/>
      <name val="Calibri"/>
      <family val="2"/>
      <scheme val="minor"/>
    </font>
    <font>
      <b/>
      <sz val="5"/>
      <color theme="0" tint="-4.9989318521683403E-2"/>
      <name val="Calibri"/>
      <family val="2"/>
      <scheme val="minor"/>
    </font>
    <font>
      <b/>
      <sz val="11"/>
      <color theme="1"/>
      <name val="Calibri"/>
      <family val="2"/>
      <scheme val="minor"/>
    </font>
    <font>
      <sz val="9"/>
      <color rgb="FF2F2F2F"/>
      <name val="Calibri"/>
      <family val="2"/>
      <scheme val="minor"/>
    </font>
    <font>
      <b/>
      <sz val="10"/>
      <color rgb="FF2F2F2F"/>
      <name val="Calibri"/>
      <family val="2"/>
      <scheme val="minor"/>
    </font>
    <font>
      <b/>
      <sz val="9"/>
      <color rgb="FF2F2F2F"/>
      <name val="Calibri"/>
      <family val="2"/>
      <scheme val="minor"/>
    </font>
    <font>
      <b/>
      <sz val="10"/>
      <color theme="1"/>
      <name val="Calibri"/>
      <family val="2"/>
      <scheme val="minor"/>
    </font>
    <font>
      <sz val="11"/>
      <color rgb="FFFF0000"/>
      <name val="Calibri"/>
      <family val="2"/>
      <scheme val="minor"/>
    </font>
    <font>
      <b/>
      <sz val="10"/>
      <color rgb="FFFF0000"/>
      <name val="Calibri"/>
      <family val="2"/>
      <scheme val="minor"/>
    </font>
    <font>
      <sz val="9"/>
      <color rgb="FFFF0000"/>
      <name val="Calibri"/>
      <family val="2"/>
      <scheme val="minor"/>
    </font>
    <font>
      <b/>
      <sz val="9"/>
      <color rgb="FFFF0000"/>
      <name val="Calibri"/>
      <family val="2"/>
      <scheme val="minor"/>
    </font>
    <font>
      <b/>
      <sz val="10"/>
      <color theme="0"/>
      <name val="Calibri"/>
      <family val="2"/>
      <scheme val="minor"/>
    </font>
    <font>
      <b/>
      <sz val="11"/>
      <color theme="0"/>
      <name val="Calibri"/>
      <family val="2"/>
      <scheme val="minor"/>
    </font>
    <font>
      <sz val="11"/>
      <color theme="0"/>
      <name val="Calibri"/>
      <family val="2"/>
      <scheme val="minor"/>
    </font>
    <font>
      <sz val="9"/>
      <color theme="0"/>
      <name val="Calibri"/>
      <family val="2"/>
      <scheme val="minor"/>
    </font>
    <font>
      <b/>
      <sz val="9"/>
      <color theme="0"/>
      <name val="Calibri"/>
      <family val="2"/>
      <scheme val="minor"/>
    </font>
  </fonts>
  <fills count="6">
    <fill>
      <patternFill patternType="none"/>
    </fill>
    <fill>
      <patternFill patternType="gray125"/>
    </fill>
    <fill>
      <patternFill patternType="solid">
        <fgColor rgb="FFD83B01"/>
        <bgColor indexed="64"/>
      </patternFill>
    </fill>
    <fill>
      <patternFill patternType="solid">
        <fgColor rgb="FF2F2F2F"/>
        <bgColor indexed="64"/>
      </patternFill>
    </fill>
    <fill>
      <patternFill patternType="solid">
        <fgColor theme="0"/>
        <bgColor indexed="64"/>
      </patternFill>
    </fill>
    <fill>
      <patternFill patternType="solid">
        <fgColor rgb="FFE6E6E6"/>
        <bgColor indexed="64"/>
      </patternFill>
    </fill>
  </fills>
  <borders count="35">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1" tint="0.249977111117893"/>
      </left>
      <right/>
      <top style="thin">
        <color theme="1" tint="0.249977111117893"/>
      </top>
      <bottom style="thin">
        <color theme="1" tint="0.249977111117893"/>
      </bottom>
      <diagonal/>
    </border>
    <border>
      <left/>
      <right/>
      <top style="thin">
        <color theme="1" tint="0.249977111117893"/>
      </top>
      <bottom style="thin">
        <color theme="1" tint="0.249977111117893"/>
      </bottom>
      <diagonal/>
    </border>
    <border>
      <left/>
      <right style="thin">
        <color theme="1" tint="0.249977111117893"/>
      </right>
      <top style="thin">
        <color theme="1" tint="0.249977111117893"/>
      </top>
      <bottom style="thin">
        <color theme="1" tint="0.249977111117893"/>
      </bottom>
      <diagonal/>
    </border>
    <border>
      <left style="thin">
        <color theme="1" tint="0.249977111117893"/>
      </left>
      <right/>
      <top/>
      <bottom/>
      <diagonal/>
    </border>
    <border>
      <left style="thin">
        <color theme="1" tint="0.249977111117893"/>
      </left>
      <right/>
      <top style="thin">
        <color theme="1" tint="0.249977111117893"/>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theme="1" tint="0.249977111117893"/>
      </right>
      <top style="thin">
        <color theme="1" tint="0.249977111117893"/>
      </top>
      <bottom style="thin">
        <color theme="1" tint="0.249977111117893"/>
      </bottom>
      <diagonal/>
    </border>
    <border>
      <left/>
      <right style="thin">
        <color indexed="64"/>
      </right>
      <top/>
      <bottom/>
      <diagonal/>
    </border>
    <border>
      <left style="thin">
        <color indexed="64"/>
      </left>
      <right/>
      <top style="thin">
        <color theme="1" tint="0.249977111117893"/>
      </top>
      <bottom style="thin">
        <color theme="1" tint="0.249977111117893"/>
      </bottom>
      <diagonal/>
    </border>
    <border>
      <left style="thin">
        <color theme="1" tint="0.249977111117893"/>
      </left>
      <right style="thin">
        <color indexed="64"/>
      </right>
      <top style="thin">
        <color theme="1" tint="0.249977111117893"/>
      </top>
      <bottom style="thin">
        <color theme="1" tint="0.249977111117893"/>
      </bottom>
      <diagonal/>
    </border>
    <border>
      <left/>
      <right style="thin">
        <color indexed="64"/>
      </right>
      <top style="thin">
        <color theme="1" tint="0.249977111117893"/>
      </top>
      <bottom style="thin">
        <color theme="1" tint="0.249977111117893"/>
      </bottom>
      <diagonal/>
    </border>
    <border>
      <left style="thin">
        <color indexed="64"/>
      </left>
      <right/>
      <top style="thin">
        <color theme="1" tint="0.249977111117893"/>
      </top>
      <bottom style="thin">
        <color indexed="64"/>
      </bottom>
      <diagonal/>
    </border>
    <border>
      <left/>
      <right/>
      <top style="thin">
        <color theme="1" tint="0.249977111117893"/>
      </top>
      <bottom style="thin">
        <color indexed="64"/>
      </bottom>
      <diagonal/>
    </border>
    <border>
      <left/>
      <right style="thin">
        <color indexed="64"/>
      </right>
      <top style="thin">
        <color theme="1" tint="0.249977111117893"/>
      </top>
      <bottom style="thin">
        <color indexed="64"/>
      </bottom>
      <diagonal/>
    </border>
    <border>
      <left style="thin">
        <color theme="1" tint="0.249977111117893"/>
      </left>
      <right/>
      <top/>
      <bottom style="thin">
        <color theme="1" tint="0.249977111117893"/>
      </bottom>
      <diagonal/>
    </border>
    <border>
      <left/>
      <right/>
      <top/>
      <bottom style="thin">
        <color theme="1" tint="0.249977111117893"/>
      </bottom>
      <diagonal/>
    </border>
    <border>
      <left style="thin">
        <color indexed="64"/>
      </left>
      <right/>
      <top/>
      <bottom style="thin">
        <color theme="1" tint="0.249977111117893"/>
      </bottom>
      <diagonal/>
    </border>
    <border>
      <left/>
      <right style="thin">
        <color indexed="64"/>
      </right>
      <top/>
      <bottom style="thin">
        <color theme="1" tint="0.249977111117893"/>
      </bottom>
      <diagonal/>
    </border>
    <border>
      <left/>
      <right style="thin">
        <color theme="1" tint="0.249977111117893"/>
      </right>
      <top/>
      <bottom style="thin">
        <color theme="1" tint="0.249977111117893"/>
      </bottom>
      <diagonal/>
    </border>
    <border>
      <left style="thin">
        <color theme="1" tint="0.249977111117893"/>
      </left>
      <right style="thin">
        <color theme="1" tint="0.249977111117893"/>
      </right>
      <top/>
      <bottom style="thin">
        <color theme="1" tint="0.249977111117893"/>
      </bottom>
      <diagonal/>
    </border>
    <border>
      <left/>
      <right style="thin">
        <color theme="1" tint="0.249977111117893"/>
      </right>
      <top style="thin">
        <color theme="1" tint="0.249977111117893"/>
      </top>
      <bottom/>
      <diagonal/>
    </border>
    <border>
      <left style="thin">
        <color theme="1" tint="0.249977111117893"/>
      </left>
      <right style="thin">
        <color theme="1" tint="0.249977111117893"/>
      </right>
      <top style="thin">
        <color theme="1" tint="0.249977111117893"/>
      </top>
      <bottom/>
      <diagonal/>
    </border>
    <border>
      <left style="thin">
        <color theme="1" tint="0.249977111117893"/>
      </left>
      <right/>
      <top style="thin">
        <color theme="1" tint="0.249977111117893"/>
      </top>
      <bottom style="thin">
        <color indexed="64"/>
      </bottom>
      <diagonal/>
    </border>
    <border>
      <left/>
      <right/>
      <top style="thin">
        <color theme="1" tint="0.249977111117893"/>
      </top>
      <bottom/>
      <diagonal/>
    </border>
    <border>
      <left style="thin">
        <color theme="1" tint="0.249977111117893"/>
      </left>
      <right style="thin">
        <color theme="1" tint="0.249977111117893"/>
      </right>
      <top style="thin">
        <color theme="1" tint="0.249977111117893"/>
      </top>
      <bottom style="thick">
        <color rgb="FFD83B01"/>
      </bottom>
      <diagonal/>
    </border>
    <border>
      <left/>
      <right style="thin">
        <color theme="1" tint="0.249977111117893"/>
      </right>
      <top/>
      <bottom style="thick">
        <color rgb="FFD83B01"/>
      </bottom>
      <diagonal/>
    </border>
    <border>
      <left style="thin">
        <color theme="1" tint="0.249977111117893"/>
      </left>
      <right style="thin">
        <color theme="1" tint="0.249977111117893"/>
      </right>
      <top/>
      <bottom style="thick">
        <color rgb="FFD83B01"/>
      </bottom>
      <diagonal/>
    </border>
    <border>
      <left style="thin">
        <color theme="1" tint="0.249977111117893"/>
      </left>
      <right/>
      <top/>
      <bottom style="thick">
        <color rgb="FFD83B01"/>
      </bottom>
      <diagonal/>
    </border>
    <border>
      <left/>
      <right style="thin">
        <color theme="1" tint="0.24994659260841701"/>
      </right>
      <top/>
      <bottom style="thick">
        <color rgb="FFD83B01"/>
      </bottom>
      <diagonal/>
    </border>
    <border>
      <left/>
      <right style="thin">
        <color theme="1" tint="0.249977111117893"/>
      </right>
      <top style="thin">
        <color theme="1" tint="0.249977111117893"/>
      </top>
      <bottom style="thick">
        <color rgb="FFD83B01"/>
      </bottom>
      <diagonal/>
    </border>
    <border>
      <left style="thin">
        <color theme="1" tint="0.249977111117893"/>
      </left>
      <right/>
      <top style="thin">
        <color theme="1" tint="0.249977111117893"/>
      </top>
      <bottom style="thick">
        <color rgb="FFD83B01"/>
      </bottom>
      <diagonal/>
    </border>
  </borders>
  <cellStyleXfs count="1">
    <xf numFmtId="0" fontId="0" fillId="0" borderId="0"/>
  </cellStyleXfs>
  <cellXfs count="148">
    <xf numFmtId="0" fontId="0" fillId="0" borderId="0" xfId="0"/>
    <xf numFmtId="0" fontId="0" fillId="3" borderId="0" xfId="0" applyFill="1"/>
    <xf numFmtId="0" fontId="0" fillId="4" borderId="0" xfId="0" applyFill="1" applyAlignment="1">
      <alignment horizontal="left" vertical="center"/>
    </xf>
    <xf numFmtId="0" fontId="0" fillId="3" borderId="0" xfId="0" applyFill="1" applyAlignment="1">
      <alignment horizontal="left" vertical="center"/>
    </xf>
    <xf numFmtId="0" fontId="1" fillId="4" borderId="0" xfId="0" applyFont="1" applyFill="1" applyAlignment="1">
      <alignment horizontal="center" vertical="center"/>
    </xf>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1" fillId="4" borderId="0" xfId="0" applyFont="1" applyFill="1" applyAlignment="1">
      <alignment horizontal="center" vertical="center" wrapText="1"/>
    </xf>
    <xf numFmtId="0" fontId="4" fillId="5" borderId="1" xfId="0" applyFont="1" applyFill="1" applyBorder="1" applyAlignment="1">
      <alignment horizontal="center" vertical="center"/>
    </xf>
    <xf numFmtId="165" fontId="4" fillId="5" borderId="1" xfId="0" applyNumberFormat="1" applyFont="1" applyFill="1" applyBorder="1" applyAlignment="1">
      <alignment horizontal="center" vertical="center"/>
    </xf>
    <xf numFmtId="0" fontId="3" fillId="4" borderId="0" xfId="0" applyFont="1" applyFill="1" applyAlignment="1">
      <alignment horizontal="left" vertical="center"/>
    </xf>
    <xf numFmtId="0" fontId="3" fillId="3" borderId="0" xfId="0" applyFont="1" applyFill="1" applyAlignment="1">
      <alignment horizontal="left" vertical="center"/>
    </xf>
    <xf numFmtId="0" fontId="5" fillId="5" borderId="1" xfId="0" applyFont="1" applyFill="1" applyBorder="1" applyAlignment="1">
      <alignment horizontal="left" vertical="center"/>
    </xf>
    <xf numFmtId="0" fontId="5" fillId="4" borderId="0" xfId="0" applyFont="1" applyFill="1" applyAlignment="1">
      <alignment horizontal="left" vertical="center"/>
    </xf>
    <xf numFmtId="0" fontId="4" fillId="4" borderId="0" xfId="0" applyFont="1" applyFill="1" applyAlignment="1">
      <alignment horizontal="center" vertical="center"/>
    </xf>
    <xf numFmtId="0" fontId="7" fillId="4" borderId="0" xfId="0" applyFont="1" applyFill="1" applyAlignment="1">
      <alignment horizontal="left" vertical="center"/>
    </xf>
    <xf numFmtId="0" fontId="7" fillId="3" borderId="0" xfId="0" applyFont="1" applyFill="1" applyAlignment="1">
      <alignment horizontal="left" vertical="center"/>
    </xf>
    <xf numFmtId="0" fontId="5" fillId="3" borderId="0" xfId="0" applyFont="1" applyFill="1" applyAlignment="1">
      <alignment horizontal="left" vertical="center"/>
    </xf>
    <xf numFmtId="0" fontId="4" fillId="3" borderId="0" xfId="0" applyFont="1" applyFill="1" applyAlignment="1">
      <alignment horizontal="center" vertical="center"/>
    </xf>
    <xf numFmtId="0" fontId="6" fillId="5" borderId="4" xfId="0" applyFont="1" applyFill="1" applyBorder="1" applyAlignment="1">
      <alignment horizontal="left" vertical="center" wrapText="1"/>
    </xf>
    <xf numFmtId="165" fontId="4" fillId="5" borderId="2" xfId="0" applyNumberFormat="1" applyFont="1" applyFill="1" applyBorder="1" applyAlignment="1">
      <alignment horizontal="center" vertical="center"/>
    </xf>
    <xf numFmtId="0" fontId="12" fillId="2" borderId="24" xfId="0" applyFont="1" applyFill="1" applyBorder="1" applyAlignment="1">
      <alignment horizontal="left" vertical="center" wrapText="1"/>
    </xf>
    <xf numFmtId="0" fontId="12" fillId="2" borderId="25" xfId="0" applyFont="1" applyFill="1" applyBorder="1" applyAlignment="1">
      <alignment horizontal="center" vertical="center"/>
    </xf>
    <xf numFmtId="165" fontId="12" fillId="2" borderId="6" xfId="0" applyNumberFormat="1" applyFont="1" applyFill="1" applyBorder="1" applyAlignment="1">
      <alignment horizontal="center" vertical="center"/>
    </xf>
    <xf numFmtId="0" fontId="12" fillId="2" borderId="2" xfId="0" applyFont="1" applyFill="1" applyBorder="1" applyAlignment="1">
      <alignment vertical="center"/>
    </xf>
    <xf numFmtId="0" fontId="12" fillId="2" borderId="3" xfId="0" applyFont="1" applyFill="1" applyBorder="1" applyAlignment="1">
      <alignment vertical="center"/>
    </xf>
    <xf numFmtId="0" fontId="12" fillId="2" borderId="4" xfId="0" applyFont="1" applyFill="1" applyBorder="1" applyAlignment="1">
      <alignment vertical="center"/>
    </xf>
    <xf numFmtId="0" fontId="12" fillId="4" borderId="0" xfId="0" applyFont="1" applyFill="1" applyAlignment="1">
      <alignment horizontal="left" vertical="center" wrapText="1"/>
    </xf>
    <xf numFmtId="0" fontId="14" fillId="4" borderId="0" xfId="0" applyFont="1" applyFill="1" applyAlignment="1">
      <alignment horizontal="left" vertical="center" wrapText="1"/>
    </xf>
    <xf numFmtId="0" fontId="15" fillId="4" borderId="0" xfId="0" applyFont="1" applyFill="1" applyAlignment="1">
      <alignment horizontal="center" vertical="center" wrapText="1"/>
    </xf>
    <xf numFmtId="0" fontId="14" fillId="4" borderId="0" xfId="0" applyFont="1" applyFill="1" applyAlignment="1">
      <alignment horizontal="center" vertical="center" wrapText="1"/>
    </xf>
    <xf numFmtId="0" fontId="14" fillId="4" borderId="0" xfId="0" applyFont="1" applyFill="1" applyAlignment="1">
      <alignment wrapText="1"/>
    </xf>
    <xf numFmtId="0" fontId="13" fillId="4" borderId="0" xfId="0" applyFont="1" applyFill="1" applyAlignment="1">
      <alignment horizontal="left" vertical="center" wrapText="1"/>
    </xf>
    <xf numFmtId="164" fontId="2" fillId="2" borderId="6" xfId="0" applyNumberFormat="1" applyFont="1" applyFill="1" applyBorder="1" applyAlignment="1">
      <alignment vertical="center" wrapText="1"/>
    </xf>
    <xf numFmtId="164" fontId="2" fillId="2" borderId="27" xfId="0" applyNumberFormat="1" applyFont="1" applyFill="1" applyBorder="1" applyAlignment="1">
      <alignment vertical="center" wrapText="1"/>
    </xf>
    <xf numFmtId="164" fontId="2" fillId="2" borderId="24" xfId="0" applyNumberFormat="1" applyFont="1" applyFill="1" applyBorder="1" applyAlignment="1">
      <alignment vertical="center" wrapText="1"/>
    </xf>
    <xf numFmtId="0" fontId="6" fillId="5" borderId="22" xfId="0" applyFont="1" applyFill="1" applyBorder="1" applyAlignment="1">
      <alignment horizontal="left" vertical="center" wrapText="1"/>
    </xf>
    <xf numFmtId="0" fontId="4" fillId="5" borderId="23" xfId="0" applyFont="1" applyFill="1" applyBorder="1" applyAlignment="1">
      <alignment horizontal="center" vertical="center"/>
    </xf>
    <xf numFmtId="165" fontId="4" fillId="5" borderId="23" xfId="0" applyNumberFormat="1" applyFont="1" applyFill="1" applyBorder="1" applyAlignment="1">
      <alignment horizontal="center" vertical="center"/>
    </xf>
    <xf numFmtId="165" fontId="4" fillId="5" borderId="18" xfId="0" applyNumberFormat="1" applyFont="1" applyFill="1" applyBorder="1" applyAlignment="1">
      <alignment horizontal="center" vertical="center"/>
    </xf>
    <xf numFmtId="0" fontId="5" fillId="5" borderId="33" xfId="0" applyFont="1" applyFill="1" applyBorder="1" applyAlignment="1">
      <alignment horizontal="left" vertical="center" wrapText="1"/>
    </xf>
    <xf numFmtId="0" fontId="5" fillId="5" borderId="28" xfId="0" applyFont="1" applyFill="1" applyBorder="1" applyAlignment="1">
      <alignment horizontal="center" vertical="center"/>
    </xf>
    <xf numFmtId="0" fontId="5" fillId="5" borderId="34" xfId="0" applyFont="1" applyFill="1" applyBorder="1" applyAlignment="1">
      <alignment horizontal="center" vertical="center"/>
    </xf>
    <xf numFmtId="164" fontId="2" fillId="2" borderId="2" xfId="0" applyNumberFormat="1" applyFont="1" applyFill="1" applyBorder="1" applyAlignment="1">
      <alignment horizontal="center" vertical="center" wrapText="1"/>
    </xf>
    <xf numFmtId="164" fontId="2" fillId="2" borderId="3" xfId="0" applyNumberFormat="1" applyFont="1" applyFill="1" applyBorder="1" applyAlignment="1">
      <alignment horizontal="center" vertical="center" wrapText="1"/>
    </xf>
    <xf numFmtId="164" fontId="2" fillId="2" borderId="4" xfId="0" applyNumberFormat="1" applyFont="1" applyFill="1" applyBorder="1" applyAlignment="1">
      <alignment horizontal="center" vertical="center" wrapText="1"/>
    </xf>
    <xf numFmtId="164" fontId="5" fillId="5" borderId="2" xfId="0" applyNumberFormat="1" applyFont="1" applyFill="1" applyBorder="1" applyAlignment="1">
      <alignment horizontal="right" vertical="center"/>
    </xf>
    <xf numFmtId="164" fontId="5" fillId="5" borderId="3" xfId="0" applyNumberFormat="1" applyFont="1" applyFill="1" applyBorder="1" applyAlignment="1">
      <alignment horizontal="right" vertical="center"/>
    </xf>
    <xf numFmtId="164" fontId="5" fillId="5" borderId="4" xfId="0" applyNumberFormat="1" applyFont="1" applyFill="1" applyBorder="1" applyAlignment="1">
      <alignment horizontal="right" vertical="center"/>
    </xf>
    <xf numFmtId="164" fontId="5" fillId="5" borderId="2" xfId="0" applyNumberFormat="1" applyFont="1" applyFill="1" applyBorder="1" applyAlignment="1">
      <alignment horizontal="right" vertical="top"/>
    </xf>
    <xf numFmtId="164" fontId="5" fillId="5" borderId="3" xfId="0" applyNumberFormat="1" applyFont="1" applyFill="1" applyBorder="1" applyAlignment="1">
      <alignment horizontal="right" vertical="top"/>
    </xf>
    <xf numFmtId="164" fontId="5" fillId="5" borderId="4" xfId="0" applyNumberFormat="1" applyFont="1" applyFill="1" applyBorder="1" applyAlignment="1">
      <alignment horizontal="right" vertical="top"/>
    </xf>
    <xf numFmtId="167" fontId="12" fillId="4" borderId="0" xfId="0" applyNumberFormat="1" applyFont="1" applyFill="1" applyAlignment="1">
      <alignment horizontal="left" vertical="center" wrapText="1"/>
    </xf>
    <xf numFmtId="167" fontId="12" fillId="2" borderId="7" xfId="0" applyNumberFormat="1" applyFont="1" applyFill="1" applyBorder="1" applyAlignment="1">
      <alignment vertical="center"/>
    </xf>
    <xf numFmtId="167" fontId="12" fillId="2" borderId="8" xfId="0" applyNumberFormat="1" applyFont="1" applyFill="1" applyBorder="1" applyAlignment="1">
      <alignment vertical="center"/>
    </xf>
    <xf numFmtId="167" fontId="12" fillId="2" borderId="9" xfId="0" applyNumberFormat="1" applyFont="1" applyFill="1" applyBorder="1" applyAlignment="1">
      <alignment vertical="center"/>
    </xf>
    <xf numFmtId="167" fontId="7" fillId="4" borderId="0" xfId="0" applyNumberFormat="1" applyFont="1" applyFill="1" applyAlignment="1">
      <alignment horizontal="left" vertical="center"/>
    </xf>
    <xf numFmtId="167" fontId="7" fillId="3" borderId="0" xfId="0" applyNumberFormat="1" applyFont="1" applyFill="1" applyAlignment="1">
      <alignment horizontal="left" vertical="center"/>
    </xf>
    <xf numFmtId="167" fontId="5" fillId="5" borderId="10" xfId="0" applyNumberFormat="1" applyFont="1" applyFill="1" applyBorder="1" applyAlignment="1">
      <alignment horizontal="left" vertical="center"/>
    </xf>
    <xf numFmtId="167" fontId="5" fillId="5" borderId="5" xfId="0" applyNumberFormat="1" applyFont="1" applyFill="1" applyBorder="1" applyAlignment="1">
      <alignment horizontal="right" vertical="center"/>
    </xf>
    <xf numFmtId="167" fontId="5" fillId="5" borderId="0" xfId="0" applyNumberFormat="1" applyFont="1" applyFill="1" applyBorder="1" applyAlignment="1">
      <alignment horizontal="right" vertical="center"/>
    </xf>
    <xf numFmtId="167" fontId="5" fillId="5" borderId="11" xfId="0" applyNumberFormat="1" applyFont="1" applyFill="1" applyBorder="1" applyAlignment="1">
      <alignment horizontal="right" vertical="center"/>
    </xf>
    <xf numFmtId="167" fontId="5" fillId="4" borderId="0" xfId="0" applyNumberFormat="1" applyFont="1" applyFill="1" applyAlignment="1">
      <alignment horizontal="left" vertical="center"/>
    </xf>
    <xf numFmtId="167" fontId="5" fillId="3" borderId="0" xfId="0" applyNumberFormat="1" applyFont="1" applyFill="1" applyAlignment="1">
      <alignment horizontal="left" vertical="center"/>
    </xf>
    <xf numFmtId="167" fontId="14" fillId="4" borderId="0" xfId="0" applyNumberFormat="1" applyFont="1" applyFill="1" applyAlignment="1">
      <alignment horizontal="left" vertical="center" wrapText="1"/>
    </xf>
    <xf numFmtId="167" fontId="2" fillId="2" borderId="20" xfId="0" applyNumberFormat="1" applyFont="1" applyFill="1" applyBorder="1" applyAlignment="1">
      <alignment horizontal="right" vertical="center" wrapText="1"/>
    </xf>
    <xf numFmtId="167" fontId="2" fillId="2" borderId="19" xfId="0" applyNumberFormat="1" applyFont="1" applyFill="1" applyBorder="1" applyAlignment="1">
      <alignment horizontal="right" vertical="center" wrapText="1"/>
    </xf>
    <xf numFmtId="167" fontId="2" fillId="2" borderId="21" xfId="0" applyNumberFormat="1" applyFont="1" applyFill="1" applyBorder="1" applyAlignment="1">
      <alignment horizontal="right" vertical="center" wrapText="1"/>
    </xf>
    <xf numFmtId="167" fontId="0" fillId="4" borderId="0" xfId="0" applyNumberFormat="1" applyFill="1" applyAlignment="1">
      <alignment horizontal="left" vertical="center"/>
    </xf>
    <xf numFmtId="167" fontId="0" fillId="3" borderId="0" xfId="0" applyNumberFormat="1" applyFill="1" applyAlignment="1">
      <alignment horizontal="left" vertical="center"/>
    </xf>
    <xf numFmtId="167" fontId="5" fillId="5" borderId="33" xfId="0" applyNumberFormat="1" applyFont="1" applyFill="1" applyBorder="1" applyAlignment="1">
      <alignment horizontal="left" vertical="center" wrapText="1"/>
    </xf>
    <xf numFmtId="167" fontId="5" fillId="5" borderId="28" xfId="0" applyNumberFormat="1" applyFont="1" applyFill="1" applyBorder="1" applyAlignment="1">
      <alignment horizontal="center" vertical="center" wrapText="1"/>
    </xf>
    <xf numFmtId="167" fontId="5" fillId="5" borderId="34" xfId="0" applyNumberFormat="1" applyFont="1" applyFill="1" applyBorder="1" applyAlignment="1">
      <alignment horizontal="center" vertical="center" wrapText="1"/>
    </xf>
    <xf numFmtId="167" fontId="4" fillId="5" borderId="22" xfId="0" applyNumberFormat="1" applyFont="1" applyFill="1" applyBorder="1" applyAlignment="1">
      <alignment horizontal="left" vertical="center" wrapText="1"/>
    </xf>
    <xf numFmtId="167" fontId="4" fillId="5" borderId="23" xfId="0" applyNumberFormat="1" applyFont="1" applyFill="1" applyBorder="1" applyAlignment="1">
      <alignment horizontal="center" vertical="center"/>
    </xf>
    <xf numFmtId="167" fontId="4" fillId="5" borderId="18" xfId="0" applyNumberFormat="1" applyFont="1" applyFill="1" applyBorder="1" applyAlignment="1">
      <alignment horizontal="center" vertical="center"/>
    </xf>
    <xf numFmtId="167" fontId="15" fillId="4" borderId="0" xfId="0" applyNumberFormat="1" applyFont="1" applyFill="1" applyAlignment="1">
      <alignment horizontal="center" vertical="center" wrapText="1"/>
    </xf>
    <xf numFmtId="167" fontId="4" fillId="5" borderId="4" xfId="0" applyNumberFormat="1" applyFont="1" applyFill="1" applyBorder="1" applyAlignment="1">
      <alignment horizontal="left" vertical="center" wrapText="1"/>
    </xf>
    <xf numFmtId="167" fontId="4" fillId="5" borderId="1" xfId="0" applyNumberFormat="1" applyFont="1" applyFill="1" applyBorder="1" applyAlignment="1">
      <alignment horizontal="center" vertical="center"/>
    </xf>
    <xf numFmtId="167" fontId="4" fillId="5" borderId="2" xfId="0" applyNumberFormat="1" applyFont="1" applyFill="1" applyBorder="1" applyAlignment="1">
      <alignment horizontal="center" vertical="center"/>
    </xf>
    <xf numFmtId="167" fontId="4" fillId="4" borderId="0" xfId="0" applyNumberFormat="1" applyFont="1" applyFill="1" applyAlignment="1">
      <alignment horizontal="center" vertical="center"/>
    </xf>
    <xf numFmtId="167" fontId="4" fillId="3" borderId="0" xfId="0" applyNumberFormat="1" applyFont="1" applyFill="1" applyAlignment="1">
      <alignment horizontal="center" vertical="center"/>
    </xf>
    <xf numFmtId="167" fontId="6" fillId="5" borderId="24" xfId="0" applyNumberFormat="1" applyFont="1" applyFill="1" applyBorder="1" applyAlignment="1">
      <alignment horizontal="left" vertical="center" wrapText="1"/>
    </xf>
    <xf numFmtId="167" fontId="4" fillId="5" borderId="25" xfId="0" applyNumberFormat="1" applyFont="1" applyFill="1" applyBorder="1" applyAlignment="1">
      <alignment horizontal="center" vertical="center"/>
    </xf>
    <xf numFmtId="167" fontId="4" fillId="5" borderId="6" xfId="0" applyNumberFormat="1" applyFont="1" applyFill="1" applyBorder="1" applyAlignment="1">
      <alignment horizontal="center" vertical="center"/>
    </xf>
    <xf numFmtId="167" fontId="16" fillId="4" borderId="0" xfId="0" applyNumberFormat="1" applyFont="1" applyFill="1" applyAlignment="1">
      <alignment horizontal="center" vertical="center" wrapText="1"/>
    </xf>
    <xf numFmtId="167" fontId="6" fillId="5" borderId="10" xfId="0" applyNumberFormat="1" applyFont="1" applyFill="1" applyBorder="1" applyAlignment="1">
      <alignment horizontal="left" vertical="center" wrapText="1"/>
    </xf>
    <xf numFmtId="167" fontId="6" fillId="5" borderId="1" xfId="0" applyNumberFormat="1" applyFont="1" applyFill="1" applyBorder="1" applyAlignment="1">
      <alignment horizontal="center" vertical="center"/>
    </xf>
    <xf numFmtId="167" fontId="6" fillId="5" borderId="13" xfId="0" applyNumberFormat="1" applyFont="1" applyFill="1" applyBorder="1" applyAlignment="1">
      <alignment horizontal="center" vertical="center"/>
    </xf>
    <xf numFmtId="167" fontId="6" fillId="4" borderId="0" xfId="0" applyNumberFormat="1" applyFont="1" applyFill="1" applyAlignment="1">
      <alignment horizontal="center" vertical="center"/>
    </xf>
    <xf numFmtId="167" fontId="6" fillId="3" borderId="0" xfId="0" applyNumberFormat="1" applyFont="1" applyFill="1" applyAlignment="1">
      <alignment horizontal="center" vertical="center"/>
    </xf>
    <xf numFmtId="167" fontId="2" fillId="2" borderId="12" xfId="0" applyNumberFormat="1" applyFont="1" applyFill="1" applyBorder="1" applyAlignment="1">
      <alignment horizontal="right" vertical="center" wrapText="1"/>
    </xf>
    <xf numFmtId="167" fontId="2" fillId="2" borderId="3" xfId="0" applyNumberFormat="1" applyFont="1" applyFill="1" applyBorder="1" applyAlignment="1">
      <alignment horizontal="right" vertical="center" wrapText="1"/>
    </xf>
    <xf numFmtId="167" fontId="2" fillId="2" borderId="14" xfId="0" applyNumberFormat="1" applyFont="1" applyFill="1" applyBorder="1" applyAlignment="1">
      <alignment horizontal="right" vertical="center" wrapText="1"/>
    </xf>
    <xf numFmtId="167" fontId="6" fillId="5" borderId="25" xfId="0" applyNumberFormat="1" applyFont="1" applyFill="1" applyBorder="1" applyAlignment="1">
      <alignment horizontal="center" vertical="center"/>
    </xf>
    <xf numFmtId="167" fontId="5" fillId="5" borderId="10" xfId="0" applyNumberFormat="1" applyFont="1" applyFill="1" applyBorder="1" applyAlignment="1">
      <alignment horizontal="left" vertical="center" wrapText="1"/>
    </xf>
    <xf numFmtId="167" fontId="5" fillId="5" borderId="1" xfId="0" applyNumberFormat="1" applyFont="1" applyFill="1" applyBorder="1" applyAlignment="1">
      <alignment horizontal="center" vertical="center" wrapText="1"/>
    </xf>
    <xf numFmtId="167" fontId="5" fillId="5" borderId="13" xfId="0" applyNumberFormat="1" applyFont="1" applyFill="1" applyBorder="1" applyAlignment="1">
      <alignment horizontal="center" vertical="center" wrapText="1"/>
    </xf>
    <xf numFmtId="167" fontId="14" fillId="4" borderId="0" xfId="0" applyNumberFormat="1" applyFont="1" applyFill="1" applyAlignment="1">
      <alignment vertical="center" wrapText="1"/>
    </xf>
    <xf numFmtId="167" fontId="2" fillId="2" borderId="15" xfId="0" applyNumberFormat="1" applyFont="1" applyFill="1" applyBorder="1" applyAlignment="1">
      <alignment horizontal="right" vertical="center" wrapText="1"/>
    </xf>
    <xf numFmtId="167" fontId="2" fillId="2" borderId="16" xfId="0" applyNumberFormat="1" applyFont="1" applyFill="1" applyBorder="1" applyAlignment="1">
      <alignment horizontal="right" vertical="center" wrapText="1"/>
    </xf>
    <xf numFmtId="167" fontId="2" fillId="2" borderId="17" xfId="0" applyNumberFormat="1" applyFont="1" applyFill="1" applyBorder="1" applyAlignment="1">
      <alignment horizontal="right" vertical="center" wrapText="1"/>
    </xf>
    <xf numFmtId="167" fontId="1" fillId="4" borderId="0" xfId="0" applyNumberFormat="1" applyFont="1" applyFill="1" applyAlignment="1">
      <alignment horizontal="center" vertical="center" wrapText="1"/>
    </xf>
    <xf numFmtId="167" fontId="1" fillId="4" borderId="0" xfId="0" applyNumberFormat="1" applyFont="1" applyFill="1" applyAlignment="1">
      <alignment horizontal="center" vertical="center"/>
    </xf>
    <xf numFmtId="167" fontId="1" fillId="3" borderId="0" xfId="0" applyNumberFormat="1" applyFont="1" applyFill="1" applyAlignment="1">
      <alignment horizontal="center" vertical="center" wrapText="1"/>
    </xf>
    <xf numFmtId="167" fontId="1" fillId="3" borderId="0" xfId="0" applyNumberFormat="1" applyFont="1" applyFill="1" applyAlignment="1">
      <alignment horizontal="center" vertical="center"/>
    </xf>
    <xf numFmtId="167" fontId="14" fillId="4" borderId="0" xfId="0" applyNumberFormat="1" applyFont="1" applyFill="1" applyAlignment="1">
      <alignment horizontal="center" vertical="center" wrapText="1"/>
    </xf>
    <xf numFmtId="167" fontId="0" fillId="3" borderId="0" xfId="0" applyNumberFormat="1" applyFill="1"/>
    <xf numFmtId="167" fontId="14" fillId="4" borderId="0" xfId="0" applyNumberFormat="1" applyFont="1" applyFill="1" applyAlignment="1">
      <alignment wrapText="1"/>
    </xf>
    <xf numFmtId="167" fontId="12" fillId="2" borderId="5" xfId="0" applyNumberFormat="1" applyFont="1" applyFill="1" applyBorder="1" applyAlignment="1">
      <alignment vertical="center"/>
    </xf>
    <xf numFmtId="167" fontId="12" fillId="2" borderId="0" xfId="0" applyNumberFormat="1" applyFont="1" applyFill="1" applyBorder="1" applyAlignment="1">
      <alignment vertical="center"/>
    </xf>
    <xf numFmtId="167" fontId="12" fillId="2" borderId="11" xfId="0" applyNumberFormat="1" applyFont="1" applyFill="1" applyBorder="1" applyAlignment="1">
      <alignment vertical="center"/>
    </xf>
    <xf numFmtId="167" fontId="9" fillId="3" borderId="0" xfId="0" applyNumberFormat="1" applyFont="1" applyFill="1" applyAlignment="1">
      <alignment horizontal="left" vertical="center"/>
    </xf>
    <xf numFmtId="167" fontId="5" fillId="5" borderId="1" xfId="0" applyNumberFormat="1" applyFont="1" applyFill="1" applyBorder="1" applyAlignment="1">
      <alignment horizontal="left" vertical="center"/>
    </xf>
    <xf numFmtId="167" fontId="5" fillId="5" borderId="5" xfId="0" applyNumberFormat="1" applyFont="1" applyFill="1" applyBorder="1" applyAlignment="1">
      <alignment horizontal="right" vertical="top"/>
    </xf>
    <xf numFmtId="167" fontId="5" fillId="5" borderId="0" xfId="0" applyNumberFormat="1" applyFont="1" applyFill="1" applyBorder="1" applyAlignment="1">
      <alignment horizontal="right" vertical="top"/>
    </xf>
    <xf numFmtId="167" fontId="5" fillId="5" borderId="11" xfId="0" applyNumberFormat="1" applyFont="1" applyFill="1" applyBorder="1" applyAlignment="1">
      <alignment horizontal="right" vertical="top"/>
    </xf>
    <xf numFmtId="167" fontId="2" fillId="2" borderId="18" xfId="0" applyNumberFormat="1" applyFont="1" applyFill="1" applyBorder="1" applyAlignment="1">
      <alignment horizontal="center" vertical="center" wrapText="1"/>
    </xf>
    <xf numFmtId="167" fontId="2" fillId="2" borderId="19" xfId="0" applyNumberFormat="1" applyFont="1" applyFill="1" applyBorder="1" applyAlignment="1">
      <alignment horizontal="center" vertical="center" wrapText="1"/>
    </xf>
    <xf numFmtId="167" fontId="2" fillId="2" borderId="21" xfId="0" applyNumberFormat="1" applyFont="1" applyFill="1" applyBorder="1" applyAlignment="1">
      <alignment horizontal="center" vertical="center" wrapText="1"/>
    </xf>
    <xf numFmtId="167" fontId="8" fillId="3" borderId="0" xfId="0" applyNumberFormat="1" applyFont="1" applyFill="1" applyAlignment="1">
      <alignment horizontal="left" vertical="center"/>
    </xf>
    <xf numFmtId="167" fontId="10" fillId="3" borderId="0" xfId="0" applyNumberFormat="1" applyFont="1" applyFill="1" applyAlignment="1">
      <alignment horizontal="center" vertical="center"/>
    </xf>
    <xf numFmtId="167" fontId="6" fillId="5" borderId="6" xfId="0" applyNumberFormat="1" applyFont="1" applyFill="1" applyBorder="1" applyAlignment="1">
      <alignment horizontal="center" vertical="center"/>
    </xf>
    <xf numFmtId="167" fontId="11" fillId="3" borderId="0" xfId="0" applyNumberFormat="1" applyFont="1" applyFill="1" applyAlignment="1">
      <alignment horizontal="center" vertical="center"/>
    </xf>
    <xf numFmtId="167" fontId="6" fillId="5" borderId="1" xfId="0" applyNumberFormat="1" applyFont="1" applyFill="1" applyBorder="1" applyAlignment="1">
      <alignment horizontal="left" vertical="center" wrapText="1"/>
    </xf>
    <xf numFmtId="167" fontId="2" fillId="2" borderId="2" xfId="0" applyNumberFormat="1" applyFont="1" applyFill="1" applyBorder="1" applyAlignment="1">
      <alignment horizontal="right" vertical="center" wrapText="1"/>
    </xf>
    <xf numFmtId="167" fontId="2" fillId="2" borderId="2" xfId="0" applyNumberFormat="1" applyFont="1" applyFill="1" applyBorder="1" applyAlignment="1">
      <alignment vertical="center" wrapText="1"/>
    </xf>
    <xf numFmtId="167" fontId="2" fillId="2" borderId="3" xfId="0" applyNumberFormat="1" applyFont="1" applyFill="1" applyBorder="1" applyAlignment="1">
      <alignment vertical="center" wrapText="1"/>
    </xf>
    <xf numFmtId="167" fontId="2" fillId="2" borderId="14" xfId="0" applyNumberFormat="1" applyFont="1" applyFill="1" applyBorder="1" applyAlignment="1">
      <alignment vertical="center" wrapText="1"/>
    </xf>
    <xf numFmtId="167" fontId="5" fillId="5" borderId="1" xfId="0" applyNumberFormat="1" applyFont="1" applyFill="1" applyBorder="1" applyAlignment="1">
      <alignment horizontal="left" vertical="center" wrapText="1"/>
    </xf>
    <xf numFmtId="167" fontId="2" fillId="2" borderId="26" xfId="0" applyNumberFormat="1" applyFont="1" applyFill="1" applyBorder="1" applyAlignment="1">
      <alignment vertical="center" wrapText="1"/>
    </xf>
    <xf numFmtId="167" fontId="2" fillId="2" borderId="16" xfId="0" applyNumberFormat="1" applyFont="1" applyFill="1" applyBorder="1" applyAlignment="1">
      <alignment vertical="center" wrapText="1"/>
    </xf>
    <xf numFmtId="167" fontId="2" fillId="2" borderId="17" xfId="0" applyNumberFormat="1" applyFont="1" applyFill="1" applyBorder="1" applyAlignment="1">
      <alignment vertical="center" wrapText="1"/>
    </xf>
    <xf numFmtId="167" fontId="1" fillId="4" borderId="0" xfId="0" applyNumberFormat="1" applyFont="1" applyFill="1" applyBorder="1" applyAlignment="1">
      <alignment horizontal="center" vertical="center"/>
    </xf>
    <xf numFmtId="167" fontId="1" fillId="3" borderId="0" xfId="0" applyNumberFormat="1" applyFont="1" applyFill="1" applyBorder="1" applyAlignment="1">
      <alignment horizontal="center" vertical="center"/>
    </xf>
    <xf numFmtId="167" fontId="0" fillId="3" borderId="0" xfId="0" applyNumberFormat="1" applyFill="1" applyBorder="1" applyAlignment="1">
      <alignment horizontal="left" vertical="center"/>
    </xf>
    <xf numFmtId="167" fontId="8" fillId="3" borderId="0" xfId="0" applyNumberFormat="1" applyFont="1" applyFill="1" applyAlignment="1">
      <alignment horizontal="center" vertical="center"/>
    </xf>
    <xf numFmtId="167" fontId="0" fillId="3" borderId="0" xfId="0" applyNumberFormat="1" applyFill="1" applyBorder="1"/>
    <xf numFmtId="167" fontId="8" fillId="3" borderId="0" xfId="0" applyNumberFormat="1" applyFont="1" applyFill="1"/>
    <xf numFmtId="167" fontId="5" fillId="5" borderId="32" xfId="0" applyNumberFormat="1" applyFont="1" applyFill="1" applyBorder="1" applyAlignment="1">
      <alignment horizontal="left" vertical="center" wrapText="1"/>
    </xf>
    <xf numFmtId="167" fontId="5" fillId="5" borderId="29" xfId="0" applyNumberFormat="1" applyFont="1" applyFill="1" applyBorder="1" applyAlignment="1">
      <alignment horizontal="center" vertical="center"/>
    </xf>
    <xf numFmtId="167" fontId="5" fillId="5" borderId="30" xfId="0" applyNumberFormat="1" applyFont="1" applyFill="1" applyBorder="1" applyAlignment="1">
      <alignment horizontal="center" vertical="center"/>
    </xf>
    <xf numFmtId="167" fontId="5" fillId="5" borderId="31" xfId="0" applyNumberFormat="1" applyFont="1" applyFill="1" applyBorder="1" applyAlignment="1">
      <alignment horizontal="center" vertical="center"/>
    </xf>
    <xf numFmtId="167" fontId="6" fillId="5" borderId="22" xfId="0" applyNumberFormat="1" applyFont="1" applyFill="1" applyBorder="1" applyAlignment="1">
      <alignment horizontal="left" vertical="center" wrapText="1"/>
    </xf>
    <xf numFmtId="167" fontId="6" fillId="5" borderId="4" xfId="0" applyNumberFormat="1" applyFont="1" applyFill="1" applyBorder="1" applyAlignment="1">
      <alignment horizontal="left" vertical="center" wrapText="1"/>
    </xf>
    <xf numFmtId="167" fontId="12" fillId="2" borderId="24" xfId="0" applyNumberFormat="1" applyFont="1" applyFill="1" applyBorder="1" applyAlignment="1">
      <alignment horizontal="left" vertical="center" wrapText="1"/>
    </xf>
    <xf numFmtId="167" fontId="12" fillId="2" borderId="25" xfId="0" applyNumberFormat="1" applyFont="1" applyFill="1" applyBorder="1" applyAlignment="1">
      <alignment horizontal="center" vertical="center"/>
    </xf>
    <xf numFmtId="167" fontId="12" fillId="2" borderId="6" xfId="0" applyNumberFormat="1" applyFont="1" applyFill="1" applyBorder="1" applyAlignment="1">
      <alignment horizontal="center" vertical="center"/>
    </xf>
  </cellXfs>
  <cellStyles count="1">
    <cellStyle name="Normal" xfId="0" builtinId="0"/>
  </cellStyles>
  <dxfs count="167">
    <dxf>
      <numFmt numFmtId="167" formatCode="_([$$-409]* #,##0.00_);_([$$-409]* \(#,##0.00\);_([$$-409]* &quot;-&quot;??_);_(@_)"/>
    </dxf>
    <dxf>
      <font>
        <strike val="0"/>
        <outline val="0"/>
        <shadow val="0"/>
        <u val="none"/>
        <vertAlign val="baseline"/>
        <sz val="10"/>
        <color theme="0"/>
        <name val="Calibri"/>
        <scheme val="minor"/>
      </font>
      <numFmt numFmtId="167" formatCode="_([$$-409]* #,##0.00_);_([$$-409]* \(#,##0.00\);_([$$-409]* &quot;-&quot;??_);_(@_)"/>
      <border diagonalUp="0" diagonalDown="0" outline="0">
        <left style="thin">
          <color theme="1" tint="0.249977111117893"/>
        </left>
        <right style="thin">
          <color theme="1" tint="0.249977111117893"/>
        </right>
        <top/>
        <bottom/>
      </border>
    </dxf>
    <dxf>
      <font>
        <b/>
        <i val="0"/>
        <strike val="0"/>
        <condense val="0"/>
        <extend val="0"/>
        <outline val="0"/>
        <shadow val="0"/>
        <u val="none"/>
        <vertAlign val="baseline"/>
        <sz val="10"/>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bottom/>
      </border>
    </dxf>
    <dxf>
      <font>
        <b val="0"/>
        <i val="0"/>
        <strike val="0"/>
        <condense val="0"/>
        <extend val="0"/>
        <outline val="0"/>
        <shadow val="0"/>
        <u val="none"/>
        <vertAlign val="baseline"/>
        <sz val="10"/>
        <color theme="0"/>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top style="thin">
          <color theme="1" tint="0.249977111117893"/>
        </top>
        <bottom style="thin">
          <color theme="1" tint="0.249977111117893"/>
        </bottom>
      </border>
    </dxf>
    <dxf>
      <font>
        <b val="0"/>
        <i val="0"/>
        <strike val="0"/>
        <condense val="0"/>
        <extend val="0"/>
        <outline val="0"/>
        <shadow val="0"/>
        <u val="none"/>
        <vertAlign val="baseline"/>
        <sz val="10"/>
        <color theme="0"/>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10"/>
        <color theme="0"/>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10"/>
        <color theme="0"/>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10"/>
        <color theme="0"/>
        <name val="Calibri"/>
        <scheme val="minor"/>
      </font>
      <numFmt numFmtId="167" formatCode="_([$$-409]* #,##0.00_);_([$$-409]* \(#,##0.00\);_([$$-409]* &quot;-&quot;??_);_(@_)"/>
      <fill>
        <patternFill patternType="solid">
          <fgColor indexed="64"/>
          <bgColor rgb="FFD83B01"/>
        </patternFill>
      </fill>
      <alignment horizontal="left" vertical="center" textRotation="0" wrapText="1" indent="0" justifyLastLine="0" shrinkToFit="0" readingOrder="0"/>
      <border diagonalUp="0" diagonalDown="0" outline="0">
        <left/>
        <right style="thin">
          <color theme="1" tint="0.249977111117893"/>
        </right>
        <top/>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left" vertical="center" textRotation="0" wrapText="1" indent="0" justifyLastLine="0" shrinkToFit="0" readingOrder="0"/>
      <border diagonalUp="0" diagonalDown="0" outline="0">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dxf>
    <dxf>
      <numFmt numFmtId="167" formatCode="_([$$-409]* #,##0.00_);_([$$-409]* \(#,##0.00\);_([$$-409]* &quot;-&quot;??_);_(@_)"/>
    </dxf>
    <dxf>
      <font>
        <b/>
        <i val="0"/>
        <strike val="0"/>
        <condense val="0"/>
        <extend val="0"/>
        <outline val="0"/>
        <shadow val="0"/>
        <u val="none"/>
        <vertAlign val="baseline"/>
        <sz val="10"/>
        <color rgb="FF2F2F2F"/>
        <name val="Calibri"/>
        <scheme val="minor"/>
      </font>
      <numFmt numFmtId="167" formatCode="_([$$-409]* #,##0.00_);_([$$-409]* \(#,##0.00\);_([$$-409]* &quot;-&quot;??_);_(@_)"/>
      <fill>
        <patternFill patternType="solid">
          <fgColor indexed="64"/>
          <bgColor rgb="FFE6E6E6"/>
        </patternFill>
      </fill>
      <alignment horizontal="center" vertical="center" textRotation="0" wrapText="1" indent="0" justifyLastLine="0" shrinkToFit="0" readingOrder="0"/>
      <border diagonalUp="0" diagonalDown="0" outline="0">
        <left style="thin">
          <color theme="1" tint="0.249977111117893"/>
        </left>
        <right style="thin">
          <color theme="1" tint="0.249977111117893"/>
        </right>
        <top/>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left" vertical="center" textRotation="0" wrapText="1" indent="0" justifyLastLine="0" shrinkToFit="0" readingOrder="0"/>
      <border diagonalUp="0" diagonalDown="0" outline="0">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left" vertical="center" textRotation="0" wrapText="1" indent="0" justifyLastLine="0" shrinkToFit="0" readingOrder="0"/>
      <border diagonalUp="0" diagonalDown="0" outline="0">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dxf>
    <dxf>
      <numFmt numFmtId="167" formatCode="_([$$-409]* #,##0.00_);_([$$-409]* \(#,##0.00\);_([$$-409]* &quot;-&quot;??_);_(@_)"/>
    </dxf>
    <dxf>
      <font>
        <b/>
        <i val="0"/>
        <strike val="0"/>
        <condense val="0"/>
        <extend val="0"/>
        <outline val="0"/>
        <shadow val="0"/>
        <u val="none"/>
        <vertAlign val="baseline"/>
        <sz val="10"/>
        <color rgb="FF2F2F2F"/>
        <name val="Calibri"/>
        <scheme val="minor"/>
      </font>
      <numFmt numFmtId="167" formatCode="_([$$-409]* #,##0.00_);_([$$-409]* \(#,##0.00\);_([$$-409]* &quot;-&quot;??_);_(@_)"/>
      <fill>
        <patternFill patternType="solid">
          <fgColor indexed="64"/>
          <bgColor rgb="FFE6E6E6"/>
        </patternFill>
      </fill>
      <alignment horizontal="center" vertical="center" textRotation="0" wrapText="1" indent="0" justifyLastLine="0" shrinkToFit="0" readingOrder="0"/>
      <border diagonalUp="0" diagonalDown="0" outline="0">
        <left style="thin">
          <color theme="1" tint="0.249977111117893"/>
        </left>
        <right style="thin">
          <color theme="1" tint="0.249977111117893"/>
        </right>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left" vertical="center" textRotation="0" wrapText="1" indent="0" justifyLastLine="0" shrinkToFit="0" readingOrder="0"/>
      <border diagonalUp="0" diagonalDown="0" outline="0">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left" vertical="center" textRotation="0" wrapText="1" indent="0" justifyLastLine="0" shrinkToFit="0" readingOrder="0"/>
      <border diagonalUp="0" diagonalDown="0" outline="0">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dxf>
    <dxf>
      <numFmt numFmtId="167" formatCode="_([$$-409]* #,##0.00_);_([$$-409]* \(#,##0.00\);_([$$-409]* &quot;-&quot;??_);_(@_)"/>
    </dxf>
    <dxf>
      <font>
        <b/>
        <i val="0"/>
        <strike val="0"/>
        <condense val="0"/>
        <extend val="0"/>
        <outline val="0"/>
        <shadow val="0"/>
        <u val="none"/>
        <vertAlign val="baseline"/>
        <sz val="10"/>
        <color rgb="FF2F2F2F"/>
        <name val="Calibri"/>
        <scheme val="minor"/>
      </font>
      <numFmt numFmtId="167" formatCode="_([$$-409]* #,##0.00_);_([$$-409]* \(#,##0.00\);_([$$-409]* &quot;-&quot;??_);_(@_)"/>
      <fill>
        <patternFill patternType="solid">
          <fgColor indexed="64"/>
          <bgColor rgb="FFE6E6E6"/>
        </patternFill>
      </fill>
      <alignment horizontal="center" vertical="center" textRotation="0" wrapText="1" indent="0" justifyLastLine="0" shrinkToFit="0" readingOrder="0"/>
      <border diagonalUp="0" diagonalDown="0" outline="0">
        <left style="thin">
          <color theme="1" tint="0.249977111117893"/>
        </left>
        <right style="thin">
          <color theme="1" tint="0.249977111117893"/>
        </right>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left" vertical="center" textRotation="0" wrapText="1" indent="0" justifyLastLine="0" shrinkToFit="0" readingOrder="0"/>
      <border diagonalUp="0" diagonalDown="0" outline="0">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left" vertical="center" textRotation="0" wrapText="1" indent="0" justifyLastLine="0" shrinkToFit="0" readingOrder="0"/>
      <border diagonalUp="0" diagonalDown="0" outline="0">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dxf>
    <dxf>
      <numFmt numFmtId="167" formatCode="_([$$-409]* #,##0.00_);_([$$-409]* \(#,##0.00\);_([$$-409]* &quot;-&quot;??_);_(@_)"/>
    </dxf>
    <dxf>
      <font>
        <b/>
        <i val="0"/>
        <strike val="0"/>
        <condense val="0"/>
        <extend val="0"/>
        <outline val="0"/>
        <shadow val="0"/>
        <u val="none"/>
        <vertAlign val="baseline"/>
        <sz val="10"/>
        <color rgb="FF2F2F2F"/>
        <name val="Calibri"/>
        <scheme val="minor"/>
      </font>
      <numFmt numFmtId="167" formatCode="_([$$-409]* #,##0.00_);_([$$-409]* \(#,##0.00\);_([$$-409]* &quot;-&quot;??_);_(@_)"/>
      <fill>
        <patternFill patternType="solid">
          <fgColor indexed="64"/>
          <bgColor rgb="FFE6E6E6"/>
        </patternFill>
      </fill>
      <alignment horizontal="center" vertical="center" textRotation="0" wrapText="1" indent="0" justifyLastLine="0" shrinkToFit="0" readingOrder="0"/>
      <border diagonalUp="0" diagonalDown="0" outline="0">
        <left style="thin">
          <color theme="1" tint="0.249977111117893"/>
        </left>
        <right style="thin">
          <color theme="1" tint="0.249977111117893"/>
        </right>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b/>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left" vertical="center" textRotation="0" wrapText="1" indent="0" justifyLastLine="0" shrinkToFit="0" readingOrder="0"/>
      <border diagonalUp="0" diagonalDown="0" outline="0">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7" formatCode="_([$$-409]* #,##0.00_);_([$$-409]* \(#,##0.00\);_([$$-409]* &quot;-&quot;??_);_(@_)"/>
      <fill>
        <patternFill patternType="solid">
          <fgColor indexed="64"/>
          <bgColor rgb="FFE6E6E6"/>
        </patternFill>
      </fill>
      <alignment horizontal="left" vertical="center" textRotation="0" wrapText="1" indent="0" justifyLastLine="0" shrinkToFit="0" readingOrder="0"/>
      <border diagonalUp="0" diagonalDown="0" outline="0">
        <left/>
        <right style="thin">
          <color theme="1" tint="0.249977111117893"/>
        </right>
        <top style="thin">
          <color theme="1" tint="0.249977111117893"/>
        </top>
        <bottom style="thin">
          <color theme="1" tint="0.249977111117893"/>
        </bottom>
      </border>
    </dxf>
    <dxf>
      <border outline="0">
        <top style="thin">
          <color theme="1" tint="0.249977111117893"/>
        </top>
      </border>
    </dxf>
    <dxf>
      <border outline="0">
        <left style="thin">
          <color theme="1" tint="0.249977111117893"/>
        </left>
        <right style="thin">
          <color indexed="64"/>
        </right>
        <top style="thin">
          <color theme="1" tint="0.249977111117893"/>
        </top>
        <bottom style="thin">
          <color theme="1" tint="0.249977111117893"/>
        </bottom>
      </border>
    </dxf>
    <dxf>
      <border>
        <bottom style="thick">
          <color rgb="FFD83B01"/>
        </bottom>
      </border>
    </dxf>
    <dxf>
      <border outline="0">
        <top style="thin">
          <color theme="1" tint="0.249977111117893"/>
        </top>
      </border>
    </dxf>
    <dxf>
      <border outline="0">
        <left style="thin">
          <color theme="1" tint="0.249977111117893"/>
        </left>
        <right style="thin">
          <color indexed="64"/>
        </right>
        <top style="thin">
          <color theme="1" tint="0.249977111117893"/>
        </top>
        <bottom style="thin">
          <color theme="1" tint="0.249977111117893"/>
        </bottom>
      </border>
    </dxf>
    <dxf>
      <border>
        <bottom style="thick">
          <color rgb="FFD83B01"/>
        </bottom>
      </border>
    </dxf>
    <dxf>
      <border outline="0">
        <top style="thin">
          <color theme="1" tint="0.249977111117893"/>
        </top>
      </border>
    </dxf>
    <dxf>
      <border outline="0">
        <left style="thin">
          <color indexed="64"/>
        </left>
        <right style="thin">
          <color indexed="64"/>
        </right>
        <top style="thin">
          <color theme="1" tint="0.249977111117893"/>
        </top>
        <bottom style="thin">
          <color theme="1" tint="0.249977111117893"/>
        </bottom>
      </border>
    </dxf>
    <dxf>
      <border>
        <bottom style="thick">
          <color rgb="FFD83B01"/>
        </bottom>
      </border>
    </dxf>
    <dxf>
      <border outline="0">
        <top style="thin">
          <color theme="1" tint="0.249977111117893"/>
        </top>
      </border>
    </dxf>
    <dxf>
      <border outline="0">
        <left style="thin">
          <color indexed="64"/>
        </left>
        <right style="thin">
          <color indexed="64"/>
        </right>
        <top style="thin">
          <color theme="1" tint="0.249977111117893"/>
        </top>
        <bottom style="thin">
          <color theme="1" tint="0.249977111117893"/>
        </bottom>
      </border>
    </dxf>
    <dxf>
      <border>
        <bottom style="thick">
          <color rgb="FFD83B01"/>
        </bottom>
      </border>
    </dxf>
    <dxf>
      <font>
        <b/>
        <i val="0"/>
        <strike val="0"/>
        <condense val="0"/>
        <extend val="0"/>
        <outline val="0"/>
        <shadow val="0"/>
        <u val="none"/>
        <vertAlign val="baseline"/>
        <sz val="10"/>
        <color theme="0"/>
        <name val="Calibri"/>
        <scheme val="minor"/>
      </font>
      <numFmt numFmtId="165" formatCode="&quot;$&quot;#,##0"/>
      <fill>
        <patternFill patternType="solid">
          <fgColor indexed="64"/>
          <bgColor rgb="FFD83B01"/>
        </patternFill>
      </fill>
      <alignment horizontal="center" vertical="center" textRotation="0" wrapText="0" indent="0" justifyLastLine="0" shrinkToFit="0" readingOrder="0"/>
      <border diagonalUp="0" diagonalDown="0" outline="0">
        <left style="thin">
          <color theme="1" tint="0.249977111117893"/>
        </left>
        <right/>
        <top style="thin">
          <color theme="1" tint="0.249977111117893"/>
        </top>
        <bottom/>
      </border>
    </dxf>
    <dxf>
      <font>
        <b val="0"/>
        <i val="0"/>
        <strike val="0"/>
        <condense val="0"/>
        <extend val="0"/>
        <outline val="0"/>
        <shadow val="0"/>
        <u val="none"/>
        <vertAlign val="baseline"/>
        <sz val="9"/>
        <color rgb="FF2F2F2F"/>
        <name val="Calibri"/>
        <scheme val="minor"/>
      </font>
      <numFmt numFmtId="165" formatCode="&quot;$&quot;#,##0"/>
      <fill>
        <patternFill patternType="solid">
          <fgColor indexed="64"/>
          <bgColor rgb="FFE6E6E6"/>
        </patternFill>
      </fill>
      <alignment horizontal="center" vertical="center" textRotation="0" wrapText="0" indent="0" justifyLastLine="0" shrinkToFit="0" readingOrder="0"/>
      <border diagonalUp="0" diagonalDown="0">
        <left style="thin">
          <color theme="1" tint="0.249977111117893"/>
        </left>
        <right/>
        <top style="thin">
          <color theme="1" tint="0.249977111117893"/>
        </top>
        <bottom style="thin">
          <color theme="1" tint="0.249977111117893"/>
        </bottom>
        <vertical/>
        <horizontal/>
      </border>
    </dxf>
    <dxf>
      <font>
        <b val="0"/>
        <i val="0"/>
        <strike val="0"/>
        <condense val="0"/>
        <extend val="0"/>
        <outline val="0"/>
        <shadow val="0"/>
        <u val="none"/>
        <vertAlign val="baseline"/>
        <sz val="10"/>
        <color theme="0"/>
        <name val="Calibri"/>
        <scheme val="minor"/>
      </font>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5" formatCode="&quot;$&quot;#,##0"/>
      <fill>
        <patternFill patternType="solid">
          <fgColor indexed="64"/>
          <bgColor rgb="FFE6E6E6"/>
        </patternFill>
      </fill>
      <alignment horizontal="center" vertical="center" textRotation="0" wrapText="0" indent="0" justifyLastLine="0" shrinkToFit="0" readingOrder="0"/>
      <border diagonalUp="0" diagonalDown="0">
        <left style="thin">
          <color theme="1" tint="0.249977111117893"/>
        </left>
        <right style="thin">
          <color theme="1" tint="0.249977111117893"/>
        </right>
        <top style="thin">
          <color theme="1" tint="0.249977111117893"/>
        </top>
        <bottom style="thin">
          <color theme="1" tint="0.249977111117893"/>
        </bottom>
        <vertical/>
        <horizontal/>
      </border>
    </dxf>
    <dxf>
      <font>
        <b val="0"/>
        <i val="0"/>
        <strike val="0"/>
        <condense val="0"/>
        <extend val="0"/>
        <outline val="0"/>
        <shadow val="0"/>
        <u val="none"/>
        <vertAlign val="baseline"/>
        <sz val="10"/>
        <color theme="0"/>
        <name val="Calibri"/>
        <scheme val="minor"/>
      </font>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numFmt numFmtId="165" formatCode="&quot;$&quot;#,##0"/>
      <fill>
        <patternFill patternType="solid">
          <fgColor indexed="64"/>
          <bgColor rgb="FFE6E6E6"/>
        </patternFill>
      </fill>
      <alignment horizontal="center" vertical="center" textRotation="0" wrapText="0" indent="0" justifyLastLine="0" shrinkToFit="0" readingOrder="0"/>
      <border diagonalUp="0" diagonalDown="0">
        <left style="thin">
          <color theme="1" tint="0.249977111117893"/>
        </left>
        <right style="thin">
          <color theme="1" tint="0.249977111117893"/>
        </right>
        <top style="thin">
          <color theme="1" tint="0.249977111117893"/>
        </top>
        <bottom style="thin">
          <color theme="1" tint="0.249977111117893"/>
        </bottom>
        <vertical/>
        <horizontal/>
      </border>
    </dxf>
    <dxf>
      <font>
        <b val="0"/>
        <i val="0"/>
        <strike val="0"/>
        <condense val="0"/>
        <extend val="0"/>
        <outline val="0"/>
        <shadow val="0"/>
        <u val="none"/>
        <vertAlign val="baseline"/>
        <sz val="10"/>
        <color theme="0"/>
        <name val="Calibri"/>
        <scheme val="minor"/>
      </font>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border>
    </dxf>
    <dxf>
      <font>
        <b val="0"/>
        <i val="0"/>
        <strike val="0"/>
        <condense val="0"/>
        <extend val="0"/>
        <outline val="0"/>
        <shadow val="0"/>
        <u val="none"/>
        <vertAlign val="baseline"/>
        <sz val="9"/>
        <color rgb="FF2F2F2F"/>
        <name val="Calibri"/>
        <scheme val="minor"/>
      </font>
      <fill>
        <patternFill patternType="solid">
          <fgColor indexed="64"/>
          <bgColor rgb="FFE6E6E6"/>
        </patternFill>
      </fill>
      <alignment horizontal="center" vertical="center" textRotation="0" wrapText="0" indent="0" justifyLastLine="0" shrinkToFit="0" readingOrder="0"/>
      <border diagonalUp="0" diagonalDown="0">
        <left style="thin">
          <color theme="1" tint="0.249977111117893"/>
        </left>
        <right style="thin">
          <color theme="1" tint="0.249977111117893"/>
        </right>
        <top style="thin">
          <color theme="1" tint="0.249977111117893"/>
        </top>
        <bottom style="thin">
          <color theme="1" tint="0.249977111117893"/>
        </bottom>
        <vertical/>
        <horizontal/>
      </border>
    </dxf>
    <dxf>
      <font>
        <b/>
        <i val="0"/>
        <strike val="0"/>
        <condense val="0"/>
        <extend val="0"/>
        <outline val="0"/>
        <shadow val="0"/>
        <u val="none"/>
        <vertAlign val="baseline"/>
        <sz val="10"/>
        <color theme="0"/>
        <name val="Calibri"/>
        <scheme val="minor"/>
      </font>
      <fill>
        <patternFill patternType="solid">
          <fgColor indexed="64"/>
          <bgColor rgb="FFD83B01"/>
        </patternFill>
      </fill>
      <alignment horizontal="left" vertical="center" textRotation="0" wrapText="1" indent="0" justifyLastLine="0" shrinkToFit="0" readingOrder="0"/>
      <border diagonalUp="0" diagonalDown="0" outline="0">
        <left/>
        <right style="thin">
          <color theme="1" tint="0.249977111117893"/>
        </right>
        <top style="thin">
          <color theme="1" tint="0.249977111117893"/>
        </top>
        <bottom/>
      </border>
    </dxf>
    <dxf>
      <font>
        <b/>
        <i val="0"/>
        <strike val="0"/>
        <condense val="0"/>
        <extend val="0"/>
        <outline val="0"/>
        <shadow val="0"/>
        <u val="none"/>
        <vertAlign val="baseline"/>
        <sz val="9"/>
        <color rgb="FF2F2F2F"/>
        <name val="Calibri"/>
        <scheme val="minor"/>
      </font>
      <fill>
        <patternFill patternType="solid">
          <fgColor indexed="64"/>
          <bgColor rgb="FFE6E6E6"/>
        </patternFill>
      </fill>
      <alignment horizontal="left" vertical="center" textRotation="0" wrapText="1" indent="0" justifyLastLine="0" shrinkToFit="0" readingOrder="0"/>
      <border diagonalUp="0" diagonalDown="0">
        <left/>
        <right style="thin">
          <color theme="1" tint="0.249977111117893"/>
        </right>
        <top style="thin">
          <color theme="1" tint="0.249977111117893"/>
        </top>
        <bottom style="thin">
          <color theme="1" tint="0.249977111117893"/>
        </bottom>
        <vertical/>
        <horizontal/>
      </border>
    </dxf>
    <dxf>
      <border outline="0">
        <top style="thin">
          <color theme="1" tint="0.249977111117893"/>
        </top>
      </border>
    </dxf>
    <dxf>
      <font>
        <strike val="0"/>
        <outline val="0"/>
        <shadow val="0"/>
        <u val="none"/>
        <vertAlign val="baseline"/>
        <sz val="10"/>
        <color theme="0"/>
        <name val="Calibri"/>
        <scheme val="minor"/>
      </font>
    </dxf>
    <dxf>
      <border outline="0">
        <left style="thin">
          <color theme="1" tint="0.249977111117893"/>
        </left>
        <right style="thin">
          <color theme="1" tint="0.249977111117893"/>
        </right>
        <top style="thin">
          <color theme="1" tint="0.249977111117893"/>
        </top>
        <bottom style="thin">
          <color theme="1" tint="0.249977111117893"/>
        </bottom>
      </border>
    </dxf>
    <dxf>
      <border>
        <bottom style="thick">
          <color rgb="FFD83B01"/>
        </bottom>
      </border>
    </dxf>
    <dxf>
      <font>
        <b/>
        <i val="0"/>
        <strike val="0"/>
        <condense val="0"/>
        <extend val="0"/>
        <outline val="0"/>
        <shadow val="0"/>
        <u val="none"/>
        <vertAlign val="baseline"/>
        <sz val="10"/>
        <color rgb="FF2F2F2F"/>
        <name val="Calibri"/>
        <scheme val="minor"/>
      </font>
      <fill>
        <patternFill patternType="solid">
          <fgColor indexed="64"/>
          <bgColor rgb="FFE6E6E6"/>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bottom/>
      </border>
    </dxf>
    <dxf>
      <border>
        <top style="thin">
          <color theme="1" tint="0.249977111117893"/>
        </top>
      </border>
    </dxf>
    <dxf>
      <border diagonalUp="0" diagonalDown="0">
        <left style="thin">
          <color theme="1" tint="0.249977111117893"/>
        </left>
        <right style="thin">
          <color theme="1" tint="0.249977111117893"/>
        </right>
        <top style="thin">
          <color theme="1" tint="0.249977111117893"/>
        </top>
        <bottom style="thin">
          <color theme="1" tint="0.249977111117893"/>
        </bottom>
      </border>
    </dxf>
    <dxf>
      <border>
        <bottom style="thick">
          <color rgb="FFD83B01"/>
        </bottom>
      </border>
    </dxf>
  </dxfs>
  <tableStyles count="0" defaultTableStyle="TableStyleMedium2" defaultPivotStyle="PivotStyleLight16"/>
  <colors>
    <mruColors>
      <color rgb="FF2F2F2F"/>
      <color rgb="FF696969"/>
      <color rgb="FFD83B01"/>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StartUp" displayName="StartUp" ref="B4:F10" totalsRowCount="1" headerRowDxfId="2" dataDxfId="0" totalsRowDxfId="1" headerRowBorderDxfId="166" tableBorderDxfId="165" totalsRowBorderDxfId="164">
  <autoFilter ref="B4:F9">
    <filterColumn colId="0" hiddenButton="1"/>
    <filterColumn colId="1" hiddenButton="1"/>
    <filterColumn colId="2" hiddenButton="1"/>
    <filterColumn colId="3" hiddenButton="1"/>
    <filterColumn colId="4" hiddenButton="1"/>
  </autoFilter>
  <tableColumns count="5">
    <tableColumn id="1" name="COST ITEMS" totalsRowLabel="ESTIMATED START-UP BUDGET" dataDxfId="12" totalsRowDxfId="11"/>
    <tableColumn id="2" name="MONTHS" dataDxfId="10" totalsRowDxfId="9"/>
    <tableColumn id="3" name="COST/ MONTH" dataDxfId="8" totalsRowDxfId="7"/>
    <tableColumn id="4" name="ONE-TIME COST" dataDxfId="6" totalsRowDxfId="5"/>
    <tableColumn id="5" name="TOTAL COST" totalsRowFunction="sum" dataDxfId="4" totalsRowDxfId="3"/>
  </tableColumns>
  <tableStyleInfo showFirstColumn="1" showLastColumn="0" showRowStripes="0" showColumnStripes="0"/>
  <extLst>
    <ext xmlns:x14="http://schemas.microsoft.com/office/spreadsheetml/2009/9/main" uri="{504A1905-F514-4f6f-8877-14C23A59335A}">
      <x14:table altTextSummary="Enter Cost Items, Months, Cost per Month, and One-time Cost. Total Cost and Estimated Start-up Budget are auto calculated"/>
    </ext>
  </extLst>
</table>
</file>

<file path=xl/tables/table2.xml><?xml version="1.0" encoding="utf-8"?>
<table xmlns="http://schemas.openxmlformats.org/spreadsheetml/2006/main" id="2" name="StartUpCosts" displayName="StartUpCosts" ref="B4:F10" totalsRowCount="1" headerRowDxfId="163" totalsRowDxfId="160" headerRowBorderDxfId="162" tableBorderDxfId="161" totalsRowBorderDxfId="159">
  <autoFilter ref="B4:F9">
    <filterColumn colId="0" hiddenButton="1"/>
    <filterColumn colId="1" hiddenButton="1"/>
    <filterColumn colId="2" hiddenButton="1"/>
    <filterColumn colId="3" hiddenButton="1"/>
    <filterColumn colId="4" hiddenButton="1"/>
  </autoFilter>
  <tableColumns count="5">
    <tableColumn id="1" name="COST ITEMS" totalsRowLabel="ESTIMATED START-UP BUDGET" dataDxfId="158" totalsRowDxfId="157"/>
    <tableColumn id="2" name="MONTHS" dataDxfId="156" totalsRowDxfId="155"/>
    <tableColumn id="3" name="COST/ MONTH" dataDxfId="154" totalsRowDxfId="153"/>
    <tableColumn id="4" name="ONE-TIME COST" dataDxfId="152" totalsRowDxfId="151"/>
    <tableColumn id="5" name="TOTAL COST" totalsRowFunction="custom" dataDxfId="150" totalsRowDxfId="149">
      <totalsRowFormula>SUM(F6:F9)</totalsRowFormula>
    </tableColumn>
  </tableColumns>
  <tableStyleInfo showFirstColumn="1" showLastColumn="0" showRowStripes="0" showColumnStripes="0"/>
  <extLst>
    <ext xmlns:x14="http://schemas.microsoft.com/office/spreadsheetml/2009/9/main" uri="{504A1905-F514-4f6f-8877-14C23A59335A}">
      <x14:table altTextSummary="Enter or modify Cost Items, Months, Cost per Month, and One-time Cost. Total Cost and Estimated Start-up Budget are auto calculated"/>
    </ext>
  </extLst>
</table>
</file>

<file path=xl/tables/table3.xml><?xml version="1.0" encoding="utf-8"?>
<table xmlns="http://schemas.openxmlformats.org/spreadsheetml/2006/main" id="8" name="SampleRevenue" displayName="SampleRevenue" ref="B4:O9" totalsRowCount="1" headerRowDxfId="108" dataDxfId="106" totalsRowDxfId="107" headerRowBorderDxfId="148" tableBorderDxfId="147" totalsRowBorderDxfId="146">
  <autoFilter ref="B4:O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REVENUE" totalsRowLabel="Net Sales" dataDxfId="136" totalsRowDxfId="135"/>
    <tableColumn id="2" name="JAN" totalsRowFunction="sum" dataDxfId="134" totalsRowDxfId="133"/>
    <tableColumn id="3" name="FEB" totalsRowFunction="sum" dataDxfId="132" totalsRowDxfId="131"/>
    <tableColumn id="4" name="MAR" totalsRowFunction="sum" dataDxfId="130" totalsRowDxfId="129"/>
    <tableColumn id="5" name="APR" totalsRowFunction="sum" dataDxfId="128" totalsRowDxfId="127"/>
    <tableColumn id="6" name="MAY" totalsRowFunction="sum" dataDxfId="126" totalsRowDxfId="125"/>
    <tableColumn id="7" name="JUN" totalsRowFunction="sum" dataDxfId="124" totalsRowDxfId="123"/>
    <tableColumn id="8" name="JUL" totalsRowFunction="sum" dataDxfId="122" totalsRowDxfId="121"/>
    <tableColumn id="9" name="AUG" totalsRowFunction="sum" dataDxfId="120" totalsRowDxfId="119"/>
    <tableColumn id="10" name="SEP" totalsRowFunction="sum" dataDxfId="118" totalsRowDxfId="117"/>
    <tableColumn id="11" name="OCT" totalsRowFunction="sum" dataDxfId="116" totalsRowDxfId="115"/>
    <tableColumn id="12" name="NOV" totalsRowFunction="sum" dataDxfId="114" totalsRowDxfId="113"/>
    <tableColumn id="13" name="DEC" totalsRowFunction="sum" dataDxfId="112" totalsRowDxfId="111"/>
    <tableColumn id="14" name="YTD" totalsRowFunction="custom" dataDxfId="110" totalsRowDxfId="109">
      <calculatedColumnFormula>SUM(C5:N5)</calculatedColumnFormula>
      <totalsRowFormula>SUM(SampleRevenue[[#Totals],[JAN]:[DEC]])</totalsRowFormula>
    </tableColumn>
  </tableColumns>
  <tableStyleInfo showFirstColumn="1" showLastColumn="0" showRowStripes="0" showColumnStripes="0"/>
  <extLst>
    <ext xmlns:x14="http://schemas.microsoft.com/office/spreadsheetml/2009/9/main" uri="{504A1905-F514-4f6f-8877-14C23A59335A}">
      <x14:table altTextSummary="Enter or modify Revenue items and values for each month in this table. Net Sales for each month, and Year to Date are auto calculated"/>
    </ext>
  </extLst>
</table>
</file>

<file path=xl/tables/table4.xml><?xml version="1.0" encoding="utf-8"?>
<table xmlns="http://schemas.openxmlformats.org/spreadsheetml/2006/main" id="9" name="SampleExpenses" displayName="SampleExpenses" ref="B13:O19" totalsRowCount="1" headerRowDxfId="77" dataDxfId="75" totalsRowDxfId="76" headerRowBorderDxfId="145" tableBorderDxfId="144" totalsRowBorderDxfId="143">
  <autoFilter ref="B13:O1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EXPENSES" totalsRowLabel="Total Expenses" dataDxfId="105" totalsRowDxfId="104"/>
    <tableColumn id="2" name="JAN" totalsRowFunction="custom" dataDxfId="103" totalsRowDxfId="102">
      <totalsRowFormula>IF(SUM(C14:C18)=0,"",SUM(C14:C18))</totalsRowFormula>
    </tableColumn>
    <tableColumn id="3" name="FEB" totalsRowFunction="custom" dataDxfId="101" totalsRowDxfId="100">
      <totalsRowFormula>IF(SUM(D14:D18)=0,"",SUM(D14:D18))</totalsRowFormula>
    </tableColumn>
    <tableColumn id="4" name="MAR" totalsRowFunction="custom" dataDxfId="99" totalsRowDxfId="98">
      <totalsRowFormula>IF(SUM(E14:E18)=0,"",SUM(E14:E18))</totalsRowFormula>
    </tableColumn>
    <tableColumn id="5" name="APR" totalsRowFunction="custom" dataDxfId="97" totalsRowDxfId="96">
      <totalsRowFormula>IF(SUM(F14:F18)=0,"",SUM(F14:F18))</totalsRowFormula>
    </tableColumn>
    <tableColumn id="6" name="MAY" totalsRowFunction="custom" dataDxfId="95" totalsRowDxfId="94">
      <totalsRowFormula>IF(SUM(G14:G18)=0,"",SUM(G14:G18))</totalsRowFormula>
    </tableColumn>
    <tableColumn id="7" name="JUN" totalsRowFunction="custom" dataDxfId="93" totalsRowDxfId="92">
      <totalsRowFormula>IF(SUM(H14:H18)=0,"",SUM(H14:H18))</totalsRowFormula>
    </tableColumn>
    <tableColumn id="8" name="JUL" totalsRowFunction="custom" dataDxfId="91" totalsRowDxfId="90">
      <totalsRowFormula>IF(SUM(I14:I18)=0,"",SUM(I14:I18))</totalsRowFormula>
    </tableColumn>
    <tableColumn id="9" name="AUG" totalsRowFunction="custom" dataDxfId="89" totalsRowDxfId="88">
      <totalsRowFormula>IF(SUM(J14:J18)=0,"",SUM(J14:J18))</totalsRowFormula>
    </tableColumn>
    <tableColumn id="10" name="SEP" totalsRowFunction="custom" dataDxfId="87" totalsRowDxfId="86">
      <totalsRowFormula>IF(SUM(K14:K18)=0,"",SUM(K14:K18))</totalsRowFormula>
    </tableColumn>
    <tableColumn id="11" name="OCT" totalsRowFunction="custom" dataDxfId="85" totalsRowDxfId="84">
      <totalsRowFormula>IF(SUM(L14:L18)=0,"",SUM(L14:L18))</totalsRowFormula>
    </tableColumn>
    <tableColumn id="12" name="NOV" totalsRowFunction="custom" dataDxfId="83" totalsRowDxfId="82">
      <totalsRowFormula>IF(SUM(M14:M18)=0,"",SUM(M14:M18))</totalsRowFormula>
    </tableColumn>
    <tableColumn id="13" name="DEC" totalsRowFunction="custom" dataDxfId="81" totalsRowDxfId="80">
      <totalsRowFormula>IF(SUM(N14:N18)=0,"",SUM(N14:N18))</totalsRowFormula>
    </tableColumn>
    <tableColumn id="14" name="YTD" totalsRowFunction="custom" dataDxfId="79" totalsRowDxfId="78">
      <calculatedColumnFormula>SUM(C14:N14)</calculatedColumnFormula>
      <totalsRowFormula>SUM(SampleExpenses[[#Totals],[JAN]:[DEC]])</totalsRowFormula>
    </tableColumn>
  </tableColumns>
  <tableStyleInfo showFirstColumn="1" showLastColumn="0" showRowStripes="0" showColumnStripes="0"/>
  <extLst>
    <ext xmlns:x14="http://schemas.microsoft.com/office/spreadsheetml/2009/9/main" uri="{504A1905-F514-4f6f-8877-14C23A59335A}">
      <x14:table altTextSummary="Enter Expense items for each month. Year to Date, and Total Expenses are auto calculated"/>
    </ext>
  </extLst>
</table>
</file>

<file path=xl/tables/table5.xml><?xml version="1.0" encoding="utf-8"?>
<table xmlns="http://schemas.openxmlformats.org/spreadsheetml/2006/main" id="6" name="ActualExpenses" displayName="ActualExpenses" ref="B13:O18" totalsRowCount="1" headerRowDxfId="46" dataDxfId="44" totalsRowDxfId="45" headerRowBorderDxfId="142" tableBorderDxfId="141" totalsRowBorderDxfId="140">
  <autoFilter ref="B13:O1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EXPENSES" totalsRowLabel="Total Expenses" dataDxfId="74" totalsRowDxfId="73"/>
    <tableColumn id="2" name="JAN" totalsRowFunction="custom" dataDxfId="72" totalsRowDxfId="71">
      <totalsRowFormula>IF(SUM(C14:C17)=0,"",SUM(C14:C17))</totalsRowFormula>
    </tableColumn>
    <tableColumn id="3" name="FEB" totalsRowFunction="custom" dataDxfId="70" totalsRowDxfId="69">
      <totalsRowFormula>IF(SUM(D14:D17)=0,"",SUM(D14:D17))</totalsRowFormula>
    </tableColumn>
    <tableColumn id="4" name="MAR" totalsRowFunction="custom" dataDxfId="68" totalsRowDxfId="67">
      <totalsRowFormula>IF(SUM(E14:E17)=0,"",SUM(E14:E17))</totalsRowFormula>
    </tableColumn>
    <tableColumn id="5" name="APR" totalsRowFunction="custom" dataDxfId="66" totalsRowDxfId="65">
      <totalsRowFormula>IF(SUM(F14:F17)=0,"",SUM(F14:F17))</totalsRowFormula>
    </tableColumn>
    <tableColumn id="6" name="MAY" totalsRowFunction="custom" dataDxfId="64" totalsRowDxfId="63">
      <totalsRowFormula>IF(SUM(G14:G17)=0,"",SUM(G14:G17))</totalsRowFormula>
    </tableColumn>
    <tableColumn id="7" name="JUN" totalsRowFunction="custom" dataDxfId="62" totalsRowDxfId="61">
      <totalsRowFormula>IF(SUM(H14:H17)=0,"",SUM(H14:H17))</totalsRowFormula>
    </tableColumn>
    <tableColumn id="8" name="JUL" totalsRowFunction="custom" dataDxfId="60" totalsRowDxfId="59">
      <totalsRowFormula>IF(SUM(I14:I17)=0,"",SUM(I14:I17))</totalsRowFormula>
    </tableColumn>
    <tableColumn id="9" name="AUG" totalsRowFunction="custom" dataDxfId="58" totalsRowDxfId="57">
      <totalsRowFormula>IF(SUM(J14:J17)=0,"",SUM(J14:J17))</totalsRowFormula>
    </tableColumn>
    <tableColumn id="10" name="SEP" totalsRowFunction="custom" dataDxfId="56" totalsRowDxfId="55">
      <totalsRowFormula>IF(SUM(K14:K17)=0,"",SUM(K14:K17))</totalsRowFormula>
    </tableColumn>
    <tableColumn id="11" name="OCT" totalsRowFunction="custom" dataDxfId="54" totalsRowDxfId="53">
      <totalsRowFormula>IF(SUM(L14:L17)=0,"",SUM(L14:L17))</totalsRowFormula>
    </tableColumn>
    <tableColumn id="12" name="NOV" totalsRowFunction="custom" dataDxfId="52" totalsRowDxfId="51">
      <totalsRowFormula>IF(SUM(M14:M17)=0,"",SUM(M14:M17))</totalsRowFormula>
    </tableColumn>
    <tableColumn id="13" name="DEC" totalsRowFunction="custom" dataDxfId="50" totalsRowDxfId="49">
      <totalsRowFormula>IF(SUM(N14:N17)=0,"",SUM(N14:N17))</totalsRowFormula>
    </tableColumn>
    <tableColumn id="14" name="YTD" totalsRowFunction="custom" dataDxfId="48" totalsRowDxfId="47">
      <calculatedColumnFormula>SUM(C14:N14)</calculatedColumnFormula>
      <totalsRowFormula>SUM(ActualExpenses[[#Totals],[JAN]:[DEC]])</totalsRowFormula>
    </tableColumn>
  </tableColumns>
  <tableStyleInfo showFirstColumn="0" showLastColumn="0" showRowStripes="0" showColumnStripes="0"/>
  <extLst>
    <ext xmlns:x14="http://schemas.microsoft.com/office/spreadsheetml/2009/9/main" uri="{504A1905-F514-4f6f-8877-14C23A59335A}">
      <x14:table altTextSummary="Enter or modify Expenses items and values for each month in this table. Year to Date, and Total Expenses are auto calculated"/>
    </ext>
  </extLst>
</table>
</file>

<file path=xl/tables/table6.xml><?xml version="1.0" encoding="utf-8"?>
<table xmlns="http://schemas.openxmlformats.org/spreadsheetml/2006/main" id="5" name="ActualRevenue" displayName="ActualRevenue" ref="B4:O9" totalsRowCount="1" headerRowDxfId="15" dataDxfId="13" totalsRowDxfId="14" headerRowBorderDxfId="139" tableBorderDxfId="138" totalsRowBorderDxfId="137">
  <autoFilter ref="B4:O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REVENUE" totalsRowLabel="Net Sales" dataDxfId="43" totalsRowDxfId="42"/>
    <tableColumn id="2" name="JAN" totalsRowFunction="sum" dataDxfId="41" totalsRowDxfId="40"/>
    <tableColumn id="3" name="FEB" totalsRowFunction="sum" dataDxfId="39" totalsRowDxfId="38"/>
    <tableColumn id="4" name="MAR" totalsRowFunction="sum" dataDxfId="37" totalsRowDxfId="36"/>
    <tableColumn id="5" name="APR" totalsRowFunction="sum" dataDxfId="35" totalsRowDxfId="34"/>
    <tableColumn id="6" name="MAY" totalsRowFunction="sum" dataDxfId="33" totalsRowDxfId="32"/>
    <tableColumn id="7" name="JUN" totalsRowFunction="sum" dataDxfId="31" totalsRowDxfId="30"/>
    <tableColumn id="8" name="JUL" totalsRowFunction="sum" dataDxfId="29" totalsRowDxfId="28"/>
    <tableColumn id="9" name="AUG" totalsRowFunction="sum" dataDxfId="27" totalsRowDxfId="26"/>
    <tableColumn id="10" name="SEP" totalsRowFunction="sum" dataDxfId="25" totalsRowDxfId="24"/>
    <tableColumn id="11" name="OCT" totalsRowFunction="sum" dataDxfId="23" totalsRowDxfId="22"/>
    <tableColumn id="12" name="NOV" totalsRowFunction="sum" dataDxfId="21" totalsRowDxfId="20"/>
    <tableColumn id="13" name="DEC" totalsRowFunction="sum" dataDxfId="19" totalsRowDxfId="18"/>
    <tableColumn id="14" name="YTD" totalsRowFunction="custom" dataDxfId="17" totalsRowDxfId="16">
      <calculatedColumnFormula>SUM(C5:N5)</calculatedColumnFormula>
      <totalsRowFormula>SUM(ActualRevenue[[#Totals],[JAN]:[DEC]])</totalsRowFormula>
    </tableColumn>
  </tableColumns>
  <tableStyleInfo showFirstColumn="0" showLastColumn="0" showRowStripes="0" showColumnStripes="0"/>
  <extLst>
    <ext xmlns:x14="http://schemas.microsoft.com/office/spreadsheetml/2009/9/main" uri="{504A1905-F514-4f6f-8877-14C23A59335A}">
      <x14:table altTextSummary="Enter or modify Revenue items and values for each month in this table. Net Sales for each month, and Year to Date are auto calculated"/>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G38"/>
  <sheetViews>
    <sheetView tabSelected="1" zoomScaleNormal="100" workbookViewId="0">
      <selection activeCell="F15" sqref="F15"/>
    </sheetView>
  </sheetViews>
  <sheetFormatPr defaultColWidth="9.140625" defaultRowHeight="30" customHeight="1" x14ac:dyDescent="0.25"/>
  <cols>
    <col min="1" max="1" width="2.7109375" style="31" customWidth="1"/>
    <col min="2" max="2" width="42.28515625" style="1" customWidth="1"/>
    <col min="3" max="6" width="19.7109375" style="1" customWidth="1"/>
    <col min="7" max="7" width="2.140625" style="1" customWidth="1"/>
    <col min="8" max="16384" width="9.140625" style="1"/>
  </cols>
  <sheetData>
    <row r="1" spans="1:7" s="11" customFormat="1" ht="20.100000000000001" customHeight="1" x14ac:dyDescent="0.25">
      <c r="A1" s="32"/>
      <c r="B1" s="24" t="s">
        <v>0</v>
      </c>
      <c r="C1" s="25"/>
      <c r="D1" s="25"/>
      <c r="E1" s="25"/>
      <c r="F1" s="26"/>
      <c r="G1" s="10"/>
    </row>
    <row r="2" spans="1:7" s="17" customFormat="1" ht="20.100000000000001" customHeight="1" x14ac:dyDescent="0.25">
      <c r="A2" s="27"/>
      <c r="B2" s="12" t="s">
        <v>43</v>
      </c>
      <c r="C2" s="46">
        <f ca="1">TODAY()</f>
        <v>45060</v>
      </c>
      <c r="D2" s="47"/>
      <c r="E2" s="47"/>
      <c r="F2" s="48"/>
      <c r="G2" s="13"/>
    </row>
    <row r="3" spans="1:7" s="3" customFormat="1" ht="9" customHeight="1" x14ac:dyDescent="0.25">
      <c r="A3" s="28"/>
      <c r="B3" s="33"/>
      <c r="C3" s="34"/>
      <c r="D3" s="34"/>
      <c r="E3" s="34"/>
      <c r="F3" s="35"/>
      <c r="G3" s="2"/>
    </row>
    <row r="4" spans="1:7" s="17" customFormat="1" ht="20.100000000000001" customHeight="1" thickBot="1" x14ac:dyDescent="0.3">
      <c r="A4" s="27"/>
      <c r="B4" s="139" t="s">
        <v>1</v>
      </c>
      <c r="C4" s="140" t="s">
        <v>2</v>
      </c>
      <c r="D4" s="141" t="s">
        <v>3</v>
      </c>
      <c r="E4" s="141" t="s">
        <v>4</v>
      </c>
      <c r="F4" s="142" t="s">
        <v>5</v>
      </c>
      <c r="G4" s="13"/>
    </row>
    <row r="5" spans="1:7" s="18" customFormat="1" ht="16.350000000000001" customHeight="1" thickTop="1" x14ac:dyDescent="0.25">
      <c r="A5" s="29"/>
      <c r="B5" s="143" t="s">
        <v>6</v>
      </c>
      <c r="C5" s="74"/>
      <c r="D5" s="74"/>
      <c r="E5" s="74"/>
      <c r="F5" s="75">
        <f>(C5*D5)+IF(E5&gt;0,E5,0)</f>
        <v>0</v>
      </c>
      <c r="G5" s="14"/>
    </row>
    <row r="6" spans="1:7" s="18" customFormat="1" ht="16.350000000000001" customHeight="1" x14ac:dyDescent="0.25">
      <c r="A6" s="29"/>
      <c r="B6" s="144" t="s">
        <v>7</v>
      </c>
      <c r="C6" s="78"/>
      <c r="D6" s="78"/>
      <c r="E6" s="78"/>
      <c r="F6" s="79">
        <f t="shared" ref="F6:F9" si="0">(C6*D6)+IF(E6&gt;0,E6,0)</f>
        <v>0</v>
      </c>
      <c r="G6" s="14"/>
    </row>
    <row r="7" spans="1:7" s="18" customFormat="1" ht="16.350000000000001" customHeight="1" x14ac:dyDescent="0.25">
      <c r="A7" s="29"/>
      <c r="B7" s="144" t="s">
        <v>8</v>
      </c>
      <c r="C7" s="78"/>
      <c r="D7" s="78"/>
      <c r="E7" s="78"/>
      <c r="F7" s="79">
        <f t="shared" si="0"/>
        <v>0</v>
      </c>
      <c r="G7" s="14"/>
    </row>
    <row r="8" spans="1:7" s="18" customFormat="1" ht="16.350000000000001" customHeight="1" x14ac:dyDescent="0.25">
      <c r="A8" s="29"/>
      <c r="B8" s="144" t="s">
        <v>9</v>
      </c>
      <c r="C8" s="78"/>
      <c r="D8" s="78"/>
      <c r="E8" s="78"/>
      <c r="F8" s="79">
        <f t="shared" si="0"/>
        <v>0</v>
      </c>
      <c r="G8" s="14"/>
    </row>
    <row r="9" spans="1:7" s="18" customFormat="1" ht="16.350000000000001" customHeight="1" x14ac:dyDescent="0.25">
      <c r="A9" s="29"/>
      <c r="B9" s="144" t="s">
        <v>10</v>
      </c>
      <c r="C9" s="78"/>
      <c r="D9" s="78"/>
      <c r="E9" s="78"/>
      <c r="F9" s="79">
        <f t="shared" si="0"/>
        <v>0</v>
      </c>
      <c r="G9" s="14"/>
    </row>
    <row r="10" spans="1:7" s="18" customFormat="1" ht="16.350000000000001" customHeight="1" x14ac:dyDescent="0.25">
      <c r="A10" s="29"/>
      <c r="B10" s="145" t="s">
        <v>11</v>
      </c>
      <c r="C10" s="146"/>
      <c r="D10" s="146"/>
      <c r="E10" s="146"/>
      <c r="F10" s="147">
        <f>SUBTOTAL(109,StartUp[TOTAL COST])</f>
        <v>0</v>
      </c>
      <c r="G10" s="14"/>
    </row>
    <row r="11" spans="1:7" s="18" customFormat="1" ht="9" customHeight="1" x14ac:dyDescent="0.25">
      <c r="A11" s="29"/>
      <c r="B11" s="7"/>
      <c r="C11" s="4"/>
      <c r="D11" s="4"/>
      <c r="E11" s="4"/>
      <c r="F11" s="4"/>
      <c r="G11" s="14"/>
    </row>
    <row r="12" spans="1:7" s="18" customFormat="1" ht="30" customHeight="1" x14ac:dyDescent="0.25">
      <c r="A12" s="29"/>
      <c r="B12" s="5"/>
      <c r="C12" s="6"/>
      <c r="D12" s="6"/>
      <c r="E12" s="6"/>
      <c r="F12" s="6"/>
    </row>
    <row r="13" spans="1:7" s="18" customFormat="1" ht="30" customHeight="1" x14ac:dyDescent="0.25">
      <c r="A13" s="29"/>
      <c r="B13" s="6"/>
      <c r="C13" s="6"/>
      <c r="D13" s="6"/>
      <c r="E13" s="6"/>
      <c r="F13" s="6"/>
    </row>
    <row r="14" spans="1:7" s="18" customFormat="1" ht="30" customHeight="1" x14ac:dyDescent="0.25">
      <c r="A14" s="29"/>
      <c r="B14" s="3"/>
      <c r="C14" s="3"/>
      <c r="D14" s="3"/>
      <c r="E14" s="3"/>
      <c r="F14" s="3"/>
    </row>
    <row r="15" spans="1:7" s="18" customFormat="1" ht="30" customHeight="1" x14ac:dyDescent="0.25">
      <c r="A15" s="29"/>
      <c r="B15" s="3"/>
      <c r="C15" s="3"/>
      <c r="D15" s="3"/>
      <c r="E15" s="3"/>
      <c r="F15" s="3"/>
    </row>
    <row r="16" spans="1:7" s="18" customFormat="1" ht="30" customHeight="1" x14ac:dyDescent="0.25">
      <c r="A16" s="29"/>
      <c r="B16" s="3"/>
      <c r="C16" s="3"/>
      <c r="D16" s="3"/>
      <c r="E16" s="3"/>
      <c r="F16" s="3"/>
    </row>
    <row r="17" spans="1:6" s="18" customFormat="1" ht="30" customHeight="1" x14ac:dyDescent="0.25">
      <c r="A17" s="29"/>
      <c r="B17" s="3"/>
      <c r="C17" s="3"/>
      <c r="D17" s="3"/>
      <c r="E17" s="3"/>
      <c r="F17" s="3"/>
    </row>
    <row r="18" spans="1:6" s="18" customFormat="1" ht="30" customHeight="1" x14ac:dyDescent="0.25">
      <c r="A18" s="29"/>
      <c r="B18" s="3"/>
      <c r="C18" s="3"/>
      <c r="D18" s="3"/>
      <c r="E18" s="3"/>
      <c r="F18" s="3"/>
    </row>
    <row r="19" spans="1:6" s="18" customFormat="1" ht="30" customHeight="1" x14ac:dyDescent="0.25">
      <c r="A19" s="29"/>
      <c r="B19" s="3"/>
      <c r="C19" s="3"/>
      <c r="D19" s="3"/>
      <c r="E19" s="3"/>
      <c r="F19" s="3"/>
    </row>
    <row r="20" spans="1:6" s="18" customFormat="1" ht="30" customHeight="1" x14ac:dyDescent="0.25">
      <c r="A20" s="29"/>
      <c r="B20" s="3"/>
      <c r="C20" s="3"/>
      <c r="D20" s="3"/>
      <c r="E20" s="3"/>
      <c r="F20" s="3"/>
    </row>
    <row r="21" spans="1:6" s="18" customFormat="1" ht="30" customHeight="1" x14ac:dyDescent="0.25">
      <c r="A21" s="29"/>
      <c r="B21" s="3"/>
      <c r="C21" s="3"/>
      <c r="D21" s="3"/>
      <c r="E21" s="3"/>
      <c r="F21" s="3"/>
    </row>
    <row r="22" spans="1:6" s="18" customFormat="1" ht="30" customHeight="1" x14ac:dyDescent="0.25">
      <c r="A22" s="29"/>
      <c r="B22" s="1"/>
      <c r="C22" s="1"/>
      <c r="D22" s="1"/>
      <c r="E22" s="1"/>
      <c r="F22" s="1"/>
    </row>
    <row r="23" spans="1:6" s="18" customFormat="1" ht="30" customHeight="1" x14ac:dyDescent="0.25">
      <c r="A23" s="29"/>
      <c r="B23" s="1"/>
      <c r="C23" s="1"/>
      <c r="D23" s="1"/>
      <c r="E23" s="1"/>
      <c r="F23" s="1"/>
    </row>
    <row r="24" spans="1:6" s="18" customFormat="1" ht="30" customHeight="1" x14ac:dyDescent="0.25">
      <c r="A24" s="29"/>
      <c r="B24" s="1"/>
      <c r="C24" s="1"/>
      <c r="D24" s="1"/>
      <c r="E24" s="1"/>
      <c r="F24" s="1"/>
    </row>
    <row r="25" spans="1:6" s="18" customFormat="1" ht="30" customHeight="1" x14ac:dyDescent="0.25">
      <c r="A25" s="29"/>
      <c r="B25" s="1"/>
      <c r="C25" s="1"/>
      <c r="D25" s="1"/>
      <c r="E25" s="1"/>
      <c r="F25" s="1"/>
    </row>
    <row r="26" spans="1:6" s="18" customFormat="1" ht="30" customHeight="1" x14ac:dyDescent="0.25">
      <c r="A26" s="29"/>
      <c r="B26" s="1"/>
      <c r="C26" s="1"/>
      <c r="D26" s="1"/>
      <c r="E26" s="1"/>
      <c r="F26" s="1"/>
    </row>
    <row r="27" spans="1:6" s="18" customFormat="1" ht="30" customHeight="1" x14ac:dyDescent="0.25">
      <c r="A27" s="29"/>
      <c r="B27" s="1"/>
      <c r="C27" s="1"/>
      <c r="D27" s="1"/>
      <c r="E27" s="1"/>
      <c r="F27" s="1"/>
    </row>
    <row r="28" spans="1:6" s="6" customFormat="1" ht="30" customHeight="1" x14ac:dyDescent="0.25">
      <c r="A28" s="30"/>
      <c r="B28" s="1"/>
      <c r="C28" s="1"/>
      <c r="D28" s="1"/>
      <c r="E28" s="1"/>
      <c r="F28" s="1"/>
    </row>
    <row r="29" spans="1:6" s="6" customFormat="1" ht="30" customHeight="1" x14ac:dyDescent="0.25">
      <c r="A29" s="30"/>
      <c r="B29" s="1"/>
      <c r="C29" s="1"/>
      <c r="D29" s="1"/>
      <c r="E29" s="1"/>
      <c r="F29" s="1"/>
    </row>
    <row r="30" spans="1:6" s="6" customFormat="1" ht="30" customHeight="1" x14ac:dyDescent="0.25">
      <c r="A30" s="30"/>
      <c r="B30" s="1"/>
      <c r="C30" s="1"/>
      <c r="D30" s="1"/>
      <c r="E30" s="1"/>
      <c r="F30" s="1"/>
    </row>
    <row r="31" spans="1:6" s="3" customFormat="1" ht="30" customHeight="1" x14ac:dyDescent="0.25">
      <c r="A31" s="28"/>
      <c r="B31" s="1"/>
      <c r="C31" s="1"/>
      <c r="D31" s="1"/>
      <c r="E31" s="1"/>
      <c r="F31" s="1"/>
    </row>
    <row r="32" spans="1:6" s="3" customFormat="1" ht="30" customHeight="1" x14ac:dyDescent="0.25">
      <c r="A32" s="28"/>
      <c r="B32" s="1"/>
      <c r="C32" s="1"/>
      <c r="D32" s="1"/>
      <c r="E32" s="1"/>
      <c r="F32" s="1"/>
    </row>
    <row r="33" spans="1:6" s="3" customFormat="1" ht="30" customHeight="1" x14ac:dyDescent="0.25">
      <c r="A33" s="28"/>
      <c r="B33" s="1"/>
      <c r="C33" s="1"/>
      <c r="D33" s="1"/>
      <c r="E33" s="1"/>
      <c r="F33" s="1"/>
    </row>
    <row r="34" spans="1:6" s="3" customFormat="1" ht="30" customHeight="1" x14ac:dyDescent="0.25">
      <c r="A34" s="28"/>
      <c r="B34" s="1"/>
      <c r="C34" s="1"/>
      <c r="D34" s="1"/>
      <c r="E34" s="1"/>
      <c r="F34" s="1"/>
    </row>
    <row r="35" spans="1:6" s="3" customFormat="1" ht="30" customHeight="1" x14ac:dyDescent="0.25">
      <c r="A35" s="28"/>
      <c r="B35" s="1"/>
      <c r="C35" s="1"/>
      <c r="D35" s="1"/>
      <c r="E35" s="1"/>
      <c r="F35" s="1"/>
    </row>
    <row r="36" spans="1:6" s="3" customFormat="1" ht="30" customHeight="1" x14ac:dyDescent="0.25">
      <c r="A36" s="28"/>
      <c r="B36" s="1"/>
      <c r="C36" s="1"/>
      <c r="D36" s="1"/>
      <c r="E36" s="1"/>
      <c r="F36" s="1"/>
    </row>
    <row r="37" spans="1:6" s="3" customFormat="1" ht="30" customHeight="1" x14ac:dyDescent="0.25">
      <c r="A37" s="28"/>
      <c r="B37" s="1"/>
      <c r="C37" s="1"/>
      <c r="D37" s="1"/>
      <c r="E37" s="1"/>
      <c r="F37" s="1"/>
    </row>
    <row r="38" spans="1:6" s="3" customFormat="1" ht="30" customHeight="1" x14ac:dyDescent="0.25">
      <c r="A38" s="28"/>
      <c r="B38" s="1"/>
      <c r="C38" s="1"/>
      <c r="D38" s="1"/>
      <c r="E38" s="1"/>
      <c r="F38" s="1"/>
    </row>
  </sheetData>
  <mergeCells count="1">
    <mergeCell ref="C2:F2"/>
  </mergeCells>
  <dataValidations count="3">
    <dataValidation allowBlank="1" showInputMessage="1" showErrorMessage="1" prompt="Business name is in cell at right and Date in cell C2. Next instruction is in cell A4." sqref="A2"/>
    <dataValidation allowBlank="1" showInputMessage="1" showErrorMessage="1" prompt="Enter details in Start Up table starting in cell at right to calculate the Estimated Start-up Budget." sqref="A4"/>
    <dataValidation allowBlank="1" showInputMessage="1" showErrorMessage="1" prompt="This worksheet contains a template to calculate Start-up costs and Estimated Start-up Budget. Title of the worksheet is in cell at right. Other helpful instructions on how to use this worksheet are in cells in this column. Arrow down to get started." sqref="A1"/>
  </dataValidations>
  <pageMargins left="0.7" right="0.7" top="0.75" bottom="0.75" header="0.3" footer="0.3"/>
  <pageSetup scale="76" orientation="portrait" horizontalDpi="1200" verticalDpi="1200" r:id="rId1"/>
  <ignoredErrors>
    <ignoredError sqref="F5:F9" emptyCellReference="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G38"/>
  <sheetViews>
    <sheetView zoomScaleNormal="100" workbookViewId="0"/>
  </sheetViews>
  <sheetFormatPr defaultColWidth="9.140625" defaultRowHeight="30" customHeight="1" x14ac:dyDescent="0.25"/>
  <cols>
    <col min="1" max="1" width="2.7109375" style="31" customWidth="1"/>
    <col min="2" max="2" width="42.28515625" style="1" customWidth="1"/>
    <col min="3" max="6" width="19.7109375" style="1" customWidth="1"/>
    <col min="7" max="7" width="2.140625" style="1" customWidth="1"/>
    <col min="8" max="190" width="8.85546875" style="1" customWidth="1"/>
    <col min="191" max="16384" width="9.140625" style="1"/>
  </cols>
  <sheetData>
    <row r="1" spans="1:7" s="16" customFormat="1" ht="20.100000000000001" customHeight="1" x14ac:dyDescent="0.25">
      <c r="A1" s="27"/>
      <c r="B1" s="24" t="s">
        <v>0</v>
      </c>
      <c r="C1" s="25"/>
      <c r="D1" s="25"/>
      <c r="E1" s="25"/>
      <c r="F1" s="26"/>
      <c r="G1" s="15"/>
    </row>
    <row r="2" spans="1:7" s="17" customFormat="1" ht="20.100000000000001" customHeight="1" x14ac:dyDescent="0.25">
      <c r="A2" s="27"/>
      <c r="B2" s="12" t="str">
        <f>'Start-Up Costs Template'!B2</f>
        <v>YOUR COMPANY NAME</v>
      </c>
      <c r="C2" s="49">
        <f ca="1">TODAY()</f>
        <v>45060</v>
      </c>
      <c r="D2" s="50"/>
      <c r="E2" s="50"/>
      <c r="F2" s="51"/>
      <c r="G2" s="13"/>
    </row>
    <row r="3" spans="1:7" s="3" customFormat="1" ht="9" customHeight="1" x14ac:dyDescent="0.25">
      <c r="A3" s="28"/>
      <c r="B3" s="43"/>
      <c r="C3" s="44"/>
      <c r="D3" s="44"/>
      <c r="E3" s="44"/>
      <c r="F3" s="45"/>
      <c r="G3" s="2"/>
    </row>
    <row r="4" spans="1:7" s="17" customFormat="1" ht="20.100000000000001" customHeight="1" thickBot="1" x14ac:dyDescent="0.3">
      <c r="A4" s="27"/>
      <c r="B4" s="40" t="s">
        <v>1</v>
      </c>
      <c r="C4" s="41" t="s">
        <v>2</v>
      </c>
      <c r="D4" s="41" t="s">
        <v>3</v>
      </c>
      <c r="E4" s="41" t="s">
        <v>4</v>
      </c>
      <c r="F4" s="42" t="s">
        <v>5</v>
      </c>
      <c r="G4" s="13"/>
    </row>
    <row r="5" spans="1:7" s="3" customFormat="1" ht="16.350000000000001" customHeight="1" thickTop="1" x14ac:dyDescent="0.25">
      <c r="A5" s="28"/>
      <c r="B5" s="36" t="s">
        <v>6</v>
      </c>
      <c r="C5" s="37">
        <v>3</v>
      </c>
      <c r="D5" s="38">
        <v>300</v>
      </c>
      <c r="E5" s="38">
        <v>2000</v>
      </c>
      <c r="F5" s="39">
        <f>(C5*D5)+IF(E5&gt;0,E5,0)</f>
        <v>2900</v>
      </c>
      <c r="G5" s="2"/>
    </row>
    <row r="6" spans="1:7" s="18" customFormat="1" ht="16.350000000000001" customHeight="1" x14ac:dyDescent="0.25">
      <c r="A6" s="29"/>
      <c r="B6" s="19" t="s">
        <v>7</v>
      </c>
      <c r="C6" s="8">
        <v>4</v>
      </c>
      <c r="D6" s="9">
        <v>3500</v>
      </c>
      <c r="E6" s="9">
        <v>2</v>
      </c>
      <c r="F6" s="20">
        <f t="shared" ref="F6:F9" si="0">(C6*D6)+IF(E6&gt;0,E6,0)</f>
        <v>14002</v>
      </c>
      <c r="G6" s="14"/>
    </row>
    <row r="7" spans="1:7" s="18" customFormat="1" ht="16.350000000000001" customHeight="1" x14ac:dyDescent="0.25">
      <c r="A7" s="29"/>
      <c r="B7" s="19" t="s">
        <v>8</v>
      </c>
      <c r="C7" s="8">
        <v>4</v>
      </c>
      <c r="D7" s="9">
        <v>500</v>
      </c>
      <c r="E7" s="9">
        <v>2000</v>
      </c>
      <c r="F7" s="20">
        <f t="shared" si="0"/>
        <v>4000</v>
      </c>
      <c r="G7" s="14"/>
    </row>
    <row r="8" spans="1:7" s="18" customFormat="1" ht="16.350000000000001" customHeight="1" x14ac:dyDescent="0.25">
      <c r="A8" s="29"/>
      <c r="B8" s="19" t="s">
        <v>9</v>
      </c>
      <c r="C8" s="8">
        <v>4</v>
      </c>
      <c r="D8" s="9">
        <v>750</v>
      </c>
      <c r="E8" s="9">
        <v>3000</v>
      </c>
      <c r="F8" s="20">
        <f t="shared" si="0"/>
        <v>6000</v>
      </c>
      <c r="G8" s="14"/>
    </row>
    <row r="9" spans="1:7" s="18" customFormat="1" ht="16.350000000000001" customHeight="1" x14ac:dyDescent="0.25">
      <c r="A9" s="29"/>
      <c r="B9" s="19" t="s">
        <v>10</v>
      </c>
      <c r="C9" s="8">
        <v>1</v>
      </c>
      <c r="D9" s="9">
        <v>25</v>
      </c>
      <c r="E9" s="9">
        <v>25</v>
      </c>
      <c r="F9" s="20">
        <f t="shared" si="0"/>
        <v>50</v>
      </c>
      <c r="G9" s="14"/>
    </row>
    <row r="10" spans="1:7" s="18" customFormat="1" ht="16.350000000000001" customHeight="1" x14ac:dyDescent="0.25">
      <c r="A10" s="29"/>
      <c r="B10" s="21" t="s">
        <v>11</v>
      </c>
      <c r="C10" s="22"/>
      <c r="D10" s="22"/>
      <c r="E10" s="22"/>
      <c r="F10" s="23">
        <f>SUM(F6:F9)</f>
        <v>24052</v>
      </c>
      <c r="G10" s="14"/>
    </row>
    <row r="11" spans="1:7" s="18" customFormat="1" ht="9" customHeight="1" x14ac:dyDescent="0.25">
      <c r="A11" s="29"/>
      <c r="B11" s="7"/>
      <c r="C11" s="4"/>
      <c r="D11" s="4"/>
      <c r="E11" s="4"/>
      <c r="F11" s="4"/>
      <c r="G11" s="14"/>
    </row>
    <row r="12" spans="1:7" s="18" customFormat="1" ht="30" customHeight="1" x14ac:dyDescent="0.25">
      <c r="A12" s="29"/>
      <c r="B12" s="6"/>
      <c r="C12" s="6"/>
      <c r="D12" s="6"/>
      <c r="E12" s="6"/>
      <c r="F12" s="6"/>
    </row>
    <row r="13" spans="1:7" s="18" customFormat="1" ht="30" customHeight="1" x14ac:dyDescent="0.25">
      <c r="A13" s="29"/>
      <c r="B13" s="3"/>
      <c r="C13" s="3"/>
      <c r="D13" s="3"/>
      <c r="E13" s="3"/>
      <c r="F13" s="3"/>
    </row>
    <row r="14" spans="1:7" s="18" customFormat="1" ht="30" customHeight="1" x14ac:dyDescent="0.25">
      <c r="A14" s="29"/>
      <c r="B14" s="3"/>
      <c r="C14" s="3"/>
      <c r="D14" s="3"/>
      <c r="E14" s="3"/>
      <c r="F14" s="3"/>
    </row>
    <row r="15" spans="1:7" s="18" customFormat="1" ht="30" customHeight="1" x14ac:dyDescent="0.25">
      <c r="A15" s="29"/>
      <c r="B15" s="3"/>
      <c r="C15" s="3"/>
      <c r="D15" s="3"/>
      <c r="E15" s="3"/>
      <c r="F15" s="3"/>
    </row>
    <row r="16" spans="1:7" s="18" customFormat="1" ht="30" customHeight="1" x14ac:dyDescent="0.25">
      <c r="A16" s="29"/>
      <c r="B16" s="3"/>
      <c r="C16" s="3"/>
      <c r="D16" s="3"/>
      <c r="E16" s="3"/>
      <c r="F16" s="3"/>
    </row>
    <row r="17" spans="1:6" s="18" customFormat="1" ht="30" customHeight="1" x14ac:dyDescent="0.25">
      <c r="A17" s="29"/>
      <c r="B17" s="3"/>
      <c r="C17" s="3"/>
      <c r="D17" s="3"/>
      <c r="E17" s="3"/>
      <c r="F17" s="3"/>
    </row>
    <row r="18" spans="1:6" s="18" customFormat="1" ht="30" customHeight="1" x14ac:dyDescent="0.25">
      <c r="A18" s="29"/>
      <c r="B18" s="3"/>
      <c r="C18" s="3"/>
      <c r="D18" s="3"/>
      <c r="E18" s="3"/>
      <c r="F18" s="3"/>
    </row>
    <row r="19" spans="1:6" s="18" customFormat="1" ht="30" customHeight="1" x14ac:dyDescent="0.25">
      <c r="A19" s="29"/>
      <c r="B19" s="3"/>
      <c r="C19" s="3"/>
      <c r="D19" s="3"/>
      <c r="E19" s="3"/>
      <c r="F19" s="3"/>
    </row>
    <row r="20" spans="1:6" s="18" customFormat="1" ht="30" customHeight="1" x14ac:dyDescent="0.25">
      <c r="A20" s="29"/>
      <c r="B20" s="3"/>
      <c r="C20" s="3"/>
      <c r="D20" s="3"/>
      <c r="E20" s="3"/>
      <c r="F20" s="3"/>
    </row>
    <row r="21" spans="1:6" s="18" customFormat="1" ht="30" customHeight="1" x14ac:dyDescent="0.25">
      <c r="A21" s="29"/>
      <c r="B21" s="1"/>
      <c r="C21" s="1"/>
      <c r="D21" s="1"/>
      <c r="E21" s="1"/>
      <c r="F21" s="1"/>
    </row>
    <row r="22" spans="1:6" s="18" customFormat="1" ht="30" customHeight="1" x14ac:dyDescent="0.25">
      <c r="A22" s="29"/>
      <c r="B22" s="1"/>
      <c r="C22" s="1"/>
      <c r="D22" s="1"/>
      <c r="E22" s="1"/>
      <c r="F22" s="1"/>
    </row>
    <row r="23" spans="1:6" s="18" customFormat="1" ht="30" customHeight="1" x14ac:dyDescent="0.25">
      <c r="A23" s="29"/>
      <c r="B23" s="1"/>
      <c r="C23" s="1"/>
      <c r="D23" s="1"/>
      <c r="E23" s="1"/>
      <c r="F23" s="1"/>
    </row>
    <row r="24" spans="1:6" s="18" customFormat="1" ht="30" customHeight="1" x14ac:dyDescent="0.25">
      <c r="A24" s="29"/>
      <c r="B24" s="1"/>
      <c r="C24" s="1"/>
      <c r="D24" s="1"/>
      <c r="E24" s="1"/>
      <c r="F24" s="1"/>
    </row>
    <row r="25" spans="1:6" s="18" customFormat="1" ht="30" customHeight="1" x14ac:dyDescent="0.25">
      <c r="A25" s="29"/>
      <c r="B25" s="1"/>
      <c r="C25" s="1"/>
      <c r="D25" s="1"/>
      <c r="E25" s="1"/>
      <c r="F25" s="1"/>
    </row>
    <row r="26" spans="1:6" s="18" customFormat="1" ht="30" customHeight="1" x14ac:dyDescent="0.25">
      <c r="A26" s="29"/>
      <c r="B26" s="1"/>
      <c r="C26" s="1"/>
      <c r="D26" s="1"/>
      <c r="E26" s="1"/>
      <c r="F26" s="1"/>
    </row>
    <row r="27" spans="1:6" s="18" customFormat="1" ht="30" customHeight="1" x14ac:dyDescent="0.25">
      <c r="A27" s="29"/>
      <c r="B27" s="1"/>
      <c r="C27" s="1"/>
      <c r="D27" s="1"/>
      <c r="E27" s="1"/>
      <c r="F27" s="1"/>
    </row>
    <row r="28" spans="1:6" s="6" customFormat="1" ht="30" customHeight="1" x14ac:dyDescent="0.25">
      <c r="A28" s="30"/>
      <c r="B28" s="1"/>
      <c r="C28" s="1"/>
      <c r="D28" s="1"/>
      <c r="E28" s="1"/>
      <c r="F28" s="1"/>
    </row>
    <row r="29" spans="1:6" s="6" customFormat="1" ht="30" customHeight="1" x14ac:dyDescent="0.25">
      <c r="A29" s="30"/>
      <c r="B29" s="1"/>
      <c r="C29" s="1"/>
      <c r="D29" s="1"/>
      <c r="E29" s="1"/>
      <c r="F29" s="1"/>
    </row>
    <row r="30" spans="1:6" s="6" customFormat="1" ht="30" customHeight="1" x14ac:dyDescent="0.25">
      <c r="A30" s="30"/>
      <c r="B30" s="1"/>
      <c r="C30" s="1"/>
      <c r="D30" s="1"/>
      <c r="E30" s="1"/>
      <c r="F30" s="1"/>
    </row>
    <row r="31" spans="1:6" s="3" customFormat="1" ht="30" customHeight="1" x14ac:dyDescent="0.25">
      <c r="A31" s="28"/>
      <c r="B31" s="1"/>
      <c r="C31" s="1"/>
      <c r="D31" s="1"/>
      <c r="E31" s="1"/>
      <c r="F31" s="1"/>
    </row>
    <row r="32" spans="1:6" s="3" customFormat="1" ht="30" customHeight="1" x14ac:dyDescent="0.25">
      <c r="A32" s="28"/>
      <c r="B32" s="1"/>
      <c r="C32" s="1"/>
      <c r="D32" s="1"/>
      <c r="E32" s="1"/>
      <c r="F32" s="1"/>
    </row>
    <row r="33" spans="1:6" s="3" customFormat="1" ht="30" customHeight="1" x14ac:dyDescent="0.25">
      <c r="A33" s="28"/>
      <c r="B33" s="1"/>
      <c r="C33" s="1"/>
      <c r="D33" s="1"/>
      <c r="E33" s="1"/>
      <c r="F33" s="1"/>
    </row>
    <row r="34" spans="1:6" s="3" customFormat="1" ht="30" customHeight="1" x14ac:dyDescent="0.25">
      <c r="A34" s="28"/>
      <c r="B34" s="1"/>
      <c r="C34" s="1"/>
      <c r="D34" s="1"/>
      <c r="E34" s="1"/>
      <c r="F34" s="1"/>
    </row>
    <row r="35" spans="1:6" s="3" customFormat="1" ht="30" customHeight="1" x14ac:dyDescent="0.25">
      <c r="A35" s="28"/>
      <c r="B35" s="1"/>
      <c r="C35" s="1"/>
      <c r="D35" s="1"/>
      <c r="E35" s="1"/>
      <c r="F35" s="1"/>
    </row>
    <row r="36" spans="1:6" s="3" customFormat="1" ht="30" customHeight="1" x14ac:dyDescent="0.25">
      <c r="A36" s="28"/>
      <c r="B36" s="1"/>
      <c r="C36" s="1"/>
      <c r="D36" s="1"/>
      <c r="E36" s="1"/>
      <c r="F36" s="1"/>
    </row>
    <row r="37" spans="1:6" s="3" customFormat="1" ht="30" customHeight="1" x14ac:dyDescent="0.25">
      <c r="A37" s="28"/>
      <c r="B37" s="1"/>
      <c r="C37" s="1"/>
      <c r="D37" s="1"/>
      <c r="E37" s="1"/>
      <c r="F37" s="1"/>
    </row>
    <row r="38" spans="1:6" s="3" customFormat="1" ht="30" customHeight="1" x14ac:dyDescent="0.25">
      <c r="A38" s="28"/>
      <c r="B38" s="1"/>
      <c r="C38" s="1"/>
      <c r="D38" s="1"/>
      <c r="E38" s="1"/>
      <c r="F38" s="1"/>
    </row>
  </sheetData>
  <mergeCells count="1">
    <mergeCell ref="C2:F2"/>
  </mergeCells>
  <dataValidations count="3">
    <dataValidation allowBlank="1" showInputMessage="1" showErrorMessage="1" prompt="This worksheet contains sample data in the template from previous worksheet. Title of the worksheet is in cell at right. Other helpful instructions on how to use this worksheet are in cells in this column. Arrow down to get started." sqref="A1"/>
    <dataValidation allowBlank="1" showInputMessage="1" showErrorMessage="1" prompt="Business name is in cell at right and Date in cell C2. Next instruction is in cell A4." sqref="A2"/>
    <dataValidation allowBlank="1" showInputMessage="1" showErrorMessage="1" prompt="Cost Items, Months, Cost per Month, and One-time Cost are in Start Up table starting in cell at right. Total Cost and Estimated Start-up Budget are auto calculated._x000a_" sqref="A4"/>
  </dataValidations>
  <pageMargins left="0.7" right="0.7" top="0.75" bottom="0.75" header="0.3" footer="0.3"/>
  <pageSetup scale="76"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P42"/>
  <sheetViews>
    <sheetView zoomScaleNormal="100" workbookViewId="0">
      <selection activeCell="B5" sqref="A1:XFD1048576"/>
    </sheetView>
  </sheetViews>
  <sheetFormatPr defaultColWidth="9.140625" defaultRowHeight="30" customHeight="1" x14ac:dyDescent="0.25"/>
  <cols>
    <col min="1" max="1" width="2.7109375" style="108" customWidth="1"/>
    <col min="2" max="2" width="42.28515625" style="107" customWidth="1"/>
    <col min="3" max="15" width="14.7109375" style="107" customWidth="1"/>
    <col min="16" max="16" width="2.140625" style="107" customWidth="1"/>
    <col min="17" max="16384" width="9.140625" style="107"/>
  </cols>
  <sheetData>
    <row r="1" spans="1:16" s="57" customFormat="1" ht="20.100000000000001" customHeight="1" x14ac:dyDescent="0.25">
      <c r="A1" s="52"/>
      <c r="B1" s="53" t="s">
        <v>0</v>
      </c>
      <c r="C1" s="54"/>
      <c r="D1" s="54"/>
      <c r="E1" s="54"/>
      <c r="F1" s="54"/>
      <c r="G1" s="54"/>
      <c r="H1" s="54"/>
      <c r="I1" s="54"/>
      <c r="J1" s="54"/>
      <c r="K1" s="54"/>
      <c r="L1" s="54"/>
      <c r="M1" s="54"/>
      <c r="N1" s="54"/>
      <c r="O1" s="55"/>
      <c r="P1" s="56"/>
    </row>
    <row r="2" spans="1:16" s="63" customFormat="1" ht="20.100000000000001" customHeight="1" x14ac:dyDescent="0.25">
      <c r="A2" s="52"/>
      <c r="B2" s="58" t="str">
        <f>'Start-Up Costs Template'!B2</f>
        <v>YOUR COMPANY NAME</v>
      </c>
      <c r="C2" s="59">
        <f ca="1">TODAY()</f>
        <v>45060</v>
      </c>
      <c r="D2" s="60"/>
      <c r="E2" s="60"/>
      <c r="F2" s="60"/>
      <c r="G2" s="60"/>
      <c r="H2" s="60"/>
      <c r="I2" s="60"/>
      <c r="J2" s="60"/>
      <c r="K2" s="60"/>
      <c r="L2" s="60"/>
      <c r="M2" s="60"/>
      <c r="N2" s="60"/>
      <c r="O2" s="61"/>
      <c r="P2" s="62"/>
    </row>
    <row r="3" spans="1:16" s="69" customFormat="1" ht="9" customHeight="1" x14ac:dyDescent="0.25">
      <c r="A3" s="64"/>
      <c r="B3" s="65"/>
      <c r="C3" s="66"/>
      <c r="D3" s="66"/>
      <c r="E3" s="66"/>
      <c r="F3" s="66"/>
      <c r="G3" s="66"/>
      <c r="H3" s="66"/>
      <c r="I3" s="66"/>
      <c r="J3" s="66"/>
      <c r="K3" s="66"/>
      <c r="L3" s="66"/>
      <c r="M3" s="66"/>
      <c r="N3" s="66"/>
      <c r="O3" s="67"/>
      <c r="P3" s="68"/>
    </row>
    <row r="4" spans="1:16" s="63" customFormat="1" ht="20.100000000000001" customHeight="1" thickBot="1" x14ac:dyDescent="0.3">
      <c r="A4" s="52"/>
      <c r="B4" s="70" t="s">
        <v>12</v>
      </c>
      <c r="C4" s="71" t="s">
        <v>13</v>
      </c>
      <c r="D4" s="71" t="s">
        <v>14</v>
      </c>
      <c r="E4" s="71" t="s">
        <v>15</v>
      </c>
      <c r="F4" s="71" t="s">
        <v>16</v>
      </c>
      <c r="G4" s="71" t="s">
        <v>17</v>
      </c>
      <c r="H4" s="71" t="s">
        <v>18</v>
      </c>
      <c r="I4" s="71" t="s">
        <v>19</v>
      </c>
      <c r="J4" s="71" t="s">
        <v>20</v>
      </c>
      <c r="K4" s="71" t="s">
        <v>21</v>
      </c>
      <c r="L4" s="71" t="s">
        <v>22</v>
      </c>
      <c r="M4" s="71" t="s">
        <v>23</v>
      </c>
      <c r="N4" s="71" t="s">
        <v>24</v>
      </c>
      <c r="O4" s="72" t="s">
        <v>25</v>
      </c>
      <c r="P4" s="62"/>
    </row>
    <row r="5" spans="1:16" s="69" customFormat="1" ht="16.350000000000001" customHeight="1" thickTop="1" x14ac:dyDescent="0.25">
      <c r="A5" s="64"/>
      <c r="B5" s="73" t="s">
        <v>26</v>
      </c>
      <c r="C5" s="74">
        <v>0</v>
      </c>
      <c r="D5" s="74">
        <v>0</v>
      </c>
      <c r="E5" s="74">
        <v>0</v>
      </c>
      <c r="F5" s="74">
        <v>0</v>
      </c>
      <c r="G5" s="74">
        <v>0</v>
      </c>
      <c r="H5" s="74">
        <v>0</v>
      </c>
      <c r="I5" s="74">
        <v>0</v>
      </c>
      <c r="J5" s="74">
        <v>0</v>
      </c>
      <c r="K5" s="74">
        <v>0</v>
      </c>
      <c r="L5" s="74">
        <v>0</v>
      </c>
      <c r="M5" s="74">
        <v>0</v>
      </c>
      <c r="N5" s="74">
        <v>0</v>
      </c>
      <c r="O5" s="75">
        <f>SUM(C5:N5)</f>
        <v>0</v>
      </c>
      <c r="P5" s="68"/>
    </row>
    <row r="6" spans="1:16" s="81" customFormat="1" ht="16.350000000000001" customHeight="1" x14ac:dyDescent="0.25">
      <c r="A6" s="76"/>
      <c r="B6" s="77" t="s">
        <v>27</v>
      </c>
      <c r="C6" s="78">
        <v>0</v>
      </c>
      <c r="D6" s="78">
        <v>0</v>
      </c>
      <c r="E6" s="78">
        <v>0</v>
      </c>
      <c r="F6" s="78">
        <v>0</v>
      </c>
      <c r="G6" s="78">
        <v>0</v>
      </c>
      <c r="H6" s="78">
        <v>0</v>
      </c>
      <c r="I6" s="78">
        <v>0</v>
      </c>
      <c r="J6" s="78">
        <v>0</v>
      </c>
      <c r="K6" s="78">
        <v>0</v>
      </c>
      <c r="L6" s="78">
        <v>0</v>
      </c>
      <c r="M6" s="78">
        <v>0</v>
      </c>
      <c r="N6" s="78">
        <v>0</v>
      </c>
      <c r="O6" s="79">
        <f t="shared" ref="O6:O11" si="0">SUM(C6:N6)</f>
        <v>0</v>
      </c>
      <c r="P6" s="80"/>
    </row>
    <row r="7" spans="1:16" s="81" customFormat="1" ht="16.350000000000001" customHeight="1" x14ac:dyDescent="0.25">
      <c r="A7" s="76"/>
      <c r="B7" s="77" t="s">
        <v>28</v>
      </c>
      <c r="C7" s="78">
        <v>0</v>
      </c>
      <c r="D7" s="78">
        <v>0</v>
      </c>
      <c r="E7" s="78">
        <v>0</v>
      </c>
      <c r="F7" s="78">
        <v>0</v>
      </c>
      <c r="G7" s="78">
        <v>0</v>
      </c>
      <c r="H7" s="78">
        <v>0</v>
      </c>
      <c r="I7" s="78">
        <v>0</v>
      </c>
      <c r="J7" s="78">
        <v>0</v>
      </c>
      <c r="K7" s="78">
        <v>0</v>
      </c>
      <c r="L7" s="78">
        <v>0</v>
      </c>
      <c r="M7" s="78">
        <v>0</v>
      </c>
      <c r="N7" s="78">
        <v>0</v>
      </c>
      <c r="O7" s="79">
        <f t="shared" si="0"/>
        <v>0</v>
      </c>
      <c r="P7" s="80"/>
    </row>
    <row r="8" spans="1:16" s="81" customFormat="1" ht="16.350000000000001" customHeight="1" x14ac:dyDescent="0.25">
      <c r="A8" s="76"/>
      <c r="B8" s="77" t="s">
        <v>29</v>
      </c>
      <c r="C8" s="78">
        <v>0</v>
      </c>
      <c r="D8" s="78">
        <v>0</v>
      </c>
      <c r="E8" s="78">
        <v>0</v>
      </c>
      <c r="F8" s="78">
        <v>0</v>
      </c>
      <c r="G8" s="78">
        <v>0</v>
      </c>
      <c r="H8" s="78">
        <v>0</v>
      </c>
      <c r="I8" s="78">
        <v>0</v>
      </c>
      <c r="J8" s="78">
        <v>0</v>
      </c>
      <c r="K8" s="78">
        <v>0</v>
      </c>
      <c r="L8" s="78">
        <v>0</v>
      </c>
      <c r="M8" s="78">
        <v>0</v>
      </c>
      <c r="N8" s="78">
        <v>0</v>
      </c>
      <c r="O8" s="79">
        <f t="shared" si="0"/>
        <v>0</v>
      </c>
      <c r="P8" s="80"/>
    </row>
    <row r="9" spans="1:16" s="81" customFormat="1" ht="16.350000000000001" customHeight="1" x14ac:dyDescent="0.25">
      <c r="A9" s="76"/>
      <c r="B9" s="82" t="s">
        <v>30</v>
      </c>
      <c r="C9" s="83">
        <f>SUBTOTAL(109,SampleRevenue[JAN])</f>
        <v>0</v>
      </c>
      <c r="D9" s="83">
        <f>SUBTOTAL(109,SampleRevenue[FEB])</f>
        <v>0</v>
      </c>
      <c r="E9" s="83">
        <f>SUBTOTAL(109,SampleRevenue[MAR])</f>
        <v>0</v>
      </c>
      <c r="F9" s="83">
        <f>SUBTOTAL(109,SampleRevenue[APR])</f>
        <v>0</v>
      </c>
      <c r="G9" s="83">
        <f>SUBTOTAL(109,SampleRevenue[MAY])</f>
        <v>0</v>
      </c>
      <c r="H9" s="83">
        <f>SUBTOTAL(109,SampleRevenue[JUN])</f>
        <v>0</v>
      </c>
      <c r="I9" s="83">
        <f>SUBTOTAL(109,SampleRevenue[JUL])</f>
        <v>0</v>
      </c>
      <c r="J9" s="83">
        <f>SUBTOTAL(109,SampleRevenue[AUG])</f>
        <v>0</v>
      </c>
      <c r="K9" s="83">
        <f>SUBTOTAL(109,SampleRevenue[SEP])</f>
        <v>0</v>
      </c>
      <c r="L9" s="83">
        <f>SUBTOTAL(109,SampleRevenue[OCT])</f>
        <v>0</v>
      </c>
      <c r="M9" s="83">
        <f>SUBTOTAL(109,SampleRevenue[NOV])</f>
        <v>0</v>
      </c>
      <c r="N9" s="83">
        <f>SUBTOTAL(109,SampleRevenue[DEC])</f>
        <v>0</v>
      </c>
      <c r="O9" s="84">
        <f>SUM(SampleRevenue[[#Totals],[JAN]:[DEC]])</f>
        <v>0</v>
      </c>
      <c r="P9" s="80"/>
    </row>
    <row r="10" spans="1:16" s="90" customFormat="1" ht="16.350000000000001" customHeight="1" x14ac:dyDescent="0.25">
      <c r="A10" s="85"/>
      <c r="B10" s="86" t="s">
        <v>31</v>
      </c>
      <c r="C10" s="87">
        <f t="shared" ref="C10:N10" si="1">C5*0.4</f>
        <v>0</v>
      </c>
      <c r="D10" s="87">
        <f t="shared" si="1"/>
        <v>0</v>
      </c>
      <c r="E10" s="87">
        <f t="shared" si="1"/>
        <v>0</v>
      </c>
      <c r="F10" s="87">
        <f t="shared" si="1"/>
        <v>0</v>
      </c>
      <c r="G10" s="87">
        <f t="shared" si="1"/>
        <v>0</v>
      </c>
      <c r="H10" s="87">
        <f t="shared" si="1"/>
        <v>0</v>
      </c>
      <c r="I10" s="87">
        <f t="shared" si="1"/>
        <v>0</v>
      </c>
      <c r="J10" s="87">
        <f t="shared" si="1"/>
        <v>0</v>
      </c>
      <c r="K10" s="87">
        <f t="shared" si="1"/>
        <v>0</v>
      </c>
      <c r="L10" s="87">
        <f t="shared" si="1"/>
        <v>0</v>
      </c>
      <c r="M10" s="87">
        <f t="shared" si="1"/>
        <v>0</v>
      </c>
      <c r="N10" s="87">
        <f t="shared" si="1"/>
        <v>0</v>
      </c>
      <c r="O10" s="88">
        <f t="shared" si="0"/>
        <v>0</v>
      </c>
      <c r="P10" s="89"/>
    </row>
    <row r="11" spans="1:16" s="90" customFormat="1" ht="16.350000000000001" customHeight="1" x14ac:dyDescent="0.25">
      <c r="A11" s="85"/>
      <c r="B11" s="86" t="s">
        <v>32</v>
      </c>
      <c r="C11" s="87">
        <f>IFERROR(SampleRevenue[[#Totals],[JAN]]-C10,"")</f>
        <v>0</v>
      </c>
      <c r="D11" s="87">
        <f>IFERROR(SampleRevenue[[#Totals],[FEB]]-D10,"")</f>
        <v>0</v>
      </c>
      <c r="E11" s="87">
        <f>IFERROR(SampleRevenue[[#Totals],[MAR]]-E10,"")</f>
        <v>0</v>
      </c>
      <c r="F11" s="87">
        <f>IFERROR(SampleRevenue[[#Totals],[APR]]-F10,"")</f>
        <v>0</v>
      </c>
      <c r="G11" s="87">
        <f>IFERROR(SampleRevenue[[#Totals],[MAY]]-G10,"")</f>
        <v>0</v>
      </c>
      <c r="H11" s="87">
        <f>IFERROR(SampleRevenue[[#Totals],[JUN]]-H10,"")</f>
        <v>0</v>
      </c>
      <c r="I11" s="87">
        <f>IFERROR(SampleRevenue[[#Totals],[JUL]]-I10,"")</f>
        <v>0</v>
      </c>
      <c r="J11" s="87">
        <f>IFERROR(SampleRevenue[[#Totals],[AUG]]-J10,"")</f>
        <v>0</v>
      </c>
      <c r="K11" s="87">
        <f>IFERROR(SampleRevenue[[#Totals],[SEP]]-K10,"")</f>
        <v>0</v>
      </c>
      <c r="L11" s="87">
        <f>IFERROR(SampleRevenue[[#Totals],[OCT]]-L10,"")</f>
        <v>0</v>
      </c>
      <c r="M11" s="87">
        <f>IFERROR(SampleRevenue[[#Totals],[NOV]]-M10,"")</f>
        <v>0</v>
      </c>
      <c r="N11" s="87">
        <f>IFERROR(SampleRevenue[[#Totals],[DEC]]-N10,"")</f>
        <v>0</v>
      </c>
      <c r="O11" s="88">
        <f t="shared" si="0"/>
        <v>0</v>
      </c>
      <c r="P11" s="89"/>
    </row>
    <row r="12" spans="1:16" s="90" customFormat="1" ht="9" customHeight="1" x14ac:dyDescent="0.25">
      <c r="A12" s="89"/>
      <c r="B12" s="91"/>
      <c r="C12" s="92"/>
      <c r="D12" s="92"/>
      <c r="E12" s="92"/>
      <c r="F12" s="92"/>
      <c r="G12" s="92"/>
      <c r="H12" s="92"/>
      <c r="I12" s="92"/>
      <c r="J12" s="92"/>
      <c r="K12" s="92"/>
      <c r="L12" s="92"/>
      <c r="M12" s="92"/>
      <c r="N12" s="92"/>
      <c r="O12" s="93"/>
      <c r="P12" s="89"/>
    </row>
    <row r="13" spans="1:16" s="69" customFormat="1" ht="20.100000000000001" customHeight="1" thickBot="1" x14ac:dyDescent="0.3">
      <c r="A13" s="64"/>
      <c r="B13" s="70" t="s">
        <v>33</v>
      </c>
      <c r="C13" s="71" t="s">
        <v>13</v>
      </c>
      <c r="D13" s="71" t="s">
        <v>14</v>
      </c>
      <c r="E13" s="71" t="s">
        <v>15</v>
      </c>
      <c r="F13" s="71" t="s">
        <v>16</v>
      </c>
      <c r="G13" s="71" t="s">
        <v>17</v>
      </c>
      <c r="H13" s="71" t="s">
        <v>18</v>
      </c>
      <c r="I13" s="71" t="s">
        <v>19</v>
      </c>
      <c r="J13" s="71" t="s">
        <v>20</v>
      </c>
      <c r="K13" s="71" t="s">
        <v>21</v>
      </c>
      <c r="L13" s="71" t="s">
        <v>22</v>
      </c>
      <c r="M13" s="71" t="s">
        <v>23</v>
      </c>
      <c r="N13" s="71" t="s">
        <v>24</v>
      </c>
      <c r="O13" s="72" t="s">
        <v>25</v>
      </c>
      <c r="P13" s="68"/>
    </row>
    <row r="14" spans="1:16" s="69" customFormat="1" ht="16.350000000000001" customHeight="1" thickTop="1" x14ac:dyDescent="0.25">
      <c r="A14" s="64"/>
      <c r="B14" s="73" t="s">
        <v>34</v>
      </c>
      <c r="C14" s="74">
        <v>0</v>
      </c>
      <c r="D14" s="74">
        <v>0</v>
      </c>
      <c r="E14" s="74">
        <v>0</v>
      </c>
      <c r="F14" s="74">
        <v>0</v>
      </c>
      <c r="G14" s="74">
        <v>0</v>
      </c>
      <c r="H14" s="74">
        <v>0</v>
      </c>
      <c r="I14" s="74">
        <v>0</v>
      </c>
      <c r="J14" s="74">
        <v>0</v>
      </c>
      <c r="K14" s="74">
        <v>0</v>
      </c>
      <c r="L14" s="74">
        <v>0</v>
      </c>
      <c r="M14" s="74">
        <v>0</v>
      </c>
      <c r="N14" s="74">
        <v>0</v>
      </c>
      <c r="O14" s="75">
        <f>SUM(C14:N14)</f>
        <v>0</v>
      </c>
      <c r="P14" s="68"/>
    </row>
    <row r="15" spans="1:16" s="81" customFormat="1" ht="16.350000000000001" customHeight="1" x14ac:dyDescent="0.25">
      <c r="A15" s="76"/>
      <c r="B15" s="77" t="s">
        <v>35</v>
      </c>
      <c r="C15" s="78">
        <v>0</v>
      </c>
      <c r="D15" s="78">
        <v>0</v>
      </c>
      <c r="E15" s="78">
        <v>0</v>
      </c>
      <c r="F15" s="78">
        <v>0</v>
      </c>
      <c r="G15" s="78">
        <v>0</v>
      </c>
      <c r="H15" s="78">
        <v>0</v>
      </c>
      <c r="I15" s="78">
        <v>0</v>
      </c>
      <c r="J15" s="78">
        <v>0</v>
      </c>
      <c r="K15" s="78">
        <v>0</v>
      </c>
      <c r="L15" s="78">
        <v>0</v>
      </c>
      <c r="M15" s="78">
        <v>0</v>
      </c>
      <c r="N15" s="78">
        <v>0</v>
      </c>
      <c r="O15" s="79">
        <f t="shared" ref="O15:O20" si="2">SUM(C15:N15)</f>
        <v>0</v>
      </c>
      <c r="P15" s="80"/>
    </row>
    <row r="16" spans="1:16" s="81" customFormat="1" ht="16.350000000000001" customHeight="1" x14ac:dyDescent="0.25">
      <c r="A16" s="76"/>
      <c r="B16" s="77" t="s">
        <v>36</v>
      </c>
      <c r="C16" s="78">
        <v>0</v>
      </c>
      <c r="D16" s="78">
        <v>0</v>
      </c>
      <c r="E16" s="78">
        <v>0</v>
      </c>
      <c r="F16" s="78">
        <v>0</v>
      </c>
      <c r="G16" s="78">
        <v>0</v>
      </c>
      <c r="H16" s="78">
        <v>0</v>
      </c>
      <c r="I16" s="78">
        <v>0</v>
      </c>
      <c r="J16" s="78">
        <v>0</v>
      </c>
      <c r="K16" s="78">
        <v>0</v>
      </c>
      <c r="L16" s="78">
        <v>0</v>
      </c>
      <c r="M16" s="78">
        <v>0</v>
      </c>
      <c r="N16" s="78">
        <v>0</v>
      </c>
      <c r="O16" s="79">
        <f t="shared" si="2"/>
        <v>0</v>
      </c>
      <c r="P16" s="80"/>
    </row>
    <row r="17" spans="1:16" s="81" customFormat="1" ht="16.350000000000001" customHeight="1" x14ac:dyDescent="0.25">
      <c r="A17" s="76"/>
      <c r="B17" s="77" t="s">
        <v>37</v>
      </c>
      <c r="C17" s="78">
        <v>0</v>
      </c>
      <c r="D17" s="78">
        <v>0</v>
      </c>
      <c r="E17" s="78">
        <v>0</v>
      </c>
      <c r="F17" s="78">
        <v>0</v>
      </c>
      <c r="G17" s="78">
        <v>0</v>
      </c>
      <c r="H17" s="78">
        <v>0</v>
      </c>
      <c r="I17" s="78">
        <v>0</v>
      </c>
      <c r="J17" s="78">
        <v>0</v>
      </c>
      <c r="K17" s="78">
        <v>0</v>
      </c>
      <c r="L17" s="78">
        <v>0</v>
      </c>
      <c r="M17" s="78">
        <v>0</v>
      </c>
      <c r="N17" s="78">
        <v>0</v>
      </c>
      <c r="O17" s="79">
        <f t="shared" si="2"/>
        <v>0</v>
      </c>
      <c r="P17" s="80"/>
    </row>
    <row r="18" spans="1:16" s="81" customFormat="1" ht="16.350000000000001" customHeight="1" x14ac:dyDescent="0.25">
      <c r="A18" s="76"/>
      <c r="B18" s="77" t="s">
        <v>38</v>
      </c>
      <c r="C18" s="78">
        <v>0</v>
      </c>
      <c r="D18" s="78">
        <v>0</v>
      </c>
      <c r="E18" s="78">
        <v>0</v>
      </c>
      <c r="F18" s="78">
        <v>0</v>
      </c>
      <c r="G18" s="78">
        <v>0</v>
      </c>
      <c r="H18" s="78">
        <v>0</v>
      </c>
      <c r="I18" s="78">
        <v>0</v>
      </c>
      <c r="J18" s="78">
        <v>0</v>
      </c>
      <c r="K18" s="78">
        <v>0</v>
      </c>
      <c r="L18" s="78">
        <v>0</v>
      </c>
      <c r="M18" s="78">
        <v>0</v>
      </c>
      <c r="N18" s="78">
        <v>0</v>
      </c>
      <c r="O18" s="79">
        <f t="shared" si="2"/>
        <v>0</v>
      </c>
      <c r="P18" s="80"/>
    </row>
    <row r="19" spans="1:16" s="81" customFormat="1" ht="16.350000000000001" customHeight="1" x14ac:dyDescent="0.25">
      <c r="A19" s="76"/>
      <c r="B19" s="82" t="s">
        <v>39</v>
      </c>
      <c r="C19" s="94" t="str">
        <f t="shared" ref="C19:N19" si="3">IF(SUM(C14:C18)=0,"",SUM(C14:C18))</f>
        <v/>
      </c>
      <c r="D19" s="94" t="str">
        <f t="shared" si="3"/>
        <v/>
      </c>
      <c r="E19" s="94" t="str">
        <f t="shared" si="3"/>
        <v/>
      </c>
      <c r="F19" s="94" t="str">
        <f t="shared" si="3"/>
        <v/>
      </c>
      <c r="G19" s="94" t="str">
        <f t="shared" si="3"/>
        <v/>
      </c>
      <c r="H19" s="94" t="str">
        <f t="shared" si="3"/>
        <v/>
      </c>
      <c r="I19" s="94" t="str">
        <f t="shared" si="3"/>
        <v/>
      </c>
      <c r="J19" s="94" t="str">
        <f t="shared" si="3"/>
        <v/>
      </c>
      <c r="K19" s="94" t="str">
        <f t="shared" si="3"/>
        <v/>
      </c>
      <c r="L19" s="94" t="str">
        <f t="shared" si="3"/>
        <v/>
      </c>
      <c r="M19" s="94" t="str">
        <f t="shared" si="3"/>
        <v/>
      </c>
      <c r="N19" s="94" t="str">
        <f t="shared" si="3"/>
        <v/>
      </c>
      <c r="O19" s="84">
        <f>SUM(SampleExpenses[[#Totals],[JAN]:[DEC]])</f>
        <v>0</v>
      </c>
      <c r="P19" s="80"/>
    </row>
    <row r="20" spans="1:16" s="81" customFormat="1" ht="16.350000000000001" customHeight="1" x14ac:dyDescent="0.25">
      <c r="A20" s="76"/>
      <c r="B20" s="86" t="s">
        <v>40</v>
      </c>
      <c r="C20" s="87" t="str">
        <f>IFERROR('P&amp;L Template'!$C$11-SampleExpenses[[#Totals],[JAN]],"")</f>
        <v/>
      </c>
      <c r="D20" s="87" t="str">
        <f>IFERROR('P&amp;L Template'!$C$11-SampleExpenses[[#Totals],[FEB]],"")</f>
        <v/>
      </c>
      <c r="E20" s="87" t="str">
        <f>IFERROR('P&amp;L Template'!$C$11-SampleExpenses[[#Totals],[MAR]],"")</f>
        <v/>
      </c>
      <c r="F20" s="87" t="str">
        <f>IFERROR('P&amp;L Template'!$C$11-SampleExpenses[[#Totals],[APR]],"")</f>
        <v/>
      </c>
      <c r="G20" s="87" t="str">
        <f>IFERROR('P&amp;L Template'!$C$11-SampleExpenses[[#Totals],[MAY]],"")</f>
        <v/>
      </c>
      <c r="H20" s="87" t="str">
        <f>IFERROR('P&amp;L Template'!$C$11-SampleExpenses[[#Totals],[JUN]],"")</f>
        <v/>
      </c>
      <c r="I20" s="87" t="str">
        <f>IFERROR('P&amp;L Template'!$C$11-SampleExpenses[[#Totals],[JUL]],"")</f>
        <v/>
      </c>
      <c r="J20" s="87" t="str">
        <f>IFERROR('P&amp;L Template'!$C$11-SampleExpenses[[#Totals],[AUG]],"")</f>
        <v/>
      </c>
      <c r="K20" s="87" t="str">
        <f>IFERROR('P&amp;L Template'!$C$11-SampleExpenses[[#Totals],[SEP]],"")</f>
        <v/>
      </c>
      <c r="L20" s="87" t="str">
        <f>IFERROR('P&amp;L Template'!$C$11-SampleExpenses[[#Totals],[OCT]],"")</f>
        <v/>
      </c>
      <c r="M20" s="87" t="str">
        <f>IFERROR('P&amp;L Template'!$C$11-SampleExpenses[[#Totals],[NOV]],"")</f>
        <v/>
      </c>
      <c r="N20" s="87" t="str">
        <f>IFERROR('P&amp;L Template'!$C$11-SampleExpenses[[#Totals],[DEC]],"")</f>
        <v/>
      </c>
      <c r="O20" s="88">
        <f t="shared" si="2"/>
        <v>0</v>
      </c>
      <c r="P20" s="80"/>
    </row>
    <row r="21" spans="1:16" s="81" customFormat="1" ht="16.350000000000001" customHeight="1" x14ac:dyDescent="0.25">
      <c r="A21" s="76"/>
      <c r="B21" s="86" t="s">
        <v>41</v>
      </c>
      <c r="C21" s="87" t="str">
        <f>IFERROR(C20*0.15," ")</f>
        <v xml:space="preserve"> </v>
      </c>
      <c r="D21" s="87" t="str">
        <f>IFERROR(D20*0.15," ")</f>
        <v xml:space="preserve"> </v>
      </c>
      <c r="E21" s="87" t="str">
        <f t="shared" ref="E21:N21" si="4">IFERROR(E20*0.15," ")</f>
        <v xml:space="preserve"> </v>
      </c>
      <c r="F21" s="87" t="str">
        <f t="shared" si="4"/>
        <v xml:space="preserve"> </v>
      </c>
      <c r="G21" s="87" t="str">
        <f t="shared" si="4"/>
        <v xml:space="preserve"> </v>
      </c>
      <c r="H21" s="87" t="str">
        <f t="shared" si="4"/>
        <v xml:space="preserve"> </v>
      </c>
      <c r="I21" s="87" t="str">
        <f t="shared" si="4"/>
        <v xml:space="preserve"> </v>
      </c>
      <c r="J21" s="87" t="str">
        <f t="shared" si="4"/>
        <v xml:space="preserve"> </v>
      </c>
      <c r="K21" s="87" t="str">
        <f t="shared" si="4"/>
        <v xml:space="preserve"> </v>
      </c>
      <c r="L21" s="87" t="str">
        <f t="shared" si="4"/>
        <v xml:space="preserve"> </v>
      </c>
      <c r="M21" s="87" t="str">
        <f t="shared" si="4"/>
        <v xml:space="preserve"> </v>
      </c>
      <c r="N21" s="87" t="str">
        <f t="shared" si="4"/>
        <v xml:space="preserve"> </v>
      </c>
      <c r="O21" s="88">
        <f>SUM('P&amp;L Template'!$C$21:$N$21)</f>
        <v>0</v>
      </c>
      <c r="P21" s="80"/>
    </row>
    <row r="22" spans="1:16" s="81" customFormat="1" ht="9" customHeight="1" x14ac:dyDescent="0.25">
      <c r="A22" s="80"/>
      <c r="B22" s="91"/>
      <c r="C22" s="92"/>
      <c r="D22" s="92"/>
      <c r="E22" s="92"/>
      <c r="F22" s="92"/>
      <c r="G22" s="92"/>
      <c r="H22" s="92"/>
      <c r="I22" s="92"/>
      <c r="J22" s="92"/>
      <c r="K22" s="92"/>
      <c r="L22" s="92"/>
      <c r="M22" s="92"/>
      <c r="N22" s="92"/>
      <c r="O22" s="93"/>
      <c r="P22" s="80"/>
    </row>
    <row r="23" spans="1:16" s="81" customFormat="1" ht="20.100000000000001" customHeight="1" x14ac:dyDescent="0.25">
      <c r="A23" s="76"/>
      <c r="B23" s="95" t="s">
        <v>42</v>
      </c>
      <c r="C23" s="96" t="str">
        <f>IFERROR(C20-'P&amp;L Template'!$C$21,"")</f>
        <v/>
      </c>
      <c r="D23" s="96" t="str">
        <f>IFERROR(D20-'P&amp;L Template'!$D$21,"")</f>
        <v/>
      </c>
      <c r="E23" s="96" t="str">
        <f>IFERROR(E20-'P&amp;L Template'!$E$21,"")</f>
        <v/>
      </c>
      <c r="F23" s="96" t="str">
        <f>IFERROR(F20-'P&amp;L Template'!$F$21,"")</f>
        <v/>
      </c>
      <c r="G23" s="96" t="str">
        <f>IFERROR(G20-'P&amp;L Template'!$G$21,"")</f>
        <v/>
      </c>
      <c r="H23" s="96" t="str">
        <f>IFERROR(H20-'P&amp;L Template'!$H$21,"")</f>
        <v/>
      </c>
      <c r="I23" s="96" t="str">
        <f>IFERROR(I20-'P&amp;L Template'!$I$21,"")</f>
        <v/>
      </c>
      <c r="J23" s="96" t="str">
        <f>IFERROR(J20-'P&amp;L Template'!$J$21,"")</f>
        <v/>
      </c>
      <c r="K23" s="96" t="str">
        <f>IFERROR(K20-'P&amp;L Template'!$K$21,"")</f>
        <v/>
      </c>
      <c r="L23" s="96" t="str">
        <f>IFERROR(L20-'P&amp;L Template'!$L$21,"")</f>
        <v/>
      </c>
      <c r="M23" s="96" t="str">
        <f>IFERROR(M20-'P&amp;L Template'!$M$21,"")</f>
        <v/>
      </c>
      <c r="N23" s="96" t="str">
        <f>IFERROR(N20-'P&amp;L Template'!$N$21,"")</f>
        <v/>
      </c>
      <c r="O23" s="97">
        <f>IFERROR(O20-'P&amp;L Template'!$O$21,"")</f>
        <v>0</v>
      </c>
      <c r="P23" s="80"/>
    </row>
    <row r="24" spans="1:16" s="81" customFormat="1" ht="9" customHeight="1" x14ac:dyDescent="0.25">
      <c r="A24" s="98"/>
      <c r="B24" s="99"/>
      <c r="C24" s="100"/>
      <c r="D24" s="100"/>
      <c r="E24" s="100"/>
      <c r="F24" s="100"/>
      <c r="G24" s="100"/>
      <c r="H24" s="100"/>
      <c r="I24" s="100"/>
      <c r="J24" s="100"/>
      <c r="K24" s="100"/>
      <c r="L24" s="100"/>
      <c r="M24" s="100"/>
      <c r="N24" s="100"/>
      <c r="O24" s="101"/>
      <c r="P24" s="80"/>
    </row>
    <row r="25" spans="1:16" s="81" customFormat="1" ht="9" customHeight="1" x14ac:dyDescent="0.25">
      <c r="A25" s="76"/>
      <c r="B25" s="102"/>
      <c r="C25" s="103"/>
      <c r="D25" s="103"/>
      <c r="E25" s="103"/>
      <c r="F25" s="103"/>
      <c r="G25" s="103"/>
      <c r="H25" s="103"/>
      <c r="I25" s="103"/>
      <c r="J25" s="103"/>
      <c r="K25" s="103"/>
      <c r="L25" s="103"/>
      <c r="M25" s="103"/>
      <c r="N25" s="103"/>
      <c r="O25" s="103"/>
      <c r="P25" s="80"/>
    </row>
    <row r="26" spans="1:16" s="81" customFormat="1" ht="30" customHeight="1" x14ac:dyDescent="0.25">
      <c r="A26" s="76"/>
      <c r="B26" s="104"/>
      <c r="C26" s="105"/>
      <c r="D26" s="105"/>
      <c r="E26" s="105"/>
      <c r="F26" s="105"/>
      <c r="G26" s="105"/>
      <c r="H26" s="105"/>
      <c r="I26" s="105"/>
      <c r="J26" s="105"/>
      <c r="K26" s="105"/>
      <c r="L26" s="105"/>
      <c r="M26" s="105"/>
      <c r="N26" s="105"/>
      <c r="O26" s="105"/>
    </row>
    <row r="27" spans="1:16" s="81" customFormat="1" ht="30" customHeight="1" x14ac:dyDescent="0.25">
      <c r="A27" s="76"/>
      <c r="B27" s="105"/>
      <c r="C27" s="105"/>
      <c r="D27" s="105"/>
      <c r="E27" s="105"/>
      <c r="F27" s="105"/>
      <c r="G27" s="105"/>
      <c r="H27" s="105"/>
      <c r="I27" s="105"/>
      <c r="J27" s="105"/>
      <c r="K27" s="105"/>
      <c r="L27" s="105"/>
      <c r="M27" s="105"/>
      <c r="N27" s="105"/>
      <c r="O27" s="105"/>
    </row>
    <row r="28" spans="1:16" s="90" customFormat="1" ht="30" customHeight="1" x14ac:dyDescent="0.25">
      <c r="A28" s="85"/>
      <c r="B28" s="69"/>
      <c r="C28" s="69"/>
      <c r="D28" s="69"/>
      <c r="E28" s="69"/>
      <c r="F28" s="69"/>
      <c r="G28" s="69"/>
      <c r="H28" s="69"/>
      <c r="I28" s="69"/>
      <c r="J28" s="69"/>
      <c r="K28" s="69"/>
      <c r="L28" s="69"/>
      <c r="M28" s="69"/>
      <c r="N28" s="69"/>
      <c r="O28" s="69"/>
    </row>
    <row r="29" spans="1:16" s="90" customFormat="1" ht="30" customHeight="1" x14ac:dyDescent="0.25">
      <c r="A29" s="85"/>
      <c r="B29" s="69"/>
      <c r="C29" s="69"/>
      <c r="D29" s="69"/>
      <c r="E29" s="69"/>
      <c r="F29" s="69"/>
      <c r="G29" s="69"/>
      <c r="H29" s="69"/>
      <c r="I29" s="69"/>
      <c r="J29" s="69"/>
      <c r="K29" s="69"/>
      <c r="L29" s="69"/>
      <c r="M29" s="69"/>
      <c r="N29" s="69"/>
      <c r="O29" s="69"/>
    </row>
    <row r="30" spans="1:16" s="90" customFormat="1" ht="30" customHeight="1" x14ac:dyDescent="0.25">
      <c r="A30" s="85"/>
      <c r="B30" s="69"/>
      <c r="C30" s="69"/>
      <c r="D30" s="69"/>
      <c r="E30" s="69"/>
      <c r="F30" s="69"/>
      <c r="G30" s="69"/>
      <c r="H30" s="69"/>
      <c r="I30" s="69"/>
      <c r="J30" s="69"/>
      <c r="K30" s="69"/>
      <c r="L30" s="69"/>
      <c r="M30" s="69"/>
      <c r="N30" s="69"/>
      <c r="O30" s="69"/>
    </row>
    <row r="31" spans="1:16" s="63" customFormat="1" ht="30" customHeight="1" x14ac:dyDescent="0.25">
      <c r="A31" s="52"/>
      <c r="B31" s="69"/>
      <c r="C31" s="69"/>
      <c r="D31" s="69"/>
      <c r="E31" s="69"/>
      <c r="F31" s="69"/>
      <c r="G31" s="69"/>
      <c r="H31" s="69"/>
      <c r="I31" s="69"/>
      <c r="J31" s="69"/>
      <c r="K31" s="69"/>
      <c r="L31" s="69"/>
      <c r="M31" s="69"/>
      <c r="N31" s="69"/>
      <c r="O31" s="69"/>
    </row>
    <row r="32" spans="1:16" s="105" customFormat="1" ht="30" customHeight="1" x14ac:dyDescent="0.25">
      <c r="A32" s="106"/>
      <c r="B32" s="69"/>
      <c r="C32" s="69"/>
      <c r="D32" s="69"/>
      <c r="E32" s="69"/>
      <c r="F32" s="69"/>
      <c r="G32" s="69"/>
      <c r="H32" s="69"/>
      <c r="I32" s="69"/>
      <c r="J32" s="69"/>
      <c r="K32" s="69"/>
      <c r="L32" s="69"/>
      <c r="M32" s="69"/>
      <c r="N32" s="69"/>
      <c r="O32" s="69"/>
    </row>
    <row r="33" spans="1:15" s="105" customFormat="1" ht="30" customHeight="1" x14ac:dyDescent="0.25">
      <c r="A33" s="106"/>
      <c r="B33" s="69"/>
      <c r="C33" s="69"/>
      <c r="D33" s="69"/>
      <c r="E33" s="69"/>
      <c r="F33" s="69"/>
      <c r="G33" s="69"/>
      <c r="H33" s="69"/>
      <c r="I33" s="69"/>
      <c r="J33" s="69"/>
      <c r="K33" s="69"/>
      <c r="L33" s="69"/>
      <c r="M33" s="69"/>
      <c r="N33" s="69"/>
      <c r="O33" s="69"/>
    </row>
    <row r="34" spans="1:15" s="105" customFormat="1" ht="30" customHeight="1" x14ac:dyDescent="0.25">
      <c r="A34" s="106"/>
      <c r="B34" s="69"/>
      <c r="C34" s="69"/>
      <c r="D34" s="69"/>
      <c r="E34" s="69"/>
      <c r="F34" s="69"/>
      <c r="G34" s="69"/>
      <c r="H34" s="69"/>
      <c r="I34" s="69"/>
      <c r="J34" s="69"/>
      <c r="K34" s="69"/>
      <c r="L34" s="69"/>
      <c r="M34" s="69"/>
      <c r="N34" s="69"/>
      <c r="O34" s="69"/>
    </row>
    <row r="35" spans="1:15" s="69" customFormat="1" ht="30" customHeight="1" x14ac:dyDescent="0.25">
      <c r="A35" s="64"/>
      <c r="B35" s="107"/>
      <c r="C35" s="107"/>
      <c r="D35" s="107"/>
      <c r="E35" s="107"/>
      <c r="F35" s="107"/>
      <c r="G35" s="107"/>
      <c r="H35" s="107"/>
      <c r="I35" s="107"/>
      <c r="J35" s="107"/>
      <c r="K35" s="107"/>
      <c r="L35" s="107"/>
      <c r="M35" s="107"/>
      <c r="N35" s="107"/>
      <c r="O35" s="107"/>
    </row>
    <row r="36" spans="1:15" s="69" customFormat="1" ht="30" customHeight="1" x14ac:dyDescent="0.25">
      <c r="A36" s="64"/>
      <c r="B36" s="107"/>
      <c r="C36" s="107"/>
      <c r="D36" s="107"/>
      <c r="E36" s="107"/>
      <c r="F36" s="107"/>
      <c r="G36" s="107"/>
      <c r="H36" s="107"/>
      <c r="I36" s="107"/>
      <c r="J36" s="107"/>
      <c r="K36" s="107"/>
      <c r="L36" s="107"/>
      <c r="M36" s="107"/>
      <c r="N36" s="107"/>
      <c r="O36" s="107"/>
    </row>
    <row r="37" spans="1:15" s="69" customFormat="1" ht="30" customHeight="1" x14ac:dyDescent="0.25">
      <c r="A37" s="64"/>
      <c r="B37" s="107"/>
      <c r="C37" s="107"/>
      <c r="D37" s="107"/>
      <c r="E37" s="107"/>
      <c r="F37" s="107"/>
      <c r="G37" s="107"/>
      <c r="H37" s="107"/>
      <c r="I37" s="107"/>
      <c r="J37" s="107"/>
      <c r="K37" s="107"/>
      <c r="L37" s="107"/>
      <c r="M37" s="107"/>
      <c r="N37" s="107"/>
      <c r="O37" s="107"/>
    </row>
    <row r="38" spans="1:15" s="69" customFormat="1" ht="30" customHeight="1" x14ac:dyDescent="0.25">
      <c r="A38" s="64"/>
      <c r="B38" s="107"/>
      <c r="C38" s="107"/>
      <c r="D38" s="107"/>
      <c r="E38" s="107"/>
      <c r="F38" s="107"/>
      <c r="G38" s="107"/>
      <c r="H38" s="107"/>
      <c r="I38" s="107"/>
      <c r="J38" s="107"/>
      <c r="K38" s="107"/>
      <c r="L38" s="107"/>
      <c r="M38" s="107"/>
      <c r="N38" s="107"/>
      <c r="O38" s="107"/>
    </row>
    <row r="39" spans="1:15" s="69" customFormat="1" ht="30" customHeight="1" x14ac:dyDescent="0.25">
      <c r="A39" s="64"/>
      <c r="B39" s="107"/>
      <c r="C39" s="107"/>
      <c r="D39" s="107"/>
      <c r="E39" s="107"/>
      <c r="F39" s="107"/>
      <c r="G39" s="107"/>
      <c r="H39" s="107"/>
      <c r="I39" s="107"/>
      <c r="J39" s="107"/>
      <c r="K39" s="107"/>
      <c r="L39" s="107"/>
      <c r="M39" s="107"/>
      <c r="N39" s="107"/>
      <c r="O39" s="107"/>
    </row>
    <row r="40" spans="1:15" s="69" customFormat="1" ht="30" customHeight="1" x14ac:dyDescent="0.25">
      <c r="A40" s="64"/>
      <c r="B40" s="107"/>
      <c r="C40" s="107"/>
      <c r="D40" s="107"/>
      <c r="E40" s="107"/>
      <c r="F40" s="107"/>
      <c r="G40" s="107"/>
      <c r="H40" s="107"/>
      <c r="I40" s="107"/>
      <c r="J40" s="107"/>
      <c r="K40" s="107"/>
      <c r="L40" s="107"/>
      <c r="M40" s="107"/>
      <c r="N40" s="107"/>
      <c r="O40" s="107"/>
    </row>
    <row r="41" spans="1:15" s="69" customFormat="1" ht="30" customHeight="1" x14ac:dyDescent="0.25">
      <c r="A41" s="64"/>
      <c r="B41" s="107"/>
      <c r="C41" s="107"/>
      <c r="D41" s="107"/>
      <c r="E41" s="107"/>
      <c r="F41" s="107"/>
      <c r="G41" s="107"/>
      <c r="H41" s="107"/>
      <c r="I41" s="107"/>
      <c r="J41" s="107"/>
      <c r="K41" s="107"/>
      <c r="L41" s="107"/>
      <c r="M41" s="107"/>
      <c r="N41" s="107"/>
      <c r="O41" s="107"/>
    </row>
    <row r="42" spans="1:15" s="69" customFormat="1" ht="30" customHeight="1" x14ac:dyDescent="0.25">
      <c r="A42" s="64"/>
      <c r="B42" s="107"/>
      <c r="C42" s="107"/>
      <c r="D42" s="107"/>
      <c r="E42" s="107"/>
      <c r="F42" s="107"/>
      <c r="G42" s="107"/>
      <c r="H42" s="107"/>
      <c r="I42" s="107"/>
      <c r="J42" s="107"/>
      <c r="K42" s="107"/>
      <c r="L42" s="107"/>
      <c r="M42" s="107"/>
      <c r="N42" s="107"/>
      <c r="O42" s="107"/>
    </row>
  </sheetData>
  <mergeCells count="1">
    <mergeCell ref="C2:O2"/>
  </mergeCells>
  <dataValidations count="10">
    <dataValidation allowBlank="1" showInputMessage="1" showErrorMessage="1" prompt="This worksheet contains a template to calculate Total Expenses and Net Income. Title of the worksheet is in cell at right. Other helpful instructions on how to use this worksheet are in cells in this column. Arrow down to get started." sqref="A1"/>
    <dataValidation allowBlank="1" showInputMessage="1" showErrorMessage="1" prompt="Business name is in cell at right and Date in cell C2. Next instruction is in cell A4._x000a_" sqref="A2"/>
    <dataValidation allowBlank="1" showInputMessage="1" showErrorMessage="1" prompt="Enter details in Sample Revenue table starting in cell at right to calculate Net Sales, Costs of Goods Sold and Gross Profit. Next instruction is in cell A10." sqref="A4"/>
    <dataValidation allowBlank="1" showInputMessage="1" showErrorMessage="1" prompt="Cost of Goods Sold label is in cell at right. Cost of Goods Sold for each month and Year to Date are auto calculated in cells C10 through O10." sqref="A10"/>
    <dataValidation allowBlank="1" showInputMessage="1" showErrorMessage="1" prompt="Gross Profit label is in cell at right. Gross Profit for each month and Year to Date are auto calculated in cells C11 through O11. Next instruction is in cell A13." sqref="A11"/>
    <dataValidation allowBlank="1" showInputMessage="1" showErrorMessage="1" prompt="Enter details in Sample Expenses table starting in cell at right to calculate Total Expenses, Income Before Taxes and Income Tax Expense. Next instruction is in cell A20." sqref="A13"/>
    <dataValidation allowBlank="1" showInputMessage="1" showErrorMessage="1" prompt="Income Before Taxes label is in cell at right. Income Before Taxes for each month and Year to Date are auto calculated in cells C20 through O20." sqref="A20"/>
    <dataValidation allowBlank="1" showInputMessage="1" showErrorMessage="1" prompt="Income Tax Expense label is in cell at right. Income Tax Expense for each month and Year to Date are auto calculated in cells C21 through O21. Next instruction is in cell A23." sqref="A21"/>
    <dataValidation allowBlank="1" showInputMessage="1" showErrorMessage="1" prompt="Net Income label is in cell at right. Net Income for each month and Year to Date are auto calculated in cells C23 through O23." sqref="A23"/>
    <dataValidation allowBlank="1" showInputMessage="1" showErrorMessage="1" prompt="Net Income label is in cell at right. Net Income for each month and Year to Date are auto calculated in cells C25 through O25._x000a_" sqref="A24"/>
  </dataValidations>
  <pageMargins left="0.7" right="0.7" top="0.75" bottom="0.75" header="0.3" footer="0.3"/>
  <pageSetup scale="53" orientation="landscape" horizontalDpi="1200" verticalDpi="1200"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BJ41"/>
  <sheetViews>
    <sheetView zoomScaleNormal="100" workbookViewId="0">
      <selection activeCell="B5" sqref="A1:XFD1048576"/>
    </sheetView>
  </sheetViews>
  <sheetFormatPr defaultColWidth="9.140625" defaultRowHeight="30" customHeight="1" x14ac:dyDescent="0.25"/>
  <cols>
    <col min="1" max="1" width="2.7109375" style="108" customWidth="1"/>
    <col min="2" max="2" width="42.28515625" style="107" customWidth="1"/>
    <col min="3" max="14" width="14.7109375" style="107" customWidth="1"/>
    <col min="15" max="15" width="14.7109375" style="137" customWidth="1"/>
    <col min="16" max="16" width="2.140625" style="107" customWidth="1"/>
    <col min="17" max="62" width="8.85546875" style="138" customWidth="1"/>
    <col min="63" max="80" width="8.85546875" style="107" customWidth="1"/>
    <col min="81" max="16384" width="9.140625" style="107"/>
  </cols>
  <sheetData>
    <row r="1" spans="1:62" s="57" customFormat="1" ht="20.100000000000001" customHeight="1" x14ac:dyDescent="0.25">
      <c r="A1" s="52"/>
      <c r="B1" s="109" t="s">
        <v>0</v>
      </c>
      <c r="C1" s="110"/>
      <c r="D1" s="110"/>
      <c r="E1" s="110"/>
      <c r="F1" s="110"/>
      <c r="G1" s="110"/>
      <c r="H1" s="110"/>
      <c r="I1" s="110"/>
      <c r="J1" s="110"/>
      <c r="K1" s="110"/>
      <c r="L1" s="110"/>
      <c r="M1" s="110"/>
      <c r="N1" s="110"/>
      <c r="O1" s="111"/>
      <c r="P1" s="56"/>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12"/>
      <c r="AY1" s="112"/>
      <c r="AZ1" s="112"/>
      <c r="BA1" s="112"/>
      <c r="BB1" s="112"/>
      <c r="BC1" s="112"/>
      <c r="BD1" s="112"/>
      <c r="BE1" s="112"/>
      <c r="BF1" s="112"/>
      <c r="BG1" s="112"/>
      <c r="BH1" s="112"/>
      <c r="BI1" s="112"/>
      <c r="BJ1" s="112"/>
    </row>
    <row r="2" spans="1:62" s="63" customFormat="1" ht="20.100000000000001" customHeight="1" x14ac:dyDescent="0.25">
      <c r="A2" s="52"/>
      <c r="B2" s="113" t="str">
        <f>'Start-Up Costs Template'!B2</f>
        <v>YOUR COMPANY NAME</v>
      </c>
      <c r="C2" s="114">
        <f ca="1">TODAY()</f>
        <v>45060</v>
      </c>
      <c r="D2" s="115"/>
      <c r="E2" s="115"/>
      <c r="F2" s="115"/>
      <c r="G2" s="115"/>
      <c r="H2" s="115"/>
      <c r="I2" s="115"/>
      <c r="J2" s="115"/>
      <c r="K2" s="115"/>
      <c r="L2" s="115"/>
      <c r="M2" s="115"/>
      <c r="N2" s="115"/>
      <c r="O2" s="116"/>
      <c r="P2" s="6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2"/>
      <c r="AQ2" s="112"/>
      <c r="AR2" s="112"/>
      <c r="AS2" s="112"/>
      <c r="AT2" s="112"/>
      <c r="AU2" s="112"/>
      <c r="AV2" s="112"/>
      <c r="AW2" s="112"/>
      <c r="AX2" s="112"/>
      <c r="AY2" s="112"/>
      <c r="AZ2" s="112"/>
      <c r="BA2" s="112"/>
      <c r="BB2" s="112"/>
      <c r="BC2" s="112"/>
      <c r="BD2" s="112"/>
      <c r="BE2" s="112"/>
      <c r="BF2" s="112"/>
      <c r="BG2" s="112"/>
      <c r="BH2" s="112"/>
      <c r="BI2" s="112"/>
      <c r="BJ2" s="112"/>
    </row>
    <row r="3" spans="1:62" s="69" customFormat="1" ht="9" customHeight="1" x14ac:dyDescent="0.25">
      <c r="A3" s="64"/>
      <c r="B3" s="117"/>
      <c r="C3" s="118"/>
      <c r="D3" s="118"/>
      <c r="E3" s="118"/>
      <c r="F3" s="118"/>
      <c r="G3" s="118"/>
      <c r="H3" s="118"/>
      <c r="I3" s="118"/>
      <c r="J3" s="118"/>
      <c r="K3" s="118"/>
      <c r="L3" s="118"/>
      <c r="M3" s="118"/>
      <c r="N3" s="118"/>
      <c r="O3" s="119"/>
      <c r="P3" s="68"/>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row>
    <row r="4" spans="1:62" s="63" customFormat="1" ht="20.100000000000001" customHeight="1" thickBot="1" x14ac:dyDescent="0.3">
      <c r="A4" s="52"/>
      <c r="B4" s="70" t="s">
        <v>12</v>
      </c>
      <c r="C4" s="71" t="s">
        <v>13</v>
      </c>
      <c r="D4" s="71" t="s">
        <v>14</v>
      </c>
      <c r="E4" s="71" t="s">
        <v>15</v>
      </c>
      <c r="F4" s="71" t="s">
        <v>16</v>
      </c>
      <c r="G4" s="71" t="s">
        <v>17</v>
      </c>
      <c r="H4" s="71" t="s">
        <v>18</v>
      </c>
      <c r="I4" s="71" t="s">
        <v>19</v>
      </c>
      <c r="J4" s="71" t="s">
        <v>20</v>
      </c>
      <c r="K4" s="71" t="s">
        <v>21</v>
      </c>
      <c r="L4" s="71" t="s">
        <v>22</v>
      </c>
      <c r="M4" s="71" t="s">
        <v>23</v>
      </c>
      <c r="N4" s="71" t="s">
        <v>24</v>
      </c>
      <c r="O4" s="72" t="s">
        <v>25</v>
      </c>
      <c r="P4" s="6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12"/>
    </row>
    <row r="5" spans="1:62" s="81" customFormat="1" ht="16.350000000000001" customHeight="1" thickTop="1" x14ac:dyDescent="0.25">
      <c r="A5" s="76"/>
      <c r="B5" s="73" t="s">
        <v>26</v>
      </c>
      <c r="C5" s="74">
        <v>5000</v>
      </c>
      <c r="D5" s="74">
        <v>13000</v>
      </c>
      <c r="E5" s="74">
        <v>16000</v>
      </c>
      <c r="F5" s="74">
        <v>7000</v>
      </c>
      <c r="G5" s="74">
        <v>14500</v>
      </c>
      <c r="H5" s="74">
        <v>16400</v>
      </c>
      <c r="I5" s="74">
        <v>22500</v>
      </c>
      <c r="J5" s="74">
        <v>23125</v>
      </c>
      <c r="K5" s="74">
        <v>24549</v>
      </c>
      <c r="L5" s="74">
        <v>22000</v>
      </c>
      <c r="M5" s="74">
        <v>25000</v>
      </c>
      <c r="N5" s="74">
        <v>27349</v>
      </c>
      <c r="O5" s="75">
        <f>SUM(C5:N5)</f>
        <v>216423</v>
      </c>
      <c r="P5" s="80"/>
      <c r="Q5" s="121"/>
      <c r="R5" s="121"/>
      <c r="S5" s="121"/>
      <c r="T5" s="121"/>
      <c r="U5" s="121"/>
      <c r="V5" s="121"/>
      <c r="W5" s="121"/>
      <c r="X5" s="121"/>
      <c r="Y5" s="121"/>
      <c r="Z5" s="121"/>
      <c r="AA5" s="121"/>
      <c r="AB5" s="121"/>
      <c r="AC5" s="121"/>
      <c r="AD5" s="121"/>
      <c r="AE5" s="121"/>
      <c r="AF5" s="121"/>
      <c r="AG5" s="121"/>
      <c r="AH5" s="121"/>
      <c r="AI5" s="121"/>
      <c r="AJ5" s="121"/>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row>
    <row r="6" spans="1:62" s="81" customFormat="1" ht="16.350000000000001" customHeight="1" x14ac:dyDescent="0.25">
      <c r="A6" s="76"/>
      <c r="B6" s="77" t="s">
        <v>27</v>
      </c>
      <c r="C6" s="78">
        <v>0</v>
      </c>
      <c r="D6" s="78">
        <v>-350</v>
      </c>
      <c r="E6" s="78">
        <v>0</v>
      </c>
      <c r="F6" s="78">
        <v>-206</v>
      </c>
      <c r="G6" s="78">
        <v>-234</v>
      </c>
      <c r="H6" s="78">
        <v>0</v>
      </c>
      <c r="I6" s="78">
        <v>0</v>
      </c>
      <c r="J6" s="78">
        <v>-280</v>
      </c>
      <c r="K6" s="78">
        <v>-1200</v>
      </c>
      <c r="L6" s="78">
        <v>-1600</v>
      </c>
      <c r="M6" s="78">
        <v>0</v>
      </c>
      <c r="N6" s="78">
        <v>-2400</v>
      </c>
      <c r="O6" s="79">
        <f t="shared" ref="O6:O11" si="0">SUM(C6:N6)</f>
        <v>-6270</v>
      </c>
      <c r="P6" s="80"/>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row>
    <row r="7" spans="1:62" s="81" customFormat="1" ht="16.350000000000001" customHeight="1" x14ac:dyDescent="0.25">
      <c r="A7" s="76"/>
      <c r="B7" s="77" t="s">
        <v>28</v>
      </c>
      <c r="C7" s="78">
        <v>0</v>
      </c>
      <c r="D7" s="78">
        <v>0</v>
      </c>
      <c r="E7" s="78">
        <v>0</v>
      </c>
      <c r="F7" s="78">
        <v>0</v>
      </c>
      <c r="G7" s="78">
        <v>0</v>
      </c>
      <c r="H7" s="78">
        <v>250</v>
      </c>
      <c r="I7" s="78">
        <v>350</v>
      </c>
      <c r="J7" s="78">
        <v>100</v>
      </c>
      <c r="K7" s="78">
        <v>0</v>
      </c>
      <c r="L7" s="78">
        <v>0</v>
      </c>
      <c r="M7" s="78">
        <v>1245</v>
      </c>
      <c r="N7" s="78">
        <v>1360</v>
      </c>
      <c r="O7" s="79">
        <f t="shared" si="0"/>
        <v>3305</v>
      </c>
      <c r="P7" s="80"/>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c r="AW7" s="121"/>
      <c r="AX7" s="121"/>
      <c r="AY7" s="121"/>
      <c r="AZ7" s="121"/>
      <c r="BA7" s="121"/>
      <c r="BB7" s="121"/>
      <c r="BC7" s="121"/>
      <c r="BD7" s="121"/>
      <c r="BE7" s="121"/>
      <c r="BF7" s="121"/>
      <c r="BG7" s="121"/>
      <c r="BH7" s="121"/>
      <c r="BI7" s="121"/>
      <c r="BJ7" s="121"/>
    </row>
    <row r="8" spans="1:62" s="81" customFormat="1" ht="16.350000000000001" customHeight="1" x14ac:dyDescent="0.25">
      <c r="A8" s="76"/>
      <c r="B8" s="77" t="s">
        <v>29</v>
      </c>
      <c r="C8" s="78">
        <v>0</v>
      </c>
      <c r="D8" s="78">
        <v>0</v>
      </c>
      <c r="E8" s="78">
        <v>0</v>
      </c>
      <c r="F8" s="78">
        <v>0</v>
      </c>
      <c r="G8" s="78">
        <v>0</v>
      </c>
      <c r="H8" s="78">
        <v>0</v>
      </c>
      <c r="I8" s="78">
        <v>0</v>
      </c>
      <c r="J8" s="78">
        <v>1500</v>
      </c>
      <c r="K8" s="78">
        <v>0</v>
      </c>
      <c r="L8" s="78">
        <v>0</v>
      </c>
      <c r="M8" s="78">
        <v>0</v>
      </c>
      <c r="N8" s="78">
        <v>0</v>
      </c>
      <c r="O8" s="79">
        <f t="shared" si="0"/>
        <v>1500</v>
      </c>
      <c r="P8" s="80"/>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row>
    <row r="9" spans="1:62" s="90" customFormat="1" ht="16.350000000000001" customHeight="1" x14ac:dyDescent="0.25">
      <c r="A9" s="85"/>
      <c r="B9" s="82" t="s">
        <v>30</v>
      </c>
      <c r="C9" s="83">
        <f>SUBTOTAL(109,ActualRevenue[JAN])</f>
        <v>5000</v>
      </c>
      <c r="D9" s="83">
        <f>SUBTOTAL(109,ActualRevenue[FEB])</f>
        <v>12650</v>
      </c>
      <c r="E9" s="83">
        <f>SUBTOTAL(109,ActualRevenue[MAR])</f>
        <v>16000</v>
      </c>
      <c r="F9" s="83">
        <f>SUBTOTAL(109,ActualRevenue[APR])</f>
        <v>6794</v>
      </c>
      <c r="G9" s="83">
        <f>SUBTOTAL(109,ActualRevenue[MAY])</f>
        <v>14266</v>
      </c>
      <c r="H9" s="83">
        <f>SUBTOTAL(109,ActualRevenue[JUN])</f>
        <v>16650</v>
      </c>
      <c r="I9" s="83">
        <f>SUBTOTAL(109,ActualRevenue[JUL])</f>
        <v>22850</v>
      </c>
      <c r="J9" s="83">
        <f>SUBTOTAL(109,ActualRevenue[AUG])</f>
        <v>24445</v>
      </c>
      <c r="K9" s="83">
        <f>SUBTOTAL(109,ActualRevenue[SEP])</f>
        <v>23349</v>
      </c>
      <c r="L9" s="83">
        <f>SUBTOTAL(109,ActualRevenue[OCT])</f>
        <v>20400</v>
      </c>
      <c r="M9" s="83">
        <f>SUBTOTAL(109,ActualRevenue[NOV])</f>
        <v>26245</v>
      </c>
      <c r="N9" s="83">
        <f>SUBTOTAL(109,ActualRevenue[DEC])</f>
        <v>26309</v>
      </c>
      <c r="O9" s="122">
        <f>SUM(ActualRevenue[[#Totals],[JAN]:[DEC]])</f>
        <v>214958</v>
      </c>
      <c r="P9" s="89"/>
      <c r="Q9" s="123"/>
      <c r="R9" s="123"/>
      <c r="S9" s="123"/>
      <c r="T9" s="123"/>
      <c r="U9" s="123"/>
      <c r="V9" s="123"/>
      <c r="W9" s="123"/>
      <c r="X9" s="123"/>
      <c r="Y9" s="123"/>
      <c r="Z9" s="123"/>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row>
    <row r="10" spans="1:62" s="90" customFormat="1" ht="16.350000000000001" customHeight="1" x14ac:dyDescent="0.25">
      <c r="A10" s="85"/>
      <c r="B10" s="124" t="s">
        <v>31</v>
      </c>
      <c r="C10" s="87">
        <f t="shared" ref="C10:N10" si="1">C5*0.4</f>
        <v>2000</v>
      </c>
      <c r="D10" s="87">
        <f t="shared" si="1"/>
        <v>5200</v>
      </c>
      <c r="E10" s="87">
        <f t="shared" si="1"/>
        <v>6400</v>
      </c>
      <c r="F10" s="87">
        <f t="shared" si="1"/>
        <v>2800</v>
      </c>
      <c r="G10" s="87">
        <f t="shared" si="1"/>
        <v>5800</v>
      </c>
      <c r="H10" s="87">
        <f t="shared" si="1"/>
        <v>6560</v>
      </c>
      <c r="I10" s="87">
        <f t="shared" si="1"/>
        <v>9000</v>
      </c>
      <c r="J10" s="87">
        <f t="shared" si="1"/>
        <v>9250</v>
      </c>
      <c r="K10" s="87">
        <f t="shared" si="1"/>
        <v>9819.6</v>
      </c>
      <c r="L10" s="87">
        <f t="shared" si="1"/>
        <v>8800</v>
      </c>
      <c r="M10" s="87">
        <f t="shared" si="1"/>
        <v>10000</v>
      </c>
      <c r="N10" s="87">
        <f t="shared" si="1"/>
        <v>10939.6</v>
      </c>
      <c r="O10" s="88">
        <f t="shared" si="0"/>
        <v>86569.200000000012</v>
      </c>
      <c r="P10" s="89"/>
      <c r="Q10" s="123"/>
      <c r="R10" s="123"/>
      <c r="S10" s="123"/>
      <c r="T10" s="123"/>
      <c r="U10" s="123"/>
      <c r="V10" s="123"/>
      <c r="W10" s="123"/>
      <c r="X10" s="123"/>
      <c r="Y10" s="123"/>
      <c r="Z10" s="123"/>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row>
    <row r="11" spans="1:62" s="69" customFormat="1" ht="16.350000000000001" customHeight="1" x14ac:dyDescent="0.25">
      <c r="A11" s="64"/>
      <c r="B11" s="124" t="s">
        <v>32</v>
      </c>
      <c r="C11" s="87">
        <f>IFERROR(ActualRevenue[[#Totals],[JAN]]-C10,"")</f>
        <v>3000</v>
      </c>
      <c r="D11" s="87">
        <f>IFERROR(ActualRevenue[[#Totals],[FEB]]-D10,"")</f>
        <v>7450</v>
      </c>
      <c r="E11" s="87">
        <f>IFERROR(ActualRevenue[[#Totals],[MAR]]-E10,"")</f>
        <v>9600</v>
      </c>
      <c r="F11" s="87">
        <f>IFERROR(ActualRevenue[[#Totals],[APR]]-F10,"")</f>
        <v>3994</v>
      </c>
      <c r="G11" s="87">
        <f>IFERROR(ActualRevenue[[#Totals],[MAY]]-G10,"")</f>
        <v>8466</v>
      </c>
      <c r="H11" s="87">
        <f>IFERROR(ActualRevenue[[#Totals],[JUN]]-H10,"")</f>
        <v>10090</v>
      </c>
      <c r="I11" s="87">
        <f>IFERROR(ActualRevenue[[#Totals],[JUL]]-I10,"")</f>
        <v>13850</v>
      </c>
      <c r="J11" s="87">
        <f>IFERROR(ActualRevenue[[#Totals],[AUG]]-J10,"")</f>
        <v>15195</v>
      </c>
      <c r="K11" s="87">
        <f>IFERROR(ActualRevenue[[#Totals],[SEP]]-K10,"")</f>
        <v>13529.4</v>
      </c>
      <c r="L11" s="87">
        <f>IFERROR(ActualRevenue[[#Totals],[OCT]]-L10,"")</f>
        <v>11600</v>
      </c>
      <c r="M11" s="87">
        <f>IFERROR(ActualRevenue[[#Totals],[NOV]]-M10,"")</f>
        <v>16245</v>
      </c>
      <c r="N11" s="87">
        <f>IFERROR(ActualRevenue[[#Totals],[DEC]]-N10,"")</f>
        <v>15369.4</v>
      </c>
      <c r="O11" s="88">
        <f t="shared" si="0"/>
        <v>128388.79999999999</v>
      </c>
      <c r="P11" s="68"/>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row>
    <row r="12" spans="1:62" s="63" customFormat="1" ht="9" customHeight="1" x14ac:dyDescent="0.25">
      <c r="A12" s="52"/>
      <c r="B12" s="125"/>
      <c r="C12" s="92"/>
      <c r="D12" s="92"/>
      <c r="E12" s="92"/>
      <c r="F12" s="92"/>
      <c r="G12" s="92"/>
      <c r="H12" s="92"/>
      <c r="I12" s="92"/>
      <c r="J12" s="92"/>
      <c r="K12" s="92"/>
      <c r="L12" s="92"/>
      <c r="M12" s="92"/>
      <c r="N12" s="92"/>
      <c r="O12" s="93"/>
      <c r="P12" s="62"/>
      <c r="Q12" s="112"/>
      <c r="R12" s="112"/>
      <c r="S12" s="112"/>
      <c r="T12" s="112"/>
      <c r="U12" s="112"/>
      <c r="V12" s="112"/>
      <c r="W12" s="112"/>
      <c r="X12" s="112"/>
      <c r="Y12" s="112"/>
      <c r="Z12" s="112"/>
      <c r="AA12" s="112"/>
      <c r="AB12" s="112"/>
      <c r="AC12" s="112"/>
      <c r="AD12" s="112"/>
      <c r="AE12" s="112"/>
      <c r="AF12" s="112"/>
      <c r="AG12" s="112"/>
      <c r="AH12" s="112"/>
      <c r="AI12" s="112"/>
      <c r="AJ12" s="112"/>
      <c r="AK12" s="112"/>
      <c r="AL12" s="112"/>
      <c r="AM12" s="112"/>
      <c r="AN12" s="112"/>
      <c r="AO12" s="112"/>
      <c r="AP12" s="112"/>
      <c r="AQ12" s="112"/>
      <c r="AR12" s="112"/>
      <c r="AS12" s="112"/>
      <c r="AT12" s="112"/>
      <c r="AU12" s="112"/>
      <c r="AV12" s="112"/>
      <c r="AW12" s="112"/>
      <c r="AX12" s="112"/>
      <c r="AY12" s="112"/>
      <c r="AZ12" s="112"/>
      <c r="BA12" s="112"/>
      <c r="BB12" s="112"/>
      <c r="BC12" s="112"/>
      <c r="BD12" s="112"/>
      <c r="BE12" s="112"/>
      <c r="BF12" s="112"/>
      <c r="BG12" s="112"/>
      <c r="BH12" s="112"/>
      <c r="BI12" s="112"/>
      <c r="BJ12" s="112"/>
    </row>
    <row r="13" spans="1:62" s="69" customFormat="1" ht="20.100000000000001" customHeight="1" thickBot="1" x14ac:dyDescent="0.3">
      <c r="A13" s="64"/>
      <c r="B13" s="70" t="s">
        <v>33</v>
      </c>
      <c r="C13" s="71" t="s">
        <v>13</v>
      </c>
      <c r="D13" s="71" t="s">
        <v>14</v>
      </c>
      <c r="E13" s="71" t="s">
        <v>15</v>
      </c>
      <c r="F13" s="71" t="s">
        <v>16</v>
      </c>
      <c r="G13" s="71" t="s">
        <v>17</v>
      </c>
      <c r="H13" s="71" t="s">
        <v>18</v>
      </c>
      <c r="I13" s="71" t="s">
        <v>19</v>
      </c>
      <c r="J13" s="71" t="s">
        <v>20</v>
      </c>
      <c r="K13" s="71" t="s">
        <v>21</v>
      </c>
      <c r="L13" s="71" t="s">
        <v>22</v>
      </c>
      <c r="M13" s="71" t="s">
        <v>23</v>
      </c>
      <c r="N13" s="71" t="s">
        <v>24</v>
      </c>
      <c r="O13" s="72" t="s">
        <v>25</v>
      </c>
      <c r="P13" s="68"/>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0"/>
      <c r="BD13" s="120"/>
      <c r="BE13" s="120"/>
      <c r="BF13" s="120"/>
      <c r="BG13" s="120"/>
      <c r="BH13" s="120"/>
      <c r="BI13" s="120"/>
      <c r="BJ13" s="120"/>
    </row>
    <row r="14" spans="1:62" s="81" customFormat="1" ht="16.350000000000001" customHeight="1" thickTop="1" x14ac:dyDescent="0.25">
      <c r="A14" s="76"/>
      <c r="B14" s="73" t="s">
        <v>34</v>
      </c>
      <c r="C14" s="74">
        <v>2500</v>
      </c>
      <c r="D14" s="74">
        <v>2500</v>
      </c>
      <c r="E14" s="74">
        <v>3500</v>
      </c>
      <c r="F14" s="74">
        <v>5000</v>
      </c>
      <c r="G14" s="74">
        <v>5000</v>
      </c>
      <c r="H14" s="74">
        <v>5000</v>
      </c>
      <c r="I14" s="74">
        <v>8000</v>
      </c>
      <c r="J14" s="74">
        <v>9000</v>
      </c>
      <c r="K14" s="74">
        <v>9000</v>
      </c>
      <c r="L14" s="74">
        <v>9000</v>
      </c>
      <c r="M14" s="74">
        <v>9000</v>
      </c>
      <c r="N14" s="74">
        <v>9000</v>
      </c>
      <c r="O14" s="75">
        <f>SUM(C14:N14)</f>
        <v>76500</v>
      </c>
      <c r="P14" s="80"/>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row>
    <row r="15" spans="1:62" s="81" customFormat="1" ht="16.350000000000001" customHeight="1" x14ac:dyDescent="0.25">
      <c r="A15" s="76"/>
      <c r="B15" s="77" t="s">
        <v>35</v>
      </c>
      <c r="C15" s="78">
        <v>400</v>
      </c>
      <c r="D15" s="78">
        <v>450</v>
      </c>
      <c r="E15" s="78">
        <v>450</v>
      </c>
      <c r="F15" s="78">
        <v>450</v>
      </c>
      <c r="G15" s="78">
        <v>900</v>
      </c>
      <c r="H15" s="78">
        <v>900</v>
      </c>
      <c r="I15" s="78">
        <v>900</v>
      </c>
      <c r="J15" s="78">
        <v>900</v>
      </c>
      <c r="K15" s="78">
        <v>900</v>
      </c>
      <c r="L15" s="78">
        <v>900</v>
      </c>
      <c r="M15" s="78">
        <v>1200</v>
      </c>
      <c r="N15" s="78">
        <v>1200</v>
      </c>
      <c r="O15" s="79">
        <f t="shared" ref="O15:O17" si="2">SUM(C15:N15)</f>
        <v>9550</v>
      </c>
      <c r="P15" s="80"/>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row>
    <row r="16" spans="1:62" s="81" customFormat="1" ht="16.350000000000001" customHeight="1" x14ac:dyDescent="0.25">
      <c r="A16" s="76"/>
      <c r="B16" s="77" t="s">
        <v>36</v>
      </c>
      <c r="C16" s="78">
        <v>250</v>
      </c>
      <c r="D16" s="78">
        <v>650</v>
      </c>
      <c r="E16" s="78">
        <v>800</v>
      </c>
      <c r="F16" s="78">
        <v>350</v>
      </c>
      <c r="G16" s="78">
        <v>725</v>
      </c>
      <c r="H16" s="78">
        <v>820</v>
      </c>
      <c r="I16" s="78">
        <v>1125</v>
      </c>
      <c r="J16" s="78">
        <v>1156.25</v>
      </c>
      <c r="K16" s="78">
        <v>1227.45</v>
      </c>
      <c r="L16" s="78">
        <v>1100</v>
      </c>
      <c r="M16" s="78">
        <v>1250</v>
      </c>
      <c r="N16" s="78">
        <v>1367.45</v>
      </c>
      <c r="O16" s="79">
        <f t="shared" si="2"/>
        <v>10821.150000000001</v>
      </c>
      <c r="P16" s="80"/>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row>
    <row r="17" spans="1:62" s="81" customFormat="1" ht="16.350000000000001" customHeight="1" x14ac:dyDescent="0.25">
      <c r="A17" s="76"/>
      <c r="B17" s="77" t="s">
        <v>37</v>
      </c>
      <c r="C17" s="78">
        <v>1250</v>
      </c>
      <c r="D17" s="78">
        <v>1250</v>
      </c>
      <c r="E17" s="78">
        <v>1250</v>
      </c>
      <c r="F17" s="78">
        <v>1250</v>
      </c>
      <c r="G17" s="78">
        <v>1250</v>
      </c>
      <c r="H17" s="78">
        <v>1250</v>
      </c>
      <c r="I17" s="78">
        <v>1250</v>
      </c>
      <c r="J17" s="78">
        <v>1250</v>
      </c>
      <c r="K17" s="78">
        <v>1250</v>
      </c>
      <c r="L17" s="78">
        <v>1250</v>
      </c>
      <c r="M17" s="78">
        <v>1250</v>
      </c>
      <c r="N17" s="78">
        <v>1250</v>
      </c>
      <c r="O17" s="79">
        <f t="shared" si="2"/>
        <v>15000</v>
      </c>
      <c r="P17" s="80"/>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row>
    <row r="18" spans="1:62" s="81" customFormat="1" ht="16.350000000000001" customHeight="1" x14ac:dyDescent="0.25">
      <c r="A18" s="76"/>
      <c r="B18" s="82" t="s">
        <v>39</v>
      </c>
      <c r="C18" s="94">
        <f t="shared" ref="C18:N18" si="3">IF(SUM(C14:C17)=0,"",SUM(C14:C17))</f>
        <v>4400</v>
      </c>
      <c r="D18" s="94">
        <f t="shared" si="3"/>
        <v>4850</v>
      </c>
      <c r="E18" s="94">
        <f t="shared" si="3"/>
        <v>6000</v>
      </c>
      <c r="F18" s="94">
        <f t="shared" si="3"/>
        <v>7050</v>
      </c>
      <c r="G18" s="94">
        <f t="shared" si="3"/>
        <v>7875</v>
      </c>
      <c r="H18" s="94">
        <f t="shared" si="3"/>
        <v>7970</v>
      </c>
      <c r="I18" s="94">
        <f t="shared" si="3"/>
        <v>11275</v>
      </c>
      <c r="J18" s="94">
        <f t="shared" si="3"/>
        <v>12306.25</v>
      </c>
      <c r="K18" s="94">
        <f t="shared" si="3"/>
        <v>12377.45</v>
      </c>
      <c r="L18" s="94">
        <f t="shared" si="3"/>
        <v>12250</v>
      </c>
      <c r="M18" s="94">
        <f t="shared" si="3"/>
        <v>12700</v>
      </c>
      <c r="N18" s="94">
        <f t="shared" si="3"/>
        <v>12817.45</v>
      </c>
      <c r="O18" s="84">
        <f>SUM(ActualExpenses[[#Totals],[JAN]:[DEC]])</f>
        <v>111871.15</v>
      </c>
      <c r="P18" s="80"/>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row>
    <row r="19" spans="1:62" s="81" customFormat="1" ht="16.350000000000001" customHeight="1" x14ac:dyDescent="0.25">
      <c r="A19" s="76"/>
      <c r="B19" s="124" t="s">
        <v>40</v>
      </c>
      <c r="C19" s="87">
        <f>IFERROR('P&amp;L Example'!$C$11-ActualExpenses[[#Totals],[JAN]],"")</f>
        <v>-1400</v>
      </c>
      <c r="D19" s="87">
        <f>IFERROR('P&amp;L Example'!$D$11-ActualExpenses[[#Totals],[FEB]],"")</f>
        <v>2600</v>
      </c>
      <c r="E19" s="87">
        <f>IFERROR('P&amp;L Example'!$E$11-ActualExpenses[[#Totals],[MAR]],"")</f>
        <v>3600</v>
      </c>
      <c r="F19" s="87">
        <f>IFERROR('P&amp;L Example'!$F$11-ActualExpenses[[#Totals],[APR]],"")</f>
        <v>-3056</v>
      </c>
      <c r="G19" s="87">
        <f>IFERROR('P&amp;L Example'!$G$11-ActualExpenses[[#Totals],[MAY]],"")</f>
        <v>591</v>
      </c>
      <c r="H19" s="87">
        <f>IFERROR('P&amp;L Example'!$H$11-ActualExpenses[[#Totals],[JUN]],"")</f>
        <v>2120</v>
      </c>
      <c r="I19" s="87">
        <f>IFERROR('P&amp;L Example'!$I$11-ActualExpenses[[#Totals],[JUL]],"")</f>
        <v>2575</v>
      </c>
      <c r="J19" s="87">
        <f>IFERROR('P&amp;L Example'!$J$11-ActualExpenses[[#Totals],[AUG]],"")</f>
        <v>2888.75</v>
      </c>
      <c r="K19" s="87">
        <f>IFERROR('P&amp;L Example'!$K$11-ActualExpenses[[#Totals],[SEP]],"")</f>
        <v>1151.9499999999989</v>
      </c>
      <c r="L19" s="87">
        <f>IFERROR('P&amp;L Example'!$L$11-ActualExpenses[[#Totals],[OCT]],"")</f>
        <v>-650</v>
      </c>
      <c r="M19" s="87">
        <f>IFERROR('P&amp;L Example'!$M$11-ActualExpenses[[#Totals],[NOV]],"")</f>
        <v>3545</v>
      </c>
      <c r="N19" s="87">
        <f>IFERROR('P&amp;L Example'!$N$11-ActualExpenses[[#Totals],[DEC]],"")</f>
        <v>2551.9499999999989</v>
      </c>
      <c r="O19" s="88">
        <f>SUM(C19:N19)</f>
        <v>16517.649999999998</v>
      </c>
      <c r="P19" s="80"/>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row>
    <row r="20" spans="1:62" s="81" customFormat="1" ht="16.350000000000001" customHeight="1" x14ac:dyDescent="0.25">
      <c r="A20" s="76"/>
      <c r="B20" s="124" t="s">
        <v>41</v>
      </c>
      <c r="C20" s="87">
        <f t="shared" ref="C20:D20" si="4">C19*0.15</f>
        <v>-210</v>
      </c>
      <c r="D20" s="87">
        <f t="shared" si="4"/>
        <v>390</v>
      </c>
      <c r="E20" s="87">
        <f t="shared" ref="E20" si="5">E19*0.15</f>
        <v>540</v>
      </c>
      <c r="F20" s="87">
        <f t="shared" ref="F20" si="6">F19*0.15</f>
        <v>-458.4</v>
      </c>
      <c r="G20" s="87">
        <f t="shared" ref="G20" si="7">G19*0.15</f>
        <v>88.649999999999991</v>
      </c>
      <c r="H20" s="87">
        <f t="shared" ref="H20" si="8">H19*0.15</f>
        <v>318</v>
      </c>
      <c r="I20" s="87">
        <f t="shared" ref="I20" si="9">I19*0.15</f>
        <v>386.25</v>
      </c>
      <c r="J20" s="87">
        <f t="shared" ref="J20" si="10">J19*0.15</f>
        <v>433.3125</v>
      </c>
      <c r="K20" s="87">
        <f t="shared" ref="K20" si="11">K19*0.15</f>
        <v>172.79249999999982</v>
      </c>
      <c r="L20" s="87">
        <f t="shared" ref="L20" si="12">L19*0.15</f>
        <v>-97.5</v>
      </c>
      <c r="M20" s="87">
        <f t="shared" ref="M20" si="13">M19*0.15</f>
        <v>531.75</v>
      </c>
      <c r="N20" s="87">
        <f t="shared" ref="N20" si="14">N19*0.15</f>
        <v>382.79249999999985</v>
      </c>
      <c r="O20" s="88">
        <f>SUM('P&amp;L Example'!$C$20:$N$20)</f>
        <v>2477.6474999999996</v>
      </c>
      <c r="P20" s="80"/>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c r="BH20" s="121"/>
      <c r="BI20" s="121"/>
      <c r="BJ20" s="121"/>
    </row>
    <row r="21" spans="1:62" s="81" customFormat="1" ht="9" customHeight="1" x14ac:dyDescent="0.25">
      <c r="A21" s="76"/>
      <c r="B21" s="126"/>
      <c r="C21" s="127"/>
      <c r="D21" s="127"/>
      <c r="E21" s="127"/>
      <c r="F21" s="127"/>
      <c r="G21" s="127"/>
      <c r="H21" s="127"/>
      <c r="I21" s="127"/>
      <c r="J21" s="127"/>
      <c r="K21" s="127"/>
      <c r="L21" s="127"/>
      <c r="M21" s="127"/>
      <c r="N21" s="127"/>
      <c r="O21" s="128"/>
      <c r="P21" s="80"/>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row>
    <row r="22" spans="1:62" s="81" customFormat="1" ht="16.350000000000001" customHeight="1" x14ac:dyDescent="0.25">
      <c r="A22" s="76"/>
      <c r="B22" s="129" t="s">
        <v>42</v>
      </c>
      <c r="C22" s="96">
        <f>IFERROR(C19-'P&amp;L Example'!$C$20," ")</f>
        <v>-1190</v>
      </c>
      <c r="D22" s="96">
        <f>IFERROR(D19-'P&amp;L Example'!$D$20," ")</f>
        <v>2210</v>
      </c>
      <c r="E22" s="96">
        <f>IFERROR(E19-'P&amp;L Example'!$E$20,"")</f>
        <v>3060</v>
      </c>
      <c r="F22" s="96">
        <f>IFERROR(F19-'P&amp;L Example'!$F$20,"")</f>
        <v>-2597.6</v>
      </c>
      <c r="G22" s="96">
        <f>IFERROR(G19-'P&amp;L Example'!$G$20,"")</f>
        <v>502.35</v>
      </c>
      <c r="H22" s="96">
        <f>IFERROR(H19-'P&amp;L Example'!$H$20,"")</f>
        <v>1802</v>
      </c>
      <c r="I22" s="96">
        <f>IFERROR(I19-'P&amp;L Example'!$I$20,"")</f>
        <v>2188.75</v>
      </c>
      <c r="J22" s="96">
        <f>IFERROR(J19-'P&amp;L Example'!$J$20,"")</f>
        <v>2455.4375</v>
      </c>
      <c r="K22" s="96">
        <f>IFERROR(K19-'P&amp;L Example'!$K$20,"")</f>
        <v>979.15749999999912</v>
      </c>
      <c r="L22" s="96">
        <f>IFERROR(L19-'P&amp;L Example'!$L$20,"")</f>
        <v>-552.5</v>
      </c>
      <c r="M22" s="96">
        <f>IFERROR(M19-'P&amp;L Example'!$M$20,"")</f>
        <v>3013.25</v>
      </c>
      <c r="N22" s="96">
        <f>IFERROR(N19-'P&amp;L Example'!$N$20,"")</f>
        <v>2169.1574999999989</v>
      </c>
      <c r="O22" s="97">
        <f>IFERROR(O19-'P&amp;L Example'!$O$20,"")</f>
        <v>14040.002499999999</v>
      </c>
      <c r="P22" s="80"/>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row>
    <row r="23" spans="1:62" s="81" customFormat="1" ht="9" customHeight="1" x14ac:dyDescent="0.25">
      <c r="A23" s="76"/>
      <c r="B23" s="130"/>
      <c r="C23" s="131"/>
      <c r="D23" s="131"/>
      <c r="E23" s="131"/>
      <c r="F23" s="131"/>
      <c r="G23" s="131"/>
      <c r="H23" s="131"/>
      <c r="I23" s="131"/>
      <c r="J23" s="131"/>
      <c r="K23" s="131"/>
      <c r="L23" s="131"/>
      <c r="M23" s="131"/>
      <c r="N23" s="131"/>
      <c r="O23" s="132"/>
      <c r="P23" s="80"/>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row>
    <row r="24" spans="1:62" s="81" customFormat="1" ht="9" customHeight="1" x14ac:dyDescent="0.25">
      <c r="A24" s="76"/>
      <c r="B24" s="102"/>
      <c r="C24" s="103"/>
      <c r="D24" s="103"/>
      <c r="E24" s="103"/>
      <c r="F24" s="103"/>
      <c r="G24" s="103"/>
      <c r="H24" s="103"/>
      <c r="I24" s="103"/>
      <c r="J24" s="103"/>
      <c r="K24" s="103"/>
      <c r="L24" s="103"/>
      <c r="M24" s="103"/>
      <c r="N24" s="103"/>
      <c r="O24" s="133"/>
      <c r="P24" s="80"/>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row>
    <row r="25" spans="1:62" s="81" customFormat="1" ht="30" customHeight="1" x14ac:dyDescent="0.25">
      <c r="A25" s="76"/>
      <c r="B25" s="104"/>
      <c r="C25" s="105"/>
      <c r="D25" s="105"/>
      <c r="E25" s="105"/>
      <c r="F25" s="105"/>
      <c r="G25" s="105"/>
      <c r="H25" s="105"/>
      <c r="I25" s="105"/>
      <c r="J25" s="105"/>
      <c r="K25" s="105"/>
      <c r="L25" s="105"/>
      <c r="M25" s="105"/>
      <c r="N25" s="105"/>
      <c r="O25" s="134"/>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row>
    <row r="26" spans="1:62" s="90" customFormat="1" ht="30" customHeight="1" x14ac:dyDescent="0.25">
      <c r="A26" s="85"/>
      <c r="B26" s="105"/>
      <c r="C26" s="105"/>
      <c r="D26" s="105"/>
      <c r="E26" s="105"/>
      <c r="F26" s="105"/>
      <c r="G26" s="105"/>
      <c r="H26" s="105"/>
      <c r="I26" s="105"/>
      <c r="J26" s="105"/>
      <c r="K26" s="105"/>
      <c r="L26" s="105"/>
      <c r="M26" s="105"/>
      <c r="N26" s="105"/>
      <c r="O26" s="134"/>
      <c r="Q26" s="123"/>
      <c r="R26" s="123"/>
      <c r="S26" s="123"/>
      <c r="T26" s="123"/>
      <c r="U26" s="123"/>
      <c r="V26" s="123"/>
      <c r="W26" s="123"/>
      <c r="X26" s="123"/>
      <c r="Y26" s="123"/>
      <c r="Z26" s="123"/>
      <c r="AA26" s="123"/>
      <c r="AB26" s="123"/>
      <c r="AC26" s="123"/>
      <c r="AD26" s="123"/>
      <c r="AE26" s="123"/>
      <c r="AF26" s="123"/>
      <c r="AG26" s="123"/>
      <c r="AH26" s="123"/>
      <c r="AI26" s="123"/>
      <c r="AJ26" s="123"/>
      <c r="AK26" s="123"/>
      <c r="AL26" s="123"/>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row>
    <row r="27" spans="1:62" s="90" customFormat="1" ht="30" customHeight="1" x14ac:dyDescent="0.25">
      <c r="A27" s="85"/>
      <c r="B27" s="69"/>
      <c r="C27" s="69"/>
      <c r="D27" s="69"/>
      <c r="E27" s="69"/>
      <c r="F27" s="69"/>
      <c r="G27" s="69"/>
      <c r="H27" s="69"/>
      <c r="I27" s="69"/>
      <c r="J27" s="69"/>
      <c r="K27" s="69"/>
      <c r="L27" s="69"/>
      <c r="M27" s="69"/>
      <c r="N27" s="69"/>
      <c r="O27" s="135"/>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row>
    <row r="28" spans="1:62" s="90" customFormat="1" ht="30" customHeight="1" x14ac:dyDescent="0.25">
      <c r="A28" s="85"/>
      <c r="B28" s="69"/>
      <c r="C28" s="69"/>
      <c r="D28" s="69"/>
      <c r="E28" s="69"/>
      <c r="F28" s="69"/>
      <c r="G28" s="69"/>
      <c r="H28" s="69"/>
      <c r="I28" s="69"/>
      <c r="J28" s="69"/>
      <c r="K28" s="69"/>
      <c r="L28" s="69"/>
      <c r="M28" s="69"/>
      <c r="N28" s="69"/>
      <c r="O28" s="135"/>
      <c r="Q28" s="123"/>
      <c r="R28" s="123"/>
      <c r="S28" s="123"/>
      <c r="T28" s="123"/>
      <c r="U28" s="123"/>
      <c r="V28" s="123"/>
      <c r="W28" s="123"/>
      <c r="X28" s="123"/>
      <c r="Y28" s="123"/>
      <c r="Z28" s="123"/>
      <c r="AA28" s="123"/>
      <c r="AB28" s="123"/>
      <c r="AC28" s="123"/>
      <c r="AD28" s="123"/>
      <c r="AE28" s="123"/>
      <c r="AF28" s="123"/>
      <c r="AG28" s="123"/>
      <c r="AH28" s="123"/>
      <c r="AI28" s="123"/>
      <c r="AJ28" s="123"/>
      <c r="AK28" s="123"/>
      <c r="AL28" s="123"/>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row>
    <row r="29" spans="1:62" s="63" customFormat="1" ht="30" customHeight="1" x14ac:dyDescent="0.25">
      <c r="A29" s="52"/>
      <c r="B29" s="69"/>
      <c r="C29" s="69"/>
      <c r="D29" s="69"/>
      <c r="E29" s="69"/>
      <c r="F29" s="69"/>
      <c r="G29" s="69"/>
      <c r="H29" s="69"/>
      <c r="I29" s="69"/>
      <c r="J29" s="69"/>
      <c r="K29" s="69"/>
      <c r="L29" s="69"/>
      <c r="M29" s="69"/>
      <c r="N29" s="69"/>
      <c r="O29" s="135"/>
      <c r="Q29" s="112"/>
      <c r="R29" s="112"/>
      <c r="S29" s="112"/>
      <c r="T29" s="112"/>
      <c r="U29" s="112"/>
      <c r="V29" s="112"/>
      <c r="W29" s="112"/>
      <c r="X29" s="112"/>
      <c r="Y29" s="112"/>
      <c r="Z29" s="112"/>
      <c r="AA29" s="112"/>
      <c r="AB29" s="112"/>
      <c r="AC29" s="112"/>
      <c r="AD29" s="112"/>
      <c r="AE29" s="112"/>
      <c r="AF29" s="112"/>
      <c r="AG29" s="112"/>
      <c r="AH29" s="112"/>
      <c r="AI29" s="112"/>
      <c r="AJ29" s="112"/>
      <c r="AK29" s="112"/>
      <c r="AL29" s="112"/>
      <c r="AM29" s="112"/>
      <c r="AN29" s="112"/>
      <c r="AO29" s="112"/>
      <c r="AP29" s="112"/>
      <c r="AQ29" s="112"/>
      <c r="AR29" s="112"/>
      <c r="AS29" s="112"/>
      <c r="AT29" s="112"/>
      <c r="AU29" s="112"/>
      <c r="AV29" s="112"/>
      <c r="AW29" s="112"/>
      <c r="AX29" s="112"/>
      <c r="AY29" s="112"/>
      <c r="AZ29" s="112"/>
      <c r="BA29" s="112"/>
      <c r="BB29" s="112"/>
      <c r="BC29" s="112"/>
      <c r="BD29" s="112"/>
      <c r="BE29" s="112"/>
      <c r="BF29" s="112"/>
      <c r="BG29" s="112"/>
      <c r="BH29" s="112"/>
      <c r="BI29" s="112"/>
      <c r="BJ29" s="112"/>
    </row>
    <row r="30" spans="1:62" s="69" customFormat="1" ht="30" customHeight="1" x14ac:dyDescent="0.25">
      <c r="A30" s="64"/>
      <c r="O30" s="135"/>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row>
    <row r="31" spans="1:62" s="105" customFormat="1" ht="30" customHeight="1" x14ac:dyDescent="0.25">
      <c r="A31" s="103"/>
    </row>
    <row r="32" spans="1:62" s="105" customFormat="1" ht="30" customHeight="1" x14ac:dyDescent="0.25">
      <c r="A32" s="106"/>
      <c r="B32" s="69"/>
      <c r="C32" s="69"/>
      <c r="D32" s="69"/>
      <c r="E32" s="69"/>
      <c r="F32" s="69"/>
      <c r="G32" s="69"/>
      <c r="H32" s="69"/>
      <c r="I32" s="69"/>
      <c r="J32" s="69"/>
      <c r="K32" s="69"/>
      <c r="L32" s="69"/>
      <c r="M32" s="69"/>
      <c r="N32" s="69"/>
      <c r="O32" s="135"/>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row>
    <row r="33" spans="1:62" s="105" customFormat="1" ht="30" customHeight="1" x14ac:dyDescent="0.25">
      <c r="A33" s="106"/>
      <c r="B33" s="69"/>
      <c r="C33" s="69"/>
      <c r="D33" s="69"/>
      <c r="E33" s="69"/>
      <c r="F33" s="69"/>
      <c r="G33" s="69"/>
      <c r="H33" s="69"/>
      <c r="I33" s="69"/>
      <c r="J33" s="69"/>
      <c r="K33" s="69"/>
      <c r="L33" s="69"/>
      <c r="M33" s="69"/>
      <c r="N33" s="69"/>
      <c r="O33" s="135"/>
      <c r="Q33" s="136"/>
      <c r="R33" s="136"/>
      <c r="S33" s="136"/>
      <c r="T33" s="136"/>
      <c r="U33" s="136"/>
      <c r="V33" s="136"/>
      <c r="W33" s="136"/>
      <c r="X33" s="136"/>
      <c r="Y33" s="136"/>
      <c r="Z33" s="136"/>
      <c r="AA33" s="136"/>
      <c r="AB33" s="136"/>
      <c r="AC33" s="136"/>
      <c r="AD33" s="136"/>
      <c r="AE33" s="136"/>
      <c r="AF33" s="136"/>
      <c r="AG33" s="136"/>
      <c r="AH33" s="136"/>
      <c r="AI33" s="136"/>
      <c r="AJ33" s="136"/>
      <c r="AK33" s="136"/>
      <c r="AL33" s="136"/>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row>
    <row r="34" spans="1:62" s="69" customFormat="1" ht="30" customHeight="1" x14ac:dyDescent="0.25">
      <c r="A34" s="64"/>
      <c r="O34" s="135"/>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row>
    <row r="35" spans="1:62" s="69" customFormat="1" ht="30" customHeight="1" x14ac:dyDescent="0.25">
      <c r="A35" s="64"/>
      <c r="B35" s="107"/>
      <c r="C35" s="107"/>
      <c r="D35" s="107"/>
      <c r="E35" s="107"/>
      <c r="F35" s="107"/>
      <c r="G35" s="107"/>
      <c r="H35" s="107"/>
      <c r="I35" s="107"/>
      <c r="J35" s="107"/>
      <c r="K35" s="107"/>
      <c r="L35" s="107"/>
      <c r="M35" s="107"/>
      <c r="N35" s="107"/>
      <c r="O35" s="137"/>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row>
    <row r="36" spans="1:62" s="69" customFormat="1" ht="30" customHeight="1" x14ac:dyDescent="0.25">
      <c r="A36" s="64"/>
      <c r="B36" s="107"/>
      <c r="C36" s="107"/>
      <c r="D36" s="107"/>
      <c r="E36" s="107"/>
      <c r="F36" s="107"/>
      <c r="G36" s="107"/>
      <c r="H36" s="107"/>
      <c r="I36" s="107"/>
      <c r="J36" s="107"/>
      <c r="K36" s="107"/>
      <c r="L36" s="107"/>
      <c r="M36" s="107"/>
      <c r="N36" s="107"/>
      <c r="O36" s="137"/>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row>
    <row r="37" spans="1:62" s="69" customFormat="1" ht="30" customHeight="1" x14ac:dyDescent="0.25">
      <c r="A37" s="64"/>
      <c r="B37" s="107"/>
      <c r="C37" s="107"/>
      <c r="D37" s="107"/>
      <c r="E37" s="107"/>
      <c r="F37" s="107"/>
      <c r="G37" s="107"/>
      <c r="H37" s="107"/>
      <c r="I37" s="107"/>
      <c r="J37" s="107"/>
      <c r="K37" s="107"/>
      <c r="L37" s="107"/>
      <c r="M37" s="107"/>
      <c r="N37" s="107"/>
      <c r="O37" s="137"/>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row>
    <row r="38" spans="1:62" s="69" customFormat="1" ht="30" customHeight="1" x14ac:dyDescent="0.25">
      <c r="A38" s="64"/>
      <c r="B38" s="107"/>
      <c r="C38" s="107"/>
      <c r="D38" s="107"/>
      <c r="E38" s="107"/>
      <c r="F38" s="107"/>
      <c r="G38" s="107"/>
      <c r="H38" s="107"/>
      <c r="I38" s="107"/>
      <c r="J38" s="107"/>
      <c r="K38" s="107"/>
      <c r="L38" s="107"/>
      <c r="M38" s="107"/>
      <c r="N38" s="107"/>
      <c r="O38" s="137"/>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row>
    <row r="39" spans="1:62" s="69" customFormat="1" ht="30" customHeight="1" x14ac:dyDescent="0.25">
      <c r="A39" s="64"/>
      <c r="B39" s="107"/>
      <c r="C39" s="107"/>
      <c r="D39" s="107"/>
      <c r="E39" s="107"/>
      <c r="F39" s="107"/>
      <c r="G39" s="107"/>
      <c r="H39" s="107"/>
      <c r="I39" s="107"/>
      <c r="J39" s="107"/>
      <c r="K39" s="107"/>
      <c r="L39" s="107"/>
      <c r="M39" s="107"/>
      <c r="N39" s="107"/>
      <c r="O39" s="137"/>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row>
    <row r="40" spans="1:62" s="69" customFormat="1" ht="30" customHeight="1" x14ac:dyDescent="0.25">
      <c r="A40" s="64"/>
      <c r="B40" s="107"/>
      <c r="C40" s="107"/>
      <c r="D40" s="107"/>
      <c r="E40" s="107"/>
      <c r="F40" s="107"/>
      <c r="G40" s="107"/>
      <c r="H40" s="107"/>
      <c r="I40" s="107"/>
      <c r="J40" s="107"/>
      <c r="K40" s="107"/>
      <c r="L40" s="107"/>
      <c r="M40" s="107"/>
      <c r="N40" s="107"/>
      <c r="O40" s="137"/>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row>
    <row r="41" spans="1:62" s="69" customFormat="1" ht="30" customHeight="1" x14ac:dyDescent="0.25">
      <c r="A41" s="64"/>
      <c r="B41" s="107"/>
      <c r="C41" s="107"/>
      <c r="D41" s="107"/>
      <c r="E41" s="107"/>
      <c r="F41" s="107"/>
      <c r="G41" s="107"/>
      <c r="H41" s="107"/>
      <c r="I41" s="107"/>
      <c r="J41" s="107"/>
      <c r="K41" s="107"/>
      <c r="L41" s="107"/>
      <c r="M41" s="107"/>
      <c r="N41" s="107"/>
      <c r="O41" s="137"/>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row>
  </sheetData>
  <mergeCells count="1">
    <mergeCell ref="C2:O2"/>
  </mergeCells>
  <dataValidations count="9">
    <dataValidation allowBlank="1" showInputMessage="1" showErrorMessage="1" prompt="This worksheet contains sample data in the template from previous worksheet. Title of the worksheet is in cell at right. Other helpful instructions on how to use this worksheet are in cells in this column. Arrow down to get started." sqref="A1"/>
    <dataValidation allowBlank="1" showInputMessage="1" showErrorMessage="1" prompt="Business name is in cell at right and Date in cell C2. Next instruction is in cell A4." sqref="A2"/>
    <dataValidation allowBlank="1" showInputMessage="1" showErrorMessage="1" prompt="Revenue items with values for each month are in Actual Revenue table starting in cell at right. Net Sales for each month, and Year to Date are auto calculated. Next instruction is in cell A10." sqref="A4"/>
    <dataValidation allowBlank="1" showInputMessage="1" showErrorMessage="1" prompt="Cost of Goods Sold label is in cell at right. Cost of Goods Sold for each month and Year to Date are auto calculated in cells C10 through O10._x000a_" sqref="A10"/>
    <dataValidation allowBlank="1" showInputMessage="1" showErrorMessage="1" prompt="Gross Profit label is in cell at right. Gross Profit for each month and Year to Date are auto calculated in cells C11 through O11. Next instruction is in cell A13." sqref="A11"/>
    <dataValidation allowBlank="1" showInputMessage="1" showErrorMessage="1" prompt="Expenses items with values for each month are in Actual Expenses table starting in cell at right. Year to Date, and Total Expenses are auto calculated. Next instruction is in cell A19." sqref="A13"/>
    <dataValidation allowBlank="1" showInputMessage="1" showErrorMessage="1" prompt="Income Before Taxes label is in cell at right. Income Before Taxes for each month and Year to Date are auto calculated in cells C19 through O19." sqref="A19"/>
    <dataValidation allowBlank="1" showInputMessage="1" showErrorMessage="1" prompt="Income Tax Expense label is in cell at right. Income Tax Expense for each month and Year to Date are auto calculated in cells C20 through O20. Next instruction is in cell A22." sqref="A20"/>
    <dataValidation allowBlank="1" showInputMessage="1" showErrorMessage="1" prompt="Net Income label is in cell at right. Net Income for each month and Year to Date are auto calculated in cells C22 through O22." sqref="A22"/>
  </dataValidations>
  <pageMargins left="0.7" right="0.7" top="0.75" bottom="0.75" header="0.3" footer="0.3"/>
  <pageSetup scale="53" orientation="landscape" horizontalDpi="1200" verticalDpi="1200"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Template>TM16400880</Templat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Start-Up Costs Template</vt:lpstr>
      <vt:lpstr>Start-Up Costs Example</vt:lpstr>
      <vt:lpstr>P&amp;L Template</vt:lpstr>
      <vt:lpstr>P&amp;L Example</vt:lpstr>
      <vt:lpstr>'P&amp;L Example'!Print_Area</vt:lpstr>
      <vt:lpstr>'P&amp;L Template'!Print_Area</vt:lpstr>
      <vt:lpstr>'Start-Up Costs Example'!Print_Area</vt:lpstr>
      <vt:lpstr>'Start-Up Costs Template'!Print_Area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2021-12-29T23:15:02Z</dcterms:created>
  <dcterms:modified xsi:type="dcterms:W3CDTF">2023-05-14T15:21:38Z</dcterms:modified>
  <cp:category/>
  <cp:contentStatus/>
</cp:coreProperties>
</file>