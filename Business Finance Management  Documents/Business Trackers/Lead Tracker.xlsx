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/>
  </bookViews>
  <sheets>
    <sheet name="Lead Tracker" sheetId="1" r:id="rId1"/>
  </sheets>
  <definedNames>
    <definedName name="_xlnm.Print_Area" localSheetId="0">'Lead Tracker'!$A$1:$K$26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1" l="1"/>
  <c r="G2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</calcChain>
</file>

<file path=xl/sharedStrings.xml><?xml version="1.0" encoding="utf-8"?>
<sst xmlns="http://schemas.openxmlformats.org/spreadsheetml/2006/main" count="11" uniqueCount="10">
  <si>
    <t>NAME</t>
  </si>
  <si>
    <t>CONTACT</t>
  </si>
  <si>
    <t>SOURCE</t>
  </si>
  <si>
    <t>REGION</t>
  </si>
  <si>
    <t>STATUS</t>
  </si>
  <si>
    <t>ESTIMATED VALUE</t>
  </si>
  <si>
    <t>CHANCE OF SALE</t>
  </si>
  <si>
    <t>FORECAST CLOSE</t>
  </si>
  <si>
    <t>WEIGHTED FORECAST</t>
  </si>
  <si>
    <t xml:space="preserve">TOTAL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</si>
</sst>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_ [$₹-4009]\ * #,##0.00_ ;_ [$₹-4009]\ * \-#,##0.00_ ;_ [$₹-4009]\ * &quot;-&quot;??_ ;_ @_ "/>
    <numFmt numFmtId="166" formatCode="_([$$-409]* #,##0.00_);_([$$-409]* \(#,##0.00\);_([$$-409]* &quot;-&quot;??_);_(@_)"/>
  </numFmts>
  <fonts count="9" x14ac:knownFonts="1">
    <font>
      <sz val="10"/>
      <color rgb="FF000000"/>
      <name val="Times New Roman"/>
      <charset val="204"/>
    </font>
    <font>
      <sz val="10"/>
      <color rgb="FF000000"/>
      <name val="Tw Cen MT"/>
      <family val="2"/>
    </font>
    <font>
      <sz val="9"/>
      <name val="Tw Cen MT"/>
      <family val="2"/>
    </font>
    <font>
      <sz val="9"/>
      <color rgb="FF7C98B6"/>
      <name val="Tw Cen MT"/>
      <family val="2"/>
    </font>
    <font>
      <sz val="9"/>
      <color theme="0"/>
      <name val="Tw Cen MT"/>
      <family val="2"/>
    </font>
    <font>
      <b/>
      <sz val="9"/>
      <color theme="0"/>
      <name val="Tw Cen MT"/>
      <family val="2"/>
    </font>
    <font>
      <b/>
      <sz val="9"/>
      <name val="Tw Cen MT"/>
      <family val="2"/>
    </font>
    <font>
      <b/>
      <sz val="8"/>
      <color theme="0"/>
      <name val="Tw Cen MT"/>
      <family val="2"/>
    </font>
    <font>
      <sz val="9"/>
      <color rgb="FF000000"/>
      <name val="Tw Cen MT"/>
      <family val="2"/>
    </font>
  </fonts>
  <fills count="4">
    <fill>
      <patternFill patternType="none"/>
    </fill>
    <fill>
      <patternFill patternType="gray125"/>
    </fill>
    <fill>
      <patternFill patternType="solid">
        <fgColor rgb="FFE7EAF0"/>
        <bgColor indexed="64"/>
      </patternFill>
    </fill>
    <fill>
      <patternFill patternType="solid">
        <fgColor rgb="FFF2547D"/>
        <bgColor indexed="64"/>
      </patternFill>
    </fill>
  </fills>
  <borders count="4">
    <border>
      <left/>
      <right/>
      <top/>
      <bottom/>
      <diagonal/>
    </border>
    <border>
      <left style="thin">
        <color rgb="FF7C98B6"/>
      </left>
      <right style="thin">
        <color rgb="FF7C98B6"/>
      </right>
      <top style="thin">
        <color rgb="FF7C98B6"/>
      </top>
      <bottom style="thin">
        <color rgb="FF7C98B6"/>
      </bottom>
      <diagonal/>
    </border>
    <border>
      <left style="thin">
        <color rgb="FF7C98B6"/>
      </left>
      <right style="thin">
        <color theme="0"/>
      </right>
      <top/>
      <bottom style="thin">
        <color rgb="FF7C98B6"/>
      </bottom>
      <diagonal/>
    </border>
    <border>
      <left style="thin">
        <color theme="0"/>
      </left>
      <right style="thin">
        <color theme="0"/>
      </right>
      <top/>
      <bottom style="thin">
        <color rgb="FF7C98B6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 applyProtection="1">
      <alignment horizontal="left" vertical="top"/>
    </xf>
    <xf numFmtId="0" fontId="2" fillId="0" borderId="0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2" fillId="0" borderId="0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Fill="1" applyBorder="1" applyAlignment="1" applyProtection="1">
      <alignment horizontal="center" vertical="top" wrapText="1"/>
      <protection locked="0"/>
    </xf>
    <xf numFmtId="164" fontId="2" fillId="0" borderId="0" xfId="0" applyNumberFormat="1" applyFont="1" applyFill="1" applyBorder="1" applyAlignment="1" applyProtection="1">
      <alignment horizontal="right" vertical="top" wrapText="1"/>
      <protection locked="0"/>
    </xf>
    <xf numFmtId="164" fontId="2" fillId="0" borderId="0" xfId="0" applyNumberFormat="1" applyFont="1" applyFill="1" applyBorder="1" applyAlignment="1" applyProtection="1">
      <alignment horizontal="right" vertical="center" wrapText="1"/>
    </xf>
    <xf numFmtId="0" fontId="6" fillId="0" borderId="0" xfId="0" applyFont="1" applyFill="1" applyBorder="1" applyAlignment="1" applyProtection="1">
      <alignment vertical="center"/>
    </xf>
    <xf numFmtId="0" fontId="7" fillId="3" borderId="2" xfId="0" applyFont="1" applyFill="1" applyBorder="1" applyAlignment="1" applyProtection="1">
      <alignment horizontal="center" vertical="center"/>
    </xf>
    <xf numFmtId="0" fontId="7" fillId="3" borderId="3" xfId="0" applyFont="1" applyFill="1" applyBorder="1" applyAlignment="1" applyProtection="1">
      <alignment horizontal="center" vertical="center"/>
    </xf>
    <xf numFmtId="0" fontId="7" fillId="3" borderId="3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right" vertical="center"/>
    </xf>
    <xf numFmtId="0" fontId="1" fillId="0" borderId="0" xfId="0" applyFont="1" applyFill="1" applyBorder="1" applyAlignment="1" applyProtection="1">
      <alignment horizontal="left"/>
    </xf>
    <xf numFmtId="0" fontId="0" fillId="0" borderId="0" xfId="0" applyFill="1" applyBorder="1" applyAlignment="1" applyProtection="1">
      <alignment horizontal="left" vertical="top"/>
    </xf>
    <xf numFmtId="0" fontId="2" fillId="0" borderId="0" xfId="0" applyFont="1" applyFill="1" applyBorder="1" applyAlignment="1" applyProtection="1">
      <alignment horizontal="left" vertical="top" wrapText="1"/>
    </xf>
    <xf numFmtId="0" fontId="2" fillId="0" borderId="0" xfId="0" applyFont="1" applyFill="1" applyBorder="1" applyAlignment="1" applyProtection="1">
      <alignment horizontal="center" vertical="top" wrapText="1"/>
    </xf>
    <xf numFmtId="164" fontId="2" fillId="0" borderId="0" xfId="0" applyNumberFormat="1" applyFont="1" applyFill="1" applyBorder="1" applyAlignment="1" applyProtection="1">
      <alignment horizontal="right" vertical="top" wrapText="1"/>
    </xf>
    <xf numFmtId="165" fontId="1" fillId="0" borderId="0" xfId="0" applyNumberFormat="1" applyFont="1" applyFill="1" applyBorder="1" applyAlignment="1" applyProtection="1">
      <alignment horizontal="left" vertical="top"/>
    </xf>
    <xf numFmtId="165" fontId="7" fillId="3" borderId="3" xfId="0" applyNumberFormat="1" applyFont="1" applyFill="1" applyBorder="1" applyAlignment="1" applyProtection="1">
      <alignment horizontal="center" vertical="center"/>
    </xf>
    <xf numFmtId="165" fontId="1" fillId="0" borderId="1" xfId="0" applyNumberFormat="1" applyFont="1" applyFill="1" applyBorder="1" applyAlignment="1" applyProtection="1">
      <alignment horizontal="right" vertical="center"/>
    </xf>
    <xf numFmtId="165" fontId="1" fillId="0" borderId="0" xfId="0" applyNumberFormat="1" applyFont="1" applyFill="1" applyBorder="1" applyAlignment="1">
      <alignment horizontal="left" vertical="top"/>
    </xf>
    <xf numFmtId="165" fontId="7" fillId="3" borderId="3" xfId="0" applyNumberFormat="1" applyFont="1" applyFill="1" applyBorder="1" applyAlignment="1" applyProtection="1">
      <alignment horizontal="center" vertical="center" wrapText="1"/>
    </xf>
    <xf numFmtId="16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6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66" fontId="8" fillId="0" borderId="1" xfId="0" applyNumberFormat="1" applyFont="1" applyFill="1" applyBorder="1" applyAlignment="1" applyProtection="1">
      <alignment horizontal="right" vertical="center" wrapText="1"/>
      <protection locked="0"/>
    </xf>
    <xf numFmtId="166" fontId="8" fillId="0" borderId="1" xfId="0" applyNumberFormat="1" applyFont="1" applyFill="1" applyBorder="1" applyAlignment="1" applyProtection="1">
      <alignment horizontal="right" vertical="center" wrapText="1"/>
    </xf>
    <xf numFmtId="166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166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166" fontId="8" fillId="2" borderId="1" xfId="0" applyNumberFormat="1" applyFont="1" applyFill="1" applyBorder="1" applyAlignment="1" applyProtection="1">
      <alignment horizontal="right" vertical="center" wrapText="1"/>
      <protection locked="0"/>
    </xf>
    <xf numFmtId="166" fontId="8" fillId="2" borderId="1" xfId="0" applyNumberFormat="1" applyFont="1" applyFill="1" applyBorder="1" applyAlignment="1" applyProtection="1">
      <alignment horizontal="right" vertical="center" wrapText="1"/>
    </xf>
    <xf numFmtId="166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66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6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3">
    <dxf>
      <numFmt numFmtId="166" formatCode="_([$$-409]* #,##0.00_);_([$$-409]* \(#,##0.00\);_([$$-409]* &quot;-&quot;??_);_(@_)"/>
      <protection locked="1" hidden="0"/>
    </dxf>
    <dxf>
      <numFmt numFmtId="166" formatCode="_([$$-409]* #,##0.00_);_([$$-409]* \(#,##0.00\);_([$$-409]* &quot;-&quot;??_);_(@_)"/>
      <protection locked="1" hidden="0"/>
    </dxf>
    <dxf>
      <numFmt numFmtId="166" formatCode="_([$$-409]* #,##0.00_);_([$$-409]* \(#,##0.00\);_([$$-409]* &quot;-&quot;??_);_(@_)"/>
      <protection locked="0" hidden="0"/>
    </dxf>
    <dxf>
      <numFmt numFmtId="166" formatCode="_([$$-409]* #,##0.00_);_([$$-409]* \(#,##0.00\);_([$$-409]* &quot;-&quot;??_);_(@_)"/>
      <protection locked="0" hidden="0"/>
    </dxf>
    <dxf>
      <numFmt numFmtId="166" formatCode="_([$$-409]* #,##0.00_);_([$$-409]* \(#,##0.00\);_([$$-409]* &quot;-&quot;??_);_(@_)"/>
      <protection locked="0" hidden="0"/>
    </dxf>
    <dxf>
      <numFmt numFmtId="166" formatCode="_([$$-409]* #,##0.00_);_([$$-409]* \(#,##0.00\);_([$$-409]* &quot;-&quot;??_);_(@_)"/>
      <protection locked="0" hidden="0"/>
    </dxf>
    <dxf>
      <numFmt numFmtId="166" formatCode="_([$$-409]* #,##0.00_);_([$$-409]* \(#,##0.00\);_([$$-409]* &quot;-&quot;??_);_(@_)"/>
      <protection locked="0" hidden="0"/>
    </dxf>
    <dxf>
      <numFmt numFmtId="166" formatCode="_([$$-409]* #,##0.00_);_([$$-409]* \(#,##0.00\);_([$$-409]* &quot;-&quot;??_);_(@_)"/>
      <protection locked="0" hidden="0"/>
    </dxf>
    <dxf>
      <numFmt numFmtId="166" formatCode="_([$$-409]* #,##0.00_);_([$$-409]* \(#,##0.00\);_([$$-409]* &quot;-&quot;??_);_(@_)"/>
      <protection locked="0" hidden="0"/>
    </dxf>
    <dxf>
      <numFmt numFmtId="166" formatCode="_([$$-409]* #,##0.00_);_([$$-409]* \(#,##0.00\);_([$$-409]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w Cen MT"/>
        <scheme val="none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7C98B6"/>
        </left>
        <right style="thin">
          <color rgb="FF7C98B6"/>
        </right>
        <top style="thin">
          <color rgb="FF7C98B6"/>
        </top>
        <bottom style="thin">
          <color rgb="FF7C98B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w Cen MT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w Cen MT"/>
        <scheme val="none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7C98B6"/>
        </left>
        <right style="thin">
          <color rgb="FF7C98B6"/>
        </right>
        <top style="thin">
          <color rgb="FF7C98B6"/>
        </top>
        <bottom style="thin">
          <color rgb="FF7C98B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w Cen MT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protection locked="1" hidden="0"/>
    </dxf>
    <dxf>
      <border outline="0">
        <bottom style="thin">
          <color rgb="FF7C98B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w Cen MT"/>
        <scheme val="none"/>
      </font>
      <fill>
        <patternFill patternType="solid">
          <fgColor indexed="64"/>
          <bgColor rgb="FFF2547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1" hidden="0"/>
    </dxf>
    <dxf>
      <fill>
        <patternFill>
          <bgColor rgb="FFDFE3EB"/>
        </patternFill>
      </fill>
    </dxf>
  </dxfs>
  <tableStyles count="2" defaultTableStyle="TableStyleMedium9" defaultPivotStyle="PivotStyleLight16">
    <tableStyle name="Table Style 1" pivot="0" count="1">
      <tableStyleElement type="secondRowStripe" dxfId="22"/>
    </tableStyle>
    <tableStyle name="Table Style 2" pivot="0" count="0"/>
  </tableStyles>
  <colors>
    <mruColors>
      <color rgb="FFE7EAF0"/>
      <color rgb="FF7C98B6"/>
      <color rgb="FFF2547D"/>
      <color rgb="FFFF7A59"/>
      <color rgb="FF00A4BD"/>
      <color rgb="FF253342"/>
      <color rgb="FFDFE3EB"/>
      <color rgb="FFF1F1F2"/>
      <color rgb="FFC8CCD0"/>
      <color rgb="FFFF8F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365612</xdr:colOff>
      <xdr:row>0</xdr:row>
      <xdr:rowOff>21980</xdr:rowOff>
    </xdr:from>
    <xdr:to>
      <xdr:col>10</xdr:col>
      <xdr:colOff>0</xdr:colOff>
      <xdr:row>1</xdr:row>
      <xdr:rowOff>124240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57C27B0-95D1-4F4F-9B02-0CAA037A27B5}"/>
            </a:ext>
          </a:extLst>
        </xdr:cNvPr>
        <xdr:cNvSpPr/>
      </xdr:nvSpPr>
      <xdr:spPr>
        <a:xfrm>
          <a:off x="4076221" y="21980"/>
          <a:ext cx="4661866" cy="66547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b"/>
        <a:lstStyle/>
        <a:p>
          <a:pPr algn="r"/>
          <a:r>
            <a:rPr lang="en-US" sz="3700">
              <a:solidFill>
                <a:srgbClr val="FF0000"/>
              </a:solidFill>
              <a:latin typeface="Tw Cen MT" panose="020B0602020104020603" pitchFamily="34" charset="0"/>
            </a:rPr>
            <a:t>LEAD</a:t>
          </a:r>
          <a:r>
            <a:rPr lang="en-US" sz="3700" baseline="0">
              <a:solidFill>
                <a:srgbClr val="CED8DC"/>
              </a:solidFill>
              <a:latin typeface="Tw Cen MT" panose="020B0602020104020603" pitchFamily="34" charset="0"/>
            </a:rPr>
            <a:t> </a:t>
          </a:r>
          <a:r>
            <a:rPr lang="en-US" sz="3700" baseline="0">
              <a:solidFill>
                <a:srgbClr val="FF0000"/>
              </a:solidFill>
              <a:latin typeface="Tw Cen MT" panose="020B0602020104020603" pitchFamily="34" charset="0"/>
            </a:rPr>
            <a:t>TRACKER</a:t>
          </a:r>
          <a:endParaRPr lang="en-US" sz="3700">
            <a:solidFill>
              <a:srgbClr val="FF0000"/>
            </a:solidFill>
            <a:latin typeface="Tw Cen MT" panose="020B06020201040206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B3:J24" totalsRowCount="1" headerRowDxfId="21" dataDxfId="0" totalsRowDxfId="19" headerRowBorderDxfId="20">
  <autoFilter ref="B3:J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AME" dataDxfId="9" totalsRowDxfId="18"/>
    <tableColumn id="2" name="CONTACT" dataDxfId="8" totalsRowDxfId="17"/>
    <tableColumn id="3" name="SOURCE" dataDxfId="7" totalsRowDxfId="16"/>
    <tableColumn id="4" name="REGION" dataDxfId="6" totalsRowDxfId="15"/>
    <tableColumn id="5" name="STATUS" totalsRowLabel="TOTAL  " dataDxfId="5" totalsRowDxfId="14"/>
    <tableColumn id="6" name="ESTIMATED VALUE" totalsRowFunction="custom" dataDxfId="4" totalsRowDxfId="13">
      <totalsRowFormula>SUBTOTAL(109, Table1[ESTIMATED VALUE])</totalsRowFormula>
    </tableColumn>
    <tableColumn id="7" name="CHANCE OF SALE" dataDxfId="3" totalsRowDxfId="12"/>
    <tableColumn id="8" name="FORECAST CLOSE" totalsRowLabel="TOTAL  " dataDxfId="2" totalsRowDxfId="11"/>
    <tableColumn id="9" name="WEIGHTED FORECAST" totalsRowFunction="sum" dataDxfId="1" totalsRowDxfId="10">
      <calculatedColumnFormula>IFERROR(IF(Table1[CHANCE OF SALE]&lt;&gt;"",Table1[CHANCE OF SALE]*Table1[ESTIMATED VALUE],""),"")</calculatedColumnFormula>
    </tableColumn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7"/>
  <sheetViews>
    <sheetView showGridLines="0" tabSelected="1" showRuler="0" zoomScale="115" zoomScaleNormal="115" zoomScaleSheetLayoutView="83" zoomScalePageLayoutView="115" workbookViewId="0">
      <selection activeCell="P9" sqref="P9"/>
    </sheetView>
  </sheetViews>
  <sheetFormatPr defaultColWidth="8.83203125" defaultRowHeight="12.75" x14ac:dyDescent="0.2"/>
  <cols>
    <col min="1" max="1" width="2.1640625" style="1" customWidth="1"/>
    <col min="2" max="2" width="16.33203125" style="1" customWidth="1"/>
    <col min="3" max="3" width="18.83203125" style="1" customWidth="1"/>
    <col min="4" max="4" width="12.83203125" style="1" customWidth="1"/>
    <col min="5" max="5" width="15.33203125" style="1" customWidth="1"/>
    <col min="6" max="6" width="15.6640625" style="1" customWidth="1"/>
    <col min="7" max="7" width="16" style="25" customWidth="1"/>
    <col min="8" max="8" width="11.83203125" style="1" customWidth="1"/>
    <col min="9" max="9" width="14" style="1" customWidth="1"/>
    <col min="10" max="10" width="16.6640625" style="25" customWidth="1"/>
    <col min="11" max="11" width="2.1640625" style="1" customWidth="1"/>
    <col min="12" max="16384" width="8.83203125" style="1"/>
  </cols>
  <sheetData>
    <row r="1" spans="1:10" ht="44.25" customHeight="1" x14ac:dyDescent="0.2">
      <c r="A1" s="4"/>
      <c r="B1" s="4"/>
      <c r="C1" s="5"/>
      <c r="D1" s="5"/>
      <c r="E1" s="5"/>
      <c r="F1" s="4"/>
      <c r="G1" s="22"/>
      <c r="H1" s="4"/>
      <c r="I1" s="4"/>
      <c r="J1" s="22"/>
    </row>
    <row r="2" spans="1:10" ht="21" customHeight="1" x14ac:dyDescent="0.2">
      <c r="A2" s="4"/>
      <c r="B2" s="4"/>
      <c r="C2" s="5"/>
      <c r="D2" s="5"/>
      <c r="E2" s="5"/>
      <c r="F2" s="4"/>
      <c r="G2" s="22"/>
      <c r="H2" s="4"/>
      <c r="I2" s="4"/>
      <c r="J2" s="22"/>
    </row>
    <row r="3" spans="1:10" ht="27" customHeight="1" x14ac:dyDescent="0.2">
      <c r="A3" s="4"/>
      <c r="B3" s="13" t="s">
        <v>0</v>
      </c>
      <c r="C3" s="14" t="s">
        <v>1</v>
      </c>
      <c r="D3" s="14" t="s">
        <v>2</v>
      </c>
      <c r="E3" s="14" t="s">
        <v>3</v>
      </c>
      <c r="F3" s="14" t="s">
        <v>4</v>
      </c>
      <c r="G3" s="23" t="s">
        <v>5</v>
      </c>
      <c r="H3" s="15" t="s">
        <v>6</v>
      </c>
      <c r="I3" s="15" t="s">
        <v>7</v>
      </c>
      <c r="J3" s="26" t="s">
        <v>8</v>
      </c>
    </row>
    <row r="4" spans="1:10" ht="19.5" customHeight="1" x14ac:dyDescent="0.2">
      <c r="A4" s="4"/>
      <c r="B4" s="27"/>
      <c r="C4" s="28"/>
      <c r="D4" s="28"/>
      <c r="E4" s="28"/>
      <c r="F4" s="27"/>
      <c r="G4" s="29">
        <v>25000</v>
      </c>
      <c r="H4" s="27">
        <v>0.95</v>
      </c>
      <c r="I4" s="27"/>
      <c r="J4" s="30">
        <f>IFERROR(IF(Table1[CHANCE OF SALE]&lt;&gt;"",Table1[CHANCE OF SALE]*Table1[ESTIMATED VALUE],""),"")</f>
        <v>23750</v>
      </c>
    </row>
    <row r="5" spans="1:10" ht="19.5" customHeight="1" x14ac:dyDescent="0.2">
      <c r="A5" s="4"/>
      <c r="B5" s="31"/>
      <c r="C5" s="32"/>
      <c r="D5" s="32"/>
      <c r="E5" s="32"/>
      <c r="F5" s="31"/>
      <c r="G5" s="33">
        <v>50000</v>
      </c>
      <c r="H5" s="31">
        <v>0.23</v>
      </c>
      <c r="I5" s="31"/>
      <c r="J5" s="34">
        <f>IFERROR(IF(Table1[CHANCE OF SALE]&lt;&gt;"",Table1[CHANCE OF SALE]*Table1[ESTIMATED VALUE],""),"")</f>
        <v>11500</v>
      </c>
    </row>
    <row r="6" spans="1:10" ht="19.5" customHeight="1" x14ac:dyDescent="0.2">
      <c r="A6" s="4"/>
      <c r="B6" s="27"/>
      <c r="C6" s="28"/>
      <c r="D6" s="28"/>
      <c r="E6" s="28"/>
      <c r="F6" s="27"/>
      <c r="G6" s="29"/>
      <c r="H6" s="27"/>
      <c r="I6" s="27"/>
      <c r="J6" s="30" t="str">
        <f>IFERROR(IF(Table1[CHANCE OF SALE]&lt;&gt;"",Table1[CHANCE OF SALE]*Table1[ESTIMATED VALUE],""),"")</f>
        <v/>
      </c>
    </row>
    <row r="7" spans="1:10" ht="19.5" customHeight="1" x14ac:dyDescent="0.2">
      <c r="A7" s="4"/>
      <c r="B7" s="31"/>
      <c r="C7" s="35"/>
      <c r="D7" s="35"/>
      <c r="E7" s="35"/>
      <c r="F7" s="31"/>
      <c r="G7" s="33"/>
      <c r="H7" s="31"/>
      <c r="I7" s="31"/>
      <c r="J7" s="34" t="str">
        <f>IFERROR(IF(Table1[CHANCE OF SALE]&lt;&gt;"",Table1[CHANCE OF SALE]*Table1[ESTIMATED VALUE],""),"")</f>
        <v/>
      </c>
    </row>
    <row r="8" spans="1:10" ht="19.5" customHeight="1" x14ac:dyDescent="0.2">
      <c r="A8" s="4"/>
      <c r="B8" s="27"/>
      <c r="C8" s="28"/>
      <c r="D8" s="28"/>
      <c r="E8" s="28"/>
      <c r="F8" s="27"/>
      <c r="G8" s="29"/>
      <c r="H8" s="27"/>
      <c r="I8" s="27"/>
      <c r="J8" s="30" t="str">
        <f>IFERROR(IF(Table1[CHANCE OF SALE]&lt;&gt;"",Table1[CHANCE OF SALE]*Table1[ESTIMATED VALUE],""),"")</f>
        <v/>
      </c>
    </row>
    <row r="9" spans="1:10" ht="19.5" customHeight="1" x14ac:dyDescent="0.2">
      <c r="A9" s="4"/>
      <c r="B9" s="31"/>
      <c r="C9" s="35"/>
      <c r="D9" s="35"/>
      <c r="E9" s="35"/>
      <c r="F9" s="31"/>
      <c r="G9" s="33"/>
      <c r="H9" s="31"/>
      <c r="I9" s="31"/>
      <c r="J9" s="34" t="str">
        <f>IFERROR(IF(Table1[CHANCE OF SALE]&lt;&gt;"",Table1[CHANCE OF SALE]*Table1[ESTIMATED VALUE],""),"")</f>
        <v/>
      </c>
    </row>
    <row r="10" spans="1:10" ht="19.5" customHeight="1" x14ac:dyDescent="0.2">
      <c r="A10" s="4"/>
      <c r="B10" s="27"/>
      <c r="C10" s="36"/>
      <c r="D10" s="36"/>
      <c r="E10" s="36"/>
      <c r="F10" s="27"/>
      <c r="G10" s="29"/>
      <c r="H10" s="27"/>
      <c r="I10" s="27"/>
      <c r="J10" s="30" t="str">
        <f>IFERROR(IF(Table1[CHANCE OF SALE]&lt;&gt;"",Table1[CHANCE OF SALE]*Table1[ESTIMATED VALUE],""),"")</f>
        <v/>
      </c>
    </row>
    <row r="11" spans="1:10" ht="19.5" customHeight="1" x14ac:dyDescent="0.2">
      <c r="A11" s="4"/>
      <c r="B11" s="31"/>
      <c r="C11" s="35"/>
      <c r="D11" s="35"/>
      <c r="E11" s="35"/>
      <c r="F11" s="31"/>
      <c r="G11" s="33"/>
      <c r="H11" s="31"/>
      <c r="I11" s="31"/>
      <c r="J11" s="34" t="str">
        <f>IFERROR(IF(Table1[CHANCE OF SALE]&lt;&gt;"",Table1[CHANCE OF SALE]*Table1[ESTIMATED VALUE],""),"")</f>
        <v/>
      </c>
    </row>
    <row r="12" spans="1:10" ht="19.5" customHeight="1" x14ac:dyDescent="0.2">
      <c r="A12" s="4"/>
      <c r="B12" s="27"/>
      <c r="C12" s="28"/>
      <c r="D12" s="28"/>
      <c r="E12" s="28"/>
      <c r="F12" s="27"/>
      <c r="G12" s="29"/>
      <c r="H12" s="27"/>
      <c r="I12" s="27"/>
      <c r="J12" s="30" t="str">
        <f>IFERROR(IF(Table1[CHANCE OF SALE]&lt;&gt;"",Table1[CHANCE OF SALE]*Table1[ESTIMATED VALUE],""),"")</f>
        <v/>
      </c>
    </row>
    <row r="13" spans="1:10" s="3" customFormat="1" ht="19.5" customHeight="1" x14ac:dyDescent="0.2">
      <c r="A13" s="17"/>
      <c r="B13" s="31"/>
      <c r="C13" s="35"/>
      <c r="D13" s="35"/>
      <c r="E13" s="35"/>
      <c r="F13" s="31"/>
      <c r="G13" s="33"/>
      <c r="H13" s="31"/>
      <c r="I13" s="31"/>
      <c r="J13" s="34" t="str">
        <f>IFERROR(IF(Table1[CHANCE OF SALE]&lt;&gt;"",Table1[CHANCE OF SALE]*Table1[ESTIMATED VALUE],""),"")</f>
        <v/>
      </c>
    </row>
    <row r="14" spans="1:10" ht="19.5" customHeight="1" x14ac:dyDescent="0.2">
      <c r="A14" s="4"/>
      <c r="B14" s="27"/>
      <c r="C14" s="28"/>
      <c r="D14" s="28"/>
      <c r="E14" s="28"/>
      <c r="F14" s="27"/>
      <c r="G14" s="29"/>
      <c r="H14" s="27"/>
      <c r="I14" s="27"/>
      <c r="J14" s="30" t="str">
        <f>IFERROR(IF(Table1[CHANCE OF SALE]&lt;&gt;"",Table1[CHANCE OF SALE]*Table1[ESTIMATED VALUE],""),"")</f>
        <v/>
      </c>
    </row>
    <row r="15" spans="1:10" ht="19.5" customHeight="1" x14ac:dyDescent="0.2">
      <c r="A15" s="4"/>
      <c r="B15" s="31"/>
      <c r="C15" s="37"/>
      <c r="D15" s="37"/>
      <c r="E15" s="37"/>
      <c r="F15" s="31"/>
      <c r="G15" s="33"/>
      <c r="H15" s="31"/>
      <c r="I15" s="31"/>
      <c r="J15" s="34" t="str">
        <f>IFERROR(IF(Table1[CHANCE OF SALE]&lt;&gt;"",Table1[CHANCE OF SALE]*Table1[ESTIMATED VALUE],""),"")</f>
        <v/>
      </c>
    </row>
    <row r="16" spans="1:10" ht="19.5" customHeight="1" x14ac:dyDescent="0.2">
      <c r="A16" s="4"/>
      <c r="B16" s="27"/>
      <c r="C16" s="28"/>
      <c r="D16" s="28"/>
      <c r="E16" s="28"/>
      <c r="F16" s="27"/>
      <c r="G16" s="29"/>
      <c r="H16" s="27"/>
      <c r="I16" s="27"/>
      <c r="J16" s="30" t="str">
        <f>IFERROR(IF(Table1[CHANCE OF SALE]&lt;&gt;"",Table1[CHANCE OF SALE]*Table1[ESTIMATED VALUE],""),"")</f>
        <v/>
      </c>
    </row>
    <row r="17" spans="1:10" ht="19.5" customHeight="1" x14ac:dyDescent="0.2">
      <c r="A17" s="4"/>
      <c r="B17" s="31"/>
      <c r="C17" s="35"/>
      <c r="D17" s="35"/>
      <c r="E17" s="35"/>
      <c r="F17" s="31"/>
      <c r="G17" s="33"/>
      <c r="H17" s="31"/>
      <c r="I17" s="31"/>
      <c r="J17" s="34" t="str">
        <f>IFERROR(IF(Table1[CHANCE OF SALE]&lt;&gt;"",Table1[CHANCE OF SALE]*Table1[ESTIMATED VALUE],""),"")</f>
        <v/>
      </c>
    </row>
    <row r="18" spans="1:10" ht="19.5" customHeight="1" x14ac:dyDescent="0.2">
      <c r="A18" s="4"/>
      <c r="B18" s="27"/>
      <c r="C18" s="28"/>
      <c r="D18" s="38"/>
      <c r="E18" s="28"/>
      <c r="F18" s="27"/>
      <c r="G18" s="29"/>
      <c r="H18" s="27"/>
      <c r="I18" s="27"/>
      <c r="J18" s="30" t="str">
        <f>IFERROR(IF(Table1[CHANCE OF SALE]&lt;&gt;"",Table1[CHANCE OF SALE]*Table1[ESTIMATED VALUE],""),"")</f>
        <v/>
      </c>
    </row>
    <row r="19" spans="1:10" ht="19.5" customHeight="1" x14ac:dyDescent="0.2">
      <c r="A19" s="4"/>
      <c r="B19" s="31"/>
      <c r="C19" s="35"/>
      <c r="D19" s="39"/>
      <c r="E19" s="35"/>
      <c r="F19" s="31"/>
      <c r="G19" s="33"/>
      <c r="H19" s="31"/>
      <c r="I19" s="31"/>
      <c r="J19" s="34" t="str">
        <f>IFERROR(IF(Table1[CHANCE OF SALE]&lt;&gt;"",Table1[CHANCE OF SALE]*Table1[ESTIMATED VALUE],""),"")</f>
        <v/>
      </c>
    </row>
    <row r="20" spans="1:10" ht="19.5" customHeight="1" x14ac:dyDescent="0.2">
      <c r="A20" s="4"/>
      <c r="B20" s="27"/>
      <c r="C20" s="28"/>
      <c r="D20" s="28"/>
      <c r="E20" s="28"/>
      <c r="F20" s="27"/>
      <c r="G20" s="29"/>
      <c r="H20" s="27"/>
      <c r="I20" s="27"/>
      <c r="J20" s="30" t="str">
        <f>IFERROR(IF(Table1[CHANCE OF SALE]&lt;&gt;"",Table1[CHANCE OF SALE]*Table1[ESTIMATED VALUE],""),"")</f>
        <v/>
      </c>
    </row>
    <row r="21" spans="1:10" ht="19.5" customHeight="1" x14ac:dyDescent="0.2">
      <c r="A21" s="4"/>
      <c r="B21" s="31"/>
      <c r="C21" s="35"/>
      <c r="D21" s="35"/>
      <c r="E21" s="35"/>
      <c r="F21" s="31"/>
      <c r="G21" s="33"/>
      <c r="H21" s="31"/>
      <c r="I21" s="31"/>
      <c r="J21" s="34" t="str">
        <f>IFERROR(IF(Table1[CHANCE OF SALE]&lt;&gt;"",Table1[CHANCE OF SALE]*Table1[ESTIMATED VALUE],""),"")</f>
        <v/>
      </c>
    </row>
    <row r="22" spans="1:10" ht="19.5" customHeight="1" x14ac:dyDescent="0.2">
      <c r="A22" s="4"/>
      <c r="B22" s="27"/>
      <c r="C22" s="28"/>
      <c r="D22" s="28"/>
      <c r="E22" s="28"/>
      <c r="F22" s="27"/>
      <c r="G22" s="29"/>
      <c r="H22" s="27"/>
      <c r="I22" s="27"/>
      <c r="J22" s="30" t="str">
        <f>IFERROR(IF(Table1[CHANCE OF SALE]&lt;&gt;"",Table1[CHANCE OF SALE]*Table1[ESTIMATED VALUE],""),"")</f>
        <v/>
      </c>
    </row>
    <row r="23" spans="1:10" ht="19.5" customHeight="1" x14ac:dyDescent="0.2">
      <c r="A23" s="4"/>
      <c r="B23" s="31"/>
      <c r="C23" s="32"/>
      <c r="D23" s="32"/>
      <c r="E23" s="32"/>
      <c r="F23" s="31"/>
      <c r="G23" s="33"/>
      <c r="H23" s="31"/>
      <c r="I23" s="31"/>
      <c r="J23" s="34" t="str">
        <f>IFERROR(IF(Table1[CHANCE OF SALE]&lt;&gt;"",Table1[CHANCE OF SALE]*Table1[ESTIMATED VALUE],""),"")</f>
        <v/>
      </c>
    </row>
    <row r="24" spans="1:10" ht="16.5" customHeight="1" x14ac:dyDescent="0.2">
      <c r="A24" s="4"/>
      <c r="B24" s="18"/>
      <c r="C24" s="18"/>
      <c r="D24" s="18"/>
      <c r="E24" s="18"/>
      <c r="F24" s="16" t="s">
        <v>9</v>
      </c>
      <c r="G24" s="24">
        <f>SUBTOTAL(109, Table1[ESTIMATED VALUE])</f>
        <v>75000</v>
      </c>
      <c r="H24" s="18"/>
      <c r="I24" s="16" t="s">
        <v>9</v>
      </c>
      <c r="J24" s="24">
        <f>SUBTOTAL(109,Table1[WEIGHTED FORECAST])</f>
        <v>35250</v>
      </c>
    </row>
    <row r="25" spans="1:10" ht="16.5" customHeight="1" x14ac:dyDescent="0.2">
      <c r="A25" s="4"/>
      <c r="B25" s="4"/>
      <c r="C25" s="19"/>
      <c r="D25" s="20"/>
      <c r="E25" s="21"/>
      <c r="F25" s="4"/>
      <c r="G25" s="22"/>
      <c r="H25" s="4"/>
      <c r="I25" s="4"/>
      <c r="J25" s="22"/>
    </row>
    <row r="26" spans="1:10" ht="16.5" customHeight="1" x14ac:dyDescent="0.2">
      <c r="A26" s="4"/>
      <c r="B26" s="4"/>
      <c r="C26" s="19"/>
      <c r="D26" s="20"/>
      <c r="E26" s="21"/>
      <c r="F26" s="4"/>
      <c r="G26" s="22"/>
      <c r="H26" s="4"/>
      <c r="I26" s="4"/>
      <c r="J26" s="22"/>
    </row>
    <row r="27" spans="1:10" ht="24.75" customHeight="1" x14ac:dyDescent="0.2">
      <c r="B27" s="4"/>
      <c r="C27" s="8"/>
      <c r="D27" s="9"/>
      <c r="E27" s="10"/>
      <c r="F27" s="4"/>
    </row>
    <row r="28" spans="1:10" ht="17.25" customHeight="1" x14ac:dyDescent="0.2">
      <c r="B28" s="4"/>
      <c r="C28" s="12"/>
      <c r="D28" s="12"/>
      <c r="E28" s="11"/>
      <c r="F28" s="4"/>
    </row>
    <row r="29" spans="1:10" ht="26.25" customHeight="1" x14ac:dyDescent="0.2">
      <c r="B29" s="4"/>
      <c r="C29" s="5"/>
      <c r="D29" s="6"/>
      <c r="E29" s="5"/>
      <c r="F29" s="4"/>
    </row>
    <row r="30" spans="1:10" x14ac:dyDescent="0.2">
      <c r="B30" s="4"/>
      <c r="C30" s="5"/>
      <c r="D30" s="7"/>
      <c r="E30" s="11"/>
      <c r="F30" s="4"/>
    </row>
    <row r="31" spans="1:10" x14ac:dyDescent="0.2">
      <c r="C31" s="2"/>
      <c r="D31" s="2"/>
      <c r="E31" s="2"/>
    </row>
    <row r="32" spans="1:10" x14ac:dyDescent="0.2">
      <c r="C32" s="2"/>
      <c r="D32" s="2"/>
      <c r="E32" s="2"/>
    </row>
    <row r="33" spans="3:5" x14ac:dyDescent="0.2">
      <c r="C33" s="2"/>
      <c r="D33" s="2"/>
      <c r="E33" s="2"/>
    </row>
    <row r="34" spans="3:5" x14ac:dyDescent="0.2">
      <c r="C34" s="2"/>
      <c r="D34" s="2"/>
      <c r="E34" s="2"/>
    </row>
    <row r="35" spans="3:5" x14ac:dyDescent="0.2">
      <c r="C35" s="2"/>
      <c r="D35" s="2"/>
      <c r="E35" s="2"/>
    </row>
    <row r="36" spans="3:5" x14ac:dyDescent="0.2">
      <c r="C36" s="2"/>
      <c r="D36" s="2"/>
      <c r="E36" s="2"/>
    </row>
    <row r="37" spans="3:5" x14ac:dyDescent="0.2">
      <c r="C37" s="2"/>
      <c r="D37" s="2"/>
      <c r="E37" s="2"/>
    </row>
  </sheetData>
  <sheetProtection formatCells="0" formatColumns="0" insertColumns="0" insertRows="0" insertHyperlinks="0" deleteColumns="0" deleteRows="0" sort="0"/>
  <printOptions horizontalCentered="1" verticalCentered="1"/>
  <pageMargins left="0.25" right="0.25" top="0.25" bottom="0.25" header="0" footer="0"/>
  <pageSetup orientation="landscape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Lead Tracker</vt:lpstr>
      <vt:lpstr>'Lead Tracker'!Print_Area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Lead Tracker</dc:title>
  <cp:keywords>Lead Tracker Template, Sales contact list</cp:keywords>
  <cp:lastModifiedBy>Windows User</cp:lastModifiedBy>
  <cp:lastPrinted>2019-07-17T03:01:44Z</cp:lastPrinted>
  <dcterms:created xsi:type="dcterms:W3CDTF">2018-08-03T11:10:34Z</dcterms:created>
  <dcterms:modified xsi:type="dcterms:W3CDTF">2023-05-14T15:25:21Z</dcterms:modified>
  <cp:category/>
</cp:coreProperties>
</file>