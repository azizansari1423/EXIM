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Smart Sales Kit and Bonuses\Smart Sales Kit\83 Business Trackers\"/>
    </mc:Choice>
  </mc:AlternateContent>
  <bookViews>
    <workbookView xWindow="0" yWindow="0" windowWidth="20490" windowHeight="7620"/>
  </bookViews>
  <sheets>
    <sheet name="SALES" sheetId="1" r:id="rId1"/>
  </sheets>
  <calcPr calcId="162913"/>
  <extLst>
    <ext uri="GoogleSheetsCustomDataVersion1">
      <go:sheetsCustomData xmlns:go="http://customooxmlschemas.google.com/" r:id="rId5" roundtripDataSignature="AMtx7mhScQrfAVxssXoo+OvnoboFsuRcvw=="/>
    </ext>
  </extLst>
</workbook>
</file>

<file path=xl/calcChain.xml><?xml version="1.0" encoding="utf-8"?>
<calcChain xmlns="http://schemas.openxmlformats.org/spreadsheetml/2006/main">
  <c r="J21" i="1" l="1"/>
  <c r="K20" i="1"/>
  <c r="I20" i="1"/>
  <c r="F20" i="1"/>
  <c r="I19" i="1"/>
  <c r="K19" i="1" s="1"/>
  <c r="F19" i="1"/>
  <c r="I18" i="1"/>
  <c r="K18" i="1" s="1"/>
  <c r="F18" i="1"/>
  <c r="K17" i="1"/>
  <c r="I17" i="1"/>
  <c r="F17" i="1"/>
  <c r="F21" i="1" s="1"/>
  <c r="K16" i="1"/>
  <c r="K21" i="1" s="1"/>
  <c r="I16" i="1"/>
  <c r="F16" i="1"/>
</calcChain>
</file>

<file path=xl/sharedStrings.xml><?xml version="1.0" encoding="utf-8"?>
<sst xmlns="http://schemas.openxmlformats.org/spreadsheetml/2006/main" count="17" uniqueCount="17">
  <si>
    <t>Online Sales Tracker</t>
  </si>
  <si>
    <t>Item</t>
  </si>
  <si>
    <t>Cost Per Item</t>
  </si>
  <si>
    <t>Percent Markup</t>
  </si>
  <si>
    <t>Total Sold</t>
  </si>
  <si>
    <t>Total 
Revenue</t>
  </si>
  <si>
    <t>Shipping Charge/Item</t>
  </si>
  <si>
    <t>Shipping Cost/Item</t>
  </si>
  <si>
    <t>Profit per Item (incl. shipping)</t>
  </si>
  <si>
    <t>Returns</t>
  </si>
  <si>
    <t>Total 
Income</t>
  </si>
  <si>
    <t>[Item 1]</t>
  </si>
  <si>
    <t>[Item 2]</t>
  </si>
  <si>
    <t>[Item 3]</t>
  </si>
  <si>
    <t>[Item 4]</t>
  </si>
  <si>
    <t>[Item 5]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</si>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</sst>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_([$$-409]* #,##0.00_);_([$$-409]* \(#,##0.00\);_([$$-409]* &quot;-&quot;??_);_(@_)"/>
  </numFmts>
  <fonts count="6" x14ac:knownFonts="1">
    <font>
      <sz val="12"/>
      <color rgb="FFA88FAA"/>
      <name val="Calibri"/>
      <scheme val="minor"/>
    </font>
    <font>
      <sz val="14"/>
      <color rgb="FFA88FAA"/>
      <name val="Calibri"/>
    </font>
    <font>
      <sz val="29"/>
      <color theme="5"/>
      <name val="Calibri"/>
    </font>
    <font>
      <sz val="12"/>
      <color theme="5"/>
      <name val="Calibri"/>
    </font>
    <font>
      <sz val="12"/>
      <color rgb="FFA88FAA"/>
      <name val="Calibri"/>
    </font>
    <font>
      <sz val="16"/>
      <color theme="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4"/>
        <bgColor rgb="FFF5F5F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>
      <alignment vertical="center"/>
    </xf>
    <xf numFmtId="167" fontId="1" fillId="2" borderId="1" xfId="0" applyNumberFormat="1" applyFont="1" applyFill="1" applyBorder="1" applyAlignment="1">
      <alignment vertical="center"/>
    </xf>
    <xf numFmtId="167" fontId="2" fillId="2" borderId="1" xfId="0" applyNumberFormat="1" applyFont="1" applyFill="1" applyBorder="1" applyAlignment="1"/>
    <xf numFmtId="167" fontId="1" fillId="0" borderId="0" xfId="0" applyNumberFormat="1" applyFont="1" applyAlignment="1">
      <alignment vertical="center"/>
    </xf>
    <xf numFmtId="167" fontId="0" fillId="0" borderId="0" xfId="0" applyNumberFormat="1" applyFont="1" applyAlignment="1">
      <alignment vertical="center"/>
    </xf>
    <xf numFmtId="167" fontId="3" fillId="0" borderId="0" xfId="0" applyNumberFormat="1" applyFont="1" applyAlignment="1">
      <alignment wrapText="1"/>
    </xf>
    <xf numFmtId="167" fontId="4" fillId="0" borderId="0" xfId="0" applyNumberFormat="1" applyFont="1" applyAlignment="1">
      <alignment vertical="center"/>
    </xf>
    <xf numFmtId="167" fontId="5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700" b="0" i="0">
                <a:solidFill>
                  <a:schemeClr val="accent2"/>
                </a:solidFill>
                <a:latin typeface="Calibri"/>
              </a:defRPr>
            </a:pPr>
            <a:r>
              <a:rPr lang="en-US" sz="1700" b="0" i="0">
                <a:solidFill>
                  <a:schemeClr val="accent2"/>
                </a:solidFill>
                <a:latin typeface="Calibri"/>
              </a:rPr>
              <a:t>% Income Per Product</a:t>
            </a:r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0.3254843061972626"/>
          <c:y val="0.21974866218904332"/>
          <c:w val="0.38416471727441837"/>
          <c:h val="0.59996841721872862"/>
        </c:manualLayout>
      </c:layout>
      <c:pieChart>
        <c:varyColors val="1"/>
        <c:ser>
          <c:idx val="0"/>
          <c:order val="0"/>
          <c:tx>
            <c:strRef>
              <c:f>SALES!$K$15</c:f>
              <c:strCache>
                <c:ptCount val="1"/>
                <c:pt idx="0">
                  <c:v>Total 
Income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424D-4A0A-A4B4-62DA4D349E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424D-4A0A-A4B4-62DA4D349E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424D-4A0A-A4B4-62DA4D349E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424D-4A0A-A4B4-62DA4D349E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424D-4A0A-A4B4-62DA4D349E8F}"/>
              </c:ext>
            </c:extLst>
          </c:dPt>
          <c:dPt>
            <c:idx val="5"/>
            <c:bubble3D val="0"/>
            <c:spPr>
              <a:solidFill>
                <a:srgbClr val="EE9360"/>
              </a:solidFill>
            </c:spPr>
            <c:extLst>
              <c:ext xmlns:c16="http://schemas.microsoft.com/office/drawing/2014/chart" uri="{C3380CC4-5D6E-409C-BE32-E72D297353CC}">
                <c16:uniqueId val="{0000000B-424D-4A0A-A4B4-62DA4D349E8F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SALES!$B$16:$B$21</c:f>
              <c:strCache>
                <c:ptCount val="6"/>
                <c:pt idx="0">
                  <c:v>[Item 1]</c:v>
                </c:pt>
                <c:pt idx="1">
                  <c:v>[Item 2]</c:v>
                </c:pt>
                <c:pt idx="2">
                  <c:v>[Item 3]</c:v>
                </c:pt>
                <c:pt idx="3">
                  <c:v>[Item 4]</c:v>
                </c:pt>
                <c:pt idx="4">
                  <c:v>[Item 5]</c:v>
                </c:pt>
                <c:pt idx="5">
                  <c:v>Total</c:v>
                </c:pt>
              </c:strCache>
            </c:strRef>
          </c:cat>
          <c:val>
            <c:numRef>
              <c:f>SALES!$K$16:$K$21</c:f>
              <c:numCache>
                <c:formatCode>_([$$-409]* #,##0.00_);_([$$-409]* \(#,##0.00\);_([$$-409]* "-"??_);_(@_)</c:formatCode>
                <c:ptCount val="6"/>
                <c:pt idx="0">
                  <c:v>1366.75</c:v>
                </c:pt>
                <c:pt idx="1">
                  <c:v>2628</c:v>
                </c:pt>
                <c:pt idx="2">
                  <c:v>3065</c:v>
                </c:pt>
                <c:pt idx="3">
                  <c:v>9615</c:v>
                </c:pt>
                <c:pt idx="4">
                  <c:v>7098</c:v>
                </c:pt>
                <c:pt idx="5">
                  <c:v>23772.75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424D-4A0A-A4B4-62DA4D349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700" b="0" i="0">
                <a:solidFill>
                  <a:schemeClr val="accent2"/>
                </a:solidFill>
                <a:latin typeface="Calibri"/>
              </a:defRPr>
            </a:pPr>
            <a:r>
              <a:rPr lang="en-US" sz="1700" b="0" i="0">
                <a:solidFill>
                  <a:schemeClr val="accent2"/>
                </a:solidFill>
                <a:latin typeface="Calibri"/>
              </a:rPr>
              <a:t>Product Profit Per Item</a:t>
            </a:r>
          </a:p>
        </c:rich>
      </c:tx>
      <c:layout>
        <c:manualLayout>
          <c:xMode val="edge"/>
          <c:yMode val="edge"/>
          <c:x val="4.3327353847667253E-3"/>
          <c:y val="2.4356954038235942E-2"/>
        </c:manualLayout>
      </c:layout>
      <c:overlay val="0"/>
    </c:title>
    <c:autoTitleDeleted val="0"/>
    <c:plotArea>
      <c:layout>
        <c:manualLayout>
          <c:xMode val="edge"/>
          <c:yMode val="edge"/>
          <c:x val="8.8880130499527296E-2"/>
          <c:y val="0.20011251506327377"/>
          <c:w val="0.89621472203927166"/>
          <c:h val="0.69063280133739491"/>
        </c:manualLayout>
      </c:layout>
      <c:barChart>
        <c:barDir val="col"/>
        <c:grouping val="clustered"/>
        <c:varyColors val="1"/>
        <c:ser>
          <c:idx val="0"/>
          <c:order val="0"/>
          <c:tx>
            <c:v>Profit per Item (incl. shipping)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ABAA-4B81-905B-9636AD23A99F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BAA-4B81-905B-9636AD23A99F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BAA-4B81-905B-9636AD23A99F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ABAA-4B81-905B-9636AD23A99F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BAA-4B81-905B-9636AD23A99F}"/>
              </c:ext>
            </c:extLst>
          </c:dPt>
          <c:cat>
            <c:strRef>
              <c:f>SALES!$B$16:$B$21</c:f>
              <c:strCache>
                <c:ptCount val="6"/>
                <c:pt idx="0">
                  <c:v>[Item 1]</c:v>
                </c:pt>
                <c:pt idx="1">
                  <c:v>[Item 2]</c:v>
                </c:pt>
                <c:pt idx="2">
                  <c:v>[Item 3]</c:v>
                </c:pt>
                <c:pt idx="3">
                  <c:v>[Item 4]</c:v>
                </c:pt>
                <c:pt idx="4">
                  <c:v>[Item 5]</c:v>
                </c:pt>
                <c:pt idx="5">
                  <c:v>Total</c:v>
                </c:pt>
              </c:strCache>
            </c:strRef>
          </c:cat>
          <c:val>
            <c:numRef>
              <c:f>SALES!$I$16:$I$21</c:f>
              <c:numCache>
                <c:formatCode>_([$$-409]* #,##0.00_);_([$$-409]* \(#,##0.00\);_([$$-409]* "-"??_);_(@_)</c:formatCode>
                <c:ptCount val="6"/>
                <c:pt idx="0">
                  <c:v>104.25</c:v>
                </c:pt>
                <c:pt idx="1">
                  <c:v>154.25</c:v>
                </c:pt>
                <c:pt idx="2">
                  <c:v>153.25</c:v>
                </c:pt>
                <c:pt idx="3">
                  <c:v>192.3</c:v>
                </c:pt>
                <c:pt idx="4">
                  <c:v>181.75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ABAA-4B81-905B-9636AD23A9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0235250"/>
        <c:axId val="318059903"/>
      </c:barChart>
      <c:catAx>
        <c:axId val="860235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chemeClr val="accent2"/>
                </a:solidFill>
                <a:latin typeface="+mn-lt"/>
              </a:defRPr>
            </a:pPr>
            <a:endParaRPr lang="en-US"/>
          </a:p>
        </c:txPr>
        <c:crossAx val="318059903"/>
        <c:crosses val="autoZero"/>
        <c:auto val="1"/>
        <c:lblAlgn val="ctr"/>
        <c:lblOffset val="100"/>
        <c:noMultiLvlLbl val="1"/>
      </c:catAx>
      <c:valAx>
        <c:axId val="3180599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_([$$-409]* #,##0.00_);_([$$-409]* \(#,##0.00\);_([$$-409]* &quot;-&quot;??_);_(@_)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400" b="0" i="0">
                <a:solidFill>
                  <a:schemeClr val="accent2"/>
                </a:solidFill>
                <a:latin typeface="+mn-lt"/>
              </a:defRPr>
            </a:pPr>
            <a:endParaRPr lang="en-US"/>
          </a:p>
        </c:txPr>
        <c:crossAx val="860235250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704850</xdr:colOff>
      <xdr:row>1</xdr:row>
      <xdr:rowOff>0</xdr:rowOff>
    </xdr:from>
    <xdr:ext cx="4876800" cy="4419600"/>
    <xdr:graphicFrame macro="">
      <xdr:nvGraphicFramePr>
        <xdr:cNvPr id="16830245" name="Chart 1" descr="Chart each product in a pie chart, showing their percentage of a whole by income." title="Percent income per produc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0</xdr:colOff>
      <xdr:row>1</xdr:row>
      <xdr:rowOff>0</xdr:rowOff>
    </xdr:from>
    <xdr:ext cx="5695950" cy="4419600"/>
    <xdr:graphicFrame macro="">
      <xdr:nvGraphicFramePr>
        <xdr:cNvPr id="75408856" name="Chart 2" descr="Chart each item in a clustered column chart." title="Product income per item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06B6B"/>
      </a:accent1>
      <a:accent2>
        <a:srgbClr val="664F68"/>
      </a:accent2>
      <a:accent3>
        <a:srgbClr val="85D2C0"/>
      </a:accent3>
      <a:accent4>
        <a:srgbClr val="F2CF85"/>
      </a:accent4>
      <a:accent5>
        <a:srgbClr val="4FB1BF"/>
      </a:accent5>
      <a:accent6>
        <a:srgbClr val="EE9360"/>
      </a:accent6>
      <a:hlink>
        <a:srgbClr val="C782C0"/>
      </a:hlink>
      <a:folHlink>
        <a:srgbClr val="C782C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/>
    <pageSetUpPr fitToPage="1"/>
  </sheetPr>
  <dimension ref="A1:Z1000"/>
  <sheetViews>
    <sheetView showGridLines="0" tabSelected="1" topLeftCell="A16" workbookViewId="0">
      <selection activeCell="H24" sqref="H24"/>
    </sheetView>
  </sheetViews>
  <sheetFormatPr defaultColWidth="11.25" defaultRowHeight="15" customHeight="1" x14ac:dyDescent="0.25"/>
  <cols>
    <col min="1" max="1" width="2.75" style="4" customWidth="1"/>
    <col min="2" max="2" width="20.625" style="4" customWidth="1"/>
    <col min="3" max="3" width="10.375" style="4" customWidth="1"/>
    <col min="4" max="4" width="10.125" style="4" customWidth="1"/>
    <col min="5" max="5" width="7.75" style="4" customWidth="1"/>
    <col min="6" max="6" width="15" style="4" customWidth="1"/>
    <col min="7" max="7" width="13.625" style="4" customWidth="1"/>
    <col min="8" max="8" width="11.625" style="4" customWidth="1"/>
    <col min="9" max="9" width="15.125" style="4" customWidth="1"/>
    <col min="10" max="10" width="9.625" style="4" customWidth="1"/>
    <col min="11" max="11" width="15" style="4" customWidth="1"/>
    <col min="12" max="12" width="2.75" style="4" customWidth="1"/>
    <col min="13" max="26" width="9" style="4" customWidth="1"/>
    <col min="27" max="16384" width="11.25" style="4"/>
  </cols>
  <sheetData>
    <row r="1" spans="1:26" ht="45.75" customHeight="1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24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7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7" customHeigh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7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" customHeigh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7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7" customHeigh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7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7" customHeigh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7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7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7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60" customHeight="1" x14ac:dyDescent="0.25">
      <c r="A15" s="3"/>
      <c r="B15" s="5" t="s">
        <v>1</v>
      </c>
      <c r="C15" s="5" t="s">
        <v>2</v>
      </c>
      <c r="D15" s="5" t="s">
        <v>3</v>
      </c>
      <c r="E15" s="5" t="s">
        <v>4</v>
      </c>
      <c r="F15" s="5" t="s">
        <v>5</v>
      </c>
      <c r="G15" s="5" t="s">
        <v>6</v>
      </c>
      <c r="H15" s="5" t="s">
        <v>7</v>
      </c>
      <c r="I15" s="5" t="s">
        <v>8</v>
      </c>
      <c r="J15" s="5" t="s">
        <v>9</v>
      </c>
      <c r="K15" s="5" t="s">
        <v>10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" customHeight="1" x14ac:dyDescent="0.25">
      <c r="A16" s="3"/>
      <c r="B16" s="6" t="s">
        <v>11</v>
      </c>
      <c r="C16" s="6">
        <v>100</v>
      </c>
      <c r="D16" s="6">
        <v>1</v>
      </c>
      <c r="E16" s="6">
        <v>15</v>
      </c>
      <c r="F16" s="6">
        <f>IFERROR(SALES!$E16*SALES!$C16*(1+SALES!$D16),0)</f>
        <v>3000</v>
      </c>
      <c r="G16" s="6">
        <v>10</v>
      </c>
      <c r="H16" s="6">
        <v>5.75</v>
      </c>
      <c r="I16" s="6">
        <f>IFERROR(SALES!$C16*SALES!$D16+SALES!$G16-SALES!$H16,0)</f>
        <v>104.25</v>
      </c>
      <c r="J16" s="6">
        <v>2</v>
      </c>
      <c r="K16" s="6">
        <f>IFERROR((SALES!$E16-SALES!$J16)*SALES!$I16+(SALES!$J16*SALES!$H16),0)</f>
        <v>1366.75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7" customHeight="1" x14ac:dyDescent="0.25">
      <c r="A17" s="3"/>
      <c r="B17" s="6" t="s">
        <v>12</v>
      </c>
      <c r="C17" s="6">
        <v>200</v>
      </c>
      <c r="D17" s="6">
        <v>0.75</v>
      </c>
      <c r="E17" s="6">
        <v>18</v>
      </c>
      <c r="F17" s="6">
        <f>IFERROR(SALES!$E17*SALES!$C17*(1+SALES!$D17),0)</f>
        <v>6300</v>
      </c>
      <c r="G17" s="6">
        <v>10</v>
      </c>
      <c r="H17" s="6">
        <v>5.75</v>
      </c>
      <c r="I17" s="6">
        <f>IFERROR(SALES!$C17*SALES!$D17+SALES!$G17-SALES!$H17,0)</f>
        <v>154.25</v>
      </c>
      <c r="J17" s="6">
        <v>1</v>
      </c>
      <c r="K17" s="6">
        <f>IFERROR((SALES!$E17-SALES!$J17)*SALES!$I17+(SALES!$J17*SALES!$H17),0)</f>
        <v>2628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7" customHeight="1" x14ac:dyDescent="0.25">
      <c r="A18" s="3"/>
      <c r="B18" s="6" t="s">
        <v>13</v>
      </c>
      <c r="C18" s="6">
        <v>230</v>
      </c>
      <c r="D18" s="6">
        <v>0.65</v>
      </c>
      <c r="E18" s="6">
        <v>20</v>
      </c>
      <c r="F18" s="6">
        <f>IFERROR(SALES!$E18*SALES!$C18*(1+SALES!$D18),0)</f>
        <v>7590</v>
      </c>
      <c r="G18" s="6">
        <v>10</v>
      </c>
      <c r="H18" s="6">
        <v>6.25</v>
      </c>
      <c r="I18" s="6">
        <f>IFERROR(SALES!$C18*SALES!$D18+SALES!$G18-SALES!$H18,0)</f>
        <v>153.25</v>
      </c>
      <c r="J18" s="6">
        <v>0</v>
      </c>
      <c r="K18" s="6">
        <f>IFERROR((SALES!$E18-SALES!$J18)*SALES!$I18+(SALES!$J18*SALES!$H18),0)</f>
        <v>3065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7" customHeight="1" x14ac:dyDescent="0.25">
      <c r="A19" s="3"/>
      <c r="B19" s="6" t="s">
        <v>14</v>
      </c>
      <c r="C19" s="6">
        <v>212</v>
      </c>
      <c r="D19" s="6">
        <v>0.9</v>
      </c>
      <c r="E19" s="6">
        <v>50</v>
      </c>
      <c r="F19" s="6">
        <f>IFERROR(SALES!$E19*SALES!$C19*(1+SALES!$D19),0)</f>
        <v>20140</v>
      </c>
      <c r="G19" s="6">
        <v>5</v>
      </c>
      <c r="H19" s="6">
        <v>3.5</v>
      </c>
      <c r="I19" s="6">
        <f>IFERROR(SALES!$C19*SALES!$D19+SALES!$G19-SALES!$H19,0)</f>
        <v>192.3</v>
      </c>
      <c r="J19" s="6">
        <v>0</v>
      </c>
      <c r="K19" s="6">
        <f>IFERROR((SALES!$E19-SALES!$J19)*SALES!$I19+(SALES!$J19*SALES!$H19),0)</f>
        <v>9615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7" customHeight="1" x14ac:dyDescent="0.25">
      <c r="A20" s="3"/>
      <c r="B20" s="6" t="s">
        <v>15</v>
      </c>
      <c r="C20" s="6">
        <v>200</v>
      </c>
      <c r="D20" s="6">
        <v>0.9</v>
      </c>
      <c r="E20" s="6">
        <v>42</v>
      </c>
      <c r="F20" s="6">
        <f>IFERROR(SALES!$E20*SALES!$C20*(1+SALES!$D20),0)</f>
        <v>15960</v>
      </c>
      <c r="G20" s="6">
        <v>5</v>
      </c>
      <c r="H20" s="6">
        <v>3.25</v>
      </c>
      <c r="I20" s="6">
        <f>IFERROR(SALES!$C20*SALES!$D20+SALES!$G20-SALES!$H20,0)</f>
        <v>181.75</v>
      </c>
      <c r="J20" s="6">
        <v>3</v>
      </c>
      <c r="K20" s="6">
        <f>IFERROR((SALES!$E20-SALES!$J20)*SALES!$I20+(SALES!$J20*SALES!$H20),0)</f>
        <v>7098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7" customHeight="1" x14ac:dyDescent="0.25">
      <c r="A21" s="3"/>
      <c r="B21" s="7" t="s">
        <v>16</v>
      </c>
      <c r="C21" s="7"/>
      <c r="D21" s="7"/>
      <c r="E21" s="7"/>
      <c r="F21" s="7">
        <f>SUBTOTAL(109,SALES!$F$16:$F$20)</f>
        <v>52990</v>
      </c>
      <c r="G21" s="7"/>
      <c r="H21" s="7"/>
      <c r="I21" s="7"/>
      <c r="J21" s="7">
        <f>SUBTOTAL(109,SALES!$J$16:$J$20)</f>
        <v>6</v>
      </c>
      <c r="K21" s="7">
        <f>SUBTOTAL(109,SALES!$K$16:$K$20)</f>
        <v>23772.75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7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7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7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7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7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7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7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7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7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7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7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7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7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7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7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7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7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7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7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7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7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7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7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27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7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7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27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27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27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7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27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27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27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27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7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7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7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7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7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7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27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27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27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27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27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27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27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27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27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27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27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27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27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27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27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27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27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27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27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27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27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27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27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27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27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27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27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27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27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27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27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27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27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27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27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27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27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27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27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27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27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27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27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27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27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27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27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27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27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27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27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27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27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27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27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27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27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27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27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27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27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27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27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27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27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27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27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27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27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27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27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27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27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27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27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27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27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27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27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27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27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27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27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27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27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27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27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27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27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27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27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27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27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27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27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27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27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27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27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27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27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27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27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27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27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27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27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27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27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27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27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27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27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27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27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27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27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27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27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27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27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27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27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27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27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27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27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27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27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27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27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27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27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27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27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27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27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27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27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27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27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27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27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27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27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27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27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27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27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27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27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27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27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27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27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27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27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27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27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27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27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27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27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27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27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27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27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27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27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27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27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27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27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27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27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27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27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27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27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27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27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27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27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27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27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27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27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27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27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27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27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27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27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27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27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27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27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27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27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27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27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27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27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27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27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27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27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27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27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27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27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27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27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27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27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27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27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27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27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27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27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27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27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27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27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27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27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27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27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27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27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27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27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27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27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27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27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27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27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27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27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27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27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27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27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27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27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27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27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27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27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27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27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27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27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27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27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27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27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27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27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27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27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27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27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27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27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27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27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27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27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27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27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27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27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27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27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27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27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27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27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27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27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27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27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27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27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27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27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27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27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27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27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27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27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27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27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27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27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27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27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27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27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27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27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27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27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27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27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27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27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27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27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27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27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27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27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27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27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27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27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27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27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27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27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27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27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27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27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27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27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27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27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27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27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27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27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27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27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27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27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27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27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27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27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27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27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27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27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27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27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27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27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27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27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27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27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27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27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27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27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27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27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27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27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27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27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27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27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27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27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27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27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27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27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27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27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27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27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27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27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27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27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27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27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27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27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27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27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27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27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27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27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27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27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27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27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27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27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27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27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27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27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27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27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27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27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27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27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27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27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27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27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27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27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27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27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27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27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27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27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27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27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27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27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27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27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27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27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27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27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27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27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27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27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27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27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27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27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27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27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27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27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27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27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27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27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27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27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27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27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27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27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27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27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27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27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27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27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27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27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27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27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27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27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27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27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27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27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27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27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27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27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27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27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27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27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27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27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27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27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27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27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27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27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27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27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27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27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27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27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27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27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27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27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27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27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27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27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27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27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27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27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27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27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27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27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27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27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27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27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27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27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27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27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27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27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27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27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27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27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27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27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27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27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27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27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27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27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27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27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27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27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27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27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27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27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27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27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27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27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27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27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27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27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27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27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27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27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27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27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27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27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27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27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27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27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27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27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27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27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27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27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27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27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27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27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27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27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27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27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27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27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27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27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27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27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27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27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27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27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27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27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27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27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27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27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27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27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27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27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27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27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27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27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27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27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27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27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27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27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27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27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27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27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27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27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27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27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27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27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27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27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27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27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27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27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27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27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27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27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27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27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27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27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27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27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27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27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27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27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27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27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27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27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27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27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27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27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27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27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27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27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27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27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27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27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27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27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27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27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27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27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27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27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27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27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27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27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27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27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27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27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27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27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27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27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27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27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27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27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27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27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27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27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27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27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27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27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27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27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27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27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27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27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27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27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27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27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27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27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27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27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27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27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27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27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27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27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27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27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27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27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27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27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27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27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27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27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27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27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27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27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27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27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27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27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27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27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27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27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27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27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27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27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27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27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27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27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27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27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27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27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27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27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27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27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27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27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27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27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27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27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27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27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27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27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27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27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27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27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27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27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27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27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27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27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27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27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27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27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27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27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27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27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27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27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27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27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27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27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27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27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27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27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27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27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27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27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27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27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27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27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27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27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27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27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27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27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27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27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27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27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27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27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27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27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27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27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27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27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27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27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27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27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27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27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27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27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27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27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27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27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27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27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27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27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27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27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27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27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27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27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27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27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27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27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27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27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27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27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27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27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27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27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27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27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27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27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27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27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27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27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27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27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27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27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27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27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27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27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27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27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27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27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27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27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27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27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27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27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27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27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27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27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27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27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27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27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27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27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27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27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27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27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27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27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27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27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27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27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27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27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27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27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27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27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27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27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27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27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27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27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27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27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27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27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27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27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27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27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27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27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27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27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27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27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27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27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27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27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27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27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27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27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27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27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27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27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27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27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27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27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27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27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27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27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27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27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27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27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27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27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27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27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27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27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27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27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orizontalCentered="1"/>
  <pageMargins left="0.4" right="0.4" top="0.4" bottom="0.4" header="0" footer="0"/>
  <pageSetup fitToHeight="0" orientation="landscape"/>
  <headerFooter>
    <oddFooter>&amp;CPage &amp;P of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2014-12-15T22:31:29Z</dcterms:created>
  <dcterms:modified xsi:type="dcterms:W3CDTF">2023-05-14T15:30:08Z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tID">
    <vt:lpwstr>TF10000015</vt:lpwstr>
  </property>
</Properties>
</file>