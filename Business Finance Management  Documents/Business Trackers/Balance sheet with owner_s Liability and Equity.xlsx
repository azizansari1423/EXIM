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0490" windowHeight="7620"/>
  </bookViews>
  <sheets>
    <sheet name="Summary" sheetId="4" r:id="rId1"/>
    <sheet name="Assets" sheetId="1" r:id="rId2"/>
    <sheet name="Liabilities and Owner's Equity" sheetId="2" r:id="rId3"/>
  </sheets>
  <definedNames>
    <definedName name="Current_Year">Summary!$D$2</definedName>
    <definedName name="Preceding_Year">Summary!$C$2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4" l="1"/>
  <c r="C2" i="4"/>
  <c r="C19" i="2"/>
  <c r="D19" i="2"/>
  <c r="C14" i="2"/>
  <c r="D14" i="2"/>
  <c r="C10" i="2"/>
  <c r="C6" i="4"/>
  <c r="D10" i="2"/>
  <c r="D6" i="4"/>
  <c r="C21" i="1"/>
  <c r="D21" i="1"/>
  <c r="C17" i="1"/>
  <c r="D17" i="1"/>
  <c r="C10" i="1"/>
  <c r="D10" i="1"/>
  <c r="C2" i="1"/>
  <c r="D2" i="1"/>
  <c r="D5" i="4"/>
  <c r="D7" i="4"/>
  <c r="C5" i="4"/>
  <c r="C7" i="4"/>
  <c r="C2" i="2"/>
  <c r="D2" i="2"/>
</calcChain>
</file>

<file path=xl/sharedStrings.xml><?xml version="1.0" encoding="utf-8"?>
<sst xmlns="http://schemas.openxmlformats.org/spreadsheetml/2006/main" count="53" uniqueCount="38">
  <si>
    <t xml:space="preserve"> </t>
  </si>
  <si>
    <t>Current Assets</t>
  </si>
  <si>
    <t>Cash</t>
  </si>
  <si>
    <t>Investments</t>
  </si>
  <si>
    <t>Inventories</t>
  </si>
  <si>
    <t>Accounts receivable</t>
  </si>
  <si>
    <t>Pre-paid expenses</t>
  </si>
  <si>
    <t>Other</t>
  </si>
  <si>
    <t>Total Current Assets</t>
  </si>
  <si>
    <t>Fixed Assets</t>
  </si>
  <si>
    <t>Property and equipment</t>
  </si>
  <si>
    <t>Leasehold improvements</t>
  </si>
  <si>
    <t>Equity and other investments</t>
  </si>
  <si>
    <t>Less accumulated depreciation</t>
  </si>
  <si>
    <t>Total Fixed Assets</t>
  </si>
  <si>
    <t>Other Assets</t>
  </si>
  <si>
    <t>Goodwill</t>
  </si>
  <si>
    <t>Total Other Assets</t>
  </si>
  <si>
    <t>Current Liabilities</t>
  </si>
  <si>
    <t>Accounts payable</t>
  </si>
  <si>
    <t>Accrued wages</t>
  </si>
  <si>
    <t>Accrued compensation</t>
  </si>
  <si>
    <t>Income taxes payable</t>
  </si>
  <si>
    <t>Unearned revenue</t>
  </si>
  <si>
    <t>Total Current Liabilities</t>
  </si>
  <si>
    <t>Long-Term Liabilities</t>
  </si>
  <si>
    <t>Mortgage payable</t>
  </si>
  <si>
    <t>Total Long-Term Liabilities</t>
  </si>
  <si>
    <t>Owner's Equity</t>
  </si>
  <si>
    <t>Investment capital</t>
  </si>
  <si>
    <t>Accumulated retained earnings</t>
  </si>
  <si>
    <t>Total Owner's Equity</t>
  </si>
  <si>
    <t>Balance Summary</t>
  </si>
  <si>
    <t>Total Assets</t>
  </si>
  <si>
    <t>Total Liabilities and Owner's Equity</t>
  </si>
  <si>
    <t>Balance</t>
  </si>
  <si>
    <t>Year 1</t>
  </si>
  <si>
    <t>Year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</si>
</sst>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₹&quot;* #,##0.00_);_(&quot;₹&quot;* \(#,##0.00\);_(&quot;₹&quot;* &quot;-&quot;??_);_(@_)"/>
    <numFmt numFmtId="166" formatCode="_([$$-409]* #,##0.00_);_([$$-409]* \(#,##0.00\);_([$$-409]* &quot;-&quot;??_);_(@_)"/>
  </numFmts>
  <fonts count="10" x14ac:knownFonts="1">
    <font>
      <sz val="11"/>
      <color theme="1"/>
      <name val="Franklin Gothic Book"/>
      <family val="2"/>
      <scheme val="minor"/>
    </font>
    <font>
      <sz val="11"/>
      <color theme="3"/>
      <name val="Franklin Gothic Book"/>
      <family val="2"/>
      <scheme val="minor"/>
    </font>
    <font>
      <sz val="11"/>
      <color theme="3"/>
      <name val="Constantia"/>
      <family val="2"/>
      <scheme val="major"/>
    </font>
    <font>
      <sz val="11"/>
      <name val="Franklin Gothic Book"/>
      <family val="2"/>
      <scheme val="minor"/>
    </font>
    <font>
      <sz val="12"/>
      <color theme="5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sz val="20"/>
      <color theme="0"/>
      <name val="Constantia"/>
      <family val="2"/>
      <scheme val="major"/>
    </font>
    <font>
      <sz val="11"/>
      <color theme="0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1"/>
      <color theme="1"/>
      <name val="Franklin Gothic Book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6" tint="0.79995117038483843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7">
    <xf numFmtId="0" fontId="0" fillId="0" borderId="0" xfId="0"/>
    <xf numFmtId="166" fontId="6" fillId="0" borderId="5" xfId="0" applyNumberFormat="1" applyFont="1" applyFill="1" applyBorder="1" applyAlignment="1"/>
    <xf numFmtId="166" fontId="7" fillId="0" borderId="5" xfId="0" applyNumberFormat="1" applyFont="1" applyFill="1" applyBorder="1" applyAlignment="1">
      <alignment vertical="center"/>
    </xf>
    <xf numFmtId="166" fontId="0" fillId="0" borderId="0" xfId="0" applyNumberFormat="1" applyFont="1" applyAlignment="1">
      <alignment vertical="center"/>
    </xf>
    <xf numFmtId="166" fontId="4" fillId="0" borderId="0" xfId="0" applyNumberFormat="1" applyFont="1" applyBorder="1" applyAlignment="1">
      <alignment horizontal="right" vertical="center" indent="1"/>
    </xf>
    <xf numFmtId="166" fontId="5" fillId="0" borderId="2" xfId="0" applyNumberFormat="1" applyFont="1" applyBorder="1" applyAlignment="1">
      <alignment horizontal="left" vertical="center" indent="1"/>
    </xf>
    <xf numFmtId="166" fontId="1" fillId="0" borderId="3" xfId="0" applyNumberFormat="1" applyFont="1" applyBorder="1" applyAlignment="1">
      <alignment horizontal="right" vertical="center" indent="1"/>
    </xf>
    <xf numFmtId="166" fontId="1" fillId="0" borderId="4" xfId="0" applyNumberFormat="1" applyFont="1" applyBorder="1" applyAlignment="1">
      <alignment horizontal="right" vertical="center" indent="1"/>
    </xf>
    <xf numFmtId="166" fontId="0" fillId="0" borderId="0" xfId="0" applyNumberFormat="1" applyFont="1" applyAlignment="1">
      <alignment horizontal="left" vertical="center" indent="1"/>
    </xf>
    <xf numFmtId="166" fontId="0" fillId="0" borderId="0" xfId="1" applyNumberFormat="1" applyFont="1" applyAlignment="1">
      <alignment horizontal="right" vertical="center" indent="1"/>
    </xf>
    <xf numFmtId="166" fontId="0" fillId="2" borderId="0" xfId="0" applyNumberFormat="1" applyFont="1" applyFill="1" applyAlignment="1">
      <alignment horizontal="left" vertical="center" indent="1"/>
    </xf>
    <xf numFmtId="166" fontId="0" fillId="2" borderId="0" xfId="1" applyNumberFormat="1" applyFont="1" applyFill="1" applyAlignment="1">
      <alignment horizontal="right" vertical="center" indent="1"/>
    </xf>
    <xf numFmtId="166" fontId="0" fillId="0" borderId="0" xfId="1" applyNumberFormat="1" applyFont="1" applyAlignment="1">
      <alignment vertical="center"/>
    </xf>
    <xf numFmtId="166" fontId="1" fillId="0" borderId="3" xfId="1" applyNumberFormat="1" applyFont="1" applyBorder="1" applyAlignment="1">
      <alignment horizontal="right" vertical="center" indent="1"/>
    </xf>
    <xf numFmtId="166" fontId="1" fillId="0" borderId="4" xfId="1" applyNumberFormat="1" applyFont="1" applyBorder="1" applyAlignment="1">
      <alignment horizontal="right" vertical="center" indent="1"/>
    </xf>
    <xf numFmtId="166" fontId="8" fillId="0" borderId="1" xfId="0" applyNumberFormat="1" applyFont="1" applyFill="1" applyBorder="1" applyAlignment="1"/>
    <xf numFmtId="166" fontId="1" fillId="0" borderId="0" xfId="0" applyNumberFormat="1" applyFont="1" applyFill="1" applyAlignment="1">
      <alignment vertical="center"/>
    </xf>
    <xf numFmtId="166" fontId="4" fillId="0" borderId="6" xfId="0" applyNumberFormat="1" applyFont="1" applyBorder="1" applyAlignment="1">
      <alignment horizontal="right" vertical="center" indent="1"/>
    </xf>
    <xf numFmtId="166" fontId="3" fillId="2" borderId="0" xfId="0" applyNumberFormat="1" applyFont="1" applyFill="1" applyAlignment="1">
      <alignment horizontal="left" vertical="center" indent="1"/>
    </xf>
    <xf numFmtId="166" fontId="3" fillId="2" borderId="0" xfId="1" applyNumberFormat="1" applyFont="1" applyFill="1" applyAlignment="1">
      <alignment horizontal="right" vertical="center" indent="1"/>
    </xf>
    <xf numFmtId="166" fontId="2" fillId="0" borderId="1" xfId="1" applyNumberFormat="1" applyFont="1" applyBorder="1" applyAlignment="1"/>
    <xf numFmtId="166" fontId="4" fillId="0" borderId="1" xfId="1" applyNumberFormat="1" applyFont="1" applyBorder="1" applyAlignment="1">
      <alignment horizontal="right" indent="1"/>
    </xf>
    <xf numFmtId="166" fontId="5" fillId="0" borderId="2" xfId="1" applyNumberFormat="1" applyFont="1" applyBorder="1" applyAlignment="1">
      <alignment horizontal="left" vertical="center" indent="1"/>
    </xf>
    <xf numFmtId="166" fontId="0" fillId="0" borderId="0" xfId="1" applyNumberFormat="1" applyFont="1" applyAlignment="1">
      <alignment horizontal="left" vertical="center" indent="1"/>
    </xf>
    <xf numFmtId="166" fontId="0" fillId="3" borderId="0" xfId="1" applyNumberFormat="1" applyFont="1" applyFill="1" applyAlignment="1">
      <alignment horizontal="left" vertical="center" indent="1"/>
    </xf>
    <xf numFmtId="166" fontId="0" fillId="3" borderId="0" xfId="1" applyNumberFormat="1" applyFont="1" applyFill="1" applyAlignment="1">
      <alignment horizontal="right" vertical="center" indent="1"/>
    </xf>
    <xf numFmtId="166" fontId="0" fillId="2" borderId="0" xfId="1" applyNumberFormat="1" applyFont="1" applyFill="1" applyAlignment="1">
      <alignment horizontal="left" vertical="center" indent="1"/>
    </xf>
  </cellXfs>
  <cellStyles count="2">
    <cellStyle name="Currency" xfId="1" builtinId="4"/>
    <cellStyle name="Normal" xfId="0" builtinId="0"/>
  </cellStyles>
  <dxfs count="62"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left" vertical="center" textRotation="0" wrapText="0" indent="1" justifyLastLine="0" shrinkToFit="0" readingOrder="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left" vertical="center" textRotation="0" wrapText="0" indent="1" justifyLastLine="0" shrinkToFit="0" readingOrder="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6" formatCode="_([$$-409]* #,##0.00_);_([$$-409]* \(#,##0.00\);_([$$-409]* &quot;-&quot;??_);_(@_)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6" formatCode="_([$$-409]* #,##0.00_);_([$$-409]* \(#,##0.00\);_([$$-409]* &quot;-&quot;??_);_(@_)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Franklin Gothic Book"/>
      </font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left" vertical="center" textRotation="0" wrapText="0" indent="1" justifyLastLine="0" shrinkToFit="0" readingOrder="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left" vertical="center" textRotation="0" wrapText="0" indent="1" justifyLastLine="0" shrinkToFit="0" readingOrder="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</dxf>
    <dxf>
      <numFmt numFmtId="166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scheme val="minor"/>
      </font>
      <numFmt numFmtId="166" formatCode="_([$$-409]* #,##0.00_);_([$$-409]* \(#,##0.00\);_([$$-409]* &quot;-&quot;??_);_(@_)"/>
      <alignment horizontal="left" vertical="center" textRotation="0" wrapText="0" indent="1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>
      <tableStyleElement type="wholeTable" dxfId="61"/>
      <tableStyleElement type="headerRow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000" b="1">
                <a:solidFill>
                  <a:schemeClr val="accent2"/>
                </a:solidFill>
                <a:latin typeface="+mj-lt"/>
              </a:rPr>
              <a:t>Assets</a:t>
            </a:r>
          </a:p>
        </c:rich>
      </c:tx>
      <c:layout>
        <c:manualLayout>
          <c:xMode val="edge"/>
          <c:yMode val="edge"/>
          <c:x val="1.2538232720909868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318122697570812"/>
          <c:y val="0.17336401131676724"/>
          <c:w val="0.67404923791054305"/>
          <c:h val="0.7976967651770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 Year 2022 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(Assets!$B$4:$B$9,Assets!$B$13:$B$16,Assets!$B$20)</c:f>
              <c:strCache>
                <c:ptCount val="11"/>
                <c:pt idx="0">
                  <c:v>Cash</c:v>
                </c:pt>
                <c:pt idx="1">
                  <c:v>Investments</c:v>
                </c:pt>
                <c:pt idx="2">
                  <c:v>Inventories</c:v>
                </c:pt>
                <c:pt idx="3">
                  <c:v>Accounts receivable</c:v>
                </c:pt>
                <c:pt idx="4">
                  <c:v>Pre-paid expenses</c:v>
                </c:pt>
                <c:pt idx="5">
                  <c:v>Other</c:v>
                </c:pt>
                <c:pt idx="6">
                  <c:v>Property and equipment</c:v>
                </c:pt>
                <c:pt idx="7">
                  <c:v>Leasehold improvements</c:v>
                </c:pt>
                <c:pt idx="8">
                  <c:v>Equity and other investments</c:v>
                </c:pt>
                <c:pt idx="9">
                  <c:v>Less accumulated depreciation</c:v>
                </c:pt>
                <c:pt idx="10">
                  <c:v>Goodwill</c:v>
                </c:pt>
              </c:strCache>
            </c:strRef>
          </c:cat>
          <c:val>
            <c:numRef>
              <c:f>(Assets!$C$4:$C$9,Assets!$C$13:$C$16,Assets!$C$20)</c:f>
              <c:numCache>
                <c:formatCode>_([$$-409]* #,##0.00_);_([$$-409]* \(#,##0.00\);_([$$-409]* "-"??_);_(@_)</c:formatCode>
                <c:ptCount val="11"/>
                <c:pt idx="0">
                  <c:v>1000</c:v>
                </c:pt>
                <c:pt idx="1">
                  <c:v>1500</c:v>
                </c:pt>
                <c:pt idx="2">
                  <c:v>650</c:v>
                </c:pt>
                <c:pt idx="3">
                  <c:v>150</c:v>
                </c:pt>
                <c:pt idx="4">
                  <c:v>1230</c:v>
                </c:pt>
                <c:pt idx="5">
                  <c:v>120</c:v>
                </c:pt>
                <c:pt idx="6">
                  <c:v>2500</c:v>
                </c:pt>
                <c:pt idx="7">
                  <c:v>450</c:v>
                </c:pt>
                <c:pt idx="8">
                  <c:v>1250</c:v>
                </c:pt>
                <c:pt idx="9">
                  <c:v>545</c:v>
                </c:pt>
                <c:pt idx="1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C-427F-AC9A-071D13E99426}"/>
            </c:ext>
          </c:extLst>
        </c:ser>
        <c:ser>
          <c:idx val="1"/>
          <c:order val="1"/>
          <c:tx>
            <c:strRef>
              <c:f>Summary!$D$2</c:f>
              <c:strCache>
                <c:ptCount val="1"/>
                <c:pt idx="0">
                  <c:v> Year 2023 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(Assets!$B$4:$B$9,Assets!$B$13:$B$16,Assets!$B$20)</c:f>
              <c:strCache>
                <c:ptCount val="11"/>
                <c:pt idx="0">
                  <c:v>Cash</c:v>
                </c:pt>
                <c:pt idx="1">
                  <c:v>Investments</c:v>
                </c:pt>
                <c:pt idx="2">
                  <c:v>Inventories</c:v>
                </c:pt>
                <c:pt idx="3">
                  <c:v>Accounts receivable</c:v>
                </c:pt>
                <c:pt idx="4">
                  <c:v>Pre-paid expenses</c:v>
                </c:pt>
                <c:pt idx="5">
                  <c:v>Other</c:v>
                </c:pt>
                <c:pt idx="6">
                  <c:v>Property and equipment</c:v>
                </c:pt>
                <c:pt idx="7">
                  <c:v>Leasehold improvements</c:v>
                </c:pt>
                <c:pt idx="8">
                  <c:v>Equity and other investments</c:v>
                </c:pt>
                <c:pt idx="9">
                  <c:v>Less accumulated depreciation</c:v>
                </c:pt>
                <c:pt idx="10">
                  <c:v>Goodwill</c:v>
                </c:pt>
              </c:strCache>
            </c:strRef>
          </c:cat>
          <c:val>
            <c:numRef>
              <c:f>(Assets!$D$4:$D$9,Assets!$D$13:$D$16,Assets!$D$20)</c:f>
              <c:numCache>
                <c:formatCode>_([$$-409]* #,##0.00_);_([$$-409]* \(#,##0.00\);_([$$-409]* "-"??_);_(@_)</c:formatCode>
                <c:ptCount val="11"/>
                <c:pt idx="0">
                  <c:v>1700</c:v>
                </c:pt>
                <c:pt idx="1">
                  <c:v>2550</c:v>
                </c:pt>
                <c:pt idx="2">
                  <c:v>1250</c:v>
                </c:pt>
                <c:pt idx="3">
                  <c:v>230</c:v>
                </c:pt>
                <c:pt idx="4">
                  <c:v>950</c:v>
                </c:pt>
                <c:pt idx="5">
                  <c:v>120</c:v>
                </c:pt>
                <c:pt idx="6">
                  <c:v>2500</c:v>
                </c:pt>
                <c:pt idx="7">
                  <c:v>350</c:v>
                </c:pt>
                <c:pt idx="8">
                  <c:v>1600</c:v>
                </c:pt>
                <c:pt idx="9">
                  <c:v>1295</c:v>
                </c:pt>
                <c:pt idx="1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C-427F-AC9A-071D13E99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6775480"/>
        <c:axId val="506775808"/>
      </c:barChart>
      <c:catAx>
        <c:axId val="5067754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75808"/>
        <c:crosses val="autoZero"/>
        <c:auto val="1"/>
        <c:lblAlgn val="ctr"/>
        <c:lblOffset val="100"/>
        <c:noMultiLvlLbl val="0"/>
      </c:catAx>
      <c:valAx>
        <c:axId val="5067758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77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855658598230779"/>
          <c:y val="1.1631046119235095E-2"/>
          <c:w val="0.24841652571206377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1000" b="1">
                <a:solidFill>
                  <a:schemeClr val="accent2"/>
                </a:solidFill>
                <a:effectLst/>
                <a:latin typeface="+mj-lt"/>
              </a:rPr>
              <a:t>Liabilities and Owner's Equity</a:t>
            </a:r>
          </a:p>
        </c:rich>
      </c:tx>
      <c:layout>
        <c:manualLayout>
          <c:xMode val="edge"/>
          <c:yMode val="edge"/>
          <c:x val="1.3441897540585192E-2"/>
          <c:y val="2.5974025974025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446680276076601"/>
          <c:y val="0.18341036915840064"/>
          <c:w val="0.70742957130358708"/>
          <c:h val="0.76848041722057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 Year 2022 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('Liabilities and Owner''s Equity'!$B$4:$B$9,'Liabilities and Owner''s Equity'!$B$13,'Liabilities and Owner''s Equity'!$B$17:$B$18)</c:f>
              <c:strCache>
                <c:ptCount val="9"/>
                <c:pt idx="0">
                  <c:v>Accounts payable</c:v>
                </c:pt>
                <c:pt idx="1">
                  <c:v>Accrued wages</c:v>
                </c:pt>
                <c:pt idx="2">
                  <c:v>Accrued compensation</c:v>
                </c:pt>
                <c:pt idx="3">
                  <c:v>Income taxes payable</c:v>
                </c:pt>
                <c:pt idx="4">
                  <c:v>Unearned revenue</c:v>
                </c:pt>
                <c:pt idx="5">
                  <c:v>Other</c:v>
                </c:pt>
                <c:pt idx="6">
                  <c:v>Mortgage payable</c:v>
                </c:pt>
                <c:pt idx="7">
                  <c:v>Investment capital</c:v>
                </c:pt>
                <c:pt idx="8">
                  <c:v>Accumulated retained earnings</c:v>
                </c:pt>
              </c:strCache>
            </c:strRef>
          </c:cat>
          <c:val>
            <c:numRef>
              <c:f>('Liabilities and Owner''s Equity'!$C$4:$C$9,'Liabilities and Owner''s Equity'!$C$13,'Liabilities and Owner''s Equity'!$C$17:$C$18)</c:f>
              <c:numCache>
                <c:formatCode>_([$$-409]* #,##0.00_);_([$$-409]* \(#,##0.00\);_([$$-409]* "-"??_);_(@_)</c:formatCode>
                <c:ptCount val="9"/>
                <c:pt idx="0">
                  <c:v>180</c:v>
                </c:pt>
                <c:pt idx="1">
                  <c:v>250</c:v>
                </c:pt>
                <c:pt idx="2">
                  <c:v>240</c:v>
                </c:pt>
                <c:pt idx="3">
                  <c:v>120</c:v>
                </c:pt>
                <c:pt idx="4">
                  <c:v>0</c:v>
                </c:pt>
                <c:pt idx="5">
                  <c:v>250</c:v>
                </c:pt>
                <c:pt idx="6">
                  <c:v>1500</c:v>
                </c:pt>
                <c:pt idx="7">
                  <c:v>5500</c:v>
                </c:pt>
                <c:pt idx="8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24-482D-817D-30AE983C480C}"/>
            </c:ext>
          </c:extLst>
        </c:ser>
        <c:ser>
          <c:idx val="1"/>
          <c:order val="1"/>
          <c:tx>
            <c:strRef>
              <c:f>Summary!$D$2</c:f>
              <c:strCache>
                <c:ptCount val="1"/>
                <c:pt idx="0">
                  <c:v> Year 2023 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('Liabilities and Owner''s Equity'!$B$4:$B$9,'Liabilities and Owner''s Equity'!$B$13,'Liabilities and Owner''s Equity'!$B$17:$B$18)</c:f>
              <c:strCache>
                <c:ptCount val="9"/>
                <c:pt idx="0">
                  <c:v>Accounts payable</c:v>
                </c:pt>
                <c:pt idx="1">
                  <c:v>Accrued wages</c:v>
                </c:pt>
                <c:pt idx="2">
                  <c:v>Accrued compensation</c:v>
                </c:pt>
                <c:pt idx="3">
                  <c:v>Income taxes payable</c:v>
                </c:pt>
                <c:pt idx="4">
                  <c:v>Unearned revenue</c:v>
                </c:pt>
                <c:pt idx="5">
                  <c:v>Other</c:v>
                </c:pt>
                <c:pt idx="6">
                  <c:v>Mortgage payable</c:v>
                </c:pt>
                <c:pt idx="7">
                  <c:v>Investment capital</c:v>
                </c:pt>
                <c:pt idx="8">
                  <c:v>Accumulated retained earnings</c:v>
                </c:pt>
              </c:strCache>
            </c:strRef>
          </c:cat>
          <c:val>
            <c:numRef>
              <c:f>('Liabilities and Owner''s Equity'!$D$4:$D$9,'Liabilities and Owner''s Equity'!$D$13,'Liabilities and Owner''s Equity'!$D$17:$D$18)</c:f>
              <c:numCache>
                <c:formatCode>_([$$-409]* #,##0.00_);_([$$-409]* \(#,##0.00\);_([$$-409]* "-"??_);_(@_)</c:formatCode>
                <c:ptCount val="9"/>
                <c:pt idx="0">
                  <c:v>252</c:v>
                </c:pt>
                <c:pt idx="1">
                  <c:v>370</c:v>
                </c:pt>
                <c:pt idx="2">
                  <c:v>190</c:v>
                </c:pt>
                <c:pt idx="3">
                  <c:v>130</c:v>
                </c:pt>
                <c:pt idx="4">
                  <c:v>0</c:v>
                </c:pt>
                <c:pt idx="5">
                  <c:v>235</c:v>
                </c:pt>
                <c:pt idx="6">
                  <c:v>1900</c:v>
                </c:pt>
                <c:pt idx="7">
                  <c:v>2500</c:v>
                </c:pt>
                <c:pt idx="8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24-482D-817D-30AE983C4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17355752"/>
        <c:axId val="417357392"/>
      </c:barChart>
      <c:catAx>
        <c:axId val="417355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57392"/>
        <c:crosses val="autoZero"/>
        <c:auto val="1"/>
        <c:lblAlgn val="ctr"/>
        <c:lblOffset val="100"/>
        <c:noMultiLvlLbl val="0"/>
      </c:catAx>
      <c:valAx>
        <c:axId val="41735739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5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73132302906581"/>
          <c:y val="1.5960050448239425E-2"/>
          <c:w val="0.24808943326528629"/>
          <c:h val="7.6680539932508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0</xdr:colOff>
      <xdr:row>19</xdr:row>
      <xdr:rowOff>0</xdr:rowOff>
    </xdr:to>
    <xdr:graphicFrame macro="">
      <xdr:nvGraphicFramePr>
        <xdr:cNvPr id="5" name="Chart 4" descr="Assets 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7" name="Chart 6" descr="Liabilities and Owner's Equity 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0</xdr:row>
      <xdr:rowOff>1322306</xdr:rowOff>
    </xdr:to>
    <xdr:pic>
      <xdr:nvPicPr>
        <xdr:cNvPr id="6" name="Picture 5" descr="Abstract Image" title="Banner 1">
          <a:extLst>
            <a:ext uri="{FF2B5EF4-FFF2-40B4-BE49-F238E27FC236}">
              <a16:creationId xmlns:a16="http://schemas.microsoft.com/office/drawing/2014/main" id="{2187BC33-9002-4060-A77F-5837210AB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6294120" cy="132230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306941</xdr:rowOff>
    </xdr:from>
    <xdr:to>
      <xdr:col>3</xdr:col>
      <xdr:colOff>847725</xdr:colOff>
      <xdr:row>0</xdr:row>
      <xdr:rowOff>1253726</xdr:rowOff>
    </xdr:to>
    <xdr:sp macro="" textlink="">
      <xdr:nvSpPr>
        <xdr:cNvPr id="8" name="TextBox 1" descr="Balance Sheet" title="Title 1">
          <a:extLst>
            <a:ext uri="{FF2B5EF4-FFF2-40B4-BE49-F238E27FC236}">
              <a16:creationId xmlns:a16="http://schemas.microsoft.com/office/drawing/2014/main" id="{529D1A66-1E7D-4896-9776-F87F93757AFE}"/>
            </a:ext>
          </a:extLst>
        </xdr:cNvPr>
        <xdr:cNvSpPr txBox="1"/>
      </xdr:nvSpPr>
      <xdr:spPr>
        <a:xfrm>
          <a:off x="152400" y="306941"/>
          <a:ext cx="5678805" cy="94678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Balance Sheet</a:t>
          </a:r>
        </a:p>
        <a:p>
          <a:pPr marL="0" algn="l"/>
          <a:r>
            <a:rPr lang="en-US" sz="2000">
              <a:solidFill>
                <a:schemeClr val="tx2">
                  <a:lumMod val="20000"/>
                  <a:lumOff val="80000"/>
                </a:schemeClr>
              </a:solidFill>
              <a:latin typeface="+mj-lt"/>
            </a:rPr>
            <a:t>Company Name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DB30E036-49BD-4193-A5FF-4E0320561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TextBox 1" descr="Balance Sheet" title="Title 1">
          <a:extLst>
            <a:ext uri="{FF2B5EF4-FFF2-40B4-BE49-F238E27FC236}">
              <a16:creationId xmlns:a16="http://schemas.microsoft.com/office/drawing/2014/main" id="{5FEBD333-2AD9-4CE2-A0B1-5100FBD546B1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Assets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B17AEE54-0A1B-41E0-B53A-9F155DF2E2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2400" y="0"/>
          <a:ext cx="6294120" cy="5715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</xdr:rowOff>
    </xdr:from>
    <xdr:to>
      <xdr:col>3</xdr:col>
      <xdr:colOff>847725</xdr:colOff>
      <xdr:row>0</xdr:row>
      <xdr:rowOff>563881</xdr:rowOff>
    </xdr:to>
    <xdr:sp macro="" textlink="">
      <xdr:nvSpPr>
        <xdr:cNvPr id="3" name="TextBox 1" descr="Balance Sheet" title="Title 1">
          <a:extLst>
            <a:ext uri="{FF2B5EF4-FFF2-40B4-BE49-F238E27FC236}">
              <a16:creationId xmlns:a16="http://schemas.microsoft.com/office/drawing/2014/main" id="{E39FB8D0-54E5-404A-A67E-ECCE7C758A3D}"/>
            </a:ext>
          </a:extLst>
        </xdr:cNvPr>
        <xdr:cNvSpPr txBox="1"/>
      </xdr:nvSpPr>
      <xdr:spPr>
        <a:xfrm>
          <a:off x="152400" y="1"/>
          <a:ext cx="5678805" cy="56388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000">
              <a:solidFill>
                <a:schemeClr val="bg1"/>
              </a:solidFill>
              <a:latin typeface="+mj-lt"/>
            </a:rPr>
            <a:t>Liabilities and Owner's Equity</a:t>
          </a:r>
          <a:endParaRPr lang="en-US" sz="2000">
            <a:solidFill>
              <a:schemeClr val="tx2">
                <a:lumMod val="20000"/>
                <a:lumOff val="80000"/>
              </a:schemeClr>
            </a:solidFill>
            <a:latin typeface="+mj-lt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6" name="Table_Summary" displayName="Table_Summary" ref="B4:D7" totalsRowShown="0" headerRowDxfId="1" dataDxfId="0" headerRowCellStyle="Currency" dataCellStyle="Currency">
  <tableColumns count="3">
    <tableColumn id="1" name="Balance Summary" dataDxfId="4" dataCellStyle="Currency"/>
    <tableColumn id="2" name="Year 1" dataDxfId="3" dataCellStyle="Currency"/>
    <tableColumn id="3" name="Year 2" dataDxfId="2" dataCellStyle="Currency"/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id="2" name="Table_CurrentAssets" displayName="Table_CurrentAssets" ref="B3:D10" totalsRowCount="1" headerRowDxfId="25" dataDxfId="23" totalsRowDxfId="24">
  <tableColumns count="3">
    <tableColumn id="1" name="Current Assets" totalsRowLabel="Total Current Assets" dataDxfId="31" totalsRowDxfId="30"/>
    <tableColumn id="2" name="Year 1" totalsRowFunction="sum" dataDxfId="29" totalsRowDxfId="28" dataCellStyle="Currency"/>
    <tableColumn id="3" name="Year 2" totalsRowFunction="sum" dataDxfId="27" totalsRowDxfId="26" dataCellStyle="Currency"/>
  </tableColumns>
  <tableStyleInfo name="Business Table" showFirstColumn="0" showLastColumn="0" showRowStripes="1" showColumnStripes="0"/>
</table>
</file>

<file path=xl/tables/table3.xml><?xml version="1.0" encoding="utf-8"?>
<table xmlns="http://schemas.openxmlformats.org/spreadsheetml/2006/main" id="3" name="Table_FixedAssets" displayName="Table_FixedAssets" ref="B12:D17" totalsRowCount="1" headerRowDxfId="16" dataDxfId="14" totalsRowDxfId="15">
  <tableColumns count="3">
    <tableColumn id="1" name="Fixed Assets" totalsRowLabel="Total Fixed Assets" dataDxfId="22" totalsRowDxfId="21"/>
    <tableColumn id="2" name="Year 1" totalsRowFunction="sum" dataDxfId="20" totalsRowDxfId="19" dataCellStyle="Currency"/>
    <tableColumn id="3" name="Year 2" totalsRowFunction="sum" dataDxfId="18" totalsRowDxfId="17" dataCellStyle="Currency"/>
  </tableColumns>
  <tableStyleInfo name="Business Table" showFirstColumn="0" showLastColumn="0" showRowStripes="1" showColumnStripes="0"/>
</table>
</file>

<file path=xl/tables/table4.xml><?xml version="1.0" encoding="utf-8"?>
<table xmlns="http://schemas.openxmlformats.org/spreadsheetml/2006/main" id="4" name="Table_OtherAssets" displayName="Table_OtherAssets" ref="B19:D21" totalsRowCount="1" headerRowDxfId="7" dataDxfId="5" totalsRowDxfId="6">
  <tableColumns count="3">
    <tableColumn id="1" name="Other Assets" totalsRowLabel="Total Other Assets" dataDxfId="13" totalsRowDxfId="12"/>
    <tableColumn id="2" name="Year 1" totalsRowFunction="sum" dataDxfId="11" totalsRowDxfId="10" dataCellStyle="Currency"/>
    <tableColumn id="3" name="Year 2" totalsRowFunction="sum" dataDxfId="9" totalsRowDxfId="8" dataCellStyle="Currency"/>
  </tableColumns>
  <tableStyleInfo name="Business Table" showFirstColumn="0" showLastColumn="0" showRowStripes="1" showColumnStripes="0"/>
</table>
</file>

<file path=xl/tables/table5.xml><?xml version="1.0" encoding="utf-8"?>
<table xmlns="http://schemas.openxmlformats.org/spreadsheetml/2006/main" id="9" name="Table_CurrentLiabilities" displayName="Table_CurrentLiabilities" ref="B3:D10" totalsRowCount="1" headerRowDxfId="52" dataDxfId="50" totalsRowDxfId="51">
  <tableColumns count="3">
    <tableColumn id="1" name="Current Liabilities" totalsRowLabel="Total Current Liabilities" dataDxfId="58" totalsRowDxfId="57"/>
    <tableColumn id="2" name="Year 1" totalsRowFunction="sum" dataDxfId="56" totalsRowDxfId="55" dataCellStyle="Currency"/>
    <tableColumn id="3" name="Year 2" totalsRowFunction="sum" dataDxfId="54" totalsRowDxfId="53" dataCellStyle="Currency"/>
  </tableColumns>
  <tableStyleInfo name="Business Table" showFirstColumn="0" showLastColumn="0" showRowStripes="1" showColumnStripes="0"/>
</table>
</file>

<file path=xl/tables/table6.xml><?xml version="1.0" encoding="utf-8"?>
<table xmlns="http://schemas.openxmlformats.org/spreadsheetml/2006/main" id="10" name="Table_LongTermLiabilities" displayName="Table_LongTermLiabilities" ref="B12:D14" totalsRowCount="1" headerRowDxfId="43" dataDxfId="41" totalsRowDxfId="42">
  <tableColumns count="3">
    <tableColumn id="1" name="Long-Term Liabilities" totalsRowLabel="Total Long-Term Liabilities" dataDxfId="49" totalsRowDxfId="48"/>
    <tableColumn id="2" name="Year 1" totalsRowFunction="sum" dataDxfId="47" totalsRowDxfId="46" dataCellStyle="Currency"/>
    <tableColumn id="3" name="Year 2" totalsRowFunction="sum" dataDxfId="45" totalsRowDxfId="44" dataCellStyle="Currency"/>
  </tableColumns>
  <tableStyleInfo name="Business Table" showFirstColumn="0" showLastColumn="0" showRowStripes="1" showColumnStripes="0"/>
</table>
</file>

<file path=xl/tables/table7.xml><?xml version="1.0" encoding="utf-8"?>
<table xmlns="http://schemas.openxmlformats.org/spreadsheetml/2006/main" id="11" name="Table_OwnersEquity" displayName="Table_OwnersEquity" ref="B16:D19" totalsRowCount="1" headerRowDxfId="34" dataDxfId="32" totalsRowDxfId="33">
  <tableColumns count="3">
    <tableColumn id="1" name="Owner's Equity" totalsRowLabel="Total Owner's Equity" dataDxfId="40" totalsRowDxfId="39"/>
    <tableColumn id="2" name="Year 1" totalsRowFunction="sum" dataDxfId="38" totalsRowDxfId="37" dataCellStyle="Currency"/>
    <tableColumn id="3" name="Year 2" totalsRowFunction="sum" dataDxfId="36" totalsRowDxfId="35" dataCellStyle="Currency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1"/>
  <sheetViews>
    <sheetView showGridLines="0" tabSelected="1" zoomScaleNormal="100" workbookViewId="0">
      <selection activeCell="G8" sqref="G8"/>
    </sheetView>
  </sheetViews>
  <sheetFormatPr defaultColWidth="8.77734375" defaultRowHeight="21" customHeight="1" x14ac:dyDescent="0.3"/>
  <cols>
    <col min="1" max="1" width="1.77734375" style="12" customWidth="1"/>
    <col min="2" max="2" width="38.77734375" style="12" customWidth="1"/>
    <col min="3" max="3" width="18.77734375" style="12" customWidth="1"/>
    <col min="4" max="4" width="17.44140625" style="12" customWidth="1"/>
    <col min="5" max="5" width="1.77734375" style="12" customWidth="1"/>
    <col min="6" max="16384" width="8.77734375" style="12"/>
  </cols>
  <sheetData>
    <row r="1" spans="2:5" s="12" customFormat="1" ht="105.6" customHeight="1" x14ac:dyDescent="0.3">
      <c r="E1" s="12" t="s">
        <v>0</v>
      </c>
    </row>
    <row r="2" spans="2:5" s="12" customFormat="1" ht="25.5" customHeight="1" x14ac:dyDescent="0.3">
      <c r="B2" s="20"/>
      <c r="C2" s="21" t="str">
        <f ca="1">"Year " &amp; YEAR(TODAY())-1</f>
        <v>Year 2022</v>
      </c>
      <c r="D2" s="21" t="str">
        <f ca="1">"Year " &amp; YEAR(TODAY())</f>
        <v>Year 2023</v>
      </c>
    </row>
    <row r="3" spans="2:5" s="12" customFormat="1" ht="9" customHeight="1" x14ac:dyDescent="0.3"/>
    <row r="4" spans="2:5" s="12" customFormat="1" ht="21" customHeight="1" x14ac:dyDescent="0.3">
      <c r="B4" s="22" t="s">
        <v>32</v>
      </c>
      <c r="C4" s="13" t="s">
        <v>36</v>
      </c>
      <c r="D4" s="14" t="s">
        <v>37</v>
      </c>
    </row>
    <row r="5" spans="2:5" s="12" customFormat="1" ht="21" customHeight="1" x14ac:dyDescent="0.3">
      <c r="B5" s="23" t="s">
        <v>33</v>
      </c>
      <c r="C5" s="9">
        <f>Table_CurrentAssets[[#Totals],[Year 1]]+Table_FixedAssets[[#Totals],[Year 1]]+Table_OtherAssets[[#Totals],[Year 1]]</f>
        <v>9545</v>
      </c>
      <c r="D5" s="9">
        <f>Table_CurrentAssets[[#Totals],[Year 2]]+Table_FixedAssets[[#Totals],[Year 2]]+Table_OtherAssets[[#Totals],[Year 2]]</f>
        <v>12735</v>
      </c>
    </row>
    <row r="6" spans="2:5" s="12" customFormat="1" ht="21" customHeight="1" x14ac:dyDescent="0.3">
      <c r="B6" s="24" t="s">
        <v>34</v>
      </c>
      <c r="C6" s="25">
        <f>Table_CurrentLiabilities[[#Totals],[Year 1]]+Table_LongTermLiabilities[[#Totals],[Year 1]]+Table_OwnersEquity[[#Totals],[Year 1]]</f>
        <v>8540</v>
      </c>
      <c r="D6" s="25">
        <f>Table_CurrentLiabilities[[#Totals],[Year 2]]+Table_LongTermLiabilities[[#Totals],[Year 2]]+Table_OwnersEquity[[#Totals],[Year 2]]</f>
        <v>6227</v>
      </c>
    </row>
    <row r="7" spans="2:5" s="12" customFormat="1" ht="21" customHeight="1" x14ac:dyDescent="0.3">
      <c r="B7" s="26" t="s">
        <v>35</v>
      </c>
      <c r="C7" s="11">
        <f>C5-C6</f>
        <v>1005</v>
      </c>
      <c r="D7" s="11">
        <f>D5-D6</f>
        <v>6508</v>
      </c>
    </row>
    <row r="19" s="12" customFormat="1" ht="12" customHeight="1" x14ac:dyDescent="0.3"/>
    <row r="31" s="12" customFormat="1" ht="12" customHeight="1" x14ac:dyDescent="0.3"/>
  </sheetData>
  <dataValidations count="4">
    <dataValidation allowBlank="1" showInputMessage="1" showErrorMessage="1" promptTitle="Balance Sheet" prompt="Enter preceding year in cell C2 and the current year in cell D2. _x000a__x000a_Enter Assets and Liabilities and Owner's Equity details on the next tabs. Balance Summary and Year on Year charts in this tab are automatically updated._x000a_" sqref="A1"/>
    <dataValidation allowBlank="1" showInputMessage="1" showErrorMessage="1" prompt="Enter preceding year in this cell" sqref="C2"/>
    <dataValidation allowBlank="1" showInputMessage="1" showErrorMessage="1" prompt="Enter current year in this cell" sqref="D2"/>
    <dataValidation allowBlank="1" showInputMessage="1" showErrorMessage="1" prompt="This table is automatically updated from data in Assets and Liabilities and Owner's Equity tabs." sqref="B4"/>
  </dataValidations>
  <printOptions horizontalCentered="1"/>
  <pageMargins left="0.7" right="0.7" top="0.75" bottom="0.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showGridLines="0" showRowColHeaders="0" workbookViewId="0">
      <selection activeCell="C4" sqref="A1:XFD1048576"/>
    </sheetView>
  </sheetViews>
  <sheetFormatPr defaultColWidth="8.77734375" defaultRowHeight="21" customHeight="1" x14ac:dyDescent="0.3"/>
  <cols>
    <col min="1" max="1" width="1.77734375" style="3" customWidth="1"/>
    <col min="2" max="2" width="38.77734375" style="3" customWidth="1"/>
    <col min="3" max="3" width="18.77734375" style="3" customWidth="1"/>
    <col min="4" max="4" width="17.44140625" style="3" customWidth="1"/>
    <col min="5" max="9" width="1.77734375" style="3" customWidth="1"/>
    <col min="10" max="16384" width="8.77734375" style="3"/>
  </cols>
  <sheetData>
    <row r="1" spans="2:5" s="3" customFormat="1" ht="45" customHeight="1" x14ac:dyDescent="0.4">
      <c r="B1" s="15"/>
      <c r="C1" s="16"/>
      <c r="D1" s="16"/>
      <c r="E1" s="3" t="s">
        <v>0</v>
      </c>
    </row>
    <row r="2" spans="2:5" s="3" customFormat="1" ht="21" customHeight="1" x14ac:dyDescent="0.3">
      <c r="C2" s="17" t="str">
        <f ca="1">Preceding_Year</f>
        <v>Year 2022</v>
      </c>
      <c r="D2" s="17" t="str">
        <f ca="1">Current_Year</f>
        <v>Year 2023</v>
      </c>
    </row>
    <row r="3" spans="2:5" s="3" customFormat="1" ht="21" customHeight="1" x14ac:dyDescent="0.3">
      <c r="B3" s="5" t="s">
        <v>1</v>
      </c>
      <c r="C3" s="6" t="s">
        <v>36</v>
      </c>
      <c r="D3" s="7" t="s">
        <v>37</v>
      </c>
    </row>
    <row r="4" spans="2:5" s="3" customFormat="1" ht="21" customHeight="1" x14ac:dyDescent="0.3">
      <c r="B4" s="8" t="s">
        <v>2</v>
      </c>
      <c r="C4" s="9">
        <v>1000</v>
      </c>
      <c r="D4" s="9">
        <v>1700</v>
      </c>
    </row>
    <row r="5" spans="2:5" s="3" customFormat="1" ht="21" customHeight="1" x14ac:dyDescent="0.3">
      <c r="B5" s="8" t="s">
        <v>3</v>
      </c>
      <c r="C5" s="9">
        <v>1500</v>
      </c>
      <c r="D5" s="9">
        <v>2550</v>
      </c>
    </row>
    <row r="6" spans="2:5" s="3" customFormat="1" ht="21" customHeight="1" x14ac:dyDescent="0.3">
      <c r="B6" s="8" t="s">
        <v>4</v>
      </c>
      <c r="C6" s="9">
        <v>650</v>
      </c>
      <c r="D6" s="9">
        <v>1250</v>
      </c>
    </row>
    <row r="7" spans="2:5" s="3" customFormat="1" ht="21" customHeight="1" x14ac:dyDescent="0.3">
      <c r="B7" s="8" t="s">
        <v>5</v>
      </c>
      <c r="C7" s="9">
        <v>150</v>
      </c>
      <c r="D7" s="9">
        <v>230</v>
      </c>
    </row>
    <row r="8" spans="2:5" s="3" customFormat="1" ht="21" customHeight="1" x14ac:dyDescent="0.3">
      <c r="B8" s="8" t="s">
        <v>6</v>
      </c>
      <c r="C8" s="9">
        <v>1230</v>
      </c>
      <c r="D8" s="9">
        <v>950</v>
      </c>
    </row>
    <row r="9" spans="2:5" s="3" customFormat="1" ht="21" customHeight="1" x14ac:dyDescent="0.3">
      <c r="B9" s="8" t="s">
        <v>7</v>
      </c>
      <c r="C9" s="9">
        <v>120</v>
      </c>
      <c r="D9" s="9">
        <v>120</v>
      </c>
    </row>
    <row r="10" spans="2:5" s="3" customFormat="1" ht="21" customHeight="1" x14ac:dyDescent="0.3">
      <c r="B10" s="18" t="s">
        <v>8</v>
      </c>
      <c r="C10" s="19">
        <f>SUBTOTAL(109,Table_CurrentAssets[Year 1])</f>
        <v>4650</v>
      </c>
      <c r="D10" s="19">
        <f>SUBTOTAL(109,Table_CurrentAssets[Year 2])</f>
        <v>6800</v>
      </c>
    </row>
    <row r="11" spans="2:5" s="3" customFormat="1" ht="21" customHeight="1" x14ac:dyDescent="0.3">
      <c r="C11" s="12"/>
      <c r="D11" s="12"/>
    </row>
    <row r="12" spans="2:5" s="3" customFormat="1" ht="21" customHeight="1" x14ac:dyDescent="0.3">
      <c r="B12" s="5" t="s">
        <v>9</v>
      </c>
      <c r="C12" s="13" t="s">
        <v>36</v>
      </c>
      <c r="D12" s="14" t="s">
        <v>37</v>
      </c>
    </row>
    <row r="13" spans="2:5" s="3" customFormat="1" ht="21" customHeight="1" x14ac:dyDescent="0.3">
      <c r="B13" s="8" t="s">
        <v>10</v>
      </c>
      <c r="C13" s="9">
        <v>2500</v>
      </c>
      <c r="D13" s="9">
        <v>2500</v>
      </c>
    </row>
    <row r="14" spans="2:5" s="3" customFormat="1" ht="21" customHeight="1" x14ac:dyDescent="0.3">
      <c r="B14" s="8" t="s">
        <v>11</v>
      </c>
      <c r="C14" s="9">
        <v>450</v>
      </c>
      <c r="D14" s="9">
        <v>350</v>
      </c>
    </row>
    <row r="15" spans="2:5" s="3" customFormat="1" ht="21" customHeight="1" x14ac:dyDescent="0.3">
      <c r="B15" s="8" t="s">
        <v>12</v>
      </c>
      <c r="C15" s="9">
        <v>1250</v>
      </c>
      <c r="D15" s="9">
        <v>1600</v>
      </c>
    </row>
    <row r="16" spans="2:5" s="3" customFormat="1" ht="21" customHeight="1" x14ac:dyDescent="0.3">
      <c r="B16" s="8" t="s">
        <v>13</v>
      </c>
      <c r="C16" s="9">
        <v>545</v>
      </c>
      <c r="D16" s="9">
        <v>1295</v>
      </c>
    </row>
    <row r="17" spans="2:4" s="3" customFormat="1" ht="21" customHeight="1" x14ac:dyDescent="0.3">
      <c r="B17" s="10" t="s">
        <v>14</v>
      </c>
      <c r="C17" s="11">
        <f>SUBTOTAL(109,Table_FixedAssets[Year 1])</f>
        <v>4745</v>
      </c>
      <c r="D17" s="11">
        <f>SUBTOTAL(109,Table_FixedAssets[Year 2])</f>
        <v>5745</v>
      </c>
    </row>
    <row r="18" spans="2:4" s="3" customFormat="1" ht="21" customHeight="1" x14ac:dyDescent="0.3">
      <c r="C18" s="12"/>
      <c r="D18" s="12"/>
    </row>
    <row r="19" spans="2:4" s="3" customFormat="1" ht="21" customHeight="1" x14ac:dyDescent="0.3">
      <c r="B19" s="5" t="s">
        <v>15</v>
      </c>
      <c r="C19" s="13" t="s">
        <v>36</v>
      </c>
      <c r="D19" s="14" t="s">
        <v>37</v>
      </c>
    </row>
    <row r="20" spans="2:4" s="3" customFormat="1" ht="21" customHeight="1" x14ac:dyDescent="0.3">
      <c r="B20" s="8" t="s">
        <v>16</v>
      </c>
      <c r="C20" s="9">
        <v>150</v>
      </c>
      <c r="D20" s="9">
        <v>190</v>
      </c>
    </row>
    <row r="21" spans="2:4" s="3" customFormat="1" ht="21" customHeight="1" x14ac:dyDescent="0.3">
      <c r="B21" s="10" t="s">
        <v>17</v>
      </c>
      <c r="C21" s="11">
        <f>SUBTOTAL(109,Table_OtherAssets[Year 1])</f>
        <v>150</v>
      </c>
      <c r="D21" s="11">
        <f>SUBTOTAL(109,Table_OtherAssets[Year 2])</f>
        <v>190</v>
      </c>
    </row>
  </sheetData>
  <dataValidations count="2">
    <dataValidation allowBlank="1" showInputMessage="1" showErrorMessage="1" prompt="This cell is automatically updated from the Summary tab." sqref="C2:D2"/>
    <dataValidation allowBlank="1" showInputMessage="1" showErrorMessage="1" prompt="Enter Current Assets, Fixed Assets, and Other Assets details in this tab" sqref="A1"/>
  </dataValidations>
  <printOptions horizontalCentered="1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9"/>
  <sheetViews>
    <sheetView showGridLines="0" showRowColHeaders="0" topLeftCell="A4" zoomScaleNormal="100" workbookViewId="0">
      <selection activeCell="K7" sqref="K7"/>
    </sheetView>
  </sheetViews>
  <sheetFormatPr defaultColWidth="8.77734375" defaultRowHeight="21" customHeight="1" x14ac:dyDescent="0.3"/>
  <cols>
    <col min="1" max="1" width="1.77734375" style="3" customWidth="1"/>
    <col min="2" max="2" width="38.77734375" style="3" customWidth="1"/>
    <col min="3" max="3" width="18.77734375" style="3" customWidth="1"/>
    <col min="4" max="4" width="17.44140625" style="3" customWidth="1"/>
    <col min="5" max="10" width="1.77734375" style="3" customWidth="1"/>
    <col min="11" max="16384" width="8.77734375" style="3"/>
  </cols>
  <sheetData>
    <row r="1" spans="2:5" ht="45" customHeight="1" x14ac:dyDescent="0.4">
      <c r="B1" s="1"/>
      <c r="C1" s="2"/>
      <c r="D1" s="2"/>
      <c r="E1" s="3" t="s">
        <v>0</v>
      </c>
    </row>
    <row r="2" spans="2:5" ht="21" customHeight="1" x14ac:dyDescent="0.3">
      <c r="C2" s="4" t="str">
        <f ca="1">Preceding_Year</f>
        <v>Year 2022</v>
      </c>
      <c r="D2" s="4" t="str">
        <f ca="1">Current_Year</f>
        <v>Year 2023</v>
      </c>
    </row>
    <row r="3" spans="2:5" ht="21" customHeight="1" x14ac:dyDescent="0.3">
      <c r="B3" s="5" t="s">
        <v>18</v>
      </c>
      <c r="C3" s="6" t="s">
        <v>36</v>
      </c>
      <c r="D3" s="7" t="s">
        <v>37</v>
      </c>
    </row>
    <row r="4" spans="2:5" ht="21" customHeight="1" x14ac:dyDescent="0.3">
      <c r="B4" s="8" t="s">
        <v>19</v>
      </c>
      <c r="C4" s="9">
        <v>180</v>
      </c>
      <c r="D4" s="9">
        <v>252</v>
      </c>
    </row>
    <row r="5" spans="2:5" ht="21" customHeight="1" x14ac:dyDescent="0.3">
      <c r="B5" s="8" t="s">
        <v>20</v>
      </c>
      <c r="C5" s="9">
        <v>250</v>
      </c>
      <c r="D5" s="9">
        <v>370</v>
      </c>
    </row>
    <row r="6" spans="2:5" ht="21" customHeight="1" x14ac:dyDescent="0.3">
      <c r="B6" s="8" t="s">
        <v>21</v>
      </c>
      <c r="C6" s="9">
        <v>240</v>
      </c>
      <c r="D6" s="9">
        <v>190</v>
      </c>
    </row>
    <row r="7" spans="2:5" ht="21" customHeight="1" x14ac:dyDescent="0.3">
      <c r="B7" s="8" t="s">
        <v>22</v>
      </c>
      <c r="C7" s="9">
        <v>120</v>
      </c>
      <c r="D7" s="9">
        <v>130</v>
      </c>
    </row>
    <row r="8" spans="2:5" ht="21" customHeight="1" x14ac:dyDescent="0.3">
      <c r="B8" s="8" t="s">
        <v>23</v>
      </c>
      <c r="C8" s="9">
        <v>0</v>
      </c>
      <c r="D8" s="9">
        <v>0</v>
      </c>
    </row>
    <row r="9" spans="2:5" ht="21" customHeight="1" x14ac:dyDescent="0.3">
      <c r="B9" s="8" t="s">
        <v>7</v>
      </c>
      <c r="C9" s="9">
        <v>250</v>
      </c>
      <c r="D9" s="9">
        <v>235</v>
      </c>
    </row>
    <row r="10" spans="2:5" ht="21" customHeight="1" x14ac:dyDescent="0.3">
      <c r="B10" s="10" t="s">
        <v>24</v>
      </c>
      <c r="C10" s="11">
        <f>SUBTOTAL(109,Table_CurrentLiabilities[Year 1])</f>
        <v>1040</v>
      </c>
      <c r="D10" s="11">
        <f>SUBTOTAL(109,Table_CurrentLiabilities[Year 2])</f>
        <v>1177</v>
      </c>
    </row>
    <row r="11" spans="2:5" ht="21" customHeight="1" x14ac:dyDescent="0.3">
      <c r="C11" s="12"/>
      <c r="D11" s="12"/>
    </row>
    <row r="12" spans="2:5" ht="21" customHeight="1" x14ac:dyDescent="0.3">
      <c r="B12" s="5" t="s">
        <v>25</v>
      </c>
      <c r="C12" s="13" t="s">
        <v>36</v>
      </c>
      <c r="D12" s="14" t="s">
        <v>37</v>
      </c>
    </row>
    <row r="13" spans="2:5" ht="21" customHeight="1" x14ac:dyDescent="0.3">
      <c r="B13" s="8" t="s">
        <v>26</v>
      </c>
      <c r="C13" s="9">
        <v>1500</v>
      </c>
      <c r="D13" s="9">
        <v>1900</v>
      </c>
    </row>
    <row r="14" spans="2:5" ht="21" customHeight="1" x14ac:dyDescent="0.3">
      <c r="B14" s="10" t="s">
        <v>27</v>
      </c>
      <c r="C14" s="11">
        <f>SUBTOTAL(109,Table_LongTermLiabilities[Year 1])</f>
        <v>1500</v>
      </c>
      <c r="D14" s="11">
        <f>SUBTOTAL(109,Table_LongTermLiabilities[Year 2])</f>
        <v>1900</v>
      </c>
    </row>
    <row r="15" spans="2:5" ht="21" customHeight="1" x14ac:dyDescent="0.3">
      <c r="C15" s="12"/>
      <c r="D15" s="12"/>
    </row>
    <row r="16" spans="2:5" ht="21" customHeight="1" x14ac:dyDescent="0.3">
      <c r="B16" s="5" t="s">
        <v>28</v>
      </c>
      <c r="C16" s="13" t="s">
        <v>36</v>
      </c>
      <c r="D16" s="14" t="s">
        <v>37</v>
      </c>
    </row>
    <row r="17" spans="2:4" ht="21" customHeight="1" x14ac:dyDescent="0.3">
      <c r="B17" s="8" t="s">
        <v>29</v>
      </c>
      <c r="C17" s="9">
        <v>5500</v>
      </c>
      <c r="D17" s="9">
        <v>2500</v>
      </c>
    </row>
    <row r="18" spans="2:4" ht="21" customHeight="1" x14ac:dyDescent="0.3">
      <c r="B18" s="8" t="s">
        <v>30</v>
      </c>
      <c r="C18" s="9">
        <v>500</v>
      </c>
      <c r="D18" s="9">
        <v>650</v>
      </c>
    </row>
    <row r="19" spans="2:4" ht="21" customHeight="1" x14ac:dyDescent="0.3">
      <c r="B19" s="10" t="s">
        <v>31</v>
      </c>
      <c r="C19" s="11">
        <f>SUBTOTAL(109,Table_OwnersEquity[Year 1])</f>
        <v>6000</v>
      </c>
      <c r="D19" s="11">
        <f>SUBTOTAL(109,Table_OwnersEquity[Year 2])</f>
        <v>3150</v>
      </c>
    </row>
  </sheetData>
  <dataValidations disablePrompts="1" count="2">
    <dataValidation allowBlank="1" showInputMessage="1" showErrorMessage="1" prompt="This cell is automatically updated from the Summary tab." sqref="C2:D2"/>
    <dataValidation allowBlank="1" showInputMessage="1" showErrorMessage="1" prompt="Enter Current Liabilities, Long-Term Liabilities, and Owner's Equity details in this tab" sqref="A1"/>
  </dataValidations>
  <printOptions horizontalCentered="1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8C893-941E-4E59-871D-C8899FD1A6B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7A54519-C6C5-46DC-9915-93CBE519EC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F4DDB1-758E-4141-9C96-BD2A23C76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Assets</vt:lpstr>
      <vt:lpstr>Liabilities and Owner's Equity</vt:lpstr>
      <vt:lpstr>Current_Year</vt:lpstr>
      <vt:lpstr>Preceding_Year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2018-08-24T15:21:48Z</dcterms:created>
  <dcterms:modified xsi:type="dcterms:W3CDTF">2023-05-14T15:16:12Z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