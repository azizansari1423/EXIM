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ushabhparekh/Downloads/"/>
    </mc:Choice>
  </mc:AlternateContent>
  <xr:revisionPtr revIDLastSave="0" documentId="13_ncr:1_{E47897A2-9C34-DA4E-9BBB-6A245FC12AF8}" xr6:coauthVersionLast="47" xr6:coauthVersionMax="47" xr10:uidLastSave="{00000000-0000-0000-0000-000000000000}"/>
  <bookViews>
    <workbookView xWindow="0" yWindow="500" windowWidth="28800" windowHeight="16300" activeTab="3" xr2:uid="{00000000-000D-0000-FFFF-FFFF00000000}"/>
  </bookViews>
  <sheets>
    <sheet name="Lead Target by Month EXAMPLE" sheetId="3" r:id="rId1"/>
    <sheet name="Performance Against Plan EXAMPL" sheetId="4" r:id="rId2"/>
    <sheet name="Lead Target by Month CREATE" sheetId="5" r:id="rId3"/>
    <sheet name="Performance Against Plan CREATE" sheetId="6" r:id="rId4"/>
    <sheet name="Actuals" sheetId="7" state="hidden" r:id="rId5"/>
    <sheet name="Data Sources" sheetId="8" state="hidden" r:id="rId6"/>
    <sheet name="Headcount" sheetId="9"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7" l="1"/>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M17" i="6"/>
  <c r="L17" i="6"/>
  <c r="K17" i="6"/>
  <c r="J17" i="6"/>
  <c r="I17" i="6"/>
  <c r="H17" i="6"/>
  <c r="G17" i="6"/>
  <c r="F17" i="6"/>
  <c r="E17" i="6"/>
  <c r="D17" i="6"/>
  <c r="C17" i="6"/>
  <c r="B17" i="6"/>
  <c r="M34" i="5"/>
  <c r="M6" i="6" s="1"/>
  <c r="M25" i="6" s="1"/>
  <c r="L34" i="5"/>
  <c r="L6" i="6" s="1"/>
  <c r="L25" i="6" s="1"/>
  <c r="K34" i="5"/>
  <c r="K6" i="6" s="1"/>
  <c r="K25" i="6" s="1"/>
  <c r="J34" i="5"/>
  <c r="J6" i="6" s="1"/>
  <c r="J25" i="6" s="1"/>
  <c r="I34" i="5"/>
  <c r="I6" i="6" s="1"/>
  <c r="I25" i="6" s="1"/>
  <c r="H34" i="5"/>
  <c r="H6" i="6" s="1"/>
  <c r="H25" i="6" s="1"/>
  <c r="G34" i="5"/>
  <c r="G6" i="6" s="1"/>
  <c r="G25" i="6" s="1"/>
  <c r="F34" i="5"/>
  <c r="F6" i="6" s="1"/>
  <c r="F25" i="6" s="1"/>
  <c r="E34" i="5"/>
  <c r="E6" i="6" s="1"/>
  <c r="E25" i="6" s="1"/>
  <c r="D34" i="5"/>
  <c r="D6" i="6" s="1"/>
  <c r="D25" i="6" s="1"/>
  <c r="C34" i="5"/>
  <c r="C6" i="6" s="1"/>
  <c r="C25" i="6" s="1"/>
  <c r="B34" i="5"/>
  <c r="B6" i="6" s="1"/>
  <c r="B25" i="6" s="1"/>
  <c r="M33" i="5"/>
  <c r="M5" i="6" s="1"/>
  <c r="M24" i="6" s="1"/>
  <c r="L33" i="5"/>
  <c r="L5" i="6" s="1"/>
  <c r="L24" i="6" s="1"/>
  <c r="K33" i="5"/>
  <c r="K5" i="6" s="1"/>
  <c r="K24" i="6" s="1"/>
  <c r="J33" i="5"/>
  <c r="J5" i="6" s="1"/>
  <c r="J24" i="6" s="1"/>
  <c r="I33" i="5"/>
  <c r="I5" i="6" s="1"/>
  <c r="I24" i="6" s="1"/>
  <c r="H33" i="5"/>
  <c r="H5" i="6" s="1"/>
  <c r="H24" i="6" s="1"/>
  <c r="G33" i="5"/>
  <c r="G5" i="6" s="1"/>
  <c r="G24" i="6" s="1"/>
  <c r="F33" i="5"/>
  <c r="F5" i="6" s="1"/>
  <c r="F24" i="6" s="1"/>
  <c r="E33" i="5"/>
  <c r="E5" i="6" s="1"/>
  <c r="E24" i="6" s="1"/>
  <c r="D33" i="5"/>
  <c r="D5" i="6" s="1"/>
  <c r="D24" i="6" s="1"/>
  <c r="C33" i="5"/>
  <c r="C5" i="6" s="1"/>
  <c r="C24" i="6" s="1"/>
  <c r="B33" i="5"/>
  <c r="B5" i="6" s="1"/>
  <c r="B24" i="6" s="1"/>
  <c r="M32" i="5"/>
  <c r="M4" i="6" s="1"/>
  <c r="M23" i="6" s="1"/>
  <c r="L32" i="5"/>
  <c r="L4" i="6" s="1"/>
  <c r="L23" i="6" s="1"/>
  <c r="K32" i="5"/>
  <c r="K4" i="6" s="1"/>
  <c r="K23" i="6" s="1"/>
  <c r="J32" i="5"/>
  <c r="J4" i="6" s="1"/>
  <c r="J23" i="6" s="1"/>
  <c r="I32" i="5"/>
  <c r="I4" i="6" s="1"/>
  <c r="I23" i="6" s="1"/>
  <c r="H32" i="5"/>
  <c r="H4" i="6" s="1"/>
  <c r="H23" i="6" s="1"/>
  <c r="G32" i="5"/>
  <c r="G4" i="6" s="1"/>
  <c r="G23" i="6" s="1"/>
  <c r="F32" i="5"/>
  <c r="F4" i="6" s="1"/>
  <c r="F23" i="6" s="1"/>
  <c r="E32" i="5"/>
  <c r="E4" i="6" s="1"/>
  <c r="E23" i="6" s="1"/>
  <c r="D32" i="5"/>
  <c r="D4" i="6" s="1"/>
  <c r="D23" i="6" s="1"/>
  <c r="C32" i="5"/>
  <c r="C4" i="6" s="1"/>
  <c r="C23" i="6" s="1"/>
  <c r="B32" i="5"/>
  <c r="B4" i="6" s="1"/>
  <c r="B23" i="6" s="1"/>
  <c r="M31" i="5"/>
  <c r="M3" i="6" s="1"/>
  <c r="L31" i="5"/>
  <c r="L3" i="6" s="1"/>
  <c r="K31" i="5"/>
  <c r="K3" i="6" s="1"/>
  <c r="J31" i="5"/>
  <c r="J3" i="6" s="1"/>
  <c r="I31" i="5"/>
  <c r="I3" i="6" s="1"/>
  <c r="H31" i="5"/>
  <c r="H3" i="6" s="1"/>
  <c r="G31" i="5"/>
  <c r="G3" i="6" s="1"/>
  <c r="F31" i="5"/>
  <c r="F3" i="6" s="1"/>
  <c r="E31" i="5"/>
  <c r="E3" i="6" s="1"/>
  <c r="D31" i="5"/>
  <c r="D3" i="6" s="1"/>
  <c r="C31" i="5"/>
  <c r="C3" i="6" s="1"/>
  <c r="B31" i="5"/>
  <c r="B3" i="6" s="1"/>
  <c r="M25" i="4"/>
  <c r="M24" i="4"/>
  <c r="M23" i="4"/>
  <c r="M22" i="4"/>
  <c r="M18" i="4"/>
  <c r="M17" i="4"/>
  <c r="M27" i="4" s="1"/>
  <c r="L17" i="4"/>
  <c r="K17" i="4"/>
  <c r="J17" i="4"/>
  <c r="I17" i="4"/>
  <c r="H17" i="4"/>
  <c r="G17" i="4"/>
  <c r="F17" i="4"/>
  <c r="E17" i="4"/>
  <c r="D17" i="4"/>
  <c r="C17" i="4"/>
  <c r="B17" i="4"/>
  <c r="M8" i="4"/>
  <c r="M34" i="3"/>
  <c r="L34" i="3"/>
  <c r="L6" i="4" s="1"/>
  <c r="L25" i="4" s="1"/>
  <c r="K34" i="3"/>
  <c r="K6" i="4" s="1"/>
  <c r="K25" i="4" s="1"/>
  <c r="J34" i="3"/>
  <c r="J6" i="4" s="1"/>
  <c r="J25" i="4" s="1"/>
  <c r="I34" i="3"/>
  <c r="I6" i="4" s="1"/>
  <c r="I25" i="4" s="1"/>
  <c r="H34" i="3"/>
  <c r="H6" i="4" s="1"/>
  <c r="H25" i="4" s="1"/>
  <c r="G34" i="3"/>
  <c r="G6" i="4" s="1"/>
  <c r="G25" i="4" s="1"/>
  <c r="F34" i="3"/>
  <c r="F6" i="4" s="1"/>
  <c r="F25" i="4" s="1"/>
  <c r="E34" i="3"/>
  <c r="E6" i="4" s="1"/>
  <c r="E25" i="4" s="1"/>
  <c r="D34" i="3"/>
  <c r="D6" i="4" s="1"/>
  <c r="D25" i="4" s="1"/>
  <c r="C34" i="3"/>
  <c r="C6" i="4" s="1"/>
  <c r="C25" i="4" s="1"/>
  <c r="B34" i="3"/>
  <c r="B6" i="4" s="1"/>
  <c r="B25" i="4" s="1"/>
  <c r="M33" i="3"/>
  <c r="L33" i="3"/>
  <c r="L5" i="4" s="1"/>
  <c r="L24" i="4" s="1"/>
  <c r="K33" i="3"/>
  <c r="K5" i="4" s="1"/>
  <c r="K24" i="4" s="1"/>
  <c r="J33" i="3"/>
  <c r="J5" i="4" s="1"/>
  <c r="J24" i="4" s="1"/>
  <c r="I33" i="3"/>
  <c r="I5" i="4" s="1"/>
  <c r="I24" i="4" s="1"/>
  <c r="H33" i="3"/>
  <c r="H5" i="4" s="1"/>
  <c r="H24" i="4" s="1"/>
  <c r="G33" i="3"/>
  <c r="G5" i="4" s="1"/>
  <c r="G24" i="4" s="1"/>
  <c r="F33" i="3"/>
  <c r="F5" i="4" s="1"/>
  <c r="F24" i="4" s="1"/>
  <c r="E33" i="3"/>
  <c r="E5" i="4" s="1"/>
  <c r="E24" i="4" s="1"/>
  <c r="D33" i="3"/>
  <c r="D5" i="4" s="1"/>
  <c r="D24" i="4" s="1"/>
  <c r="C33" i="3"/>
  <c r="C5" i="4" s="1"/>
  <c r="C24" i="4" s="1"/>
  <c r="B33" i="3"/>
  <c r="B5" i="4" s="1"/>
  <c r="B24" i="4" s="1"/>
  <c r="M32" i="3"/>
  <c r="L32" i="3"/>
  <c r="L4" i="4" s="1"/>
  <c r="L23" i="4" s="1"/>
  <c r="K32" i="3"/>
  <c r="K4" i="4" s="1"/>
  <c r="K23" i="4" s="1"/>
  <c r="J32" i="3"/>
  <c r="J4" i="4" s="1"/>
  <c r="J23" i="4" s="1"/>
  <c r="I32" i="3"/>
  <c r="I4" i="4" s="1"/>
  <c r="I23" i="4" s="1"/>
  <c r="H32" i="3"/>
  <c r="H4" i="4" s="1"/>
  <c r="H23" i="4" s="1"/>
  <c r="G32" i="3"/>
  <c r="G4" i="4" s="1"/>
  <c r="G23" i="4" s="1"/>
  <c r="F32" i="3"/>
  <c r="F4" i="4" s="1"/>
  <c r="F23" i="4" s="1"/>
  <c r="E32" i="3"/>
  <c r="E4" i="4" s="1"/>
  <c r="E23" i="4" s="1"/>
  <c r="D32" i="3"/>
  <c r="D4" i="4" s="1"/>
  <c r="D23" i="4" s="1"/>
  <c r="C32" i="3"/>
  <c r="C4" i="4" s="1"/>
  <c r="C23" i="4" s="1"/>
  <c r="B32" i="3"/>
  <c r="B4" i="4" s="1"/>
  <c r="B23" i="4" s="1"/>
  <c r="M31" i="3"/>
  <c r="L31" i="3"/>
  <c r="L3" i="4" s="1"/>
  <c r="K31" i="3"/>
  <c r="K3" i="4" s="1"/>
  <c r="J31" i="3"/>
  <c r="J3" i="4" s="1"/>
  <c r="I31" i="3"/>
  <c r="I3" i="4" s="1"/>
  <c r="H31" i="3"/>
  <c r="H3" i="4" s="1"/>
  <c r="G31" i="3"/>
  <c r="G3" i="4" s="1"/>
  <c r="F31" i="3"/>
  <c r="F3" i="4" s="1"/>
  <c r="E31" i="3"/>
  <c r="E3" i="4" s="1"/>
  <c r="D31" i="3"/>
  <c r="D3" i="4" s="1"/>
  <c r="C31" i="3"/>
  <c r="C3" i="4" s="1"/>
  <c r="B31" i="3"/>
  <c r="B3" i="4" s="1"/>
  <c r="C22" i="4" l="1"/>
  <c r="C18" i="4"/>
  <c r="C8" i="4"/>
  <c r="I22" i="6"/>
  <c r="I18" i="6"/>
  <c r="I8" i="6"/>
  <c r="I27" i="6" s="1"/>
  <c r="G22" i="4"/>
  <c r="G18" i="4"/>
  <c r="G8" i="4"/>
  <c r="H22" i="4"/>
  <c r="H18" i="4"/>
  <c r="H8" i="4"/>
  <c r="G27" i="4"/>
  <c r="K22" i="4"/>
  <c r="K18" i="4"/>
  <c r="K8" i="4"/>
  <c r="M22" i="6"/>
  <c r="M18" i="6"/>
  <c r="M8" i="6"/>
  <c r="M27" i="6" s="1"/>
  <c r="L22" i="4"/>
  <c r="L18" i="4"/>
  <c r="L8" i="4"/>
  <c r="K27" i="4"/>
  <c r="F22" i="6"/>
  <c r="F18" i="6"/>
  <c r="F8" i="6"/>
  <c r="F27" i="6" s="1"/>
  <c r="E22" i="4"/>
  <c r="E18" i="4"/>
  <c r="E8" i="4"/>
  <c r="I22" i="4"/>
  <c r="I18" i="4"/>
  <c r="I8" i="4"/>
  <c r="H27" i="4"/>
  <c r="L27" i="4"/>
  <c r="C22" i="6"/>
  <c r="C18" i="6"/>
  <c r="C8" i="6"/>
  <c r="G22" i="6"/>
  <c r="G18" i="6"/>
  <c r="G8" i="6"/>
  <c r="G27" i="6" s="1"/>
  <c r="K22" i="6"/>
  <c r="K18" i="6"/>
  <c r="K8" i="6"/>
  <c r="C27" i="6"/>
  <c r="K27" i="6"/>
  <c r="E22" i="6"/>
  <c r="E18" i="6"/>
  <c r="E8" i="6"/>
  <c r="E27" i="6" s="1"/>
  <c r="D22" i="4"/>
  <c r="D18" i="4"/>
  <c r="D8" i="4"/>
  <c r="D27" i="4" s="1"/>
  <c r="C27" i="4"/>
  <c r="B22" i="6"/>
  <c r="B18" i="6"/>
  <c r="B8" i="6"/>
  <c r="B27" i="6" s="1"/>
  <c r="J22" i="6"/>
  <c r="J18" i="6"/>
  <c r="J8" i="6"/>
  <c r="J27" i="6" s="1"/>
  <c r="B22" i="4"/>
  <c r="B18" i="4"/>
  <c r="B8" i="4"/>
  <c r="B27" i="4" s="1"/>
  <c r="F22" i="4"/>
  <c r="F18" i="4"/>
  <c r="F8" i="4"/>
  <c r="F27" i="4" s="1"/>
  <c r="J22" i="4"/>
  <c r="J18" i="4"/>
  <c r="J8" i="4"/>
  <c r="J27" i="4" s="1"/>
  <c r="E27" i="4"/>
  <c r="I27" i="4"/>
  <c r="D22" i="6"/>
  <c r="D18" i="6"/>
  <c r="D8" i="6"/>
  <c r="H22" i="6"/>
  <c r="H18" i="6"/>
  <c r="H8" i="6"/>
  <c r="H27" i="6" s="1"/>
  <c r="L22" i="6"/>
  <c r="L18" i="6"/>
  <c r="L8" i="6"/>
  <c r="D27" i="6"/>
  <c r="L27" i="6"/>
</calcChain>
</file>

<file path=xl/sharedStrings.xml><?xml version="1.0" encoding="utf-8"?>
<sst xmlns="http://schemas.openxmlformats.org/spreadsheetml/2006/main" count="654" uniqueCount="120">
  <si>
    <t>Revenue</t>
  </si>
  <si>
    <t>Region</t>
  </si>
  <si>
    <t>Jan</t>
  </si>
  <si>
    <t>Feb</t>
  </si>
  <si>
    <t>Mar</t>
  </si>
  <si>
    <t>Apr</t>
  </si>
  <si>
    <t>May</t>
  </si>
  <si>
    <t>Jun</t>
  </si>
  <si>
    <t>Jul</t>
  </si>
  <si>
    <t>Aug</t>
  </si>
  <si>
    <t>Sep</t>
  </si>
  <si>
    <t>Oct</t>
  </si>
  <si>
    <t>Nov</t>
  </si>
  <si>
    <t>Dec</t>
  </si>
  <si>
    <t xml:space="preserve">Look at the revenue numbers your company needs to hit this year and split this by region and month.                   
            </t>
  </si>
  <si>
    <t>North Am</t>
  </si>
  <si>
    <t>Europe</t>
  </si>
  <si>
    <t>APAC</t>
  </si>
  <si>
    <t>LatAM</t>
  </si>
  <si>
    <t xml:space="preserve"> </t>
  </si>
  <si>
    <t>Average Deal Size</t>
  </si>
  <si>
    <t xml:space="preserve">Look at the average deal size per region and add that to the respective section. This may change during the year to reflect product launches or price changes and should be updated on a regular basis.                 
 </t>
  </si>
  <si>
    <t>% Revenue from Marketing</t>
  </si>
  <si>
    <t xml:space="preserve">Here you have to find the percentage of your revenue that is coming from marketing. Based on your go to market strategy and sales structure, this may be very high (85%+) or between 15-25% if your company has a heavily sales focused legacy.                
                 </t>
  </si>
  <si>
    <t>Lead to Close</t>
  </si>
  <si>
    <t>Look at the average Marketing Qualified Lead to Close rate based on historical data per region. You may want to update this quarterly based on gains on your conversion rates.</t>
  </si>
  <si>
    <t>Target</t>
  </si>
  <si>
    <t xml:space="preserve">Once all of the other fields have been filled out this table calculates the number of leads you need to bring in to successfully hit your revenue goals.  Have a go changing the conversion rates and just see how your lead goals go down or up accordingly. </t>
  </si>
  <si>
    <t xml:space="preserve">These fields will autofull with your targets from the previous tab and calculate your total target per month for all of your segments. </t>
  </si>
  <si>
    <t>Total</t>
  </si>
  <si>
    <t>Actual</t>
  </si>
  <si>
    <t xml:space="preserve">Here is where you will add in your actual qualified lead volume every month. This will allow you to track your progress on a monthly basis and identify volume trends. </t>
  </si>
  <si>
    <t>Total Actual</t>
  </si>
  <si>
    <t xml:space="preserve">Having these two sections together allows you to chart your progress in the charts below. </t>
  </si>
  <si>
    <t>Total Target</t>
  </si>
  <si>
    <t>Performance</t>
  </si>
  <si>
    <t xml:space="preserve">Once all of the other fields have been filled out this table calculates the number of leads you need to bring in to successfully hit your revenue goals. 
                 </t>
  </si>
  <si>
    <t>Monthly Average</t>
  </si>
  <si>
    <t>Segment</t>
  </si>
  <si>
    <t>2015 Quota</t>
  </si>
  <si>
    <t>2015 ASP</t>
  </si>
  <si>
    <t>2015 % of Revenue from MQLs</t>
  </si>
  <si>
    <t>2015 MQLs</t>
  </si>
  <si>
    <t>2015 Deals</t>
  </si>
  <si>
    <t>2015 MQLs per Rep</t>
  </si>
  <si>
    <t>2016 SLA Assumption</t>
  </si>
  <si>
    <t>% Gap (+ / -)</t>
  </si>
  <si>
    <t>2015 Actual per Month</t>
  </si>
  <si>
    <t>YoY Growth</t>
  </si>
  <si>
    <t>EOY 2016 HC</t>
  </si>
  <si>
    <t>UK &amp; I</t>
  </si>
  <si>
    <t>Small Business</t>
  </si>
  <si>
    <t>Mid-Market</t>
  </si>
  <si>
    <t>Corporate</t>
  </si>
  <si>
    <t>Partner</t>
  </si>
  <si>
    <t>Benelux</t>
  </si>
  <si>
    <t>Mary</t>
  </si>
  <si>
    <t>Nordics</t>
  </si>
  <si>
    <t>DACH</t>
  </si>
  <si>
    <t>Direct</t>
  </si>
  <si>
    <t>France</t>
  </si>
  <si>
    <t>Italy</t>
  </si>
  <si>
    <t>Iberia</t>
  </si>
  <si>
    <t>CEE</t>
  </si>
  <si>
    <t>N/A</t>
  </si>
  <si>
    <t>MEA</t>
  </si>
  <si>
    <t>ANZ</t>
  </si>
  <si>
    <t>India</t>
  </si>
  <si>
    <t>SEA</t>
  </si>
  <si>
    <t>Japan</t>
  </si>
  <si>
    <t>Proposed 2016 SLA Assumption</t>
  </si>
  <si>
    <t>https://docs.google.com/spreadsheets/d/1URNXOMWPI-UY7YRD8WLBfzUOEvPsuUCaDAGmJZMAarg/edit#gid=311650072</t>
  </si>
  <si>
    <t>2015 Actuals</t>
  </si>
  <si>
    <t>Spreadsheet I sent you guys through yesterday, except % from SP (SFDC report in comment)</t>
  </si>
  <si>
    <t>EOY 2016 Headcount</t>
  </si>
  <si>
    <t>https://docs.google.com/spreadsheets/d/1PfuaXg7Q099gF-n2DpIACs6fugnxhCdScBzyIoRzOsU/edit#gid=324369679</t>
  </si>
  <si>
    <t>EOY 2016 Capacity</t>
  </si>
  <si>
    <t>YTD YoY MRR Growth</t>
  </si>
  <si>
    <t>EOY 2015</t>
  </si>
  <si>
    <t>EMEA</t>
  </si>
  <si>
    <t>UK &amp; I Small Business</t>
  </si>
  <si>
    <t>UK &amp; I Mid-Market</t>
  </si>
  <si>
    <t>UK &amp; I Corporate</t>
  </si>
  <si>
    <t>UK &amp; I Partner</t>
  </si>
  <si>
    <t>Benelux Mary</t>
  </si>
  <si>
    <t>Benelux Corporate</t>
  </si>
  <si>
    <t>Benelux Partner</t>
  </si>
  <si>
    <t>Nordics Mary</t>
  </si>
  <si>
    <t>Nordics Corporate</t>
  </si>
  <si>
    <t>Nordics Partner</t>
  </si>
  <si>
    <t>DACH Direct</t>
  </si>
  <si>
    <t>DACH Partner</t>
  </si>
  <si>
    <t>France Direct</t>
  </si>
  <si>
    <t>France Partner</t>
  </si>
  <si>
    <t>Iberia Direct</t>
  </si>
  <si>
    <t>Iberia Partner</t>
  </si>
  <si>
    <t>Italy Direct</t>
  </si>
  <si>
    <t>Italy Partner</t>
  </si>
  <si>
    <t>CEE Direct</t>
  </si>
  <si>
    <t>CEE Partner</t>
  </si>
  <si>
    <t>MEA Direct</t>
  </si>
  <si>
    <t>MEA Partner</t>
  </si>
  <si>
    <t>ANZ Direct</t>
  </si>
  <si>
    <t>ANZ Partner</t>
  </si>
  <si>
    <t>SEA Direct</t>
  </si>
  <si>
    <t>SEA Partner</t>
  </si>
  <si>
    <t>India Direct</t>
  </si>
  <si>
    <t>India Partner</t>
  </si>
  <si>
    <t>Japan Direct</t>
  </si>
  <si>
    <t>Japan Partner</t>
  </si>
  <si>
    <t>LATAM</t>
  </si>
  <si>
    <t>LATAM Direct</t>
  </si>
  <si>
    <t>LATAM Partner</t>
  </si>
  <si>
    <t>Brazil</t>
  </si>
  <si>
    <t>Brazil Direct</t>
  </si>
  <si>
    <t>Brazil Partner</t>
  </si>
  <si>
    <t>Farmer</t>
  </si>
  <si>
    <t xml:space="preserve">Farmer </t>
  </si>
  <si>
    <t>Total (excluding attrition)</t>
  </si>
  <si>
    <t>Total (excluding attrition) Total (excluding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</si>
</sst>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quot; &quot;yy"/>
    <numFmt numFmtId="165" formatCode="&quot;$&quot;#,##0"/>
    <numFmt numFmtId="166" formatCode="0.0"/>
    <numFmt numFmtId="167" formatCode="_ [$₹-4009]\ * #,##0.00_ ;_ [$₹-4009]\ * \-#,##0.00_ ;_ [$₹-4009]\ * &quot;-&quot;??_ ;_ @_ "/>
  </numFmts>
  <fonts count="20">
    <font>
      <sz val="10"/>
      <color rgb="FF000000"/>
      <name val="Arial"/>
    </font>
    <font>
      <sz val="10"/>
      <color theme="1"/>
      <name val="Arial"/>
      <family val="2"/>
    </font>
    <font>
      <b/>
      <sz val="10"/>
      <color rgb="FF33475B"/>
      <name val="Avenir"/>
      <family val="2"/>
    </font>
    <font>
      <sz val="10"/>
      <color theme="1"/>
      <name val="Avenir"/>
      <family val="2"/>
    </font>
    <font>
      <b/>
      <sz val="11"/>
      <color rgb="FFFFFFFF"/>
      <name val="Avenir"/>
      <family val="2"/>
    </font>
    <font>
      <b/>
      <sz val="10"/>
      <color rgb="FFFFFFFF"/>
      <name val="Avenir"/>
      <family val="2"/>
    </font>
    <font>
      <sz val="10"/>
      <name val="Arial"/>
      <family val="2"/>
    </font>
    <font>
      <sz val="10"/>
      <name val="Avenir"/>
      <family val="2"/>
    </font>
    <font>
      <sz val="10"/>
      <color rgb="FF33475B"/>
      <name val="Avenir"/>
      <family val="2"/>
    </font>
    <font>
      <sz val="11"/>
      <color rgb="FF33475B"/>
      <name val="Avenir"/>
      <family val="2"/>
    </font>
    <font>
      <b/>
      <sz val="10"/>
      <name val="Avenir"/>
      <family val="2"/>
    </font>
    <font>
      <sz val="10"/>
      <color rgb="FFFFFFFF"/>
      <name val="Avenir"/>
      <family val="2"/>
    </font>
    <font>
      <sz val="10"/>
      <name val="Avenir"/>
      <family val="2"/>
    </font>
    <font>
      <sz val="10"/>
      <color rgb="FF000000"/>
      <name val="Avenir"/>
      <family val="2"/>
    </font>
    <font>
      <sz val="11"/>
      <color rgb="FF000000"/>
      <name val="Calibri"/>
      <family val="2"/>
    </font>
    <font>
      <u/>
      <sz val="10"/>
      <color rgb="FF0000FF"/>
      <name val="Arial"/>
      <family val="2"/>
    </font>
    <font>
      <b/>
      <sz val="10"/>
      <color rgb="FFFFFFFF"/>
      <name val="Arial"/>
      <family val="2"/>
    </font>
    <font>
      <b/>
      <sz val="10"/>
      <color theme="1"/>
      <name val="Arial"/>
      <family val="2"/>
    </font>
    <font>
      <b/>
      <sz val="10"/>
      <color rgb="FFFCE5CD"/>
      <name val="Arial"/>
      <family val="2"/>
    </font>
    <font>
      <sz val="10"/>
      <color rgb="FF000000"/>
      <name val="Arial"/>
      <family val="2"/>
    </font>
  </fonts>
  <fills count="87">
    <fill>
      <patternFill patternType="none"/>
    </fill>
    <fill>
      <patternFill patternType="gray125"/>
    </fill>
    <fill>
      <patternFill patternType="solid">
        <fgColor rgb="FFFFFFFF"/>
        <bgColor rgb="FFFFFFFF"/>
      </patternFill>
    </fill>
    <fill>
      <patternFill patternType="solid">
        <fgColor rgb="FFFF8F59"/>
        <bgColor rgb="FFFF8F59"/>
      </patternFill>
    </fill>
    <fill>
      <patternFill patternType="solid">
        <fgColor rgb="FF7C98B6"/>
        <bgColor rgb="FF7C98B6"/>
      </patternFill>
    </fill>
    <fill>
      <patternFill patternType="solid">
        <fgColor rgb="FFFCE5CD"/>
        <bgColor rgb="FFFCE5CD"/>
      </patternFill>
    </fill>
    <fill>
      <patternFill patternType="solid">
        <fgColor rgb="FF2D3E50"/>
        <bgColor rgb="FF2D3E50"/>
      </patternFill>
    </fill>
    <fill>
      <patternFill patternType="solid">
        <fgColor rgb="FFB6D7A8"/>
        <bgColor rgb="FFB6D7A8"/>
      </patternFill>
    </fill>
    <fill>
      <patternFill patternType="solid">
        <fgColor rgb="FFED7D31"/>
        <bgColor rgb="FFED7D31"/>
      </patternFill>
    </fill>
    <fill>
      <patternFill patternType="solid">
        <fgColor rgb="FFFCE4D6"/>
        <bgColor rgb="FFFCE4D6"/>
      </patternFill>
    </fill>
    <fill>
      <patternFill patternType="solid">
        <fgColor rgb="FFB9D780"/>
        <bgColor rgb="FFB9D780"/>
      </patternFill>
    </fill>
    <fill>
      <patternFill patternType="solid">
        <fgColor rgb="FFFCBF7B"/>
        <bgColor rgb="FFFCBF7B"/>
      </patternFill>
    </fill>
    <fill>
      <patternFill patternType="solid">
        <fgColor rgb="FF63BE7B"/>
        <bgColor rgb="FF63BE7B"/>
      </patternFill>
    </fill>
    <fill>
      <patternFill patternType="solid">
        <fgColor rgb="FFFDCE7E"/>
        <bgColor rgb="FFFDCE7E"/>
      </patternFill>
    </fill>
    <fill>
      <patternFill patternType="solid">
        <fgColor rgb="FFFCC07B"/>
        <bgColor rgb="FFFCC07B"/>
      </patternFill>
    </fill>
    <fill>
      <patternFill patternType="solid">
        <fgColor rgb="FFF8796E"/>
        <bgColor rgb="FFF8796E"/>
      </patternFill>
    </fill>
    <fill>
      <patternFill patternType="solid">
        <fgColor rgb="FFF98370"/>
        <bgColor rgb="FFF98370"/>
      </patternFill>
    </fill>
    <fill>
      <patternFill patternType="solid">
        <fgColor rgb="FF8CCA7E"/>
        <bgColor rgb="FF8CCA7E"/>
      </patternFill>
    </fill>
    <fill>
      <patternFill patternType="solid">
        <fgColor rgb="FFFED980"/>
        <bgColor rgb="FFFED980"/>
      </patternFill>
    </fill>
    <fill>
      <patternFill patternType="solid">
        <fgColor rgb="FFFDCD7E"/>
        <bgColor rgb="FFFDCD7E"/>
      </patternFill>
    </fill>
    <fill>
      <patternFill patternType="solid">
        <fgColor rgb="FFFBA576"/>
        <bgColor rgb="FFFBA576"/>
      </patternFill>
    </fill>
    <fill>
      <patternFill patternType="solid">
        <fgColor rgb="FFD1DE82"/>
        <bgColor rgb="FFD1DE82"/>
      </patternFill>
    </fill>
    <fill>
      <patternFill patternType="solid">
        <fgColor rgb="FFFDEB84"/>
        <bgColor rgb="FFFDEB84"/>
      </patternFill>
    </fill>
    <fill>
      <patternFill patternType="solid">
        <fgColor rgb="FFFBB279"/>
        <bgColor rgb="FFFBB279"/>
      </patternFill>
    </fill>
    <fill>
      <patternFill patternType="solid">
        <fgColor rgb="FFF98C71"/>
        <bgColor rgb="FFF98C71"/>
      </patternFill>
    </fill>
    <fill>
      <patternFill patternType="solid">
        <fgColor rgb="FFFA9B74"/>
        <bgColor rgb="FFFA9B74"/>
      </patternFill>
    </fill>
    <fill>
      <patternFill patternType="solid">
        <fgColor rgb="FFFCBE7B"/>
        <bgColor rgb="FFFCBE7B"/>
      </patternFill>
    </fill>
    <fill>
      <patternFill patternType="solid">
        <fgColor rgb="FFFBAD78"/>
        <bgColor rgb="FFFBAD78"/>
      </patternFill>
    </fill>
    <fill>
      <patternFill patternType="solid">
        <fgColor rgb="FFC0D981"/>
        <bgColor rgb="FFC0D981"/>
      </patternFill>
    </fill>
    <fill>
      <patternFill patternType="solid">
        <fgColor rgb="FFFA9773"/>
        <bgColor rgb="FFFA9773"/>
      </patternFill>
    </fill>
    <fill>
      <patternFill patternType="solid">
        <fgColor rgb="FFFF9900"/>
        <bgColor rgb="FFFF9900"/>
      </patternFill>
    </fill>
    <fill>
      <patternFill patternType="solid">
        <fgColor rgb="FFF5C27D"/>
        <bgColor rgb="FFF5C27D"/>
      </patternFill>
    </fill>
    <fill>
      <patternFill patternType="solid">
        <fgColor rgb="FFFCE8B2"/>
        <bgColor rgb="FFFCE8B2"/>
      </patternFill>
    </fill>
    <fill>
      <patternFill patternType="solid">
        <fgColor rgb="FFF4C7C3"/>
        <bgColor rgb="FFF4C7C3"/>
      </patternFill>
    </fill>
    <fill>
      <patternFill patternType="solid">
        <fgColor rgb="FFF8CF7F"/>
        <bgColor rgb="FFF8CF7F"/>
      </patternFill>
    </fill>
    <fill>
      <patternFill patternType="solid">
        <fgColor rgb="FFEA9176"/>
        <bgColor rgb="FFEA9176"/>
      </patternFill>
    </fill>
    <fill>
      <patternFill patternType="solid">
        <fgColor rgb="FFFCDD82"/>
        <bgColor rgb="FFFCDD82"/>
      </patternFill>
    </fill>
    <fill>
      <patternFill patternType="solid">
        <fgColor rgb="FFE6D983"/>
        <bgColor rgb="FFE6D983"/>
      </patternFill>
    </fill>
    <fill>
      <patternFill patternType="solid">
        <fgColor rgb="FFF8CC7F"/>
        <bgColor rgb="FFF8CC7F"/>
      </patternFill>
    </fill>
    <fill>
      <patternFill patternType="solid">
        <fgColor rgb="FFB7E1CD"/>
        <bgColor rgb="FFB7E1CD"/>
      </patternFill>
    </fill>
    <fill>
      <patternFill patternType="solid">
        <fgColor rgb="FFED9B77"/>
        <bgColor rgb="FFED9B77"/>
      </patternFill>
    </fill>
    <fill>
      <patternFill patternType="solid">
        <fgColor rgb="FFF3DC82"/>
        <bgColor rgb="FFF3DC82"/>
      </patternFill>
    </fill>
    <fill>
      <patternFill patternType="solid">
        <fgColor rgb="FFEFA779"/>
        <bgColor rgb="FFEFA779"/>
      </patternFill>
    </fill>
    <fill>
      <patternFill patternType="solid">
        <fgColor rgb="FFED9C78"/>
        <bgColor rgb="FFED9C78"/>
      </patternFill>
    </fill>
    <fill>
      <patternFill patternType="solid">
        <fgColor rgb="FFE7D983"/>
        <bgColor rgb="FFE7D983"/>
      </patternFill>
    </fill>
    <fill>
      <patternFill patternType="solid">
        <fgColor rgb="FFE0D883"/>
        <bgColor rgb="FFE0D883"/>
      </patternFill>
    </fill>
    <fill>
      <patternFill patternType="solid">
        <fgColor rgb="FFE67C73"/>
        <bgColor rgb="FFE67C73"/>
      </patternFill>
    </fill>
    <fill>
      <patternFill patternType="solid">
        <fgColor rgb="FFF9DD82"/>
        <bgColor rgb="FFF9DD82"/>
      </patternFill>
    </fill>
    <fill>
      <patternFill patternType="solid">
        <fgColor rgb="FFEEA278"/>
        <bgColor rgb="FFEEA278"/>
      </patternFill>
    </fill>
    <fill>
      <patternFill patternType="solid">
        <fgColor rgb="FF57BB8A"/>
        <bgColor rgb="FF57BB8A"/>
      </patternFill>
    </fill>
    <fill>
      <patternFill patternType="solid">
        <fgColor rgb="FFF6DC82"/>
        <bgColor rgb="FFF6DC82"/>
      </patternFill>
    </fill>
    <fill>
      <patternFill patternType="solid">
        <fgColor rgb="FFF7DC82"/>
        <bgColor rgb="FFF7DC82"/>
      </patternFill>
    </fill>
    <fill>
      <patternFill patternType="solid">
        <fgColor rgb="FFEFA579"/>
        <bgColor rgb="FFEFA579"/>
      </patternFill>
    </fill>
    <fill>
      <patternFill patternType="solid">
        <fgColor rgb="FFECDA82"/>
        <bgColor rgb="FFECDA82"/>
      </patternFill>
    </fill>
    <fill>
      <patternFill patternType="solid">
        <fgColor rgb="FFF9D180"/>
        <bgColor rgb="FFF9D180"/>
      </patternFill>
    </fill>
    <fill>
      <patternFill patternType="solid">
        <fgColor rgb="FFFADD82"/>
        <bgColor rgb="FFFADD82"/>
      </patternFill>
    </fill>
    <fill>
      <patternFill patternType="solid">
        <fgColor rgb="FFFAD480"/>
        <bgColor rgb="FFFAD480"/>
      </patternFill>
    </fill>
    <fill>
      <patternFill patternType="solid">
        <fgColor rgb="FFF7CA7F"/>
        <bgColor rgb="FFF7CA7F"/>
      </patternFill>
    </fill>
    <fill>
      <patternFill patternType="solid">
        <fgColor rgb="FFD2D584"/>
        <bgColor rgb="FFD2D584"/>
      </patternFill>
    </fill>
    <fill>
      <patternFill patternType="solid">
        <fgColor rgb="FFF5BF7D"/>
        <bgColor rgb="FFF5BF7D"/>
      </patternFill>
    </fill>
    <fill>
      <patternFill patternType="solid">
        <fgColor rgb="FFEC9777"/>
        <bgColor rgb="FFEC9777"/>
      </patternFill>
    </fill>
    <fill>
      <patternFill patternType="solid">
        <fgColor rgb="FFF8CE7F"/>
        <bgColor rgb="FFF8CE7F"/>
      </patternFill>
    </fill>
    <fill>
      <patternFill patternType="solid">
        <fgColor rgb="FFF1DB82"/>
        <bgColor rgb="FFF1DB82"/>
      </patternFill>
    </fill>
    <fill>
      <patternFill patternType="solid">
        <fgColor rgb="FFEB9476"/>
        <bgColor rgb="FFEB9476"/>
      </patternFill>
    </fill>
    <fill>
      <patternFill patternType="solid">
        <fgColor rgb="FFFBD981"/>
        <bgColor rgb="FFFBD981"/>
      </patternFill>
    </fill>
    <fill>
      <patternFill patternType="solid">
        <fgColor rgb="FFF9D280"/>
        <bgColor rgb="FFF9D280"/>
      </patternFill>
    </fill>
    <fill>
      <patternFill patternType="solid">
        <fgColor rgb="FFF3B87C"/>
        <bgColor rgb="FFF3B87C"/>
      </patternFill>
    </fill>
    <fill>
      <patternFill patternType="solid">
        <fgColor rgb="FFE5D983"/>
        <bgColor rgb="FFE5D983"/>
      </patternFill>
    </fill>
    <fill>
      <patternFill patternType="solid">
        <fgColor rgb="FFDED783"/>
        <bgColor rgb="FFDED783"/>
      </patternFill>
    </fill>
    <fill>
      <patternFill patternType="solid">
        <fgColor rgb="FFF6C37E"/>
        <bgColor rgb="FFF6C37E"/>
      </patternFill>
    </fill>
    <fill>
      <patternFill patternType="solid">
        <fgColor rgb="FF90C787"/>
        <bgColor rgb="FF90C787"/>
      </patternFill>
    </fill>
    <fill>
      <patternFill patternType="solid">
        <fgColor rgb="FFF2DB82"/>
        <bgColor rgb="FFF2DB82"/>
      </patternFill>
    </fill>
    <fill>
      <patternFill patternType="solid">
        <fgColor rgb="FFD8D683"/>
        <bgColor rgb="FFD8D683"/>
      </patternFill>
    </fill>
    <fill>
      <patternFill patternType="solid">
        <fgColor rgb="FF8CC687"/>
        <bgColor rgb="FF8CC687"/>
      </patternFill>
    </fill>
    <fill>
      <patternFill patternType="solid">
        <fgColor rgb="FFF7C87E"/>
        <bgColor rgb="FFF7C87E"/>
      </patternFill>
    </fill>
    <fill>
      <patternFill patternType="solid">
        <fgColor rgb="FFB1CE85"/>
        <bgColor rgb="FFB1CE85"/>
      </patternFill>
    </fill>
    <fill>
      <patternFill patternType="solid">
        <fgColor rgb="FFD1D584"/>
        <bgColor rgb="FFD1D584"/>
      </patternFill>
    </fill>
    <fill>
      <patternFill patternType="solid">
        <fgColor rgb="FFA7CC86"/>
        <bgColor rgb="FFA7CC86"/>
      </patternFill>
    </fill>
    <fill>
      <patternFill patternType="solid">
        <fgColor rgb="FFABCD85"/>
        <bgColor rgb="FFABCD85"/>
      </patternFill>
    </fill>
    <fill>
      <patternFill patternType="solid">
        <fgColor rgb="FFF3B67C"/>
        <bgColor rgb="FFF3B67C"/>
      </patternFill>
    </fill>
    <fill>
      <patternFill patternType="solid">
        <fgColor rgb="FFE88975"/>
        <bgColor rgb="FFE88975"/>
      </patternFill>
    </fill>
    <fill>
      <patternFill patternType="solid">
        <fgColor rgb="FFF2B27B"/>
        <bgColor rgb="FFF2B27B"/>
      </patternFill>
    </fill>
    <fill>
      <patternFill patternType="solid">
        <fgColor rgb="FFF1AD7A"/>
        <bgColor rgb="FFF1AD7A"/>
      </patternFill>
    </fill>
    <fill>
      <patternFill patternType="solid">
        <fgColor rgb="FFAFCE85"/>
        <bgColor rgb="FFAFCE85"/>
      </patternFill>
    </fill>
    <fill>
      <patternFill patternType="solid">
        <fgColor rgb="FFFBDD82"/>
        <bgColor rgb="FFFBDD82"/>
      </patternFill>
    </fill>
    <fill>
      <patternFill patternType="solid">
        <fgColor rgb="FFF5BE7D"/>
        <bgColor rgb="FFF5BE7D"/>
      </patternFill>
    </fill>
    <fill>
      <patternFill patternType="solid">
        <fgColor rgb="FFF4DC82"/>
        <bgColor rgb="FFF4DC82"/>
      </patternFill>
    </fill>
  </fills>
  <borders count="30">
    <border>
      <left/>
      <right/>
      <top/>
      <bottom/>
      <diagonal/>
    </border>
    <border>
      <left/>
      <right/>
      <top/>
      <bottom/>
      <diagonal/>
    </border>
    <border>
      <left/>
      <right/>
      <top style="thin">
        <color rgb="FFEFEFEF"/>
      </top>
      <bottom/>
      <diagonal/>
    </border>
    <border>
      <left/>
      <right/>
      <top style="thin">
        <color rgb="FFEFEFEF"/>
      </top>
      <bottom/>
      <diagonal/>
    </border>
    <border>
      <left/>
      <right style="thin">
        <color rgb="FFEFEFEF"/>
      </right>
      <top style="thin">
        <color rgb="FFEFEFEF"/>
      </top>
      <bottom/>
      <diagonal/>
    </border>
    <border>
      <left/>
      <right/>
      <top/>
      <bottom/>
      <diagonal/>
    </border>
    <border>
      <left/>
      <right style="thin">
        <color rgb="FFEFEFEF"/>
      </right>
      <top/>
      <bottom/>
      <diagonal/>
    </border>
    <border>
      <left/>
      <right/>
      <top/>
      <bottom style="thin">
        <color rgb="FFEFEFEF"/>
      </bottom>
      <diagonal/>
    </border>
    <border>
      <left/>
      <right/>
      <top/>
      <bottom style="thin">
        <color rgb="FFEFEFEF"/>
      </bottom>
      <diagonal/>
    </border>
    <border>
      <left/>
      <right style="thin">
        <color rgb="FFEFEFEF"/>
      </right>
      <top/>
      <bottom style="thin">
        <color rgb="FFEFEFEF"/>
      </bottom>
      <diagonal/>
    </border>
    <border>
      <left style="thin">
        <color rgb="FFEFEFEF"/>
      </left>
      <right/>
      <top style="thin">
        <color rgb="FFEFEFEF"/>
      </top>
      <bottom/>
      <diagonal/>
    </border>
    <border>
      <left style="thin">
        <color rgb="FFEFEFEF"/>
      </left>
      <right/>
      <top/>
      <bottom/>
      <diagonal/>
    </border>
    <border>
      <left style="thin">
        <color rgb="FFEFEFEF"/>
      </left>
      <right/>
      <top/>
      <bottom style="thin">
        <color rgb="FFEFEFEF"/>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1">
    <xf numFmtId="0" fontId="0" fillId="0" borderId="0" xfId="0" applyFont="1" applyAlignment="1"/>
    <xf numFmtId="0" fontId="2" fillId="0" borderId="0" xfId="0" applyFont="1" applyAlignment="1"/>
    <xf numFmtId="0" fontId="3" fillId="0" borderId="0" xfId="0" applyFont="1"/>
    <xf numFmtId="0" fontId="4" fillId="3" borderId="1" xfId="0" applyFont="1" applyFill="1" applyBorder="1"/>
    <xf numFmtId="0" fontId="5" fillId="3" borderId="1" xfId="0" applyFont="1" applyFill="1" applyBorder="1" applyAlignment="1">
      <alignment horizontal="right"/>
    </xf>
    <xf numFmtId="0" fontId="7" fillId="0" borderId="0" xfId="0" applyFont="1" applyAlignment="1">
      <alignment horizontal="left" vertical="center" wrapText="1"/>
    </xf>
    <xf numFmtId="0" fontId="8" fillId="5" borderId="1" xfId="0" applyFont="1" applyFill="1" applyBorder="1"/>
    <xf numFmtId="165" fontId="9" fillId="0" borderId="0" xfId="0" applyNumberFormat="1" applyFont="1" applyAlignment="1">
      <alignment horizontal="right"/>
    </xf>
    <xf numFmtId="0" fontId="10" fillId="0" borderId="0" xfId="0" applyFont="1"/>
    <xf numFmtId="0" fontId="2" fillId="0" borderId="0" xfId="0" applyFont="1"/>
    <xf numFmtId="0" fontId="11" fillId="0" borderId="0" xfId="0" applyFont="1"/>
    <xf numFmtId="9" fontId="9" fillId="0" borderId="0" xfId="0" applyNumberFormat="1" applyFont="1" applyAlignment="1">
      <alignment horizontal="right"/>
    </xf>
    <xf numFmtId="0" fontId="7" fillId="0" borderId="0" xfId="0" applyFont="1"/>
    <xf numFmtId="3" fontId="9" fillId="0" borderId="0" xfId="0" applyNumberFormat="1" applyFont="1" applyAlignment="1">
      <alignment horizontal="right"/>
    </xf>
    <xf numFmtId="164" fontId="5" fillId="2" borderId="1" xfId="0" applyNumberFormat="1" applyFont="1" applyFill="1" applyBorder="1" applyAlignment="1">
      <alignment horizontal="right"/>
    </xf>
    <xf numFmtId="0" fontId="5" fillId="2" borderId="1" xfId="0" applyFont="1" applyFill="1" applyBorder="1" applyAlignment="1">
      <alignment horizontal="center" vertical="center" wrapText="1"/>
    </xf>
    <xf numFmtId="0" fontId="7" fillId="2" borderId="1" xfId="0" applyFont="1" applyFill="1" applyBorder="1"/>
    <xf numFmtId="0" fontId="8" fillId="0" borderId="0" xfId="0" applyFont="1"/>
    <xf numFmtId="3" fontId="7" fillId="0" borderId="0" xfId="0" applyNumberFormat="1" applyFont="1"/>
    <xf numFmtId="0" fontId="12" fillId="0" borderId="0" xfId="0" applyFont="1"/>
    <xf numFmtId="0" fontId="5" fillId="6" borderId="1" xfId="0" applyFont="1" applyFill="1" applyBorder="1"/>
    <xf numFmtId="3" fontId="5" fillId="6" borderId="1" xfId="0" applyNumberFormat="1" applyFont="1" applyFill="1" applyBorder="1"/>
    <xf numFmtId="0" fontId="13" fillId="0" borderId="0" xfId="0" applyFont="1"/>
    <xf numFmtId="164" fontId="7" fillId="0" borderId="0" xfId="0" applyNumberFormat="1" applyFont="1"/>
    <xf numFmtId="9" fontId="8" fillId="7" borderId="1" xfId="0" applyNumberFormat="1" applyFont="1" applyFill="1" applyBorder="1"/>
    <xf numFmtId="9" fontId="5" fillId="6" borderId="1" xfId="0" applyNumberFormat="1" applyFont="1" applyFill="1" applyBorder="1"/>
    <xf numFmtId="0" fontId="5" fillId="3" borderId="13" xfId="0" applyFont="1" applyFill="1" applyBorder="1" applyAlignment="1">
      <alignment horizontal="right"/>
    </xf>
    <xf numFmtId="3" fontId="8" fillId="0" borderId="0" xfId="0" applyNumberFormat="1" applyFont="1"/>
    <xf numFmtId="0" fontId="14" fillId="8" borderId="14" xfId="0" applyFont="1" applyFill="1" applyBorder="1"/>
    <xf numFmtId="0" fontId="14" fillId="8" borderId="15" xfId="0" applyFont="1" applyFill="1" applyBorder="1"/>
    <xf numFmtId="0" fontId="14" fillId="8" borderId="16" xfId="0" applyFont="1" applyFill="1" applyBorder="1"/>
    <xf numFmtId="0" fontId="14" fillId="2" borderId="1" xfId="0" applyFont="1" applyFill="1" applyBorder="1"/>
    <xf numFmtId="0" fontId="14" fillId="8" borderId="17" xfId="0" applyFont="1" applyFill="1" applyBorder="1"/>
    <xf numFmtId="0" fontId="14" fillId="9" borderId="18" xfId="0" applyFont="1" applyFill="1" applyBorder="1"/>
    <xf numFmtId="0" fontId="14" fillId="9" borderId="19" xfId="0" applyFont="1" applyFill="1" applyBorder="1"/>
    <xf numFmtId="0" fontId="14" fillId="0" borderId="0" xfId="0" applyFont="1" applyAlignment="1">
      <alignment horizontal="right"/>
    </xf>
    <xf numFmtId="165" fontId="14" fillId="0" borderId="0" xfId="0" applyNumberFormat="1" applyFont="1" applyAlignment="1">
      <alignment horizontal="right"/>
    </xf>
    <xf numFmtId="9" fontId="14" fillId="0" borderId="20" xfId="0" applyNumberFormat="1" applyFont="1" applyBorder="1" applyAlignment="1">
      <alignment horizontal="right"/>
    </xf>
    <xf numFmtId="0" fontId="14" fillId="0" borderId="21" xfId="0" applyFont="1" applyBorder="1" applyAlignment="1">
      <alignment horizontal="right"/>
    </xf>
    <xf numFmtId="0" fontId="14" fillId="0" borderId="20" xfId="0" applyFont="1" applyBorder="1" applyAlignment="1">
      <alignment horizontal="right"/>
    </xf>
    <xf numFmtId="0" fontId="14" fillId="0" borderId="22" xfId="0" applyFont="1" applyBorder="1" applyAlignment="1">
      <alignment horizontal="right"/>
    </xf>
    <xf numFmtId="9" fontId="14" fillId="10" borderId="23" xfId="0" applyNumberFormat="1" applyFont="1" applyFill="1" applyBorder="1" applyAlignment="1">
      <alignment horizontal="right"/>
    </xf>
    <xf numFmtId="0" fontId="14" fillId="0" borderId="22" xfId="0" applyFont="1" applyBorder="1"/>
    <xf numFmtId="9" fontId="14" fillId="11" borderId="23" xfId="0" applyNumberFormat="1" applyFont="1" applyFill="1" applyBorder="1" applyAlignment="1">
      <alignment horizontal="right"/>
    </xf>
    <xf numFmtId="9" fontId="14" fillId="12" borderId="23" xfId="0" applyNumberFormat="1" applyFont="1" applyFill="1" applyBorder="1" applyAlignment="1">
      <alignment horizontal="right"/>
    </xf>
    <xf numFmtId="9" fontId="14" fillId="13" borderId="23" xfId="0" applyNumberFormat="1" applyFont="1" applyFill="1" applyBorder="1" applyAlignment="1">
      <alignment horizontal="right"/>
    </xf>
    <xf numFmtId="9" fontId="14" fillId="14" borderId="23" xfId="0" applyNumberFormat="1" applyFont="1" applyFill="1" applyBorder="1" applyAlignment="1">
      <alignment horizontal="right"/>
    </xf>
    <xf numFmtId="9" fontId="14" fillId="15" borderId="23" xfId="0" applyNumberFormat="1" applyFont="1" applyFill="1" applyBorder="1" applyAlignment="1">
      <alignment horizontal="right"/>
    </xf>
    <xf numFmtId="9" fontId="14" fillId="16" borderId="23" xfId="0" applyNumberFormat="1" applyFont="1" applyFill="1" applyBorder="1" applyAlignment="1">
      <alignment horizontal="right"/>
    </xf>
    <xf numFmtId="9" fontId="14" fillId="17" borderId="23" xfId="0" applyNumberFormat="1" applyFont="1" applyFill="1" applyBorder="1" applyAlignment="1">
      <alignment horizontal="right"/>
    </xf>
    <xf numFmtId="9" fontId="14" fillId="18" borderId="23" xfId="0" applyNumberFormat="1" applyFont="1" applyFill="1" applyBorder="1" applyAlignment="1">
      <alignment horizontal="right"/>
    </xf>
    <xf numFmtId="9" fontId="14" fillId="19" borderId="23" xfId="0" applyNumberFormat="1" applyFont="1" applyFill="1" applyBorder="1" applyAlignment="1">
      <alignment horizontal="right"/>
    </xf>
    <xf numFmtId="9" fontId="14" fillId="20" borderId="23" xfId="0" applyNumberFormat="1" applyFont="1" applyFill="1" applyBorder="1" applyAlignment="1">
      <alignment horizontal="right"/>
    </xf>
    <xf numFmtId="9" fontId="14" fillId="21" borderId="23" xfId="0" applyNumberFormat="1" applyFont="1" applyFill="1" applyBorder="1" applyAlignment="1">
      <alignment horizontal="right"/>
    </xf>
    <xf numFmtId="9" fontId="14" fillId="22" borderId="23" xfId="0" applyNumberFormat="1" applyFont="1" applyFill="1" applyBorder="1" applyAlignment="1">
      <alignment horizontal="right"/>
    </xf>
    <xf numFmtId="9" fontId="14" fillId="23" borderId="23" xfId="0" applyNumberFormat="1" applyFont="1" applyFill="1" applyBorder="1" applyAlignment="1">
      <alignment horizontal="right"/>
    </xf>
    <xf numFmtId="9" fontId="14" fillId="24" borderId="23" xfId="0" applyNumberFormat="1" applyFont="1" applyFill="1" applyBorder="1" applyAlignment="1">
      <alignment horizontal="right"/>
    </xf>
    <xf numFmtId="9" fontId="14" fillId="25" borderId="23" xfId="0" applyNumberFormat="1" applyFont="1" applyFill="1" applyBorder="1" applyAlignment="1">
      <alignment horizontal="right"/>
    </xf>
    <xf numFmtId="9" fontId="14" fillId="26" borderId="23" xfId="0" applyNumberFormat="1" applyFont="1" applyFill="1" applyBorder="1" applyAlignment="1">
      <alignment horizontal="right"/>
    </xf>
    <xf numFmtId="9" fontId="14" fillId="27" borderId="23" xfId="0" applyNumberFormat="1" applyFont="1" applyFill="1" applyBorder="1" applyAlignment="1">
      <alignment horizontal="right"/>
    </xf>
    <xf numFmtId="9" fontId="14" fillId="28" borderId="23" xfId="0" applyNumberFormat="1" applyFont="1" applyFill="1" applyBorder="1" applyAlignment="1">
      <alignment horizontal="right"/>
    </xf>
    <xf numFmtId="9" fontId="14" fillId="29" borderId="23" xfId="0" applyNumberFormat="1" applyFont="1" applyFill="1" applyBorder="1" applyAlignment="1">
      <alignment horizontal="right"/>
    </xf>
    <xf numFmtId="0" fontId="14" fillId="9" borderId="24" xfId="0" applyFont="1" applyFill="1" applyBorder="1"/>
    <xf numFmtId="0" fontId="14" fillId="9" borderId="25" xfId="0" applyFont="1" applyFill="1" applyBorder="1"/>
    <xf numFmtId="0" fontId="14" fillId="0" borderId="26" xfId="0" applyFont="1" applyBorder="1" applyAlignment="1">
      <alignment horizontal="right"/>
    </xf>
    <xf numFmtId="165" fontId="14" fillId="0" borderId="26" xfId="0" applyNumberFormat="1" applyFont="1" applyBorder="1" applyAlignment="1">
      <alignment horizontal="right"/>
    </xf>
    <xf numFmtId="9" fontId="14" fillId="0" borderId="27" xfId="0" applyNumberFormat="1" applyFont="1" applyBorder="1" applyAlignment="1">
      <alignment horizontal="right"/>
    </xf>
    <xf numFmtId="0" fontId="14" fillId="0" borderId="28" xfId="0" applyFont="1" applyBorder="1" applyAlignment="1">
      <alignment horizontal="right"/>
    </xf>
    <xf numFmtId="0" fontId="14" fillId="0" borderId="27" xfId="0" applyFont="1" applyBorder="1" applyAlignment="1">
      <alignment horizontal="right"/>
    </xf>
    <xf numFmtId="0" fontId="14" fillId="0" borderId="29" xfId="0" applyFont="1" applyBorder="1" applyAlignment="1">
      <alignment horizontal="right"/>
    </xf>
    <xf numFmtId="0" fontId="14" fillId="0" borderId="29" xfId="0" applyFont="1" applyBorder="1"/>
    <xf numFmtId="0" fontId="1" fillId="0" borderId="0" xfId="0" applyFont="1"/>
    <xf numFmtId="0" fontId="15" fillId="0" borderId="0" xfId="0" applyFont="1"/>
    <xf numFmtId="0" fontId="16" fillId="30" borderId="1" xfId="0" applyFont="1" applyFill="1" applyBorder="1" applyAlignment="1">
      <alignment wrapText="1"/>
    </xf>
    <xf numFmtId="0" fontId="16" fillId="30" borderId="1" xfId="0" applyFont="1" applyFill="1" applyBorder="1"/>
    <xf numFmtId="14" fontId="16" fillId="30" borderId="1" xfId="0" applyNumberFormat="1" applyFont="1" applyFill="1" applyBorder="1" applyAlignment="1">
      <alignment horizontal="right"/>
    </xf>
    <xf numFmtId="0" fontId="1" fillId="5" borderId="1" xfId="0" applyFont="1" applyFill="1" applyBorder="1"/>
    <xf numFmtId="4" fontId="1" fillId="31" borderId="1" xfId="0" applyNumberFormat="1" applyFont="1" applyFill="1" applyBorder="1" applyAlignment="1">
      <alignment horizontal="right"/>
    </xf>
    <xf numFmtId="0" fontId="1" fillId="2" borderId="1" xfId="0" applyFont="1" applyFill="1" applyBorder="1"/>
    <xf numFmtId="0" fontId="1" fillId="0" borderId="0" xfId="0" applyFont="1" applyAlignment="1">
      <alignment horizontal="right"/>
    </xf>
    <xf numFmtId="0" fontId="1" fillId="32" borderId="1" xfId="0" applyFont="1" applyFill="1" applyBorder="1" applyAlignment="1">
      <alignment horizontal="right"/>
    </xf>
    <xf numFmtId="0" fontId="1" fillId="33" borderId="1" xfId="0" applyFont="1" applyFill="1" applyBorder="1" applyAlignment="1">
      <alignment horizontal="right"/>
    </xf>
    <xf numFmtId="4" fontId="1" fillId="34" borderId="1" xfId="0" applyNumberFormat="1" applyFont="1" applyFill="1" applyBorder="1" applyAlignment="1">
      <alignment horizontal="right"/>
    </xf>
    <xf numFmtId="4" fontId="1" fillId="35" borderId="1" xfId="0" applyNumberFormat="1" applyFont="1" applyFill="1" applyBorder="1" applyAlignment="1">
      <alignment horizontal="right"/>
    </xf>
    <xf numFmtId="9" fontId="1" fillId="36" borderId="1" xfId="0" applyNumberFormat="1" applyFont="1" applyFill="1" applyBorder="1" applyAlignment="1">
      <alignment horizontal="right"/>
    </xf>
    <xf numFmtId="4" fontId="1" fillId="37" borderId="1" xfId="0" applyNumberFormat="1" applyFont="1" applyFill="1" applyBorder="1" applyAlignment="1">
      <alignment horizontal="right"/>
    </xf>
    <xf numFmtId="9" fontId="1" fillId="38" borderId="1" xfId="0" applyNumberFormat="1" applyFont="1" applyFill="1" applyBorder="1" applyAlignment="1">
      <alignment horizontal="right"/>
    </xf>
    <xf numFmtId="0" fontId="1" fillId="39" borderId="1" xfId="0" applyFont="1" applyFill="1" applyBorder="1" applyAlignment="1">
      <alignment horizontal="right"/>
    </xf>
    <xf numFmtId="4" fontId="1" fillId="40" borderId="1" xfId="0" applyNumberFormat="1" applyFont="1" applyFill="1" applyBorder="1" applyAlignment="1">
      <alignment horizontal="right"/>
    </xf>
    <xf numFmtId="9" fontId="1" fillId="41" borderId="1" xfId="0" applyNumberFormat="1" applyFont="1" applyFill="1" applyBorder="1" applyAlignment="1">
      <alignment horizontal="right"/>
    </xf>
    <xf numFmtId="4" fontId="1" fillId="42" borderId="1" xfId="0" applyNumberFormat="1" applyFont="1" applyFill="1" applyBorder="1" applyAlignment="1">
      <alignment horizontal="right"/>
    </xf>
    <xf numFmtId="9" fontId="1" fillId="43" borderId="1" xfId="0" applyNumberFormat="1" applyFont="1" applyFill="1" applyBorder="1" applyAlignment="1">
      <alignment horizontal="right"/>
    </xf>
    <xf numFmtId="4" fontId="1" fillId="44" borderId="1" xfId="0" applyNumberFormat="1" applyFont="1" applyFill="1" applyBorder="1" applyAlignment="1">
      <alignment horizontal="right"/>
    </xf>
    <xf numFmtId="9" fontId="1" fillId="45" borderId="1" xfId="0" applyNumberFormat="1" applyFont="1" applyFill="1" applyBorder="1" applyAlignment="1">
      <alignment horizontal="right"/>
    </xf>
    <xf numFmtId="4" fontId="1" fillId="46" borderId="1" xfId="0" applyNumberFormat="1" applyFont="1" applyFill="1" applyBorder="1" applyAlignment="1">
      <alignment horizontal="right"/>
    </xf>
    <xf numFmtId="9" fontId="1" fillId="47" borderId="1" xfId="0" applyNumberFormat="1" applyFont="1" applyFill="1" applyBorder="1" applyAlignment="1">
      <alignment horizontal="right"/>
    </xf>
    <xf numFmtId="4" fontId="1" fillId="48" borderId="1" xfId="0" applyNumberFormat="1" applyFont="1" applyFill="1" applyBorder="1" applyAlignment="1">
      <alignment horizontal="right"/>
    </xf>
    <xf numFmtId="9" fontId="1" fillId="49" borderId="1" xfId="0" applyNumberFormat="1" applyFont="1" applyFill="1" applyBorder="1" applyAlignment="1">
      <alignment horizontal="right"/>
    </xf>
    <xf numFmtId="4" fontId="1" fillId="50" borderId="1" xfId="0" applyNumberFormat="1" applyFont="1" applyFill="1" applyBorder="1" applyAlignment="1">
      <alignment horizontal="right"/>
    </xf>
    <xf numFmtId="9" fontId="1" fillId="51" borderId="1" xfId="0" applyNumberFormat="1" applyFont="1" applyFill="1" applyBorder="1" applyAlignment="1">
      <alignment horizontal="right"/>
    </xf>
    <xf numFmtId="4" fontId="1" fillId="52" borderId="1" xfId="0" applyNumberFormat="1" applyFont="1" applyFill="1" applyBorder="1" applyAlignment="1">
      <alignment horizontal="right"/>
    </xf>
    <xf numFmtId="4" fontId="1" fillId="53" borderId="1" xfId="0" applyNumberFormat="1" applyFont="1" applyFill="1" applyBorder="1" applyAlignment="1">
      <alignment horizontal="right"/>
    </xf>
    <xf numFmtId="9" fontId="1" fillId="54" borderId="1" xfId="0" applyNumberFormat="1" applyFont="1" applyFill="1" applyBorder="1" applyAlignment="1">
      <alignment horizontal="right"/>
    </xf>
    <xf numFmtId="4" fontId="1" fillId="55" borderId="1" xfId="0" applyNumberFormat="1" applyFont="1" applyFill="1" applyBorder="1" applyAlignment="1">
      <alignment horizontal="right"/>
    </xf>
    <xf numFmtId="9" fontId="1" fillId="56" borderId="1" xfId="0" applyNumberFormat="1" applyFont="1" applyFill="1" applyBorder="1" applyAlignment="1">
      <alignment horizontal="right"/>
    </xf>
    <xf numFmtId="4" fontId="1" fillId="57" borderId="1" xfId="0" applyNumberFormat="1" applyFont="1" applyFill="1" applyBorder="1" applyAlignment="1">
      <alignment horizontal="right"/>
    </xf>
    <xf numFmtId="9" fontId="1" fillId="58" borderId="1" xfId="0" applyNumberFormat="1" applyFont="1" applyFill="1" applyBorder="1" applyAlignment="1">
      <alignment horizontal="right"/>
    </xf>
    <xf numFmtId="4" fontId="1" fillId="59" borderId="1" xfId="0" applyNumberFormat="1" applyFont="1" applyFill="1" applyBorder="1" applyAlignment="1">
      <alignment horizontal="right"/>
    </xf>
    <xf numFmtId="9" fontId="1" fillId="60" borderId="1" xfId="0" applyNumberFormat="1" applyFont="1" applyFill="1" applyBorder="1" applyAlignment="1">
      <alignment horizontal="right"/>
    </xf>
    <xf numFmtId="4" fontId="1" fillId="61" borderId="1" xfId="0" applyNumberFormat="1" applyFont="1" applyFill="1" applyBorder="1" applyAlignment="1">
      <alignment horizontal="right"/>
    </xf>
    <xf numFmtId="9" fontId="1" fillId="62" borderId="1" xfId="0" applyNumberFormat="1" applyFont="1" applyFill="1" applyBorder="1" applyAlignment="1">
      <alignment horizontal="right"/>
    </xf>
    <xf numFmtId="9" fontId="1" fillId="63" borderId="1" xfId="0" applyNumberFormat="1" applyFont="1" applyFill="1" applyBorder="1" applyAlignment="1">
      <alignment horizontal="right"/>
    </xf>
    <xf numFmtId="4" fontId="1" fillId="64" borderId="1" xfId="0" applyNumberFormat="1" applyFont="1" applyFill="1" applyBorder="1" applyAlignment="1">
      <alignment horizontal="right"/>
    </xf>
    <xf numFmtId="4" fontId="1" fillId="65" borderId="1" xfId="0" applyNumberFormat="1" applyFont="1" applyFill="1" applyBorder="1" applyAlignment="1">
      <alignment horizontal="right"/>
    </xf>
    <xf numFmtId="9" fontId="1" fillId="55" borderId="1" xfId="0" applyNumberFormat="1" applyFont="1" applyFill="1" applyBorder="1" applyAlignment="1">
      <alignment horizontal="right"/>
    </xf>
    <xf numFmtId="4" fontId="1" fillId="66" borderId="1" xfId="0" applyNumberFormat="1" applyFont="1" applyFill="1" applyBorder="1" applyAlignment="1">
      <alignment horizontal="right"/>
    </xf>
    <xf numFmtId="4" fontId="1" fillId="67" borderId="1" xfId="0" applyNumberFormat="1" applyFont="1" applyFill="1" applyBorder="1" applyAlignment="1">
      <alignment horizontal="right"/>
    </xf>
    <xf numFmtId="4" fontId="1" fillId="68" borderId="1" xfId="0" applyNumberFormat="1" applyFont="1" applyFill="1" applyBorder="1" applyAlignment="1">
      <alignment horizontal="right"/>
    </xf>
    <xf numFmtId="9" fontId="1" fillId="69" borderId="1" xfId="0" applyNumberFormat="1" applyFont="1" applyFill="1" applyBorder="1" applyAlignment="1">
      <alignment horizontal="right"/>
    </xf>
    <xf numFmtId="4" fontId="1" fillId="70" borderId="1" xfId="0" applyNumberFormat="1" applyFont="1" applyFill="1" applyBorder="1" applyAlignment="1">
      <alignment horizontal="right"/>
    </xf>
    <xf numFmtId="4" fontId="1" fillId="71" borderId="1" xfId="0" applyNumberFormat="1" applyFont="1" applyFill="1" applyBorder="1" applyAlignment="1">
      <alignment horizontal="right"/>
    </xf>
    <xf numFmtId="9" fontId="1" fillId="72" borderId="1" xfId="0" applyNumberFormat="1" applyFont="1" applyFill="1" applyBorder="1" applyAlignment="1">
      <alignment horizontal="right"/>
    </xf>
    <xf numFmtId="4" fontId="1" fillId="73" borderId="1" xfId="0" applyNumberFormat="1" applyFont="1" applyFill="1" applyBorder="1" applyAlignment="1">
      <alignment horizontal="right"/>
    </xf>
    <xf numFmtId="9" fontId="1" fillId="74" borderId="1" xfId="0" applyNumberFormat="1" applyFont="1" applyFill="1" applyBorder="1" applyAlignment="1">
      <alignment horizontal="right"/>
    </xf>
    <xf numFmtId="4" fontId="1" fillId="75" borderId="1" xfId="0" applyNumberFormat="1" applyFont="1" applyFill="1" applyBorder="1" applyAlignment="1">
      <alignment horizontal="right"/>
    </xf>
    <xf numFmtId="9" fontId="1" fillId="76" borderId="1" xfId="0" applyNumberFormat="1" applyFont="1" applyFill="1" applyBorder="1" applyAlignment="1">
      <alignment horizontal="right"/>
    </xf>
    <xf numFmtId="4" fontId="1" fillId="51" borderId="1" xfId="0" applyNumberFormat="1" applyFont="1" applyFill="1" applyBorder="1" applyAlignment="1">
      <alignment horizontal="right"/>
    </xf>
    <xf numFmtId="9" fontId="1" fillId="77" borderId="1" xfId="0" applyNumberFormat="1" applyFont="1" applyFill="1" applyBorder="1" applyAlignment="1">
      <alignment horizontal="right"/>
    </xf>
    <xf numFmtId="9" fontId="1" fillId="78" borderId="1" xfId="0" applyNumberFormat="1" applyFont="1" applyFill="1" applyBorder="1" applyAlignment="1">
      <alignment horizontal="right"/>
    </xf>
    <xf numFmtId="4" fontId="1" fillId="79" borderId="1" xfId="0" applyNumberFormat="1" applyFont="1" applyFill="1" applyBorder="1" applyAlignment="1">
      <alignment horizontal="right"/>
    </xf>
    <xf numFmtId="9" fontId="1" fillId="80" borderId="1" xfId="0" applyNumberFormat="1" applyFont="1" applyFill="1" applyBorder="1" applyAlignment="1">
      <alignment horizontal="right"/>
    </xf>
    <xf numFmtId="4" fontId="1" fillId="81" borderId="1" xfId="0" applyNumberFormat="1" applyFont="1" applyFill="1" applyBorder="1" applyAlignment="1">
      <alignment horizontal="right"/>
    </xf>
    <xf numFmtId="9" fontId="1" fillId="82" borderId="1" xfId="0" applyNumberFormat="1" applyFont="1" applyFill="1" applyBorder="1" applyAlignment="1">
      <alignment horizontal="right"/>
    </xf>
    <xf numFmtId="4" fontId="1" fillId="83" borderId="1" xfId="0" applyNumberFormat="1" applyFont="1" applyFill="1" applyBorder="1" applyAlignment="1">
      <alignment horizontal="right"/>
    </xf>
    <xf numFmtId="9" fontId="1" fillId="84" borderId="1" xfId="0" applyNumberFormat="1" applyFont="1" applyFill="1" applyBorder="1" applyAlignment="1">
      <alignment horizontal="right"/>
    </xf>
    <xf numFmtId="4" fontId="1" fillId="85" borderId="1" xfId="0" applyNumberFormat="1" applyFont="1" applyFill="1" applyBorder="1" applyAlignment="1">
      <alignment horizontal="right"/>
    </xf>
    <xf numFmtId="4" fontId="1" fillId="38" borderId="1" xfId="0" applyNumberFormat="1" applyFont="1" applyFill="1" applyBorder="1" applyAlignment="1">
      <alignment horizontal="right"/>
    </xf>
    <xf numFmtId="9" fontId="1" fillId="34" borderId="1" xfId="0" applyNumberFormat="1" applyFont="1" applyFill="1" applyBorder="1" applyAlignment="1">
      <alignment horizontal="right"/>
    </xf>
    <xf numFmtId="4" fontId="1" fillId="86" borderId="1" xfId="0" applyNumberFormat="1" applyFont="1" applyFill="1" applyBorder="1" applyAlignment="1">
      <alignment horizontal="right"/>
    </xf>
    <xf numFmtId="9" fontId="1" fillId="81" borderId="1" xfId="0" applyNumberFormat="1" applyFont="1" applyFill="1" applyBorder="1" applyAlignment="1">
      <alignment horizontal="right"/>
    </xf>
    <xf numFmtId="4" fontId="1" fillId="2" borderId="1" xfId="0" applyNumberFormat="1" applyFont="1" applyFill="1" applyBorder="1"/>
    <xf numFmtId="0" fontId="17" fillId="5" borderId="1" xfId="0" applyFont="1" applyFill="1" applyBorder="1"/>
    <xf numFmtId="0" fontId="18" fillId="5" borderId="1" xfId="0" applyFont="1" applyFill="1" applyBorder="1"/>
    <xf numFmtId="166" fontId="17" fillId="0" borderId="0" xfId="0" applyNumberFormat="1" applyFont="1" applyAlignment="1">
      <alignment horizontal="right"/>
    </xf>
    <xf numFmtId="0" fontId="17" fillId="0" borderId="0" xfId="0" applyFont="1"/>
    <xf numFmtId="0" fontId="17" fillId="0" borderId="0" xfId="0" applyFont="1" applyAlignment="1">
      <alignment horizontal="right"/>
    </xf>
    <xf numFmtId="164" fontId="11" fillId="4" borderId="2" xfId="0" applyNumberFormat="1" applyFont="1" applyFill="1" applyBorder="1" applyAlignment="1">
      <alignment horizontal="center" vertical="center" wrapText="1"/>
    </xf>
    <xf numFmtId="0" fontId="6" fillId="0" borderId="3" xfId="0" applyFont="1" applyBorder="1"/>
    <xf numFmtId="0" fontId="6" fillId="0" borderId="4" xfId="0" applyFont="1" applyBorder="1"/>
    <xf numFmtId="0" fontId="6" fillId="0" borderId="5" xfId="0" applyFont="1" applyBorder="1"/>
    <xf numFmtId="0" fontId="19" fillId="0" borderId="0" xfId="0" applyFont="1" applyAlignment="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top" wrapText="1"/>
    </xf>
    <xf numFmtId="0" fontId="11" fillId="4" borderId="10" xfId="0" applyFont="1" applyFill="1" applyBorder="1" applyAlignment="1">
      <alignment horizontal="center" vertical="center" wrapText="1"/>
    </xf>
    <xf numFmtId="0" fontId="6" fillId="0" borderId="11" xfId="0" applyFont="1" applyBorder="1"/>
    <xf numFmtId="0" fontId="6" fillId="0" borderId="12" xfId="0" applyFont="1" applyBorder="1"/>
    <xf numFmtId="167" fontId="9"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chemeClr val="dk1"/>
                </a:solidFill>
                <a:latin typeface="+mn-lt"/>
              </a:defRPr>
            </a:pPr>
            <a:r>
              <a:rPr lang="en-US" sz="1400" b="0" i="0">
                <a:solidFill>
                  <a:schemeClr val="dk1"/>
                </a:solidFill>
                <a:latin typeface="+mn-lt"/>
              </a:rPr>
              <a:t>Total: Performance to Target Monthly</a:t>
            </a:r>
          </a:p>
        </c:rich>
      </c:tx>
      <c:overlay val="0"/>
    </c:title>
    <c:autoTitleDeleted val="0"/>
    <c:plotArea>
      <c:layout/>
      <c:lineChart>
        <c:grouping val="standard"/>
        <c:varyColors val="0"/>
        <c:ser>
          <c:idx val="0"/>
          <c:order val="0"/>
          <c:tx>
            <c:v>Monthly Average</c:v>
          </c:tx>
          <c:spPr>
            <a:ln w="19050" cmpd="sng">
              <a:solidFill>
                <a:schemeClr val="accent1"/>
              </a:solidFill>
            </a:ln>
          </c:spPr>
          <c:marker>
            <c:symbol val="circle"/>
            <c:size val="17"/>
            <c:spPr>
              <a:solidFill>
                <a:schemeClr val="accent1"/>
              </a:solidFill>
              <a:ln cmpd="sng">
                <a:solidFill>
                  <a:schemeClr val="accent1"/>
                </a:solidFill>
              </a:ln>
            </c:spPr>
          </c:marker>
          <c:dLbls>
            <c:spPr>
              <a:noFill/>
              <a:ln>
                <a:noFill/>
              </a:ln>
              <a:effectLst/>
            </c:spPr>
            <c:txPr>
              <a:bodyPr/>
              <a:lstStyle/>
              <a:p>
                <a:pPr lvl="0">
                  <a:defRPr sz="900" b="1" i="0">
                    <a:solidFill>
                      <a:srgbClr val="5B9BD5"/>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 Against Plan EXAMPL'!$B$26:$M$26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'Performance Against Plan EXAMPL'!$B$27:$M$27</c:f>
              <c:numCache>
                <c:formatCode>0%</c:formatCode>
                <c:ptCount val="12"/>
                <c:pt idx="0">
                  <c:v>1.1407463966800371</c:v>
                </c:pt>
                <c:pt idx="1">
                  <c:v>1.360649316521972</c:v>
                </c:pt>
                <c:pt idx="2">
                  <c:v>1.5805522363639068</c:v>
                </c:pt>
                <c:pt idx="3">
                  <c:v>1.8004551562058417</c:v>
                </c:pt>
                <c:pt idx="4">
                  <c:v>2.0203580760477768</c:v>
                </c:pt>
                <c:pt idx="5">
                  <c:v>2.2402609958897117</c:v>
                </c:pt>
                <c:pt idx="6">
                  <c:v>2.4601639157316466</c:v>
                </c:pt>
                <c:pt idx="7">
                  <c:v>1.9968591969341152</c:v>
                </c:pt>
                <c:pt idx="8">
                  <c:v>2.1607040541184528</c:v>
                </c:pt>
                <c:pt idx="9">
                  <c:v>2.3245489113027906</c:v>
                </c:pt>
                <c:pt idx="10">
                  <c:v>2.488393768487128</c:v>
                </c:pt>
                <c:pt idx="11">
                  <c:v>1.8768115942028984</c:v>
                </c:pt>
              </c:numCache>
            </c:numRef>
          </c:val>
          <c:smooth val="0"/>
          <c:extLst>
            <c:ext xmlns:c16="http://schemas.microsoft.com/office/drawing/2014/chart" uri="{C3380CC4-5D6E-409C-BE32-E72D297353CC}">
              <c16:uniqueId val="{00000000-1B45-524F-AF13-5C1C637AC813}"/>
            </c:ext>
          </c:extLst>
        </c:ser>
        <c:dLbls>
          <c:showLegendKey val="0"/>
          <c:showVal val="0"/>
          <c:showCatName val="0"/>
          <c:showSerName val="0"/>
          <c:showPercent val="0"/>
          <c:showBubbleSize val="0"/>
        </c:dLbls>
        <c:marker val="1"/>
        <c:smooth val="0"/>
        <c:axId val="1555272516"/>
        <c:axId val="2028884382"/>
      </c:lineChart>
      <c:catAx>
        <c:axId val="155527251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1000" b="0" i="0">
                <a:solidFill>
                  <a:schemeClr val="dk1"/>
                </a:solidFill>
                <a:latin typeface="+mn-lt"/>
              </a:defRPr>
            </a:pPr>
            <a:endParaRPr lang="en-US"/>
          </a:p>
        </c:txPr>
        <c:crossAx val="2028884382"/>
        <c:crosses val="autoZero"/>
        <c:auto val="1"/>
        <c:lblAlgn val="ctr"/>
        <c:lblOffset val="100"/>
        <c:noMultiLvlLbl val="1"/>
      </c:catAx>
      <c:valAx>
        <c:axId val="2028884382"/>
        <c:scaling>
          <c:orientation val="minMax"/>
        </c:scaling>
        <c:delete val="0"/>
        <c:axPos val="l"/>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555272516"/>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chemeClr val="dk1"/>
                </a:solidFill>
                <a:latin typeface="+mn-lt"/>
              </a:defRPr>
            </a:pPr>
            <a:r>
              <a:rPr lang="en-US" sz="1400" b="0" i="0">
                <a:solidFill>
                  <a:schemeClr val="dk1"/>
                </a:solidFill>
                <a:latin typeface="+mn-lt"/>
              </a:rPr>
              <a:t>Monthly Volume vs Target
</a:t>
            </a:r>
          </a:p>
        </c:rich>
      </c:tx>
      <c:overlay val="0"/>
    </c:title>
    <c:autoTitleDeleted val="0"/>
    <c:plotArea>
      <c:layout/>
      <c:lineChart>
        <c:grouping val="standard"/>
        <c:varyColors val="1"/>
        <c:ser>
          <c:idx val="0"/>
          <c:order val="0"/>
          <c:tx>
            <c:v>Total Actual</c:v>
          </c:tx>
          <c:spPr>
            <a:ln w="19050" cmpd="sng">
              <a:solidFill>
                <a:schemeClr val="accent1"/>
              </a:solidFill>
            </a:ln>
          </c:spPr>
          <c:marker>
            <c:symbol val="circle"/>
            <c:size val="17"/>
            <c:spPr>
              <a:solidFill>
                <a:schemeClr val="accent1"/>
              </a:solidFill>
              <a:ln cmpd="sng">
                <a:solidFill>
                  <a:schemeClr val="accent1"/>
                </a:solidFill>
              </a:ln>
            </c:spPr>
          </c:marker>
          <c:dLbls>
            <c:spPr>
              <a:noFill/>
              <a:ln>
                <a:noFill/>
              </a:ln>
              <a:effectLst/>
            </c:spPr>
            <c:txPr>
              <a:bodyPr/>
              <a:lstStyle/>
              <a:p>
                <a:pPr lvl="0">
                  <a:defRPr sz="900" b="1" i="0">
                    <a:solidFill>
                      <a:srgbClr val="5B9BD5"/>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 Against Plan EXAMPL'!$B$16:$M$16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'Performance Against Plan EXAMPL'!$B$17:$M$17</c:f>
              <c:numCache>
                <c:formatCode>#,##0</c:formatCode>
                <c:ptCount val="12"/>
                <c:pt idx="0">
                  <c:v>415</c:v>
                </c:pt>
                <c:pt idx="1">
                  <c:v>495</c:v>
                </c:pt>
                <c:pt idx="2">
                  <c:v>575</c:v>
                </c:pt>
                <c:pt idx="3">
                  <c:v>655</c:v>
                </c:pt>
                <c:pt idx="4">
                  <c:v>735</c:v>
                </c:pt>
                <c:pt idx="5">
                  <c:v>815</c:v>
                </c:pt>
                <c:pt idx="6">
                  <c:v>895</c:v>
                </c:pt>
                <c:pt idx="7">
                  <c:v>975</c:v>
                </c:pt>
                <c:pt idx="8">
                  <c:v>1055</c:v>
                </c:pt>
                <c:pt idx="9">
                  <c:v>1135</c:v>
                </c:pt>
                <c:pt idx="10">
                  <c:v>1215</c:v>
                </c:pt>
                <c:pt idx="11">
                  <c:v>1295</c:v>
                </c:pt>
              </c:numCache>
            </c:numRef>
          </c:val>
          <c:smooth val="0"/>
          <c:extLst>
            <c:ext xmlns:c16="http://schemas.microsoft.com/office/drawing/2014/chart" uri="{C3380CC4-5D6E-409C-BE32-E72D297353CC}">
              <c16:uniqueId val="{00000000-7150-724F-B259-89C59072F0D9}"/>
            </c:ext>
          </c:extLst>
        </c:ser>
        <c:ser>
          <c:idx val="1"/>
          <c:order val="1"/>
          <c:tx>
            <c:v>Total Target</c:v>
          </c:tx>
          <c:spPr>
            <a:ln w="19050" cmpd="sng">
              <a:solidFill>
                <a:schemeClr val="accent2"/>
              </a:solidFill>
            </a:ln>
          </c:spPr>
          <c:marker>
            <c:symbol val="circle"/>
            <c:size val="17"/>
            <c:spPr>
              <a:solidFill>
                <a:schemeClr val="accent2"/>
              </a:solidFill>
              <a:ln cmpd="sng">
                <a:solidFill>
                  <a:schemeClr val="accent2"/>
                </a:solidFill>
              </a:ln>
            </c:spPr>
          </c:marker>
          <c:dLbls>
            <c:spPr>
              <a:noFill/>
              <a:ln>
                <a:noFill/>
              </a:ln>
              <a:effectLst/>
            </c:spPr>
            <c:txPr>
              <a:bodyPr/>
              <a:lstStyle/>
              <a:p>
                <a:pPr lvl="0">
                  <a:defRPr sz="900" b="1" i="0">
                    <a:solidFill>
                      <a:srgbClr val="ED7D31"/>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 Against Plan EXAMPL'!$B$16:$M$16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'Performance Against Plan EXAMPL'!$B$18:$M$18</c:f>
              <c:numCache>
                <c:formatCode>#,##0</c:formatCode>
                <c:ptCount val="12"/>
                <c:pt idx="0">
                  <c:v>363.79689754689753</c:v>
                </c:pt>
                <c:pt idx="1">
                  <c:v>363.79689754689753</c:v>
                </c:pt>
                <c:pt idx="2">
                  <c:v>363.79689754689753</c:v>
                </c:pt>
                <c:pt idx="3">
                  <c:v>363.79689754689753</c:v>
                </c:pt>
                <c:pt idx="4">
                  <c:v>363.79689754689753</c:v>
                </c:pt>
                <c:pt idx="5">
                  <c:v>363.79689754689753</c:v>
                </c:pt>
                <c:pt idx="6">
                  <c:v>363.79689754689753</c:v>
                </c:pt>
                <c:pt idx="7">
                  <c:v>488.2667748917749</c:v>
                </c:pt>
                <c:pt idx="8">
                  <c:v>488.2667748917749</c:v>
                </c:pt>
                <c:pt idx="9">
                  <c:v>488.2667748917749</c:v>
                </c:pt>
                <c:pt idx="10">
                  <c:v>488.2667748917749</c:v>
                </c:pt>
                <c:pt idx="11" formatCode="General">
                  <c:v>690</c:v>
                </c:pt>
              </c:numCache>
            </c:numRef>
          </c:val>
          <c:smooth val="0"/>
          <c:extLst>
            <c:ext xmlns:c16="http://schemas.microsoft.com/office/drawing/2014/chart" uri="{C3380CC4-5D6E-409C-BE32-E72D297353CC}">
              <c16:uniqueId val="{00000001-7150-724F-B259-89C59072F0D9}"/>
            </c:ext>
          </c:extLst>
        </c:ser>
        <c:dLbls>
          <c:showLegendKey val="0"/>
          <c:showVal val="0"/>
          <c:showCatName val="0"/>
          <c:showSerName val="0"/>
          <c:showPercent val="0"/>
          <c:showBubbleSize val="0"/>
        </c:dLbls>
        <c:marker val="1"/>
        <c:smooth val="0"/>
        <c:axId val="1736494382"/>
        <c:axId val="1682475675"/>
      </c:lineChart>
      <c:catAx>
        <c:axId val="173649438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1000" b="0" i="0">
                <a:solidFill>
                  <a:schemeClr val="dk1"/>
                </a:solidFill>
                <a:latin typeface="+mn-lt"/>
              </a:defRPr>
            </a:pPr>
            <a:endParaRPr lang="en-US"/>
          </a:p>
        </c:txPr>
        <c:crossAx val="1682475675"/>
        <c:crosses val="autoZero"/>
        <c:auto val="1"/>
        <c:lblAlgn val="ctr"/>
        <c:lblOffset val="100"/>
        <c:noMultiLvlLbl val="1"/>
      </c:catAx>
      <c:valAx>
        <c:axId val="1682475675"/>
        <c:scaling>
          <c:orientation val="minMax"/>
        </c:scaling>
        <c:delete val="0"/>
        <c:axPos val="l"/>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736494382"/>
        <c:crosses val="autoZero"/>
        <c:crossBetween val="between"/>
      </c:valAx>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GB"/>
  <c:roundedCorners val="1"/>
  <c:style val="2"/>
  <c:chart>
    <c:title>
      <c:tx>
        <c:rich>
          <a:bodyPr/>
          <a:lstStyle/>
          <a:p>
            <a:pPr lvl="0">
              <a:defRPr sz="1400" b="0" i="0">
                <a:solidFill>
                  <a:schemeClr val="dk1"/>
                </a:solidFill>
                <a:latin typeface="+mn-lt"/>
              </a:defRPr>
            </a:pPr>
            <a:r>
              <a:rPr lang="en-US" sz="1400" b="0" i="0">
                <a:solidFill>
                  <a:schemeClr val="dk1"/>
                </a:solidFill>
                <a:latin typeface="+mn-lt"/>
              </a:rPr>
              <a:t>Total: Performance to Target Monthly</a:t>
            </a:r>
          </a:p>
        </c:rich>
      </c:tx>
      <c:overlay val="0"/>
    </c:title>
    <c:autoTitleDeleted val="0"/>
    <c:plotArea>
      <c:layout/>
      <c:lineChart>
        <c:grouping val="standard"/>
        <c:varyColors val="0"/>
        <c:dLbls>
          <c:showLegendKey val="0"/>
          <c:showVal val="0"/>
          <c:showCatName val="0"/>
          <c:showSerName val="0"/>
          <c:showPercent val="0"/>
          <c:showBubbleSize val="0"/>
        </c:dLbls>
        <c:marker val="1"/>
        <c:smooth val="0"/>
        <c:axId val="1309697573"/>
        <c:axId val="699399617"/>
      </c:lineChart>
      <c:catAx>
        <c:axId val="130969757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1000" b="0" i="0">
                <a:solidFill>
                  <a:schemeClr val="dk1"/>
                </a:solidFill>
                <a:latin typeface="+mn-lt"/>
              </a:defRPr>
            </a:pPr>
            <a:endParaRPr lang="en-US"/>
          </a:p>
        </c:txPr>
        <c:crossAx val="699399617"/>
        <c:crosses val="autoZero"/>
        <c:auto val="1"/>
        <c:lblAlgn val="ctr"/>
        <c:lblOffset val="100"/>
        <c:noMultiLvlLbl val="1"/>
      </c:catAx>
      <c:valAx>
        <c:axId val="699399617"/>
        <c:scaling>
          <c:orientation val="minMax"/>
        </c:scaling>
        <c:delete val="0"/>
        <c:axPos val="l"/>
        <c:majorTickMark val="cross"/>
        <c:minorTickMark val="cross"/>
        <c:tickLblPos val="nextTo"/>
        <c:spPr>
          <a:ln>
            <a:noFill/>
          </a:ln>
        </c:spPr>
        <c:crossAx val="1309697573"/>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chemeClr val="dk1"/>
                </a:solidFill>
                <a:latin typeface="+mn-lt"/>
              </a:defRPr>
            </a:pPr>
            <a:r>
              <a:rPr lang="en-US" sz="1400" b="0" i="0">
                <a:solidFill>
                  <a:schemeClr val="dk1"/>
                </a:solidFill>
                <a:latin typeface="+mn-lt"/>
              </a:rPr>
              <a:t>Monthly Volume vs Target
</a:t>
            </a:r>
          </a:p>
        </c:rich>
      </c:tx>
      <c:overlay val="0"/>
    </c:title>
    <c:autoTitleDeleted val="0"/>
    <c:plotArea>
      <c:layout/>
      <c:lineChart>
        <c:grouping val="standard"/>
        <c:varyColors val="1"/>
        <c:ser>
          <c:idx val="0"/>
          <c:order val="0"/>
          <c:tx>
            <c:v>Total Actual</c:v>
          </c:tx>
          <c:spPr>
            <a:ln w="19050" cmpd="sng">
              <a:solidFill>
                <a:schemeClr val="accent1"/>
              </a:solidFill>
            </a:ln>
          </c:spPr>
          <c:marker>
            <c:symbol val="circle"/>
            <c:size val="17"/>
            <c:spPr>
              <a:solidFill>
                <a:schemeClr val="accent1"/>
              </a:solidFill>
              <a:ln cmpd="sng">
                <a:solidFill>
                  <a:schemeClr val="accent1"/>
                </a:solidFill>
              </a:ln>
            </c:spPr>
          </c:marker>
          <c:dLbls>
            <c:spPr>
              <a:noFill/>
              <a:ln>
                <a:noFill/>
              </a:ln>
              <a:effectLst/>
            </c:spPr>
            <c:txPr>
              <a:bodyPr/>
              <a:lstStyle/>
              <a:p>
                <a:pPr lvl="0">
                  <a:defRPr sz="900" b="1" i="0">
                    <a:solidFill>
                      <a:srgbClr val="5B9BD5"/>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'Performance Against Plan CREATE'!$B$16:$M$16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'Performance Against Plan CREATE'!$B$17:$M$17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E72-EB43-9C85-9BA92DD77126}"/>
            </c:ext>
          </c:extLst>
        </c:ser>
        <c:dLbls>
          <c:showLegendKey val="0"/>
          <c:showVal val="0"/>
          <c:showCatName val="0"/>
          <c:showSerName val="0"/>
          <c:showPercent val="0"/>
          <c:showBubbleSize val="0"/>
        </c:dLbls>
        <c:marker val="1"/>
        <c:smooth val="0"/>
        <c:axId val="381623374"/>
        <c:axId val="1658103374"/>
      </c:lineChart>
      <c:catAx>
        <c:axId val="38162337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1000" b="0" i="0">
                <a:solidFill>
                  <a:schemeClr val="dk1"/>
                </a:solidFill>
                <a:latin typeface="+mn-lt"/>
              </a:defRPr>
            </a:pPr>
            <a:endParaRPr lang="en-US"/>
          </a:p>
        </c:txPr>
        <c:crossAx val="1658103374"/>
        <c:crosses val="autoZero"/>
        <c:auto val="1"/>
        <c:lblAlgn val="ctr"/>
        <c:lblOffset val="100"/>
        <c:noMultiLvlLbl val="1"/>
      </c:catAx>
      <c:valAx>
        <c:axId val="1658103374"/>
        <c:scaling>
          <c:orientation val="minMax"/>
        </c:scaling>
        <c:delete val="0"/>
        <c:axPos val="l"/>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381623374"/>
        <c:crosses val="autoZero"/>
        <c:crossBetween val="between"/>
      </c:valAx>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6</xdr:col>
      <xdr:colOff>19050</xdr:colOff>
      <xdr:row>28</xdr:row>
      <xdr:rowOff>0</xdr:rowOff>
    </xdr:from>
    <xdr:ext cx="6553200" cy="501015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28</xdr:row>
      <xdr:rowOff>0</xdr:rowOff>
    </xdr:from>
    <xdr:ext cx="6858000" cy="5000625"/>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19050</xdr:colOff>
      <xdr:row>27</xdr:row>
      <xdr:rowOff>200025</xdr:rowOff>
    </xdr:from>
    <xdr:ext cx="6553200" cy="5010150"/>
    <xdr:graphicFrame macro="">
      <xdr:nvGraphicFramePr>
        <xdr:cNvPr id="3" name="Chart 3" titl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28</xdr:row>
      <xdr:rowOff>0</xdr:rowOff>
    </xdr:from>
    <xdr:ext cx="6858000" cy="5000625"/>
    <xdr:graphicFrame macro="">
      <xdr:nvGraphicFramePr>
        <xdr:cNvPr id="4" name="Chart 4"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Gre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hyperlink" Target="https://docs.google.com/spreadsheets/d/1PfuaXg7Q099gF-n2DpIACs6fugnxhCdScBzyIoRzOsU/edit" TargetMode="External"/><Relationship Id="rId1" Type="http://schemas.openxmlformats.org/officeDocument/2006/relationships/hyperlink" Target="https://docs.google.com/spreadsheets/d/1URNXOMWPI-UY7YRD8WLBfzUOEvPsuUCaDAGmJZMAarg/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Z1000"/>
  <sheetViews>
    <sheetView topLeftCell="A9" workbookViewId="0">
      <selection activeCell="B11" sqref="B11"/>
    </sheetView>
  </sheetViews>
  <sheetFormatPr baseColWidth="10" defaultColWidth="14.5" defaultRowHeight="15" customHeight="1"/>
  <cols>
    <col min="1" max="6" width="14.5" customWidth="1"/>
    <col min="16" max="16" width="14.5" customWidth="1"/>
  </cols>
  <sheetData>
    <row r="1" spans="1:26" ht="15.7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3" t="s">
        <v>1</v>
      </c>
      <c r="B2" s="4" t="s">
        <v>2</v>
      </c>
      <c r="C2" s="4" t="s">
        <v>3</v>
      </c>
      <c r="D2" s="4" t="s">
        <v>4</v>
      </c>
      <c r="E2" s="4" t="s">
        <v>5</v>
      </c>
      <c r="F2" s="4" t="s">
        <v>6</v>
      </c>
      <c r="G2" s="4" t="s">
        <v>7</v>
      </c>
      <c r="H2" s="4" t="s">
        <v>8</v>
      </c>
      <c r="I2" s="4" t="s">
        <v>9</v>
      </c>
      <c r="J2" s="4" t="s">
        <v>10</v>
      </c>
      <c r="K2" s="4" t="s">
        <v>11</v>
      </c>
      <c r="L2" s="4" t="s">
        <v>12</v>
      </c>
      <c r="M2" s="4" t="s">
        <v>13</v>
      </c>
      <c r="N2" s="146" t="s">
        <v>14</v>
      </c>
      <c r="O2" s="147"/>
      <c r="P2" s="148"/>
      <c r="Q2" s="5"/>
      <c r="R2" s="5"/>
      <c r="S2" s="2"/>
      <c r="T2" s="2"/>
      <c r="U2" s="2"/>
      <c r="V2" s="2"/>
      <c r="W2" s="2"/>
      <c r="X2" s="2"/>
      <c r="Y2" s="2"/>
      <c r="Z2" s="2"/>
    </row>
    <row r="3" spans="1:26" ht="15.75" customHeight="1">
      <c r="A3" s="6" t="s">
        <v>15</v>
      </c>
      <c r="B3" s="160">
        <v>15000</v>
      </c>
      <c r="C3" s="160">
        <v>15000</v>
      </c>
      <c r="D3" s="160">
        <v>15000</v>
      </c>
      <c r="E3" s="160">
        <v>15000</v>
      </c>
      <c r="F3" s="160">
        <v>15000</v>
      </c>
      <c r="G3" s="160">
        <v>15000</v>
      </c>
      <c r="H3" s="160">
        <v>15000</v>
      </c>
      <c r="I3" s="160">
        <v>18000</v>
      </c>
      <c r="J3" s="160">
        <v>18000</v>
      </c>
      <c r="K3" s="160">
        <v>18000</v>
      </c>
      <c r="L3" s="160">
        <v>18000</v>
      </c>
      <c r="M3" s="160">
        <v>18000</v>
      </c>
      <c r="N3" s="149"/>
      <c r="O3" s="150"/>
      <c r="P3" s="151"/>
      <c r="Q3" s="5"/>
      <c r="R3" s="5"/>
      <c r="S3" s="2"/>
      <c r="T3" s="2"/>
      <c r="U3" s="2"/>
      <c r="V3" s="2"/>
      <c r="W3" s="2"/>
      <c r="X3" s="2"/>
      <c r="Y3" s="2"/>
      <c r="Z3" s="2"/>
    </row>
    <row r="4" spans="1:26" ht="15.75" customHeight="1">
      <c r="A4" s="6" t="s">
        <v>16</v>
      </c>
      <c r="B4" s="160">
        <v>10000</v>
      </c>
      <c r="C4" s="160">
        <v>10000</v>
      </c>
      <c r="D4" s="160">
        <v>10000</v>
      </c>
      <c r="E4" s="160">
        <v>10000</v>
      </c>
      <c r="F4" s="160">
        <v>10000</v>
      </c>
      <c r="G4" s="160">
        <v>10000</v>
      </c>
      <c r="H4" s="160">
        <v>10000</v>
      </c>
      <c r="I4" s="160">
        <v>15000</v>
      </c>
      <c r="J4" s="160">
        <v>15000</v>
      </c>
      <c r="K4" s="160">
        <v>15000</v>
      </c>
      <c r="L4" s="160">
        <v>15000</v>
      </c>
      <c r="M4" s="160">
        <v>15000</v>
      </c>
      <c r="N4" s="149"/>
      <c r="O4" s="150"/>
      <c r="P4" s="151"/>
      <c r="Q4" s="5"/>
      <c r="R4" s="5"/>
      <c r="S4" s="2"/>
      <c r="T4" s="2"/>
      <c r="U4" s="2"/>
      <c r="V4" s="2"/>
      <c r="W4" s="2"/>
      <c r="X4" s="2"/>
      <c r="Y4" s="2"/>
      <c r="Z4" s="2"/>
    </row>
    <row r="5" spans="1:26" ht="15.75" customHeight="1">
      <c r="A5" s="6" t="s">
        <v>17</v>
      </c>
      <c r="B5" s="160">
        <v>2000</v>
      </c>
      <c r="C5" s="160">
        <v>2000</v>
      </c>
      <c r="D5" s="160">
        <v>2000</v>
      </c>
      <c r="E5" s="160">
        <v>2000</v>
      </c>
      <c r="F5" s="160">
        <v>2000</v>
      </c>
      <c r="G5" s="160">
        <v>2000</v>
      </c>
      <c r="H5" s="160">
        <v>2000</v>
      </c>
      <c r="I5" s="160">
        <v>3000</v>
      </c>
      <c r="J5" s="160">
        <v>3000</v>
      </c>
      <c r="K5" s="160">
        <v>3000</v>
      </c>
      <c r="L5" s="160">
        <v>3000</v>
      </c>
      <c r="M5" s="160">
        <v>3000</v>
      </c>
      <c r="N5" s="149"/>
      <c r="O5" s="150"/>
      <c r="P5" s="151"/>
      <c r="Q5" s="5"/>
      <c r="R5" s="5"/>
      <c r="S5" s="2"/>
      <c r="T5" s="2"/>
      <c r="U5" s="2"/>
      <c r="V5" s="2"/>
      <c r="W5" s="2"/>
      <c r="X5" s="2"/>
      <c r="Y5" s="2"/>
      <c r="Z5" s="2"/>
    </row>
    <row r="6" spans="1:26" ht="15.75" customHeight="1">
      <c r="A6" s="6" t="s">
        <v>18</v>
      </c>
      <c r="B6" s="160">
        <v>4000</v>
      </c>
      <c r="C6" s="160">
        <v>4000</v>
      </c>
      <c r="D6" s="160">
        <v>4000</v>
      </c>
      <c r="E6" s="160">
        <v>4000</v>
      </c>
      <c r="F6" s="160">
        <v>4000</v>
      </c>
      <c r="G6" s="160">
        <v>4000</v>
      </c>
      <c r="H6" s="160">
        <v>4000</v>
      </c>
      <c r="I6" s="160">
        <v>4500</v>
      </c>
      <c r="J6" s="160">
        <v>4500</v>
      </c>
      <c r="K6" s="160">
        <v>4500</v>
      </c>
      <c r="L6" s="160">
        <v>4500</v>
      </c>
      <c r="M6" s="160">
        <v>4500</v>
      </c>
      <c r="N6" s="152"/>
      <c r="O6" s="153"/>
      <c r="P6" s="154"/>
      <c r="Q6" s="5"/>
      <c r="R6" s="5"/>
      <c r="S6" s="2"/>
      <c r="T6" s="2"/>
      <c r="U6" s="2"/>
      <c r="V6" s="2"/>
      <c r="W6" s="2"/>
      <c r="X6" s="2"/>
      <c r="Y6" s="2"/>
      <c r="Z6" s="2"/>
    </row>
    <row r="7" spans="1:26" ht="15.75" customHeight="1">
      <c r="A7" s="8" t="s">
        <v>19</v>
      </c>
      <c r="B7" s="2"/>
      <c r="C7" s="2"/>
      <c r="D7" s="2"/>
      <c r="E7" s="2"/>
      <c r="F7" s="2"/>
      <c r="G7" s="2"/>
      <c r="H7" s="2"/>
      <c r="I7" s="2"/>
      <c r="J7" s="2"/>
      <c r="K7" s="2"/>
      <c r="L7" s="2"/>
      <c r="M7" s="2"/>
      <c r="N7" s="2"/>
      <c r="O7" s="2"/>
      <c r="P7" s="2"/>
      <c r="Q7" s="2"/>
      <c r="R7" s="2"/>
      <c r="S7" s="2"/>
      <c r="T7" s="2"/>
      <c r="U7" s="2"/>
      <c r="V7" s="2"/>
      <c r="W7" s="2"/>
      <c r="X7" s="2"/>
      <c r="Y7" s="2"/>
      <c r="Z7" s="2"/>
    </row>
    <row r="8" spans="1:26" ht="15.75" customHeight="1">
      <c r="A8" s="9" t="s">
        <v>20</v>
      </c>
      <c r="B8" s="2"/>
      <c r="C8" s="2"/>
      <c r="D8" s="2"/>
      <c r="E8" s="2"/>
      <c r="F8" s="2"/>
      <c r="G8" s="2"/>
      <c r="H8" s="2"/>
      <c r="I8" s="2"/>
      <c r="J8" s="2"/>
      <c r="K8" s="2"/>
      <c r="L8" s="2"/>
      <c r="M8" s="2"/>
      <c r="N8" s="2"/>
      <c r="O8" s="2"/>
      <c r="P8" s="2"/>
      <c r="Q8" s="2"/>
      <c r="R8" s="2"/>
      <c r="S8" s="2"/>
      <c r="T8" s="2"/>
      <c r="U8" s="2"/>
      <c r="V8" s="2"/>
      <c r="W8" s="2"/>
      <c r="X8" s="2"/>
      <c r="Y8" s="2"/>
      <c r="Z8" s="2"/>
    </row>
    <row r="9" spans="1:26" ht="15.75" customHeight="1">
      <c r="A9" s="3" t="s">
        <v>1</v>
      </c>
      <c r="B9" s="4" t="s">
        <v>2</v>
      </c>
      <c r="C9" s="4" t="s">
        <v>3</v>
      </c>
      <c r="D9" s="4" t="s">
        <v>4</v>
      </c>
      <c r="E9" s="4" t="s">
        <v>5</v>
      </c>
      <c r="F9" s="4" t="s">
        <v>6</v>
      </c>
      <c r="G9" s="4" t="s">
        <v>7</v>
      </c>
      <c r="H9" s="4" t="s">
        <v>8</v>
      </c>
      <c r="I9" s="4" t="s">
        <v>9</v>
      </c>
      <c r="J9" s="4" t="s">
        <v>10</v>
      </c>
      <c r="K9" s="4" t="s">
        <v>11</v>
      </c>
      <c r="L9" s="4" t="s">
        <v>12</v>
      </c>
      <c r="M9" s="4" t="s">
        <v>13</v>
      </c>
      <c r="N9" s="155" t="s">
        <v>21</v>
      </c>
      <c r="O9" s="147"/>
      <c r="P9" s="148"/>
      <c r="Q9" s="2"/>
      <c r="R9" s="2"/>
      <c r="S9" s="2"/>
      <c r="T9" s="2"/>
      <c r="U9" s="2"/>
      <c r="V9" s="2"/>
      <c r="W9" s="2"/>
      <c r="X9" s="2"/>
      <c r="Y9" s="2"/>
      <c r="Z9" s="2"/>
    </row>
    <row r="10" spans="1:26" ht="15.75" customHeight="1">
      <c r="A10" s="6" t="s">
        <v>15</v>
      </c>
      <c r="B10" s="160">
        <v>500</v>
      </c>
      <c r="C10" s="160">
        <v>500</v>
      </c>
      <c r="D10" s="160">
        <v>500</v>
      </c>
      <c r="E10" s="160">
        <v>500</v>
      </c>
      <c r="F10" s="160">
        <v>500</v>
      </c>
      <c r="G10" s="160">
        <v>500</v>
      </c>
      <c r="H10" s="160">
        <v>500</v>
      </c>
      <c r="I10" s="160">
        <v>500</v>
      </c>
      <c r="J10" s="160">
        <v>500</v>
      </c>
      <c r="K10" s="160">
        <v>500</v>
      </c>
      <c r="L10" s="160">
        <v>500</v>
      </c>
      <c r="M10" s="160">
        <v>500</v>
      </c>
      <c r="N10" s="149"/>
      <c r="O10" s="150"/>
      <c r="P10" s="151"/>
      <c r="Q10" s="2"/>
      <c r="R10" s="2"/>
      <c r="S10" s="2"/>
      <c r="T10" s="2"/>
      <c r="U10" s="2"/>
      <c r="V10" s="2"/>
      <c r="W10" s="2"/>
      <c r="X10" s="2"/>
      <c r="Y10" s="2"/>
      <c r="Z10" s="2"/>
    </row>
    <row r="11" spans="1:26" ht="15.75" customHeight="1">
      <c r="A11" s="6" t="s">
        <v>16</v>
      </c>
      <c r="B11" s="160">
        <v>400</v>
      </c>
      <c r="C11" s="160">
        <v>400</v>
      </c>
      <c r="D11" s="160">
        <v>400</v>
      </c>
      <c r="E11" s="160">
        <v>400</v>
      </c>
      <c r="F11" s="160">
        <v>400</v>
      </c>
      <c r="G11" s="160">
        <v>400</v>
      </c>
      <c r="H11" s="160">
        <v>400</v>
      </c>
      <c r="I11" s="160">
        <v>400</v>
      </c>
      <c r="J11" s="160">
        <v>400</v>
      </c>
      <c r="K11" s="160">
        <v>400</v>
      </c>
      <c r="L11" s="160">
        <v>400</v>
      </c>
      <c r="M11" s="160">
        <v>400</v>
      </c>
      <c r="N11" s="149"/>
      <c r="O11" s="150"/>
      <c r="P11" s="151"/>
      <c r="Q11" s="2"/>
      <c r="R11" s="2"/>
      <c r="S11" s="2"/>
      <c r="T11" s="2"/>
      <c r="U11" s="2"/>
      <c r="V11" s="2"/>
      <c r="W11" s="2"/>
      <c r="X11" s="2"/>
      <c r="Y11" s="2"/>
      <c r="Z11" s="2"/>
    </row>
    <row r="12" spans="1:26" ht="15.75" customHeight="1">
      <c r="A12" s="6" t="s">
        <v>17</v>
      </c>
      <c r="B12" s="160">
        <v>450</v>
      </c>
      <c r="C12" s="160">
        <v>450</v>
      </c>
      <c r="D12" s="160">
        <v>450</v>
      </c>
      <c r="E12" s="160">
        <v>450</v>
      </c>
      <c r="F12" s="160">
        <v>450</v>
      </c>
      <c r="G12" s="160">
        <v>450</v>
      </c>
      <c r="H12" s="160">
        <v>450</v>
      </c>
      <c r="I12" s="160">
        <v>450</v>
      </c>
      <c r="J12" s="160">
        <v>450</v>
      </c>
      <c r="K12" s="160">
        <v>450</v>
      </c>
      <c r="L12" s="160">
        <v>450</v>
      </c>
      <c r="M12" s="160">
        <v>450</v>
      </c>
      <c r="N12" s="149"/>
      <c r="O12" s="150"/>
      <c r="P12" s="151"/>
      <c r="Q12" s="2"/>
      <c r="R12" s="2"/>
      <c r="S12" s="2"/>
      <c r="T12" s="2"/>
      <c r="U12" s="2"/>
      <c r="V12" s="2"/>
      <c r="W12" s="2"/>
      <c r="X12" s="2"/>
      <c r="Y12" s="2"/>
      <c r="Z12" s="2"/>
    </row>
    <row r="13" spans="1:26" ht="15.75" customHeight="1">
      <c r="A13" s="6" t="s">
        <v>18</v>
      </c>
      <c r="B13" s="160">
        <v>500</v>
      </c>
      <c r="C13" s="160">
        <v>500</v>
      </c>
      <c r="D13" s="160">
        <v>500</v>
      </c>
      <c r="E13" s="160">
        <v>500</v>
      </c>
      <c r="F13" s="160">
        <v>500</v>
      </c>
      <c r="G13" s="160">
        <v>500</v>
      </c>
      <c r="H13" s="160">
        <v>500</v>
      </c>
      <c r="I13" s="160">
        <v>500</v>
      </c>
      <c r="J13" s="160">
        <v>500</v>
      </c>
      <c r="K13" s="160">
        <v>500</v>
      </c>
      <c r="L13" s="160">
        <v>500</v>
      </c>
      <c r="M13" s="160">
        <v>500</v>
      </c>
      <c r="N13" s="152"/>
      <c r="O13" s="153"/>
      <c r="P13" s="154"/>
      <c r="Q13" s="2"/>
      <c r="R13" s="2"/>
      <c r="S13" s="2"/>
      <c r="T13" s="2"/>
      <c r="U13" s="2"/>
      <c r="V13" s="2"/>
      <c r="W13" s="2"/>
      <c r="X13" s="2"/>
      <c r="Y13" s="2"/>
      <c r="Z13" s="2"/>
    </row>
    <row r="14" spans="1:26" ht="15.75" customHeight="1">
      <c r="A14" s="10"/>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9" t="s">
        <v>22</v>
      </c>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3" t="s">
        <v>1</v>
      </c>
      <c r="B16" s="4" t="s">
        <v>2</v>
      </c>
      <c r="C16" s="4" t="s">
        <v>3</v>
      </c>
      <c r="D16" s="4" t="s">
        <v>4</v>
      </c>
      <c r="E16" s="4" t="s">
        <v>5</v>
      </c>
      <c r="F16" s="4" t="s">
        <v>6</v>
      </c>
      <c r="G16" s="4" t="s">
        <v>7</v>
      </c>
      <c r="H16" s="4" t="s">
        <v>8</v>
      </c>
      <c r="I16" s="4" t="s">
        <v>9</v>
      </c>
      <c r="J16" s="4" t="s">
        <v>10</v>
      </c>
      <c r="K16" s="4" t="s">
        <v>11</v>
      </c>
      <c r="L16" s="4" t="s">
        <v>12</v>
      </c>
      <c r="M16" s="4" t="s">
        <v>13</v>
      </c>
      <c r="N16" s="156" t="s">
        <v>23</v>
      </c>
      <c r="O16" s="147"/>
      <c r="P16" s="148"/>
      <c r="Q16" s="2"/>
      <c r="R16" s="2"/>
      <c r="S16" s="2"/>
      <c r="T16" s="2"/>
      <c r="U16" s="2"/>
      <c r="V16" s="2"/>
      <c r="W16" s="2"/>
      <c r="X16" s="2"/>
      <c r="Y16" s="2"/>
      <c r="Z16" s="2"/>
    </row>
    <row r="17" spans="1:26" ht="15.75" customHeight="1">
      <c r="A17" s="6" t="s">
        <v>15</v>
      </c>
      <c r="B17" s="11">
        <v>0.4</v>
      </c>
      <c r="C17" s="11">
        <v>0.4</v>
      </c>
      <c r="D17" s="11">
        <v>0.4</v>
      </c>
      <c r="E17" s="11">
        <v>0.4</v>
      </c>
      <c r="F17" s="11">
        <v>0.4</v>
      </c>
      <c r="G17" s="11">
        <v>0.4</v>
      </c>
      <c r="H17" s="11">
        <v>0.4</v>
      </c>
      <c r="I17" s="11">
        <v>0.4</v>
      </c>
      <c r="J17" s="11">
        <v>0.4</v>
      </c>
      <c r="K17" s="11">
        <v>0.4</v>
      </c>
      <c r="L17" s="11">
        <v>0.4</v>
      </c>
      <c r="M17" s="11">
        <v>0.4</v>
      </c>
      <c r="N17" s="149"/>
      <c r="O17" s="150"/>
      <c r="P17" s="151"/>
      <c r="Q17" s="2"/>
      <c r="R17" s="2"/>
      <c r="S17" s="2"/>
      <c r="T17" s="2"/>
      <c r="U17" s="2"/>
      <c r="V17" s="2"/>
      <c r="W17" s="2"/>
      <c r="X17" s="2"/>
      <c r="Y17" s="2"/>
      <c r="Z17" s="2"/>
    </row>
    <row r="18" spans="1:26" ht="15.75" customHeight="1">
      <c r="A18" s="6" t="s">
        <v>16</v>
      </c>
      <c r="B18" s="11">
        <v>0.5</v>
      </c>
      <c r="C18" s="11">
        <v>0.5</v>
      </c>
      <c r="D18" s="11">
        <v>0.5</v>
      </c>
      <c r="E18" s="11">
        <v>0.5</v>
      </c>
      <c r="F18" s="11">
        <v>0.5</v>
      </c>
      <c r="G18" s="11">
        <v>0.5</v>
      </c>
      <c r="H18" s="11">
        <v>0.5</v>
      </c>
      <c r="I18" s="11">
        <v>0.5</v>
      </c>
      <c r="J18" s="11">
        <v>0.5</v>
      </c>
      <c r="K18" s="11">
        <v>0.5</v>
      </c>
      <c r="L18" s="11">
        <v>0.5</v>
      </c>
      <c r="M18" s="11">
        <v>0.5</v>
      </c>
      <c r="N18" s="149"/>
      <c r="O18" s="150"/>
      <c r="P18" s="151"/>
      <c r="Q18" s="2"/>
      <c r="R18" s="2"/>
      <c r="S18" s="2"/>
      <c r="T18" s="2"/>
      <c r="U18" s="2"/>
      <c r="V18" s="2"/>
      <c r="W18" s="2"/>
      <c r="X18" s="2"/>
      <c r="Y18" s="2"/>
      <c r="Z18" s="2"/>
    </row>
    <row r="19" spans="1:26" ht="15.75" customHeight="1">
      <c r="A19" s="6" t="s">
        <v>17</v>
      </c>
      <c r="B19" s="11">
        <v>0.5</v>
      </c>
      <c r="C19" s="11">
        <v>0.5</v>
      </c>
      <c r="D19" s="11">
        <v>0.5</v>
      </c>
      <c r="E19" s="11">
        <v>0.5</v>
      </c>
      <c r="F19" s="11">
        <v>0.5</v>
      </c>
      <c r="G19" s="11">
        <v>0.5</v>
      </c>
      <c r="H19" s="11">
        <v>0.5</v>
      </c>
      <c r="I19" s="11">
        <v>0.5</v>
      </c>
      <c r="J19" s="11">
        <v>0.5</v>
      </c>
      <c r="K19" s="11">
        <v>0.5</v>
      </c>
      <c r="L19" s="11">
        <v>0.5</v>
      </c>
      <c r="M19" s="11">
        <v>0.5</v>
      </c>
      <c r="N19" s="149"/>
      <c r="O19" s="150"/>
      <c r="P19" s="151"/>
      <c r="Q19" s="2"/>
      <c r="R19" s="2"/>
      <c r="S19" s="2"/>
      <c r="T19" s="2"/>
      <c r="U19" s="2"/>
      <c r="V19" s="2"/>
      <c r="W19" s="2"/>
      <c r="X19" s="2"/>
      <c r="Y19" s="2"/>
      <c r="Z19" s="2"/>
    </row>
    <row r="20" spans="1:26" ht="15.75" customHeight="1">
      <c r="A20" s="6" t="s">
        <v>18</v>
      </c>
      <c r="B20" s="11">
        <v>0.5</v>
      </c>
      <c r="C20" s="11">
        <v>0.5</v>
      </c>
      <c r="D20" s="11">
        <v>0.5</v>
      </c>
      <c r="E20" s="11">
        <v>0.5</v>
      </c>
      <c r="F20" s="11">
        <v>0.5</v>
      </c>
      <c r="G20" s="11">
        <v>0.5</v>
      </c>
      <c r="H20" s="11">
        <v>0.5</v>
      </c>
      <c r="I20" s="11">
        <v>0.5</v>
      </c>
      <c r="J20" s="11">
        <v>0.5</v>
      </c>
      <c r="K20" s="11">
        <v>0.5</v>
      </c>
      <c r="L20" s="11">
        <v>0.5</v>
      </c>
      <c r="M20" s="11">
        <v>0.5</v>
      </c>
      <c r="N20" s="152"/>
      <c r="O20" s="153"/>
      <c r="P20" s="154"/>
      <c r="Q20" s="2"/>
      <c r="R20" s="2"/>
      <c r="S20" s="2"/>
      <c r="T20" s="2"/>
      <c r="U20" s="2"/>
      <c r="V20" s="2"/>
      <c r="W20" s="2"/>
      <c r="X20" s="2"/>
      <c r="Y20" s="2"/>
      <c r="Z20" s="2"/>
    </row>
    <row r="21" spans="1:26" ht="15.75" customHeight="1">
      <c r="A21" s="1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9" t="s">
        <v>24</v>
      </c>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3" t="s">
        <v>1</v>
      </c>
      <c r="B23" s="4" t="s">
        <v>2</v>
      </c>
      <c r="C23" s="4" t="s">
        <v>3</v>
      </c>
      <c r="D23" s="4" t="s">
        <v>4</v>
      </c>
      <c r="E23" s="4" t="s">
        <v>5</v>
      </c>
      <c r="F23" s="4" t="s">
        <v>6</v>
      </c>
      <c r="G23" s="4" t="s">
        <v>7</v>
      </c>
      <c r="H23" s="4" t="s">
        <v>8</v>
      </c>
      <c r="I23" s="4" t="s">
        <v>9</v>
      </c>
      <c r="J23" s="4" t="s">
        <v>10</v>
      </c>
      <c r="K23" s="4" t="s">
        <v>11</v>
      </c>
      <c r="L23" s="4" t="s">
        <v>12</v>
      </c>
      <c r="M23" s="4" t="s">
        <v>13</v>
      </c>
      <c r="N23" s="155" t="s">
        <v>25</v>
      </c>
      <c r="O23" s="147"/>
      <c r="P23" s="148"/>
      <c r="Q23" s="2"/>
      <c r="R23" s="2"/>
      <c r="S23" s="2"/>
      <c r="T23" s="2"/>
      <c r="U23" s="2"/>
      <c r="V23" s="2"/>
      <c r="W23" s="2"/>
      <c r="X23" s="2"/>
      <c r="Y23" s="2"/>
      <c r="Z23" s="2"/>
    </row>
    <row r="24" spans="1:26" ht="15.75" customHeight="1">
      <c r="A24" s="6" t="s">
        <v>15</v>
      </c>
      <c r="B24" s="11">
        <v>0.1</v>
      </c>
      <c r="C24" s="11">
        <v>0.1</v>
      </c>
      <c r="D24" s="11">
        <v>0.1</v>
      </c>
      <c r="E24" s="11">
        <v>0.1</v>
      </c>
      <c r="F24" s="11">
        <v>0.1</v>
      </c>
      <c r="G24" s="11">
        <v>0.1</v>
      </c>
      <c r="H24" s="11">
        <v>0.1</v>
      </c>
      <c r="I24" s="11">
        <v>0.1</v>
      </c>
      <c r="J24" s="11">
        <v>0.1</v>
      </c>
      <c r="K24" s="11">
        <v>0.1</v>
      </c>
      <c r="L24" s="11">
        <v>0.1</v>
      </c>
      <c r="M24" s="11">
        <v>0.1</v>
      </c>
      <c r="N24" s="149"/>
      <c r="O24" s="150"/>
      <c r="P24" s="151"/>
      <c r="Q24" s="2"/>
      <c r="R24" s="2"/>
      <c r="S24" s="2"/>
      <c r="T24" s="2"/>
      <c r="U24" s="2"/>
      <c r="V24" s="2"/>
      <c r="W24" s="2"/>
      <c r="X24" s="2"/>
      <c r="Y24" s="2"/>
      <c r="Z24" s="2"/>
    </row>
    <row r="25" spans="1:26" ht="15.75" customHeight="1">
      <c r="A25" s="6" t="s">
        <v>16</v>
      </c>
      <c r="B25" s="11">
        <v>0.08</v>
      </c>
      <c r="C25" s="11">
        <v>0.08</v>
      </c>
      <c r="D25" s="11">
        <v>0.08</v>
      </c>
      <c r="E25" s="11">
        <v>0.08</v>
      </c>
      <c r="F25" s="11">
        <v>0.08</v>
      </c>
      <c r="G25" s="11">
        <v>0.08</v>
      </c>
      <c r="H25" s="11">
        <v>0.08</v>
      </c>
      <c r="I25" s="11">
        <v>0.08</v>
      </c>
      <c r="J25" s="11">
        <v>0.08</v>
      </c>
      <c r="K25" s="11">
        <v>0.08</v>
      </c>
      <c r="L25" s="11">
        <v>0.08</v>
      </c>
      <c r="M25" s="11">
        <v>0.08</v>
      </c>
      <c r="N25" s="149"/>
      <c r="O25" s="150"/>
      <c r="P25" s="151"/>
      <c r="Q25" s="2"/>
      <c r="R25" s="2"/>
      <c r="S25" s="2"/>
      <c r="T25" s="2"/>
      <c r="U25" s="2"/>
      <c r="V25" s="2"/>
      <c r="W25" s="2"/>
      <c r="X25" s="2"/>
      <c r="Y25" s="2"/>
      <c r="Z25" s="2"/>
    </row>
    <row r="26" spans="1:26" ht="15.75" customHeight="1">
      <c r="A26" s="6" t="s">
        <v>17</v>
      </c>
      <c r="B26" s="11">
        <v>7.3089700996677748E-2</v>
      </c>
      <c r="C26" s="11">
        <v>7.3089700996677748E-2</v>
      </c>
      <c r="D26" s="11">
        <v>7.3089700996677748E-2</v>
      </c>
      <c r="E26" s="11">
        <v>7.3089700996677748E-2</v>
      </c>
      <c r="F26" s="11">
        <v>7.3089700996677748E-2</v>
      </c>
      <c r="G26" s="11">
        <v>7.3089700996677748E-2</v>
      </c>
      <c r="H26" s="11">
        <v>7.3089700996677748E-2</v>
      </c>
      <c r="I26" s="11">
        <v>7.3089700996677748E-2</v>
      </c>
      <c r="J26" s="11">
        <v>7.3089700996677748E-2</v>
      </c>
      <c r="K26" s="11">
        <v>7.3089700996677748E-2</v>
      </c>
      <c r="L26" s="11">
        <v>7.3089700996677748E-2</v>
      </c>
      <c r="M26" s="11">
        <v>7.3089700996677748E-2</v>
      </c>
      <c r="N26" s="149"/>
      <c r="O26" s="150"/>
      <c r="P26" s="151"/>
      <c r="Q26" s="2"/>
      <c r="R26" s="2"/>
      <c r="S26" s="2"/>
      <c r="T26" s="2"/>
      <c r="U26" s="2"/>
      <c r="V26" s="2"/>
      <c r="W26" s="2"/>
      <c r="X26" s="2"/>
      <c r="Y26" s="2"/>
      <c r="Z26" s="2"/>
    </row>
    <row r="27" spans="1:26" ht="15.75" customHeight="1">
      <c r="A27" s="6" t="s">
        <v>18</v>
      </c>
      <c r="B27" s="11">
        <v>7.0000000000000007E-2</v>
      </c>
      <c r="C27" s="11">
        <v>7.0000000000000007E-2</v>
      </c>
      <c r="D27" s="11">
        <v>7.0000000000000007E-2</v>
      </c>
      <c r="E27" s="11">
        <v>7.0000000000000007E-2</v>
      </c>
      <c r="F27" s="11">
        <v>7.0000000000000007E-2</v>
      </c>
      <c r="G27" s="11">
        <v>7.0000000000000007E-2</v>
      </c>
      <c r="H27" s="11">
        <v>7.0000000000000007E-2</v>
      </c>
      <c r="I27" s="11">
        <v>7.0000000000000007E-2</v>
      </c>
      <c r="J27" s="11">
        <v>7.0000000000000007E-2</v>
      </c>
      <c r="K27" s="11">
        <v>7.0000000000000007E-2</v>
      </c>
      <c r="L27" s="11">
        <v>7.0000000000000007E-2</v>
      </c>
      <c r="M27" s="11">
        <v>7.0000000000000007E-2</v>
      </c>
      <c r="N27" s="152"/>
      <c r="O27" s="153"/>
      <c r="P27" s="154"/>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9" t="s">
        <v>26</v>
      </c>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3" t="s">
        <v>1</v>
      </c>
      <c r="B30" s="4" t="s">
        <v>2</v>
      </c>
      <c r="C30" s="4" t="s">
        <v>3</v>
      </c>
      <c r="D30" s="4" t="s">
        <v>4</v>
      </c>
      <c r="E30" s="4" t="s">
        <v>5</v>
      </c>
      <c r="F30" s="4" t="s">
        <v>6</v>
      </c>
      <c r="G30" s="4" t="s">
        <v>7</v>
      </c>
      <c r="H30" s="4" t="s">
        <v>8</v>
      </c>
      <c r="I30" s="4" t="s">
        <v>9</v>
      </c>
      <c r="J30" s="4" t="s">
        <v>10</v>
      </c>
      <c r="K30" s="4" t="s">
        <v>11</v>
      </c>
      <c r="L30" s="4" t="s">
        <v>12</v>
      </c>
      <c r="M30" s="4" t="s">
        <v>13</v>
      </c>
      <c r="N30" s="157" t="s">
        <v>27</v>
      </c>
      <c r="O30" s="147"/>
      <c r="P30" s="148"/>
      <c r="Q30" s="2"/>
      <c r="R30" s="2"/>
      <c r="S30" s="2"/>
      <c r="T30" s="2"/>
      <c r="U30" s="2"/>
      <c r="V30" s="2"/>
      <c r="W30" s="2"/>
      <c r="X30" s="2"/>
      <c r="Y30" s="2"/>
      <c r="Z30" s="2"/>
    </row>
    <row r="31" spans="1:26" ht="15.75" customHeight="1">
      <c r="A31" s="6" t="s">
        <v>15</v>
      </c>
      <c r="B31" s="13">
        <f t="shared" ref="B31:M31" si="0">((B3/B10)*B17)/B24</f>
        <v>120</v>
      </c>
      <c r="C31" s="13">
        <f t="shared" si="0"/>
        <v>120</v>
      </c>
      <c r="D31" s="13">
        <f t="shared" si="0"/>
        <v>120</v>
      </c>
      <c r="E31" s="13">
        <f t="shared" si="0"/>
        <v>120</v>
      </c>
      <c r="F31" s="13">
        <f t="shared" si="0"/>
        <v>120</v>
      </c>
      <c r="G31" s="13">
        <f t="shared" si="0"/>
        <v>120</v>
      </c>
      <c r="H31" s="13">
        <f t="shared" si="0"/>
        <v>120</v>
      </c>
      <c r="I31" s="13">
        <f t="shared" si="0"/>
        <v>144</v>
      </c>
      <c r="J31" s="13">
        <f t="shared" si="0"/>
        <v>144</v>
      </c>
      <c r="K31" s="13">
        <f t="shared" si="0"/>
        <v>144</v>
      </c>
      <c r="L31" s="13">
        <f t="shared" si="0"/>
        <v>144</v>
      </c>
      <c r="M31" s="13">
        <f t="shared" si="0"/>
        <v>144</v>
      </c>
      <c r="N31" s="158"/>
      <c r="O31" s="150"/>
      <c r="P31" s="151"/>
      <c r="Q31" s="2"/>
      <c r="R31" s="2"/>
      <c r="S31" s="2"/>
      <c r="T31" s="2"/>
      <c r="U31" s="2"/>
      <c r="V31" s="2"/>
      <c r="W31" s="2"/>
      <c r="X31" s="2"/>
      <c r="Y31" s="2"/>
      <c r="Z31" s="2"/>
    </row>
    <row r="32" spans="1:26" ht="15.75" customHeight="1">
      <c r="A32" s="6" t="s">
        <v>16</v>
      </c>
      <c r="B32" s="13">
        <f t="shared" ref="B32:M32" si="1">((B4/B11)*B18)/B25</f>
        <v>156.25</v>
      </c>
      <c r="C32" s="13">
        <f t="shared" si="1"/>
        <v>156.25</v>
      </c>
      <c r="D32" s="13">
        <f t="shared" si="1"/>
        <v>156.25</v>
      </c>
      <c r="E32" s="13">
        <f t="shared" si="1"/>
        <v>156.25</v>
      </c>
      <c r="F32" s="13">
        <f t="shared" si="1"/>
        <v>156.25</v>
      </c>
      <c r="G32" s="13">
        <f t="shared" si="1"/>
        <v>156.25</v>
      </c>
      <c r="H32" s="13">
        <f t="shared" si="1"/>
        <v>156.25</v>
      </c>
      <c r="I32" s="13">
        <f t="shared" si="1"/>
        <v>234.375</v>
      </c>
      <c r="J32" s="13">
        <f t="shared" si="1"/>
        <v>234.375</v>
      </c>
      <c r="K32" s="13">
        <f t="shared" si="1"/>
        <v>234.375</v>
      </c>
      <c r="L32" s="13">
        <f t="shared" si="1"/>
        <v>234.375</v>
      </c>
      <c r="M32" s="13">
        <f t="shared" si="1"/>
        <v>234.375</v>
      </c>
      <c r="N32" s="158"/>
      <c r="O32" s="150"/>
      <c r="P32" s="151"/>
      <c r="Q32" s="2"/>
      <c r="R32" s="2"/>
      <c r="S32" s="2"/>
      <c r="T32" s="2"/>
      <c r="U32" s="2"/>
      <c r="V32" s="2"/>
      <c r="W32" s="2"/>
      <c r="X32" s="2"/>
      <c r="Y32" s="2"/>
      <c r="Z32" s="2"/>
    </row>
    <row r="33" spans="1:26" ht="15.75" customHeight="1">
      <c r="A33" s="6" t="s">
        <v>17</v>
      </c>
      <c r="B33" s="13">
        <f t="shared" ref="B33:M33" si="2">((B5/B12)*B19)/B26</f>
        <v>30.404040404040401</v>
      </c>
      <c r="C33" s="13">
        <f t="shared" si="2"/>
        <v>30.404040404040401</v>
      </c>
      <c r="D33" s="13">
        <f t="shared" si="2"/>
        <v>30.404040404040401</v>
      </c>
      <c r="E33" s="13">
        <f t="shared" si="2"/>
        <v>30.404040404040401</v>
      </c>
      <c r="F33" s="13">
        <f t="shared" si="2"/>
        <v>30.404040404040401</v>
      </c>
      <c r="G33" s="13">
        <f t="shared" si="2"/>
        <v>30.404040404040401</v>
      </c>
      <c r="H33" s="13">
        <f t="shared" si="2"/>
        <v>30.404040404040401</v>
      </c>
      <c r="I33" s="13">
        <f t="shared" si="2"/>
        <v>45.606060606060602</v>
      </c>
      <c r="J33" s="13">
        <f t="shared" si="2"/>
        <v>45.606060606060602</v>
      </c>
      <c r="K33" s="13">
        <f t="shared" si="2"/>
        <v>45.606060606060602</v>
      </c>
      <c r="L33" s="13">
        <f t="shared" si="2"/>
        <v>45.606060606060602</v>
      </c>
      <c r="M33" s="13">
        <f t="shared" si="2"/>
        <v>45.606060606060602</v>
      </c>
      <c r="N33" s="158"/>
      <c r="O33" s="150"/>
      <c r="P33" s="151"/>
      <c r="Q33" s="2"/>
      <c r="R33" s="2"/>
      <c r="S33" s="2"/>
      <c r="T33" s="2"/>
      <c r="U33" s="2"/>
      <c r="V33" s="2"/>
      <c r="W33" s="2"/>
      <c r="X33" s="2"/>
      <c r="Y33" s="2"/>
      <c r="Z33" s="2"/>
    </row>
    <row r="34" spans="1:26" ht="15.75" customHeight="1">
      <c r="A34" s="6" t="s">
        <v>18</v>
      </c>
      <c r="B34" s="13">
        <f t="shared" ref="B34:M34" si="3">((B6/B13)*B20)/B27</f>
        <v>57.142857142857139</v>
      </c>
      <c r="C34" s="13">
        <f t="shared" si="3"/>
        <v>57.142857142857139</v>
      </c>
      <c r="D34" s="13">
        <f t="shared" si="3"/>
        <v>57.142857142857139</v>
      </c>
      <c r="E34" s="13">
        <f t="shared" si="3"/>
        <v>57.142857142857139</v>
      </c>
      <c r="F34" s="13">
        <f t="shared" si="3"/>
        <v>57.142857142857139</v>
      </c>
      <c r="G34" s="13">
        <f t="shared" si="3"/>
        <v>57.142857142857139</v>
      </c>
      <c r="H34" s="13">
        <f t="shared" si="3"/>
        <v>57.142857142857139</v>
      </c>
      <c r="I34" s="13">
        <f t="shared" si="3"/>
        <v>64.285714285714278</v>
      </c>
      <c r="J34" s="13">
        <f t="shared" si="3"/>
        <v>64.285714285714278</v>
      </c>
      <c r="K34" s="13">
        <f t="shared" si="3"/>
        <v>64.285714285714278</v>
      </c>
      <c r="L34" s="13">
        <f t="shared" si="3"/>
        <v>64.285714285714278</v>
      </c>
      <c r="M34" s="13">
        <f t="shared" si="3"/>
        <v>64.285714285714278</v>
      </c>
      <c r="N34" s="159"/>
      <c r="O34" s="153"/>
      <c r="P34" s="154"/>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1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N2:P6"/>
    <mergeCell ref="N9:P13"/>
    <mergeCell ref="N16:P20"/>
    <mergeCell ref="N23:P27"/>
    <mergeCell ref="N30:P3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00"/>
  <sheetViews>
    <sheetView topLeftCell="A2" workbookViewId="0"/>
  </sheetViews>
  <sheetFormatPr baseColWidth="10" defaultColWidth="14.5" defaultRowHeight="15" customHeight="1"/>
  <cols>
    <col min="1" max="1" width="16.83203125" customWidth="1"/>
    <col min="2" max="2" width="25.5" customWidth="1"/>
    <col min="3" max="3" width="19.5" customWidth="1"/>
    <col min="4" max="6" width="14.5" customWidth="1"/>
    <col min="16" max="16" width="15.33203125" customWidth="1"/>
  </cols>
  <sheetData>
    <row r="1" spans="1:34" ht="15.75" customHeight="1">
      <c r="A1" s="9" t="s">
        <v>26</v>
      </c>
      <c r="B1" s="14"/>
      <c r="C1" s="14"/>
      <c r="D1" s="14"/>
      <c r="E1" s="14"/>
      <c r="F1" s="14"/>
      <c r="G1" s="14"/>
      <c r="H1" s="14"/>
      <c r="I1" s="14"/>
      <c r="J1" s="14"/>
      <c r="K1" s="14"/>
      <c r="L1" s="14"/>
      <c r="M1" s="14"/>
      <c r="N1" s="15"/>
      <c r="O1" s="15"/>
      <c r="P1" s="15"/>
      <c r="Q1" s="16"/>
      <c r="R1" s="16"/>
      <c r="S1" s="16"/>
      <c r="T1" s="16"/>
      <c r="U1" s="16"/>
      <c r="V1" s="16"/>
      <c r="W1" s="16"/>
      <c r="X1" s="16"/>
      <c r="Y1" s="16"/>
      <c r="Z1" s="16"/>
      <c r="AA1" s="16"/>
      <c r="AB1" s="16"/>
      <c r="AC1" s="2"/>
      <c r="AD1" s="2"/>
      <c r="AE1" s="2"/>
      <c r="AF1" s="2"/>
      <c r="AG1" s="2"/>
      <c r="AH1" s="2"/>
    </row>
    <row r="2" spans="1:34" ht="15.75" customHeight="1">
      <c r="A2" s="3" t="s">
        <v>1</v>
      </c>
      <c r="B2" s="4" t="s">
        <v>2</v>
      </c>
      <c r="C2" s="4" t="s">
        <v>3</v>
      </c>
      <c r="D2" s="4" t="s">
        <v>4</v>
      </c>
      <c r="E2" s="4" t="s">
        <v>5</v>
      </c>
      <c r="F2" s="4" t="s">
        <v>6</v>
      </c>
      <c r="G2" s="4" t="s">
        <v>7</v>
      </c>
      <c r="H2" s="4" t="s">
        <v>8</v>
      </c>
      <c r="I2" s="4" t="s">
        <v>9</v>
      </c>
      <c r="J2" s="4" t="s">
        <v>10</v>
      </c>
      <c r="K2" s="4" t="s">
        <v>11</v>
      </c>
      <c r="L2" s="4" t="s">
        <v>12</v>
      </c>
      <c r="M2" s="4" t="s">
        <v>13</v>
      </c>
      <c r="N2" s="155" t="s">
        <v>28</v>
      </c>
      <c r="O2" s="147"/>
      <c r="P2" s="148"/>
      <c r="Q2" s="2"/>
      <c r="R2" s="2"/>
      <c r="S2" s="2"/>
      <c r="T2" s="2"/>
      <c r="U2" s="2"/>
      <c r="V2" s="2"/>
      <c r="W2" s="2"/>
      <c r="X2" s="2"/>
      <c r="Y2" s="2"/>
      <c r="Z2" s="2"/>
      <c r="AA2" s="2"/>
      <c r="AB2" s="2"/>
      <c r="AC2" s="2"/>
      <c r="AD2" s="2"/>
      <c r="AE2" s="2"/>
      <c r="AF2" s="2"/>
      <c r="AG2" s="2"/>
      <c r="AH2" s="2"/>
    </row>
    <row r="3" spans="1:34" ht="15.75" customHeight="1">
      <c r="A3" s="6" t="s">
        <v>15</v>
      </c>
      <c r="B3" s="13">
        <f>('Lead Target by Month EXAMPLE'!B31)</f>
        <v>120</v>
      </c>
      <c r="C3" s="13">
        <f>('Lead Target by Month EXAMPLE'!C31)</f>
        <v>120</v>
      </c>
      <c r="D3" s="13">
        <f>('Lead Target by Month EXAMPLE'!D31)</f>
        <v>120</v>
      </c>
      <c r="E3" s="13">
        <f>('Lead Target by Month EXAMPLE'!E31)</f>
        <v>120</v>
      </c>
      <c r="F3" s="13">
        <f>('Lead Target by Month EXAMPLE'!F31)</f>
        <v>120</v>
      </c>
      <c r="G3" s="13">
        <f>('Lead Target by Month EXAMPLE'!G31)</f>
        <v>120</v>
      </c>
      <c r="H3" s="13">
        <f>('Lead Target by Month EXAMPLE'!H31)</f>
        <v>120</v>
      </c>
      <c r="I3" s="13">
        <f>('Lead Target by Month EXAMPLE'!I31)</f>
        <v>144</v>
      </c>
      <c r="J3" s="13">
        <f>('Lead Target by Month EXAMPLE'!J31)</f>
        <v>144</v>
      </c>
      <c r="K3" s="13">
        <f>('Lead Target by Month EXAMPLE'!K31)</f>
        <v>144</v>
      </c>
      <c r="L3" s="13">
        <f>('Lead Target by Month EXAMPLE'!L31)</f>
        <v>144</v>
      </c>
      <c r="M3" s="17">
        <v>206</v>
      </c>
      <c r="N3" s="149"/>
      <c r="O3" s="150"/>
      <c r="P3" s="151"/>
      <c r="Q3" s="2"/>
      <c r="R3" s="2"/>
      <c r="S3" s="2"/>
      <c r="T3" s="2"/>
      <c r="U3" s="2"/>
      <c r="V3" s="2"/>
      <c r="W3" s="2"/>
      <c r="X3" s="2"/>
      <c r="Y3" s="2"/>
      <c r="Z3" s="2"/>
      <c r="AA3" s="2"/>
      <c r="AB3" s="2"/>
      <c r="AC3" s="2"/>
      <c r="AD3" s="2"/>
      <c r="AE3" s="2"/>
      <c r="AF3" s="2"/>
      <c r="AG3" s="2"/>
      <c r="AH3" s="2"/>
    </row>
    <row r="4" spans="1:34" ht="15.75" customHeight="1">
      <c r="A4" s="6" t="s">
        <v>16</v>
      </c>
      <c r="B4" s="13">
        <f>('Lead Target by Month EXAMPLE'!B32)</f>
        <v>156.25</v>
      </c>
      <c r="C4" s="13">
        <f>('Lead Target by Month EXAMPLE'!C32)</f>
        <v>156.25</v>
      </c>
      <c r="D4" s="13">
        <f>('Lead Target by Month EXAMPLE'!D32)</f>
        <v>156.25</v>
      </c>
      <c r="E4" s="13">
        <f>('Lead Target by Month EXAMPLE'!E32)</f>
        <v>156.25</v>
      </c>
      <c r="F4" s="13">
        <f>('Lead Target by Month EXAMPLE'!F32)</f>
        <v>156.25</v>
      </c>
      <c r="G4" s="13">
        <f>('Lead Target by Month EXAMPLE'!G32)</f>
        <v>156.25</v>
      </c>
      <c r="H4" s="13">
        <f>('Lead Target by Month EXAMPLE'!H32)</f>
        <v>156.25</v>
      </c>
      <c r="I4" s="13">
        <f>('Lead Target by Month EXAMPLE'!I32)</f>
        <v>234.375</v>
      </c>
      <c r="J4" s="13">
        <f>('Lead Target by Month EXAMPLE'!J32)</f>
        <v>234.375</v>
      </c>
      <c r="K4" s="13">
        <f>('Lead Target by Month EXAMPLE'!K32)</f>
        <v>234.375</v>
      </c>
      <c r="L4" s="13">
        <f>('Lead Target by Month EXAMPLE'!L32)</f>
        <v>234.375</v>
      </c>
      <c r="M4" s="17">
        <v>386</v>
      </c>
      <c r="N4" s="149"/>
      <c r="O4" s="150"/>
      <c r="P4" s="151"/>
      <c r="Q4" s="2"/>
      <c r="R4" s="2"/>
      <c r="S4" s="2"/>
      <c r="T4" s="2"/>
      <c r="U4" s="2"/>
      <c r="V4" s="2"/>
      <c r="W4" s="2"/>
      <c r="X4" s="2"/>
      <c r="Y4" s="2"/>
      <c r="Z4" s="2"/>
      <c r="AA4" s="2"/>
      <c r="AB4" s="2"/>
      <c r="AC4" s="2"/>
      <c r="AD4" s="2"/>
      <c r="AE4" s="2"/>
      <c r="AF4" s="2"/>
      <c r="AG4" s="2"/>
      <c r="AH4" s="2"/>
    </row>
    <row r="5" spans="1:34" ht="15.75" customHeight="1">
      <c r="A5" s="6" t="s">
        <v>17</v>
      </c>
      <c r="B5" s="13">
        <f>('Lead Target by Month EXAMPLE'!B33)</f>
        <v>30.404040404040401</v>
      </c>
      <c r="C5" s="13">
        <f>('Lead Target by Month EXAMPLE'!C33)</f>
        <v>30.404040404040401</v>
      </c>
      <c r="D5" s="13">
        <f>('Lead Target by Month EXAMPLE'!D33)</f>
        <v>30.404040404040401</v>
      </c>
      <c r="E5" s="13">
        <f>('Lead Target by Month EXAMPLE'!E33)</f>
        <v>30.404040404040401</v>
      </c>
      <c r="F5" s="13">
        <f>('Lead Target by Month EXAMPLE'!F33)</f>
        <v>30.404040404040401</v>
      </c>
      <c r="G5" s="13">
        <f>('Lead Target by Month EXAMPLE'!G33)</f>
        <v>30.404040404040401</v>
      </c>
      <c r="H5" s="13">
        <f>('Lead Target by Month EXAMPLE'!H33)</f>
        <v>30.404040404040401</v>
      </c>
      <c r="I5" s="13">
        <f>('Lead Target by Month EXAMPLE'!I33)</f>
        <v>45.606060606060602</v>
      </c>
      <c r="J5" s="13">
        <f>('Lead Target by Month EXAMPLE'!J33)</f>
        <v>45.606060606060602</v>
      </c>
      <c r="K5" s="13">
        <f>('Lead Target by Month EXAMPLE'!K33)</f>
        <v>45.606060606060602</v>
      </c>
      <c r="L5" s="13">
        <f>('Lead Target by Month EXAMPLE'!L33)</f>
        <v>45.606060606060602</v>
      </c>
      <c r="M5" s="17">
        <v>46</v>
      </c>
      <c r="N5" s="149"/>
      <c r="O5" s="150"/>
      <c r="P5" s="151"/>
      <c r="Q5" s="2"/>
      <c r="R5" s="2"/>
      <c r="S5" s="2"/>
      <c r="T5" s="2"/>
      <c r="U5" s="2"/>
      <c r="V5" s="2"/>
      <c r="W5" s="2"/>
      <c r="X5" s="2"/>
      <c r="Y5" s="2"/>
      <c r="Z5" s="2"/>
      <c r="AA5" s="2"/>
      <c r="AB5" s="2"/>
      <c r="AC5" s="2"/>
      <c r="AD5" s="2"/>
      <c r="AE5" s="2"/>
      <c r="AF5" s="2"/>
      <c r="AG5" s="2"/>
      <c r="AH5" s="2"/>
    </row>
    <row r="6" spans="1:34" ht="15.75" customHeight="1">
      <c r="A6" s="6" t="s">
        <v>18</v>
      </c>
      <c r="B6" s="13">
        <f>('Lead Target by Month EXAMPLE'!B34)</f>
        <v>57.142857142857139</v>
      </c>
      <c r="C6" s="13">
        <f>('Lead Target by Month EXAMPLE'!C34)</f>
        <v>57.142857142857139</v>
      </c>
      <c r="D6" s="13">
        <f>('Lead Target by Month EXAMPLE'!D34)</f>
        <v>57.142857142857139</v>
      </c>
      <c r="E6" s="13">
        <f>('Lead Target by Month EXAMPLE'!E34)</f>
        <v>57.142857142857139</v>
      </c>
      <c r="F6" s="13">
        <f>('Lead Target by Month EXAMPLE'!F34)</f>
        <v>57.142857142857139</v>
      </c>
      <c r="G6" s="13">
        <f>('Lead Target by Month EXAMPLE'!G34)</f>
        <v>57.142857142857139</v>
      </c>
      <c r="H6" s="13">
        <f>('Lead Target by Month EXAMPLE'!H34)</f>
        <v>57.142857142857139</v>
      </c>
      <c r="I6" s="13">
        <f>('Lead Target by Month EXAMPLE'!I34)</f>
        <v>64.285714285714278</v>
      </c>
      <c r="J6" s="13">
        <f>('Lead Target by Month EXAMPLE'!J34)</f>
        <v>64.285714285714278</v>
      </c>
      <c r="K6" s="13">
        <f>('Lead Target by Month EXAMPLE'!K34)</f>
        <v>64.285714285714278</v>
      </c>
      <c r="L6" s="13">
        <f>('Lead Target by Month EXAMPLE'!L34)</f>
        <v>64.285714285714278</v>
      </c>
      <c r="M6" s="17">
        <v>52</v>
      </c>
      <c r="N6" s="152"/>
      <c r="O6" s="153"/>
      <c r="P6" s="154"/>
      <c r="Q6" s="2"/>
      <c r="R6" s="2"/>
      <c r="S6" s="2"/>
      <c r="T6" s="2"/>
      <c r="U6" s="2"/>
      <c r="V6" s="2"/>
      <c r="W6" s="2"/>
      <c r="X6" s="2"/>
      <c r="Y6" s="2"/>
      <c r="Z6" s="2"/>
      <c r="AA6" s="2"/>
      <c r="AB6" s="2"/>
      <c r="AC6" s="2"/>
      <c r="AD6" s="2"/>
      <c r="AE6" s="2"/>
      <c r="AF6" s="2"/>
      <c r="AG6" s="2"/>
      <c r="AH6" s="2"/>
    </row>
    <row r="7" spans="1:34" ht="15.75" customHeight="1">
      <c r="A7" s="4"/>
      <c r="B7" s="4" t="s">
        <v>2</v>
      </c>
      <c r="C7" s="4" t="s">
        <v>3</v>
      </c>
      <c r="D7" s="4" t="s">
        <v>4</v>
      </c>
      <c r="E7" s="4" t="s">
        <v>5</v>
      </c>
      <c r="F7" s="4" t="s">
        <v>6</v>
      </c>
      <c r="G7" s="4" t="s">
        <v>7</v>
      </c>
      <c r="H7" s="4" t="s">
        <v>8</v>
      </c>
      <c r="I7" s="4" t="s">
        <v>9</v>
      </c>
      <c r="J7" s="4" t="s">
        <v>10</v>
      </c>
      <c r="K7" s="4" t="s">
        <v>11</v>
      </c>
      <c r="L7" s="4" t="s">
        <v>12</v>
      </c>
      <c r="M7" s="4" t="s">
        <v>13</v>
      </c>
      <c r="N7" s="18"/>
      <c r="O7" s="18"/>
      <c r="P7" s="12"/>
      <c r="Q7" s="2"/>
      <c r="R7" s="2"/>
      <c r="S7" s="2"/>
      <c r="T7" s="2"/>
      <c r="U7" s="2"/>
      <c r="V7" s="2"/>
      <c r="W7" s="2"/>
      <c r="X7" s="2"/>
      <c r="Y7" s="2"/>
      <c r="Z7" s="2"/>
      <c r="AA7" s="2"/>
      <c r="AB7" s="2"/>
      <c r="AC7" s="2"/>
      <c r="AD7" s="2"/>
      <c r="AE7" s="2"/>
      <c r="AF7" s="2"/>
      <c r="AG7" s="2"/>
      <c r="AH7" s="2"/>
    </row>
    <row r="8" spans="1:34" ht="15.75" customHeight="1">
      <c r="A8" s="20" t="s">
        <v>29</v>
      </c>
      <c r="B8" s="21">
        <f t="shared" ref="B8:M8" si="0">SUM(B3:B6)</f>
        <v>363.79689754689753</v>
      </c>
      <c r="C8" s="21">
        <f t="shared" si="0"/>
        <v>363.79689754689753</v>
      </c>
      <c r="D8" s="21">
        <f t="shared" si="0"/>
        <v>363.79689754689753</v>
      </c>
      <c r="E8" s="21">
        <f t="shared" si="0"/>
        <v>363.79689754689753</v>
      </c>
      <c r="F8" s="21">
        <f t="shared" si="0"/>
        <v>363.79689754689753</v>
      </c>
      <c r="G8" s="21">
        <f t="shared" si="0"/>
        <v>363.79689754689753</v>
      </c>
      <c r="H8" s="21">
        <f t="shared" si="0"/>
        <v>363.79689754689753</v>
      </c>
      <c r="I8" s="21">
        <f t="shared" si="0"/>
        <v>488.2667748917749</v>
      </c>
      <c r="J8" s="21">
        <f t="shared" si="0"/>
        <v>488.2667748917749</v>
      </c>
      <c r="K8" s="21">
        <f t="shared" si="0"/>
        <v>488.2667748917749</v>
      </c>
      <c r="L8" s="21">
        <f t="shared" si="0"/>
        <v>488.2667748917749</v>
      </c>
      <c r="M8" s="20">
        <f t="shared" si="0"/>
        <v>690</v>
      </c>
      <c r="N8" s="18"/>
      <c r="O8" s="18"/>
      <c r="P8" s="12"/>
      <c r="Q8" s="2"/>
      <c r="R8" s="2"/>
      <c r="S8" s="2"/>
      <c r="T8" s="2"/>
      <c r="U8" s="2"/>
      <c r="V8" s="2"/>
      <c r="W8" s="2"/>
      <c r="X8" s="2"/>
      <c r="Y8" s="2"/>
      <c r="Z8" s="2"/>
      <c r="AA8" s="2"/>
      <c r="AB8" s="2"/>
      <c r="AC8" s="2"/>
      <c r="AD8" s="2"/>
      <c r="AE8" s="2"/>
      <c r="AF8" s="2"/>
      <c r="AG8" s="2"/>
      <c r="AH8" s="2"/>
    </row>
    <row r="9" spans="1:34" ht="13.5" customHeight="1">
      <c r="A9" s="22"/>
      <c r="B9" s="12"/>
      <c r="C9" s="12"/>
      <c r="D9" s="12"/>
      <c r="E9" s="12"/>
      <c r="F9" s="12"/>
      <c r="G9" s="12"/>
      <c r="H9" s="12"/>
      <c r="I9" s="12"/>
      <c r="J9" s="18"/>
      <c r="K9" s="18"/>
      <c r="L9" s="18"/>
      <c r="M9" s="18"/>
      <c r="N9" s="18"/>
      <c r="O9" s="18"/>
      <c r="P9" s="12"/>
      <c r="Q9" s="2"/>
      <c r="R9" s="2"/>
      <c r="S9" s="2"/>
      <c r="T9" s="2"/>
      <c r="U9" s="2"/>
      <c r="V9" s="2"/>
      <c r="W9" s="2"/>
      <c r="X9" s="2"/>
      <c r="Y9" s="2"/>
      <c r="Z9" s="2"/>
      <c r="AA9" s="2"/>
      <c r="AB9" s="2"/>
      <c r="AC9" s="2"/>
      <c r="AD9" s="2"/>
      <c r="AE9" s="2"/>
      <c r="AF9" s="2"/>
      <c r="AG9" s="2"/>
      <c r="AH9" s="2"/>
    </row>
    <row r="10" spans="1:34" ht="18.75" customHeight="1">
      <c r="A10" s="9" t="s">
        <v>30</v>
      </c>
      <c r="B10" s="23"/>
      <c r="C10" s="23"/>
      <c r="D10" s="23"/>
      <c r="E10" s="23"/>
      <c r="F10" s="23"/>
      <c r="G10" s="23"/>
      <c r="H10" s="23"/>
      <c r="I10" s="23"/>
      <c r="J10" s="23"/>
      <c r="K10" s="23"/>
      <c r="L10" s="23"/>
      <c r="M10" s="23"/>
      <c r="N10" s="12"/>
      <c r="O10" s="12"/>
      <c r="P10" s="12"/>
      <c r="Q10" s="2"/>
      <c r="R10" s="2"/>
      <c r="S10" s="2"/>
      <c r="T10" s="2"/>
      <c r="U10" s="2"/>
      <c r="V10" s="2"/>
      <c r="W10" s="2"/>
      <c r="X10" s="2"/>
      <c r="Y10" s="2"/>
      <c r="Z10" s="2"/>
      <c r="AA10" s="2"/>
      <c r="AB10" s="2"/>
      <c r="AC10" s="2"/>
      <c r="AD10" s="2"/>
      <c r="AE10" s="2"/>
      <c r="AF10" s="2"/>
      <c r="AG10" s="2"/>
      <c r="AH10" s="2"/>
    </row>
    <row r="11" spans="1:34" ht="15.75" customHeight="1">
      <c r="A11" s="3" t="s">
        <v>1</v>
      </c>
      <c r="B11" s="4" t="s">
        <v>2</v>
      </c>
      <c r="C11" s="4" t="s">
        <v>3</v>
      </c>
      <c r="D11" s="4" t="s">
        <v>4</v>
      </c>
      <c r="E11" s="4" t="s">
        <v>5</v>
      </c>
      <c r="F11" s="4" t="s">
        <v>6</v>
      </c>
      <c r="G11" s="4" t="s">
        <v>7</v>
      </c>
      <c r="H11" s="4" t="s">
        <v>8</v>
      </c>
      <c r="I11" s="4" t="s">
        <v>9</v>
      </c>
      <c r="J11" s="4" t="s">
        <v>10</v>
      </c>
      <c r="K11" s="4" t="s">
        <v>11</v>
      </c>
      <c r="L11" s="4" t="s">
        <v>12</v>
      </c>
      <c r="M11" s="4" t="s">
        <v>13</v>
      </c>
      <c r="N11" s="155" t="s">
        <v>31</v>
      </c>
      <c r="O11" s="147"/>
      <c r="P11" s="148"/>
      <c r="Q11" s="2"/>
      <c r="R11" s="2"/>
      <c r="S11" s="2"/>
      <c r="T11" s="2"/>
      <c r="U11" s="2"/>
      <c r="V11" s="2"/>
      <c r="W11" s="2"/>
      <c r="X11" s="2"/>
      <c r="Y11" s="2"/>
      <c r="Z11" s="2"/>
      <c r="AA11" s="2"/>
      <c r="AB11" s="2"/>
      <c r="AC11" s="2"/>
      <c r="AD11" s="2"/>
      <c r="AE11" s="2"/>
      <c r="AF11" s="2"/>
      <c r="AG11" s="2"/>
      <c r="AH11" s="2"/>
    </row>
    <row r="12" spans="1:34" ht="15.75" customHeight="1">
      <c r="A12" s="6" t="s">
        <v>15</v>
      </c>
      <c r="B12" s="17">
        <v>150</v>
      </c>
      <c r="C12" s="17">
        <v>170</v>
      </c>
      <c r="D12" s="17">
        <v>190</v>
      </c>
      <c r="E12" s="17">
        <v>210</v>
      </c>
      <c r="F12" s="17">
        <v>230</v>
      </c>
      <c r="G12" s="17">
        <v>250</v>
      </c>
      <c r="H12" s="17">
        <v>270</v>
      </c>
      <c r="I12" s="17">
        <v>290</v>
      </c>
      <c r="J12" s="17">
        <v>310</v>
      </c>
      <c r="K12" s="17">
        <v>330</v>
      </c>
      <c r="L12" s="17">
        <v>350</v>
      </c>
      <c r="M12" s="17">
        <v>370</v>
      </c>
      <c r="N12" s="149"/>
      <c r="O12" s="150"/>
      <c r="P12" s="151"/>
      <c r="Q12" s="2"/>
      <c r="R12" s="2"/>
      <c r="S12" s="2"/>
      <c r="T12" s="2"/>
      <c r="U12" s="2"/>
      <c r="V12" s="2"/>
      <c r="W12" s="2"/>
      <c r="X12" s="2"/>
      <c r="Y12" s="2"/>
      <c r="Z12" s="2"/>
      <c r="AA12" s="2"/>
      <c r="AB12" s="2"/>
      <c r="AC12" s="2"/>
      <c r="AD12" s="2"/>
      <c r="AE12" s="2"/>
      <c r="AF12" s="2"/>
      <c r="AG12" s="2"/>
      <c r="AH12" s="2"/>
    </row>
    <row r="13" spans="1:34" ht="15.75" customHeight="1">
      <c r="A13" s="6" t="s">
        <v>16</v>
      </c>
      <c r="B13" s="17">
        <v>160</v>
      </c>
      <c r="C13" s="17">
        <v>180</v>
      </c>
      <c r="D13" s="17">
        <v>200</v>
      </c>
      <c r="E13" s="17">
        <v>220</v>
      </c>
      <c r="F13" s="17">
        <v>240</v>
      </c>
      <c r="G13" s="17">
        <v>260</v>
      </c>
      <c r="H13" s="17">
        <v>280</v>
      </c>
      <c r="I13" s="17">
        <v>300</v>
      </c>
      <c r="J13" s="17">
        <v>320</v>
      </c>
      <c r="K13" s="17">
        <v>340</v>
      </c>
      <c r="L13" s="17">
        <v>360</v>
      </c>
      <c r="M13" s="17">
        <v>380</v>
      </c>
      <c r="N13" s="149"/>
      <c r="O13" s="150"/>
      <c r="P13" s="151"/>
      <c r="Q13" s="2"/>
      <c r="R13" s="2"/>
      <c r="S13" s="2"/>
      <c r="T13" s="2"/>
      <c r="U13" s="2"/>
      <c r="V13" s="2"/>
      <c r="W13" s="2"/>
      <c r="X13" s="2"/>
      <c r="Y13" s="2"/>
      <c r="Z13" s="2"/>
      <c r="AA13" s="2"/>
      <c r="AB13" s="2"/>
      <c r="AC13" s="2"/>
      <c r="AD13" s="2"/>
      <c r="AE13" s="2"/>
      <c r="AF13" s="2"/>
      <c r="AG13" s="2"/>
      <c r="AH13" s="2"/>
    </row>
    <row r="14" spans="1:34" ht="15.75" customHeight="1">
      <c r="A14" s="6" t="s">
        <v>17</v>
      </c>
      <c r="B14" s="17">
        <v>45</v>
      </c>
      <c r="C14" s="17">
        <v>65</v>
      </c>
      <c r="D14" s="17">
        <v>85</v>
      </c>
      <c r="E14" s="17">
        <v>105</v>
      </c>
      <c r="F14" s="17">
        <v>125</v>
      </c>
      <c r="G14" s="17">
        <v>145</v>
      </c>
      <c r="H14" s="17">
        <v>165</v>
      </c>
      <c r="I14" s="17">
        <v>185</v>
      </c>
      <c r="J14" s="17">
        <v>205</v>
      </c>
      <c r="K14" s="17">
        <v>225</v>
      </c>
      <c r="L14" s="17">
        <v>245</v>
      </c>
      <c r="M14" s="17">
        <v>265</v>
      </c>
      <c r="N14" s="149"/>
      <c r="O14" s="150"/>
      <c r="P14" s="151"/>
      <c r="Q14" s="2"/>
      <c r="R14" s="2"/>
      <c r="S14" s="2"/>
      <c r="T14" s="2"/>
      <c r="U14" s="2"/>
      <c r="V14" s="2"/>
      <c r="W14" s="2"/>
      <c r="X14" s="2"/>
      <c r="Y14" s="2"/>
      <c r="Z14" s="2"/>
      <c r="AA14" s="2"/>
      <c r="AB14" s="2"/>
      <c r="AC14" s="2"/>
      <c r="AD14" s="2"/>
      <c r="AE14" s="2"/>
      <c r="AF14" s="2"/>
      <c r="AG14" s="2"/>
      <c r="AH14" s="2"/>
    </row>
    <row r="15" spans="1:34" ht="15.75" customHeight="1">
      <c r="A15" s="6" t="s">
        <v>18</v>
      </c>
      <c r="B15" s="17">
        <v>60</v>
      </c>
      <c r="C15" s="17">
        <v>80</v>
      </c>
      <c r="D15" s="17">
        <v>100</v>
      </c>
      <c r="E15" s="17">
        <v>120</v>
      </c>
      <c r="F15" s="17">
        <v>140</v>
      </c>
      <c r="G15" s="17">
        <v>160</v>
      </c>
      <c r="H15" s="17">
        <v>180</v>
      </c>
      <c r="I15" s="17">
        <v>200</v>
      </c>
      <c r="J15" s="17">
        <v>220</v>
      </c>
      <c r="K15" s="17">
        <v>240</v>
      </c>
      <c r="L15" s="17">
        <v>260</v>
      </c>
      <c r="M15" s="17">
        <v>280</v>
      </c>
      <c r="N15" s="152"/>
      <c r="O15" s="153"/>
      <c r="P15" s="154"/>
      <c r="Q15" s="2"/>
      <c r="R15" s="2"/>
      <c r="S15" s="2"/>
      <c r="T15" s="2"/>
      <c r="U15" s="2"/>
      <c r="V15" s="2"/>
      <c r="W15" s="2"/>
      <c r="X15" s="2"/>
      <c r="Y15" s="2"/>
      <c r="Z15" s="2"/>
      <c r="AA15" s="2"/>
      <c r="AB15" s="2"/>
      <c r="AC15" s="2"/>
      <c r="AD15" s="2"/>
      <c r="AE15" s="2"/>
      <c r="AF15" s="2"/>
      <c r="AG15" s="2"/>
      <c r="AH15" s="2"/>
    </row>
    <row r="16" spans="1:34" ht="15.75" customHeight="1">
      <c r="A16" s="4"/>
      <c r="B16" s="4" t="s">
        <v>2</v>
      </c>
      <c r="C16" s="4" t="s">
        <v>3</v>
      </c>
      <c r="D16" s="4" t="s">
        <v>4</v>
      </c>
      <c r="E16" s="4" t="s">
        <v>5</v>
      </c>
      <c r="F16" s="4" t="s">
        <v>6</v>
      </c>
      <c r="G16" s="4" t="s">
        <v>7</v>
      </c>
      <c r="H16" s="4" t="s">
        <v>8</v>
      </c>
      <c r="I16" s="4" t="s">
        <v>9</v>
      </c>
      <c r="J16" s="4" t="s">
        <v>10</v>
      </c>
      <c r="K16" s="4" t="s">
        <v>11</v>
      </c>
      <c r="L16" s="4" t="s">
        <v>12</v>
      </c>
      <c r="M16" s="4" t="s">
        <v>13</v>
      </c>
      <c r="N16" s="12"/>
      <c r="O16" s="12"/>
      <c r="P16" s="12"/>
      <c r="Q16" s="2"/>
      <c r="R16" s="2"/>
      <c r="S16" s="2"/>
      <c r="T16" s="2"/>
      <c r="U16" s="2"/>
      <c r="V16" s="2"/>
      <c r="W16" s="2"/>
      <c r="X16" s="2"/>
      <c r="Y16" s="2"/>
      <c r="Z16" s="2"/>
      <c r="AA16" s="2"/>
      <c r="AB16" s="2"/>
      <c r="AC16" s="2"/>
      <c r="AD16" s="2"/>
      <c r="AE16" s="2"/>
      <c r="AF16" s="2"/>
      <c r="AG16" s="2"/>
      <c r="AH16" s="2"/>
    </row>
    <row r="17" spans="1:34" ht="15.75" customHeight="1">
      <c r="A17" s="20" t="s">
        <v>32</v>
      </c>
      <c r="B17" s="21">
        <f t="shared" ref="B17:M17" si="1">SUM(B12:B15)</f>
        <v>415</v>
      </c>
      <c r="C17" s="21">
        <f t="shared" si="1"/>
        <v>495</v>
      </c>
      <c r="D17" s="21">
        <f t="shared" si="1"/>
        <v>575</v>
      </c>
      <c r="E17" s="21">
        <f t="shared" si="1"/>
        <v>655</v>
      </c>
      <c r="F17" s="21">
        <f t="shared" si="1"/>
        <v>735</v>
      </c>
      <c r="G17" s="21">
        <f t="shared" si="1"/>
        <v>815</v>
      </c>
      <c r="H17" s="21">
        <f t="shared" si="1"/>
        <v>895</v>
      </c>
      <c r="I17" s="21">
        <f t="shared" si="1"/>
        <v>975</v>
      </c>
      <c r="J17" s="21">
        <f t="shared" si="1"/>
        <v>1055</v>
      </c>
      <c r="K17" s="21">
        <f t="shared" si="1"/>
        <v>1135</v>
      </c>
      <c r="L17" s="21">
        <f t="shared" si="1"/>
        <v>1215</v>
      </c>
      <c r="M17" s="21">
        <f t="shared" si="1"/>
        <v>1295</v>
      </c>
      <c r="N17" s="155" t="s">
        <v>33</v>
      </c>
      <c r="O17" s="147"/>
      <c r="P17" s="148"/>
      <c r="Q17" s="2"/>
      <c r="R17" s="2"/>
      <c r="S17" s="2"/>
      <c r="T17" s="2"/>
      <c r="U17" s="2"/>
      <c r="V17" s="2"/>
      <c r="W17" s="2"/>
      <c r="X17" s="2"/>
      <c r="Y17" s="2"/>
      <c r="Z17" s="2"/>
      <c r="AA17" s="2"/>
      <c r="AB17" s="2"/>
      <c r="AC17" s="2"/>
      <c r="AD17" s="2"/>
      <c r="AE17" s="2"/>
      <c r="AF17" s="2"/>
      <c r="AG17" s="2"/>
      <c r="AH17" s="2"/>
    </row>
    <row r="18" spans="1:34" ht="15.75" customHeight="1">
      <c r="A18" s="20" t="s">
        <v>34</v>
      </c>
      <c r="B18" s="21">
        <f t="shared" ref="B18:M18" si="2">SUM(B3:B6)</f>
        <v>363.79689754689753</v>
      </c>
      <c r="C18" s="21">
        <f t="shared" si="2"/>
        <v>363.79689754689753</v>
      </c>
      <c r="D18" s="21">
        <f t="shared" si="2"/>
        <v>363.79689754689753</v>
      </c>
      <c r="E18" s="21">
        <f t="shared" si="2"/>
        <v>363.79689754689753</v>
      </c>
      <c r="F18" s="21">
        <f t="shared" si="2"/>
        <v>363.79689754689753</v>
      </c>
      <c r="G18" s="21">
        <f t="shared" si="2"/>
        <v>363.79689754689753</v>
      </c>
      <c r="H18" s="21">
        <f t="shared" si="2"/>
        <v>363.79689754689753</v>
      </c>
      <c r="I18" s="21">
        <f t="shared" si="2"/>
        <v>488.2667748917749</v>
      </c>
      <c r="J18" s="21">
        <f t="shared" si="2"/>
        <v>488.2667748917749</v>
      </c>
      <c r="K18" s="21">
        <f t="shared" si="2"/>
        <v>488.2667748917749</v>
      </c>
      <c r="L18" s="21">
        <f t="shared" si="2"/>
        <v>488.2667748917749</v>
      </c>
      <c r="M18" s="20">
        <f t="shared" si="2"/>
        <v>690</v>
      </c>
      <c r="N18" s="152"/>
      <c r="O18" s="153"/>
      <c r="P18" s="154"/>
      <c r="Q18" s="2"/>
      <c r="R18" s="2"/>
      <c r="S18" s="2"/>
      <c r="T18" s="2"/>
      <c r="U18" s="2"/>
      <c r="V18" s="2"/>
      <c r="W18" s="2"/>
      <c r="X18" s="2"/>
      <c r="Y18" s="2"/>
      <c r="Z18" s="2"/>
      <c r="AA18" s="2"/>
      <c r="AB18" s="2"/>
      <c r="AC18" s="2"/>
      <c r="AD18" s="2"/>
      <c r="AE18" s="2"/>
      <c r="AF18" s="2"/>
      <c r="AG18" s="2"/>
      <c r="AH18" s="2"/>
    </row>
    <row r="19" spans="1:34" ht="15.75" customHeight="1">
      <c r="A19" s="8"/>
      <c r="B19" s="12"/>
      <c r="C19" s="12"/>
      <c r="D19" s="12"/>
      <c r="E19" s="22"/>
      <c r="F19" s="22"/>
      <c r="G19" s="22"/>
      <c r="H19" s="22"/>
      <c r="I19" s="22"/>
      <c r="J19" s="22"/>
      <c r="K19" s="22"/>
      <c r="L19" s="22"/>
      <c r="M19" s="22"/>
      <c r="N19" s="12"/>
      <c r="O19" s="12"/>
      <c r="P19" s="12"/>
      <c r="Q19" s="2"/>
      <c r="R19" s="2"/>
      <c r="S19" s="2"/>
      <c r="T19" s="2"/>
      <c r="U19" s="2"/>
      <c r="V19" s="2"/>
      <c r="W19" s="2"/>
      <c r="X19" s="2"/>
      <c r="Y19" s="2"/>
      <c r="Z19" s="2"/>
      <c r="AA19" s="2"/>
      <c r="AB19" s="2"/>
      <c r="AC19" s="2"/>
      <c r="AD19" s="2"/>
      <c r="AE19" s="2"/>
      <c r="AF19" s="2"/>
      <c r="AG19" s="2"/>
      <c r="AH19" s="2"/>
    </row>
    <row r="20" spans="1:34" ht="15.75" customHeight="1">
      <c r="A20" s="9" t="s">
        <v>35</v>
      </c>
      <c r="B20" s="12"/>
      <c r="C20" s="12"/>
      <c r="D20" s="12"/>
      <c r="E20" s="22"/>
      <c r="F20" s="22"/>
      <c r="G20" s="22"/>
      <c r="H20" s="22"/>
      <c r="I20" s="22"/>
      <c r="J20" s="22"/>
      <c r="K20" s="22"/>
      <c r="L20" s="22"/>
      <c r="M20" s="22"/>
      <c r="N20" s="12"/>
      <c r="O20" s="12"/>
      <c r="P20" s="12"/>
      <c r="Q20" s="2"/>
      <c r="R20" s="2"/>
      <c r="S20" s="2"/>
      <c r="T20" s="2"/>
      <c r="U20" s="2"/>
      <c r="V20" s="2"/>
      <c r="W20" s="2"/>
      <c r="X20" s="2"/>
      <c r="Y20" s="2"/>
      <c r="Z20" s="2"/>
      <c r="AA20" s="2"/>
      <c r="AB20" s="2"/>
      <c r="AC20" s="2"/>
      <c r="AD20" s="2"/>
      <c r="AE20" s="2"/>
      <c r="AF20" s="2"/>
      <c r="AG20" s="2"/>
      <c r="AH20" s="2"/>
    </row>
    <row r="21" spans="1:34" ht="15.75" customHeight="1">
      <c r="A21" s="3" t="s">
        <v>1</v>
      </c>
      <c r="B21" s="4" t="s">
        <v>2</v>
      </c>
      <c r="C21" s="4" t="s">
        <v>3</v>
      </c>
      <c r="D21" s="4" t="s">
        <v>4</v>
      </c>
      <c r="E21" s="4" t="s">
        <v>5</v>
      </c>
      <c r="F21" s="4" t="s">
        <v>6</v>
      </c>
      <c r="G21" s="4" t="s">
        <v>7</v>
      </c>
      <c r="H21" s="4" t="s">
        <v>8</v>
      </c>
      <c r="I21" s="4" t="s">
        <v>9</v>
      </c>
      <c r="J21" s="4" t="s">
        <v>10</v>
      </c>
      <c r="K21" s="4" t="s">
        <v>11</v>
      </c>
      <c r="L21" s="4" t="s">
        <v>12</v>
      </c>
      <c r="M21" s="4" t="s">
        <v>13</v>
      </c>
      <c r="N21" s="155" t="s">
        <v>36</v>
      </c>
      <c r="O21" s="147"/>
      <c r="P21" s="148"/>
      <c r="Q21" s="2"/>
      <c r="R21" s="2"/>
      <c r="S21" s="2"/>
      <c r="T21" s="2"/>
      <c r="U21" s="2"/>
      <c r="V21" s="2"/>
      <c r="W21" s="2"/>
      <c r="X21" s="2"/>
      <c r="Y21" s="2"/>
      <c r="Z21" s="2"/>
      <c r="AA21" s="2"/>
      <c r="AB21" s="2"/>
      <c r="AC21" s="2"/>
      <c r="AD21" s="2"/>
      <c r="AE21" s="2"/>
      <c r="AF21" s="2"/>
      <c r="AG21" s="2"/>
      <c r="AH21" s="2"/>
    </row>
    <row r="22" spans="1:34" ht="15.75" customHeight="1">
      <c r="A22" s="6" t="s">
        <v>15</v>
      </c>
      <c r="B22" s="24">
        <f t="shared" ref="B22:M22" si="3">B12/B3</f>
        <v>1.25</v>
      </c>
      <c r="C22" s="24">
        <f t="shared" si="3"/>
        <v>1.4166666666666667</v>
      </c>
      <c r="D22" s="24">
        <f t="shared" si="3"/>
        <v>1.5833333333333333</v>
      </c>
      <c r="E22" s="24">
        <f t="shared" si="3"/>
        <v>1.75</v>
      </c>
      <c r="F22" s="24">
        <f t="shared" si="3"/>
        <v>1.9166666666666667</v>
      </c>
      <c r="G22" s="24">
        <f t="shared" si="3"/>
        <v>2.0833333333333335</v>
      </c>
      <c r="H22" s="24">
        <f t="shared" si="3"/>
        <v>2.25</v>
      </c>
      <c r="I22" s="24">
        <f t="shared" si="3"/>
        <v>2.0138888888888888</v>
      </c>
      <c r="J22" s="24">
        <f t="shared" si="3"/>
        <v>2.1527777777777777</v>
      </c>
      <c r="K22" s="24">
        <f t="shared" si="3"/>
        <v>2.2916666666666665</v>
      </c>
      <c r="L22" s="24">
        <f t="shared" si="3"/>
        <v>2.4305555555555554</v>
      </c>
      <c r="M22" s="24">
        <f t="shared" si="3"/>
        <v>1.796116504854369</v>
      </c>
      <c r="N22" s="149"/>
      <c r="O22" s="150"/>
      <c r="P22" s="151"/>
      <c r="Q22" s="2"/>
      <c r="R22" s="2"/>
      <c r="S22" s="2"/>
      <c r="T22" s="2"/>
      <c r="U22" s="2"/>
      <c r="V22" s="2"/>
      <c r="W22" s="2"/>
      <c r="X22" s="2"/>
      <c r="Y22" s="2"/>
      <c r="Z22" s="2"/>
      <c r="AA22" s="2"/>
      <c r="AB22" s="2"/>
      <c r="AC22" s="2"/>
      <c r="AD22" s="2"/>
      <c r="AE22" s="2"/>
      <c r="AF22" s="2"/>
      <c r="AG22" s="2"/>
      <c r="AH22" s="2"/>
    </row>
    <row r="23" spans="1:34" ht="15.75" customHeight="1">
      <c r="A23" s="6" t="s">
        <v>16</v>
      </c>
      <c r="B23" s="24">
        <f t="shared" ref="B23:M23" si="4">B13/B4</f>
        <v>1.024</v>
      </c>
      <c r="C23" s="24">
        <f t="shared" si="4"/>
        <v>1.1519999999999999</v>
      </c>
      <c r="D23" s="24">
        <f t="shared" si="4"/>
        <v>1.28</v>
      </c>
      <c r="E23" s="24">
        <f t="shared" si="4"/>
        <v>1.4079999999999999</v>
      </c>
      <c r="F23" s="24">
        <f t="shared" si="4"/>
        <v>1.536</v>
      </c>
      <c r="G23" s="24">
        <f t="shared" si="4"/>
        <v>1.6639999999999999</v>
      </c>
      <c r="H23" s="24">
        <f t="shared" si="4"/>
        <v>1.792</v>
      </c>
      <c r="I23" s="24">
        <f t="shared" si="4"/>
        <v>1.28</v>
      </c>
      <c r="J23" s="24">
        <f t="shared" si="4"/>
        <v>1.3653333333333333</v>
      </c>
      <c r="K23" s="24">
        <f t="shared" si="4"/>
        <v>1.4506666666666668</v>
      </c>
      <c r="L23" s="24">
        <f t="shared" si="4"/>
        <v>1.536</v>
      </c>
      <c r="M23" s="24">
        <f t="shared" si="4"/>
        <v>0.98445595854922274</v>
      </c>
      <c r="N23" s="149"/>
      <c r="O23" s="150"/>
      <c r="P23" s="151"/>
      <c r="Q23" s="2"/>
      <c r="R23" s="2"/>
      <c r="S23" s="2"/>
      <c r="T23" s="2"/>
      <c r="U23" s="2"/>
      <c r="V23" s="2"/>
      <c r="W23" s="2"/>
      <c r="X23" s="2"/>
      <c r="Y23" s="2"/>
      <c r="Z23" s="2"/>
      <c r="AA23" s="2"/>
      <c r="AB23" s="2"/>
      <c r="AC23" s="2"/>
      <c r="AD23" s="2"/>
      <c r="AE23" s="2"/>
      <c r="AF23" s="2"/>
      <c r="AG23" s="2"/>
      <c r="AH23" s="2"/>
    </row>
    <row r="24" spans="1:34" ht="15.75" customHeight="1">
      <c r="A24" s="6" t="s">
        <v>17</v>
      </c>
      <c r="B24" s="24">
        <f t="shared" ref="B24:M24" si="5">B14/B5</f>
        <v>1.4800664451827243</v>
      </c>
      <c r="C24" s="24">
        <f t="shared" si="5"/>
        <v>2.1378737541528241</v>
      </c>
      <c r="D24" s="24">
        <f t="shared" si="5"/>
        <v>2.7956810631229239</v>
      </c>
      <c r="E24" s="24">
        <f t="shared" si="5"/>
        <v>3.4534883720930236</v>
      </c>
      <c r="F24" s="24">
        <f t="shared" si="5"/>
        <v>4.1112956810631234</v>
      </c>
      <c r="G24" s="24">
        <f t="shared" si="5"/>
        <v>4.7691029900332227</v>
      </c>
      <c r="H24" s="24">
        <f t="shared" si="5"/>
        <v>5.4269102990033229</v>
      </c>
      <c r="I24" s="24">
        <f t="shared" si="5"/>
        <v>4.0564784053156151</v>
      </c>
      <c r="J24" s="24">
        <f t="shared" si="5"/>
        <v>4.4950166112956813</v>
      </c>
      <c r="K24" s="24">
        <f t="shared" si="5"/>
        <v>4.9335548172757475</v>
      </c>
      <c r="L24" s="24">
        <f t="shared" si="5"/>
        <v>5.3720930232558146</v>
      </c>
      <c r="M24" s="24">
        <f t="shared" si="5"/>
        <v>5.7608695652173916</v>
      </c>
      <c r="N24" s="149"/>
      <c r="O24" s="150"/>
      <c r="P24" s="151"/>
      <c r="Q24" s="2"/>
      <c r="R24" s="2"/>
      <c r="S24" s="2"/>
      <c r="T24" s="2"/>
      <c r="U24" s="2"/>
      <c r="V24" s="2"/>
      <c r="W24" s="2"/>
      <c r="X24" s="2"/>
      <c r="Y24" s="2"/>
      <c r="Z24" s="2"/>
      <c r="AA24" s="2"/>
      <c r="AB24" s="2"/>
      <c r="AC24" s="2"/>
      <c r="AD24" s="2"/>
      <c r="AE24" s="2"/>
      <c r="AF24" s="2"/>
      <c r="AG24" s="2"/>
      <c r="AH24" s="2"/>
    </row>
    <row r="25" spans="1:34" ht="15.75" customHeight="1">
      <c r="A25" s="6" t="s">
        <v>18</v>
      </c>
      <c r="B25" s="24">
        <f t="shared" ref="B25:M25" si="6">B15/B6</f>
        <v>1.05</v>
      </c>
      <c r="C25" s="24">
        <f t="shared" si="6"/>
        <v>1.4000000000000001</v>
      </c>
      <c r="D25" s="24">
        <f t="shared" si="6"/>
        <v>1.7500000000000002</v>
      </c>
      <c r="E25" s="24">
        <f t="shared" si="6"/>
        <v>2.1</v>
      </c>
      <c r="F25" s="24">
        <f t="shared" si="6"/>
        <v>2.4500000000000002</v>
      </c>
      <c r="G25" s="24">
        <f t="shared" si="6"/>
        <v>2.8000000000000003</v>
      </c>
      <c r="H25" s="24">
        <f t="shared" si="6"/>
        <v>3.1500000000000004</v>
      </c>
      <c r="I25" s="24">
        <f t="shared" si="6"/>
        <v>3.1111111111111116</v>
      </c>
      <c r="J25" s="24">
        <f t="shared" si="6"/>
        <v>3.4222222222222225</v>
      </c>
      <c r="K25" s="24">
        <f t="shared" si="6"/>
        <v>3.7333333333333338</v>
      </c>
      <c r="L25" s="24">
        <f t="shared" si="6"/>
        <v>4.0444444444444452</v>
      </c>
      <c r="M25" s="24">
        <f t="shared" si="6"/>
        <v>5.384615384615385</v>
      </c>
      <c r="N25" s="152"/>
      <c r="O25" s="153"/>
      <c r="P25" s="154"/>
      <c r="Q25" s="2"/>
      <c r="R25" s="2"/>
      <c r="S25" s="2"/>
      <c r="T25" s="2"/>
      <c r="U25" s="2"/>
      <c r="V25" s="2"/>
      <c r="W25" s="2"/>
      <c r="X25" s="22"/>
      <c r="Y25" s="22"/>
      <c r="Z25" s="22"/>
      <c r="AA25" s="22"/>
      <c r="AB25" s="22"/>
      <c r="AC25" s="22"/>
      <c r="AD25" s="22"/>
      <c r="AE25" s="22"/>
      <c r="AF25" s="22"/>
      <c r="AG25" s="22"/>
      <c r="AH25" s="22"/>
    </row>
    <row r="26" spans="1:34" ht="15.75" customHeight="1">
      <c r="A26" s="3"/>
      <c r="B26" s="4" t="s">
        <v>2</v>
      </c>
      <c r="C26" s="4" t="s">
        <v>3</v>
      </c>
      <c r="D26" s="4" t="s">
        <v>4</v>
      </c>
      <c r="E26" s="4" t="s">
        <v>5</v>
      </c>
      <c r="F26" s="4" t="s">
        <v>6</v>
      </c>
      <c r="G26" s="4" t="s">
        <v>7</v>
      </c>
      <c r="H26" s="4" t="s">
        <v>8</v>
      </c>
      <c r="I26" s="4" t="s">
        <v>9</v>
      </c>
      <c r="J26" s="4" t="s">
        <v>10</v>
      </c>
      <c r="K26" s="4" t="s">
        <v>11</v>
      </c>
      <c r="L26" s="4" t="s">
        <v>12</v>
      </c>
      <c r="M26" s="4" t="s">
        <v>13</v>
      </c>
      <c r="N26" s="22"/>
      <c r="O26" s="22"/>
      <c r="P26" s="22"/>
      <c r="Q26" s="22"/>
      <c r="R26" s="22"/>
      <c r="S26" s="22"/>
      <c r="T26" s="22"/>
      <c r="U26" s="22"/>
      <c r="V26" s="22"/>
      <c r="W26" s="22"/>
      <c r="X26" s="22"/>
      <c r="Y26" s="22"/>
      <c r="Z26" s="22"/>
      <c r="AA26" s="22"/>
      <c r="AB26" s="22"/>
      <c r="AC26" s="22"/>
      <c r="AD26" s="22"/>
      <c r="AE26" s="22"/>
      <c r="AF26" s="22"/>
      <c r="AG26" s="22"/>
      <c r="AH26" s="22"/>
    </row>
    <row r="27" spans="1:34" ht="15.75" customHeight="1">
      <c r="A27" s="20" t="s">
        <v>37</v>
      </c>
      <c r="B27" s="25">
        <f t="shared" ref="B27:M27" si="7">B17/B8</f>
        <v>1.1407463966800371</v>
      </c>
      <c r="C27" s="25">
        <f t="shared" si="7"/>
        <v>1.360649316521972</v>
      </c>
      <c r="D27" s="25">
        <f t="shared" si="7"/>
        <v>1.5805522363639068</v>
      </c>
      <c r="E27" s="25">
        <f t="shared" si="7"/>
        <v>1.8004551562058417</v>
      </c>
      <c r="F27" s="25">
        <f t="shared" si="7"/>
        <v>2.0203580760477768</v>
      </c>
      <c r="G27" s="25">
        <f t="shared" si="7"/>
        <v>2.2402609958897117</v>
      </c>
      <c r="H27" s="25">
        <f t="shared" si="7"/>
        <v>2.4601639157316466</v>
      </c>
      <c r="I27" s="25">
        <f t="shared" si="7"/>
        <v>1.9968591969341152</v>
      </c>
      <c r="J27" s="25">
        <f t="shared" si="7"/>
        <v>2.1607040541184528</v>
      </c>
      <c r="K27" s="25">
        <f t="shared" si="7"/>
        <v>2.3245489113027906</v>
      </c>
      <c r="L27" s="25">
        <f t="shared" si="7"/>
        <v>2.488393768487128</v>
      </c>
      <c r="M27" s="25">
        <f t="shared" si="7"/>
        <v>1.8768115942028984</v>
      </c>
      <c r="N27" s="22"/>
      <c r="O27" s="22"/>
      <c r="P27" s="22"/>
      <c r="Q27" s="22"/>
      <c r="R27" s="22"/>
      <c r="S27" s="22"/>
      <c r="T27" s="22"/>
      <c r="U27" s="22"/>
      <c r="V27" s="22"/>
      <c r="W27" s="22"/>
      <c r="X27" s="22"/>
      <c r="Y27" s="22"/>
      <c r="Z27" s="22"/>
      <c r="AA27" s="22"/>
      <c r="AB27" s="22"/>
      <c r="AC27" s="22"/>
      <c r="AD27" s="22"/>
      <c r="AE27" s="22"/>
      <c r="AF27" s="22"/>
      <c r="AG27" s="22"/>
      <c r="AH27" s="22"/>
    </row>
    <row r="28" spans="1:34"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row>
    <row r="29" spans="1:34"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row>
    <row r="30" spans="1:34"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row>
    <row r="31" spans="1:34"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row>
    <row r="32" spans="1:34"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row>
    <row r="33" spans="1:34"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row>
    <row r="34" spans="1: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row>
    <row r="35" spans="1:34"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row>
    <row r="36" spans="1:34"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row>
    <row r="37" spans="1:34"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row>
    <row r="38" spans="1:34"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row>
    <row r="39" spans="1:34"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row>
    <row r="40" spans="1:34"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row>
    <row r="41" spans="1:34"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row>
    <row r="42" spans="1:34"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row>
    <row r="43" spans="1:34"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
      <c r="Z43" s="2"/>
      <c r="AA43" s="2"/>
      <c r="AB43" s="2"/>
      <c r="AC43" s="2"/>
      <c r="AD43" s="2"/>
      <c r="AE43" s="2"/>
      <c r="AF43" s="2"/>
      <c r="AG43" s="2"/>
      <c r="AH43" s="2"/>
    </row>
    <row r="44" spans="1:3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
      <c r="Z44" s="2"/>
      <c r="AA44" s="2"/>
      <c r="AB44" s="2"/>
      <c r="AC44" s="2"/>
      <c r="AD44" s="2"/>
      <c r="AE44" s="2"/>
      <c r="AF44" s="2"/>
      <c r="AG44" s="2"/>
      <c r="AH44" s="2"/>
    </row>
    <row r="45" spans="1:34"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
      <c r="Z45" s="2"/>
      <c r="AA45" s="2"/>
      <c r="AB45" s="2"/>
      <c r="AC45" s="2"/>
      <c r="AD45" s="2"/>
      <c r="AE45" s="2"/>
      <c r="AF45" s="2"/>
      <c r="AG45" s="2"/>
      <c r="AH45" s="2"/>
    </row>
    <row r="46" spans="1:34"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
      <c r="Z46" s="2"/>
      <c r="AA46" s="2"/>
      <c r="AB46" s="2"/>
      <c r="AC46" s="2"/>
      <c r="AD46" s="2"/>
      <c r="AE46" s="2"/>
      <c r="AF46" s="2"/>
      <c r="AG46" s="2"/>
      <c r="AH46" s="2"/>
    </row>
    <row r="47" spans="1:34"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
      <c r="Z47" s="2"/>
      <c r="AA47" s="2"/>
      <c r="AB47" s="2"/>
      <c r="AC47" s="2"/>
      <c r="AD47" s="2"/>
      <c r="AE47" s="2"/>
      <c r="AF47" s="2"/>
      <c r="AG47" s="2"/>
      <c r="AH47" s="2"/>
    </row>
    <row r="48" spans="1:34"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
      <c r="Z48" s="2"/>
      <c r="AA48" s="2"/>
      <c r="AB48" s="2"/>
      <c r="AC48" s="2"/>
      <c r="AD48" s="2"/>
      <c r="AE48" s="2"/>
      <c r="AF48" s="2"/>
      <c r="AG48" s="2"/>
      <c r="AH48" s="2"/>
    </row>
    <row r="49" spans="1:34"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
      <c r="Z49" s="2"/>
      <c r="AA49" s="2"/>
      <c r="AB49" s="2"/>
      <c r="AC49" s="2"/>
      <c r="AD49" s="2"/>
      <c r="AE49" s="2"/>
      <c r="AF49" s="2"/>
      <c r="AG49" s="2"/>
      <c r="AH49" s="2"/>
    </row>
    <row r="50" spans="1:34"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
      <c r="Z50" s="2"/>
      <c r="AA50" s="2"/>
      <c r="AB50" s="2"/>
      <c r="AC50" s="2"/>
      <c r="AD50" s="2"/>
      <c r="AE50" s="2"/>
      <c r="AF50" s="2"/>
      <c r="AG50" s="2"/>
      <c r="AH50" s="2"/>
    </row>
    <row r="51" spans="1:34"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
      <c r="Z51" s="2"/>
      <c r="AA51" s="2"/>
      <c r="AB51" s="2"/>
      <c r="AC51" s="2"/>
      <c r="AD51" s="2"/>
      <c r="AE51" s="2"/>
      <c r="AF51" s="2"/>
      <c r="AG51" s="2"/>
      <c r="AH51" s="2"/>
    </row>
    <row r="52" spans="1:34"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
      <c r="Z52" s="2"/>
      <c r="AA52" s="2"/>
      <c r="AB52" s="2"/>
      <c r="AC52" s="2"/>
      <c r="AD52" s="2"/>
      <c r="AE52" s="2"/>
      <c r="AF52" s="2"/>
      <c r="AG52" s="2"/>
      <c r="AH52" s="2"/>
    </row>
    <row r="53" spans="1:34"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
      <c r="Z53" s="2"/>
      <c r="AA53" s="2"/>
      <c r="AB53" s="2"/>
      <c r="AC53" s="2"/>
      <c r="AD53" s="2"/>
      <c r="AE53" s="2"/>
      <c r="AF53" s="2"/>
      <c r="AG53" s="2"/>
      <c r="AH53" s="2"/>
    </row>
    <row r="54" spans="1:34" ht="15.75" customHeight="1">
      <c r="A54" s="2"/>
      <c r="B54" s="2"/>
      <c r="C54" s="2"/>
      <c r="D54" s="2"/>
      <c r="E54" s="2"/>
      <c r="F54" s="2"/>
      <c r="G54" s="2"/>
      <c r="H54" s="2"/>
      <c r="I54" s="2"/>
      <c r="J54" s="2"/>
      <c r="K54" s="2"/>
      <c r="L54" s="2"/>
      <c r="M54" s="2"/>
      <c r="N54" s="22"/>
      <c r="O54" s="22"/>
      <c r="P54" s="22"/>
      <c r="Q54" s="22"/>
      <c r="R54" s="22"/>
      <c r="S54" s="22"/>
      <c r="T54" s="22"/>
      <c r="U54" s="22"/>
      <c r="V54" s="22"/>
      <c r="W54" s="22"/>
      <c r="X54" s="22"/>
      <c r="Y54" s="2"/>
      <c r="Z54" s="2"/>
      <c r="AA54" s="2"/>
      <c r="AB54" s="2"/>
      <c r="AC54" s="2"/>
      <c r="AD54" s="2"/>
      <c r="AE54" s="2"/>
      <c r="AF54" s="2"/>
      <c r="AG54" s="2"/>
      <c r="AH54" s="2"/>
    </row>
    <row r="55" spans="1:34" ht="15.75" customHeight="1">
      <c r="A55" s="2"/>
      <c r="B55" s="2"/>
      <c r="C55" s="2"/>
      <c r="D55" s="2"/>
      <c r="E55" s="2"/>
      <c r="F55" s="2"/>
      <c r="G55" s="2"/>
      <c r="H55" s="2"/>
      <c r="I55" s="2"/>
      <c r="J55" s="2"/>
      <c r="K55" s="2"/>
      <c r="L55" s="2"/>
      <c r="M55" s="2"/>
      <c r="N55" s="22"/>
      <c r="O55" s="22"/>
      <c r="P55" s="22"/>
      <c r="Q55" s="22"/>
      <c r="R55" s="22"/>
      <c r="S55" s="22"/>
      <c r="T55" s="22"/>
      <c r="U55" s="22"/>
      <c r="V55" s="22"/>
      <c r="W55" s="22"/>
      <c r="X55" s="22"/>
      <c r="Y55" s="2"/>
      <c r="Z55" s="2"/>
      <c r="AA55" s="2"/>
      <c r="AB55" s="2"/>
      <c r="AC55" s="2"/>
      <c r="AD55" s="2"/>
      <c r="AE55" s="2"/>
      <c r="AF55" s="2"/>
      <c r="AG55" s="2"/>
      <c r="AH55" s="2"/>
    </row>
    <row r="56" spans="1:34" ht="15.75" customHeight="1">
      <c r="A56" s="2"/>
      <c r="B56" s="2"/>
      <c r="C56" s="2"/>
      <c r="D56" s="2"/>
      <c r="E56" s="2"/>
      <c r="F56" s="2"/>
      <c r="G56" s="2"/>
      <c r="H56" s="2"/>
      <c r="I56" s="2"/>
      <c r="J56" s="2"/>
      <c r="K56" s="2"/>
      <c r="L56" s="2"/>
      <c r="M56" s="2"/>
      <c r="N56" s="22"/>
      <c r="O56" s="22"/>
      <c r="P56" s="22"/>
      <c r="Q56" s="22"/>
      <c r="R56" s="22"/>
      <c r="S56" s="22"/>
      <c r="T56" s="22"/>
      <c r="U56" s="22"/>
      <c r="V56" s="22"/>
      <c r="W56" s="22"/>
      <c r="X56" s="22"/>
      <c r="Y56" s="2"/>
      <c r="Z56" s="2"/>
      <c r="AA56" s="2"/>
      <c r="AB56" s="2"/>
      <c r="AC56" s="2"/>
      <c r="AD56" s="2"/>
      <c r="AE56" s="2"/>
      <c r="AF56" s="2"/>
      <c r="AG56" s="2"/>
      <c r="AH56" s="2"/>
    </row>
    <row r="57" spans="1:34" ht="15.75" customHeight="1">
      <c r="A57" s="2"/>
      <c r="B57" s="2"/>
      <c r="C57" s="2"/>
      <c r="D57" s="2"/>
      <c r="E57" s="2"/>
      <c r="F57" s="2"/>
      <c r="G57" s="2"/>
      <c r="H57" s="2"/>
      <c r="I57" s="2"/>
      <c r="J57" s="2"/>
      <c r="K57" s="2"/>
      <c r="L57" s="2"/>
      <c r="M57" s="2"/>
      <c r="N57" s="22"/>
      <c r="O57" s="22"/>
      <c r="P57" s="22"/>
      <c r="Q57" s="22"/>
      <c r="R57" s="22"/>
      <c r="S57" s="22"/>
      <c r="T57" s="22"/>
      <c r="U57" s="22"/>
      <c r="V57" s="22"/>
      <c r="W57" s="22"/>
      <c r="X57" s="22"/>
      <c r="Y57" s="2"/>
      <c r="Z57" s="2"/>
      <c r="AA57" s="2"/>
      <c r="AB57" s="2"/>
      <c r="AC57" s="2"/>
      <c r="AD57" s="2"/>
      <c r="AE57" s="2"/>
      <c r="AF57" s="2"/>
      <c r="AG57" s="2"/>
      <c r="AH57" s="2"/>
    </row>
    <row r="58" spans="1:34" ht="15.75" customHeight="1">
      <c r="A58" s="2"/>
      <c r="B58" s="2"/>
      <c r="C58" s="2"/>
      <c r="D58" s="2"/>
      <c r="E58" s="2"/>
      <c r="F58" s="2"/>
      <c r="G58" s="2"/>
      <c r="H58" s="2"/>
      <c r="I58" s="2"/>
      <c r="J58" s="2"/>
      <c r="K58" s="2"/>
      <c r="L58" s="2"/>
      <c r="M58" s="2"/>
      <c r="N58" s="22"/>
      <c r="O58" s="22"/>
      <c r="P58" s="22"/>
      <c r="Q58" s="22"/>
      <c r="R58" s="22"/>
      <c r="S58" s="22"/>
      <c r="T58" s="22"/>
      <c r="U58" s="22"/>
      <c r="V58" s="22"/>
      <c r="W58" s="22"/>
      <c r="X58" s="22"/>
      <c r="Y58" s="2"/>
      <c r="Z58" s="2"/>
      <c r="AA58" s="2"/>
      <c r="AB58" s="2"/>
      <c r="AC58" s="2"/>
      <c r="AD58" s="2"/>
      <c r="AE58" s="2"/>
      <c r="AF58" s="2"/>
      <c r="AG58" s="2"/>
      <c r="AH58" s="2"/>
    </row>
    <row r="59" spans="1:34" ht="15.75" customHeight="1">
      <c r="A59" s="2"/>
      <c r="B59" s="2"/>
      <c r="C59" s="2"/>
      <c r="D59" s="2"/>
      <c r="E59" s="2"/>
      <c r="F59" s="2"/>
      <c r="G59" s="2"/>
      <c r="H59" s="2"/>
      <c r="I59" s="2"/>
      <c r="J59" s="2"/>
      <c r="K59" s="2"/>
      <c r="L59" s="2"/>
      <c r="M59" s="2"/>
      <c r="N59" s="22"/>
      <c r="O59" s="22"/>
      <c r="P59" s="22"/>
      <c r="Q59" s="22"/>
      <c r="R59" s="22"/>
      <c r="S59" s="22"/>
      <c r="T59" s="22"/>
      <c r="U59" s="22"/>
      <c r="V59" s="22"/>
      <c r="W59" s="22"/>
      <c r="X59" s="22"/>
      <c r="Y59" s="2"/>
      <c r="Z59" s="2"/>
      <c r="AA59" s="2"/>
      <c r="AB59" s="2"/>
      <c r="AC59" s="2"/>
      <c r="AD59" s="2"/>
      <c r="AE59" s="2"/>
      <c r="AF59" s="2"/>
      <c r="AG59" s="2"/>
      <c r="AH59" s="2"/>
    </row>
    <row r="60" spans="1:34" ht="15.75" customHeight="1">
      <c r="A60" s="2"/>
      <c r="B60" s="2"/>
      <c r="C60" s="2"/>
      <c r="D60" s="2"/>
      <c r="E60" s="2"/>
      <c r="F60" s="2"/>
      <c r="G60" s="2"/>
      <c r="H60" s="2"/>
      <c r="I60" s="2"/>
      <c r="J60" s="2"/>
      <c r="K60" s="2"/>
      <c r="L60" s="2"/>
      <c r="M60" s="2"/>
      <c r="N60" s="22"/>
      <c r="O60" s="22"/>
      <c r="P60" s="22"/>
      <c r="Q60" s="22"/>
      <c r="R60" s="22"/>
      <c r="S60" s="22"/>
      <c r="T60" s="22"/>
      <c r="U60" s="22"/>
      <c r="V60" s="22"/>
      <c r="W60" s="22"/>
      <c r="X60" s="22"/>
      <c r="Y60" s="2"/>
      <c r="Z60" s="2"/>
      <c r="AA60" s="2"/>
      <c r="AB60" s="2"/>
      <c r="AC60" s="2"/>
      <c r="AD60" s="2"/>
      <c r="AE60" s="2"/>
      <c r="AF60" s="2"/>
      <c r="AG60" s="2"/>
      <c r="AH60" s="2"/>
    </row>
    <row r="61" spans="1:34" ht="15.75" customHeight="1">
      <c r="A61" s="2"/>
      <c r="B61" s="2"/>
      <c r="C61" s="2"/>
      <c r="D61" s="2"/>
      <c r="E61" s="2"/>
      <c r="F61" s="2"/>
      <c r="G61" s="2"/>
      <c r="H61" s="2"/>
      <c r="I61" s="2"/>
      <c r="J61" s="2"/>
      <c r="K61" s="2"/>
      <c r="L61" s="2"/>
      <c r="M61" s="2"/>
      <c r="N61" s="22"/>
      <c r="O61" s="22"/>
      <c r="P61" s="22"/>
      <c r="Q61" s="22"/>
      <c r="R61" s="22"/>
      <c r="S61" s="22"/>
      <c r="T61" s="22"/>
      <c r="U61" s="22"/>
      <c r="V61" s="22"/>
      <c r="W61" s="22"/>
      <c r="X61" s="22"/>
      <c r="Y61" s="2"/>
      <c r="Z61" s="2"/>
      <c r="AA61" s="2"/>
      <c r="AB61" s="2"/>
      <c r="AC61" s="2"/>
      <c r="AD61" s="2"/>
      <c r="AE61" s="2"/>
      <c r="AF61" s="2"/>
      <c r="AG61" s="2"/>
      <c r="AH61" s="2"/>
    </row>
    <row r="62" spans="1:3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spans="1:3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spans="1:3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spans="1:3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spans="1:3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spans="1:3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spans="1:3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spans="1:3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spans="1:3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spans="1:3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spans="1:3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spans="1:3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spans="1:3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spans="1:3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spans="1:3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spans="1:3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spans="1:3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spans="1:3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spans="1:3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spans="1:3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spans="1:3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spans="1:3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spans="1:3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spans="1:3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spans="1:3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spans="1:3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spans="1:3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spans="1:3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spans="1:3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spans="1:3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spans="1:3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spans="1:3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spans="1:3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spans="1:3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spans="1:3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spans="1:3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spans="1:3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spans="1:3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spans="1:3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spans="1:3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spans="1:3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spans="1:3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spans="1:3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1:3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spans="1:3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spans="1:3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spans="1:3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spans="1:3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spans="1:3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spans="1:3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spans="1:3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1:3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spans="1:3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spans="1:3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spans="1:3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spans="1:3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spans="1:3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spans="1:3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1:3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spans="1:3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spans="1:3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spans="1:3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1:3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spans="1:3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spans="1:3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spans="1:3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spans="1:3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spans="1:3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spans="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spans="1:3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spans="1:3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spans="1:3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spans="1:3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spans="1:3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spans="1:34"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spans="1:34"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spans="1:34"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spans="1:34"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spans="1:3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spans="1:34"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spans="1:34"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1:34"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spans="1:34"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spans="1:34"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spans="1:34"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spans="1:34"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spans="1:34"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spans="1:34"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spans="1:3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spans="1:3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spans="1:3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spans="1:3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spans="1:34"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spans="1:34"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spans="1:34"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spans="1:34"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spans="1:34"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spans="1:34"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spans="1:3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spans="1:34"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spans="1:34"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spans="1:34"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spans="1:34"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1:34"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spans="1:34"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1:34"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spans="1:34"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spans="1:34"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spans="1:3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spans="1:34"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spans="1:34"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spans="1:34"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spans="1:34"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spans="1:34"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spans="1:34"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1:34"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1:34"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1:34"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1:3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1:34"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1:34"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1:34"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spans="1:34"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spans="1:34"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spans="1:34"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spans="1:34"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spans="1:34"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spans="1:34"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spans="1:3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spans="1:34"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spans="1:34"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spans="1:34"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spans="1:34"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spans="1:34"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spans="1:34"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spans="1:34"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spans="1:34"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spans="1:34"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spans="1:3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spans="1:34"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spans="1:34"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spans="1:34"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spans="1:34"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spans="1:34"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spans="1:34"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spans="1:34"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spans="1:34"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spans="1:34"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spans="1:3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spans="1:34"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spans="1:34"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spans="1:34"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spans="1:34"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spans="1:34"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spans="1:34"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spans="1:34"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spans="1:34"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spans="1:34"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spans="1:3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spans="1:34"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spans="1:34"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spans="1:34"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spans="1:34"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spans="1:34"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spans="1:34"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spans="1:34"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spans="1:34"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spans="1:34"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spans="1: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spans="1:34"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spans="1:34"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spans="1:34"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spans="1:34"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spans="1:34"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spans="1:34"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spans="1:34"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spans="1:34"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spans="1:34"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spans="1:3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spans="1:34"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spans="1:34"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spans="1:34"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spans="1:34"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spans="1:34"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spans="1:34"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spans="1:34"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spans="1:34"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spans="1:34"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spans="1:3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spans="1:34"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spans="1:34"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spans="1:34"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spans="1:34"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spans="1:34"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spans="1:34"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spans="1:34"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spans="1:34"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spans="1:34"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spans="1:3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spans="1:34"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spans="1:34"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spans="1:34"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spans="1:34"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spans="1:34"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spans="1:34"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spans="1:34"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spans="1:34"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spans="1:34"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spans="1:3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spans="1:34"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spans="1:34"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spans="1:34"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spans="1:34"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spans="1:34"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spans="1:34"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spans="1:34"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spans="1:34"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spans="1:34"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spans="1:3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spans="1:34"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spans="1:34"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spans="1:34"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spans="1:34"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spans="1:34"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spans="1:34"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spans="1:34"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spans="1:34"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spans="1:34"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spans="1:3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spans="1:34"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spans="1:34"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spans="1:34"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spans="1:34"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spans="1:34"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spans="1:34"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spans="1:34"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spans="1:34"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spans="1:34"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spans="1:3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spans="1:34"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spans="1:34"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spans="1:34"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spans="1:34"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spans="1:34"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spans="1:34"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spans="1:34"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spans="1:34"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spans="1:34"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spans="1:3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spans="1:34"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spans="1:34"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spans="1:34"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spans="1:34"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spans="1:34"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spans="1:34"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spans="1:34"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spans="1:34"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spans="1:34"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spans="1:3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spans="1:34"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spans="1:34"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spans="1:34"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spans="1:34"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spans="1:34"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spans="1:34"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spans="1:34"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spans="1:34"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spans="1:34"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spans="1: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spans="1:34"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spans="1:34"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spans="1:34"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spans="1:34"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spans="1:34"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spans="1:34"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spans="1:34"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spans="1:34"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spans="1:34"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spans="1:3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spans="1:34"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spans="1:34"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spans="1:34"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spans="1:34"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spans="1:34"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spans="1:34"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spans="1:34"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spans="1:34"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spans="1:34"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spans="1:3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spans="1:34"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spans="1:34"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spans="1:34"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spans="1:34"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spans="1:34"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spans="1:34"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spans="1:34"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spans="1:34"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spans="1:34"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spans="1:3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spans="1:34"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spans="1:34"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spans="1:34"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spans="1:34"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spans="1:34"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spans="1:34"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spans="1:34"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spans="1:34"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spans="1:34"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spans="1:3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spans="1:34"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spans="1:34"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spans="1:34"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spans="1:34"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spans="1:34"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spans="1:34"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spans="1:34"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spans="1:34"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spans="1:34"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spans="1:3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spans="1:34"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spans="1:34"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spans="1:34"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spans="1:34"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spans="1:34"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spans="1:34"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spans="1:34"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spans="1:34"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spans="1:34"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spans="1:3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spans="1:34"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spans="1:34"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spans="1:34"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spans="1:34"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spans="1:34"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spans="1:34"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spans="1:34"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spans="1:34"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spans="1:34"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spans="1:3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spans="1:34"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spans="1:34"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spans="1:34"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spans="1:34"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spans="1:34"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spans="1:34"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spans="1:34"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spans="1:34"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spans="1:34"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spans="1:3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spans="1:34"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spans="1:34"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spans="1:34"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spans="1:34"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spans="1:34"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spans="1:34"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spans="1:34"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spans="1:34"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spans="1:34"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spans="1:3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spans="1:34"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spans="1:34"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spans="1:34"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spans="1:34"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spans="1:34"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spans="1:34"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spans="1:34"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spans="1:34"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spans="1:34"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spans="1: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spans="1:34"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spans="1:34"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spans="1:34"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spans="1:34"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spans="1:34"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spans="1:34"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spans="1:34"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spans="1:34"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spans="1:34"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spans="1:3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spans="1:34"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spans="1:34"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spans="1:34"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spans="1:34"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spans="1:34"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spans="1:34"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spans="1:34"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spans="1:34"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spans="1:34"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spans="1:3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spans="1:34"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spans="1:34"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spans="1:34"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spans="1:34"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spans="1:34"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spans="1:34"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spans="1:34"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spans="1:34"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spans="1:34"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spans="1:3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spans="1:34"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spans="1:34"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spans="1:34"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spans="1:34"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spans="1:34"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spans="1:34"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spans="1:34"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spans="1:34"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spans="1:34"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spans="1:3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spans="1:34"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spans="1:34"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spans="1:34"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spans="1:34"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spans="1:34"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spans="1:34"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spans="1:34"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spans="1:34"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spans="1:34"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spans="1:3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spans="1:34"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spans="1:34"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spans="1:34"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spans="1:34"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spans="1:34"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spans="1:34"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spans="1:34"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spans="1:34"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spans="1:34"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spans="1:3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spans="1:34"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spans="1:34"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spans="1:34"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spans="1:34"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spans="1:34"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spans="1:34"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spans="1:34"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spans="1:34"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spans="1:34"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spans="1:3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spans="1:34"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spans="1:34"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spans="1:34"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spans="1:34"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spans="1:34"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spans="1:34"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spans="1:34"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spans="1:34"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spans="1:34"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spans="1:3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spans="1:34"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spans="1:34"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spans="1:34"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spans="1:34"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spans="1:34"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spans="1:34"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spans="1:34"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spans="1:34"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spans="1:34"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spans="1:3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spans="1:34"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spans="1:34"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spans="1:34"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spans="1:34"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spans="1:34"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spans="1:34"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spans="1:34"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spans="1:34"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spans="1:34"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spans="1: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spans="1:34"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spans="1:34"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spans="1:34"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spans="1:34"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spans="1:34"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spans="1:34"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spans="1:34"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spans="1:34"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spans="1:34"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spans="1:3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spans="1:34"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spans="1:34"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spans="1:34"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spans="1:34"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spans="1:34"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spans="1:34"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spans="1:34"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spans="1:34"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spans="1:34"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spans="1:3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spans="1:34"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spans="1:34"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spans="1:34"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spans="1:34"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spans="1:34"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spans="1:34"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spans="1:34"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spans="1:34"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spans="1:34"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spans="1:3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spans="1:34"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spans="1:34"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spans="1:34"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spans="1:34"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spans="1:34"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spans="1:34"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spans="1:34"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spans="1:34"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spans="1:34"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spans="1:3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spans="1:34"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spans="1:34"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spans="1:34"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spans="1:34"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spans="1:34"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spans="1:34"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spans="1:34"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spans="1:34"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spans="1:34"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spans="1:3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spans="1:34"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spans="1:34"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spans="1:34"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spans="1:34"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spans="1:34"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spans="1:34"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spans="1:34"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spans="1:34"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spans="1:34"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spans="1:3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spans="1:34"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spans="1:34"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spans="1:34"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spans="1:34"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spans="1:34"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spans="1:34"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spans="1:34"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spans="1:34"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spans="1:34"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spans="1:3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spans="1:34"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spans="1:34"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spans="1:34"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spans="1:34"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spans="1:34"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spans="1:34"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spans="1:34"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spans="1:34"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spans="1:34"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spans="1:3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spans="1:34"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spans="1:34"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spans="1:34"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spans="1:34"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spans="1:34"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spans="1:34"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spans="1:34"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spans="1:34"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spans="1:34"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spans="1:3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spans="1:34"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spans="1:34"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spans="1:34"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spans="1:34"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spans="1:34"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spans="1:34"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spans="1:34"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spans="1:34"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spans="1:34"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spans="1: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spans="1:34"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spans="1:34"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spans="1:34"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spans="1:34"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spans="1:34"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spans="1:34"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spans="1:34"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spans="1:34"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spans="1:34"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spans="1:3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spans="1:34"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spans="1:34"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spans="1:34"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spans="1:34"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spans="1:34"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spans="1:34"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spans="1:34"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spans="1:34"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spans="1:34"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spans="1:3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spans="1:34"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spans="1:34"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spans="1:34"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spans="1:34"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spans="1:34"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spans="1:34"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spans="1:34"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spans="1:34"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spans="1:34"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spans="1:3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spans="1:34"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spans="1:34"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spans="1:34"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spans="1:34"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spans="1:34"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spans="1:34"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spans="1:34"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spans="1:34"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spans="1:34"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spans="1:3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spans="1:34"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spans="1:34"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spans="1:34"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spans="1:34"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spans="1:34"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spans="1:34"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spans="1:34"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spans="1:34"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spans="1:34"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spans="1:3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spans="1:34"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spans="1:34"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spans="1:34"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spans="1:34"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spans="1:34"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spans="1:34"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spans="1:34"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spans="1:34"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spans="1:34"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spans="1:3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spans="1:34"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spans="1:34"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spans="1:34"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spans="1:34"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spans="1:34"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spans="1:34"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spans="1:34"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spans="1:34"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spans="1:34"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spans="1:3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spans="1:34"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spans="1:34"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spans="1:34"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spans="1:34"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spans="1:34"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spans="1:34"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spans="1:34"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spans="1:34"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spans="1:34"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spans="1:3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spans="1:34"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spans="1:34"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spans="1:34"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spans="1:34"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spans="1:34"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spans="1:34"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spans="1:34"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spans="1:34"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spans="1:34"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spans="1:3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spans="1:34"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spans="1:34"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spans="1:34"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spans="1:34"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spans="1:34"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spans="1:34"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spans="1:34"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spans="1:34"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spans="1:34"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spans="1: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spans="1:34"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spans="1:34"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spans="1:34"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spans="1:34"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spans="1:34"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spans="1:34"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spans="1:34"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spans="1:34"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spans="1:34"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spans="1:3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spans="1:34"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spans="1:34"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spans="1:34"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spans="1:34"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spans="1:34"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spans="1:34"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spans="1:34"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spans="1:34"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spans="1:34"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spans="1:3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spans="1:34"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spans="1:34"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spans="1:34"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spans="1:34"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spans="1:34"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spans="1:34"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spans="1:34"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spans="1:34"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spans="1:34"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spans="1:3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spans="1:34"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spans="1:34"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spans="1:34"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spans="1:34"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spans="1:34"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spans="1:34"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spans="1:34"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spans="1:34"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spans="1:34"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spans="1:3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spans="1:34"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spans="1:34"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spans="1:34"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spans="1:34"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spans="1:34"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spans="1:34"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spans="1:34"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spans="1:34"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spans="1:34"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spans="1:3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spans="1:34"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spans="1:34"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spans="1:34"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spans="1:34"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spans="1:34"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spans="1:34"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spans="1:34"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spans="1:34"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spans="1:34"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spans="1:3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spans="1:34"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spans="1:34"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spans="1:34"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spans="1:34"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spans="1:34"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spans="1:34"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spans="1:34"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spans="1:34"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spans="1:34"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spans="1:3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spans="1:34"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spans="1:34"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spans="1:34"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spans="1:34"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spans="1:34"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spans="1:34"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spans="1:34"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spans="1:34"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spans="1:34"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spans="1:3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spans="1:34"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spans="1:34"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spans="1:34"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spans="1:34"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spans="1:34"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spans="1:34"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spans="1:34"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spans="1:34"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spans="1:34"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spans="1:3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spans="1:34"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spans="1:34"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spans="1:34"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spans="1:34"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spans="1:34"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spans="1:34"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spans="1:34"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spans="1:34"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spans="1:34"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spans="1: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spans="1:34"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spans="1:34"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spans="1:34"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spans="1:34"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spans="1:34"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spans="1:34"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spans="1:34"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spans="1:34"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spans="1:34"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spans="1:3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spans="1:34"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spans="1:34"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spans="1:34"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spans="1:34"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spans="1:34"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spans="1:34"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spans="1:34"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spans="1:34"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spans="1:34"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spans="1:3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spans="1:34"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spans="1:34"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spans="1:34"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spans="1:34"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spans="1:34"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spans="1:34"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spans="1:34"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spans="1:34"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spans="1:34"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spans="1:3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spans="1:34"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spans="1:34"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spans="1:34"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spans="1:34"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spans="1:34"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spans="1:34"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spans="1:34"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spans="1:34"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spans="1:34"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spans="1:3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spans="1:34"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spans="1:34"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spans="1:34"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spans="1:34"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spans="1:34"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spans="1:34"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spans="1:34"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spans="1:34"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spans="1:34"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spans="1:3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spans="1:34"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spans="1:34"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spans="1:34"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spans="1:34"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spans="1:34"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spans="1:34"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spans="1:34"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spans="1:34"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spans="1:34"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spans="1:3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spans="1:34"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spans="1:34"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spans="1:34"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spans="1:34"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spans="1:34"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spans="1:34"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spans="1:34"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spans="1:34"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spans="1:34"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spans="1:3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spans="1:34"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spans="1:34"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spans="1:34"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spans="1:34"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spans="1:34"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spans="1:34"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spans="1:34"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spans="1:34"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spans="1:34"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spans="1:3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spans="1:34"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spans="1:34"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spans="1:34"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spans="1:34"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spans="1:34"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spans="1:34"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spans="1:34"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spans="1:34"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spans="1:34"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spans="1:3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spans="1:34"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spans="1:34"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spans="1:34"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spans="1:34"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spans="1:34"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spans="1:34"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spans="1:34"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spans="1:34"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spans="1:34"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spans="1: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spans="1:34"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spans="1:34"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spans="1:34"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spans="1:34"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spans="1:34"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spans="1:34"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spans="1:34"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spans="1:34"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spans="1:34"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spans="1:3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spans="1:34"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spans="1:34"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spans="1:34"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spans="1:34"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spans="1:34"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spans="1:34"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spans="1:34"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spans="1:34"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spans="1:34"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spans="1:3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spans="1:34"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spans="1:34"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spans="1:34"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spans="1:34"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spans="1:34"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spans="1:34"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spans="1:34"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spans="1:34"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spans="1:34"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spans="1:3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spans="1:34"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spans="1:34"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spans="1:34"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spans="1:34"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spans="1:34"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spans="1:34"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spans="1:34"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spans="1:34"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spans="1:34"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spans="1:3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spans="1:34"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spans="1:34"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spans="1:34"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spans="1:34"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spans="1:34"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spans="1:34"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spans="1:34"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spans="1:34"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spans="1:34"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spans="1:3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spans="1:34"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spans="1:34"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spans="1:34"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spans="1:34"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spans="1:34"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spans="1:34"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spans="1:34"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spans="1:34"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spans="1:34"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spans="1:3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spans="1:34"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spans="1:34"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spans="1:34"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spans="1:34"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spans="1:34"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spans="1:34"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sheetData>
  <mergeCells count="4">
    <mergeCell ref="N2:P6"/>
    <mergeCell ref="N11:P15"/>
    <mergeCell ref="N17:P18"/>
    <mergeCell ref="N21:P25"/>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Z1000"/>
  <sheetViews>
    <sheetView workbookViewId="0"/>
  </sheetViews>
  <sheetFormatPr baseColWidth="10" defaultColWidth="14.5" defaultRowHeight="15" customHeight="1"/>
  <cols>
    <col min="1" max="6" width="14.5" customWidth="1"/>
  </cols>
  <sheetData>
    <row r="1" spans="1:26" ht="15.75" customHeight="1">
      <c r="A1" s="1" t="s">
        <v>0</v>
      </c>
      <c r="B1" s="19"/>
      <c r="C1" s="19"/>
      <c r="D1" s="19"/>
      <c r="E1" s="19"/>
      <c r="F1" s="19"/>
      <c r="G1" s="19"/>
      <c r="H1" s="19"/>
      <c r="I1" s="19"/>
      <c r="J1" s="19"/>
      <c r="K1" s="19"/>
      <c r="L1" s="19"/>
      <c r="M1" s="19"/>
      <c r="N1" s="19"/>
      <c r="O1" s="19"/>
      <c r="P1" s="19"/>
      <c r="Q1" s="19"/>
      <c r="R1" s="19"/>
      <c r="S1" s="19"/>
      <c r="T1" s="19"/>
      <c r="U1" s="19"/>
      <c r="V1" s="19"/>
      <c r="W1" s="19"/>
      <c r="X1" s="19"/>
      <c r="Y1" s="19"/>
      <c r="Z1" s="19"/>
    </row>
    <row r="2" spans="1:26" ht="15.75" customHeight="1">
      <c r="A2" s="3" t="s">
        <v>1</v>
      </c>
      <c r="B2" s="4" t="s">
        <v>2</v>
      </c>
      <c r="C2" s="4" t="s">
        <v>3</v>
      </c>
      <c r="D2" s="4" t="s">
        <v>4</v>
      </c>
      <c r="E2" s="4" t="s">
        <v>5</v>
      </c>
      <c r="F2" s="4" t="s">
        <v>6</v>
      </c>
      <c r="G2" s="4" t="s">
        <v>7</v>
      </c>
      <c r="H2" s="4" t="s">
        <v>8</v>
      </c>
      <c r="I2" s="4" t="s">
        <v>9</v>
      </c>
      <c r="J2" s="4" t="s">
        <v>10</v>
      </c>
      <c r="K2" s="4" t="s">
        <v>11</v>
      </c>
      <c r="L2" s="4" t="s">
        <v>12</v>
      </c>
      <c r="M2" s="4" t="s">
        <v>13</v>
      </c>
      <c r="N2" s="146" t="s">
        <v>14</v>
      </c>
      <c r="O2" s="147"/>
      <c r="P2" s="148"/>
      <c r="Q2" s="5"/>
      <c r="R2" s="5"/>
      <c r="S2" s="19"/>
      <c r="T2" s="19"/>
      <c r="U2" s="19"/>
      <c r="V2" s="19"/>
      <c r="W2" s="19"/>
      <c r="X2" s="19"/>
      <c r="Y2" s="19"/>
      <c r="Z2" s="19"/>
    </row>
    <row r="3" spans="1:26" ht="15.75" customHeight="1">
      <c r="A3" s="6" t="s">
        <v>15</v>
      </c>
      <c r="B3" s="7"/>
      <c r="C3" s="7"/>
      <c r="D3" s="7"/>
      <c r="E3" s="7"/>
      <c r="F3" s="7"/>
      <c r="G3" s="7"/>
      <c r="H3" s="7"/>
      <c r="I3" s="7"/>
      <c r="J3" s="7"/>
      <c r="K3" s="7"/>
      <c r="L3" s="7"/>
      <c r="M3" s="7"/>
      <c r="N3" s="149"/>
      <c r="O3" s="150"/>
      <c r="P3" s="151"/>
      <c r="Q3" s="5"/>
      <c r="R3" s="5"/>
      <c r="S3" s="19"/>
      <c r="T3" s="19"/>
      <c r="U3" s="19"/>
      <c r="V3" s="19"/>
      <c r="W3" s="19"/>
      <c r="X3" s="19"/>
      <c r="Y3" s="19"/>
      <c r="Z3" s="19"/>
    </row>
    <row r="4" spans="1:26" ht="15.75" customHeight="1">
      <c r="A4" s="6" t="s">
        <v>16</v>
      </c>
      <c r="B4" s="7"/>
      <c r="C4" s="7"/>
      <c r="D4" s="7"/>
      <c r="E4" s="7"/>
      <c r="F4" s="7"/>
      <c r="G4" s="7"/>
      <c r="H4" s="7"/>
      <c r="I4" s="7"/>
      <c r="J4" s="7"/>
      <c r="K4" s="7"/>
      <c r="L4" s="7"/>
      <c r="M4" s="7"/>
      <c r="N4" s="149"/>
      <c r="O4" s="150"/>
      <c r="P4" s="151"/>
      <c r="Q4" s="5"/>
      <c r="R4" s="5"/>
      <c r="S4" s="19"/>
      <c r="T4" s="19"/>
      <c r="U4" s="19"/>
      <c r="V4" s="19"/>
      <c r="W4" s="19"/>
      <c r="X4" s="19"/>
      <c r="Y4" s="19"/>
      <c r="Z4" s="19"/>
    </row>
    <row r="5" spans="1:26" ht="15.75" customHeight="1">
      <c r="A5" s="6" t="s">
        <v>17</v>
      </c>
      <c r="B5" s="7"/>
      <c r="C5" s="7"/>
      <c r="D5" s="7"/>
      <c r="E5" s="7"/>
      <c r="F5" s="7"/>
      <c r="G5" s="7"/>
      <c r="H5" s="7"/>
      <c r="I5" s="7"/>
      <c r="J5" s="7"/>
      <c r="K5" s="7"/>
      <c r="L5" s="7"/>
      <c r="M5" s="7"/>
      <c r="N5" s="149"/>
      <c r="O5" s="150"/>
      <c r="P5" s="151"/>
      <c r="Q5" s="5"/>
      <c r="R5" s="5"/>
      <c r="S5" s="19"/>
      <c r="T5" s="19"/>
      <c r="U5" s="19"/>
      <c r="V5" s="19"/>
      <c r="W5" s="19"/>
      <c r="X5" s="19"/>
      <c r="Y5" s="19"/>
      <c r="Z5" s="19"/>
    </row>
    <row r="6" spans="1:26" ht="15.75" customHeight="1">
      <c r="A6" s="6" t="s">
        <v>18</v>
      </c>
      <c r="B6" s="7"/>
      <c r="C6" s="7"/>
      <c r="D6" s="7"/>
      <c r="E6" s="7"/>
      <c r="F6" s="7"/>
      <c r="G6" s="7"/>
      <c r="H6" s="7"/>
      <c r="I6" s="7"/>
      <c r="J6" s="7"/>
      <c r="K6" s="7"/>
      <c r="L6" s="7"/>
      <c r="M6" s="7"/>
      <c r="N6" s="152"/>
      <c r="O6" s="153"/>
      <c r="P6" s="154"/>
      <c r="Q6" s="5"/>
      <c r="R6" s="5"/>
      <c r="S6" s="19"/>
      <c r="T6" s="19"/>
      <c r="U6" s="19"/>
      <c r="V6" s="19"/>
      <c r="W6" s="19"/>
      <c r="X6" s="19"/>
      <c r="Y6" s="19"/>
      <c r="Z6" s="19"/>
    </row>
    <row r="7" spans="1:26" ht="15.75" customHeight="1">
      <c r="A7" s="8" t="s">
        <v>19</v>
      </c>
      <c r="B7" s="19"/>
      <c r="C7" s="19"/>
      <c r="D7" s="19"/>
      <c r="E7" s="19"/>
      <c r="F7" s="19"/>
      <c r="G7" s="19"/>
      <c r="H7" s="19"/>
      <c r="I7" s="19"/>
      <c r="J7" s="19"/>
      <c r="K7" s="19"/>
      <c r="L7" s="19"/>
      <c r="M7" s="19"/>
      <c r="N7" s="12"/>
      <c r="O7" s="12"/>
      <c r="P7" s="12"/>
      <c r="Q7" s="19"/>
      <c r="R7" s="19"/>
      <c r="S7" s="19"/>
      <c r="T7" s="19"/>
      <c r="U7" s="19"/>
      <c r="V7" s="19"/>
      <c r="W7" s="19"/>
      <c r="X7" s="19"/>
      <c r="Y7" s="19"/>
      <c r="Z7" s="19"/>
    </row>
    <row r="8" spans="1:26" ht="15.75" customHeight="1">
      <c r="A8" s="9" t="s">
        <v>20</v>
      </c>
      <c r="B8" s="19"/>
      <c r="C8" s="19"/>
      <c r="D8" s="19"/>
      <c r="E8" s="19"/>
      <c r="F8" s="19"/>
      <c r="G8" s="19"/>
      <c r="H8" s="19"/>
      <c r="I8" s="19"/>
      <c r="J8" s="19"/>
      <c r="K8" s="19"/>
      <c r="L8" s="19"/>
      <c r="M8" s="19"/>
      <c r="N8" s="12"/>
      <c r="O8" s="12"/>
      <c r="P8" s="12"/>
      <c r="Q8" s="19"/>
      <c r="R8" s="19"/>
      <c r="S8" s="19"/>
      <c r="T8" s="19"/>
      <c r="U8" s="19"/>
      <c r="V8" s="19"/>
      <c r="W8" s="19"/>
      <c r="X8" s="19"/>
      <c r="Y8" s="19"/>
      <c r="Z8" s="19"/>
    </row>
    <row r="9" spans="1:26" ht="15.75" customHeight="1">
      <c r="A9" s="3" t="s">
        <v>1</v>
      </c>
      <c r="B9" s="4" t="s">
        <v>2</v>
      </c>
      <c r="C9" s="4" t="s">
        <v>3</v>
      </c>
      <c r="D9" s="4" t="s">
        <v>4</v>
      </c>
      <c r="E9" s="4" t="s">
        <v>5</v>
      </c>
      <c r="F9" s="4" t="s">
        <v>6</v>
      </c>
      <c r="G9" s="4" t="s">
        <v>7</v>
      </c>
      <c r="H9" s="4" t="s">
        <v>8</v>
      </c>
      <c r="I9" s="4" t="s">
        <v>9</v>
      </c>
      <c r="J9" s="4" t="s">
        <v>10</v>
      </c>
      <c r="K9" s="4" t="s">
        <v>11</v>
      </c>
      <c r="L9" s="4" t="s">
        <v>12</v>
      </c>
      <c r="M9" s="4" t="s">
        <v>13</v>
      </c>
      <c r="N9" s="155" t="s">
        <v>21</v>
      </c>
      <c r="O9" s="147"/>
      <c r="P9" s="148"/>
      <c r="Q9" s="19"/>
      <c r="R9" s="19"/>
      <c r="S9" s="19"/>
      <c r="T9" s="19"/>
      <c r="U9" s="19"/>
      <c r="V9" s="19"/>
      <c r="W9" s="19"/>
      <c r="X9" s="19"/>
      <c r="Y9" s="19"/>
      <c r="Z9" s="19"/>
    </row>
    <row r="10" spans="1:26" ht="15.75" customHeight="1">
      <c r="A10" s="6" t="s">
        <v>15</v>
      </c>
      <c r="B10" s="7"/>
      <c r="C10" s="7"/>
      <c r="D10" s="7"/>
      <c r="E10" s="7"/>
      <c r="F10" s="7"/>
      <c r="G10" s="7"/>
      <c r="H10" s="7"/>
      <c r="I10" s="7"/>
      <c r="J10" s="7"/>
      <c r="K10" s="7"/>
      <c r="L10" s="7"/>
      <c r="M10" s="7"/>
      <c r="N10" s="149"/>
      <c r="O10" s="150"/>
      <c r="P10" s="151"/>
      <c r="Q10" s="19"/>
      <c r="R10" s="19"/>
      <c r="S10" s="19"/>
      <c r="T10" s="19"/>
      <c r="U10" s="19"/>
      <c r="V10" s="19"/>
      <c r="W10" s="19"/>
      <c r="X10" s="19"/>
      <c r="Y10" s="19"/>
      <c r="Z10" s="19"/>
    </row>
    <row r="11" spans="1:26" ht="15.75" customHeight="1">
      <c r="A11" s="6" t="s">
        <v>16</v>
      </c>
      <c r="B11" s="7"/>
      <c r="C11" s="7"/>
      <c r="D11" s="7"/>
      <c r="E11" s="7"/>
      <c r="F11" s="7"/>
      <c r="G11" s="7"/>
      <c r="H11" s="7"/>
      <c r="I11" s="7"/>
      <c r="J11" s="7"/>
      <c r="K11" s="7"/>
      <c r="L11" s="7"/>
      <c r="M11" s="7"/>
      <c r="N11" s="149"/>
      <c r="O11" s="150"/>
      <c r="P11" s="151"/>
      <c r="Q11" s="19"/>
      <c r="R11" s="19"/>
      <c r="S11" s="19"/>
      <c r="T11" s="19"/>
      <c r="U11" s="19"/>
      <c r="V11" s="19"/>
      <c r="W11" s="19"/>
      <c r="X11" s="19"/>
      <c r="Y11" s="19"/>
      <c r="Z11" s="19"/>
    </row>
    <row r="12" spans="1:26" ht="15.75" customHeight="1">
      <c r="A12" s="6" t="s">
        <v>17</v>
      </c>
      <c r="B12" s="7"/>
      <c r="C12" s="7"/>
      <c r="D12" s="7"/>
      <c r="E12" s="7"/>
      <c r="F12" s="7"/>
      <c r="G12" s="7"/>
      <c r="H12" s="7"/>
      <c r="I12" s="7"/>
      <c r="J12" s="7"/>
      <c r="K12" s="7"/>
      <c r="L12" s="7"/>
      <c r="M12" s="7"/>
      <c r="N12" s="149"/>
      <c r="O12" s="150"/>
      <c r="P12" s="151"/>
      <c r="Q12" s="19"/>
      <c r="R12" s="19"/>
      <c r="S12" s="19"/>
      <c r="T12" s="19"/>
      <c r="U12" s="19"/>
      <c r="V12" s="19"/>
      <c r="W12" s="19"/>
      <c r="X12" s="19"/>
      <c r="Y12" s="19"/>
      <c r="Z12" s="19"/>
    </row>
    <row r="13" spans="1:26" ht="15.75" customHeight="1">
      <c r="A13" s="6" t="s">
        <v>18</v>
      </c>
      <c r="B13" s="7"/>
      <c r="C13" s="7"/>
      <c r="D13" s="7"/>
      <c r="E13" s="7"/>
      <c r="F13" s="7"/>
      <c r="G13" s="7"/>
      <c r="H13" s="7"/>
      <c r="I13" s="7"/>
      <c r="J13" s="7"/>
      <c r="K13" s="7"/>
      <c r="L13" s="7"/>
      <c r="M13" s="7"/>
      <c r="N13" s="152"/>
      <c r="O13" s="153"/>
      <c r="P13" s="154"/>
      <c r="Q13" s="19"/>
      <c r="R13" s="19"/>
      <c r="S13" s="19"/>
      <c r="T13" s="19"/>
      <c r="U13" s="19"/>
      <c r="V13" s="19"/>
      <c r="W13" s="19"/>
      <c r="X13" s="19"/>
      <c r="Y13" s="19"/>
      <c r="Z13" s="19"/>
    </row>
    <row r="14" spans="1:26" ht="15.75" customHeight="1">
      <c r="A14" s="10"/>
      <c r="B14" s="19"/>
      <c r="C14" s="19"/>
      <c r="D14" s="19"/>
      <c r="E14" s="19"/>
      <c r="F14" s="19"/>
      <c r="G14" s="19"/>
      <c r="H14" s="19"/>
      <c r="I14" s="19"/>
      <c r="J14" s="19"/>
      <c r="K14" s="19"/>
      <c r="L14" s="19"/>
      <c r="M14" s="19"/>
      <c r="N14" s="12"/>
      <c r="O14" s="12"/>
      <c r="P14" s="12"/>
      <c r="Q14" s="19"/>
      <c r="R14" s="19"/>
      <c r="S14" s="19"/>
      <c r="T14" s="19"/>
      <c r="U14" s="19"/>
      <c r="V14" s="19"/>
      <c r="W14" s="19"/>
      <c r="X14" s="19"/>
      <c r="Y14" s="19"/>
      <c r="Z14" s="19"/>
    </row>
    <row r="15" spans="1:26" ht="15.75" customHeight="1">
      <c r="A15" s="9" t="s">
        <v>22</v>
      </c>
      <c r="B15" s="19"/>
      <c r="C15" s="19"/>
      <c r="D15" s="19"/>
      <c r="E15" s="19"/>
      <c r="F15" s="19"/>
      <c r="G15" s="19"/>
      <c r="H15" s="19"/>
      <c r="I15" s="19"/>
      <c r="J15" s="19"/>
      <c r="K15" s="19"/>
      <c r="L15" s="19"/>
      <c r="M15" s="19"/>
      <c r="N15" s="12"/>
      <c r="O15" s="12"/>
      <c r="P15" s="12"/>
      <c r="Q15" s="19"/>
      <c r="R15" s="19"/>
      <c r="S15" s="19"/>
      <c r="T15" s="19"/>
      <c r="U15" s="19"/>
      <c r="V15" s="19"/>
      <c r="W15" s="19"/>
      <c r="X15" s="19"/>
      <c r="Y15" s="19"/>
      <c r="Z15" s="19"/>
    </row>
    <row r="16" spans="1:26" ht="15.75" customHeight="1">
      <c r="A16" s="3" t="s">
        <v>1</v>
      </c>
      <c r="B16" s="4" t="s">
        <v>2</v>
      </c>
      <c r="C16" s="4" t="s">
        <v>3</v>
      </c>
      <c r="D16" s="4" t="s">
        <v>4</v>
      </c>
      <c r="E16" s="4" t="s">
        <v>5</v>
      </c>
      <c r="F16" s="4" t="s">
        <v>6</v>
      </c>
      <c r="G16" s="4" t="s">
        <v>7</v>
      </c>
      <c r="H16" s="4" t="s">
        <v>8</v>
      </c>
      <c r="I16" s="4" t="s">
        <v>9</v>
      </c>
      <c r="J16" s="4" t="s">
        <v>10</v>
      </c>
      <c r="K16" s="4" t="s">
        <v>11</v>
      </c>
      <c r="L16" s="4" t="s">
        <v>12</v>
      </c>
      <c r="M16" s="4" t="s">
        <v>13</v>
      </c>
      <c r="N16" s="156" t="s">
        <v>23</v>
      </c>
      <c r="O16" s="147"/>
      <c r="P16" s="148"/>
      <c r="Q16" s="19"/>
      <c r="R16" s="19"/>
      <c r="S16" s="19"/>
      <c r="T16" s="19"/>
      <c r="U16" s="19"/>
      <c r="V16" s="19"/>
      <c r="W16" s="19"/>
      <c r="X16" s="19"/>
      <c r="Y16" s="19"/>
      <c r="Z16" s="19"/>
    </row>
    <row r="17" spans="1:26" ht="15.75" customHeight="1">
      <c r="A17" s="6" t="s">
        <v>15</v>
      </c>
      <c r="B17" s="11"/>
      <c r="C17" s="11"/>
      <c r="D17" s="11"/>
      <c r="E17" s="11"/>
      <c r="F17" s="11"/>
      <c r="G17" s="11"/>
      <c r="H17" s="11"/>
      <c r="I17" s="11"/>
      <c r="J17" s="11"/>
      <c r="K17" s="11"/>
      <c r="L17" s="11"/>
      <c r="M17" s="11"/>
      <c r="N17" s="149"/>
      <c r="O17" s="150"/>
      <c r="P17" s="151"/>
      <c r="Q17" s="19"/>
      <c r="R17" s="19"/>
      <c r="S17" s="19"/>
      <c r="T17" s="19"/>
      <c r="U17" s="19"/>
      <c r="V17" s="19"/>
      <c r="W17" s="19"/>
      <c r="X17" s="19"/>
      <c r="Y17" s="19"/>
      <c r="Z17" s="19"/>
    </row>
    <row r="18" spans="1:26" ht="15.75" customHeight="1">
      <c r="A18" s="6" t="s">
        <v>16</v>
      </c>
      <c r="B18" s="11"/>
      <c r="C18" s="11"/>
      <c r="D18" s="11"/>
      <c r="E18" s="11"/>
      <c r="F18" s="11"/>
      <c r="G18" s="11"/>
      <c r="H18" s="11"/>
      <c r="I18" s="11"/>
      <c r="J18" s="11"/>
      <c r="K18" s="11"/>
      <c r="L18" s="11"/>
      <c r="M18" s="11"/>
      <c r="N18" s="149"/>
      <c r="O18" s="150"/>
      <c r="P18" s="151"/>
      <c r="Q18" s="19"/>
      <c r="R18" s="19"/>
      <c r="S18" s="19"/>
      <c r="T18" s="19"/>
      <c r="U18" s="19"/>
      <c r="V18" s="19"/>
      <c r="W18" s="19"/>
      <c r="X18" s="19"/>
      <c r="Y18" s="19"/>
      <c r="Z18" s="19"/>
    </row>
    <row r="19" spans="1:26" ht="15.75" customHeight="1">
      <c r="A19" s="6" t="s">
        <v>17</v>
      </c>
      <c r="B19" s="11"/>
      <c r="C19" s="11"/>
      <c r="D19" s="11"/>
      <c r="E19" s="11"/>
      <c r="F19" s="11"/>
      <c r="G19" s="11"/>
      <c r="H19" s="11"/>
      <c r="I19" s="11"/>
      <c r="J19" s="11"/>
      <c r="K19" s="11"/>
      <c r="L19" s="11"/>
      <c r="M19" s="11"/>
      <c r="N19" s="149"/>
      <c r="O19" s="150"/>
      <c r="P19" s="151"/>
      <c r="Q19" s="19"/>
      <c r="R19" s="19"/>
      <c r="S19" s="19"/>
      <c r="T19" s="19"/>
      <c r="U19" s="19"/>
      <c r="V19" s="19"/>
      <c r="W19" s="19"/>
      <c r="X19" s="19"/>
      <c r="Y19" s="19"/>
      <c r="Z19" s="19"/>
    </row>
    <row r="20" spans="1:26" ht="15.75" customHeight="1">
      <c r="A20" s="6" t="s">
        <v>18</v>
      </c>
      <c r="B20" s="11"/>
      <c r="C20" s="11"/>
      <c r="D20" s="11"/>
      <c r="E20" s="11"/>
      <c r="F20" s="11"/>
      <c r="G20" s="11"/>
      <c r="H20" s="11"/>
      <c r="I20" s="11"/>
      <c r="J20" s="11"/>
      <c r="K20" s="11"/>
      <c r="L20" s="11"/>
      <c r="M20" s="11"/>
      <c r="N20" s="152"/>
      <c r="O20" s="153"/>
      <c r="P20" s="154"/>
      <c r="Q20" s="19"/>
      <c r="R20" s="19"/>
      <c r="S20" s="19"/>
      <c r="T20" s="19"/>
      <c r="U20" s="19"/>
      <c r="V20" s="19"/>
      <c r="W20" s="19"/>
      <c r="X20" s="19"/>
      <c r="Y20" s="19"/>
      <c r="Z20" s="19"/>
    </row>
    <row r="21" spans="1:26" ht="15.75" customHeight="1">
      <c r="A21" s="12"/>
      <c r="B21" s="19"/>
      <c r="C21" s="19"/>
      <c r="D21" s="19"/>
      <c r="E21" s="19"/>
      <c r="F21" s="19"/>
      <c r="G21" s="19"/>
      <c r="H21" s="19"/>
      <c r="I21" s="19"/>
      <c r="J21" s="19"/>
      <c r="K21" s="19"/>
      <c r="L21" s="19"/>
      <c r="M21" s="19"/>
      <c r="N21" s="12"/>
      <c r="O21" s="12"/>
      <c r="P21" s="12"/>
      <c r="Q21" s="19"/>
      <c r="R21" s="19"/>
      <c r="S21" s="19"/>
      <c r="T21" s="19"/>
      <c r="U21" s="19"/>
      <c r="V21" s="19"/>
      <c r="W21" s="19"/>
      <c r="X21" s="19"/>
      <c r="Y21" s="19"/>
      <c r="Z21" s="19"/>
    </row>
    <row r="22" spans="1:26" ht="15.75" customHeight="1">
      <c r="A22" s="9" t="s">
        <v>24</v>
      </c>
      <c r="B22" s="19"/>
      <c r="C22" s="19"/>
      <c r="D22" s="19"/>
      <c r="E22" s="19"/>
      <c r="F22" s="19"/>
      <c r="G22" s="19"/>
      <c r="H22" s="19"/>
      <c r="I22" s="19"/>
      <c r="J22" s="19"/>
      <c r="K22" s="19"/>
      <c r="L22" s="19"/>
      <c r="M22" s="19"/>
      <c r="N22" s="12"/>
      <c r="O22" s="12"/>
      <c r="P22" s="12"/>
      <c r="Q22" s="19"/>
      <c r="R22" s="19"/>
      <c r="S22" s="19"/>
      <c r="T22" s="19"/>
      <c r="U22" s="19"/>
      <c r="V22" s="19"/>
      <c r="W22" s="19"/>
      <c r="X22" s="19"/>
      <c r="Y22" s="19"/>
      <c r="Z22" s="19"/>
    </row>
    <row r="23" spans="1:26" ht="15.75" customHeight="1">
      <c r="A23" s="3" t="s">
        <v>1</v>
      </c>
      <c r="B23" s="4" t="s">
        <v>2</v>
      </c>
      <c r="C23" s="4" t="s">
        <v>3</v>
      </c>
      <c r="D23" s="4" t="s">
        <v>4</v>
      </c>
      <c r="E23" s="4" t="s">
        <v>5</v>
      </c>
      <c r="F23" s="4" t="s">
        <v>6</v>
      </c>
      <c r="G23" s="4" t="s">
        <v>7</v>
      </c>
      <c r="H23" s="4" t="s">
        <v>8</v>
      </c>
      <c r="I23" s="4" t="s">
        <v>9</v>
      </c>
      <c r="J23" s="4" t="s">
        <v>10</v>
      </c>
      <c r="K23" s="4" t="s">
        <v>11</v>
      </c>
      <c r="L23" s="4" t="s">
        <v>12</v>
      </c>
      <c r="M23" s="4" t="s">
        <v>13</v>
      </c>
      <c r="N23" s="155" t="s">
        <v>25</v>
      </c>
      <c r="O23" s="147"/>
      <c r="P23" s="148"/>
      <c r="Q23" s="19"/>
      <c r="R23" s="19"/>
      <c r="S23" s="19"/>
      <c r="T23" s="19"/>
      <c r="U23" s="19"/>
      <c r="V23" s="19"/>
      <c r="W23" s="19"/>
      <c r="X23" s="19"/>
      <c r="Y23" s="19"/>
      <c r="Z23" s="19"/>
    </row>
    <row r="24" spans="1:26" ht="15.75" customHeight="1">
      <c r="A24" s="6" t="s">
        <v>15</v>
      </c>
      <c r="B24" s="11"/>
      <c r="C24" s="11"/>
      <c r="D24" s="11"/>
      <c r="E24" s="11"/>
      <c r="F24" s="11"/>
      <c r="G24" s="11"/>
      <c r="H24" s="11"/>
      <c r="I24" s="11"/>
      <c r="J24" s="11"/>
      <c r="K24" s="11"/>
      <c r="L24" s="11"/>
      <c r="M24" s="11"/>
      <c r="N24" s="149"/>
      <c r="O24" s="150"/>
      <c r="P24" s="151"/>
      <c r="Q24" s="19"/>
      <c r="R24" s="19"/>
      <c r="S24" s="19"/>
      <c r="T24" s="19"/>
      <c r="U24" s="19"/>
      <c r="V24" s="19"/>
      <c r="W24" s="19"/>
      <c r="X24" s="19"/>
      <c r="Y24" s="19"/>
      <c r="Z24" s="19"/>
    </row>
    <row r="25" spans="1:26" ht="15.75" customHeight="1">
      <c r="A25" s="6" t="s">
        <v>16</v>
      </c>
      <c r="B25" s="11"/>
      <c r="C25" s="11"/>
      <c r="D25" s="11"/>
      <c r="E25" s="11"/>
      <c r="F25" s="11"/>
      <c r="G25" s="11"/>
      <c r="H25" s="11"/>
      <c r="I25" s="11"/>
      <c r="J25" s="11"/>
      <c r="K25" s="11"/>
      <c r="L25" s="11"/>
      <c r="M25" s="11"/>
      <c r="N25" s="149"/>
      <c r="O25" s="150"/>
      <c r="P25" s="151"/>
      <c r="Q25" s="19"/>
      <c r="R25" s="19"/>
      <c r="S25" s="19"/>
      <c r="T25" s="19"/>
      <c r="U25" s="19"/>
      <c r="V25" s="19"/>
      <c r="W25" s="19"/>
      <c r="X25" s="19"/>
      <c r="Y25" s="19"/>
      <c r="Z25" s="19"/>
    </row>
    <row r="26" spans="1:26" ht="15.75" customHeight="1">
      <c r="A26" s="6" t="s">
        <v>17</v>
      </c>
      <c r="B26" s="11"/>
      <c r="C26" s="11"/>
      <c r="D26" s="11"/>
      <c r="E26" s="11"/>
      <c r="F26" s="11"/>
      <c r="G26" s="11"/>
      <c r="H26" s="11"/>
      <c r="I26" s="11"/>
      <c r="J26" s="11"/>
      <c r="K26" s="11"/>
      <c r="L26" s="11"/>
      <c r="M26" s="11"/>
      <c r="N26" s="149"/>
      <c r="O26" s="150"/>
      <c r="P26" s="151"/>
      <c r="Q26" s="19"/>
      <c r="R26" s="19"/>
      <c r="S26" s="19"/>
      <c r="T26" s="19"/>
      <c r="U26" s="19"/>
      <c r="V26" s="19"/>
      <c r="W26" s="19"/>
      <c r="X26" s="19"/>
      <c r="Y26" s="19"/>
      <c r="Z26" s="19"/>
    </row>
    <row r="27" spans="1:26" ht="15.75" customHeight="1">
      <c r="A27" s="6" t="s">
        <v>18</v>
      </c>
      <c r="B27" s="11"/>
      <c r="C27" s="11"/>
      <c r="D27" s="11"/>
      <c r="E27" s="11"/>
      <c r="F27" s="11"/>
      <c r="G27" s="11"/>
      <c r="H27" s="11"/>
      <c r="I27" s="11"/>
      <c r="J27" s="11"/>
      <c r="K27" s="11"/>
      <c r="L27" s="11"/>
      <c r="M27" s="11"/>
      <c r="N27" s="152"/>
      <c r="O27" s="153"/>
      <c r="P27" s="154"/>
      <c r="Q27" s="19"/>
      <c r="R27" s="19"/>
      <c r="S27" s="19"/>
      <c r="T27" s="19"/>
      <c r="U27" s="19"/>
      <c r="V27" s="19"/>
      <c r="W27" s="19"/>
      <c r="X27" s="19"/>
      <c r="Y27" s="19"/>
      <c r="Z27" s="19"/>
    </row>
    <row r="28" spans="1:26" ht="15.75" customHeight="1">
      <c r="A28" s="22"/>
      <c r="B28" s="19"/>
      <c r="C28" s="19"/>
      <c r="D28" s="19"/>
      <c r="E28" s="19"/>
      <c r="F28" s="19"/>
      <c r="G28" s="19"/>
      <c r="H28" s="19"/>
      <c r="I28" s="19"/>
      <c r="J28" s="19"/>
      <c r="K28" s="19"/>
      <c r="L28" s="19"/>
      <c r="M28" s="19"/>
      <c r="N28" s="12"/>
      <c r="O28" s="12"/>
      <c r="P28" s="12"/>
      <c r="Q28" s="19"/>
      <c r="R28" s="19"/>
      <c r="S28" s="19"/>
      <c r="T28" s="19"/>
      <c r="U28" s="19"/>
      <c r="V28" s="19"/>
      <c r="W28" s="19"/>
      <c r="X28" s="19"/>
      <c r="Y28" s="19"/>
      <c r="Z28" s="19"/>
    </row>
    <row r="29" spans="1:26" ht="15.75" customHeight="1">
      <c r="A29" s="9" t="s">
        <v>26</v>
      </c>
      <c r="B29" s="19"/>
      <c r="C29" s="19"/>
      <c r="D29" s="19"/>
      <c r="E29" s="19"/>
      <c r="F29" s="19"/>
      <c r="G29" s="19"/>
      <c r="H29" s="19"/>
      <c r="I29" s="19"/>
      <c r="J29" s="19"/>
      <c r="K29" s="19"/>
      <c r="L29" s="19"/>
      <c r="M29" s="19"/>
      <c r="N29" s="12"/>
      <c r="O29" s="12"/>
      <c r="P29" s="12"/>
      <c r="Q29" s="19"/>
      <c r="R29" s="19"/>
      <c r="S29" s="19"/>
      <c r="T29" s="19"/>
      <c r="U29" s="19"/>
      <c r="V29" s="19"/>
      <c r="W29" s="19"/>
      <c r="X29" s="19"/>
      <c r="Y29" s="19"/>
      <c r="Z29" s="19"/>
    </row>
    <row r="30" spans="1:26" ht="15.75" customHeight="1">
      <c r="A30" s="3" t="s">
        <v>1</v>
      </c>
      <c r="B30" s="4" t="s">
        <v>2</v>
      </c>
      <c r="C30" s="4" t="s">
        <v>3</v>
      </c>
      <c r="D30" s="4" t="s">
        <v>4</v>
      </c>
      <c r="E30" s="4" t="s">
        <v>5</v>
      </c>
      <c r="F30" s="4" t="s">
        <v>6</v>
      </c>
      <c r="G30" s="4" t="s">
        <v>7</v>
      </c>
      <c r="H30" s="4" t="s">
        <v>8</v>
      </c>
      <c r="I30" s="4" t="s">
        <v>9</v>
      </c>
      <c r="J30" s="4" t="s">
        <v>10</v>
      </c>
      <c r="K30" s="4" t="s">
        <v>11</v>
      </c>
      <c r="L30" s="4" t="s">
        <v>12</v>
      </c>
      <c r="M30" s="26" t="s">
        <v>13</v>
      </c>
      <c r="N30" s="157" t="s">
        <v>27</v>
      </c>
      <c r="O30" s="147"/>
      <c r="P30" s="148"/>
      <c r="Q30" s="19"/>
      <c r="R30" s="19"/>
      <c r="S30" s="19"/>
      <c r="T30" s="19"/>
      <c r="U30" s="19"/>
      <c r="V30" s="19"/>
      <c r="W30" s="19"/>
      <c r="X30" s="19"/>
      <c r="Y30" s="19"/>
      <c r="Z30" s="19"/>
    </row>
    <row r="31" spans="1:26" ht="15.75" customHeight="1">
      <c r="A31" s="6" t="s">
        <v>15</v>
      </c>
      <c r="B31" s="13" t="e">
        <f t="shared" ref="B31:M31" si="0">((B3/B10)*B17)/B24</f>
        <v>#DIV/0!</v>
      </c>
      <c r="C31" s="13" t="e">
        <f t="shared" si="0"/>
        <v>#DIV/0!</v>
      </c>
      <c r="D31" s="13" t="e">
        <f t="shared" si="0"/>
        <v>#DIV/0!</v>
      </c>
      <c r="E31" s="13" t="e">
        <f t="shared" si="0"/>
        <v>#DIV/0!</v>
      </c>
      <c r="F31" s="13" t="e">
        <f t="shared" si="0"/>
        <v>#DIV/0!</v>
      </c>
      <c r="G31" s="13" t="e">
        <f t="shared" si="0"/>
        <v>#DIV/0!</v>
      </c>
      <c r="H31" s="13" t="e">
        <f t="shared" si="0"/>
        <v>#DIV/0!</v>
      </c>
      <c r="I31" s="13" t="e">
        <f t="shared" si="0"/>
        <v>#DIV/0!</v>
      </c>
      <c r="J31" s="13" t="e">
        <f t="shared" si="0"/>
        <v>#DIV/0!</v>
      </c>
      <c r="K31" s="13" t="e">
        <f t="shared" si="0"/>
        <v>#DIV/0!</v>
      </c>
      <c r="L31" s="13" t="e">
        <f t="shared" si="0"/>
        <v>#DIV/0!</v>
      </c>
      <c r="M31" s="13" t="e">
        <f t="shared" si="0"/>
        <v>#DIV/0!</v>
      </c>
      <c r="N31" s="158"/>
      <c r="O31" s="150"/>
      <c r="P31" s="151"/>
      <c r="Q31" s="19"/>
      <c r="R31" s="19"/>
      <c r="S31" s="19"/>
      <c r="T31" s="19"/>
      <c r="U31" s="19"/>
      <c r="V31" s="19"/>
      <c r="W31" s="19"/>
      <c r="X31" s="19"/>
      <c r="Y31" s="19"/>
      <c r="Z31" s="19"/>
    </row>
    <row r="32" spans="1:26" ht="15.75" customHeight="1">
      <c r="A32" s="6" t="s">
        <v>16</v>
      </c>
      <c r="B32" s="13" t="e">
        <f t="shared" ref="B32:M32" si="1">((B4/B11)*B18)/B25</f>
        <v>#DIV/0!</v>
      </c>
      <c r="C32" s="13" t="e">
        <f t="shared" si="1"/>
        <v>#DIV/0!</v>
      </c>
      <c r="D32" s="13" t="e">
        <f t="shared" si="1"/>
        <v>#DIV/0!</v>
      </c>
      <c r="E32" s="13" t="e">
        <f t="shared" si="1"/>
        <v>#DIV/0!</v>
      </c>
      <c r="F32" s="13" t="e">
        <f t="shared" si="1"/>
        <v>#DIV/0!</v>
      </c>
      <c r="G32" s="13" t="e">
        <f t="shared" si="1"/>
        <v>#DIV/0!</v>
      </c>
      <c r="H32" s="13" t="e">
        <f t="shared" si="1"/>
        <v>#DIV/0!</v>
      </c>
      <c r="I32" s="13" t="e">
        <f t="shared" si="1"/>
        <v>#DIV/0!</v>
      </c>
      <c r="J32" s="13" t="e">
        <f t="shared" si="1"/>
        <v>#DIV/0!</v>
      </c>
      <c r="K32" s="13" t="e">
        <f t="shared" si="1"/>
        <v>#DIV/0!</v>
      </c>
      <c r="L32" s="13" t="e">
        <f t="shared" si="1"/>
        <v>#DIV/0!</v>
      </c>
      <c r="M32" s="13" t="e">
        <f t="shared" si="1"/>
        <v>#DIV/0!</v>
      </c>
      <c r="N32" s="158"/>
      <c r="O32" s="150"/>
      <c r="P32" s="151"/>
      <c r="Q32" s="19"/>
      <c r="R32" s="19"/>
      <c r="S32" s="19"/>
      <c r="T32" s="19"/>
      <c r="U32" s="19"/>
      <c r="V32" s="19"/>
      <c r="W32" s="19"/>
      <c r="X32" s="19"/>
      <c r="Y32" s="19"/>
      <c r="Z32" s="19"/>
    </row>
    <row r="33" spans="1:26" ht="15.75" customHeight="1">
      <c r="A33" s="6" t="s">
        <v>17</v>
      </c>
      <c r="B33" s="13" t="e">
        <f t="shared" ref="B33:M33" si="2">((B5/B12)*B19)/B26</f>
        <v>#DIV/0!</v>
      </c>
      <c r="C33" s="13" t="e">
        <f t="shared" si="2"/>
        <v>#DIV/0!</v>
      </c>
      <c r="D33" s="13" t="e">
        <f t="shared" si="2"/>
        <v>#DIV/0!</v>
      </c>
      <c r="E33" s="13" t="e">
        <f t="shared" si="2"/>
        <v>#DIV/0!</v>
      </c>
      <c r="F33" s="13" t="e">
        <f t="shared" si="2"/>
        <v>#DIV/0!</v>
      </c>
      <c r="G33" s="13" t="e">
        <f t="shared" si="2"/>
        <v>#DIV/0!</v>
      </c>
      <c r="H33" s="13" t="e">
        <f t="shared" si="2"/>
        <v>#DIV/0!</v>
      </c>
      <c r="I33" s="13" t="e">
        <f t="shared" si="2"/>
        <v>#DIV/0!</v>
      </c>
      <c r="J33" s="13" t="e">
        <f t="shared" si="2"/>
        <v>#DIV/0!</v>
      </c>
      <c r="K33" s="13" t="e">
        <f t="shared" si="2"/>
        <v>#DIV/0!</v>
      </c>
      <c r="L33" s="13" t="e">
        <f t="shared" si="2"/>
        <v>#DIV/0!</v>
      </c>
      <c r="M33" s="13" t="e">
        <f t="shared" si="2"/>
        <v>#DIV/0!</v>
      </c>
      <c r="N33" s="158"/>
      <c r="O33" s="150"/>
      <c r="P33" s="151"/>
      <c r="Q33" s="19"/>
      <c r="R33" s="19"/>
      <c r="S33" s="19"/>
      <c r="T33" s="19"/>
      <c r="U33" s="19"/>
      <c r="V33" s="19"/>
      <c r="W33" s="19"/>
      <c r="X33" s="19"/>
      <c r="Y33" s="19"/>
      <c r="Z33" s="19"/>
    </row>
    <row r="34" spans="1:26" ht="15.75" customHeight="1">
      <c r="A34" s="6" t="s">
        <v>18</v>
      </c>
      <c r="B34" s="13" t="e">
        <f t="shared" ref="B34:M34" si="3">((B6/B13)*B20)/B27</f>
        <v>#DIV/0!</v>
      </c>
      <c r="C34" s="13" t="e">
        <f t="shared" si="3"/>
        <v>#DIV/0!</v>
      </c>
      <c r="D34" s="13" t="e">
        <f t="shared" si="3"/>
        <v>#DIV/0!</v>
      </c>
      <c r="E34" s="13" t="e">
        <f t="shared" si="3"/>
        <v>#DIV/0!</v>
      </c>
      <c r="F34" s="13" t="e">
        <f t="shared" si="3"/>
        <v>#DIV/0!</v>
      </c>
      <c r="G34" s="13" t="e">
        <f t="shared" si="3"/>
        <v>#DIV/0!</v>
      </c>
      <c r="H34" s="13" t="e">
        <f t="shared" si="3"/>
        <v>#DIV/0!</v>
      </c>
      <c r="I34" s="13" t="e">
        <f t="shared" si="3"/>
        <v>#DIV/0!</v>
      </c>
      <c r="J34" s="13" t="e">
        <f t="shared" si="3"/>
        <v>#DIV/0!</v>
      </c>
      <c r="K34" s="13" t="e">
        <f t="shared" si="3"/>
        <v>#DIV/0!</v>
      </c>
      <c r="L34" s="13" t="e">
        <f t="shared" si="3"/>
        <v>#DIV/0!</v>
      </c>
      <c r="M34" s="13" t="e">
        <f t="shared" si="3"/>
        <v>#DIV/0!</v>
      </c>
      <c r="N34" s="159"/>
      <c r="O34" s="153"/>
      <c r="P34" s="154"/>
      <c r="Q34" s="19"/>
      <c r="R34" s="19"/>
      <c r="S34" s="19"/>
      <c r="T34" s="19"/>
      <c r="U34" s="19"/>
      <c r="V34" s="19"/>
      <c r="W34" s="19"/>
      <c r="X34" s="19"/>
      <c r="Y34" s="19"/>
      <c r="Z34" s="19"/>
    </row>
    <row r="35" spans="1:26"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c r="A38" s="12"/>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5">
    <mergeCell ref="N2:P6"/>
    <mergeCell ref="N9:P13"/>
    <mergeCell ref="N16:P20"/>
    <mergeCell ref="N23:P27"/>
    <mergeCell ref="N30:P3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tabSelected="1" topLeftCell="A20" workbookViewId="0"/>
  </sheetViews>
  <sheetFormatPr baseColWidth="10" defaultColWidth="14.5" defaultRowHeight="15" customHeight="1"/>
  <cols>
    <col min="1" max="1" width="16.83203125" customWidth="1"/>
    <col min="2" max="2" width="25.5" customWidth="1"/>
    <col min="3" max="3" width="19.5" customWidth="1"/>
    <col min="4" max="15" width="14.5" customWidth="1"/>
    <col min="16" max="16" width="15.33203125" customWidth="1"/>
    <col min="17" max="28" width="14.5" customWidth="1"/>
  </cols>
  <sheetData>
    <row r="1" spans="1:28" ht="15.75" customHeight="1">
      <c r="A1" s="9" t="s">
        <v>26</v>
      </c>
      <c r="B1" s="14"/>
      <c r="C1" s="14"/>
      <c r="D1" s="14"/>
      <c r="E1" s="14"/>
      <c r="F1" s="14"/>
      <c r="G1" s="14"/>
      <c r="H1" s="14"/>
      <c r="I1" s="14"/>
      <c r="J1" s="14"/>
      <c r="K1" s="14"/>
      <c r="L1" s="14"/>
      <c r="M1" s="14"/>
      <c r="N1" s="15"/>
      <c r="O1" s="15"/>
      <c r="P1" s="15"/>
      <c r="Q1" s="16"/>
      <c r="R1" s="16"/>
      <c r="S1" s="16"/>
      <c r="T1" s="16"/>
      <c r="U1" s="16"/>
      <c r="V1" s="16"/>
      <c r="W1" s="16"/>
      <c r="X1" s="16"/>
      <c r="Y1" s="16"/>
      <c r="Z1" s="16"/>
      <c r="AA1" s="16"/>
      <c r="AB1" s="16"/>
    </row>
    <row r="2" spans="1:28" ht="15.75" customHeight="1">
      <c r="A2" s="3" t="s">
        <v>1</v>
      </c>
      <c r="B2" s="4" t="s">
        <v>2</v>
      </c>
      <c r="C2" s="4" t="s">
        <v>3</v>
      </c>
      <c r="D2" s="4" t="s">
        <v>4</v>
      </c>
      <c r="E2" s="4" t="s">
        <v>5</v>
      </c>
      <c r="F2" s="4" t="s">
        <v>6</v>
      </c>
      <c r="G2" s="4" t="s">
        <v>7</v>
      </c>
      <c r="H2" s="4" t="s">
        <v>8</v>
      </c>
      <c r="I2" s="4" t="s">
        <v>9</v>
      </c>
      <c r="J2" s="4" t="s">
        <v>10</v>
      </c>
      <c r="K2" s="4" t="s">
        <v>11</v>
      </c>
      <c r="L2" s="4" t="s">
        <v>12</v>
      </c>
      <c r="M2" s="4" t="s">
        <v>13</v>
      </c>
      <c r="N2" s="155" t="s">
        <v>28</v>
      </c>
      <c r="O2" s="147"/>
      <c r="P2" s="148"/>
      <c r="Q2" s="22"/>
      <c r="R2" s="22"/>
      <c r="S2" s="22"/>
      <c r="T2" s="22"/>
      <c r="U2" s="22"/>
      <c r="V2" s="22"/>
      <c r="W2" s="22"/>
      <c r="X2" s="22"/>
      <c r="Y2" s="22"/>
      <c r="Z2" s="22"/>
      <c r="AA2" s="22"/>
      <c r="AB2" s="22"/>
    </row>
    <row r="3" spans="1:28" ht="15.75" customHeight="1">
      <c r="A3" s="6" t="s">
        <v>15</v>
      </c>
      <c r="B3" s="13" t="e">
        <f>('Lead Target by Month CREATE'!B31)</f>
        <v>#DIV/0!</v>
      </c>
      <c r="C3" s="13" t="e">
        <f>('Lead Target by Month CREATE'!C31)</f>
        <v>#DIV/0!</v>
      </c>
      <c r="D3" s="13" t="e">
        <f>('Lead Target by Month CREATE'!D31)</f>
        <v>#DIV/0!</v>
      </c>
      <c r="E3" s="13" t="e">
        <f>('Lead Target by Month CREATE'!E31)</f>
        <v>#DIV/0!</v>
      </c>
      <c r="F3" s="13" t="e">
        <f>('Lead Target by Month CREATE'!F31)</f>
        <v>#DIV/0!</v>
      </c>
      <c r="G3" s="13" t="e">
        <f>('Lead Target by Month CREATE'!G31)</f>
        <v>#DIV/0!</v>
      </c>
      <c r="H3" s="13" t="e">
        <f>('Lead Target by Month CREATE'!H31)</f>
        <v>#DIV/0!</v>
      </c>
      <c r="I3" s="13" t="e">
        <f>('Lead Target by Month CREATE'!I31)</f>
        <v>#DIV/0!</v>
      </c>
      <c r="J3" s="13" t="e">
        <f>('Lead Target by Month CREATE'!J31)</f>
        <v>#DIV/0!</v>
      </c>
      <c r="K3" s="13" t="e">
        <f>('Lead Target by Month CREATE'!K31)</f>
        <v>#DIV/0!</v>
      </c>
      <c r="L3" s="13" t="e">
        <f>('Lead Target by Month CREATE'!L31)</f>
        <v>#DIV/0!</v>
      </c>
      <c r="M3" s="27" t="e">
        <f>('Lead Target by Month CREATE'!M31)</f>
        <v>#DIV/0!</v>
      </c>
      <c r="N3" s="149"/>
      <c r="O3" s="150"/>
      <c r="P3" s="151"/>
      <c r="Q3" s="22"/>
      <c r="R3" s="22"/>
      <c r="S3" s="22"/>
      <c r="T3" s="22"/>
      <c r="U3" s="22"/>
      <c r="V3" s="22"/>
      <c r="W3" s="22"/>
      <c r="X3" s="22"/>
      <c r="Y3" s="22"/>
      <c r="Z3" s="22"/>
      <c r="AA3" s="22"/>
      <c r="AB3" s="22"/>
    </row>
    <row r="4" spans="1:28" ht="15.75" customHeight="1">
      <c r="A4" s="6" t="s">
        <v>16</v>
      </c>
      <c r="B4" s="13" t="e">
        <f>('Lead Target by Month CREATE'!B32)</f>
        <v>#DIV/0!</v>
      </c>
      <c r="C4" s="13" t="e">
        <f>('Lead Target by Month CREATE'!C32)</f>
        <v>#DIV/0!</v>
      </c>
      <c r="D4" s="13" t="e">
        <f>('Lead Target by Month CREATE'!D32)</f>
        <v>#DIV/0!</v>
      </c>
      <c r="E4" s="13" t="e">
        <f>('Lead Target by Month CREATE'!E32)</f>
        <v>#DIV/0!</v>
      </c>
      <c r="F4" s="13" t="e">
        <f>('Lead Target by Month CREATE'!F32)</f>
        <v>#DIV/0!</v>
      </c>
      <c r="G4" s="13" t="e">
        <f>('Lead Target by Month CREATE'!G32)</f>
        <v>#DIV/0!</v>
      </c>
      <c r="H4" s="13" t="e">
        <f>('Lead Target by Month CREATE'!H32)</f>
        <v>#DIV/0!</v>
      </c>
      <c r="I4" s="13" t="e">
        <f>('Lead Target by Month CREATE'!I32)</f>
        <v>#DIV/0!</v>
      </c>
      <c r="J4" s="13" t="e">
        <f>('Lead Target by Month CREATE'!J32)</f>
        <v>#DIV/0!</v>
      </c>
      <c r="K4" s="13" t="e">
        <f>('Lead Target by Month CREATE'!K32)</f>
        <v>#DIV/0!</v>
      </c>
      <c r="L4" s="13" t="e">
        <f>('Lead Target by Month CREATE'!L32)</f>
        <v>#DIV/0!</v>
      </c>
      <c r="M4" s="27" t="e">
        <f>('Lead Target by Month CREATE'!M32)</f>
        <v>#DIV/0!</v>
      </c>
      <c r="N4" s="149"/>
      <c r="O4" s="150"/>
      <c r="P4" s="151"/>
      <c r="Q4" s="22"/>
      <c r="R4" s="22"/>
      <c r="S4" s="22"/>
      <c r="T4" s="22"/>
      <c r="U4" s="22"/>
      <c r="V4" s="22"/>
      <c r="W4" s="22"/>
      <c r="X4" s="22"/>
      <c r="Y4" s="22"/>
      <c r="Z4" s="22"/>
      <c r="AA4" s="22"/>
      <c r="AB4" s="22"/>
    </row>
    <row r="5" spans="1:28" ht="15.75" customHeight="1">
      <c r="A5" s="6" t="s">
        <v>17</v>
      </c>
      <c r="B5" s="13" t="e">
        <f>('Lead Target by Month CREATE'!B33)</f>
        <v>#DIV/0!</v>
      </c>
      <c r="C5" s="13" t="e">
        <f>('Lead Target by Month CREATE'!C33)</f>
        <v>#DIV/0!</v>
      </c>
      <c r="D5" s="13" t="e">
        <f>('Lead Target by Month CREATE'!D33)</f>
        <v>#DIV/0!</v>
      </c>
      <c r="E5" s="13" t="e">
        <f>('Lead Target by Month CREATE'!E33)</f>
        <v>#DIV/0!</v>
      </c>
      <c r="F5" s="13" t="e">
        <f>('Lead Target by Month CREATE'!F33)</f>
        <v>#DIV/0!</v>
      </c>
      <c r="G5" s="13" t="e">
        <f>('Lead Target by Month CREATE'!G33)</f>
        <v>#DIV/0!</v>
      </c>
      <c r="H5" s="13" t="e">
        <f>('Lead Target by Month CREATE'!H33)</f>
        <v>#DIV/0!</v>
      </c>
      <c r="I5" s="13" t="e">
        <f>('Lead Target by Month CREATE'!I33)</f>
        <v>#DIV/0!</v>
      </c>
      <c r="J5" s="13" t="e">
        <f>('Lead Target by Month CREATE'!J33)</f>
        <v>#DIV/0!</v>
      </c>
      <c r="K5" s="13" t="e">
        <f>('Lead Target by Month CREATE'!K33)</f>
        <v>#DIV/0!</v>
      </c>
      <c r="L5" s="13" t="e">
        <f>('Lead Target by Month CREATE'!L33)</f>
        <v>#DIV/0!</v>
      </c>
      <c r="M5" s="27" t="e">
        <f>('Lead Target by Month CREATE'!M33)</f>
        <v>#DIV/0!</v>
      </c>
      <c r="N5" s="149"/>
      <c r="O5" s="150"/>
      <c r="P5" s="151"/>
      <c r="Q5" s="22"/>
      <c r="R5" s="22"/>
      <c r="S5" s="22"/>
      <c r="T5" s="22"/>
      <c r="U5" s="22"/>
      <c r="V5" s="22"/>
      <c r="W5" s="22"/>
      <c r="X5" s="22"/>
      <c r="Y5" s="22"/>
      <c r="Z5" s="22"/>
      <c r="AA5" s="22"/>
      <c r="AB5" s="22"/>
    </row>
    <row r="6" spans="1:28" ht="15.75" customHeight="1">
      <c r="A6" s="6" t="s">
        <v>18</v>
      </c>
      <c r="B6" s="13" t="e">
        <f>('Lead Target by Month CREATE'!B34)</f>
        <v>#DIV/0!</v>
      </c>
      <c r="C6" s="13" t="e">
        <f>('Lead Target by Month CREATE'!C34)</f>
        <v>#DIV/0!</v>
      </c>
      <c r="D6" s="13" t="e">
        <f>('Lead Target by Month CREATE'!D34)</f>
        <v>#DIV/0!</v>
      </c>
      <c r="E6" s="13" t="e">
        <f>('Lead Target by Month CREATE'!E34)</f>
        <v>#DIV/0!</v>
      </c>
      <c r="F6" s="13" t="e">
        <f>('Lead Target by Month CREATE'!F34)</f>
        <v>#DIV/0!</v>
      </c>
      <c r="G6" s="13" t="e">
        <f>('Lead Target by Month CREATE'!G34)</f>
        <v>#DIV/0!</v>
      </c>
      <c r="H6" s="13" t="e">
        <f>('Lead Target by Month CREATE'!H34)</f>
        <v>#DIV/0!</v>
      </c>
      <c r="I6" s="13" t="e">
        <f>('Lead Target by Month CREATE'!I34)</f>
        <v>#DIV/0!</v>
      </c>
      <c r="J6" s="13" t="e">
        <f>('Lead Target by Month CREATE'!J34)</f>
        <v>#DIV/0!</v>
      </c>
      <c r="K6" s="13" t="e">
        <f>('Lead Target by Month CREATE'!K34)</f>
        <v>#DIV/0!</v>
      </c>
      <c r="L6" s="13" t="e">
        <f>('Lead Target by Month CREATE'!L34)</f>
        <v>#DIV/0!</v>
      </c>
      <c r="M6" s="27" t="e">
        <f>('Lead Target by Month CREATE'!M34)</f>
        <v>#DIV/0!</v>
      </c>
      <c r="N6" s="152"/>
      <c r="O6" s="153"/>
      <c r="P6" s="154"/>
      <c r="Q6" s="22"/>
      <c r="R6" s="22"/>
      <c r="S6" s="22"/>
      <c r="T6" s="22"/>
      <c r="U6" s="22"/>
      <c r="V6" s="22"/>
      <c r="W6" s="22"/>
      <c r="X6" s="22"/>
      <c r="Y6" s="22"/>
      <c r="Z6" s="22"/>
      <c r="AA6" s="22"/>
      <c r="AB6" s="22"/>
    </row>
    <row r="7" spans="1:28" ht="15.75" customHeight="1">
      <c r="A7" s="4"/>
      <c r="B7" s="4" t="s">
        <v>2</v>
      </c>
      <c r="C7" s="4" t="s">
        <v>3</v>
      </c>
      <c r="D7" s="4" t="s">
        <v>4</v>
      </c>
      <c r="E7" s="4" t="s">
        <v>5</v>
      </c>
      <c r="F7" s="4" t="s">
        <v>6</v>
      </c>
      <c r="G7" s="4" t="s">
        <v>7</v>
      </c>
      <c r="H7" s="4" t="s">
        <v>8</v>
      </c>
      <c r="I7" s="4" t="s">
        <v>9</v>
      </c>
      <c r="J7" s="4" t="s">
        <v>10</v>
      </c>
      <c r="K7" s="4" t="s">
        <v>11</v>
      </c>
      <c r="L7" s="4" t="s">
        <v>12</v>
      </c>
      <c r="M7" s="4" t="s">
        <v>13</v>
      </c>
      <c r="N7" s="18"/>
      <c r="O7" s="18"/>
      <c r="P7" s="22"/>
      <c r="Q7" s="22"/>
      <c r="R7" s="22"/>
      <c r="S7" s="22"/>
      <c r="T7" s="22"/>
      <c r="U7" s="22"/>
      <c r="V7" s="22"/>
      <c r="W7" s="22"/>
      <c r="X7" s="22"/>
      <c r="Y7" s="22"/>
      <c r="Z7" s="22"/>
      <c r="AA7" s="22"/>
      <c r="AB7" s="22"/>
    </row>
    <row r="8" spans="1:28" ht="15.75" customHeight="1">
      <c r="A8" s="20" t="s">
        <v>29</v>
      </c>
      <c r="B8" s="21" t="e">
        <f t="shared" ref="B8:M8" si="0">SUM(B3:B6)</f>
        <v>#DIV/0!</v>
      </c>
      <c r="C8" s="21" t="e">
        <f t="shared" si="0"/>
        <v>#DIV/0!</v>
      </c>
      <c r="D8" s="21" t="e">
        <f t="shared" si="0"/>
        <v>#DIV/0!</v>
      </c>
      <c r="E8" s="21" t="e">
        <f t="shared" si="0"/>
        <v>#DIV/0!</v>
      </c>
      <c r="F8" s="21" t="e">
        <f t="shared" si="0"/>
        <v>#DIV/0!</v>
      </c>
      <c r="G8" s="21" t="e">
        <f t="shared" si="0"/>
        <v>#DIV/0!</v>
      </c>
      <c r="H8" s="21" t="e">
        <f t="shared" si="0"/>
        <v>#DIV/0!</v>
      </c>
      <c r="I8" s="21" t="e">
        <f t="shared" si="0"/>
        <v>#DIV/0!</v>
      </c>
      <c r="J8" s="21" t="e">
        <f t="shared" si="0"/>
        <v>#DIV/0!</v>
      </c>
      <c r="K8" s="21" t="e">
        <f t="shared" si="0"/>
        <v>#DIV/0!</v>
      </c>
      <c r="L8" s="21" t="e">
        <f t="shared" si="0"/>
        <v>#DIV/0!</v>
      </c>
      <c r="M8" s="20" t="e">
        <f t="shared" si="0"/>
        <v>#DIV/0!</v>
      </c>
      <c r="N8" s="18"/>
      <c r="O8" s="18"/>
      <c r="P8" s="22"/>
      <c r="Q8" s="22"/>
      <c r="R8" s="22"/>
      <c r="S8" s="22"/>
      <c r="T8" s="22"/>
      <c r="U8" s="22"/>
      <c r="V8" s="22"/>
      <c r="W8" s="22"/>
      <c r="X8" s="22"/>
      <c r="Y8" s="22"/>
      <c r="Z8" s="22"/>
      <c r="AA8" s="22"/>
      <c r="AB8" s="22"/>
    </row>
    <row r="9" spans="1:28" ht="13.5" customHeight="1">
      <c r="A9" s="22"/>
      <c r="B9" s="12"/>
      <c r="C9" s="12"/>
      <c r="D9" s="12"/>
      <c r="E9" s="12"/>
      <c r="F9" s="12"/>
      <c r="G9" s="12"/>
      <c r="H9" s="12"/>
      <c r="I9" s="12"/>
      <c r="J9" s="18"/>
      <c r="K9" s="18"/>
      <c r="L9" s="18"/>
      <c r="M9" s="18"/>
      <c r="N9" s="18"/>
      <c r="O9" s="18"/>
      <c r="P9" s="22"/>
      <c r="Q9" s="22"/>
      <c r="R9" s="22"/>
      <c r="S9" s="22"/>
      <c r="T9" s="22"/>
      <c r="U9" s="22"/>
      <c r="V9" s="22"/>
      <c r="W9" s="22"/>
      <c r="X9" s="22"/>
      <c r="Y9" s="22"/>
      <c r="Z9" s="22"/>
      <c r="AA9" s="22"/>
      <c r="AB9" s="22"/>
    </row>
    <row r="10" spans="1:28" ht="18.75" customHeight="1">
      <c r="A10" s="9" t="s">
        <v>30</v>
      </c>
      <c r="B10" s="23"/>
      <c r="C10" s="23"/>
      <c r="D10" s="23"/>
      <c r="E10" s="23"/>
      <c r="F10" s="23"/>
      <c r="G10" s="23"/>
      <c r="H10" s="23"/>
      <c r="I10" s="23"/>
      <c r="J10" s="23"/>
      <c r="K10" s="23"/>
      <c r="L10" s="23"/>
      <c r="M10" s="23"/>
      <c r="N10" s="12"/>
      <c r="O10" s="12"/>
      <c r="P10" s="12"/>
      <c r="Q10" s="22"/>
      <c r="R10" s="22"/>
      <c r="S10" s="22"/>
      <c r="T10" s="22"/>
      <c r="U10" s="22"/>
      <c r="V10" s="22"/>
      <c r="W10" s="22"/>
      <c r="X10" s="22"/>
      <c r="Y10" s="22"/>
      <c r="Z10" s="22"/>
      <c r="AA10" s="22"/>
      <c r="AB10" s="22"/>
    </row>
    <row r="11" spans="1:28" ht="15.75" customHeight="1">
      <c r="A11" s="3" t="s">
        <v>1</v>
      </c>
      <c r="B11" s="4" t="s">
        <v>2</v>
      </c>
      <c r="C11" s="4" t="s">
        <v>3</v>
      </c>
      <c r="D11" s="4" t="s">
        <v>4</v>
      </c>
      <c r="E11" s="4" t="s">
        <v>5</v>
      </c>
      <c r="F11" s="4" t="s">
        <v>6</v>
      </c>
      <c r="G11" s="4" t="s">
        <v>7</v>
      </c>
      <c r="H11" s="4" t="s">
        <v>8</v>
      </c>
      <c r="I11" s="4" t="s">
        <v>9</v>
      </c>
      <c r="J11" s="4" t="s">
        <v>10</v>
      </c>
      <c r="K11" s="4" t="s">
        <v>11</v>
      </c>
      <c r="L11" s="4" t="s">
        <v>12</v>
      </c>
      <c r="M11" s="4" t="s">
        <v>13</v>
      </c>
      <c r="N11" s="155" t="s">
        <v>31</v>
      </c>
      <c r="O11" s="147"/>
      <c r="P11" s="148"/>
      <c r="Q11" s="22"/>
      <c r="R11" s="22"/>
      <c r="S11" s="22"/>
      <c r="T11" s="22"/>
      <c r="U11" s="22"/>
      <c r="V11" s="22"/>
      <c r="W11" s="22"/>
      <c r="X11" s="22"/>
      <c r="Y11" s="22"/>
      <c r="Z11" s="22"/>
      <c r="AA11" s="22"/>
      <c r="AB11" s="22"/>
    </row>
    <row r="12" spans="1:28" ht="15.75" customHeight="1">
      <c r="A12" s="6" t="s">
        <v>15</v>
      </c>
      <c r="B12" s="17"/>
      <c r="C12" s="17"/>
      <c r="D12" s="17"/>
      <c r="E12" s="17"/>
      <c r="F12" s="17"/>
      <c r="G12" s="17"/>
      <c r="H12" s="17"/>
      <c r="I12" s="17"/>
      <c r="J12" s="17"/>
      <c r="K12" s="17"/>
      <c r="L12" s="17"/>
      <c r="M12" s="17"/>
      <c r="N12" s="149"/>
      <c r="O12" s="150"/>
      <c r="P12" s="151"/>
      <c r="Q12" s="22"/>
      <c r="R12" s="22"/>
      <c r="S12" s="22"/>
      <c r="T12" s="22"/>
      <c r="U12" s="22"/>
      <c r="V12" s="22"/>
      <c r="W12" s="22"/>
      <c r="X12" s="22"/>
      <c r="Y12" s="22"/>
      <c r="Z12" s="22"/>
      <c r="AA12" s="22"/>
      <c r="AB12" s="22"/>
    </row>
    <row r="13" spans="1:28" ht="15.75" customHeight="1">
      <c r="A13" s="6" t="s">
        <v>16</v>
      </c>
      <c r="B13" s="17"/>
      <c r="C13" s="17"/>
      <c r="D13" s="17"/>
      <c r="E13" s="17"/>
      <c r="F13" s="17"/>
      <c r="G13" s="17"/>
      <c r="H13" s="17"/>
      <c r="I13" s="17"/>
      <c r="J13" s="17"/>
      <c r="K13" s="17"/>
      <c r="L13" s="17"/>
      <c r="M13" s="17"/>
      <c r="N13" s="149"/>
      <c r="O13" s="150"/>
      <c r="P13" s="151"/>
      <c r="Q13" s="22"/>
      <c r="R13" s="22"/>
      <c r="S13" s="22"/>
      <c r="T13" s="22"/>
      <c r="U13" s="22"/>
      <c r="V13" s="22"/>
      <c r="W13" s="22"/>
      <c r="X13" s="22"/>
      <c r="Y13" s="22"/>
      <c r="Z13" s="22"/>
      <c r="AA13" s="22"/>
      <c r="AB13" s="22"/>
    </row>
    <row r="14" spans="1:28" ht="15.75" customHeight="1">
      <c r="A14" s="6" t="s">
        <v>17</v>
      </c>
      <c r="B14" s="17"/>
      <c r="C14" s="17"/>
      <c r="D14" s="17"/>
      <c r="E14" s="17"/>
      <c r="F14" s="17"/>
      <c r="G14" s="17"/>
      <c r="H14" s="17"/>
      <c r="I14" s="17"/>
      <c r="J14" s="17"/>
      <c r="K14" s="17"/>
      <c r="L14" s="17"/>
      <c r="M14" s="17"/>
      <c r="N14" s="149"/>
      <c r="O14" s="150"/>
      <c r="P14" s="151"/>
      <c r="Q14" s="22"/>
      <c r="R14" s="22"/>
      <c r="S14" s="22"/>
      <c r="T14" s="22"/>
      <c r="U14" s="22"/>
      <c r="V14" s="22"/>
      <c r="W14" s="22"/>
      <c r="X14" s="22"/>
      <c r="Y14" s="22"/>
      <c r="Z14" s="22"/>
      <c r="AA14" s="22"/>
      <c r="AB14" s="22"/>
    </row>
    <row r="15" spans="1:28" ht="15.75" customHeight="1">
      <c r="A15" s="6" t="s">
        <v>18</v>
      </c>
      <c r="B15" s="17"/>
      <c r="C15" s="17"/>
      <c r="D15" s="17"/>
      <c r="E15" s="17"/>
      <c r="F15" s="17"/>
      <c r="G15" s="17"/>
      <c r="H15" s="17"/>
      <c r="I15" s="17"/>
      <c r="J15" s="17"/>
      <c r="K15" s="17"/>
      <c r="L15" s="17"/>
      <c r="M15" s="17"/>
      <c r="N15" s="152"/>
      <c r="O15" s="153"/>
      <c r="P15" s="154"/>
      <c r="Q15" s="22"/>
      <c r="R15" s="22"/>
      <c r="S15" s="22"/>
      <c r="T15" s="22"/>
      <c r="U15" s="22"/>
      <c r="V15" s="22"/>
      <c r="W15" s="22"/>
      <c r="X15" s="22"/>
      <c r="Y15" s="22"/>
      <c r="Z15" s="22"/>
      <c r="AA15" s="22"/>
      <c r="AB15" s="22"/>
    </row>
    <row r="16" spans="1:28" ht="15.75" customHeight="1">
      <c r="A16" s="4"/>
      <c r="B16" s="4" t="s">
        <v>2</v>
      </c>
      <c r="C16" s="4" t="s">
        <v>3</v>
      </c>
      <c r="D16" s="4" t="s">
        <v>4</v>
      </c>
      <c r="E16" s="4" t="s">
        <v>5</v>
      </c>
      <c r="F16" s="4" t="s">
        <v>6</v>
      </c>
      <c r="G16" s="4" t="s">
        <v>7</v>
      </c>
      <c r="H16" s="4" t="s">
        <v>8</v>
      </c>
      <c r="I16" s="4" t="s">
        <v>9</v>
      </c>
      <c r="J16" s="4" t="s">
        <v>10</v>
      </c>
      <c r="K16" s="4" t="s">
        <v>11</v>
      </c>
      <c r="L16" s="4" t="s">
        <v>12</v>
      </c>
      <c r="M16" s="4" t="s">
        <v>13</v>
      </c>
      <c r="N16" s="22"/>
      <c r="O16" s="22"/>
      <c r="P16" s="22"/>
      <c r="Q16" s="22"/>
      <c r="R16" s="22"/>
      <c r="S16" s="22"/>
      <c r="T16" s="22"/>
      <c r="U16" s="22"/>
      <c r="V16" s="22"/>
      <c r="W16" s="22"/>
      <c r="X16" s="22"/>
      <c r="Y16" s="22"/>
      <c r="Z16" s="22"/>
      <c r="AA16" s="22"/>
      <c r="AB16" s="22"/>
    </row>
    <row r="17" spans="1:28" ht="15.75" customHeight="1">
      <c r="A17" s="20" t="s">
        <v>32</v>
      </c>
      <c r="B17" s="21">
        <f t="shared" ref="B17:M17" si="1">SUM(B12:B15)</f>
        <v>0</v>
      </c>
      <c r="C17" s="21">
        <f t="shared" si="1"/>
        <v>0</v>
      </c>
      <c r="D17" s="21">
        <f t="shared" si="1"/>
        <v>0</v>
      </c>
      <c r="E17" s="21">
        <f t="shared" si="1"/>
        <v>0</v>
      </c>
      <c r="F17" s="21">
        <f t="shared" si="1"/>
        <v>0</v>
      </c>
      <c r="G17" s="21">
        <f t="shared" si="1"/>
        <v>0</v>
      </c>
      <c r="H17" s="21">
        <f t="shared" si="1"/>
        <v>0</v>
      </c>
      <c r="I17" s="21">
        <f t="shared" si="1"/>
        <v>0</v>
      </c>
      <c r="J17" s="21">
        <f t="shared" si="1"/>
        <v>0</v>
      </c>
      <c r="K17" s="21">
        <f t="shared" si="1"/>
        <v>0</v>
      </c>
      <c r="L17" s="21">
        <f t="shared" si="1"/>
        <v>0</v>
      </c>
      <c r="M17" s="21">
        <f t="shared" si="1"/>
        <v>0</v>
      </c>
      <c r="N17" s="155" t="s">
        <v>33</v>
      </c>
      <c r="O17" s="147"/>
      <c r="P17" s="148"/>
      <c r="Q17" s="22"/>
      <c r="R17" s="22"/>
      <c r="S17" s="22"/>
      <c r="T17" s="22"/>
      <c r="U17" s="22"/>
      <c r="V17" s="22"/>
      <c r="W17" s="22"/>
      <c r="X17" s="22"/>
      <c r="Y17" s="22"/>
      <c r="Z17" s="22"/>
      <c r="AA17" s="22"/>
      <c r="AB17" s="22"/>
    </row>
    <row r="18" spans="1:28" ht="15.75" customHeight="1">
      <c r="A18" s="20" t="s">
        <v>34</v>
      </c>
      <c r="B18" s="21" t="e">
        <f t="shared" ref="B18:M18" si="2">SUM(B3:B6)</f>
        <v>#DIV/0!</v>
      </c>
      <c r="C18" s="21" t="e">
        <f t="shared" si="2"/>
        <v>#DIV/0!</v>
      </c>
      <c r="D18" s="21" t="e">
        <f t="shared" si="2"/>
        <v>#DIV/0!</v>
      </c>
      <c r="E18" s="21" t="e">
        <f t="shared" si="2"/>
        <v>#DIV/0!</v>
      </c>
      <c r="F18" s="21" t="e">
        <f t="shared" si="2"/>
        <v>#DIV/0!</v>
      </c>
      <c r="G18" s="21" t="e">
        <f t="shared" si="2"/>
        <v>#DIV/0!</v>
      </c>
      <c r="H18" s="21" t="e">
        <f t="shared" si="2"/>
        <v>#DIV/0!</v>
      </c>
      <c r="I18" s="21" t="e">
        <f t="shared" si="2"/>
        <v>#DIV/0!</v>
      </c>
      <c r="J18" s="21" t="e">
        <f t="shared" si="2"/>
        <v>#DIV/0!</v>
      </c>
      <c r="K18" s="21" t="e">
        <f t="shared" si="2"/>
        <v>#DIV/0!</v>
      </c>
      <c r="L18" s="21" t="e">
        <f t="shared" si="2"/>
        <v>#DIV/0!</v>
      </c>
      <c r="M18" s="20" t="e">
        <f t="shared" si="2"/>
        <v>#DIV/0!</v>
      </c>
      <c r="N18" s="152"/>
      <c r="O18" s="153"/>
      <c r="P18" s="154"/>
      <c r="Q18" s="22"/>
      <c r="R18" s="22"/>
      <c r="S18" s="22"/>
      <c r="T18" s="22"/>
      <c r="U18" s="22"/>
      <c r="V18" s="22"/>
      <c r="W18" s="22"/>
      <c r="X18" s="22"/>
      <c r="Y18" s="22"/>
      <c r="Z18" s="22"/>
      <c r="AA18" s="22"/>
      <c r="AB18" s="22"/>
    </row>
    <row r="19" spans="1:28" ht="15.75" customHeight="1">
      <c r="A19" s="8"/>
      <c r="B19" s="12"/>
      <c r="C19" s="12"/>
      <c r="D19" s="12"/>
      <c r="E19" s="22"/>
      <c r="F19" s="22"/>
      <c r="G19" s="22"/>
      <c r="H19" s="22"/>
      <c r="I19" s="22"/>
      <c r="J19" s="22"/>
      <c r="K19" s="22"/>
      <c r="L19" s="22"/>
      <c r="M19" s="22"/>
      <c r="N19" s="22"/>
      <c r="O19" s="22"/>
      <c r="P19" s="22"/>
      <c r="Q19" s="22"/>
      <c r="R19" s="22"/>
      <c r="S19" s="22"/>
      <c r="T19" s="22"/>
      <c r="U19" s="22"/>
      <c r="V19" s="22"/>
      <c r="W19" s="22"/>
      <c r="X19" s="22"/>
      <c r="Y19" s="22"/>
      <c r="Z19" s="22"/>
      <c r="AA19" s="22"/>
      <c r="AB19" s="22"/>
    </row>
    <row r="20" spans="1:28" ht="15.75" customHeight="1">
      <c r="A20" s="9" t="s">
        <v>35</v>
      </c>
      <c r="B20" s="12"/>
      <c r="C20" s="12"/>
      <c r="D20" s="12"/>
      <c r="E20" s="22"/>
      <c r="F20" s="22"/>
      <c r="G20" s="22"/>
      <c r="H20" s="22"/>
      <c r="I20" s="22"/>
      <c r="J20" s="22"/>
      <c r="K20" s="22"/>
      <c r="L20" s="22"/>
      <c r="M20" s="22"/>
      <c r="N20" s="22"/>
      <c r="O20" s="22"/>
      <c r="P20" s="22"/>
      <c r="Q20" s="22"/>
      <c r="R20" s="22"/>
      <c r="S20" s="22"/>
      <c r="T20" s="22"/>
      <c r="U20" s="22"/>
      <c r="V20" s="22"/>
      <c r="W20" s="22"/>
      <c r="X20" s="22"/>
      <c r="Y20" s="22"/>
      <c r="Z20" s="22"/>
      <c r="AA20" s="22"/>
      <c r="AB20" s="22"/>
    </row>
    <row r="21" spans="1:28" ht="15.75" customHeight="1">
      <c r="A21" s="3" t="s">
        <v>1</v>
      </c>
      <c r="B21" s="4" t="s">
        <v>2</v>
      </c>
      <c r="C21" s="4" t="s">
        <v>3</v>
      </c>
      <c r="D21" s="4" t="s">
        <v>4</v>
      </c>
      <c r="E21" s="4" t="s">
        <v>5</v>
      </c>
      <c r="F21" s="4" t="s">
        <v>6</v>
      </c>
      <c r="G21" s="4" t="s">
        <v>7</v>
      </c>
      <c r="H21" s="4" t="s">
        <v>8</v>
      </c>
      <c r="I21" s="4" t="s">
        <v>9</v>
      </c>
      <c r="J21" s="4" t="s">
        <v>10</v>
      </c>
      <c r="K21" s="4" t="s">
        <v>11</v>
      </c>
      <c r="L21" s="4" t="s">
        <v>12</v>
      </c>
      <c r="M21" s="4" t="s">
        <v>13</v>
      </c>
      <c r="N21" s="155" t="s">
        <v>36</v>
      </c>
      <c r="O21" s="147"/>
      <c r="P21" s="148"/>
      <c r="Q21" s="22"/>
      <c r="R21" s="22"/>
      <c r="S21" s="22"/>
      <c r="T21" s="22"/>
      <c r="U21" s="22"/>
      <c r="V21" s="22"/>
      <c r="W21" s="22"/>
      <c r="X21" s="22"/>
      <c r="Y21" s="22"/>
      <c r="Z21" s="22"/>
      <c r="AA21" s="22"/>
      <c r="AB21" s="22"/>
    </row>
    <row r="22" spans="1:28" ht="15.75" customHeight="1">
      <c r="A22" s="6" t="s">
        <v>15</v>
      </c>
      <c r="B22" s="24" t="e">
        <f t="shared" ref="B22:M22" si="3">B12/B3</f>
        <v>#DIV/0!</v>
      </c>
      <c r="C22" s="24" t="e">
        <f t="shared" si="3"/>
        <v>#DIV/0!</v>
      </c>
      <c r="D22" s="24" t="e">
        <f t="shared" si="3"/>
        <v>#DIV/0!</v>
      </c>
      <c r="E22" s="24" t="e">
        <f t="shared" si="3"/>
        <v>#DIV/0!</v>
      </c>
      <c r="F22" s="24" t="e">
        <f t="shared" si="3"/>
        <v>#DIV/0!</v>
      </c>
      <c r="G22" s="24" t="e">
        <f t="shared" si="3"/>
        <v>#DIV/0!</v>
      </c>
      <c r="H22" s="24" t="e">
        <f t="shared" si="3"/>
        <v>#DIV/0!</v>
      </c>
      <c r="I22" s="24" t="e">
        <f t="shared" si="3"/>
        <v>#DIV/0!</v>
      </c>
      <c r="J22" s="24" t="e">
        <f t="shared" si="3"/>
        <v>#DIV/0!</v>
      </c>
      <c r="K22" s="24" t="e">
        <f t="shared" si="3"/>
        <v>#DIV/0!</v>
      </c>
      <c r="L22" s="24" t="e">
        <f t="shared" si="3"/>
        <v>#DIV/0!</v>
      </c>
      <c r="M22" s="24" t="e">
        <f t="shared" si="3"/>
        <v>#DIV/0!</v>
      </c>
      <c r="N22" s="149"/>
      <c r="O22" s="150"/>
      <c r="P22" s="151"/>
      <c r="Q22" s="22"/>
      <c r="R22" s="22"/>
      <c r="S22" s="22"/>
      <c r="T22" s="22"/>
      <c r="U22" s="22"/>
      <c r="V22" s="22"/>
      <c r="W22" s="22"/>
      <c r="X22" s="22"/>
      <c r="Y22" s="22"/>
      <c r="Z22" s="22"/>
      <c r="AA22" s="22"/>
      <c r="AB22" s="22"/>
    </row>
    <row r="23" spans="1:28" ht="15.75" customHeight="1">
      <c r="A23" s="6" t="s">
        <v>16</v>
      </c>
      <c r="B23" s="24" t="e">
        <f t="shared" ref="B23:M23" si="4">B13/B4</f>
        <v>#DIV/0!</v>
      </c>
      <c r="C23" s="24" t="e">
        <f t="shared" si="4"/>
        <v>#DIV/0!</v>
      </c>
      <c r="D23" s="24" t="e">
        <f t="shared" si="4"/>
        <v>#DIV/0!</v>
      </c>
      <c r="E23" s="24" t="e">
        <f t="shared" si="4"/>
        <v>#DIV/0!</v>
      </c>
      <c r="F23" s="24" t="e">
        <f t="shared" si="4"/>
        <v>#DIV/0!</v>
      </c>
      <c r="G23" s="24" t="e">
        <f t="shared" si="4"/>
        <v>#DIV/0!</v>
      </c>
      <c r="H23" s="24" t="e">
        <f t="shared" si="4"/>
        <v>#DIV/0!</v>
      </c>
      <c r="I23" s="24" t="e">
        <f t="shared" si="4"/>
        <v>#DIV/0!</v>
      </c>
      <c r="J23" s="24" t="e">
        <f t="shared" si="4"/>
        <v>#DIV/0!</v>
      </c>
      <c r="K23" s="24" t="e">
        <f t="shared" si="4"/>
        <v>#DIV/0!</v>
      </c>
      <c r="L23" s="24" t="e">
        <f t="shared" si="4"/>
        <v>#DIV/0!</v>
      </c>
      <c r="M23" s="24" t="e">
        <f t="shared" si="4"/>
        <v>#DIV/0!</v>
      </c>
      <c r="N23" s="149"/>
      <c r="O23" s="150"/>
      <c r="P23" s="151"/>
      <c r="Q23" s="22"/>
      <c r="R23" s="22"/>
      <c r="S23" s="22"/>
      <c r="T23" s="22"/>
      <c r="U23" s="22"/>
      <c r="V23" s="22"/>
      <c r="W23" s="22"/>
      <c r="X23" s="22"/>
      <c r="Y23" s="22"/>
      <c r="Z23" s="22"/>
      <c r="AA23" s="22"/>
      <c r="AB23" s="22"/>
    </row>
    <row r="24" spans="1:28" ht="15.75" customHeight="1">
      <c r="A24" s="6" t="s">
        <v>17</v>
      </c>
      <c r="B24" s="24" t="e">
        <f t="shared" ref="B24:M24" si="5">B14/B5</f>
        <v>#DIV/0!</v>
      </c>
      <c r="C24" s="24" t="e">
        <f t="shared" si="5"/>
        <v>#DIV/0!</v>
      </c>
      <c r="D24" s="24" t="e">
        <f t="shared" si="5"/>
        <v>#DIV/0!</v>
      </c>
      <c r="E24" s="24" t="e">
        <f t="shared" si="5"/>
        <v>#DIV/0!</v>
      </c>
      <c r="F24" s="24" t="e">
        <f t="shared" si="5"/>
        <v>#DIV/0!</v>
      </c>
      <c r="G24" s="24" t="e">
        <f t="shared" si="5"/>
        <v>#DIV/0!</v>
      </c>
      <c r="H24" s="24" t="e">
        <f t="shared" si="5"/>
        <v>#DIV/0!</v>
      </c>
      <c r="I24" s="24" t="e">
        <f t="shared" si="5"/>
        <v>#DIV/0!</v>
      </c>
      <c r="J24" s="24" t="e">
        <f t="shared" si="5"/>
        <v>#DIV/0!</v>
      </c>
      <c r="K24" s="24" t="e">
        <f t="shared" si="5"/>
        <v>#DIV/0!</v>
      </c>
      <c r="L24" s="24" t="e">
        <f t="shared" si="5"/>
        <v>#DIV/0!</v>
      </c>
      <c r="M24" s="24" t="e">
        <f t="shared" si="5"/>
        <v>#DIV/0!</v>
      </c>
      <c r="N24" s="149"/>
      <c r="O24" s="150"/>
      <c r="P24" s="151"/>
      <c r="Q24" s="22"/>
      <c r="R24" s="22"/>
      <c r="S24" s="22"/>
      <c r="T24" s="22"/>
      <c r="U24" s="22"/>
      <c r="V24" s="22"/>
      <c r="W24" s="22"/>
      <c r="X24" s="22"/>
      <c r="Y24" s="22"/>
      <c r="Z24" s="22"/>
      <c r="AA24" s="22"/>
      <c r="AB24" s="22"/>
    </row>
    <row r="25" spans="1:28" ht="15.75" customHeight="1">
      <c r="A25" s="6" t="s">
        <v>18</v>
      </c>
      <c r="B25" s="24" t="e">
        <f t="shared" ref="B25:M25" si="6">B15/B6</f>
        <v>#DIV/0!</v>
      </c>
      <c r="C25" s="24" t="e">
        <f t="shared" si="6"/>
        <v>#DIV/0!</v>
      </c>
      <c r="D25" s="24" t="e">
        <f t="shared" si="6"/>
        <v>#DIV/0!</v>
      </c>
      <c r="E25" s="24" t="e">
        <f t="shared" si="6"/>
        <v>#DIV/0!</v>
      </c>
      <c r="F25" s="24" t="e">
        <f t="shared" si="6"/>
        <v>#DIV/0!</v>
      </c>
      <c r="G25" s="24" t="e">
        <f t="shared" si="6"/>
        <v>#DIV/0!</v>
      </c>
      <c r="H25" s="24" t="e">
        <f t="shared" si="6"/>
        <v>#DIV/0!</v>
      </c>
      <c r="I25" s="24" t="e">
        <f t="shared" si="6"/>
        <v>#DIV/0!</v>
      </c>
      <c r="J25" s="24" t="e">
        <f t="shared" si="6"/>
        <v>#DIV/0!</v>
      </c>
      <c r="K25" s="24" t="e">
        <f t="shared" si="6"/>
        <v>#DIV/0!</v>
      </c>
      <c r="L25" s="24" t="e">
        <f t="shared" si="6"/>
        <v>#DIV/0!</v>
      </c>
      <c r="M25" s="24" t="e">
        <f t="shared" si="6"/>
        <v>#DIV/0!</v>
      </c>
      <c r="N25" s="152"/>
      <c r="O25" s="153"/>
      <c r="P25" s="154"/>
      <c r="Q25" s="22"/>
      <c r="R25" s="22"/>
      <c r="S25" s="22"/>
      <c r="T25" s="22"/>
      <c r="U25" s="22"/>
      <c r="V25" s="22"/>
      <c r="W25" s="22"/>
      <c r="X25" s="22"/>
      <c r="Y25" s="22"/>
      <c r="Z25" s="22"/>
      <c r="AA25" s="22"/>
      <c r="AB25" s="22"/>
    </row>
    <row r="26" spans="1:28" ht="15.75" customHeight="1">
      <c r="A26" s="3" t="s">
        <v>1</v>
      </c>
      <c r="B26" s="4" t="s">
        <v>2</v>
      </c>
      <c r="C26" s="4" t="s">
        <v>3</v>
      </c>
      <c r="D26" s="4" t="s">
        <v>4</v>
      </c>
      <c r="E26" s="4" t="s">
        <v>5</v>
      </c>
      <c r="F26" s="4" t="s">
        <v>6</v>
      </c>
      <c r="G26" s="4" t="s">
        <v>7</v>
      </c>
      <c r="H26" s="4" t="s">
        <v>8</v>
      </c>
      <c r="I26" s="4" t="s">
        <v>9</v>
      </c>
      <c r="J26" s="4" t="s">
        <v>10</v>
      </c>
      <c r="K26" s="4" t="s">
        <v>11</v>
      </c>
      <c r="L26" s="4" t="s">
        <v>12</v>
      </c>
      <c r="M26" s="4" t="s">
        <v>13</v>
      </c>
      <c r="N26" s="22"/>
      <c r="O26" s="22"/>
      <c r="P26" s="22"/>
      <c r="Q26" s="22"/>
      <c r="R26" s="22"/>
      <c r="S26" s="22"/>
      <c r="T26" s="22"/>
      <c r="U26" s="22"/>
      <c r="V26" s="22"/>
      <c r="W26" s="22"/>
      <c r="X26" s="22"/>
      <c r="Y26" s="22"/>
      <c r="Z26" s="22"/>
      <c r="AA26" s="22"/>
      <c r="AB26" s="22"/>
    </row>
    <row r="27" spans="1:28" ht="15.75" customHeight="1">
      <c r="A27" s="20" t="s">
        <v>37</v>
      </c>
      <c r="B27" s="25" t="e">
        <f t="shared" ref="B27:M27" si="7">B17/B8</f>
        <v>#DIV/0!</v>
      </c>
      <c r="C27" s="25" t="e">
        <f t="shared" si="7"/>
        <v>#DIV/0!</v>
      </c>
      <c r="D27" s="25" t="e">
        <f t="shared" si="7"/>
        <v>#DIV/0!</v>
      </c>
      <c r="E27" s="25" t="e">
        <f t="shared" si="7"/>
        <v>#DIV/0!</v>
      </c>
      <c r="F27" s="25" t="e">
        <f t="shared" si="7"/>
        <v>#DIV/0!</v>
      </c>
      <c r="G27" s="25" t="e">
        <f t="shared" si="7"/>
        <v>#DIV/0!</v>
      </c>
      <c r="H27" s="25" t="e">
        <f t="shared" si="7"/>
        <v>#DIV/0!</v>
      </c>
      <c r="I27" s="25" t="e">
        <f t="shared" si="7"/>
        <v>#DIV/0!</v>
      </c>
      <c r="J27" s="25" t="e">
        <f t="shared" si="7"/>
        <v>#DIV/0!</v>
      </c>
      <c r="K27" s="25" t="e">
        <f t="shared" si="7"/>
        <v>#DIV/0!</v>
      </c>
      <c r="L27" s="25" t="e">
        <f t="shared" si="7"/>
        <v>#DIV/0!</v>
      </c>
      <c r="M27" s="25" t="e">
        <f t="shared" si="7"/>
        <v>#DIV/0!</v>
      </c>
      <c r="N27" s="22"/>
      <c r="O27" s="22"/>
      <c r="P27" s="22"/>
      <c r="Q27" s="22"/>
      <c r="R27" s="22"/>
      <c r="S27" s="22"/>
      <c r="T27" s="22"/>
      <c r="U27" s="22"/>
      <c r="V27" s="22"/>
      <c r="W27" s="22"/>
      <c r="X27" s="22"/>
      <c r="Y27" s="22"/>
      <c r="Z27" s="22"/>
      <c r="AA27" s="22"/>
      <c r="AB27" s="22"/>
    </row>
    <row r="28" spans="1: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row>
    <row r="29" spans="1:28"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row>
    <row r="30" spans="1:28"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row>
    <row r="31" spans="1:28"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row>
    <row r="32" spans="1:28"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row>
    <row r="33" spans="1:28"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row>
    <row r="34" spans="1:28"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row>
    <row r="35" spans="1:28"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row>
    <row r="36" spans="1:28"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row>
    <row r="37" spans="1:28"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row>
    <row r="38" spans="1:2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row>
    <row r="39" spans="1:28"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row>
    <row r="40" spans="1:28"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row>
    <row r="41" spans="1:28"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row>
    <row r="42" spans="1:28"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row>
    <row r="43" spans="1:28"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row>
    <row r="44" spans="1:28"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row>
    <row r="45" spans="1:28"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row>
    <row r="46" spans="1:28"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row>
    <row r="47" spans="1:28"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row>
    <row r="48" spans="1:2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row>
    <row r="49" spans="1:28"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row>
    <row r="50" spans="1:28"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spans="1:28"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spans="1:28"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spans="1:28"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spans="1:28"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spans="1:28"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r="56" spans="1:28"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r="57" spans="1:28"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r="58" spans="1:2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r="59" spans="1:28"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spans="1:28"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r="61" spans="1:28"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r="62" spans="1:28"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spans="1:28"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r="64" spans="1:28"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r="65" spans="1:28"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r="66" spans="1:28"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r="67" spans="1:28"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r="68" spans="1:2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r="69" spans="1:28"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r="70" spans="1:28"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r="71" spans="1:28"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r="72" spans="1:28"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r="73" spans="1:28"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r="74" spans="1:28"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r="75" spans="1:28"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r="76" spans="1:28"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r="77" spans="1:28"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r="78" spans="1:2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r="79" spans="1:28"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r="80" spans="1:28"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r="81" spans="1:28"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r="82" spans="1:28"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r="83" spans="1:28"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r="84" spans="1:28"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r="85" spans="1:28"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r="86" spans="1:28"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r="87" spans="1:28"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r="88" spans="1:2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r="89" spans="1:28"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r="90" spans="1:28"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spans="1:28"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spans="1:28"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spans="1:28"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spans="1:28"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spans="1:28"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spans="1:28"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spans="1:28"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spans="1:2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spans="1:28"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spans="1:28"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row>
    <row r="976" spans="1:28"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row>
    <row r="977" spans="1:28"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row>
    <row r="978" spans="1:2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row>
    <row r="980" spans="1:28"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row>
    <row r="981" spans="1:28"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row>
    <row r="982" spans="1:28"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row>
    <row r="983" spans="1:28"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row>
    <row r="984" spans="1:28"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spans="1:28"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row>
    <row r="986" spans="1:28"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row>
    <row r="987" spans="1:28"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row>
    <row r="988" spans="1:2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row>
    <row r="989" spans="1:28"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row>
    <row r="990" spans="1:28"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row>
    <row r="991" spans="1:28"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row>
    <row r="992" spans="1:28"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row>
    <row r="993" spans="1:28"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row>
    <row r="994" spans="1:28"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row>
    <row r="995" spans="1:28"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spans="1:28"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spans="1:28"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spans="1:2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spans="1:28"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row r="1000" spans="1:28"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mergeCells count="4">
    <mergeCell ref="N2:P6"/>
    <mergeCell ref="N11:P15"/>
    <mergeCell ref="N17:P18"/>
    <mergeCell ref="N21:P25"/>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workbookViewId="0"/>
  </sheetViews>
  <sheetFormatPr baseColWidth="10" defaultColWidth="14.5" defaultRowHeight="15" customHeight="1"/>
  <cols>
    <col min="1" max="6" width="14.5" customWidth="1"/>
  </cols>
  <sheetData>
    <row r="1" spans="1:20" ht="15.75" customHeight="1">
      <c r="A1" s="28" t="s">
        <v>1</v>
      </c>
      <c r="B1" s="29" t="s">
        <v>38</v>
      </c>
      <c r="C1" s="29" t="s">
        <v>39</v>
      </c>
      <c r="D1" s="29" t="s">
        <v>40</v>
      </c>
      <c r="E1" s="30" t="s">
        <v>41</v>
      </c>
      <c r="F1" s="31"/>
      <c r="G1" s="28" t="s">
        <v>42</v>
      </c>
      <c r="H1" s="30" t="s">
        <v>43</v>
      </c>
      <c r="I1" s="31"/>
      <c r="J1" s="32" t="s">
        <v>44</v>
      </c>
      <c r="K1" s="31"/>
      <c r="L1" s="32" t="s">
        <v>45</v>
      </c>
      <c r="M1" s="31"/>
      <c r="N1" s="32" t="s">
        <v>46</v>
      </c>
      <c r="O1" s="31"/>
      <c r="P1" s="32" t="s">
        <v>47</v>
      </c>
      <c r="Q1" s="31"/>
      <c r="R1" s="32" t="s">
        <v>48</v>
      </c>
      <c r="S1" s="31"/>
      <c r="T1" s="32" t="s">
        <v>49</v>
      </c>
    </row>
    <row r="2" spans="1:20" ht="15.75" customHeight="1">
      <c r="A2" s="33" t="s">
        <v>50</v>
      </c>
      <c r="B2" s="34" t="s">
        <v>51</v>
      </c>
      <c r="C2" s="35">
        <v>3600</v>
      </c>
      <c r="D2" s="36">
        <v>595</v>
      </c>
      <c r="E2" s="37">
        <v>0.56000000000000005</v>
      </c>
      <c r="F2" s="31" t="str">
        <f t="shared" ref="F2:F32" si="0">CONCATENATE(A2,B2)</f>
        <v>UK &amp; ISmall Business</v>
      </c>
      <c r="G2" s="38">
        <v>2009</v>
      </c>
      <c r="H2" s="39">
        <v>192</v>
      </c>
      <c r="I2" s="31"/>
      <c r="J2" s="40">
        <v>35.299999999999997</v>
      </c>
      <c r="K2" s="31"/>
      <c r="L2" s="40">
        <v>51.3</v>
      </c>
      <c r="M2" s="31"/>
      <c r="N2" s="41">
        <v>0.46</v>
      </c>
      <c r="O2" s="31"/>
      <c r="P2" s="40">
        <v>167.4</v>
      </c>
      <c r="Q2" s="31"/>
      <c r="R2" s="42"/>
      <c r="S2" s="31"/>
      <c r="T2" s="42"/>
    </row>
    <row r="3" spans="1:20" ht="15.75" customHeight="1">
      <c r="A3" s="33" t="s">
        <v>50</v>
      </c>
      <c r="B3" s="34" t="s">
        <v>52</v>
      </c>
      <c r="C3" s="35">
        <v>3600</v>
      </c>
      <c r="D3" s="36">
        <v>1075</v>
      </c>
      <c r="E3" s="37">
        <v>0.56000000000000005</v>
      </c>
      <c r="F3" s="31" t="str">
        <f t="shared" si="0"/>
        <v>UK &amp; IMid-Market</v>
      </c>
      <c r="G3" s="38">
        <v>1844</v>
      </c>
      <c r="H3" s="39">
        <v>117</v>
      </c>
      <c r="I3" s="31"/>
      <c r="J3" s="40">
        <v>29.8</v>
      </c>
      <c r="K3" s="31"/>
      <c r="L3" s="40">
        <v>19.8</v>
      </c>
      <c r="M3" s="31"/>
      <c r="N3" s="43">
        <v>-0.33</v>
      </c>
      <c r="O3" s="31"/>
      <c r="P3" s="40">
        <v>153.69999999999999</v>
      </c>
      <c r="Q3" s="31"/>
      <c r="R3" s="42"/>
      <c r="S3" s="31"/>
      <c r="T3" s="42"/>
    </row>
    <row r="4" spans="1:20" ht="15.75" customHeight="1">
      <c r="A4" s="33" t="s">
        <v>50</v>
      </c>
      <c r="B4" s="34" t="s">
        <v>53</v>
      </c>
      <c r="C4" s="35">
        <v>3600</v>
      </c>
      <c r="D4" s="36">
        <v>1576</v>
      </c>
      <c r="E4" s="37">
        <v>0.28999999999999998</v>
      </c>
      <c r="F4" s="31" t="str">
        <f t="shared" si="0"/>
        <v>UK &amp; ICorporate</v>
      </c>
      <c r="G4" s="38">
        <v>751</v>
      </c>
      <c r="H4" s="39">
        <v>49</v>
      </c>
      <c r="I4" s="31"/>
      <c r="J4" s="40">
        <v>10</v>
      </c>
      <c r="K4" s="31"/>
      <c r="L4" s="40">
        <v>28.9</v>
      </c>
      <c r="M4" s="31"/>
      <c r="N4" s="44">
        <v>1.89</v>
      </c>
      <c r="O4" s="31"/>
      <c r="P4" s="40">
        <v>62.6</v>
      </c>
      <c r="Q4" s="31"/>
      <c r="R4" s="42"/>
      <c r="S4" s="31"/>
      <c r="T4" s="42"/>
    </row>
    <row r="5" spans="1:20" ht="15.75" customHeight="1">
      <c r="A5" s="33" t="s">
        <v>50</v>
      </c>
      <c r="B5" s="34" t="s">
        <v>54</v>
      </c>
      <c r="C5" s="35">
        <v>4400</v>
      </c>
      <c r="D5" s="36">
        <v>830</v>
      </c>
      <c r="E5" s="37">
        <v>0.49</v>
      </c>
      <c r="F5" s="31" t="str">
        <f t="shared" si="0"/>
        <v>UK &amp; IPartner</v>
      </c>
      <c r="G5" s="38">
        <v>1444</v>
      </c>
      <c r="H5" s="39">
        <v>101</v>
      </c>
      <c r="I5" s="31"/>
      <c r="J5" s="40">
        <v>36.799999999999997</v>
      </c>
      <c r="K5" s="31"/>
      <c r="L5" s="40">
        <v>28.8</v>
      </c>
      <c r="M5" s="31"/>
      <c r="N5" s="45">
        <v>-0.22</v>
      </c>
      <c r="O5" s="31"/>
      <c r="P5" s="40">
        <v>120.3</v>
      </c>
      <c r="Q5" s="31"/>
      <c r="R5" s="42"/>
      <c r="S5" s="31"/>
      <c r="T5" s="42"/>
    </row>
    <row r="6" spans="1:20" ht="15.75" customHeight="1">
      <c r="A6" s="33" t="s">
        <v>55</v>
      </c>
      <c r="B6" s="34" t="s">
        <v>56</v>
      </c>
      <c r="C6" s="35">
        <v>3600</v>
      </c>
      <c r="D6" s="36">
        <v>1002</v>
      </c>
      <c r="E6" s="37">
        <v>0.66</v>
      </c>
      <c r="F6" s="31" t="str">
        <f t="shared" si="0"/>
        <v>BeneluxMary</v>
      </c>
      <c r="G6" s="38">
        <v>1138</v>
      </c>
      <c r="H6" s="39">
        <v>38</v>
      </c>
      <c r="I6" s="31"/>
      <c r="J6" s="40">
        <v>70.8</v>
      </c>
      <c r="K6" s="31"/>
      <c r="L6" s="40">
        <v>47.6</v>
      </c>
      <c r="M6" s="31"/>
      <c r="N6" s="46">
        <v>-0.33</v>
      </c>
      <c r="O6" s="31"/>
      <c r="P6" s="40">
        <v>94.8</v>
      </c>
      <c r="Q6" s="31"/>
      <c r="R6" s="42"/>
      <c r="S6" s="31"/>
      <c r="T6" s="42"/>
    </row>
    <row r="7" spans="1:20" ht="15.75" customHeight="1">
      <c r="A7" s="33" t="s">
        <v>55</v>
      </c>
      <c r="B7" s="34" t="s">
        <v>53</v>
      </c>
      <c r="C7" s="35">
        <v>3600</v>
      </c>
      <c r="D7" s="36">
        <v>942</v>
      </c>
      <c r="E7" s="37">
        <v>0.67</v>
      </c>
      <c r="F7" s="31" t="str">
        <f t="shared" si="0"/>
        <v>BeneluxCorporate</v>
      </c>
      <c r="G7" s="38">
        <v>276</v>
      </c>
      <c r="H7" s="39">
        <v>3</v>
      </c>
      <c r="I7" s="31"/>
      <c r="J7" s="40">
        <v>234.3</v>
      </c>
      <c r="K7" s="31"/>
      <c r="L7" s="40">
        <v>29.9</v>
      </c>
      <c r="M7" s="31"/>
      <c r="N7" s="47">
        <v>-0.87</v>
      </c>
      <c r="O7" s="31"/>
      <c r="P7" s="40">
        <v>23</v>
      </c>
      <c r="Q7" s="31"/>
      <c r="R7" s="42"/>
      <c r="S7" s="31"/>
      <c r="T7" s="42"/>
    </row>
    <row r="8" spans="1:20" ht="15.75" customHeight="1">
      <c r="A8" s="33" t="s">
        <v>55</v>
      </c>
      <c r="B8" s="34" t="s">
        <v>54</v>
      </c>
      <c r="C8" s="35">
        <v>4400</v>
      </c>
      <c r="D8" s="36">
        <v>616</v>
      </c>
      <c r="E8" s="37">
        <v>0.36</v>
      </c>
      <c r="F8" s="31" t="str">
        <f t="shared" si="0"/>
        <v>BeneluxPartner</v>
      </c>
      <c r="G8" s="38">
        <v>971</v>
      </c>
      <c r="H8" s="39">
        <v>14</v>
      </c>
      <c r="I8" s="31"/>
      <c r="J8" s="40">
        <v>177</v>
      </c>
      <c r="K8" s="31"/>
      <c r="L8" s="40">
        <v>36</v>
      </c>
      <c r="M8" s="31"/>
      <c r="N8" s="48">
        <v>-0.8</v>
      </c>
      <c r="O8" s="31"/>
      <c r="P8" s="40">
        <v>80.900000000000006</v>
      </c>
      <c r="Q8" s="31"/>
      <c r="R8" s="42"/>
      <c r="S8" s="31"/>
      <c r="T8" s="42"/>
    </row>
    <row r="9" spans="1:20" ht="15.75" customHeight="1">
      <c r="A9" s="33" t="s">
        <v>57</v>
      </c>
      <c r="B9" s="34" t="s">
        <v>56</v>
      </c>
      <c r="C9" s="35">
        <v>3600</v>
      </c>
      <c r="D9" s="36">
        <v>940</v>
      </c>
      <c r="E9" s="37">
        <v>0.56000000000000005</v>
      </c>
      <c r="F9" s="31" t="str">
        <f t="shared" si="0"/>
        <v>NordicsMary</v>
      </c>
      <c r="G9" s="38">
        <v>924</v>
      </c>
      <c r="H9" s="39">
        <v>72</v>
      </c>
      <c r="I9" s="31"/>
      <c r="J9" s="40">
        <v>27.3</v>
      </c>
      <c r="K9" s="31"/>
      <c r="L9" s="40">
        <v>47.6</v>
      </c>
      <c r="M9" s="31"/>
      <c r="N9" s="49">
        <v>0.74</v>
      </c>
      <c r="O9" s="31"/>
      <c r="P9" s="40">
        <v>77</v>
      </c>
      <c r="Q9" s="31"/>
      <c r="R9" s="42"/>
      <c r="S9" s="31"/>
      <c r="T9" s="42"/>
    </row>
    <row r="10" spans="1:20" ht="15.75" customHeight="1">
      <c r="A10" s="33" t="s">
        <v>57</v>
      </c>
      <c r="B10" s="34" t="s">
        <v>53</v>
      </c>
      <c r="C10" s="35">
        <v>3600</v>
      </c>
      <c r="D10" s="36">
        <v>1241</v>
      </c>
      <c r="E10" s="37">
        <v>0.33</v>
      </c>
      <c r="F10" s="31" t="str">
        <f t="shared" si="0"/>
        <v>NordicsCorporate</v>
      </c>
      <c r="G10" s="38">
        <v>155</v>
      </c>
      <c r="H10" s="39">
        <v>12</v>
      </c>
      <c r="I10" s="31"/>
      <c r="J10" s="40">
        <v>12.5</v>
      </c>
      <c r="K10" s="31"/>
      <c r="L10" s="40">
        <v>34.799999999999997</v>
      </c>
      <c r="M10" s="31"/>
      <c r="N10" s="44">
        <v>1.79</v>
      </c>
      <c r="O10" s="31"/>
      <c r="P10" s="40">
        <v>12.9</v>
      </c>
      <c r="Q10" s="31"/>
      <c r="R10" s="42"/>
      <c r="S10" s="31"/>
      <c r="T10" s="42"/>
    </row>
    <row r="11" spans="1:20" ht="15.75" customHeight="1">
      <c r="A11" s="33" t="s">
        <v>57</v>
      </c>
      <c r="B11" s="34" t="s">
        <v>54</v>
      </c>
      <c r="C11" s="35">
        <v>4400</v>
      </c>
      <c r="D11" s="36">
        <v>645</v>
      </c>
      <c r="E11" s="37">
        <v>0.53</v>
      </c>
      <c r="F11" s="31" t="str">
        <f t="shared" si="0"/>
        <v>NordicsPartner</v>
      </c>
      <c r="G11" s="38">
        <v>392</v>
      </c>
      <c r="H11" s="39">
        <v>34</v>
      </c>
      <c r="I11" s="31"/>
      <c r="J11" s="40">
        <v>41.6</v>
      </c>
      <c r="K11" s="31"/>
      <c r="L11" s="40">
        <v>36</v>
      </c>
      <c r="M11" s="31"/>
      <c r="N11" s="50">
        <v>-0.14000000000000001</v>
      </c>
      <c r="O11" s="31"/>
      <c r="P11" s="40">
        <v>32.700000000000003</v>
      </c>
      <c r="Q11" s="31"/>
      <c r="R11" s="42"/>
      <c r="S11" s="31"/>
      <c r="T11" s="42"/>
    </row>
    <row r="12" spans="1:20" ht="15.75" customHeight="1">
      <c r="A12" s="33" t="s">
        <v>58</v>
      </c>
      <c r="B12" s="34" t="s">
        <v>59</v>
      </c>
      <c r="C12" s="35">
        <v>3600</v>
      </c>
      <c r="D12" s="36">
        <v>950</v>
      </c>
      <c r="E12" s="37">
        <v>0.77</v>
      </c>
      <c r="F12" s="31" t="str">
        <f t="shared" si="0"/>
        <v>DACHDirect</v>
      </c>
      <c r="G12" s="38">
        <v>1582</v>
      </c>
      <c r="H12" s="39">
        <v>62</v>
      </c>
      <c r="I12" s="31"/>
      <c r="J12" s="40">
        <v>74.900000000000006</v>
      </c>
      <c r="K12" s="31"/>
      <c r="L12" s="40">
        <v>58</v>
      </c>
      <c r="M12" s="31"/>
      <c r="N12" s="51">
        <v>-0.23</v>
      </c>
      <c r="O12" s="31"/>
      <c r="P12" s="40">
        <v>131.80000000000001</v>
      </c>
      <c r="Q12" s="31"/>
      <c r="R12" s="42"/>
      <c r="S12" s="31"/>
      <c r="T12" s="42"/>
    </row>
    <row r="13" spans="1:20" ht="15.75" customHeight="1">
      <c r="A13" s="33" t="s">
        <v>58</v>
      </c>
      <c r="B13" s="34" t="s">
        <v>54</v>
      </c>
      <c r="C13" s="35">
        <v>4400</v>
      </c>
      <c r="D13" s="36">
        <v>522</v>
      </c>
      <c r="E13" s="37">
        <v>0.48</v>
      </c>
      <c r="F13" s="31" t="str">
        <f t="shared" si="0"/>
        <v>DACHPartner</v>
      </c>
      <c r="G13" s="38">
        <v>573</v>
      </c>
      <c r="H13" s="39">
        <v>33</v>
      </c>
      <c r="I13" s="31"/>
      <c r="J13" s="40">
        <v>70.900000000000006</v>
      </c>
      <c r="K13" s="31"/>
      <c r="L13" s="40">
        <v>33.200000000000003</v>
      </c>
      <c r="M13" s="31"/>
      <c r="N13" s="52">
        <v>-0.53</v>
      </c>
      <c r="O13" s="31"/>
      <c r="P13" s="40">
        <v>47.8</v>
      </c>
      <c r="Q13" s="31"/>
      <c r="R13" s="42"/>
      <c r="S13" s="31"/>
      <c r="T13" s="42"/>
    </row>
    <row r="14" spans="1:20" ht="15.75" customHeight="1">
      <c r="A14" s="33" t="s">
        <v>60</v>
      </c>
      <c r="B14" s="34" t="s">
        <v>59</v>
      </c>
      <c r="C14" s="35">
        <v>3600</v>
      </c>
      <c r="D14" s="36">
        <v>986</v>
      </c>
      <c r="E14" s="37">
        <v>0.65</v>
      </c>
      <c r="F14" s="31" t="str">
        <f t="shared" si="0"/>
        <v>FranceDirect</v>
      </c>
      <c r="G14" s="38">
        <v>696</v>
      </c>
      <c r="H14" s="39">
        <v>31</v>
      </c>
      <c r="I14" s="31"/>
      <c r="J14" s="40">
        <v>52.9</v>
      </c>
      <c r="K14" s="31"/>
      <c r="L14" s="40">
        <v>68.5</v>
      </c>
      <c r="M14" s="31"/>
      <c r="N14" s="53">
        <v>0.3</v>
      </c>
      <c r="O14" s="31"/>
      <c r="P14" s="40">
        <v>58</v>
      </c>
      <c r="Q14" s="31"/>
      <c r="R14" s="42"/>
      <c r="S14" s="31"/>
      <c r="T14" s="42"/>
    </row>
    <row r="15" spans="1:20" ht="15.75" customHeight="1">
      <c r="A15" s="33" t="s">
        <v>60</v>
      </c>
      <c r="B15" s="34" t="s">
        <v>54</v>
      </c>
      <c r="C15" s="35">
        <v>4400</v>
      </c>
      <c r="D15" s="36">
        <v>807</v>
      </c>
      <c r="E15" s="37">
        <v>0.55000000000000004</v>
      </c>
      <c r="F15" s="31" t="str">
        <f t="shared" si="0"/>
        <v>FrancePartner</v>
      </c>
      <c r="G15" s="38">
        <v>301</v>
      </c>
      <c r="H15" s="39">
        <v>22</v>
      </c>
      <c r="I15" s="31"/>
      <c r="J15" s="40">
        <v>40.700000000000003</v>
      </c>
      <c r="K15" s="31"/>
      <c r="L15" s="40">
        <v>41.4</v>
      </c>
      <c r="M15" s="31"/>
      <c r="N15" s="54">
        <v>0.02</v>
      </c>
      <c r="O15" s="31"/>
      <c r="P15" s="40">
        <v>25.1</v>
      </c>
      <c r="Q15" s="31"/>
      <c r="R15" s="42"/>
      <c r="S15" s="31"/>
      <c r="T15" s="42"/>
    </row>
    <row r="16" spans="1:20" ht="15.75" customHeight="1">
      <c r="A16" s="33" t="s">
        <v>61</v>
      </c>
      <c r="B16" s="34" t="s">
        <v>59</v>
      </c>
      <c r="C16" s="35">
        <v>3600</v>
      </c>
      <c r="D16" s="36">
        <v>659</v>
      </c>
      <c r="E16" s="37">
        <v>0.5</v>
      </c>
      <c r="F16" s="31" t="str">
        <f t="shared" si="0"/>
        <v>ItalyDirect</v>
      </c>
      <c r="G16" s="38">
        <v>392</v>
      </c>
      <c r="H16" s="39">
        <v>10</v>
      </c>
      <c r="I16" s="31"/>
      <c r="J16" s="40">
        <v>107.1</v>
      </c>
      <c r="K16" s="31"/>
      <c r="L16" s="40">
        <v>60.8</v>
      </c>
      <c r="M16" s="31"/>
      <c r="N16" s="55">
        <v>-0.43</v>
      </c>
      <c r="O16" s="31"/>
      <c r="P16" s="40">
        <v>32.700000000000003</v>
      </c>
      <c r="Q16" s="31"/>
      <c r="R16" s="42"/>
      <c r="S16" s="31"/>
      <c r="T16" s="42"/>
    </row>
    <row r="17" spans="1:20" ht="15.75" customHeight="1">
      <c r="A17" s="33" t="s">
        <v>61</v>
      </c>
      <c r="B17" s="34" t="s">
        <v>54</v>
      </c>
      <c r="C17" s="35">
        <v>4400</v>
      </c>
      <c r="D17" s="36">
        <v>770</v>
      </c>
      <c r="E17" s="37">
        <v>0.86</v>
      </c>
      <c r="F17" s="31" t="str">
        <f t="shared" si="0"/>
        <v>ItalyPartner</v>
      </c>
      <c r="G17" s="38">
        <v>214</v>
      </c>
      <c r="H17" s="39">
        <v>7</v>
      </c>
      <c r="I17" s="31"/>
      <c r="J17" s="40">
        <v>149.69999999999999</v>
      </c>
      <c r="K17" s="31"/>
      <c r="L17" s="40">
        <v>41.4</v>
      </c>
      <c r="M17" s="31"/>
      <c r="N17" s="56">
        <v>-0.72</v>
      </c>
      <c r="O17" s="31"/>
      <c r="P17" s="40">
        <v>17.8</v>
      </c>
      <c r="Q17" s="31"/>
      <c r="R17" s="42"/>
      <c r="S17" s="31"/>
      <c r="T17" s="42"/>
    </row>
    <row r="18" spans="1:20" ht="15.75" customHeight="1">
      <c r="A18" s="33" t="s">
        <v>62</v>
      </c>
      <c r="B18" s="34" t="s">
        <v>59</v>
      </c>
      <c r="C18" s="35">
        <v>3600</v>
      </c>
      <c r="D18" s="36">
        <v>489</v>
      </c>
      <c r="E18" s="37">
        <v>0.43</v>
      </c>
      <c r="F18" s="31" t="str">
        <f t="shared" si="0"/>
        <v>IberiaDirect</v>
      </c>
      <c r="G18" s="38">
        <v>914</v>
      </c>
      <c r="H18" s="39">
        <v>23</v>
      </c>
      <c r="I18" s="31"/>
      <c r="J18" s="40">
        <v>127.1</v>
      </c>
      <c r="K18" s="31"/>
      <c r="L18" s="40">
        <v>49.4</v>
      </c>
      <c r="M18" s="31"/>
      <c r="N18" s="57">
        <v>-0.61</v>
      </c>
      <c r="O18" s="31"/>
      <c r="P18" s="40">
        <v>76.2</v>
      </c>
      <c r="Q18" s="31"/>
      <c r="R18" s="42"/>
      <c r="S18" s="31"/>
      <c r="T18" s="42"/>
    </row>
    <row r="19" spans="1:20" ht="15.75" customHeight="1">
      <c r="A19" s="33" t="s">
        <v>62</v>
      </c>
      <c r="B19" s="34" t="s">
        <v>54</v>
      </c>
      <c r="C19" s="35">
        <v>4400</v>
      </c>
      <c r="D19" s="36">
        <v>747</v>
      </c>
      <c r="E19" s="37">
        <v>0.52</v>
      </c>
      <c r="F19" s="31" t="str">
        <f t="shared" si="0"/>
        <v>IberiaPartner</v>
      </c>
      <c r="G19" s="38">
        <v>597</v>
      </c>
      <c r="H19" s="39">
        <v>29</v>
      </c>
      <c r="I19" s="31"/>
      <c r="J19" s="40">
        <v>62.7</v>
      </c>
      <c r="K19" s="31"/>
      <c r="L19" s="40">
        <v>41.4</v>
      </c>
      <c r="M19" s="31"/>
      <c r="N19" s="58">
        <v>-0.34</v>
      </c>
      <c r="O19" s="31"/>
      <c r="P19" s="40">
        <v>49.8</v>
      </c>
      <c r="Q19" s="31"/>
      <c r="R19" s="42"/>
      <c r="S19" s="31"/>
      <c r="T19" s="42"/>
    </row>
    <row r="20" spans="1:20" ht="15.75" customHeight="1">
      <c r="A20" s="33" t="s">
        <v>63</v>
      </c>
      <c r="B20" s="34" t="s">
        <v>59</v>
      </c>
      <c r="C20" s="35">
        <v>3600</v>
      </c>
      <c r="D20" s="36">
        <v>800</v>
      </c>
      <c r="E20" s="37">
        <v>0.62</v>
      </c>
      <c r="F20" s="31" t="str">
        <f t="shared" si="0"/>
        <v>CEEDirect</v>
      </c>
      <c r="G20" s="38">
        <v>1242</v>
      </c>
      <c r="H20" s="39">
        <v>21</v>
      </c>
      <c r="I20" s="31"/>
      <c r="J20" s="40">
        <v>164.7</v>
      </c>
      <c r="K20" s="31"/>
      <c r="L20" s="42" t="s">
        <v>64</v>
      </c>
      <c r="M20" s="31"/>
      <c r="N20" s="42" t="s">
        <v>64</v>
      </c>
      <c r="O20" s="31"/>
      <c r="P20" s="40">
        <v>103.5</v>
      </c>
      <c r="Q20" s="31"/>
      <c r="R20" s="42"/>
      <c r="S20" s="31"/>
      <c r="T20" s="42"/>
    </row>
    <row r="21" spans="1:20" ht="15.75" customHeight="1">
      <c r="A21" s="33" t="s">
        <v>63</v>
      </c>
      <c r="B21" s="34" t="s">
        <v>54</v>
      </c>
      <c r="C21" s="35">
        <v>4400</v>
      </c>
      <c r="D21" s="36">
        <v>569</v>
      </c>
      <c r="E21" s="37">
        <v>0.67</v>
      </c>
      <c r="F21" s="31" t="str">
        <f t="shared" si="0"/>
        <v>CEEPartner</v>
      </c>
      <c r="G21" s="38">
        <v>514</v>
      </c>
      <c r="H21" s="39">
        <v>15</v>
      </c>
      <c r="I21" s="31"/>
      <c r="J21" s="40">
        <v>176.6</v>
      </c>
      <c r="K21" s="31"/>
      <c r="L21" s="40">
        <v>93.1</v>
      </c>
      <c r="M21" s="31"/>
      <c r="N21" s="59">
        <v>-0.47</v>
      </c>
      <c r="O21" s="31"/>
      <c r="P21" s="40">
        <v>42.8</v>
      </c>
      <c r="Q21" s="31"/>
      <c r="R21" s="42"/>
      <c r="S21" s="31"/>
      <c r="T21" s="42"/>
    </row>
    <row r="22" spans="1:20" ht="15.75" customHeight="1">
      <c r="A22" s="33" t="s">
        <v>65</v>
      </c>
      <c r="B22" s="34" t="s">
        <v>59</v>
      </c>
      <c r="C22" s="35">
        <v>3600</v>
      </c>
      <c r="D22" s="36">
        <v>632</v>
      </c>
      <c r="E22" s="37">
        <v>0.43</v>
      </c>
      <c r="F22" s="31" t="str">
        <f t="shared" si="0"/>
        <v>MEADirect</v>
      </c>
      <c r="G22" s="38">
        <v>1279</v>
      </c>
      <c r="H22" s="39">
        <v>56</v>
      </c>
      <c r="I22" s="31"/>
      <c r="J22" s="40">
        <v>55.7</v>
      </c>
      <c r="K22" s="31"/>
      <c r="L22" s="40">
        <v>78.5</v>
      </c>
      <c r="M22" s="31"/>
      <c r="N22" s="60">
        <v>0.41</v>
      </c>
      <c r="O22" s="31"/>
      <c r="P22" s="40">
        <v>106.6</v>
      </c>
      <c r="Q22" s="31"/>
      <c r="R22" s="42"/>
      <c r="S22" s="31"/>
      <c r="T22" s="42"/>
    </row>
    <row r="23" spans="1:20" ht="15.75" customHeight="1">
      <c r="A23" s="33" t="s">
        <v>65</v>
      </c>
      <c r="B23" s="34" t="s">
        <v>54</v>
      </c>
      <c r="C23" s="35">
        <v>4400</v>
      </c>
      <c r="D23" s="36">
        <v>696</v>
      </c>
      <c r="E23" s="37">
        <v>0.59</v>
      </c>
      <c r="F23" s="31" t="str">
        <f t="shared" si="0"/>
        <v>MEAPartner</v>
      </c>
      <c r="G23" s="38">
        <v>523</v>
      </c>
      <c r="H23" s="39">
        <v>17</v>
      </c>
      <c r="I23" s="31"/>
      <c r="J23" s="40">
        <v>114.5</v>
      </c>
      <c r="K23" s="31"/>
      <c r="L23" s="40">
        <v>41.1</v>
      </c>
      <c r="M23" s="31"/>
      <c r="N23" s="61">
        <v>-0.64</v>
      </c>
      <c r="O23" s="31"/>
      <c r="P23" s="40">
        <v>43.6</v>
      </c>
      <c r="Q23" s="31"/>
      <c r="R23" s="42"/>
      <c r="S23" s="31"/>
      <c r="T23" s="42"/>
    </row>
    <row r="24" spans="1:20" ht="15.75" customHeight="1">
      <c r="A24" s="33" t="s">
        <v>66</v>
      </c>
      <c r="B24" s="34" t="s">
        <v>56</v>
      </c>
      <c r="C24" s="35">
        <v>3600</v>
      </c>
      <c r="D24" s="36">
        <v>1068</v>
      </c>
      <c r="E24" s="37">
        <v>0.59</v>
      </c>
      <c r="F24" s="31" t="str">
        <f t="shared" si="0"/>
        <v>ANZMary</v>
      </c>
      <c r="G24" s="38">
        <v>2659</v>
      </c>
      <c r="H24" s="39">
        <v>171</v>
      </c>
      <c r="I24" s="31"/>
      <c r="J24" s="40">
        <v>31</v>
      </c>
      <c r="K24" s="31"/>
      <c r="L24" s="42" t="s">
        <v>64</v>
      </c>
      <c r="M24" s="31"/>
      <c r="N24" s="42" t="s">
        <v>64</v>
      </c>
      <c r="O24" s="31"/>
      <c r="P24" s="40">
        <v>221.6</v>
      </c>
      <c r="Q24" s="31"/>
      <c r="R24" s="42"/>
      <c r="S24" s="31"/>
      <c r="T24" s="42"/>
    </row>
    <row r="25" spans="1:20" ht="15.75" customHeight="1">
      <c r="A25" s="33" t="s">
        <v>66</v>
      </c>
      <c r="B25" s="34" t="s">
        <v>53</v>
      </c>
      <c r="C25" s="35">
        <v>3600</v>
      </c>
      <c r="D25" s="36">
        <v>1347</v>
      </c>
      <c r="E25" s="37">
        <v>0.5</v>
      </c>
      <c r="F25" s="31" t="str">
        <f t="shared" si="0"/>
        <v>ANZCorporate</v>
      </c>
      <c r="G25" s="38">
        <v>319</v>
      </c>
      <c r="H25" s="39">
        <v>6</v>
      </c>
      <c r="I25" s="31"/>
      <c r="J25" s="40">
        <v>71.099999999999994</v>
      </c>
      <c r="K25" s="31"/>
      <c r="L25" s="42" t="s">
        <v>64</v>
      </c>
      <c r="M25" s="31"/>
      <c r="N25" s="42" t="s">
        <v>64</v>
      </c>
      <c r="O25" s="31"/>
      <c r="P25" s="40">
        <v>26.6</v>
      </c>
      <c r="Q25" s="31"/>
      <c r="R25" s="42"/>
      <c r="S25" s="31"/>
      <c r="T25" s="42"/>
    </row>
    <row r="26" spans="1:20" ht="15.75" customHeight="1">
      <c r="A26" s="33" t="s">
        <v>66</v>
      </c>
      <c r="B26" s="34" t="s">
        <v>54</v>
      </c>
      <c r="C26" s="35">
        <v>4400</v>
      </c>
      <c r="D26" s="36">
        <v>696</v>
      </c>
      <c r="E26" s="37">
        <v>0.59</v>
      </c>
      <c r="F26" s="31" t="str">
        <f t="shared" si="0"/>
        <v>ANZPartner</v>
      </c>
      <c r="G26" s="38">
        <v>822</v>
      </c>
      <c r="H26" s="39">
        <v>69</v>
      </c>
      <c r="I26" s="31"/>
      <c r="J26" s="40">
        <v>44.8</v>
      </c>
      <c r="K26" s="31"/>
      <c r="L26" s="42" t="s">
        <v>64</v>
      </c>
      <c r="M26" s="31"/>
      <c r="N26" s="42" t="s">
        <v>64</v>
      </c>
      <c r="O26" s="31"/>
      <c r="P26" s="40">
        <v>68.5</v>
      </c>
      <c r="Q26" s="31"/>
      <c r="R26" s="42"/>
      <c r="S26" s="31"/>
      <c r="T26" s="42"/>
    </row>
    <row r="27" spans="1:20" ht="15.75" customHeight="1">
      <c r="A27" s="33" t="s">
        <v>67</v>
      </c>
      <c r="B27" s="34" t="s">
        <v>59</v>
      </c>
      <c r="C27" s="35">
        <v>3600</v>
      </c>
      <c r="D27" s="36">
        <v>1575</v>
      </c>
      <c r="E27" s="37">
        <v>0.67</v>
      </c>
      <c r="F27" s="31" t="str">
        <f t="shared" si="0"/>
        <v>IndiaDirect</v>
      </c>
      <c r="G27" s="38">
        <v>3056</v>
      </c>
      <c r="H27" s="39">
        <v>12</v>
      </c>
      <c r="I27" s="31"/>
      <c r="J27" s="40">
        <v>388</v>
      </c>
      <c r="K27" s="31"/>
      <c r="L27" s="42" t="s">
        <v>64</v>
      </c>
      <c r="M27" s="31"/>
      <c r="N27" s="42" t="s">
        <v>64</v>
      </c>
      <c r="O27" s="31"/>
      <c r="P27" s="40">
        <v>254.7</v>
      </c>
      <c r="Q27" s="31"/>
      <c r="R27" s="42"/>
      <c r="S27" s="31"/>
      <c r="T27" s="42"/>
    </row>
    <row r="28" spans="1:20" ht="15.75" customHeight="1">
      <c r="A28" s="33" t="s">
        <v>67</v>
      </c>
      <c r="B28" s="34" t="s">
        <v>54</v>
      </c>
      <c r="C28" s="35">
        <v>4400</v>
      </c>
      <c r="D28" s="36">
        <v>608</v>
      </c>
      <c r="E28" s="37">
        <v>0.6</v>
      </c>
      <c r="F28" s="31" t="str">
        <f t="shared" si="0"/>
        <v>IndiaPartner</v>
      </c>
      <c r="G28" s="38">
        <v>2376</v>
      </c>
      <c r="H28" s="39">
        <v>5</v>
      </c>
      <c r="I28" s="31"/>
      <c r="J28" s="40">
        <v>2063.4</v>
      </c>
      <c r="K28" s="31"/>
      <c r="L28" s="42" t="s">
        <v>64</v>
      </c>
      <c r="M28" s="31"/>
      <c r="N28" s="42" t="s">
        <v>64</v>
      </c>
      <c r="O28" s="31"/>
      <c r="P28" s="40">
        <v>198</v>
      </c>
      <c r="Q28" s="31"/>
      <c r="R28" s="42"/>
      <c r="S28" s="31"/>
      <c r="T28" s="42"/>
    </row>
    <row r="29" spans="1:20" ht="15.75" customHeight="1">
      <c r="A29" s="33" t="s">
        <v>68</v>
      </c>
      <c r="B29" s="34" t="s">
        <v>59</v>
      </c>
      <c r="C29" s="35">
        <v>3600</v>
      </c>
      <c r="D29" s="36">
        <v>950</v>
      </c>
      <c r="E29" s="37">
        <v>0.83</v>
      </c>
      <c r="F29" s="31" t="str">
        <f t="shared" si="0"/>
        <v>SEADirect</v>
      </c>
      <c r="G29" s="38">
        <v>1931</v>
      </c>
      <c r="H29" s="39">
        <v>40</v>
      </c>
      <c r="I29" s="31"/>
      <c r="J29" s="40">
        <v>151</v>
      </c>
      <c r="K29" s="31"/>
      <c r="L29" s="42" t="s">
        <v>64</v>
      </c>
      <c r="M29" s="31"/>
      <c r="N29" s="42" t="s">
        <v>64</v>
      </c>
      <c r="O29" s="31"/>
      <c r="P29" s="40">
        <v>160.9</v>
      </c>
      <c r="Q29" s="31"/>
      <c r="R29" s="42"/>
      <c r="S29" s="31"/>
      <c r="T29" s="42"/>
    </row>
    <row r="30" spans="1:20" ht="15.75" customHeight="1">
      <c r="A30" s="33" t="s">
        <v>68</v>
      </c>
      <c r="B30" s="34" t="s">
        <v>54</v>
      </c>
      <c r="C30" s="35">
        <v>4400</v>
      </c>
      <c r="D30" s="36">
        <v>674</v>
      </c>
      <c r="E30" s="37">
        <v>0.5</v>
      </c>
      <c r="F30" s="31" t="str">
        <f t="shared" si="0"/>
        <v>SEAPartner</v>
      </c>
      <c r="G30" s="38">
        <v>1071</v>
      </c>
      <c r="H30" s="39">
        <v>8</v>
      </c>
      <c r="I30" s="31"/>
      <c r="J30" s="40">
        <v>437</v>
      </c>
      <c r="K30" s="31"/>
      <c r="L30" s="42" t="s">
        <v>64</v>
      </c>
      <c r="M30" s="31"/>
      <c r="N30" s="42" t="s">
        <v>64</v>
      </c>
      <c r="O30" s="31"/>
      <c r="P30" s="40">
        <v>89.3</v>
      </c>
      <c r="Q30" s="31"/>
      <c r="R30" s="42"/>
      <c r="S30" s="31"/>
      <c r="T30" s="42"/>
    </row>
    <row r="31" spans="1:20" ht="15.75" customHeight="1">
      <c r="A31" s="33" t="s">
        <v>69</v>
      </c>
      <c r="B31" s="34" t="s">
        <v>59</v>
      </c>
      <c r="C31" s="35">
        <v>3600</v>
      </c>
      <c r="D31" s="36">
        <v>606</v>
      </c>
      <c r="E31" s="37">
        <v>0.5</v>
      </c>
      <c r="F31" s="31" t="str">
        <f t="shared" si="0"/>
        <v>JapanDirect</v>
      </c>
      <c r="G31" s="38">
        <v>188</v>
      </c>
      <c r="H31" s="39">
        <v>6</v>
      </c>
      <c r="I31" s="31"/>
      <c r="J31" s="40">
        <v>93.1</v>
      </c>
      <c r="K31" s="31"/>
      <c r="L31" s="42" t="s">
        <v>64</v>
      </c>
      <c r="M31" s="31"/>
      <c r="N31" s="42" t="s">
        <v>64</v>
      </c>
      <c r="O31" s="31"/>
      <c r="P31" s="40">
        <v>15.7</v>
      </c>
      <c r="Q31" s="31"/>
      <c r="R31" s="42"/>
      <c r="S31" s="31"/>
      <c r="T31" s="42"/>
    </row>
    <row r="32" spans="1:20" ht="15.75" customHeight="1">
      <c r="A32" s="62" t="s">
        <v>69</v>
      </c>
      <c r="B32" s="63" t="s">
        <v>54</v>
      </c>
      <c r="C32" s="64">
        <v>4400</v>
      </c>
      <c r="D32" s="65">
        <v>744</v>
      </c>
      <c r="E32" s="66">
        <v>0.88</v>
      </c>
      <c r="F32" s="31" t="str">
        <f t="shared" si="0"/>
        <v>JapanPartner</v>
      </c>
      <c r="G32" s="67">
        <v>98</v>
      </c>
      <c r="H32" s="68">
        <v>8</v>
      </c>
      <c r="I32" s="31"/>
      <c r="J32" s="69">
        <v>63.4</v>
      </c>
      <c r="K32" s="31"/>
      <c r="L32" s="70" t="s">
        <v>64</v>
      </c>
      <c r="M32" s="31"/>
      <c r="N32" s="70" t="s">
        <v>64</v>
      </c>
      <c r="O32" s="31"/>
      <c r="P32" s="69">
        <v>8.1999999999999993</v>
      </c>
      <c r="Q32" s="31"/>
      <c r="R32" s="70"/>
      <c r="S32" s="31"/>
      <c r="T32" s="7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workbookViewId="0"/>
  </sheetViews>
  <sheetFormatPr baseColWidth="10" defaultColWidth="14.5" defaultRowHeight="15" customHeight="1"/>
  <cols>
    <col min="1" max="6" width="14.5" customWidth="1"/>
  </cols>
  <sheetData>
    <row r="1" spans="1:2" ht="15.75" customHeight="1">
      <c r="A1" s="71" t="s">
        <v>70</v>
      </c>
      <c r="B1" s="72" t="s">
        <v>71</v>
      </c>
    </row>
    <row r="2" spans="1:2" ht="15.75" customHeight="1">
      <c r="A2" s="71" t="s">
        <v>72</v>
      </c>
      <c r="B2" s="71" t="s">
        <v>73</v>
      </c>
    </row>
    <row r="3" spans="1:2" ht="15.75" customHeight="1">
      <c r="A3" s="71" t="s">
        <v>74</v>
      </c>
      <c r="B3" s="72" t="s">
        <v>75</v>
      </c>
    </row>
    <row r="4" spans="1:2" ht="15.75" customHeight="1"/>
    <row r="5" spans="1:2" ht="15.75" customHeight="1"/>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 r:id="rId1" location="gid=311650072" xr:uid="{00000000-0004-0000-0700-000000000000}"/>
    <hyperlink ref="B3" r:id="rId2" location="gid=324369679" xr:uid="{00000000-0004-0000-0700-000001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0"/>
  <sheetViews>
    <sheetView workbookViewId="0"/>
  </sheetViews>
  <sheetFormatPr baseColWidth="10" defaultColWidth="14.5" defaultRowHeight="15" customHeight="1"/>
  <cols>
    <col min="1" max="6" width="14.5" customWidth="1"/>
  </cols>
  <sheetData>
    <row r="1" spans="1:19" ht="15.75" customHeight="1">
      <c r="A1" s="73" t="s">
        <v>1</v>
      </c>
      <c r="B1" s="73" t="s">
        <v>1</v>
      </c>
      <c r="C1" s="73" t="s">
        <v>38</v>
      </c>
      <c r="D1" s="73" t="s">
        <v>76</v>
      </c>
      <c r="E1" s="73" t="s">
        <v>77</v>
      </c>
      <c r="F1" s="74" t="s">
        <v>78</v>
      </c>
      <c r="G1" s="75">
        <v>42370</v>
      </c>
      <c r="H1" s="75">
        <v>42401</v>
      </c>
      <c r="I1" s="75">
        <v>42430</v>
      </c>
      <c r="J1" s="75">
        <v>42461</v>
      </c>
      <c r="K1" s="75">
        <v>42491</v>
      </c>
      <c r="L1" s="75">
        <v>42522</v>
      </c>
      <c r="M1" s="75">
        <v>42552</v>
      </c>
      <c r="N1" s="75">
        <v>42583</v>
      </c>
      <c r="O1" s="75">
        <v>42614</v>
      </c>
      <c r="P1" s="75">
        <v>42644</v>
      </c>
      <c r="Q1" s="75">
        <v>42675</v>
      </c>
      <c r="R1" s="75">
        <v>42705</v>
      </c>
      <c r="S1" s="71"/>
    </row>
    <row r="2" spans="1:19" ht="15.75" customHeight="1">
      <c r="A2" s="76" t="s">
        <v>50</v>
      </c>
      <c r="B2" s="76" t="s">
        <v>79</v>
      </c>
      <c r="C2" s="76" t="s">
        <v>51</v>
      </c>
      <c r="D2" s="77">
        <v>0.6</v>
      </c>
      <c r="E2" s="78" t="s">
        <v>64</v>
      </c>
      <c r="F2" s="79">
        <v>4</v>
      </c>
      <c r="G2" s="80">
        <v>4</v>
      </c>
      <c r="H2" s="80">
        <v>4</v>
      </c>
      <c r="I2" s="80">
        <v>4</v>
      </c>
      <c r="J2" s="80">
        <v>4</v>
      </c>
      <c r="K2" s="80">
        <v>4</v>
      </c>
      <c r="L2" s="80">
        <v>4</v>
      </c>
      <c r="M2" s="80">
        <v>4</v>
      </c>
      <c r="N2" s="81">
        <v>5</v>
      </c>
      <c r="O2" s="81">
        <v>7</v>
      </c>
      <c r="P2" s="81">
        <v>7</v>
      </c>
      <c r="Q2" s="81">
        <v>7</v>
      </c>
      <c r="R2" s="81">
        <v>7</v>
      </c>
      <c r="S2" s="71" t="s">
        <v>80</v>
      </c>
    </row>
    <row r="3" spans="1:19" ht="15.75" customHeight="1">
      <c r="A3" s="76" t="s">
        <v>50</v>
      </c>
      <c r="B3" s="76" t="s">
        <v>79</v>
      </c>
      <c r="C3" s="76" t="s">
        <v>52</v>
      </c>
      <c r="D3" s="82">
        <v>0.9</v>
      </c>
      <c r="E3" s="78" t="s">
        <v>64</v>
      </c>
      <c r="F3" s="79">
        <v>4</v>
      </c>
      <c r="G3" s="81">
        <v>5</v>
      </c>
      <c r="H3" s="81">
        <v>5</v>
      </c>
      <c r="I3" s="81">
        <v>5</v>
      </c>
      <c r="J3" s="81">
        <v>5</v>
      </c>
      <c r="K3" s="81">
        <v>6</v>
      </c>
      <c r="L3" s="81">
        <v>7</v>
      </c>
      <c r="M3" s="81">
        <v>7</v>
      </c>
      <c r="N3" s="81">
        <v>7</v>
      </c>
      <c r="O3" s="81">
        <v>7</v>
      </c>
      <c r="P3" s="81">
        <v>7</v>
      </c>
      <c r="Q3" s="81">
        <v>7</v>
      </c>
      <c r="R3" s="81">
        <v>7</v>
      </c>
      <c r="S3" s="71" t="s">
        <v>81</v>
      </c>
    </row>
    <row r="4" spans="1:19" ht="15.75" customHeight="1">
      <c r="A4" s="76" t="s">
        <v>50</v>
      </c>
      <c r="B4" s="76" t="s">
        <v>79</v>
      </c>
      <c r="C4" s="76" t="s">
        <v>53</v>
      </c>
      <c r="D4" s="83">
        <v>-0.53</v>
      </c>
      <c r="E4" s="84">
        <v>1.21</v>
      </c>
      <c r="F4" s="79">
        <v>2</v>
      </c>
      <c r="G4" s="81">
        <v>2</v>
      </c>
      <c r="H4" s="81">
        <v>3</v>
      </c>
      <c r="I4" s="81">
        <v>3</v>
      </c>
      <c r="J4" s="81">
        <v>3</v>
      </c>
      <c r="K4" s="81">
        <v>3</v>
      </c>
      <c r="L4" s="81">
        <v>3</v>
      </c>
      <c r="M4" s="81">
        <v>3</v>
      </c>
      <c r="N4" s="81">
        <v>3</v>
      </c>
      <c r="O4" s="81">
        <v>3</v>
      </c>
      <c r="P4" s="81">
        <v>3</v>
      </c>
      <c r="Q4" s="81">
        <v>3</v>
      </c>
      <c r="R4" s="81">
        <v>3</v>
      </c>
      <c r="S4" s="71" t="s">
        <v>82</v>
      </c>
    </row>
    <row r="5" spans="1:19" ht="15.75" customHeight="1">
      <c r="A5" s="76" t="s">
        <v>50</v>
      </c>
      <c r="B5" s="76" t="s">
        <v>79</v>
      </c>
      <c r="C5" s="76" t="s">
        <v>54</v>
      </c>
      <c r="D5" s="85">
        <v>2.44</v>
      </c>
      <c r="E5" s="86">
        <v>0.84</v>
      </c>
      <c r="F5" s="79">
        <v>5</v>
      </c>
      <c r="G5" s="87">
        <v>5</v>
      </c>
      <c r="H5" s="87">
        <v>5</v>
      </c>
      <c r="I5" s="87">
        <v>5</v>
      </c>
      <c r="J5" s="87">
        <v>5</v>
      </c>
      <c r="K5" s="87">
        <v>5</v>
      </c>
      <c r="L5" s="87">
        <v>5</v>
      </c>
      <c r="M5" s="87">
        <v>4</v>
      </c>
      <c r="N5" s="87">
        <v>4</v>
      </c>
      <c r="O5" s="87">
        <v>4</v>
      </c>
      <c r="P5" s="87">
        <v>4</v>
      </c>
      <c r="Q5" s="87">
        <v>4</v>
      </c>
      <c r="R5" s="87">
        <v>4</v>
      </c>
      <c r="S5" s="71" t="s">
        <v>83</v>
      </c>
    </row>
    <row r="6" spans="1:19" ht="15.75" customHeight="1">
      <c r="A6" s="76" t="s">
        <v>55</v>
      </c>
      <c r="B6" s="76" t="s">
        <v>79</v>
      </c>
      <c r="C6" s="76" t="s">
        <v>56</v>
      </c>
      <c r="D6" s="88">
        <v>-0.28999999999999998</v>
      </c>
      <c r="E6" s="89">
        <v>1.71</v>
      </c>
      <c r="F6" s="79">
        <v>3</v>
      </c>
      <c r="G6" s="87">
        <v>2</v>
      </c>
      <c r="H6" s="87">
        <v>2</v>
      </c>
      <c r="I6" s="81">
        <v>3</v>
      </c>
      <c r="J6" s="81">
        <v>3</v>
      </c>
      <c r="K6" s="81">
        <v>3</v>
      </c>
      <c r="L6" s="81">
        <v>3</v>
      </c>
      <c r="M6" s="81">
        <v>3</v>
      </c>
      <c r="N6" s="81">
        <v>3</v>
      </c>
      <c r="O6" s="81">
        <v>3</v>
      </c>
      <c r="P6" s="81">
        <v>3</v>
      </c>
      <c r="Q6" s="81">
        <v>3</v>
      </c>
      <c r="R6" s="81">
        <v>3</v>
      </c>
      <c r="S6" s="71" t="s">
        <v>84</v>
      </c>
    </row>
    <row r="7" spans="1:19" ht="15.75" customHeight="1">
      <c r="A7" s="76" t="s">
        <v>55</v>
      </c>
      <c r="B7" s="76" t="s">
        <v>79</v>
      </c>
      <c r="C7" s="76" t="s">
        <v>53</v>
      </c>
      <c r="D7" s="90">
        <v>-0.02</v>
      </c>
      <c r="E7" s="91">
        <v>-0.27</v>
      </c>
      <c r="F7" s="79">
        <v>0.5</v>
      </c>
      <c r="G7" s="81">
        <v>0.5</v>
      </c>
      <c r="H7" s="81">
        <v>0.5</v>
      </c>
      <c r="I7" s="81">
        <v>0.5</v>
      </c>
      <c r="J7" s="81">
        <v>0.5</v>
      </c>
      <c r="K7" s="81">
        <v>0.5</v>
      </c>
      <c r="L7" s="81">
        <v>0.5</v>
      </c>
      <c r="M7" s="81">
        <v>0.5</v>
      </c>
      <c r="N7" s="81">
        <v>0.5</v>
      </c>
      <c r="O7" s="81">
        <v>0.5</v>
      </c>
      <c r="P7" s="81">
        <v>0.5</v>
      </c>
      <c r="Q7" s="81">
        <v>0.5</v>
      </c>
      <c r="R7" s="81">
        <v>0.5</v>
      </c>
      <c r="S7" s="71" t="s">
        <v>85</v>
      </c>
    </row>
    <row r="8" spans="1:19" ht="15.75" customHeight="1">
      <c r="A8" s="76" t="s">
        <v>55</v>
      </c>
      <c r="B8" s="76" t="s">
        <v>79</v>
      </c>
      <c r="C8" s="76" t="s">
        <v>54</v>
      </c>
      <c r="D8" s="92">
        <v>2.37</v>
      </c>
      <c r="E8" s="93">
        <v>2.73</v>
      </c>
      <c r="F8" s="79">
        <v>1.5</v>
      </c>
      <c r="G8" s="87">
        <v>1.5</v>
      </c>
      <c r="H8" s="87">
        <v>1.5</v>
      </c>
      <c r="I8" s="87">
        <v>1.5</v>
      </c>
      <c r="J8" s="87">
        <v>1</v>
      </c>
      <c r="K8" s="87">
        <v>1</v>
      </c>
      <c r="L8" s="87">
        <v>1</v>
      </c>
      <c r="M8" s="87">
        <v>1</v>
      </c>
      <c r="N8" s="87">
        <v>0.5</v>
      </c>
      <c r="O8" s="87">
        <v>0.5</v>
      </c>
      <c r="P8" s="87">
        <v>0.5</v>
      </c>
      <c r="Q8" s="87">
        <v>0.5</v>
      </c>
      <c r="R8" s="87">
        <v>1</v>
      </c>
      <c r="S8" s="71" t="s">
        <v>86</v>
      </c>
    </row>
    <row r="9" spans="1:19" ht="15.75" customHeight="1">
      <c r="A9" s="76" t="s">
        <v>57</v>
      </c>
      <c r="B9" s="76" t="s">
        <v>79</v>
      </c>
      <c r="C9" s="76" t="s">
        <v>56</v>
      </c>
      <c r="D9" s="94">
        <v>-1.02</v>
      </c>
      <c r="E9" s="95">
        <v>1.41</v>
      </c>
      <c r="F9" s="79">
        <v>3</v>
      </c>
      <c r="G9" s="81">
        <v>2</v>
      </c>
      <c r="H9" s="81">
        <v>3</v>
      </c>
      <c r="I9" s="81">
        <v>3</v>
      </c>
      <c r="J9" s="81">
        <v>3</v>
      </c>
      <c r="K9" s="81">
        <v>3</v>
      </c>
      <c r="L9" s="81">
        <v>3</v>
      </c>
      <c r="M9" s="81">
        <v>3</v>
      </c>
      <c r="N9" s="81">
        <v>3</v>
      </c>
      <c r="O9" s="81">
        <v>3</v>
      </c>
      <c r="P9" s="81">
        <v>3</v>
      </c>
      <c r="Q9" s="81">
        <v>3</v>
      </c>
      <c r="R9" s="81">
        <v>3</v>
      </c>
      <c r="S9" s="71" t="s">
        <v>87</v>
      </c>
    </row>
    <row r="10" spans="1:19" ht="15.75" customHeight="1">
      <c r="A10" s="76" t="s">
        <v>57</v>
      </c>
      <c r="B10" s="76" t="s">
        <v>79</v>
      </c>
      <c r="C10" s="76" t="s">
        <v>53</v>
      </c>
      <c r="D10" s="96">
        <v>-0.14000000000000001</v>
      </c>
      <c r="E10" s="97">
        <v>10.09</v>
      </c>
      <c r="F10" s="79">
        <v>0.5</v>
      </c>
      <c r="G10" s="81">
        <v>0.5</v>
      </c>
      <c r="H10" s="81">
        <v>0.5</v>
      </c>
      <c r="I10" s="81">
        <v>0.5</v>
      </c>
      <c r="J10" s="81">
        <v>0.5</v>
      </c>
      <c r="K10" s="81">
        <v>0.5</v>
      </c>
      <c r="L10" s="81">
        <v>0.5</v>
      </c>
      <c r="M10" s="81">
        <v>0.5</v>
      </c>
      <c r="N10" s="81">
        <v>0.5</v>
      </c>
      <c r="O10" s="81">
        <v>0.5</v>
      </c>
      <c r="P10" s="81">
        <v>0.5</v>
      </c>
      <c r="Q10" s="81">
        <v>0.5</v>
      </c>
      <c r="R10" s="81">
        <v>0.5</v>
      </c>
      <c r="S10" s="71" t="s">
        <v>88</v>
      </c>
    </row>
    <row r="11" spans="1:19" ht="15.75" customHeight="1">
      <c r="A11" s="76" t="s">
        <v>57</v>
      </c>
      <c r="B11" s="76" t="s">
        <v>79</v>
      </c>
      <c r="C11" s="76" t="s">
        <v>54</v>
      </c>
      <c r="D11" s="98">
        <v>1.54</v>
      </c>
      <c r="E11" s="99">
        <v>1.51</v>
      </c>
      <c r="F11" s="79">
        <v>1.5</v>
      </c>
      <c r="G11" s="87">
        <v>1.5</v>
      </c>
      <c r="H11" s="87">
        <v>1.5</v>
      </c>
      <c r="I11" s="87">
        <v>1.5</v>
      </c>
      <c r="J11" s="87">
        <v>1</v>
      </c>
      <c r="K11" s="87">
        <v>1</v>
      </c>
      <c r="L11" s="87">
        <v>1</v>
      </c>
      <c r="M11" s="87">
        <v>1</v>
      </c>
      <c r="N11" s="87">
        <v>0.5</v>
      </c>
      <c r="O11" s="87">
        <v>0.5</v>
      </c>
      <c r="P11" s="87">
        <v>0.5</v>
      </c>
      <c r="Q11" s="87">
        <v>0.5</v>
      </c>
      <c r="R11" s="87">
        <v>1</v>
      </c>
      <c r="S11" s="71" t="s">
        <v>89</v>
      </c>
    </row>
    <row r="12" spans="1:19" ht="15.75" customHeight="1">
      <c r="A12" s="76" t="s">
        <v>58</v>
      </c>
      <c r="B12" s="76" t="s">
        <v>79</v>
      </c>
      <c r="C12" s="76" t="s">
        <v>59</v>
      </c>
      <c r="D12" s="100">
        <v>-0.06</v>
      </c>
      <c r="E12" s="93">
        <v>2.75</v>
      </c>
      <c r="F12" s="79">
        <v>2</v>
      </c>
      <c r="G12" s="81">
        <v>2</v>
      </c>
      <c r="H12" s="81">
        <v>2</v>
      </c>
      <c r="I12" s="81">
        <v>2</v>
      </c>
      <c r="J12" s="81">
        <v>2</v>
      </c>
      <c r="K12" s="81">
        <v>2</v>
      </c>
      <c r="L12" s="81">
        <v>2</v>
      </c>
      <c r="M12" s="81">
        <v>2</v>
      </c>
      <c r="N12" s="81">
        <v>2</v>
      </c>
      <c r="O12" s="81">
        <v>2</v>
      </c>
      <c r="P12" s="81">
        <v>2</v>
      </c>
      <c r="Q12" s="81">
        <v>2</v>
      </c>
      <c r="R12" s="81">
        <v>2</v>
      </c>
      <c r="S12" s="71" t="s">
        <v>90</v>
      </c>
    </row>
    <row r="13" spans="1:19" ht="15.75" customHeight="1">
      <c r="A13" s="76" t="s">
        <v>58</v>
      </c>
      <c r="B13" s="76" t="s">
        <v>79</v>
      </c>
      <c r="C13" s="76" t="s">
        <v>54</v>
      </c>
      <c r="D13" s="101">
        <v>2.09</v>
      </c>
      <c r="E13" s="102">
        <v>0.94</v>
      </c>
      <c r="F13" s="79">
        <v>2</v>
      </c>
      <c r="G13" s="87">
        <v>2</v>
      </c>
      <c r="H13" s="87">
        <v>1</v>
      </c>
      <c r="I13" s="87">
        <v>1</v>
      </c>
      <c r="J13" s="87">
        <v>1</v>
      </c>
      <c r="K13" s="87">
        <v>1</v>
      </c>
      <c r="L13" s="87">
        <v>1</v>
      </c>
      <c r="M13" s="87">
        <v>2</v>
      </c>
      <c r="N13" s="87">
        <v>2</v>
      </c>
      <c r="O13" s="87">
        <v>2</v>
      </c>
      <c r="P13" s="87">
        <v>2</v>
      </c>
      <c r="Q13" s="87">
        <v>3</v>
      </c>
      <c r="R13" s="87">
        <v>3</v>
      </c>
      <c r="S13" s="71" t="s">
        <v>91</v>
      </c>
    </row>
    <row r="14" spans="1:19" ht="15.75" customHeight="1">
      <c r="A14" s="76" t="s">
        <v>60</v>
      </c>
      <c r="B14" s="76" t="s">
        <v>79</v>
      </c>
      <c r="C14" s="76" t="s">
        <v>59</v>
      </c>
      <c r="D14" s="103">
        <v>1.32</v>
      </c>
      <c r="E14" s="104">
        <v>1.02</v>
      </c>
      <c r="F14" s="79">
        <v>1</v>
      </c>
      <c r="G14" s="87">
        <v>1</v>
      </c>
      <c r="H14" s="87">
        <v>1</v>
      </c>
      <c r="I14" s="80">
        <v>2</v>
      </c>
      <c r="J14" s="80">
        <v>2</v>
      </c>
      <c r="K14" s="80">
        <v>2</v>
      </c>
      <c r="L14" s="80">
        <v>2</v>
      </c>
      <c r="M14" s="80">
        <v>2</v>
      </c>
      <c r="N14" s="80">
        <v>2</v>
      </c>
      <c r="O14" s="80">
        <v>2</v>
      </c>
      <c r="P14" s="80">
        <v>2</v>
      </c>
      <c r="Q14" s="80">
        <v>2</v>
      </c>
      <c r="R14" s="80">
        <v>2</v>
      </c>
      <c r="S14" s="71" t="s">
        <v>92</v>
      </c>
    </row>
    <row r="15" spans="1:19" ht="15.75" customHeight="1">
      <c r="A15" s="76" t="s">
        <v>60</v>
      </c>
      <c r="B15" s="76" t="s">
        <v>79</v>
      </c>
      <c r="C15" s="76" t="s">
        <v>54</v>
      </c>
      <c r="D15" s="105">
        <v>0.79</v>
      </c>
      <c r="E15" s="106">
        <v>3.5</v>
      </c>
      <c r="F15" s="79">
        <v>1</v>
      </c>
      <c r="G15" s="87">
        <v>1</v>
      </c>
      <c r="H15" s="87">
        <v>1</v>
      </c>
      <c r="I15" s="87">
        <v>1</v>
      </c>
      <c r="J15" s="87">
        <v>1</v>
      </c>
      <c r="K15" s="81">
        <v>2</v>
      </c>
      <c r="L15" s="81">
        <v>2</v>
      </c>
      <c r="M15" s="81">
        <v>2</v>
      </c>
      <c r="N15" s="81">
        <v>2</v>
      </c>
      <c r="O15" s="81">
        <v>2</v>
      </c>
      <c r="P15" s="87">
        <v>1</v>
      </c>
      <c r="Q15" s="87">
        <v>1</v>
      </c>
      <c r="R15" s="87">
        <v>1</v>
      </c>
      <c r="S15" s="71" t="s">
        <v>93</v>
      </c>
    </row>
    <row r="16" spans="1:19" ht="15.75" customHeight="1">
      <c r="A16" s="76" t="s">
        <v>62</v>
      </c>
      <c r="B16" s="76" t="s">
        <v>79</v>
      </c>
      <c r="C16" s="76" t="s">
        <v>59</v>
      </c>
      <c r="D16" s="107">
        <v>0.54</v>
      </c>
      <c r="E16" s="108">
        <v>-0.38</v>
      </c>
      <c r="F16" s="79">
        <v>1</v>
      </c>
      <c r="G16" s="87">
        <v>1</v>
      </c>
      <c r="H16" s="87">
        <v>1</v>
      </c>
      <c r="I16" s="87">
        <v>1</v>
      </c>
      <c r="J16" s="87">
        <v>1</v>
      </c>
      <c r="K16" s="87">
        <v>1</v>
      </c>
      <c r="L16" s="87">
        <v>1</v>
      </c>
      <c r="M16" s="87">
        <v>1</v>
      </c>
      <c r="N16" s="87">
        <v>1</v>
      </c>
      <c r="O16" s="87">
        <v>1</v>
      </c>
      <c r="P16" s="87">
        <v>1</v>
      </c>
      <c r="Q16" s="87">
        <v>1</v>
      </c>
      <c r="R16" s="87">
        <v>1</v>
      </c>
      <c r="S16" s="71" t="s">
        <v>94</v>
      </c>
    </row>
    <row r="17" spans="1:19" ht="15.75" customHeight="1">
      <c r="A17" s="76" t="s">
        <v>62</v>
      </c>
      <c r="B17" s="76" t="s">
        <v>79</v>
      </c>
      <c r="C17" s="76" t="s">
        <v>54</v>
      </c>
      <c r="D17" s="109">
        <v>0.88</v>
      </c>
      <c r="E17" s="110">
        <v>1.81</v>
      </c>
      <c r="F17" s="79">
        <v>1</v>
      </c>
      <c r="G17" s="87">
        <v>1</v>
      </c>
      <c r="H17" s="81">
        <v>2</v>
      </c>
      <c r="I17" s="81">
        <v>2</v>
      </c>
      <c r="J17" s="81">
        <v>2</v>
      </c>
      <c r="K17" s="81">
        <v>2</v>
      </c>
      <c r="L17" s="81">
        <v>2</v>
      </c>
      <c r="M17" s="81">
        <v>2</v>
      </c>
      <c r="N17" s="81">
        <v>2</v>
      </c>
      <c r="O17" s="81">
        <v>2</v>
      </c>
      <c r="P17" s="81">
        <v>2</v>
      </c>
      <c r="Q17" s="81">
        <v>2</v>
      </c>
      <c r="R17" s="81">
        <v>3</v>
      </c>
      <c r="S17" s="71" t="s">
        <v>95</v>
      </c>
    </row>
    <row r="18" spans="1:19" ht="15.75" customHeight="1">
      <c r="A18" s="76" t="s">
        <v>61</v>
      </c>
      <c r="B18" s="76" t="s">
        <v>79</v>
      </c>
      <c r="C18" s="76" t="s">
        <v>59</v>
      </c>
      <c r="D18" s="107">
        <v>0.53</v>
      </c>
      <c r="E18" s="111">
        <v>-0.46</v>
      </c>
      <c r="F18" s="79">
        <v>0</v>
      </c>
      <c r="G18" s="87">
        <v>0</v>
      </c>
      <c r="H18" s="87">
        <v>0</v>
      </c>
      <c r="I18" s="87">
        <v>0</v>
      </c>
      <c r="J18" s="87">
        <v>0</v>
      </c>
      <c r="K18" s="87">
        <v>0</v>
      </c>
      <c r="L18" s="87">
        <v>0</v>
      </c>
      <c r="M18" s="87">
        <v>0</v>
      </c>
      <c r="N18" s="87">
        <v>0</v>
      </c>
      <c r="O18" s="87">
        <v>0</v>
      </c>
      <c r="P18" s="87">
        <v>0</v>
      </c>
      <c r="Q18" s="87">
        <v>0</v>
      </c>
      <c r="R18" s="87">
        <v>0</v>
      </c>
      <c r="S18" s="71" t="s">
        <v>96</v>
      </c>
    </row>
    <row r="19" spans="1:19" ht="15.75" customHeight="1">
      <c r="A19" s="76" t="s">
        <v>61</v>
      </c>
      <c r="B19" s="76" t="s">
        <v>79</v>
      </c>
      <c r="C19" s="76" t="s">
        <v>54</v>
      </c>
      <c r="D19" s="112">
        <v>1.1200000000000001</v>
      </c>
      <c r="E19" s="84">
        <v>1.23</v>
      </c>
      <c r="F19" s="79">
        <v>0</v>
      </c>
      <c r="G19" s="80">
        <v>1</v>
      </c>
      <c r="H19" s="80">
        <v>1</v>
      </c>
      <c r="I19" s="80">
        <v>1</v>
      </c>
      <c r="J19" s="80">
        <v>1</v>
      </c>
      <c r="K19" s="80">
        <v>1</v>
      </c>
      <c r="L19" s="80">
        <v>1</v>
      </c>
      <c r="M19" s="80">
        <v>1</v>
      </c>
      <c r="N19" s="80">
        <v>1</v>
      </c>
      <c r="O19" s="80">
        <v>1</v>
      </c>
      <c r="P19" s="80">
        <v>1</v>
      </c>
      <c r="Q19" s="80">
        <v>1</v>
      </c>
      <c r="R19" s="80">
        <v>1</v>
      </c>
      <c r="S19" s="71" t="s">
        <v>97</v>
      </c>
    </row>
    <row r="20" spans="1:19" ht="15.75" customHeight="1">
      <c r="A20" s="76" t="s">
        <v>63</v>
      </c>
      <c r="B20" s="76" t="s">
        <v>79</v>
      </c>
      <c r="C20" s="76" t="s">
        <v>59</v>
      </c>
      <c r="D20" s="113">
        <v>0.97</v>
      </c>
      <c r="E20" s="114">
        <v>1.34</v>
      </c>
      <c r="F20" s="79">
        <v>0</v>
      </c>
      <c r="G20" s="87">
        <v>0</v>
      </c>
      <c r="H20" s="87">
        <v>0</v>
      </c>
      <c r="I20" s="87">
        <v>0</v>
      </c>
      <c r="J20" s="87">
        <v>0</v>
      </c>
      <c r="K20" s="87">
        <v>0</v>
      </c>
      <c r="L20" s="87">
        <v>0</v>
      </c>
      <c r="M20" s="87">
        <v>0</v>
      </c>
      <c r="N20" s="87">
        <v>0</v>
      </c>
      <c r="O20" s="87">
        <v>0</v>
      </c>
      <c r="P20" s="87">
        <v>0</v>
      </c>
      <c r="Q20" s="81">
        <v>1</v>
      </c>
      <c r="R20" s="81">
        <v>1</v>
      </c>
      <c r="S20" s="71" t="s">
        <v>98</v>
      </c>
    </row>
    <row r="21" spans="1:19" ht="15.75" customHeight="1">
      <c r="A21" s="76" t="s">
        <v>63</v>
      </c>
      <c r="B21" s="76" t="s">
        <v>79</v>
      </c>
      <c r="C21" s="76" t="s">
        <v>54</v>
      </c>
      <c r="D21" s="115">
        <v>0.38</v>
      </c>
      <c r="E21" s="84">
        <v>1.22</v>
      </c>
      <c r="F21" s="79">
        <v>0</v>
      </c>
      <c r="G21" s="87">
        <v>0</v>
      </c>
      <c r="H21" s="87">
        <v>0</v>
      </c>
      <c r="I21" s="87">
        <v>0</v>
      </c>
      <c r="J21" s="87">
        <v>0</v>
      </c>
      <c r="K21" s="87">
        <v>0</v>
      </c>
      <c r="L21" s="87">
        <v>0</v>
      </c>
      <c r="M21" s="87">
        <v>0</v>
      </c>
      <c r="N21" s="87">
        <v>0</v>
      </c>
      <c r="O21" s="87">
        <v>0</v>
      </c>
      <c r="P21" s="87">
        <v>0</v>
      </c>
      <c r="Q21" s="87">
        <v>0</v>
      </c>
      <c r="R21" s="87">
        <v>0</v>
      </c>
      <c r="S21" s="71" t="s">
        <v>99</v>
      </c>
    </row>
    <row r="22" spans="1:19" ht="15.75" customHeight="1">
      <c r="A22" s="76" t="s">
        <v>65</v>
      </c>
      <c r="B22" s="76" t="s">
        <v>79</v>
      </c>
      <c r="C22" s="76" t="s">
        <v>59</v>
      </c>
      <c r="D22" s="116">
        <v>2.4700000000000002</v>
      </c>
      <c r="E22" s="84">
        <v>1.23</v>
      </c>
      <c r="F22" s="79">
        <v>0</v>
      </c>
      <c r="G22" s="87">
        <v>0</v>
      </c>
      <c r="H22" s="87">
        <v>0</v>
      </c>
      <c r="I22" s="87">
        <v>0</v>
      </c>
      <c r="J22" s="87">
        <v>0</v>
      </c>
      <c r="K22" s="87">
        <v>0</v>
      </c>
      <c r="L22" s="87">
        <v>0</v>
      </c>
      <c r="M22" s="87">
        <v>0</v>
      </c>
      <c r="N22" s="87">
        <v>0</v>
      </c>
      <c r="O22" s="87">
        <v>0</v>
      </c>
      <c r="P22" s="87">
        <v>0</v>
      </c>
      <c r="Q22" s="87">
        <v>0</v>
      </c>
      <c r="R22" s="87">
        <v>0</v>
      </c>
      <c r="S22" s="71" t="s">
        <v>100</v>
      </c>
    </row>
    <row r="23" spans="1:19" ht="15.75" customHeight="1">
      <c r="A23" s="76" t="s">
        <v>65</v>
      </c>
      <c r="B23" s="76" t="s">
        <v>79</v>
      </c>
      <c r="C23" s="76" t="s">
        <v>54</v>
      </c>
      <c r="D23" s="117">
        <v>2.87</v>
      </c>
      <c r="E23" s="118">
        <v>0.62</v>
      </c>
      <c r="F23" s="79">
        <v>0</v>
      </c>
      <c r="G23" s="87">
        <v>0</v>
      </c>
      <c r="H23" s="87">
        <v>0</v>
      </c>
      <c r="I23" s="87">
        <v>0</v>
      </c>
      <c r="J23" s="87">
        <v>1</v>
      </c>
      <c r="K23" s="87">
        <v>1</v>
      </c>
      <c r="L23" s="87">
        <v>1</v>
      </c>
      <c r="M23" s="87">
        <v>1</v>
      </c>
      <c r="N23" s="87">
        <v>1</v>
      </c>
      <c r="O23" s="87">
        <v>1</v>
      </c>
      <c r="P23" s="87">
        <v>1</v>
      </c>
      <c r="Q23" s="87">
        <v>1</v>
      </c>
      <c r="R23" s="87">
        <v>1</v>
      </c>
      <c r="S23" s="71" t="s">
        <v>101</v>
      </c>
    </row>
    <row r="24" spans="1:19" ht="15.75" customHeight="1">
      <c r="A24" s="76" t="s">
        <v>66</v>
      </c>
      <c r="B24" s="76" t="s">
        <v>17</v>
      </c>
      <c r="C24" s="76" t="s">
        <v>59</v>
      </c>
      <c r="D24" s="119">
        <v>7.04</v>
      </c>
      <c r="E24" s="84">
        <v>1.21</v>
      </c>
      <c r="F24" s="79">
        <v>6</v>
      </c>
      <c r="G24" s="87">
        <v>6</v>
      </c>
      <c r="H24" s="87">
        <v>6</v>
      </c>
      <c r="I24" s="87">
        <v>6</v>
      </c>
      <c r="J24" s="87">
        <v>7</v>
      </c>
      <c r="K24" s="87">
        <v>7</v>
      </c>
      <c r="L24" s="87">
        <v>7</v>
      </c>
      <c r="M24" s="87">
        <v>7</v>
      </c>
      <c r="N24" s="87">
        <v>8</v>
      </c>
      <c r="O24" s="87">
        <v>8</v>
      </c>
      <c r="P24" s="87">
        <v>8</v>
      </c>
      <c r="Q24" s="87">
        <v>8</v>
      </c>
      <c r="R24" s="87">
        <v>8</v>
      </c>
      <c r="S24" s="71" t="s">
        <v>102</v>
      </c>
    </row>
    <row r="25" spans="1:19" ht="15.75" customHeight="1">
      <c r="A25" s="76" t="s">
        <v>66</v>
      </c>
      <c r="B25" s="76" t="s">
        <v>17</v>
      </c>
      <c r="C25" s="76" t="s">
        <v>54</v>
      </c>
      <c r="D25" s="120">
        <v>1.76</v>
      </c>
      <c r="E25" s="121">
        <v>3.18</v>
      </c>
      <c r="F25" s="79">
        <v>3</v>
      </c>
      <c r="G25" s="87">
        <v>3</v>
      </c>
      <c r="H25" s="80">
        <v>4</v>
      </c>
      <c r="I25" s="87">
        <v>2</v>
      </c>
      <c r="J25" s="87">
        <v>2</v>
      </c>
      <c r="K25" s="87">
        <v>2</v>
      </c>
      <c r="L25" s="87">
        <v>3</v>
      </c>
      <c r="M25" s="87">
        <v>3</v>
      </c>
      <c r="N25" s="87">
        <v>2</v>
      </c>
      <c r="O25" s="87">
        <v>3</v>
      </c>
      <c r="P25" s="87">
        <v>3</v>
      </c>
      <c r="Q25" s="80">
        <v>4</v>
      </c>
      <c r="R25" s="80">
        <v>4</v>
      </c>
      <c r="S25" s="71" t="s">
        <v>103</v>
      </c>
    </row>
    <row r="26" spans="1:19" ht="15.75" customHeight="1">
      <c r="A26" s="76" t="s">
        <v>68</v>
      </c>
      <c r="B26" s="76" t="s">
        <v>17</v>
      </c>
      <c r="C26" s="76" t="s">
        <v>59</v>
      </c>
      <c r="D26" s="122">
        <v>7.26</v>
      </c>
      <c r="E26" s="123">
        <v>0.73</v>
      </c>
      <c r="F26" s="79">
        <v>0</v>
      </c>
      <c r="G26" s="87">
        <v>1</v>
      </c>
      <c r="H26" s="87">
        <v>1</v>
      </c>
      <c r="I26" s="87">
        <v>1</v>
      </c>
      <c r="J26" s="87">
        <v>1</v>
      </c>
      <c r="K26" s="87">
        <v>1</v>
      </c>
      <c r="L26" s="87">
        <v>1</v>
      </c>
      <c r="M26" s="87">
        <v>1</v>
      </c>
      <c r="N26" s="87">
        <v>1</v>
      </c>
      <c r="O26" s="87">
        <v>1</v>
      </c>
      <c r="P26" s="87">
        <v>1</v>
      </c>
      <c r="Q26" s="87">
        <v>1</v>
      </c>
      <c r="R26" s="87">
        <v>1</v>
      </c>
      <c r="S26" s="71" t="s">
        <v>104</v>
      </c>
    </row>
    <row r="27" spans="1:19" ht="15.75" customHeight="1">
      <c r="A27" s="76" t="s">
        <v>68</v>
      </c>
      <c r="B27" s="76" t="s">
        <v>17</v>
      </c>
      <c r="C27" s="76" t="s">
        <v>54</v>
      </c>
      <c r="D27" s="124">
        <v>5.29</v>
      </c>
      <c r="E27" s="125">
        <v>3.53</v>
      </c>
      <c r="F27" s="79">
        <v>0</v>
      </c>
      <c r="G27" s="87">
        <v>0</v>
      </c>
      <c r="H27" s="87">
        <v>1</v>
      </c>
      <c r="I27" s="87">
        <v>1</v>
      </c>
      <c r="J27" s="87">
        <v>1</v>
      </c>
      <c r="K27" s="87">
        <v>1</v>
      </c>
      <c r="L27" s="87">
        <v>2</v>
      </c>
      <c r="M27" s="87">
        <v>2</v>
      </c>
      <c r="N27" s="87">
        <v>2</v>
      </c>
      <c r="O27" s="87">
        <v>2</v>
      </c>
      <c r="P27" s="87">
        <v>2</v>
      </c>
      <c r="Q27" s="87">
        <v>2</v>
      </c>
      <c r="R27" s="87">
        <v>2</v>
      </c>
      <c r="S27" s="71" t="s">
        <v>105</v>
      </c>
    </row>
    <row r="28" spans="1:19" ht="15.75" customHeight="1">
      <c r="A28" s="76" t="s">
        <v>67</v>
      </c>
      <c r="B28" s="76" t="s">
        <v>17</v>
      </c>
      <c r="C28" s="76" t="s">
        <v>59</v>
      </c>
      <c r="D28" s="126">
        <v>1.5</v>
      </c>
      <c r="E28" s="127">
        <v>5.82</v>
      </c>
      <c r="F28" s="79">
        <v>0</v>
      </c>
      <c r="G28" s="87">
        <v>1</v>
      </c>
      <c r="H28" s="81">
        <v>2</v>
      </c>
      <c r="I28" s="81">
        <v>2</v>
      </c>
      <c r="J28" s="81">
        <v>2</v>
      </c>
      <c r="K28" s="81">
        <v>2</v>
      </c>
      <c r="L28" s="81">
        <v>2</v>
      </c>
      <c r="M28" s="81">
        <v>2</v>
      </c>
      <c r="N28" s="81">
        <v>2</v>
      </c>
      <c r="O28" s="81">
        <v>2</v>
      </c>
      <c r="P28" s="81">
        <v>2</v>
      </c>
      <c r="Q28" s="81">
        <v>2</v>
      </c>
      <c r="R28" s="81">
        <v>2</v>
      </c>
      <c r="S28" s="71" t="s">
        <v>106</v>
      </c>
    </row>
    <row r="29" spans="1:19" ht="15.75" customHeight="1">
      <c r="A29" s="76" t="s">
        <v>67</v>
      </c>
      <c r="B29" s="76" t="s">
        <v>17</v>
      </c>
      <c r="C29" s="76" t="s">
        <v>54</v>
      </c>
      <c r="D29" s="109">
        <v>0.88</v>
      </c>
      <c r="E29" s="128">
        <v>5.61</v>
      </c>
      <c r="F29" s="79">
        <v>0</v>
      </c>
      <c r="G29" s="81">
        <v>1</v>
      </c>
      <c r="H29" s="81">
        <v>1</v>
      </c>
      <c r="I29" s="81">
        <v>1</v>
      </c>
      <c r="J29" s="81">
        <v>1</v>
      </c>
      <c r="K29" s="81">
        <v>1</v>
      </c>
      <c r="L29" s="81">
        <v>1</v>
      </c>
      <c r="M29" s="81">
        <v>1</v>
      </c>
      <c r="N29" s="81">
        <v>1</v>
      </c>
      <c r="O29" s="81">
        <v>1</v>
      </c>
      <c r="P29" s="81">
        <v>1</v>
      </c>
      <c r="Q29" s="81">
        <v>1</v>
      </c>
      <c r="R29" s="81">
        <v>1</v>
      </c>
      <c r="S29" s="71" t="s">
        <v>107</v>
      </c>
    </row>
    <row r="30" spans="1:19" ht="15.75" customHeight="1">
      <c r="A30" s="76" t="s">
        <v>69</v>
      </c>
      <c r="B30" s="76" t="s">
        <v>17</v>
      </c>
      <c r="C30" s="76" t="s">
        <v>59</v>
      </c>
      <c r="D30" s="129">
        <v>0.32</v>
      </c>
      <c r="E30" s="130">
        <v>-0.72</v>
      </c>
      <c r="F30" s="79">
        <v>0</v>
      </c>
      <c r="G30" s="87">
        <v>0</v>
      </c>
      <c r="H30" s="87">
        <v>0</v>
      </c>
      <c r="I30" s="87">
        <v>0</v>
      </c>
      <c r="J30" s="87">
        <v>0</v>
      </c>
      <c r="K30" s="87">
        <v>0</v>
      </c>
      <c r="L30" s="87">
        <v>0</v>
      </c>
      <c r="M30" s="81">
        <v>1</v>
      </c>
      <c r="N30" s="81">
        <v>1</v>
      </c>
      <c r="O30" s="81">
        <v>1</v>
      </c>
      <c r="P30" s="81">
        <v>2</v>
      </c>
      <c r="Q30" s="81">
        <v>2</v>
      </c>
      <c r="R30" s="81">
        <v>2</v>
      </c>
      <c r="S30" s="71" t="s">
        <v>108</v>
      </c>
    </row>
    <row r="31" spans="1:19" ht="15.75" customHeight="1">
      <c r="A31" s="76" t="s">
        <v>69</v>
      </c>
      <c r="B31" s="76" t="s">
        <v>17</v>
      </c>
      <c r="C31" s="76" t="s">
        <v>54</v>
      </c>
      <c r="D31" s="131">
        <v>0.24</v>
      </c>
      <c r="E31" s="132">
        <v>0.13</v>
      </c>
      <c r="F31" s="79">
        <v>0</v>
      </c>
      <c r="G31" s="87">
        <v>0</v>
      </c>
      <c r="H31" s="87">
        <v>0</v>
      </c>
      <c r="I31" s="87">
        <v>0</v>
      </c>
      <c r="J31" s="87">
        <v>0</v>
      </c>
      <c r="K31" s="87">
        <v>0</v>
      </c>
      <c r="L31" s="87">
        <v>0</v>
      </c>
      <c r="M31" s="81">
        <v>1</v>
      </c>
      <c r="N31" s="81">
        <v>1</v>
      </c>
      <c r="O31" s="81">
        <v>1</v>
      </c>
      <c r="P31" s="81">
        <v>2</v>
      </c>
      <c r="Q31" s="81">
        <v>2</v>
      </c>
      <c r="R31" s="81">
        <v>2</v>
      </c>
      <c r="S31" s="71" t="s">
        <v>109</v>
      </c>
    </row>
    <row r="32" spans="1:19" ht="15.75" customHeight="1">
      <c r="A32" s="76" t="s">
        <v>110</v>
      </c>
      <c r="B32" s="76" t="s">
        <v>110</v>
      </c>
      <c r="C32" s="76" t="s">
        <v>59</v>
      </c>
      <c r="D32" s="133">
        <v>5.37</v>
      </c>
      <c r="E32" s="134">
        <v>1.28</v>
      </c>
      <c r="F32" s="79">
        <v>1</v>
      </c>
      <c r="G32" s="87">
        <v>3</v>
      </c>
      <c r="H32" s="87">
        <v>4</v>
      </c>
      <c r="I32" s="87">
        <v>4</v>
      </c>
      <c r="J32" s="87">
        <v>4</v>
      </c>
      <c r="K32" s="87">
        <v>5</v>
      </c>
      <c r="L32" s="87">
        <v>5</v>
      </c>
      <c r="M32" s="87">
        <v>5</v>
      </c>
      <c r="N32" s="87">
        <v>5</v>
      </c>
      <c r="O32" s="87">
        <v>5</v>
      </c>
      <c r="P32" s="87">
        <v>5</v>
      </c>
      <c r="Q32" s="87">
        <v>5</v>
      </c>
      <c r="R32" s="87">
        <v>5</v>
      </c>
      <c r="S32" s="71" t="s">
        <v>111</v>
      </c>
    </row>
    <row r="33" spans="1:19" ht="15.75" customHeight="1">
      <c r="A33" s="76" t="s">
        <v>110</v>
      </c>
      <c r="B33" s="76" t="s">
        <v>110</v>
      </c>
      <c r="C33" s="76" t="s">
        <v>54</v>
      </c>
      <c r="D33" s="135">
        <v>0.5</v>
      </c>
      <c r="E33" s="95">
        <v>1.4</v>
      </c>
      <c r="F33" s="79">
        <v>2</v>
      </c>
      <c r="G33" s="81">
        <v>4</v>
      </c>
      <c r="H33" s="81">
        <v>4</v>
      </c>
      <c r="I33" s="81">
        <v>4</v>
      </c>
      <c r="J33" s="81">
        <v>4</v>
      </c>
      <c r="K33" s="81">
        <v>4</v>
      </c>
      <c r="L33" s="81">
        <v>4</v>
      </c>
      <c r="M33" s="81">
        <v>4</v>
      </c>
      <c r="N33" s="81">
        <v>4</v>
      </c>
      <c r="O33" s="81">
        <v>6</v>
      </c>
      <c r="P33" s="81">
        <v>6</v>
      </c>
      <c r="Q33" s="81">
        <v>6</v>
      </c>
      <c r="R33" s="81">
        <v>6</v>
      </c>
      <c r="S33" s="71" t="s">
        <v>112</v>
      </c>
    </row>
    <row r="34" spans="1:19" ht="15.75" customHeight="1">
      <c r="A34" s="76" t="s">
        <v>113</v>
      </c>
      <c r="B34" s="76" t="s">
        <v>110</v>
      </c>
      <c r="C34" s="76" t="s">
        <v>59</v>
      </c>
      <c r="D34" s="136">
        <v>0.84</v>
      </c>
      <c r="E34" s="137">
        <v>0.89</v>
      </c>
      <c r="F34" s="79">
        <v>3</v>
      </c>
      <c r="G34" s="87">
        <v>1</v>
      </c>
      <c r="H34" s="87">
        <v>1</v>
      </c>
      <c r="I34" s="87">
        <v>1</v>
      </c>
      <c r="J34" s="87">
        <v>1</v>
      </c>
      <c r="K34" s="87">
        <v>1</v>
      </c>
      <c r="L34" s="87">
        <v>1</v>
      </c>
      <c r="M34" s="87">
        <v>1</v>
      </c>
      <c r="N34" s="87">
        <v>1</v>
      </c>
      <c r="O34" s="87">
        <v>1</v>
      </c>
      <c r="P34" s="87">
        <v>1</v>
      </c>
      <c r="Q34" s="87">
        <v>1</v>
      </c>
      <c r="R34" s="87">
        <v>1</v>
      </c>
      <c r="S34" s="71" t="s">
        <v>114</v>
      </c>
    </row>
    <row r="35" spans="1:19" ht="15.75" customHeight="1">
      <c r="A35" s="76" t="s">
        <v>113</v>
      </c>
      <c r="B35" s="76" t="s">
        <v>110</v>
      </c>
      <c r="C35" s="76" t="s">
        <v>54</v>
      </c>
      <c r="D35" s="138">
        <v>1.65</v>
      </c>
      <c r="E35" s="139">
        <v>0.24</v>
      </c>
      <c r="F35" s="79">
        <v>1</v>
      </c>
      <c r="G35" s="87">
        <v>0</v>
      </c>
      <c r="H35" s="87">
        <v>0</v>
      </c>
      <c r="I35" s="87">
        <v>0</v>
      </c>
      <c r="J35" s="87">
        <v>0</v>
      </c>
      <c r="K35" s="87">
        <v>0</v>
      </c>
      <c r="L35" s="87">
        <v>0</v>
      </c>
      <c r="M35" s="87">
        <v>0</v>
      </c>
      <c r="N35" s="87">
        <v>0</v>
      </c>
      <c r="O35" s="87">
        <v>0</v>
      </c>
      <c r="P35" s="87">
        <v>0</v>
      </c>
      <c r="Q35" s="87">
        <v>0</v>
      </c>
      <c r="R35" s="87">
        <v>0</v>
      </c>
      <c r="S35" s="71" t="s">
        <v>115</v>
      </c>
    </row>
    <row r="36" spans="1:19" ht="15.75" customHeight="1">
      <c r="A36" s="76" t="s">
        <v>116</v>
      </c>
      <c r="B36" s="76" t="s">
        <v>79</v>
      </c>
      <c r="C36" s="76"/>
      <c r="D36" s="140" t="s">
        <v>64</v>
      </c>
      <c r="E36" s="78" t="s">
        <v>64</v>
      </c>
      <c r="F36" s="79">
        <v>8</v>
      </c>
      <c r="G36" s="79">
        <v>7</v>
      </c>
      <c r="H36" s="79">
        <v>8</v>
      </c>
      <c r="I36" s="79">
        <v>8</v>
      </c>
      <c r="J36" s="79">
        <v>9</v>
      </c>
      <c r="K36" s="79">
        <v>9</v>
      </c>
      <c r="L36" s="79">
        <v>9</v>
      </c>
      <c r="M36" s="79">
        <v>10</v>
      </c>
      <c r="N36" s="79">
        <v>11</v>
      </c>
      <c r="O36" s="79">
        <v>11</v>
      </c>
      <c r="P36" s="79">
        <v>12</v>
      </c>
      <c r="Q36" s="79">
        <v>12</v>
      </c>
      <c r="R36" s="79">
        <v>12</v>
      </c>
      <c r="S36" s="71" t="s">
        <v>117</v>
      </c>
    </row>
    <row r="37" spans="1:19" ht="15.75" customHeight="1">
      <c r="A37" s="76" t="s">
        <v>116</v>
      </c>
      <c r="B37" s="76" t="s">
        <v>17</v>
      </c>
      <c r="C37" s="76"/>
      <c r="D37" s="140" t="s">
        <v>64</v>
      </c>
      <c r="E37" s="78" t="s">
        <v>64</v>
      </c>
      <c r="F37" s="79">
        <v>1</v>
      </c>
      <c r="G37" s="79">
        <v>1</v>
      </c>
      <c r="H37" s="79">
        <v>1</v>
      </c>
      <c r="I37" s="79">
        <v>3</v>
      </c>
      <c r="J37" s="79">
        <v>3</v>
      </c>
      <c r="K37" s="79">
        <v>3</v>
      </c>
      <c r="L37" s="79">
        <v>3</v>
      </c>
      <c r="M37" s="79">
        <v>3</v>
      </c>
      <c r="N37" s="79">
        <v>4</v>
      </c>
      <c r="O37" s="79">
        <v>4</v>
      </c>
      <c r="P37" s="79">
        <v>4</v>
      </c>
      <c r="Q37" s="79">
        <v>4</v>
      </c>
      <c r="R37" s="79">
        <v>4</v>
      </c>
      <c r="S37" s="71" t="s">
        <v>117</v>
      </c>
    </row>
    <row r="38" spans="1:19" ht="15.75" customHeight="1">
      <c r="A38" s="76" t="s">
        <v>116</v>
      </c>
      <c r="B38" s="76" t="s">
        <v>110</v>
      </c>
      <c r="C38" s="76"/>
      <c r="D38" s="140" t="s">
        <v>64</v>
      </c>
      <c r="E38" s="78" t="s">
        <v>64</v>
      </c>
      <c r="F38" s="79">
        <v>2</v>
      </c>
      <c r="G38" s="79">
        <v>2</v>
      </c>
      <c r="H38" s="79">
        <v>2</v>
      </c>
      <c r="I38" s="79">
        <v>2</v>
      </c>
      <c r="J38" s="79">
        <v>2</v>
      </c>
      <c r="K38" s="79">
        <v>2</v>
      </c>
      <c r="L38" s="79">
        <v>2</v>
      </c>
      <c r="M38" s="79">
        <v>2</v>
      </c>
      <c r="N38" s="79">
        <v>2</v>
      </c>
      <c r="O38" s="79">
        <v>2</v>
      </c>
      <c r="P38" s="79">
        <v>2</v>
      </c>
      <c r="Q38" s="79">
        <v>2</v>
      </c>
      <c r="R38" s="79">
        <v>2</v>
      </c>
      <c r="S38" s="71" t="s">
        <v>117</v>
      </c>
    </row>
    <row r="39" spans="1:19" ht="15.75" customHeight="1">
      <c r="A39" s="141" t="s">
        <v>118</v>
      </c>
      <c r="B39" s="142" t="s">
        <v>118</v>
      </c>
      <c r="C39" s="142" t="s">
        <v>118</v>
      </c>
      <c r="D39" s="143">
        <v>52.4</v>
      </c>
      <c r="E39" s="144" t="s">
        <v>64</v>
      </c>
      <c r="F39" s="145">
        <v>60</v>
      </c>
      <c r="G39" s="145">
        <v>63</v>
      </c>
      <c r="H39" s="145">
        <v>70</v>
      </c>
      <c r="I39" s="145">
        <v>72</v>
      </c>
      <c r="J39" s="145">
        <v>74</v>
      </c>
      <c r="K39" s="145">
        <v>77</v>
      </c>
      <c r="L39" s="145">
        <v>80</v>
      </c>
      <c r="M39" s="145">
        <v>83</v>
      </c>
      <c r="N39" s="145">
        <v>85</v>
      </c>
      <c r="O39" s="145">
        <v>90</v>
      </c>
      <c r="P39" s="145">
        <v>92</v>
      </c>
      <c r="Q39" s="145">
        <v>95</v>
      </c>
      <c r="R39" s="145">
        <v>97</v>
      </c>
      <c r="S39" s="71" t="s">
        <v>119</v>
      </c>
    </row>
    <row r="40" spans="1:19" ht="15.75" customHeight="1"/>
    <row r="41" spans="1:19" ht="15.75" customHeight="1"/>
    <row r="42" spans="1:19" ht="15.75" customHeight="1"/>
    <row r="43" spans="1:19" ht="15.75" customHeight="1"/>
    <row r="44" spans="1:19" ht="15.75" customHeight="1"/>
    <row r="45" spans="1:19" ht="15.75" customHeight="1"/>
    <row r="46" spans="1:19" ht="15.75" customHeight="1"/>
    <row r="47" spans="1:19" ht="15.75" customHeight="1"/>
    <row r="48" spans="1: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Lead Target by Month EXAMPLE</vt:lpstr>
      <vt:lpstr>Performance Against Plan EXAMPL</vt:lpstr>
      <vt:lpstr>Lead Target by Month CREATE</vt:lpstr>
      <vt:lpstr>Performance Against Plan CREATE</vt:lpstr>
      <vt:lpstr>Actuals</vt:lpstr>
      <vt:lpstr>Data Sources</vt:lpstr>
      <vt:lpstr>Headcount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2022-03-28T16:53:21Z</dcterms:modified>
</cp:coreProperties>
</file>