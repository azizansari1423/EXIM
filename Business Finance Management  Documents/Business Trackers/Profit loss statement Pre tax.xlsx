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Revenues (Sales)" sheetId="2" r:id="rId1"/>
    <sheet name="Cost of Sales" sheetId="3" r:id="rId2"/>
    <sheet name="Expenses" sheetId="4" r:id="rId3"/>
  </sheets>
  <externalReferences>
    <externalReference r:id="rId4"/>
  </externalReferences>
  <definedNames>
    <definedName name="ColumnTitle1">[1]!Expense[[#Headers],[Date]]</definedName>
    <definedName name="Company_Name">'Revenues (Sales)'!$B$1</definedName>
    <definedName name="FYMonthNo">IF(FYMonthStart="JAN",1,IF(FYMonthStart="FEB",2,IF(FYMonthStart="MAR",3,IF(FYMonthStart="APR",4,IF(FYMonthStart="MAY",5,IF(FYMonthStart="JUN",6,IF(FYMonthStart="JUL",7,IF(FYMonthStart="AUG",8,IF(FYMonthStart="SEP",9,IF(FYMonthStart="OCT",10,IF(FYMonthStart="NOV",11,12)))))))))))</definedName>
    <definedName name="FYMonthStart">'Revenues (Sales)'!$F$2</definedName>
    <definedName name="FYStartYear">'Revenues (Sales)'!$G$2</definedName>
    <definedName name="Mileage_Total">[1]!Expense[[#Totals],[Mileage]]</definedName>
    <definedName name="_xlnm.Print_Titles" localSheetId="1">'Cost of Sales'!$5:$6</definedName>
    <definedName name="_xlnm.Print_Titles" localSheetId="2">Expenses!$5:$6</definedName>
    <definedName name="_xlnm.Print_Titles" localSheetId="0">'Revenues (Sales)'!$5:$6</definedName>
    <definedName name="Projection_Period_Title">'Revenues (Sales)'!$B$2</definedName>
    <definedName name="Reimbursement_Total">[1]!Expense[[#Totals],[Reimbursement]]</definedName>
    <definedName name="Title1">Revenue[[#Headers],[REVENUES (SALES)]]</definedName>
    <definedName name="Title2">CostofSales[[#Headers],[COST OF SALES]]</definedName>
    <definedName name="Title3">tblExpenses[[#Headers],[EXPENSES]]</definedName>
    <definedName name="Wksht_Title">'Revenues (Sales)'!$B$3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4" i="3" l="1"/>
  <c r="D14" i="2"/>
  <c r="E14" i="2"/>
  <c r="F14" i="2"/>
  <c r="G14" i="2"/>
  <c r="H14" i="2"/>
  <c r="I14" i="2"/>
  <c r="J14" i="2"/>
  <c r="X12" i="2"/>
  <c r="K14" i="2"/>
  <c r="L14" i="2"/>
  <c r="M14" i="2"/>
  <c r="N14" i="2"/>
  <c r="O14" i="2"/>
  <c r="P7" i="2"/>
  <c r="P8" i="2"/>
  <c r="P9" i="2"/>
  <c r="P10" i="2"/>
  <c r="P11" i="2"/>
  <c r="P12" i="2"/>
  <c r="P13" i="2"/>
  <c r="Q14" i="2"/>
  <c r="R7" i="2"/>
  <c r="R8" i="2"/>
  <c r="R9" i="2"/>
  <c r="R10" i="2"/>
  <c r="R11" i="2"/>
  <c r="R12" i="2"/>
  <c r="R13" i="2"/>
  <c r="S7" i="2"/>
  <c r="S8" i="2"/>
  <c r="S9" i="2"/>
  <c r="S10" i="2"/>
  <c r="S11" i="2"/>
  <c r="S12" i="2"/>
  <c r="S13" i="2"/>
  <c r="T8" i="2"/>
  <c r="U7" i="2"/>
  <c r="U8" i="2"/>
  <c r="U9" i="2"/>
  <c r="U10" i="2"/>
  <c r="U11" i="2"/>
  <c r="U12" i="2"/>
  <c r="U13" i="2"/>
  <c r="V7" i="2"/>
  <c r="V8" i="2"/>
  <c r="V9" i="2"/>
  <c r="V10" i="2"/>
  <c r="V11" i="2"/>
  <c r="V12" i="2"/>
  <c r="V13" i="2"/>
  <c r="W7" i="2"/>
  <c r="W8" i="2"/>
  <c r="W9" i="2"/>
  <c r="W10" i="2"/>
  <c r="W11" i="2"/>
  <c r="W12" i="2"/>
  <c r="W13" i="2"/>
  <c r="Y7" i="2"/>
  <c r="Y8" i="2"/>
  <c r="Y9" i="2"/>
  <c r="Y10" i="2"/>
  <c r="Y11" i="2"/>
  <c r="Y12" i="2"/>
  <c r="Y13" i="2"/>
  <c r="Z7" i="2"/>
  <c r="Z8" i="2"/>
  <c r="Z9" i="2"/>
  <c r="Z10" i="2"/>
  <c r="Z11" i="2"/>
  <c r="Z12" i="2"/>
  <c r="Z13" i="2"/>
  <c r="AA7" i="2"/>
  <c r="AA8" i="2"/>
  <c r="AA9" i="2"/>
  <c r="AA10" i="2"/>
  <c r="AA11" i="2"/>
  <c r="AA12" i="2"/>
  <c r="AA13" i="2"/>
  <c r="AC7" i="2"/>
  <c r="AC8" i="2"/>
  <c r="AC9" i="2"/>
  <c r="AC10" i="2"/>
  <c r="AC11" i="2"/>
  <c r="AC12" i="2"/>
  <c r="AC13" i="2"/>
  <c r="B1" i="4"/>
  <c r="B2" i="4"/>
  <c r="B2" i="3"/>
  <c r="B1" i="3"/>
  <c r="G2" i="2"/>
  <c r="O5" i="4"/>
  <c r="AC5" i="4"/>
  <c r="B3" i="3"/>
  <c r="J5" i="4"/>
  <c r="X5" i="4"/>
  <c r="L5" i="4"/>
  <c r="Z5" i="4"/>
  <c r="I5" i="4"/>
  <c r="W5" i="4"/>
  <c r="O5" i="3"/>
  <c r="AC5" i="3"/>
  <c r="J5" i="3"/>
  <c r="X5" i="3"/>
  <c r="M5" i="3"/>
  <c r="AA5" i="3"/>
  <c r="B3" i="4"/>
  <c r="F2" i="4"/>
  <c r="F2" i="3"/>
  <c r="Q26" i="4"/>
  <c r="O26" i="4"/>
  <c r="AC22" i="4"/>
  <c r="N26" i="4"/>
  <c r="AB20" i="4"/>
  <c r="M26" i="4"/>
  <c r="AA25" i="4"/>
  <c r="L26" i="4"/>
  <c r="Z21" i="4"/>
  <c r="Z24" i="4"/>
  <c r="K26" i="4"/>
  <c r="J26" i="4"/>
  <c r="I26" i="4"/>
  <c r="W9" i="4"/>
  <c r="W25" i="4"/>
  <c r="H26" i="4"/>
  <c r="V25" i="4"/>
  <c r="G26" i="4"/>
  <c r="F26" i="4"/>
  <c r="T12" i="4"/>
  <c r="E26" i="4"/>
  <c r="S25" i="4"/>
  <c r="D26" i="4"/>
  <c r="R25" i="4"/>
  <c r="Y25" i="4"/>
  <c r="X25" i="4"/>
  <c r="P25" i="4"/>
  <c r="Y24" i="4"/>
  <c r="X24" i="4"/>
  <c r="V24" i="4"/>
  <c r="P24" i="4"/>
  <c r="Y23" i="4"/>
  <c r="X23" i="4"/>
  <c r="U23" i="4"/>
  <c r="P23" i="4"/>
  <c r="AB22" i="4"/>
  <c r="Y22" i="4"/>
  <c r="X22" i="4"/>
  <c r="V22" i="4"/>
  <c r="U22" i="4"/>
  <c r="P22" i="4"/>
  <c r="AB21" i="4"/>
  <c r="Y21" i="4"/>
  <c r="X21" i="4"/>
  <c r="U21" i="4"/>
  <c r="T21" i="4"/>
  <c r="P21" i="4"/>
  <c r="Y20" i="4"/>
  <c r="X20" i="4"/>
  <c r="V20" i="4"/>
  <c r="U20" i="4"/>
  <c r="P20" i="4"/>
  <c r="AB19" i="4"/>
  <c r="Y19" i="4"/>
  <c r="X19" i="4"/>
  <c r="T19" i="4"/>
  <c r="P19" i="4"/>
  <c r="Y18" i="4"/>
  <c r="X18" i="4"/>
  <c r="V18" i="4"/>
  <c r="P18" i="4"/>
  <c r="Y17" i="4"/>
  <c r="X17" i="4"/>
  <c r="P17" i="4"/>
  <c r="Y16" i="4"/>
  <c r="X16" i="4"/>
  <c r="V16" i="4"/>
  <c r="P16" i="4"/>
  <c r="Y15" i="4"/>
  <c r="X15" i="4"/>
  <c r="U15" i="4"/>
  <c r="P15" i="4"/>
  <c r="AC14" i="4"/>
  <c r="AB14" i="4"/>
  <c r="Y14" i="4"/>
  <c r="X14" i="4"/>
  <c r="V14" i="4"/>
  <c r="U14" i="4"/>
  <c r="P14" i="4"/>
  <c r="AB13" i="4"/>
  <c r="Y13" i="4"/>
  <c r="X13" i="4"/>
  <c r="U13" i="4"/>
  <c r="T13" i="4"/>
  <c r="P13" i="4"/>
  <c r="Y12" i="4"/>
  <c r="X12" i="4"/>
  <c r="V12" i="4"/>
  <c r="U12" i="4"/>
  <c r="P12" i="4"/>
  <c r="AB11" i="4"/>
  <c r="Y11" i="4"/>
  <c r="X11" i="4"/>
  <c r="P11" i="4"/>
  <c r="Y10" i="4"/>
  <c r="X10" i="4"/>
  <c r="V10" i="4"/>
  <c r="P10" i="4"/>
  <c r="Y9" i="4"/>
  <c r="Y7" i="4"/>
  <c r="Y8" i="4"/>
  <c r="Y26" i="4"/>
  <c r="X9" i="4"/>
  <c r="P9" i="4"/>
  <c r="X8" i="4"/>
  <c r="X7" i="4"/>
  <c r="X26" i="4"/>
  <c r="V8" i="4"/>
  <c r="P8" i="4"/>
  <c r="U7" i="4"/>
  <c r="P7" i="4"/>
  <c r="O14" i="3"/>
  <c r="N14" i="3"/>
  <c r="AB9" i="3"/>
  <c r="M14" i="3"/>
  <c r="AA11" i="3"/>
  <c r="AA7" i="3"/>
  <c r="L14" i="3"/>
  <c r="Z8" i="3"/>
  <c r="K14" i="3"/>
  <c r="Y9" i="3"/>
  <c r="J14" i="3"/>
  <c r="X10" i="3"/>
  <c r="I14" i="3"/>
  <c r="I16" i="3"/>
  <c r="I28" i="4"/>
  <c r="H14" i="3"/>
  <c r="V7" i="3"/>
  <c r="G14" i="3"/>
  <c r="U13" i="3"/>
  <c r="F14" i="3"/>
  <c r="E14" i="3"/>
  <c r="S7" i="3"/>
  <c r="D14" i="3"/>
  <c r="D16" i="3"/>
  <c r="D28" i="4"/>
  <c r="P13" i="3"/>
  <c r="P12" i="3"/>
  <c r="P11" i="3"/>
  <c r="U10" i="3"/>
  <c r="P10" i="3"/>
  <c r="P9" i="3"/>
  <c r="X8" i="3"/>
  <c r="P8" i="3"/>
  <c r="P7" i="3"/>
  <c r="U8" i="3"/>
  <c r="U9" i="3"/>
  <c r="Z13" i="4"/>
  <c r="R14" i="4"/>
  <c r="R22" i="4"/>
  <c r="V7" i="4"/>
  <c r="V9" i="4"/>
  <c r="V11" i="4"/>
  <c r="V13" i="4"/>
  <c r="V15" i="4"/>
  <c r="V17" i="4"/>
  <c r="V19" i="4"/>
  <c r="V21" i="4"/>
  <c r="V23" i="4"/>
  <c r="R11" i="4"/>
  <c r="R15" i="4"/>
  <c r="R19" i="4"/>
  <c r="Z20" i="4"/>
  <c r="R23" i="4"/>
  <c r="AA8" i="4"/>
  <c r="S10" i="4"/>
  <c r="AA10" i="4"/>
  <c r="W12" i="4"/>
  <c r="AA12" i="4"/>
  <c r="AA14" i="4"/>
  <c r="AA16" i="4"/>
  <c r="AA18" i="4"/>
  <c r="S20" i="4"/>
  <c r="AA20" i="4"/>
  <c r="AA22" i="4"/>
  <c r="S24" i="4"/>
  <c r="AA24" i="4"/>
  <c r="AA7" i="4"/>
  <c r="AA9" i="4"/>
  <c r="AA11" i="4"/>
  <c r="AA13" i="4"/>
  <c r="AA15" i="4"/>
  <c r="AA17" i="4"/>
  <c r="AA19" i="4"/>
  <c r="AA21" i="4"/>
  <c r="AA23" i="4"/>
  <c r="AA26" i="4"/>
  <c r="S9" i="4"/>
  <c r="W15" i="4"/>
  <c r="S19" i="4"/>
  <c r="S23" i="4"/>
  <c r="T10" i="3"/>
  <c r="X11" i="3"/>
  <c r="X12" i="3"/>
  <c r="T8" i="3"/>
  <c r="X9" i="3"/>
  <c r="AB11" i="3"/>
  <c r="X13" i="3"/>
  <c r="X7" i="3"/>
  <c r="W9" i="3"/>
  <c r="U12" i="3"/>
  <c r="G16" i="3"/>
  <c r="G28" i="4"/>
  <c r="K16" i="3"/>
  <c r="K28" i="4"/>
  <c r="E16" i="3"/>
  <c r="M16" i="3"/>
  <c r="M28" i="4"/>
  <c r="U7" i="3"/>
  <c r="U11" i="3"/>
  <c r="V13" i="3"/>
  <c r="W12" i="3"/>
  <c r="W10" i="3"/>
  <c r="Z13" i="3"/>
  <c r="Z7" i="3"/>
  <c r="V8" i="3"/>
  <c r="S10" i="3"/>
  <c r="S8" i="3"/>
  <c r="AA12" i="3"/>
  <c r="AA10" i="3"/>
  <c r="S11" i="3"/>
  <c r="AA9" i="3"/>
  <c r="V12" i="3"/>
  <c r="O5" i="2"/>
  <c r="AC5" i="2"/>
  <c r="N5" i="2"/>
  <c r="AB5" i="2"/>
  <c r="M5" i="2"/>
  <c r="AA5" i="2"/>
  <c r="L5" i="2"/>
  <c r="Z5" i="2"/>
  <c r="K5" i="2"/>
  <c r="Y5" i="2"/>
  <c r="J5" i="2"/>
  <c r="X5" i="2"/>
  <c r="I5" i="2"/>
  <c r="W5" i="2"/>
  <c r="H5" i="2"/>
  <c r="V5" i="2"/>
  <c r="G5" i="2"/>
  <c r="U5" i="2"/>
  <c r="F5" i="2"/>
  <c r="T5" i="2"/>
  <c r="E5" i="2"/>
  <c r="S5" i="2"/>
  <c r="D5" i="2"/>
  <c r="R5" i="2"/>
  <c r="S11" i="4"/>
  <c r="V26" i="4"/>
  <c r="AB10" i="3"/>
  <c r="R14" i="2"/>
  <c r="V10" i="3"/>
  <c r="R9" i="3"/>
  <c r="Y11" i="3"/>
  <c r="W7" i="3"/>
  <c r="S12" i="3"/>
  <c r="Z9" i="3"/>
  <c r="R11" i="3"/>
  <c r="V9" i="3"/>
  <c r="Y7" i="3"/>
  <c r="Y13" i="3"/>
  <c r="L16" i="3"/>
  <c r="L28" i="4"/>
  <c r="AB8" i="3"/>
  <c r="S21" i="4"/>
  <c r="S17" i="4"/>
  <c r="S7" i="4"/>
  <c r="S22" i="4"/>
  <c r="W18" i="4"/>
  <c r="S12" i="4"/>
  <c r="S8" i="4"/>
  <c r="H16" i="3"/>
  <c r="H28" i="4"/>
  <c r="AB13" i="3"/>
  <c r="X14" i="3"/>
  <c r="T11" i="4"/>
  <c r="T20" i="4"/>
  <c r="E5" i="3"/>
  <c r="S5" i="3"/>
  <c r="H5" i="3"/>
  <c r="V5" i="3"/>
  <c r="H5" i="4"/>
  <c r="V5" i="4"/>
  <c r="AA14" i="2"/>
  <c r="U14" i="3"/>
  <c r="E28" i="4"/>
  <c r="S15" i="4"/>
  <c r="S16" i="4"/>
  <c r="S13" i="3"/>
  <c r="Z12" i="3"/>
  <c r="Z10" i="3"/>
  <c r="Z11" i="3"/>
  <c r="W8" i="3"/>
  <c r="V11" i="3"/>
  <c r="Y10" i="3"/>
  <c r="S9" i="3"/>
  <c r="S14" i="3"/>
  <c r="AB12" i="3"/>
  <c r="S13" i="4"/>
  <c r="S18" i="4"/>
  <c r="S14" i="4"/>
  <c r="Z12" i="4"/>
  <c r="AB7" i="3"/>
  <c r="W11" i="3"/>
  <c r="R12" i="3"/>
  <c r="G2" i="3"/>
  <c r="G5" i="3"/>
  <c r="U5" i="3"/>
  <c r="D5" i="4"/>
  <c r="R5" i="4"/>
  <c r="K5" i="4"/>
  <c r="Y5" i="4"/>
  <c r="AC25" i="4"/>
  <c r="AC18" i="4"/>
  <c r="AC17" i="4"/>
  <c r="AC10" i="4"/>
  <c r="AC9" i="4"/>
  <c r="AC20" i="4"/>
  <c r="AC19" i="4"/>
  <c r="AC12" i="4"/>
  <c r="AC11" i="4"/>
  <c r="AB9" i="2"/>
  <c r="AB13" i="2"/>
  <c r="AB10" i="2"/>
  <c r="N16" i="3"/>
  <c r="AB7" i="2"/>
  <c r="AB11" i="2"/>
  <c r="X9" i="2"/>
  <c r="X13" i="2"/>
  <c r="X10" i="2"/>
  <c r="X7" i="2"/>
  <c r="X8" i="2"/>
  <c r="X11" i="2"/>
  <c r="X14" i="2"/>
  <c r="AC15" i="4"/>
  <c r="AC21" i="4"/>
  <c r="AC23" i="4"/>
  <c r="T23" i="4"/>
  <c r="T22" i="4"/>
  <c r="T15" i="4"/>
  <c r="T14" i="4"/>
  <c r="T7" i="4"/>
  <c r="T25" i="4"/>
  <c r="T24" i="4"/>
  <c r="T17" i="4"/>
  <c r="T16" i="4"/>
  <c r="T9" i="4"/>
  <c r="T8" i="4"/>
  <c r="W8" i="4"/>
  <c r="W16" i="4"/>
  <c r="W24" i="4"/>
  <c r="W13" i="4"/>
  <c r="W21" i="4"/>
  <c r="W14" i="4"/>
  <c r="W22" i="4"/>
  <c r="W11" i="4"/>
  <c r="W19" i="4"/>
  <c r="Z7" i="4"/>
  <c r="Z11" i="4"/>
  <c r="Z15" i="4"/>
  <c r="Z19" i="4"/>
  <c r="Z23" i="4"/>
  <c r="Z10" i="4"/>
  <c r="Z14" i="4"/>
  <c r="Z18" i="4"/>
  <c r="Z22" i="4"/>
  <c r="U14" i="2"/>
  <c r="W13" i="3"/>
  <c r="W14" i="3"/>
  <c r="R8" i="3"/>
  <c r="R13" i="3"/>
  <c r="W17" i="4"/>
  <c r="W20" i="4"/>
  <c r="Z16" i="4"/>
  <c r="Z8" i="4"/>
  <c r="R18" i="4"/>
  <c r="R10" i="4"/>
  <c r="AA13" i="3"/>
  <c r="Y8" i="3"/>
  <c r="Y12" i="3"/>
  <c r="Y14" i="3"/>
  <c r="P26" i="4"/>
  <c r="AC8" i="4"/>
  <c r="AB12" i="4"/>
  <c r="AC16" i="4"/>
  <c r="AC24" i="4"/>
  <c r="U25" i="4"/>
  <c r="U24" i="4"/>
  <c r="U17" i="4"/>
  <c r="U16" i="4"/>
  <c r="U9" i="4"/>
  <c r="U8" i="4"/>
  <c r="U19" i="4"/>
  <c r="U18" i="4"/>
  <c r="U11" i="4"/>
  <c r="U10" i="4"/>
  <c r="AB8" i="2"/>
  <c r="Y14" i="2"/>
  <c r="V14" i="2"/>
  <c r="S14" i="2"/>
  <c r="T9" i="3"/>
  <c r="T12" i="3"/>
  <c r="T13" i="3"/>
  <c r="AC13" i="3"/>
  <c r="AC12" i="3"/>
  <c r="AC10" i="3"/>
  <c r="AC7" i="3"/>
  <c r="AC8" i="3"/>
  <c r="O16" i="3"/>
  <c r="AC11" i="3"/>
  <c r="P14" i="2"/>
  <c r="AD9" i="2"/>
  <c r="T9" i="2"/>
  <c r="T13" i="2"/>
  <c r="T10" i="2"/>
  <c r="F16" i="3"/>
  <c r="T7" i="2"/>
  <c r="T11" i="2"/>
  <c r="J16" i="3"/>
  <c r="T7" i="3"/>
  <c r="AC7" i="4"/>
  <c r="AC13" i="4"/>
  <c r="AB12" i="2"/>
  <c r="R10" i="3"/>
  <c r="AA8" i="3"/>
  <c r="AA14" i="3"/>
  <c r="R7" i="3"/>
  <c r="P14" i="3"/>
  <c r="W23" i="4"/>
  <c r="W7" i="4"/>
  <c r="W10" i="4"/>
  <c r="Z25" i="4"/>
  <c r="Z17" i="4"/>
  <c r="Z9" i="4"/>
  <c r="T11" i="3"/>
  <c r="AC9" i="3"/>
  <c r="T10" i="4"/>
  <c r="T18" i="4"/>
  <c r="R9" i="4"/>
  <c r="R13" i="4"/>
  <c r="R17" i="4"/>
  <c r="R21" i="4"/>
  <c r="R8" i="4"/>
  <c r="R12" i="4"/>
  <c r="R16" i="4"/>
  <c r="R20" i="4"/>
  <c r="R24" i="4"/>
  <c r="R7" i="4"/>
  <c r="AB24" i="4"/>
  <c r="AB23" i="4"/>
  <c r="AB16" i="4"/>
  <c r="AB15" i="4"/>
  <c r="AB8" i="4"/>
  <c r="AB7" i="4"/>
  <c r="AB25" i="4"/>
  <c r="AB18" i="4"/>
  <c r="AB17" i="4"/>
  <c r="AB10" i="4"/>
  <c r="AB9" i="4"/>
  <c r="AC14" i="2"/>
  <c r="Z14" i="2"/>
  <c r="W14" i="2"/>
  <c r="T12" i="2"/>
  <c r="G2" i="4"/>
  <c r="I5" i="3"/>
  <c r="W5" i="3"/>
  <c r="F5" i="3"/>
  <c r="T5" i="3"/>
  <c r="N5" i="3"/>
  <c r="AB5" i="3"/>
  <c r="K5" i="3"/>
  <c r="Y5" i="3"/>
  <c r="D5" i="3"/>
  <c r="R5" i="3"/>
  <c r="L5" i="3"/>
  <c r="Z5" i="3"/>
  <c r="E5" i="4"/>
  <c r="S5" i="4"/>
  <c r="M5" i="4"/>
  <c r="AA5" i="4"/>
  <c r="N5" i="4"/>
  <c r="AB5" i="4"/>
  <c r="F5" i="4"/>
  <c r="T5" i="4"/>
  <c r="G5" i="4"/>
  <c r="U5" i="4"/>
  <c r="AC26" i="4"/>
  <c r="T14" i="2"/>
  <c r="S26" i="4"/>
  <c r="AB14" i="3"/>
  <c r="Z14" i="3"/>
  <c r="U26" i="4"/>
  <c r="V14" i="3"/>
  <c r="F28" i="4"/>
  <c r="R26" i="4"/>
  <c r="AD7" i="3"/>
  <c r="AD11" i="3"/>
  <c r="AD10" i="3"/>
  <c r="AD9" i="3"/>
  <c r="AB14" i="2"/>
  <c r="AD13" i="3"/>
  <c r="R14" i="3"/>
  <c r="J28" i="4"/>
  <c r="AD10" i="2"/>
  <c r="AD7" i="2"/>
  <c r="AD11" i="2"/>
  <c r="P16" i="3"/>
  <c r="AD8" i="2"/>
  <c r="AD12" i="2"/>
  <c r="AD8" i="3"/>
  <c r="Z26" i="4"/>
  <c r="T26" i="4"/>
  <c r="N28" i="4"/>
  <c r="T14" i="3"/>
  <c r="O28" i="4"/>
  <c r="AD11" i="4"/>
  <c r="AD9" i="4"/>
  <c r="AD14" i="4"/>
  <c r="AD25" i="4"/>
  <c r="AD23" i="4"/>
  <c r="AD15" i="4"/>
  <c r="AD16" i="4"/>
  <c r="AD8" i="4"/>
  <c r="AD20" i="4"/>
  <c r="AD24" i="4"/>
  <c r="AD12" i="4"/>
  <c r="AD13" i="4"/>
  <c r="AD10" i="4"/>
  <c r="AD21" i="4"/>
  <c r="AD19" i="4"/>
  <c r="AD17" i="4"/>
  <c r="AD7" i="4"/>
  <c r="AD18" i="4"/>
  <c r="AD22" i="4"/>
  <c r="AB26" i="4"/>
  <c r="W26" i="4"/>
  <c r="AD13" i="2"/>
  <c r="AC14" i="3"/>
  <c r="AD12" i="3"/>
  <c r="AD14" i="3"/>
  <c r="U16" i="3"/>
  <c r="W16" i="3"/>
  <c r="AA16" i="3"/>
  <c r="Y16" i="3"/>
  <c r="AD16" i="3"/>
  <c r="S16" i="3"/>
  <c r="R16" i="3"/>
  <c r="V16" i="3"/>
  <c r="Z16" i="3"/>
  <c r="AB16" i="3"/>
  <c r="AD14" i="2"/>
  <c r="T16" i="3"/>
  <c r="X16" i="3"/>
  <c r="AD26" i="4"/>
  <c r="AC16" i="3"/>
  <c r="P28" i="4"/>
  <c r="AD28" i="4"/>
  <c r="Y28" i="4"/>
  <c r="R28" i="4"/>
  <c r="S28" i="4"/>
  <c r="AA28" i="4"/>
  <c r="Z28" i="4"/>
  <c r="W28" i="4"/>
  <c r="U28" i="4"/>
  <c r="V28" i="4"/>
  <c r="AC28" i="4"/>
  <c r="AB28" i="4"/>
  <c r="T28" i="4"/>
  <c r="X28" i="4"/>
</calcChain>
</file>

<file path=xl/sharedStrings.xml><?xml version="1.0" encoding="utf-8"?>
<sst xmlns="http://schemas.openxmlformats.org/spreadsheetml/2006/main" count="161" uniqueCount="78">
  <si>
    <t>Yearly</t>
  </si>
  <si>
    <t>Gross Profit</t>
  </si>
  <si>
    <t xml:space="preserve">Salary expenses </t>
  </si>
  <si>
    <t xml:space="preserve">Payroll expenses </t>
  </si>
  <si>
    <t>Outside services</t>
  </si>
  <si>
    <t>Supplies (office and operating)</t>
  </si>
  <si>
    <t>Repairs and maintenance</t>
  </si>
  <si>
    <t>Advertising</t>
  </si>
  <si>
    <t>Car, delivery and travel</t>
  </si>
  <si>
    <t>Accounting and legal</t>
  </si>
  <si>
    <t>Rent</t>
  </si>
  <si>
    <t>Telephone</t>
  </si>
  <si>
    <t>Utilities</t>
  </si>
  <si>
    <t>Insurance</t>
  </si>
  <si>
    <t>Taxes (real estate, etc.)</t>
  </si>
  <si>
    <t>Interest</t>
  </si>
  <si>
    <t>Depreciation</t>
  </si>
  <si>
    <t>Other expenses (specify)</t>
  </si>
  <si>
    <t>Misc. (unspecified)</t>
  </si>
  <si>
    <t>Net Profit</t>
  </si>
  <si>
    <t xml:space="preserve"> </t>
  </si>
  <si>
    <t>Twelve Month</t>
  </si>
  <si>
    <t>Company Name</t>
  </si>
  <si>
    <t>REVENUES (SALES)</t>
  </si>
  <si>
    <t>TREND</t>
  </si>
  <si>
    <t>TOTAL SALES</t>
  </si>
  <si>
    <t>COST OF SALES</t>
  </si>
  <si>
    <t>TOTAL COST OF SALES</t>
  </si>
  <si>
    <t>EXPENSES</t>
  </si>
  <si>
    <t>TOTAL EXPENSES</t>
  </si>
  <si>
    <t>IND %</t>
  </si>
  <si>
    <t>YEARLY</t>
  </si>
  <si>
    <t>YEAR %</t>
  </si>
  <si>
    <t>Revenue 1</t>
  </si>
  <si>
    <t>Revenue 2</t>
  </si>
  <si>
    <t>Revenue 3</t>
  </si>
  <si>
    <t>Revenue 4</t>
  </si>
  <si>
    <t>Revenue 5</t>
  </si>
  <si>
    <t>Revenue 6</t>
  </si>
  <si>
    <t>Revenue 7</t>
  </si>
  <si>
    <t>Cost 1</t>
  </si>
  <si>
    <t>Cost 2</t>
  </si>
  <si>
    <t>Cost 3</t>
  </si>
  <si>
    <t>Cost 4</t>
  </si>
  <si>
    <t>Cost 5</t>
  </si>
  <si>
    <t>Cost 6</t>
  </si>
  <si>
    <t>Cost 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</si>
  <si>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</si>
  <si>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</si>
  <si>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</si>
  <si>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</si>
  <si>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</si>
  <si>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</si>
  <si>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</si>
  <si>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</si>
  <si>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</si>
  <si>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</si>
  <si>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</si>
  <si>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</si>
  <si>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Index %</t>
  </si>
  <si>
    <t>Jan %</t>
  </si>
  <si>
    <t>Feb %</t>
  </si>
  <si>
    <t>Mar %</t>
  </si>
  <si>
    <t>Apr %</t>
  </si>
  <si>
    <t>May %</t>
  </si>
  <si>
    <t>Jun %</t>
  </si>
  <si>
    <t>Jul %</t>
  </si>
  <si>
    <t>Aug %</t>
  </si>
  <si>
    <t>Sep %</t>
  </si>
  <si>
    <t>Oct %</t>
  </si>
  <si>
    <t>Nov %</t>
  </si>
  <si>
    <t>Dec %</t>
  </si>
  <si>
    <t>Year %</t>
  </si>
  <si>
    <t>Column1</t>
  </si>
  <si>
    <t>Profit &amp; Loss Projection</t>
  </si>
  <si>
    <t>Fiscal Year Begins:</t>
  </si>
  <si>
    <t>JAN</t>
  </si>
  <si>
    <t>Fiscal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</si>
</sst>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5" formatCode="[$-409]mmm\-yy;@"/>
    <numFmt numFmtId="169" formatCode="_([$$-409]* #,##0.00_);_([$$-409]* \(#,##0.00\);_([$$-409]* &quot;-&quot;??_);_(@_)"/>
  </numFmts>
  <fonts count="36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b/>
      <sz val="12"/>
      <color theme="0"/>
      <name val="Cambria"/>
      <family val="2"/>
      <scheme val="minor"/>
    </font>
    <font>
      <b/>
      <sz val="12"/>
      <color theme="8"/>
      <name val="Calibri"/>
      <family val="1"/>
      <scheme val="major"/>
    </font>
    <font>
      <sz val="10"/>
      <color theme="1"/>
      <name val="Cambria"/>
      <family val="2"/>
      <scheme val="minor"/>
    </font>
    <font>
      <b/>
      <sz val="26"/>
      <color theme="3"/>
      <name val="Cambria"/>
      <family val="2"/>
      <scheme val="minor"/>
    </font>
    <font>
      <b/>
      <sz val="22"/>
      <color theme="3"/>
      <name val="Cambria"/>
      <family val="2"/>
      <scheme val="minor"/>
    </font>
    <font>
      <b/>
      <sz val="12"/>
      <color theme="3"/>
      <name val="Cambria"/>
      <family val="2"/>
      <scheme val="minor"/>
    </font>
    <font>
      <b/>
      <i/>
      <sz val="22"/>
      <color theme="7"/>
      <name val="Calibri"/>
      <family val="1"/>
      <scheme val="major"/>
    </font>
    <font>
      <b/>
      <sz val="11"/>
      <color theme="8"/>
      <name val="Cambria"/>
      <family val="2"/>
      <scheme val="minor"/>
    </font>
    <font>
      <b/>
      <sz val="11"/>
      <color theme="0"/>
      <name val="Cambria"/>
      <family val="2"/>
      <scheme val="minor"/>
    </font>
    <font>
      <sz val="11"/>
      <color theme="3"/>
      <name val="Calibri"/>
      <family val="1"/>
      <scheme val="major"/>
    </font>
    <font>
      <sz val="11"/>
      <name val="Cambria"/>
      <family val="2"/>
      <scheme val="minor"/>
    </font>
    <font>
      <b/>
      <i/>
      <sz val="16"/>
      <color theme="7" tint="-0.24994659260841701"/>
      <name val="Calibri"/>
      <family val="1"/>
      <scheme val="major"/>
    </font>
    <font>
      <b/>
      <i/>
      <sz val="22"/>
      <color theme="7" tint="-0.24994659260841701"/>
      <name val="Calibri"/>
      <family val="1"/>
      <scheme val="major"/>
    </font>
    <font>
      <sz val="22"/>
      <color theme="3"/>
      <name val="Cambria"/>
      <family val="2"/>
      <charset val="238"/>
      <scheme val="minor"/>
    </font>
    <font>
      <b/>
      <sz val="11"/>
      <color theme="1"/>
      <name val="Calibri"/>
      <family val="2"/>
      <charset val="238"/>
      <scheme val="major"/>
    </font>
    <font>
      <sz val="11"/>
      <color theme="0"/>
      <name val="Cambria"/>
      <family val="2"/>
      <scheme val="minor"/>
    </font>
    <font>
      <sz val="11"/>
      <color theme="1"/>
      <name val="Calibri"/>
      <family val="2"/>
      <charset val="238"/>
      <scheme val="major"/>
    </font>
    <font>
      <b/>
      <sz val="11"/>
      <color theme="0"/>
      <name val="Cambria"/>
      <family val="1"/>
      <charset val="238"/>
      <scheme val="minor"/>
    </font>
    <font>
      <b/>
      <sz val="12"/>
      <color theme="1"/>
      <name val="Cambria"/>
      <family val="1"/>
      <charset val="238"/>
      <scheme val="minor"/>
    </font>
    <font>
      <sz val="11"/>
      <color theme="4" tint="-0.499984740745262"/>
      <name val="Cambria"/>
      <family val="1"/>
      <charset val="238"/>
      <scheme val="minor"/>
    </font>
    <font>
      <b/>
      <sz val="12"/>
      <color theme="1"/>
      <name val="Calibri"/>
      <family val="2"/>
      <charset val="238"/>
      <scheme val="major"/>
    </font>
    <font>
      <sz val="12"/>
      <color theme="1"/>
      <name val="Calibri"/>
      <family val="2"/>
      <charset val="238"/>
      <scheme val="major"/>
    </font>
    <font>
      <sz val="22"/>
      <color theme="1"/>
      <name val="Cambria"/>
      <family val="2"/>
      <charset val="238"/>
      <scheme val="minor"/>
    </font>
    <font>
      <sz val="24"/>
      <color theme="1"/>
      <name val="Calibri"/>
      <family val="2"/>
      <charset val="238"/>
      <scheme val="major"/>
    </font>
    <font>
      <i/>
      <sz val="16"/>
      <color theme="5" tint="-0.499984740745262"/>
      <name val="Cambria"/>
      <family val="1"/>
      <charset val="238"/>
      <scheme val="minor"/>
    </font>
    <font>
      <sz val="11"/>
      <color theme="5" tint="-0.499984740745262"/>
      <name val="Cambria"/>
      <family val="1"/>
      <charset val="238"/>
      <scheme val="minor"/>
    </font>
    <font>
      <i/>
      <sz val="11"/>
      <color theme="5" tint="-0.499984740745262"/>
      <name val="Cambria"/>
      <family val="1"/>
      <charset val="238"/>
      <scheme val="minor"/>
    </font>
    <font>
      <i/>
      <sz val="16"/>
      <color theme="4" tint="-0.499984740745262"/>
      <name val="Cambria"/>
      <family val="1"/>
      <charset val="238"/>
      <scheme val="minor"/>
    </font>
    <font>
      <i/>
      <sz val="11"/>
      <color theme="4" tint="-0.499984740745262"/>
      <name val="Cambria"/>
      <family val="1"/>
      <charset val="238"/>
      <scheme val="minor"/>
    </font>
    <font>
      <i/>
      <sz val="16"/>
      <color theme="9" tint="-0.499984740745262"/>
      <name val="Cambria"/>
      <family val="1"/>
      <charset val="238"/>
      <scheme val="minor"/>
    </font>
    <font>
      <sz val="11"/>
      <color theme="9" tint="-0.499984740745262"/>
      <name val="Cambria"/>
      <family val="1"/>
      <charset val="238"/>
      <scheme val="minor"/>
    </font>
    <font>
      <i/>
      <sz val="11"/>
      <color theme="9" tint="-0.499984740745262"/>
      <name val="Cambria"/>
      <family val="1"/>
      <charset val="238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theme="3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/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  <border>
      <left/>
      <right/>
      <top/>
      <bottom style="thin">
        <color theme="5" tint="-0.249977111117893"/>
      </bottom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  <border>
      <left style="dotted">
        <color theme="5" tint="0.39997558519241921"/>
      </left>
      <right style="dotted">
        <color theme="5" tint="0.39997558519241921"/>
      </right>
      <top/>
      <bottom/>
      <diagonal/>
    </border>
    <border>
      <left style="thin">
        <color theme="5" tint="-0.249977111117893"/>
      </left>
      <right style="dotted">
        <color theme="5" tint="0.39997558519241921"/>
      </right>
      <top style="thin">
        <color theme="5" tint="-0.249977111117893"/>
      </top>
      <bottom/>
      <diagonal/>
    </border>
    <border>
      <left style="dotted">
        <color theme="5" tint="0.39997558519241921"/>
      </left>
      <right style="dotted">
        <color theme="5" tint="0.39997558519241921"/>
      </right>
      <top style="thin">
        <color theme="5" tint="-0.249977111117893"/>
      </top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dotted">
        <color theme="4" tint="0.39997558519241921"/>
      </left>
      <right style="dotted">
        <color theme="4" tint="0.39997558519241921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dotted">
        <color theme="4" tint="0.39997558519241921"/>
      </right>
      <top style="thin">
        <color theme="4" tint="-0.249977111117893"/>
      </top>
      <bottom/>
      <diagonal/>
    </border>
    <border>
      <left style="dotted">
        <color theme="4" tint="0.39997558519241921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otted">
        <color theme="6" tint="0.59999389629810485"/>
      </left>
      <right style="dotted">
        <color theme="6" tint="0.59999389629810485"/>
      </right>
      <top/>
      <bottom/>
      <diagonal/>
    </border>
    <border>
      <left style="thin">
        <color theme="9" tint="-0.499984740745262"/>
      </left>
      <right style="dotted">
        <color theme="6" tint="0.59999389629810485"/>
      </right>
      <top style="thin">
        <color theme="9" tint="-0.499984740745262"/>
      </top>
      <bottom/>
      <diagonal/>
    </border>
    <border>
      <left style="dotted">
        <color theme="6" tint="0.59999389629810485"/>
      </left>
      <right style="dotted">
        <color theme="6" tint="0.59999389629810485"/>
      </right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</borders>
  <cellStyleXfs count="21">
    <xf numFmtId="0" fontId="0" fillId="0" borderId="0"/>
    <xf numFmtId="9" fontId="12" fillId="0" borderId="0" applyFill="0" applyBorder="0" applyProtection="0">
      <alignment horizontal="right"/>
    </xf>
    <xf numFmtId="0" fontId="6" fillId="0" borderId="0" applyNumberFormat="0" applyFill="0" applyBorder="0" applyProtection="0">
      <alignment vertical="center"/>
    </xf>
    <xf numFmtId="0" fontId="13" fillId="0" borderId="3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2" fillId="0" borderId="0" applyFill="0" applyBorder="0" applyAlignment="0" applyProtection="0"/>
    <xf numFmtId="0" fontId="1" fillId="4" borderId="1" applyNumberFormat="0" applyFont="0" applyAlignment="0" applyProtection="0"/>
    <xf numFmtId="0" fontId="2" fillId="2" borderId="0">
      <alignment horizontal="right" vertical="center" indent="1"/>
    </xf>
    <xf numFmtId="42" fontId="10" fillId="2" borderId="0" applyBorder="0" applyAlignment="0" applyProtection="0"/>
    <xf numFmtId="9" fontId="10" fillId="2" borderId="0" applyBorder="0" applyAlignment="0" applyProtection="0"/>
    <xf numFmtId="0" fontId="1" fillId="0" borderId="0">
      <alignment horizontal="right" wrapText="1" indent="1"/>
    </xf>
    <xf numFmtId="0" fontId="14" fillId="0" borderId="0" applyFill="0" applyProtection="0">
      <alignment horizontal="right" vertical="center"/>
    </xf>
    <xf numFmtId="0" fontId="3" fillId="0" borderId="0" applyFill="0" applyProtection="0">
      <alignment horizontal="right" vertical="center"/>
    </xf>
    <xf numFmtId="165" fontId="11" fillId="0" borderId="2" applyFill="0" applyProtection="0">
      <alignment horizontal="center" vertical="center"/>
    </xf>
    <xf numFmtId="0" fontId="7" fillId="0" borderId="0">
      <alignment horizontal="right" indent="1"/>
    </xf>
    <xf numFmtId="42" fontId="1" fillId="5" borderId="4" applyNumberFormat="0" applyFont="0" applyAlignment="0">
      <alignment horizontal="center"/>
    </xf>
    <xf numFmtId="42" fontId="12" fillId="3" borderId="4" applyNumberFormat="0" applyFont="0" applyAlignment="0"/>
    <xf numFmtId="42" fontId="12" fillId="6" borderId="4" applyNumberFormat="0" applyFont="0" applyAlignment="0"/>
    <xf numFmtId="0" fontId="34" fillId="0" borderId="0">
      <alignment wrapText="1"/>
    </xf>
    <xf numFmtId="0" fontId="35" fillId="0" borderId="0" applyNumberFormat="0" applyFill="0" applyBorder="0" applyAlignment="0" applyProtection="0">
      <alignment wrapText="1"/>
    </xf>
  </cellStyleXfs>
  <cellXfs count="112">
    <xf numFmtId="0" fontId="0" fillId="0" borderId="0" xfId="0"/>
    <xf numFmtId="169" fontId="0" fillId="0" borderId="0" xfId="0" applyNumberFormat="1"/>
    <xf numFmtId="169" fontId="25" fillId="0" borderId="5" xfId="12" applyNumberFormat="1" applyFont="1" applyBorder="1" applyAlignment="1">
      <alignment horizontal="left" vertical="center"/>
    </xf>
    <xf numFmtId="169" fontId="0" fillId="0" borderId="5" xfId="0" applyNumberFormat="1" applyBorder="1"/>
    <xf numFmtId="169" fontId="31" fillId="0" borderId="0" xfId="3" applyNumberFormat="1" applyFont="1" applyBorder="1">
      <alignment vertical="center"/>
    </xf>
    <xf numFmtId="169" fontId="32" fillId="0" borderId="0" xfId="0" applyNumberFormat="1" applyFont="1"/>
    <xf numFmtId="169" fontId="33" fillId="0" borderId="0" xfId="13" applyNumberFormat="1" applyFont="1" applyAlignment="1">
      <alignment horizontal="right" vertical="center"/>
    </xf>
    <xf numFmtId="169" fontId="33" fillId="0" borderId="0" xfId="13" applyNumberFormat="1" applyFont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9" fontId="8" fillId="0" borderId="0" xfId="0" applyNumberFormat="1" applyFont="1" applyBorder="1" applyAlignment="1">
      <alignment horizontal="right" vertical="center"/>
    </xf>
    <xf numFmtId="169" fontId="14" fillId="0" borderId="0" xfId="12" applyNumberFormat="1">
      <alignment horizontal="right" vertical="center"/>
    </xf>
    <xf numFmtId="169" fontId="24" fillId="0" borderId="5" xfId="2" applyNumberFormat="1" applyFont="1" applyBorder="1" applyAlignment="1">
      <alignment vertical="center"/>
    </xf>
    <xf numFmtId="169" fontId="5" fillId="0" borderId="5" xfId="0" applyNumberFormat="1" applyFont="1" applyBorder="1" applyAlignment="1">
      <alignment vertical="center"/>
    </xf>
    <xf numFmtId="169" fontId="9" fillId="0" borderId="5" xfId="0" applyNumberFormat="1" applyFont="1" applyBorder="1"/>
    <xf numFmtId="169" fontId="15" fillId="0" borderId="0" xfId="2" applyNumberFormat="1" applyFont="1" applyBorder="1" applyAlignment="1">
      <alignment vertical="center"/>
    </xf>
    <xf numFmtId="169" fontId="0" fillId="0" borderId="0" xfId="0" applyNumberFormat="1" applyBorder="1"/>
    <xf numFmtId="169" fontId="5" fillId="0" borderId="0" xfId="0" applyNumberFormat="1" applyFont="1" applyBorder="1" applyAlignment="1">
      <alignment vertical="center"/>
    </xf>
    <xf numFmtId="169" fontId="9" fillId="0" borderId="0" xfId="0" applyNumberFormat="1" applyFont="1"/>
    <xf numFmtId="169" fontId="18" fillId="0" borderId="32" xfId="0" applyNumberFormat="1" applyFont="1" applyBorder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169" fontId="18" fillId="0" borderId="41" xfId="0" applyNumberFormat="1" applyFont="1" applyBorder="1" applyAlignment="1">
      <alignment horizontal="center" vertical="center"/>
    </xf>
    <xf numFmtId="169" fontId="18" fillId="0" borderId="33" xfId="0" applyNumberFormat="1" applyFont="1" applyBorder="1" applyAlignment="1">
      <alignment horizontal="center" vertical="center"/>
    </xf>
    <xf numFmtId="169" fontId="18" fillId="0" borderId="34" xfId="0" applyNumberFormat="1" applyFont="1" applyBorder="1" applyAlignment="1">
      <alignment horizontal="center" vertical="center"/>
    </xf>
    <xf numFmtId="169" fontId="18" fillId="0" borderId="35" xfId="0" applyNumberFormat="1" applyFont="1" applyBorder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169" fontId="17" fillId="0" borderId="0" xfId="0" applyNumberFormat="1" applyFont="1"/>
    <xf numFmtId="169" fontId="17" fillId="0" borderId="42" xfId="0" applyNumberFormat="1" applyFont="1" applyBorder="1"/>
    <xf numFmtId="169" fontId="17" fillId="0" borderId="36" xfId="0" applyNumberFormat="1" applyFont="1" applyBorder="1"/>
    <xf numFmtId="169" fontId="17" fillId="0" borderId="0" xfId="0" applyNumberFormat="1" applyFont="1" applyBorder="1"/>
    <xf numFmtId="169" fontId="17" fillId="0" borderId="37" xfId="0" applyNumberFormat="1" applyFont="1" applyFill="1" applyBorder="1" applyAlignment="1">
      <alignment wrapText="1"/>
    </xf>
    <xf numFmtId="169" fontId="0" fillId="0" borderId="0" xfId="0" applyNumberFormat="1" applyAlignment="1">
      <alignment horizontal="right" vertical="center" wrapText="1"/>
    </xf>
    <xf numFmtId="169" fontId="0" fillId="0" borderId="0" xfId="0" applyNumberFormat="1" applyAlignment="1">
      <alignment vertical="center"/>
    </xf>
    <xf numFmtId="169" fontId="0" fillId="0" borderId="42" xfId="0" applyNumberFormat="1" applyBorder="1" applyAlignment="1">
      <alignment vertical="center"/>
    </xf>
    <xf numFmtId="169" fontId="12" fillId="0" borderId="0" xfId="1" applyNumberFormat="1" applyAlignment="1">
      <alignment horizontal="right" vertical="center"/>
    </xf>
    <xf numFmtId="169" fontId="12" fillId="0" borderId="36" xfId="1" applyNumberFormat="1" applyBorder="1" applyAlignment="1">
      <alignment horizontal="right" vertical="center"/>
    </xf>
    <xf numFmtId="169" fontId="12" fillId="0" borderId="0" xfId="1" applyNumberFormat="1" applyBorder="1" applyAlignment="1">
      <alignment horizontal="right" vertical="center"/>
    </xf>
    <xf numFmtId="169" fontId="12" fillId="0" borderId="37" xfId="1" applyNumberFormat="1" applyBorder="1" applyAlignment="1">
      <alignment horizontal="right" vertical="center"/>
    </xf>
    <xf numFmtId="169" fontId="0" fillId="0" borderId="0" xfId="0" applyNumberFormat="1" applyAlignment="1">
      <alignment vertical="center" shrinkToFit="1"/>
    </xf>
    <xf numFmtId="169" fontId="0" fillId="0" borderId="42" xfId="0" applyNumberFormat="1" applyBorder="1" applyAlignment="1">
      <alignment vertical="center" shrinkToFit="1"/>
    </xf>
    <xf numFmtId="169" fontId="0" fillId="0" borderId="0" xfId="0" applyNumberFormat="1" applyAlignment="1"/>
    <xf numFmtId="169" fontId="0" fillId="0" borderId="0" xfId="0" applyNumberFormat="1" applyFont="1"/>
    <xf numFmtId="169" fontId="0" fillId="0" borderId="43" xfId="0" applyNumberFormat="1" applyBorder="1" applyAlignment="1">
      <alignment vertical="center" shrinkToFit="1"/>
    </xf>
    <xf numFmtId="169" fontId="12" fillId="0" borderId="38" xfId="1" applyNumberFormat="1" applyBorder="1" applyAlignment="1">
      <alignment horizontal="right" vertical="center"/>
    </xf>
    <xf numFmtId="169" fontId="12" fillId="0" borderId="39" xfId="1" applyNumberFormat="1" applyBorder="1" applyAlignment="1">
      <alignment horizontal="right" vertical="center"/>
    </xf>
    <xf numFmtId="169" fontId="12" fillId="0" borderId="40" xfId="1" applyNumberFormat="1" applyBorder="1" applyAlignment="1">
      <alignment horizontal="right" vertical="center"/>
    </xf>
    <xf numFmtId="169" fontId="19" fillId="8" borderId="0" xfId="8" applyNumberFormat="1" applyFont="1" applyFill="1">
      <alignment horizontal="right" vertical="center" indent="1"/>
    </xf>
    <xf numFmtId="169" fontId="2" fillId="8" borderId="0" xfId="8" applyNumberFormat="1" applyFill="1">
      <alignment horizontal="right" vertical="center" indent="1"/>
    </xf>
    <xf numFmtId="169" fontId="10" fillId="8" borderId="0" xfId="9" applyNumberFormat="1" applyFill="1" applyAlignment="1">
      <alignment horizontal="right" vertical="center" indent="1"/>
    </xf>
    <xf numFmtId="169" fontId="2" fillId="0" borderId="0" xfId="8" applyNumberFormat="1" applyFill="1">
      <alignment horizontal="right" vertical="center" indent="1"/>
    </xf>
    <xf numFmtId="169" fontId="10" fillId="8" borderId="0" xfId="10" applyNumberFormat="1" applyFill="1" applyAlignment="1">
      <alignment horizontal="right" vertical="center" indent="1"/>
    </xf>
    <xf numFmtId="169" fontId="29" fillId="0" borderId="0" xfId="3" applyNumberFormat="1" applyFont="1" applyBorder="1">
      <alignment vertical="center"/>
    </xf>
    <xf numFmtId="169" fontId="21" fillId="0" borderId="0" xfId="0" applyNumberFormat="1" applyFont="1"/>
    <xf numFmtId="169" fontId="30" fillId="0" borderId="0" xfId="13" applyNumberFormat="1" applyFont="1" applyAlignment="1">
      <alignment horizontal="right" vertical="center"/>
    </xf>
    <xf numFmtId="169" fontId="30" fillId="0" borderId="0" xfId="13" applyNumberFormat="1" applyFont="1" applyAlignment="1">
      <alignment horizontal="center" vertical="center" wrapText="1"/>
    </xf>
    <xf numFmtId="169" fontId="5" fillId="0" borderId="6" xfId="0" applyNumberFormat="1" applyFont="1" applyBorder="1" applyAlignment="1">
      <alignment vertical="center"/>
    </xf>
    <xf numFmtId="169" fontId="0" fillId="0" borderId="6" xfId="0" applyNumberFormat="1" applyBorder="1"/>
    <xf numFmtId="169" fontId="3" fillId="0" borderId="0" xfId="13" applyNumberFormat="1">
      <alignment horizontal="right" vertical="center"/>
    </xf>
    <xf numFmtId="169" fontId="16" fillId="7" borderId="24" xfId="14" applyNumberFormat="1" applyFont="1" applyFill="1" applyBorder="1">
      <alignment horizontal="center" vertical="center"/>
    </xf>
    <xf numFmtId="169" fontId="16" fillId="7" borderId="0" xfId="14" applyNumberFormat="1" applyFont="1" applyFill="1" applyBorder="1">
      <alignment horizontal="center" vertical="center"/>
    </xf>
    <xf numFmtId="169" fontId="16" fillId="7" borderId="25" xfId="14" applyNumberFormat="1" applyFont="1" applyFill="1" applyBorder="1">
      <alignment horizontal="center" vertical="center"/>
    </xf>
    <xf numFmtId="169" fontId="16" fillId="7" borderId="28" xfId="14" applyNumberFormat="1" applyFont="1" applyFill="1" applyBorder="1">
      <alignment horizontal="center" vertical="center"/>
    </xf>
    <xf numFmtId="169" fontId="16" fillId="7" borderId="29" xfId="14" applyNumberFormat="1" applyFont="1" applyFill="1" applyBorder="1">
      <alignment horizontal="center" vertical="center"/>
    </xf>
    <xf numFmtId="169" fontId="16" fillId="7" borderId="30" xfId="14" applyNumberFormat="1" applyFont="1" applyFill="1" applyBorder="1">
      <alignment horizontal="center" vertical="center"/>
    </xf>
    <xf numFmtId="169" fontId="22" fillId="0" borderId="0" xfId="15" applyNumberFormat="1" applyFont="1" applyBorder="1" applyAlignment="1">
      <alignment horizontal="center" vertical="center"/>
    </xf>
    <xf numFmtId="169" fontId="22" fillId="0" borderId="0" xfId="15" applyNumberFormat="1" applyFont="1" applyAlignment="1">
      <alignment horizontal="center" vertical="center"/>
    </xf>
    <xf numFmtId="169" fontId="0" fillId="0" borderId="0" xfId="0" applyNumberFormat="1" applyFont="1" applyFill="1" applyBorder="1" applyAlignment="1">
      <alignment horizontal="center"/>
    </xf>
    <xf numFmtId="169" fontId="0" fillId="0" borderId="26" xfId="0" applyNumberFormat="1" applyFont="1" applyFill="1" applyBorder="1" applyAlignment="1">
      <alignment horizontal="center"/>
    </xf>
    <xf numFmtId="169" fontId="0" fillId="0" borderId="20" xfId="0" applyNumberFormat="1" applyFont="1" applyFill="1" applyBorder="1" applyAlignment="1">
      <alignment horizontal="center"/>
    </xf>
    <xf numFmtId="169" fontId="0" fillId="0" borderId="19" xfId="0" applyNumberFormat="1" applyFont="1" applyFill="1" applyBorder="1" applyAlignment="1">
      <alignment horizontal="center"/>
    </xf>
    <xf numFmtId="169" fontId="1" fillId="0" borderId="0" xfId="11" applyNumberFormat="1" applyBorder="1" applyAlignment="1">
      <alignment horizontal="right" vertical="center" wrapText="1" indent="1"/>
    </xf>
    <xf numFmtId="169" fontId="4" fillId="0" borderId="0" xfId="16" applyNumberFormat="1" applyFont="1" applyFill="1" applyBorder="1" applyAlignment="1">
      <alignment horizontal="center" vertical="center"/>
    </xf>
    <xf numFmtId="169" fontId="12" fillId="0" borderId="0" xfId="6" applyNumberFormat="1" applyFill="1" applyBorder="1" applyAlignment="1">
      <alignment vertical="center"/>
    </xf>
    <xf numFmtId="169" fontId="12" fillId="0" borderId="26" xfId="6" applyNumberFormat="1" applyFill="1" applyBorder="1" applyAlignment="1">
      <alignment horizontal="center" vertical="center"/>
    </xf>
    <xf numFmtId="169" fontId="12" fillId="0" borderId="0" xfId="1" applyNumberFormat="1" applyFill="1" applyBorder="1" applyAlignment="1">
      <alignment horizontal="right" vertical="center"/>
    </xf>
    <xf numFmtId="169" fontId="12" fillId="0" borderId="20" xfId="1" applyNumberFormat="1" applyFill="1" applyBorder="1" applyAlignment="1">
      <alignment horizontal="right" vertical="center"/>
    </xf>
    <xf numFmtId="169" fontId="12" fillId="0" borderId="19" xfId="1" applyNumberFormat="1" applyFill="1" applyBorder="1" applyAlignment="1">
      <alignment horizontal="right" vertical="center"/>
    </xf>
    <xf numFmtId="169" fontId="0" fillId="0" borderId="0" xfId="0" applyNumberFormat="1" applyFont="1" applyFill="1" applyBorder="1" applyAlignment="1">
      <alignment horizontal="right" vertical="center" wrapText="1" indent="1"/>
    </xf>
    <xf numFmtId="169" fontId="0" fillId="0" borderId="0" xfId="0" applyNumberFormat="1" applyFont="1" applyFill="1" applyBorder="1"/>
    <xf numFmtId="169" fontId="0" fillId="0" borderId="0" xfId="0" applyNumberFormat="1" applyFont="1" applyFill="1" applyBorder="1" applyAlignment="1">
      <alignment vertical="center" shrinkToFit="1"/>
    </xf>
    <xf numFmtId="169" fontId="0" fillId="0" borderId="27" xfId="0" applyNumberFormat="1" applyFont="1" applyFill="1" applyBorder="1" applyAlignment="1">
      <alignment vertical="center" shrinkToFit="1"/>
    </xf>
    <xf numFmtId="169" fontId="0" fillId="0" borderId="0" xfId="0" applyNumberFormat="1" applyFont="1" applyFill="1" applyBorder="1" applyAlignment="1">
      <alignment horizontal="right" vertical="center" shrinkToFit="1"/>
    </xf>
    <xf numFmtId="169" fontId="0" fillId="0" borderId="21" xfId="0" applyNumberFormat="1" applyFont="1" applyFill="1" applyBorder="1" applyAlignment="1">
      <alignment horizontal="right" vertical="center" shrinkToFit="1"/>
    </xf>
    <xf numFmtId="169" fontId="0" fillId="0" borderId="22" xfId="0" applyNumberFormat="1" applyFont="1" applyFill="1" applyBorder="1" applyAlignment="1">
      <alignment horizontal="right" vertical="center" shrinkToFit="1"/>
    </xf>
    <xf numFmtId="169" fontId="0" fillId="0" borderId="23" xfId="0" applyNumberFormat="1" applyBorder="1" applyAlignment="1">
      <alignment vertical="center" shrinkToFit="1"/>
    </xf>
    <xf numFmtId="169" fontId="0" fillId="0" borderId="0" xfId="0" applyNumberFormat="1" applyFill="1" applyBorder="1"/>
    <xf numFmtId="169" fontId="2" fillId="2" borderId="31" xfId="8" applyNumberFormat="1" applyBorder="1">
      <alignment horizontal="right" vertical="center" indent="1"/>
    </xf>
    <xf numFmtId="169" fontId="2" fillId="2" borderId="0" xfId="8" applyNumberFormat="1">
      <alignment horizontal="right" vertical="center" indent="1"/>
    </xf>
    <xf numFmtId="169" fontId="10" fillId="2" borderId="31" xfId="9" applyNumberFormat="1" applyFill="1" applyBorder="1" applyAlignment="1">
      <alignment horizontal="right" vertical="center" indent="1"/>
    </xf>
    <xf numFmtId="169" fontId="10" fillId="2" borderId="31" xfId="10" applyNumberFormat="1" applyFill="1" applyBorder="1" applyAlignment="1">
      <alignment vertical="center"/>
    </xf>
    <xf numFmtId="169" fontId="26" fillId="0" borderId="0" xfId="3" applyNumberFormat="1" applyFont="1" applyBorder="1">
      <alignment vertical="center"/>
    </xf>
    <xf numFmtId="169" fontId="27" fillId="0" borderId="0" xfId="0" applyNumberFormat="1" applyFont="1"/>
    <xf numFmtId="169" fontId="28" fillId="0" borderId="0" xfId="13" applyNumberFormat="1" applyFont="1" applyAlignment="1">
      <alignment horizontal="right" vertical="center"/>
    </xf>
    <xf numFmtId="169" fontId="28" fillId="0" borderId="0" xfId="13" applyNumberFormat="1" applyFont="1" applyAlignment="1">
      <alignment horizontal="center" vertical="center" wrapText="1"/>
    </xf>
    <xf numFmtId="169" fontId="16" fillId="7" borderId="16" xfId="14" applyNumberFormat="1" applyFont="1" applyFill="1" applyBorder="1">
      <alignment horizontal="center" vertical="center"/>
    </xf>
    <xf numFmtId="169" fontId="16" fillId="7" borderId="12" xfId="14" applyNumberFormat="1" applyFont="1" applyFill="1" applyBorder="1">
      <alignment horizontal="center" vertical="center"/>
    </xf>
    <xf numFmtId="169" fontId="16" fillId="7" borderId="7" xfId="14" applyNumberFormat="1" applyFont="1" applyFill="1" applyBorder="1">
      <alignment horizontal="center" vertical="center"/>
    </xf>
    <xf numFmtId="169" fontId="16" fillId="7" borderId="17" xfId="14" applyNumberFormat="1" applyFont="1" applyFill="1" applyBorder="1">
      <alignment horizontal="center" vertical="center"/>
    </xf>
    <xf numFmtId="169" fontId="16" fillId="7" borderId="18" xfId="14" applyNumberFormat="1" applyFont="1" applyFill="1" applyBorder="1">
      <alignment horizontal="center" vertical="center"/>
    </xf>
    <xf numFmtId="169" fontId="16" fillId="7" borderId="10" xfId="14" applyNumberFormat="1" applyFont="1" applyFill="1" applyBorder="1">
      <alignment horizontal="center" vertical="center"/>
    </xf>
    <xf numFmtId="169" fontId="20" fillId="0" borderId="0" xfId="15" applyNumberFormat="1" applyFont="1" applyBorder="1" applyAlignment="1">
      <alignment horizontal="center" vertical="center"/>
    </xf>
    <xf numFmtId="169" fontId="20" fillId="0" borderId="0" xfId="15" applyNumberFormat="1" applyFont="1" applyAlignment="1">
      <alignment horizontal="center" vertical="center"/>
    </xf>
    <xf numFmtId="169" fontId="0" fillId="0" borderId="8" xfId="0" applyNumberFormat="1" applyFont="1" applyFill="1" applyBorder="1" applyAlignment="1">
      <alignment horizontal="center"/>
    </xf>
    <xf numFmtId="169" fontId="0" fillId="0" borderId="11" xfId="0" applyNumberFormat="1" applyFont="1" applyFill="1" applyBorder="1" applyAlignment="1">
      <alignment horizontal="center"/>
    </xf>
    <xf numFmtId="169" fontId="0" fillId="0" borderId="12" xfId="0" applyNumberFormat="1" applyFont="1" applyFill="1" applyBorder="1" applyAlignment="1">
      <alignment horizontal="center"/>
    </xf>
    <xf numFmtId="169" fontId="12" fillId="0" borderId="8" xfId="6" applyNumberFormat="1" applyFill="1" applyBorder="1" applyAlignment="1">
      <alignment horizontal="center" vertical="center"/>
    </xf>
    <xf numFmtId="169" fontId="12" fillId="0" borderId="11" xfId="1" applyNumberFormat="1" applyFill="1" applyBorder="1" applyAlignment="1">
      <alignment horizontal="right" vertical="center"/>
    </xf>
    <xf numFmtId="169" fontId="12" fillId="0" borderId="12" xfId="1" applyNumberFormat="1" applyFill="1" applyBorder="1" applyAlignment="1">
      <alignment horizontal="right" vertical="center"/>
    </xf>
    <xf numFmtId="169" fontId="0" fillId="0" borderId="0" xfId="0" applyNumberFormat="1" applyFont="1" applyFill="1" applyBorder="1" applyAlignment="1">
      <alignment horizontal="right" vertical="center" indent="1"/>
    </xf>
    <xf numFmtId="169" fontId="0" fillId="0" borderId="9" xfId="0" applyNumberFormat="1" applyFont="1" applyFill="1" applyBorder="1" applyAlignment="1">
      <alignment vertical="center" shrinkToFit="1"/>
    </xf>
    <xf numFmtId="169" fontId="0" fillId="0" borderId="13" xfId="0" applyNumberFormat="1" applyFont="1" applyFill="1" applyBorder="1" applyAlignment="1">
      <alignment horizontal="right" vertical="center" shrinkToFit="1"/>
    </xf>
    <xf numFmtId="169" fontId="0" fillId="0" borderId="14" xfId="0" applyNumberFormat="1" applyFont="1" applyFill="1" applyBorder="1" applyAlignment="1">
      <alignment horizontal="right" vertical="center" shrinkToFit="1"/>
    </xf>
    <xf numFmtId="169" fontId="0" fillId="0" borderId="15" xfId="0" applyNumberFormat="1" applyBorder="1" applyAlignment="1">
      <alignment vertical="center" shrinkToFit="1"/>
    </xf>
  </cellXfs>
  <cellStyles count="21">
    <cellStyle name="Comma" xfId="4" builtinId="3" customBuiltin="1"/>
    <cellStyle name="Comma [0]" xfId="5" builtinId="6" customBuiltin="1"/>
    <cellStyle name="Cost of Sales fill" xfId="17"/>
    <cellStyle name="Currency [0]" xfId="6" builtinId="7" customBuiltin="1"/>
    <cellStyle name="Expenses fill" xfId="18"/>
    <cellStyle name="Heading 1" xfId="3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 2" xfId="20"/>
    <cellStyle name="Normal" xfId="0" builtinId="0" customBuiltin="1"/>
    <cellStyle name="Normal 2" xfId="19"/>
    <cellStyle name="Note" xfId="7" builtinId="10" customBuiltin="1"/>
    <cellStyle name="Percent" xfId="1" builtinId="5" customBuiltin="1"/>
    <cellStyle name="Profit" xfId="8"/>
    <cellStyle name="Profit Amount" xfId="9"/>
    <cellStyle name="Profit Percent" xfId="10"/>
    <cellStyle name="Revenue fill" xfId="16"/>
    <cellStyle name="Table Details" xfId="11"/>
    <cellStyle name="Table Heading 1" xfId="15"/>
    <cellStyle name="Title" xfId="2" builtinId="15" customBuiltin="1"/>
  </cellStyles>
  <dxfs count="203">
    <dxf>
      <numFmt numFmtId="169" formatCode="_([$$-409]* #,##0.00_);_([$$-409]* \(#,##0.00\);_([$$-409]* &quot;-&quot;??_);_(@_)"/>
      <alignment vertical="center" textRotation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  <border diagonalUp="0" diagonalDown="0" outline="0">
        <left/>
        <right style="thin">
          <color theme="5" tint="-0.249977111117893"/>
        </right>
        <top/>
        <bottom/>
      </border>
    </dxf>
    <dxf>
      <numFmt numFmtId="169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theme="5" tint="-0.249977111117893"/>
        </left>
        <top/>
        <bottom/>
      </border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5" tint="-0.249977111117893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 style="thin">
          <color theme="5" tint="-0.249977111117893"/>
        </bottom>
      </border>
    </dxf>
    <dxf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numFmt numFmtId="169" formatCode="_([$$-409]* #,##0.00_);_([$$-409]* \(#,##0.00\);_([$$-409]* &quot;-&quot;??_);_(@_)"/>
      <alignment horizontal="right" vertical="center" textRotation="0" wrapText="1" indent="1" justifyLastLine="0" shrinkToFit="0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9" formatCode="_([$$-409]* #,##0.00_);_([$$-409]* \(#,##0.00\);_([$$-409]* &quot;-&quot;??_);_(@_)"/>
      <alignment horizontal="right" vertical="center" textRotation="0" wrapText="0" indent="0" justifyLastLine="0" shrinkToFit="0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  <border diagonalUp="0" diagonalDown="0" outline="0">
        <left style="thin">
          <color theme="4" tint="-0.249977111117893"/>
        </left>
        <right/>
        <top/>
        <bottom/>
      </border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4" tint="-0.24997711111789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outline="0">
        <left style="thin">
          <color theme="4" tint="-0.249977111117893"/>
        </left>
      </border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outline="0">
        <right style="thin">
          <color theme="4" tint="-0.249977111117893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inor"/>
      </font>
      <numFmt numFmtId="169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right" vertical="center" textRotation="0" wrapText="1" indent="1" justifyLastLine="0" shrinkToFit="0" readingOrder="0"/>
    </dxf>
    <dxf>
      <numFmt numFmtId="169" formatCode="_([$$-409]* #,##0.00_);_([$$-409]* \(#,##0.00\);_([$$-409]* &quot;-&quot;??_);_(@_)"/>
      <alignment horizontal="right" vertical="center" textRotation="0" wrapText="1" indent="1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border diagonalUp="0" diagonalDown="0" outline="0">
        <left/>
        <right style="thin">
          <color theme="6" tint="-0.249977111117893"/>
        </right>
        <top/>
        <bottom/>
      </border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theme="6" tint="-0.249977111117893"/>
        </right>
        <top/>
        <bottom/>
      </border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border diagonalUp="0" diagonalDown="0" outline="0">
        <left style="thin">
          <color theme="9" tint="-0.499984740745262"/>
        </left>
        <right/>
        <top/>
        <bottom/>
      </border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/>
        <top/>
        <bottom/>
      </border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1" readingOrder="0"/>
    </dxf>
    <dxf>
      <numFmt numFmtId="169" formatCode="_([$$-409]* #,##0.00_);_([$$-409]* \(#,##0.00\);_([$$-409]* &quot;-&quot;??_);_(@_)"/>
      <alignment vertical="center" textRotation="0" wrapText="0" indent="0" justifyLastLine="0" shrinkToFit="0" readingOrder="0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</dxf>
    <dxf>
      <numFmt numFmtId="169" formatCode="_([$$-409]* #,##0.00_);_([$$-409]* \(#,##0.00\);_([$$-409]* &quot;-&quot;??_);_(@_)"/>
      <alignment horizontal="general" vertical="center" textRotation="0" wrapText="0" indent="0" justifyLastLine="0" shrinkToFit="0" readingOrder="0"/>
    </dxf>
    <dxf>
      <numFmt numFmtId="169" formatCode="_([$$-409]* #,##0.00_);_([$$-409]* \(#,##0.00\);_([$$-409]* &quot;-&quot;??_);_(@_)"/>
      <alignment horizontal="right" vertical="center" textRotation="0" wrapText="1" indent="0" justifyLastLine="0" shrinkToFit="0" readingOrder="0"/>
    </dxf>
    <dxf>
      <border outline="0">
        <right style="thin">
          <color theme="5" tint="-0.249977111117893"/>
        </right>
      </border>
    </dxf>
    <dxf>
      <fill>
        <patternFill>
          <bgColor theme="4" tint="0.79998168889431442"/>
        </patternFill>
      </fill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border>
        <left style="dotted">
          <color theme="4" tint="0.39994506668294322"/>
        </left>
        <right style="dotted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dotted">
          <color theme="4" tint="0.39994506668294322"/>
        </vertical>
        <horizontal style="thin">
          <color theme="4" tint="0.39994506668294322"/>
        </horizontal>
      </border>
    </dxf>
    <dxf>
      <font>
        <b/>
        <i val="0"/>
        <color theme="1"/>
      </font>
      <fill>
        <patternFill patternType="solid">
          <bgColor theme="4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 style="thin">
          <color theme="4" tint="0.39994506668294322"/>
        </bottom>
        <vertical style="dotted">
          <color theme="4" tint="0.39994506668294322"/>
        </vertical>
        <horizontal/>
      </border>
    </dxf>
    <dxf>
      <fill>
        <patternFill>
          <bgColor theme="5" tint="0.79998168889431442"/>
        </patternFill>
      </fill>
      <border>
        <left style="dotted">
          <color theme="5" tint="0.39991454817346722"/>
        </left>
        <right style="dotted">
          <color theme="5" tint="0.39991454817346722"/>
        </right>
        <top style="thin">
          <color theme="5" tint="0.39994506668294322"/>
        </top>
        <bottom style="thin">
          <color theme="5" tint="0.39994506668294322"/>
        </bottom>
        <vertical style="dotted">
          <color theme="5" tint="0.39994506668294322"/>
        </vertical>
        <horizontal style="thin">
          <color theme="5" tint="0.39994506668294322"/>
        </horizontal>
      </border>
    </dxf>
    <dxf>
      <border>
        <left style="dotted">
          <color theme="5" tint="0.39988402966399123"/>
        </left>
        <right style="dotted">
          <color theme="5" tint="0.39991454817346722"/>
        </right>
        <top style="thin">
          <color theme="5" tint="0.39991454817346722"/>
        </top>
        <bottom style="thin">
          <color theme="5" tint="0.39994506668294322"/>
        </bottom>
        <vertical style="dotted">
          <color theme="5" tint="0.39991454817346722"/>
        </vertical>
        <horizontal style="thin">
          <color theme="5" tint="0.39991454817346722"/>
        </horizontal>
      </border>
    </dxf>
    <dxf>
      <font>
        <b/>
        <i val="0"/>
        <color theme="1"/>
      </font>
      <fill>
        <patternFill patternType="solid">
          <bgColor theme="5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5" tint="0.39991454817346722"/>
        </left>
        <right style="dotted">
          <color theme="5" tint="0.39991454817346722"/>
        </right>
        <top/>
        <bottom style="thin">
          <color theme="5" tint="0.39994506668294322"/>
        </bottom>
        <vertical style="dotted">
          <color theme="5" tint="0.39991454817346722"/>
        </vertical>
        <horizontal/>
      </border>
    </dxf>
    <dxf>
      <border>
        <vertical/>
        <horizontal/>
      </border>
    </dxf>
    <dxf>
      <fill>
        <patternFill>
          <bgColor theme="9" tint="0.59996337778862885"/>
        </patternFill>
      </fill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border>
        <left style="dotted">
          <color theme="9" tint="0.39994506668294322"/>
        </left>
        <right style="dotted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dotted">
          <color theme="9" tint="0.39994506668294322"/>
        </vertical>
        <horizontal style="thin">
          <color theme="9" tint="0.39994506668294322"/>
        </horizontal>
      </border>
    </dxf>
    <dxf>
      <font>
        <b/>
        <i val="0"/>
        <color theme="1"/>
      </font>
      <fill>
        <patternFill patternType="solid">
          <bgColor theme="9" tint="0.39994506668294322"/>
        </patternFill>
      </fill>
      <border>
        <left style="dotted">
          <color theme="0"/>
        </left>
        <right style="dotted">
          <color theme="0"/>
        </right>
        <top style="dotted">
          <color theme="0"/>
        </top>
        <vertical style="dotted">
          <color theme="0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 style="dotted">
          <color theme="9" tint="0.39994506668294322"/>
        </left>
        <right style="dotted">
          <color theme="9" tint="0.39994506668294322"/>
        </right>
        <top/>
        <bottom style="thin">
          <color theme="9" tint="0.39994506668294322"/>
        </bottom>
        <vertical style="dotted">
          <color theme="9" tint="0.39994506668294322"/>
        </vertical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 style="thin">
          <color theme="6" tint="0.39994506668294322"/>
        </horizontal>
      </border>
    </dxf>
    <dxf>
      <border>
        <left/>
        <right style="dotted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dotted">
          <color theme="6" tint="0.39994506668294322"/>
        </vertical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>
        <vertical/>
        <horizontal/>
      </border>
    </dxf>
    <dxf>
      <font>
        <b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>
        <vertical/>
        <horizontal/>
      </border>
    </dxf>
  </dxfs>
  <tableStyles count="4" defaultTableStyle="Profit &amp; Loss Revenue" defaultPivotStyle="PivotStyleLight16">
    <tableStyle name="Profit &amp; Loss Expenses" pivot="0" count="5">
      <tableStyleElement type="wholeTable" dxfId="202"/>
      <tableStyleElement type="headerRow" dxfId="201"/>
      <tableStyleElement type="totalRow" dxfId="200"/>
      <tableStyleElement type="firstRowStripe" dxfId="199"/>
      <tableStyleElement type="secondRowStripe" dxfId="198"/>
    </tableStyle>
    <tableStyle name="Profit &amp; Loss Expenses 2" pivot="0" count="5">
      <tableStyleElement type="wholeTable" dxfId="197"/>
      <tableStyleElement type="headerRow" dxfId="196"/>
      <tableStyleElement type="totalRow" dxfId="195"/>
      <tableStyleElement type="firstRowStripe" dxfId="194"/>
      <tableStyleElement type="secondRowStripe" dxfId="193"/>
    </tableStyle>
    <tableStyle name="Profit &amp; Loss Revenue" pivot="0" count="5">
      <tableStyleElement type="wholeTable" dxfId="192"/>
      <tableStyleElement type="headerRow" dxfId="191"/>
      <tableStyleElement type="totalRow" dxfId="190"/>
      <tableStyleElement type="firstRowStripe" dxfId="189"/>
      <tableStyleElement type="secondRowStripe" dxfId="188"/>
    </tableStyle>
    <tableStyle name="Profit &amp; Loss Sales" pivot="0" count="4">
      <tableStyleElement type="headerRow" dxfId="187"/>
      <tableStyleElement type="totalRow" dxfId="186"/>
      <tableStyleElement type="firstRowStripe" dxfId="185"/>
      <tableStyleElement type="secondRowStripe" dxfId="1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the/Downloads/Templates-without-5-rows-and-author/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3" name="Revenue" displayName="Revenue" ref="B6:AD14" totalsRowCount="1" headerRowDxfId="2" dataDxfId="0" totalsRowDxfId="1">
  <autoFilter ref="B6:AD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REVENUES (SALES)" totalsRowLabel="TOTAL SALES" dataDxfId="60" totalsRowDxfId="59" dataCellStyle="Table Details"/>
    <tableColumn id="29" name="TREND" dataDxfId="58" totalsRowDxfId="57" dataCellStyle="Revenue fill"/>
    <tableColumn id="2" name="Jan" totalsRowFunction="sum" dataDxfId="56" totalsRowDxfId="55" dataCellStyle="Currency [0]"/>
    <tableColumn id="3" name="Feb" totalsRowFunction="sum" dataDxfId="54" totalsRowDxfId="53" dataCellStyle="Currency [0]"/>
    <tableColumn id="4" name="Mar" totalsRowFunction="sum" dataDxfId="52" totalsRowDxfId="51" dataCellStyle="Currency [0]"/>
    <tableColumn id="5" name="Apr" totalsRowFunction="sum" dataDxfId="50" totalsRowDxfId="49" dataCellStyle="Currency [0]"/>
    <tableColumn id="6" name="May" totalsRowFunction="sum" dataDxfId="48" totalsRowDxfId="47" dataCellStyle="Currency [0]"/>
    <tableColumn id="7" name="Jun" totalsRowFunction="sum" dataDxfId="46" totalsRowDxfId="45" dataCellStyle="Currency [0]"/>
    <tableColumn id="8" name="Jul" totalsRowFunction="sum" dataDxfId="44" totalsRowDxfId="43" dataCellStyle="Currency [0]"/>
    <tableColumn id="9" name="Aug" totalsRowFunction="sum" dataDxfId="42" totalsRowDxfId="41" dataCellStyle="Currency [0]"/>
    <tableColumn id="10" name="Sep" totalsRowFunction="sum" dataDxfId="40" totalsRowDxfId="39" dataCellStyle="Currency [0]"/>
    <tableColumn id="11" name="Oct" totalsRowFunction="sum" dataDxfId="38" totalsRowDxfId="37" dataCellStyle="Currency [0]"/>
    <tableColumn id="12" name="Nov" totalsRowFunction="sum" dataDxfId="36" totalsRowDxfId="35" dataCellStyle="Currency [0]"/>
    <tableColumn id="13" name="Dec" totalsRowFunction="sum" dataDxfId="34" totalsRowDxfId="33" dataCellStyle="Currency [0]"/>
    <tableColumn id="14" name="Yearly" totalsRowFunction="sum" dataDxfId="32" totalsRowDxfId="31" dataCellStyle="Currency [0]">
      <calculatedColumnFormula>SUM(Revenue[[#This Row],[Jan]:[Dec]])</calculatedColumnFormula>
    </tableColumn>
    <tableColumn id="15" name="Index %" totalsRowFunction="sum" dataDxfId="30" totalsRowDxfId="29"/>
    <tableColumn id="16" name="Jan %" totalsRowFunction="sum" dataDxfId="28" totalsRowDxfId="27">
      <calculatedColumnFormula>IFERROR(Revenue[[#This Row],[Jan]]/Revenue[[#Totals],[Jan]],"-")</calculatedColumnFormula>
    </tableColumn>
    <tableColumn id="17" name="Feb %" totalsRowFunction="sum" dataDxfId="26" totalsRowDxfId="25">
      <calculatedColumnFormula>IFERROR(Revenue[[#This Row],[Feb]]/Revenue[[#Totals],[Feb]],"-")</calculatedColumnFormula>
    </tableColumn>
    <tableColumn id="18" name="Mar %" totalsRowFunction="sum" dataDxfId="24" totalsRowDxfId="23">
      <calculatedColumnFormula>IFERROR(Revenue[[#This Row],[Mar]]/Revenue[[#Totals],[Mar]],"-")</calculatedColumnFormula>
    </tableColumn>
    <tableColumn id="19" name="Apr %" totalsRowFunction="sum" dataDxfId="22" totalsRowDxfId="21">
      <calculatedColumnFormula>IFERROR(Revenue[[#This Row],[Apr]]/Revenue[[#Totals],[Apr]],"-")</calculatedColumnFormula>
    </tableColumn>
    <tableColumn id="20" name="May %" totalsRowFunction="sum" dataDxfId="20" totalsRowDxfId="19">
      <calculatedColumnFormula>IFERROR(Revenue[[#This Row],[May]]/Revenue[[#Totals],[May]],"-")</calculatedColumnFormula>
    </tableColumn>
    <tableColumn id="21" name="Jun %" totalsRowFunction="sum" dataDxfId="18" totalsRowDxfId="17">
      <calculatedColumnFormula>IFERROR(Revenue[[#This Row],[Jun]]/Revenue[[#Totals],[Jun]],"-")</calculatedColumnFormula>
    </tableColumn>
    <tableColumn id="22" name="Jul %" totalsRowFunction="sum" dataDxfId="16" totalsRowDxfId="15">
      <calculatedColumnFormula>IFERROR(Revenue[[#This Row],[Jul]]/Revenue[[#Totals],[Jul]],"-")</calculatedColumnFormula>
    </tableColumn>
    <tableColumn id="23" name="Aug %" totalsRowFunction="sum" dataDxfId="14" totalsRowDxfId="13">
      <calculatedColumnFormula>IFERROR(Revenue[[#This Row],[Aug]]/Revenue[[#Totals],[Aug]],"-")</calculatedColumnFormula>
    </tableColumn>
    <tableColumn id="24" name="Sep %" totalsRowFunction="sum" dataDxfId="12" totalsRowDxfId="11">
      <calculatedColumnFormula>IFERROR(Revenue[[#This Row],[Sep]]/Revenue[[#Totals],[Sep]],"-")</calculatedColumnFormula>
    </tableColumn>
    <tableColumn id="25" name="Oct %" totalsRowFunction="sum" dataDxfId="10" totalsRowDxfId="9">
      <calculatedColumnFormula>IFERROR(Revenue[[#This Row],[Oct]]/Revenue[[#Totals],[Oct]],"-")</calculatedColumnFormula>
    </tableColumn>
    <tableColumn id="26" name="Nov %" totalsRowFunction="sum" dataDxfId="8" totalsRowDxfId="7">
      <calculatedColumnFormula>IFERROR(Revenue[[#This Row],[Nov]]/Revenue[[#Totals],[Nov]],"-")</calculatedColumnFormula>
    </tableColumn>
    <tableColumn id="27" name="Dec %" totalsRowFunction="sum" dataDxfId="6" totalsRowDxfId="5">
      <calculatedColumnFormula>IFERROR(Revenue[[#This Row],[Dec]]/Revenue[[#Totals],[Dec]],"-")</calculatedColumnFormula>
    </tableColumn>
    <tableColumn id="28" name="Year %" totalsRowFunction="sum" dataDxfId="4" totalsRowDxfId="3" dataCellStyle="Normal">
      <calculatedColumnFormula>IFERROR(Revenue[[#This Row],[Yearly]]/Revenue[[#Totals],[Yearly]],"-")</calculatedColumnFormula>
    </tableColumn>
  </tableColumns>
  <tableStyleInfo name="Profit &amp; Loss Revenue" showFirstColumn="0" showLastColumn="0" showRowStripes="1" showColumnStripes="0"/>
  <extLst>
    <ext xmlns:x14="http://schemas.microsoft.com/office/spreadsheetml/2009/9/main" uri="{504A1905-F514-4f6f-8877-14C23A59335A}">
      <x14:table altTextSummary="Summary of monthly sales, annual total, and monthly percentage for each revenue item"/>
    </ext>
  </extLst>
</table>
</file>

<file path=xl/tables/table2.xml><?xml version="1.0" encoding="utf-8"?>
<table xmlns="http://schemas.openxmlformats.org/spreadsheetml/2006/main" id="2" name="CostofSales" displayName="CostofSales" ref="B6:AD14" totalsRowCount="1" headerRowDxfId="63" dataDxfId="61" totalsRowDxfId="62" tableBorderDxfId="183">
  <tableColumns count="29">
    <tableColumn id="1" name="COST OF SALES" totalsRowLabel="TOTAL COST OF SALES" dataDxfId="121" totalsRowDxfId="120" dataCellStyle="Table Details"/>
    <tableColumn id="2" name="TREND" dataDxfId="119" totalsRowDxfId="118" dataCellStyle="Revenue fill"/>
    <tableColumn id="3" name="Jan" totalsRowFunction="sum" dataDxfId="117" totalsRowDxfId="116" dataCellStyle="Currency [0]"/>
    <tableColumn id="4" name="Feb" totalsRowFunction="sum" dataDxfId="115" totalsRowDxfId="114" dataCellStyle="Currency [0]"/>
    <tableColumn id="5" name="Mar" totalsRowFunction="sum" dataDxfId="113" totalsRowDxfId="112" dataCellStyle="Currency [0]"/>
    <tableColumn id="6" name="Apr" totalsRowFunction="sum" dataDxfId="111" totalsRowDxfId="110" dataCellStyle="Currency [0]"/>
    <tableColumn id="7" name="May" totalsRowFunction="sum" dataDxfId="109" totalsRowDxfId="108" dataCellStyle="Currency [0]"/>
    <tableColumn id="8" name="Jun" totalsRowFunction="sum" dataDxfId="107" totalsRowDxfId="106" dataCellStyle="Currency [0]"/>
    <tableColumn id="9" name="Jul" totalsRowFunction="sum" dataDxfId="105" totalsRowDxfId="104" dataCellStyle="Currency [0]"/>
    <tableColumn id="10" name="Aug" totalsRowFunction="sum" dataDxfId="103" totalsRowDxfId="102" dataCellStyle="Currency [0]"/>
    <tableColumn id="11" name="Sep" totalsRowFunction="sum" dataDxfId="101" totalsRowDxfId="100" dataCellStyle="Currency [0]"/>
    <tableColumn id="12" name="Oct" totalsRowFunction="sum" dataDxfId="99" totalsRowDxfId="98" dataCellStyle="Currency [0]"/>
    <tableColumn id="13" name="Nov" totalsRowFunction="sum" dataDxfId="97" totalsRowDxfId="96" dataCellStyle="Currency [0]"/>
    <tableColumn id="14" name="Dec" totalsRowFunction="sum" dataDxfId="95" totalsRowDxfId="94" dataCellStyle="Currency [0]"/>
    <tableColumn id="15" name="Yearly" totalsRowFunction="sum" dataDxfId="93" totalsRowDxfId="92" dataCellStyle="Currency [0]">
      <calculatedColumnFormula>SUM(CostofSales[[#This Row],[Jan]:[Dec]])</calculatedColumnFormula>
    </tableColumn>
    <tableColumn id="16" name="Index %" totalsRowFunction="sum" dataDxfId="91" totalsRowDxfId="90"/>
    <tableColumn id="17" name="Jan %" totalsRowFunction="sum" dataDxfId="89" totalsRowDxfId="88">
      <calculatedColumnFormula>IFERROR(CostofSales[[#This Row],[Jan]]/CostofSales[[#Totals],[Jan]],"-")</calculatedColumnFormula>
    </tableColumn>
    <tableColumn id="18" name="Feb %" totalsRowFunction="sum" dataDxfId="87" totalsRowDxfId="86">
      <calculatedColumnFormula>IFERROR(CostofSales[[#This Row],[Feb]]/CostofSales[[#Totals],[Feb]],"-")</calculatedColumnFormula>
    </tableColumn>
    <tableColumn id="19" name="Mar %" totalsRowFunction="sum" dataDxfId="85" totalsRowDxfId="84">
      <calculatedColumnFormula>IFERROR(CostofSales[[#This Row],[Mar]]/CostofSales[[#Totals],[Mar]],"-")</calculatedColumnFormula>
    </tableColumn>
    <tableColumn id="20" name="Apr %" totalsRowFunction="sum" dataDxfId="83" totalsRowDxfId="82">
      <calculatedColumnFormula>IFERROR(CostofSales[[#This Row],[Apr]]/CostofSales[[#Totals],[Apr]],"-")</calculatedColumnFormula>
    </tableColumn>
    <tableColumn id="21" name="May %" totalsRowFunction="sum" dataDxfId="81" totalsRowDxfId="80">
      <calculatedColumnFormula>IFERROR(CostofSales[[#This Row],[May]]/CostofSales[[#Totals],[May]],"-")</calculatedColumnFormula>
    </tableColumn>
    <tableColumn id="22" name="Jun %" totalsRowFunction="sum" dataDxfId="79" totalsRowDxfId="78">
      <calculatedColumnFormula>IFERROR(CostofSales[[#This Row],[Jun]]/CostofSales[[#Totals],[Jun]],"-")</calculatedColumnFormula>
    </tableColumn>
    <tableColumn id="23" name="Jul %" totalsRowFunction="sum" dataDxfId="77" totalsRowDxfId="76">
      <calculatedColumnFormula>IFERROR(CostofSales[[#This Row],[Jul]]/CostofSales[[#Totals],[Jul]],"-")</calculatedColumnFormula>
    </tableColumn>
    <tableColumn id="24" name="Aug %" totalsRowFunction="sum" dataDxfId="75" totalsRowDxfId="74">
      <calculatedColumnFormula>IFERROR(CostofSales[[#This Row],[Aug]]/CostofSales[[#Totals],[Aug]],"-")</calculatedColumnFormula>
    </tableColumn>
    <tableColumn id="25" name="Sep %" totalsRowFunction="sum" dataDxfId="73" totalsRowDxfId="72">
      <calculatedColumnFormula>IFERROR(CostofSales[[#This Row],[Sep]]/CostofSales[[#Totals],[Sep]],"-")</calculatedColumnFormula>
    </tableColumn>
    <tableColumn id="26" name="Oct %" totalsRowFunction="sum" dataDxfId="71" totalsRowDxfId="70">
      <calculatedColumnFormula>IFERROR(CostofSales[[#This Row],[Oct]]/CostofSales[[#Totals],[Oct]],"-")</calculatedColumnFormula>
    </tableColumn>
    <tableColumn id="27" name="Nov %" totalsRowFunction="sum" dataDxfId="69" totalsRowDxfId="68">
      <calculatedColumnFormula>IFERROR(CostofSales[[#This Row],[Nov]]/CostofSales[[#Totals],[Nov]],"-")</calculatedColumnFormula>
    </tableColumn>
    <tableColumn id="28" name="Dec %" totalsRowFunction="sum" dataDxfId="67" totalsRowDxfId="66">
      <calculatedColumnFormula>IFERROR(CostofSales[[#This Row],[Dec]]/CostofSales[[#Totals],[Dec]],"-")</calculatedColumnFormula>
    </tableColumn>
    <tableColumn id="29" name="Year %" totalsRowFunction="sum" dataDxfId="65" totalsRowDxfId="64">
      <calculatedColumnFormula>IFERROR(CostofSales[[#This Row],[Yearly]]/CostofSales[[#Totals],[Yearly]],"-")</calculatedColumnFormula>
    </tableColumn>
  </tableColumns>
  <tableStyleInfo name="Profit &amp; Loss Sales" showFirstColumn="0" showLastColumn="0" showRowStripes="1" showColumnStripes="0"/>
  <extLst>
    <ext xmlns:x14="http://schemas.microsoft.com/office/spreadsheetml/2009/9/main" uri="{504A1905-F514-4f6f-8877-14C23A59335A}">
      <x14:table altTextSummary="Summary of cost of sales, annual total, and monthly percentage for each cost item"/>
    </ext>
  </extLst>
</table>
</file>

<file path=xl/tables/table3.xml><?xml version="1.0" encoding="utf-8"?>
<table xmlns="http://schemas.openxmlformats.org/spreadsheetml/2006/main" id="8" name="tblExpenses" displayName="tblExpenses" ref="B6:AD26" totalsRowCount="1" headerRowDxfId="124" dataDxfId="122" totalsRowDxfId="123">
  <tableColumns count="29">
    <tableColumn id="1" name="EXPENSES" totalsRowLabel="TOTAL EXPENSES" dataDxfId="182" totalsRowDxfId="181"/>
    <tableColumn id="2" name="TREND" totalsRowLabel=" " dataDxfId="180" totalsRowDxfId="179"/>
    <tableColumn id="3" name="Column1" totalsRowFunction="sum" dataDxfId="178" totalsRowDxfId="177"/>
    <tableColumn id="4" name="Feb" totalsRowFunction="sum" dataDxfId="176" totalsRowDxfId="175"/>
    <tableColumn id="5" name="Mar" totalsRowFunction="sum" dataDxfId="174" totalsRowDxfId="173"/>
    <tableColumn id="6" name="Apr" totalsRowFunction="sum" dataDxfId="172" totalsRowDxfId="171"/>
    <tableColumn id="7" name="May" totalsRowFunction="sum" dataDxfId="170" totalsRowDxfId="169"/>
    <tableColumn id="8" name="Jun" totalsRowFunction="sum" dataDxfId="168" totalsRowDxfId="167"/>
    <tableColumn id="9" name="Jul" totalsRowFunction="sum" dataDxfId="166" totalsRowDxfId="165"/>
    <tableColumn id="10" name="Aug" totalsRowFunction="sum" dataDxfId="164" totalsRowDxfId="163"/>
    <tableColumn id="11" name="Sep" totalsRowFunction="sum" dataDxfId="162" totalsRowDxfId="161"/>
    <tableColumn id="12" name="Oct" totalsRowFunction="sum" dataDxfId="160" totalsRowDxfId="159"/>
    <tableColumn id="13" name="Nov" totalsRowFunction="sum" dataDxfId="158" totalsRowDxfId="157"/>
    <tableColumn id="14" name="Dec" totalsRowFunction="sum" dataDxfId="156" totalsRowDxfId="155"/>
    <tableColumn id="15" name="Yearly" totalsRowFunction="sum" dataDxfId="154" totalsRowDxfId="153">
      <calculatedColumnFormula>SUM(tblExpenses[[#This Row],[Column1]:[Dec]])</calculatedColumnFormula>
    </tableColumn>
    <tableColumn id="16" name="Index %" totalsRowFunction="sum" dataDxfId="152" totalsRowDxfId="151"/>
    <tableColumn id="17" name="Jan %" totalsRowFunction="sum" dataDxfId="150" totalsRowDxfId="149">
      <calculatedColumnFormula>tblExpenses[[#This Row],[Column1]]/tblExpenses[[#Totals],[Column1]]</calculatedColumnFormula>
    </tableColumn>
    <tableColumn id="18" name="Feb %" totalsRowFunction="sum" dataDxfId="148" totalsRowDxfId="147">
      <calculatedColumnFormula>tblExpenses[[#This Row],[Feb]]/tblExpenses[[#Totals],[Feb]]</calculatedColumnFormula>
    </tableColumn>
    <tableColumn id="19" name="Mar %" totalsRowFunction="sum" dataDxfId="146" totalsRowDxfId="145">
      <calculatedColumnFormula>tblExpenses[[#This Row],[Mar]]/tblExpenses[[#Totals],[Mar]]</calculatedColumnFormula>
    </tableColumn>
    <tableColumn id="20" name="Apr %" totalsRowFunction="sum" dataDxfId="144" totalsRowDxfId="143">
      <calculatedColumnFormula>tblExpenses[[#This Row],[Apr]]/tblExpenses[[#Totals],[Apr]]</calculatedColumnFormula>
    </tableColumn>
    <tableColumn id="21" name="May %" totalsRowFunction="sum" dataDxfId="142" totalsRowDxfId="141">
      <calculatedColumnFormula>tblExpenses[[#This Row],[May]]/tblExpenses[[#Totals],[May]]</calculatedColumnFormula>
    </tableColumn>
    <tableColumn id="22" name="Jun %" totalsRowFunction="sum" dataDxfId="140" totalsRowDxfId="139">
      <calculatedColumnFormula>tblExpenses[[#This Row],[Jun]]/tblExpenses[[#Totals],[Jun]]</calculatedColumnFormula>
    </tableColumn>
    <tableColumn id="23" name="Jul %" totalsRowFunction="sum" dataDxfId="138" totalsRowDxfId="137">
      <calculatedColumnFormula>tblExpenses[[#This Row],[Jul]]/tblExpenses[[#Totals],[Jul]]</calculatedColumnFormula>
    </tableColumn>
    <tableColumn id="24" name="Aug %" totalsRowFunction="sum" dataDxfId="136" totalsRowDxfId="135">
      <calculatedColumnFormula>tblExpenses[[#This Row],[Aug]]/tblExpenses[[#Totals],[Aug]]</calculatedColumnFormula>
    </tableColumn>
    <tableColumn id="25" name="Sep %" totalsRowFunction="sum" dataDxfId="134" totalsRowDxfId="133">
      <calculatedColumnFormula>tblExpenses[[#This Row],[Sep]]/tblExpenses[[#Totals],[Sep]]</calculatedColumnFormula>
    </tableColumn>
    <tableColumn id="26" name="Oct %" totalsRowFunction="sum" dataDxfId="132" totalsRowDxfId="131">
      <calculatedColumnFormula>tblExpenses[[#This Row],[Oct]]/tblExpenses[[#Totals],[Oct]]</calculatedColumnFormula>
    </tableColumn>
    <tableColumn id="27" name="Nov %" totalsRowFunction="sum" dataDxfId="130" totalsRowDxfId="129">
      <calculatedColumnFormula>tblExpenses[[#This Row],[Nov]]/tblExpenses[[#Totals],[Nov]]</calculatedColumnFormula>
    </tableColumn>
    <tableColumn id="28" name="Dec %" totalsRowFunction="sum" dataDxfId="128" totalsRowDxfId="127">
      <calculatedColumnFormula>tblExpenses[[#This Row],[Dec]]/tblExpenses[[#Totals],[Dec]]</calculatedColumnFormula>
    </tableColumn>
    <tableColumn id="29" name="Year %" totalsRowFunction="sum" dataDxfId="126" totalsRowDxfId="125">
      <calculatedColumnFormula>tblExpenses[[#This Row],[Yearly]]/tblExpenses[[#Totals],[Yearly]]</calculatedColumnFormula>
    </tableColumn>
  </tableColumns>
  <tableStyleInfo name="Profit &amp; Loss Expenses 2" showFirstColumn="0" showLastColumn="0" showRowStripes="1" showColumnStripes="0"/>
  <extLst>
    <ext xmlns:x14="http://schemas.microsoft.com/office/spreadsheetml/2009/9/main" uri="{504A1905-F514-4f6f-8877-14C23A59335A}">
      <x14:table altTextSummary="Summary of expenses, annual total, and monthly percentage for each expense item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autoPageBreaks="0" fitToPage="1"/>
  </sheetPr>
  <dimension ref="B1:AD14"/>
  <sheetViews>
    <sheetView showGridLines="0" tabSelected="1" zoomScaleNormal="100" zoomScalePageLayoutView="85" workbookViewId="0">
      <pane xSplit="3" ySplit="5" topLeftCell="M7" activePane="bottomRight" state="frozen"/>
      <selection pane="topRight" activeCell="D1" sqref="D1"/>
      <selection pane="bottomLeft" activeCell="A6" sqref="A6"/>
      <selection pane="bottomRight" activeCell="P10" sqref="P10"/>
    </sheetView>
  </sheetViews>
  <sheetFormatPr defaultColWidth="8.875" defaultRowHeight="30" customHeight="1" x14ac:dyDescent="0.2"/>
  <cols>
    <col min="1" max="1" width="2.625" style="1" customWidth="1"/>
    <col min="2" max="3" width="20.625" style="1" customWidth="1"/>
    <col min="4" max="15" width="9.625" style="1" bestFit="1" customWidth="1"/>
    <col min="16" max="16" width="9.875" style="1" customWidth="1"/>
    <col min="17" max="30" width="6.625" style="1" bestFit="1" customWidth="1"/>
    <col min="31" max="31" width="2.625" style="1" customWidth="1"/>
    <col min="32" max="16384" width="8.875" style="1"/>
  </cols>
  <sheetData>
    <row r="1" spans="2:30" ht="38.1" customHeight="1" x14ac:dyDescent="0.2">
      <c r="B1" s="2" t="s">
        <v>22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2:30" ht="35.1" customHeight="1" x14ac:dyDescent="0.2">
      <c r="B2" s="89" t="s">
        <v>21</v>
      </c>
      <c r="C2" s="90"/>
      <c r="D2" s="90"/>
      <c r="E2" s="91" t="s">
        <v>75</v>
      </c>
      <c r="F2" s="92" t="s">
        <v>76</v>
      </c>
      <c r="G2" s="92">
        <f ca="1">YEAR(TODAY())</f>
        <v>2023</v>
      </c>
      <c r="H2" s="90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2:30" ht="60" customHeight="1" x14ac:dyDescent="0.2">
      <c r="B3" s="11" t="s">
        <v>74</v>
      </c>
      <c r="C3" s="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3"/>
      <c r="Q3" s="3"/>
      <c r="R3" s="3"/>
      <c r="S3" s="3"/>
      <c r="T3" s="3"/>
      <c r="U3" s="3"/>
      <c r="V3" s="3"/>
      <c r="W3" s="3"/>
      <c r="X3" s="13"/>
      <c r="Y3" s="13"/>
      <c r="Z3" s="13"/>
      <c r="AA3" s="13"/>
      <c r="AB3" s="3"/>
      <c r="AC3" s="3"/>
      <c r="AD3" s="3"/>
    </row>
    <row r="4" spans="2:30" ht="15" customHeight="1" x14ac:dyDescent="0.2"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X4" s="17"/>
      <c r="Y4" s="17"/>
      <c r="Z4" s="17"/>
      <c r="AA4" s="17"/>
      <c r="AB4" s="56"/>
      <c r="AC4" s="56"/>
      <c r="AD4" s="56"/>
    </row>
    <row r="5" spans="2:30" ht="20.100000000000001" customHeight="1" x14ac:dyDescent="0.2">
      <c r="D5" s="93" t="str">
        <f ca="1">UPPER(TEXT(DATE(FYStartYear,FYMonthNo,1),"mmm-yy"))</f>
        <v>JAN-23</v>
      </c>
      <c r="E5" s="93" t="str">
        <f ca="1">UPPER(TEXT(DATE(FYStartYear,FYMonthNo+1,1),"mmm-yy"))</f>
        <v>FEB-23</v>
      </c>
      <c r="F5" s="93" t="str">
        <f ca="1">UPPER(TEXT(DATE(FYStartYear,FYMonthNo+2,1),"mmm-yy"))</f>
        <v>MAR-23</v>
      </c>
      <c r="G5" s="93" t="str">
        <f ca="1">UPPER(TEXT(DATE(FYStartYear,FYMonthNo+3,1),"mmm-yy"))</f>
        <v>APR-23</v>
      </c>
      <c r="H5" s="93" t="str">
        <f ca="1">UPPER(TEXT(DATE(FYStartYear,FYMonthNo+4,1),"mmm-yy"))</f>
        <v>MAY-23</v>
      </c>
      <c r="I5" s="93" t="str">
        <f ca="1">UPPER(TEXT(DATE(FYStartYear,FYMonthNo+5,1),"mmm-yy"))</f>
        <v>JUN-23</v>
      </c>
      <c r="J5" s="93" t="str">
        <f ca="1">UPPER(TEXT(DATE(FYStartYear,FYMonthNo+6,1),"mmm-yy"))</f>
        <v>JUL-23</v>
      </c>
      <c r="K5" s="93" t="str">
        <f ca="1">UPPER(TEXT(DATE(FYStartYear,FYMonthNo+7,1),"mmm-yy"))</f>
        <v>AUG-23</v>
      </c>
      <c r="L5" s="93" t="str">
        <f ca="1">UPPER(TEXT(DATE(FYStartYear,FYMonthNo+8,1),"mmm-yy"))</f>
        <v>SEP-23</v>
      </c>
      <c r="M5" s="93" t="str">
        <f ca="1">UPPER(TEXT(DATE(FYStartYear,FYMonthNo+9,1),"mmm-yy"))</f>
        <v>OCT-23</v>
      </c>
      <c r="N5" s="93" t="str">
        <f ca="1">UPPER(TEXT(DATE(FYStartYear,FYMonthNo+10,1),"mmm-yy"))</f>
        <v>NOV-23</v>
      </c>
      <c r="O5" s="94" t="str">
        <f ca="1">UPPER(TEXT(DATE(FYStartYear,FYMonthNo+11,1),"mmm-yy"))</f>
        <v>DEC-23</v>
      </c>
      <c r="P5" s="95" t="s">
        <v>31</v>
      </c>
      <c r="Q5" s="58" t="s">
        <v>30</v>
      </c>
      <c r="R5" s="96" t="str">
        <f ca="1">LEFT(D5,3)&amp;" %"</f>
        <v>JAN %</v>
      </c>
      <c r="S5" s="97" t="str">
        <f t="shared" ref="S5:AC5" ca="1" si="0">LEFT(E5,3)&amp;" %"</f>
        <v>FEB %</v>
      </c>
      <c r="T5" s="97" t="str">
        <f t="shared" ca="1" si="0"/>
        <v>MAR %</v>
      </c>
      <c r="U5" s="97" t="str">
        <f t="shared" ca="1" si="0"/>
        <v>APR %</v>
      </c>
      <c r="V5" s="97" t="str">
        <f t="shared" ca="1" si="0"/>
        <v>MAY %</v>
      </c>
      <c r="W5" s="97" t="str">
        <f t="shared" ca="1" si="0"/>
        <v>JUN %</v>
      </c>
      <c r="X5" s="97" t="str">
        <f t="shared" ca="1" si="0"/>
        <v>JUL %</v>
      </c>
      <c r="Y5" s="97" t="str">
        <f t="shared" ca="1" si="0"/>
        <v>AUG %</v>
      </c>
      <c r="Z5" s="97" t="str">
        <f t="shared" ca="1" si="0"/>
        <v>SEP %</v>
      </c>
      <c r="AA5" s="97" t="str">
        <f t="shared" ca="1" si="0"/>
        <v>OCT %</v>
      </c>
      <c r="AB5" s="97" t="str">
        <f t="shared" ca="1" si="0"/>
        <v>NOV %</v>
      </c>
      <c r="AC5" s="97" t="str">
        <f t="shared" ca="1" si="0"/>
        <v>DEC %</v>
      </c>
      <c r="AD5" s="98" t="s">
        <v>32</v>
      </c>
    </row>
    <row r="6" spans="2:30" ht="30" customHeight="1" x14ac:dyDescent="0.2">
      <c r="B6" s="99" t="s">
        <v>23</v>
      </c>
      <c r="C6" s="100" t="s">
        <v>24</v>
      </c>
      <c r="D6" s="65" t="s">
        <v>47</v>
      </c>
      <c r="E6" s="65" t="s">
        <v>48</v>
      </c>
      <c r="F6" s="65" t="s">
        <v>49</v>
      </c>
      <c r="G6" s="65" t="s">
        <v>50</v>
      </c>
      <c r="H6" s="65" t="s">
        <v>51</v>
      </c>
      <c r="I6" s="65" t="s">
        <v>52</v>
      </c>
      <c r="J6" s="65" t="s">
        <v>53</v>
      </c>
      <c r="K6" s="65" t="s">
        <v>54</v>
      </c>
      <c r="L6" s="65" t="s">
        <v>55</v>
      </c>
      <c r="M6" s="65" t="s">
        <v>56</v>
      </c>
      <c r="N6" s="65" t="s">
        <v>57</v>
      </c>
      <c r="O6" s="65" t="s">
        <v>58</v>
      </c>
      <c r="P6" s="101" t="s">
        <v>0</v>
      </c>
      <c r="Q6" s="65" t="s">
        <v>59</v>
      </c>
      <c r="R6" s="102" t="s">
        <v>60</v>
      </c>
      <c r="S6" s="65" t="s">
        <v>61</v>
      </c>
      <c r="T6" s="65" t="s">
        <v>62</v>
      </c>
      <c r="U6" s="65" t="s">
        <v>63</v>
      </c>
      <c r="V6" s="65" t="s">
        <v>64</v>
      </c>
      <c r="W6" s="65" t="s">
        <v>65</v>
      </c>
      <c r="X6" s="65" t="s">
        <v>66</v>
      </c>
      <c r="Y6" s="65" t="s">
        <v>67</v>
      </c>
      <c r="Z6" s="65" t="s">
        <v>68</v>
      </c>
      <c r="AA6" s="65" t="s">
        <v>69</v>
      </c>
      <c r="AB6" s="65" t="s">
        <v>70</v>
      </c>
      <c r="AC6" s="65" t="s">
        <v>71</v>
      </c>
      <c r="AD6" s="103" t="s">
        <v>72</v>
      </c>
    </row>
    <row r="7" spans="2:30" ht="30" customHeight="1" x14ac:dyDescent="0.2">
      <c r="B7" s="69" t="s">
        <v>33</v>
      </c>
      <c r="C7" s="70"/>
      <c r="D7" s="71">
        <v>186</v>
      </c>
      <c r="E7" s="71">
        <v>108</v>
      </c>
      <c r="F7" s="71">
        <v>92</v>
      </c>
      <c r="G7" s="71">
        <v>122</v>
      </c>
      <c r="H7" s="71">
        <v>190</v>
      </c>
      <c r="I7" s="71">
        <v>71</v>
      </c>
      <c r="J7" s="71">
        <v>21</v>
      </c>
      <c r="K7" s="71">
        <v>37</v>
      </c>
      <c r="L7" s="71">
        <v>24</v>
      </c>
      <c r="M7" s="71">
        <v>178</v>
      </c>
      <c r="N7" s="71">
        <v>92</v>
      </c>
      <c r="O7" s="71">
        <v>97</v>
      </c>
      <c r="P7" s="104">
        <f>SUM(Revenue[[#This Row],[Jan]:[Dec]])</f>
        <v>1218</v>
      </c>
      <c r="Q7" s="73">
        <v>0.12</v>
      </c>
      <c r="R7" s="105">
        <f>IFERROR(Revenue[[#This Row],[Jan]]/Revenue[[#Totals],[Jan]],"-")</f>
        <v>0.29807692307692307</v>
      </c>
      <c r="S7" s="73">
        <f>IFERROR(Revenue[[#This Row],[Feb]]/Revenue[[#Totals],[Feb]],"-")</f>
        <v>0.14673913043478262</v>
      </c>
      <c r="T7" s="73">
        <f>IFERROR(Revenue[[#This Row],[Mar]]/Revenue[[#Totals],[Mar]],"-")</f>
        <v>0.11219512195121951</v>
      </c>
      <c r="U7" s="73">
        <f>IFERROR(Revenue[[#This Row],[Apr]]/Revenue[[#Totals],[Apr]],"-")</f>
        <v>0.19967266775777415</v>
      </c>
      <c r="V7" s="73">
        <f>IFERROR(Revenue[[#This Row],[May]]/Revenue[[#Totals],[May]],"-")</f>
        <v>0.23399014778325122</v>
      </c>
      <c r="W7" s="73">
        <f>IFERROR(Revenue[[#This Row],[Jun]]/Revenue[[#Totals],[Jun]],"-")</f>
        <v>0.12283737024221453</v>
      </c>
      <c r="X7" s="73">
        <f>IFERROR(Revenue[[#This Row],[Jul]]/Revenue[[#Totals],[Jul]],"-")</f>
        <v>3.5175879396984924E-2</v>
      </c>
      <c r="Y7" s="73">
        <f>IFERROR(Revenue[[#This Row],[Aug]]/Revenue[[#Totals],[Aug]],"-")</f>
        <v>5.4814814814814816E-2</v>
      </c>
      <c r="Z7" s="73">
        <f>IFERROR(Revenue[[#This Row],[Sep]]/Revenue[[#Totals],[Sep]],"-")</f>
        <v>3.2258064516129031E-2</v>
      </c>
      <c r="AA7" s="73">
        <f>IFERROR(Revenue[[#This Row],[Oct]]/Revenue[[#Totals],[Oct]],"-")</f>
        <v>0.26138032305433184</v>
      </c>
      <c r="AB7" s="73">
        <f>IFERROR(Revenue[[#This Row],[Nov]]/Revenue[[#Totals],[Nov]],"-")</f>
        <v>0.12449255751014884</v>
      </c>
      <c r="AC7" s="73">
        <f>IFERROR(Revenue[[#This Row],[Dec]]/Revenue[[#Totals],[Dec]],"-")</f>
        <v>9.3000958772770856E-2</v>
      </c>
      <c r="AD7" s="106">
        <f>IFERROR(Revenue[[#This Row],[Yearly]]/Revenue[[#Totals],[Yearly]],"-")</f>
        <v>0.14064665127020784</v>
      </c>
    </row>
    <row r="8" spans="2:30" ht="30" customHeight="1" x14ac:dyDescent="0.2">
      <c r="B8" s="69" t="s">
        <v>34</v>
      </c>
      <c r="C8" s="70"/>
      <c r="D8" s="71">
        <v>15</v>
      </c>
      <c r="E8" s="71">
        <v>16</v>
      </c>
      <c r="F8" s="71">
        <v>198</v>
      </c>
      <c r="G8" s="71">
        <v>44</v>
      </c>
      <c r="H8" s="71">
        <v>25</v>
      </c>
      <c r="I8" s="71">
        <v>68</v>
      </c>
      <c r="J8" s="71">
        <v>43</v>
      </c>
      <c r="K8" s="71">
        <v>119</v>
      </c>
      <c r="L8" s="71">
        <v>37</v>
      </c>
      <c r="M8" s="71">
        <v>118</v>
      </c>
      <c r="N8" s="71">
        <v>29</v>
      </c>
      <c r="O8" s="71">
        <v>171</v>
      </c>
      <c r="P8" s="104">
        <f>SUM(Revenue[[#This Row],[Jan]:[Dec]])</f>
        <v>883</v>
      </c>
      <c r="Q8" s="73">
        <v>0.18</v>
      </c>
      <c r="R8" s="105">
        <f>IFERROR(Revenue[[#This Row],[Jan]]/Revenue[[#Totals],[Jan]],"-")</f>
        <v>2.403846153846154E-2</v>
      </c>
      <c r="S8" s="73">
        <f>IFERROR(Revenue[[#This Row],[Feb]]/Revenue[[#Totals],[Feb]],"-")</f>
        <v>2.1739130434782608E-2</v>
      </c>
      <c r="T8" s="73">
        <f>IFERROR(Revenue[[#This Row],[Mar]]/Revenue[[#Totals],[Mar]],"-")</f>
        <v>0.24146341463414633</v>
      </c>
      <c r="U8" s="73">
        <f>IFERROR(Revenue[[#This Row],[Apr]]/Revenue[[#Totals],[Apr]],"-")</f>
        <v>7.2013093289689037E-2</v>
      </c>
      <c r="V8" s="73">
        <f>IFERROR(Revenue[[#This Row],[May]]/Revenue[[#Totals],[May]],"-")</f>
        <v>3.0788177339901478E-2</v>
      </c>
      <c r="W8" s="73">
        <f>IFERROR(Revenue[[#This Row],[Jun]]/Revenue[[#Totals],[Jun]],"-")</f>
        <v>0.11764705882352941</v>
      </c>
      <c r="X8" s="73">
        <f>IFERROR(Revenue[[#This Row],[Jul]]/Revenue[[#Totals],[Jul]],"-")</f>
        <v>7.2026800670016752E-2</v>
      </c>
      <c r="Y8" s="73">
        <f>IFERROR(Revenue[[#This Row],[Aug]]/Revenue[[#Totals],[Aug]],"-")</f>
        <v>0.17629629629629628</v>
      </c>
      <c r="Z8" s="73">
        <f>IFERROR(Revenue[[#This Row],[Sep]]/Revenue[[#Totals],[Sep]],"-")</f>
        <v>4.9731182795698922E-2</v>
      </c>
      <c r="AA8" s="73">
        <f>IFERROR(Revenue[[#This Row],[Oct]]/Revenue[[#Totals],[Oct]],"-")</f>
        <v>0.17327459618208516</v>
      </c>
      <c r="AB8" s="73">
        <f>IFERROR(Revenue[[#This Row],[Nov]]/Revenue[[#Totals],[Nov]],"-")</f>
        <v>3.9242219215155617E-2</v>
      </c>
      <c r="AC8" s="73">
        <f>IFERROR(Revenue[[#This Row],[Dec]]/Revenue[[#Totals],[Dec]],"-")</f>
        <v>0.16395014381591563</v>
      </c>
      <c r="AD8" s="106">
        <f>IFERROR(Revenue[[#This Row],[Yearly]]/Revenue[[#Totals],[Yearly]],"-")</f>
        <v>0.10196304849884527</v>
      </c>
    </row>
    <row r="9" spans="2:30" ht="30" customHeight="1" x14ac:dyDescent="0.2">
      <c r="B9" s="69" t="s">
        <v>35</v>
      </c>
      <c r="C9" s="70"/>
      <c r="D9" s="71">
        <v>166</v>
      </c>
      <c r="E9" s="71">
        <v>185</v>
      </c>
      <c r="F9" s="71">
        <v>89</v>
      </c>
      <c r="G9" s="71">
        <v>170</v>
      </c>
      <c r="H9" s="71">
        <v>131</v>
      </c>
      <c r="I9" s="71">
        <v>70</v>
      </c>
      <c r="J9" s="71">
        <v>50</v>
      </c>
      <c r="K9" s="71">
        <v>149</v>
      </c>
      <c r="L9" s="71">
        <v>179</v>
      </c>
      <c r="M9" s="71">
        <v>104</v>
      </c>
      <c r="N9" s="71">
        <v>119</v>
      </c>
      <c r="O9" s="71">
        <v>187</v>
      </c>
      <c r="P9" s="104">
        <f>SUM(Revenue[[#This Row],[Jan]:[Dec]])</f>
        <v>1599</v>
      </c>
      <c r="Q9" s="73">
        <v>0.19</v>
      </c>
      <c r="R9" s="105">
        <f>IFERROR(Revenue[[#This Row],[Jan]]/Revenue[[#Totals],[Jan]],"-")</f>
        <v>0.26602564102564102</v>
      </c>
      <c r="S9" s="73">
        <f>IFERROR(Revenue[[#This Row],[Feb]]/Revenue[[#Totals],[Feb]],"-")</f>
        <v>0.25135869565217389</v>
      </c>
      <c r="T9" s="73">
        <f>IFERROR(Revenue[[#This Row],[Mar]]/Revenue[[#Totals],[Mar]],"-")</f>
        <v>0.10853658536585366</v>
      </c>
      <c r="U9" s="73">
        <f>IFERROR(Revenue[[#This Row],[Apr]]/Revenue[[#Totals],[Apr]],"-")</f>
        <v>0.27823240589198034</v>
      </c>
      <c r="V9" s="73">
        <f>IFERROR(Revenue[[#This Row],[May]]/Revenue[[#Totals],[May]],"-")</f>
        <v>0.16133004926108374</v>
      </c>
      <c r="W9" s="73">
        <f>IFERROR(Revenue[[#This Row],[Jun]]/Revenue[[#Totals],[Jun]],"-")</f>
        <v>0.12110726643598616</v>
      </c>
      <c r="X9" s="73">
        <f>IFERROR(Revenue[[#This Row],[Jul]]/Revenue[[#Totals],[Jul]],"-")</f>
        <v>8.3752093802345065E-2</v>
      </c>
      <c r="Y9" s="73">
        <f>IFERROR(Revenue[[#This Row],[Aug]]/Revenue[[#Totals],[Aug]],"-")</f>
        <v>0.22074074074074074</v>
      </c>
      <c r="Z9" s="73">
        <f>IFERROR(Revenue[[#This Row],[Sep]]/Revenue[[#Totals],[Sep]],"-")</f>
        <v>0.24059139784946237</v>
      </c>
      <c r="AA9" s="73">
        <f>IFERROR(Revenue[[#This Row],[Oct]]/Revenue[[#Totals],[Oct]],"-")</f>
        <v>0.1527165932452276</v>
      </c>
      <c r="AB9" s="73">
        <f>IFERROR(Revenue[[#This Row],[Nov]]/Revenue[[#Totals],[Nov]],"-")</f>
        <v>0.16102841677943167</v>
      </c>
      <c r="AC9" s="73">
        <f>IFERROR(Revenue[[#This Row],[Dec]]/Revenue[[#Totals],[Dec]],"-")</f>
        <v>0.17929050814956854</v>
      </c>
      <c r="AD9" s="106">
        <f>IFERROR(Revenue[[#This Row],[Yearly]]/Revenue[[#Totals],[Yearly]],"-")</f>
        <v>0.18464203233256352</v>
      </c>
    </row>
    <row r="10" spans="2:30" ht="30" customHeight="1" x14ac:dyDescent="0.2">
      <c r="B10" s="69" t="s">
        <v>36</v>
      </c>
      <c r="C10" s="70"/>
      <c r="D10" s="71">
        <v>21</v>
      </c>
      <c r="E10" s="71">
        <v>113</v>
      </c>
      <c r="F10" s="71">
        <v>83</v>
      </c>
      <c r="G10" s="71">
        <v>17</v>
      </c>
      <c r="H10" s="71">
        <v>130</v>
      </c>
      <c r="I10" s="71">
        <v>26</v>
      </c>
      <c r="J10" s="71">
        <v>167</v>
      </c>
      <c r="K10" s="71">
        <v>102</v>
      </c>
      <c r="L10" s="71">
        <v>82</v>
      </c>
      <c r="M10" s="71">
        <v>33</v>
      </c>
      <c r="N10" s="71">
        <v>88</v>
      </c>
      <c r="O10" s="71">
        <v>193</v>
      </c>
      <c r="P10" s="104">
        <f>SUM(Revenue[[#This Row],[Jan]:[Dec]])</f>
        <v>1055</v>
      </c>
      <c r="Q10" s="73">
        <v>0.11</v>
      </c>
      <c r="R10" s="105">
        <f>IFERROR(Revenue[[#This Row],[Jan]]/Revenue[[#Totals],[Jan]],"-")</f>
        <v>3.3653846153846152E-2</v>
      </c>
      <c r="S10" s="73">
        <f>IFERROR(Revenue[[#This Row],[Feb]]/Revenue[[#Totals],[Feb]],"-")</f>
        <v>0.15353260869565216</v>
      </c>
      <c r="T10" s="73">
        <f>IFERROR(Revenue[[#This Row],[Mar]]/Revenue[[#Totals],[Mar]],"-")</f>
        <v>0.10121951219512196</v>
      </c>
      <c r="U10" s="73">
        <f>IFERROR(Revenue[[#This Row],[Apr]]/Revenue[[#Totals],[Apr]],"-")</f>
        <v>2.7823240589198037E-2</v>
      </c>
      <c r="V10" s="73">
        <f>IFERROR(Revenue[[#This Row],[May]]/Revenue[[#Totals],[May]],"-")</f>
        <v>0.16009852216748768</v>
      </c>
      <c r="W10" s="73">
        <f>IFERROR(Revenue[[#This Row],[Jun]]/Revenue[[#Totals],[Jun]],"-")</f>
        <v>4.4982698961937718E-2</v>
      </c>
      <c r="X10" s="73">
        <f>IFERROR(Revenue[[#This Row],[Jul]]/Revenue[[#Totals],[Jul]],"-")</f>
        <v>0.2797319932998325</v>
      </c>
      <c r="Y10" s="73">
        <f>IFERROR(Revenue[[#This Row],[Aug]]/Revenue[[#Totals],[Aug]],"-")</f>
        <v>0.15111111111111111</v>
      </c>
      <c r="Z10" s="73">
        <f>IFERROR(Revenue[[#This Row],[Sep]]/Revenue[[#Totals],[Sep]],"-")</f>
        <v>0.11021505376344086</v>
      </c>
      <c r="AA10" s="73">
        <f>IFERROR(Revenue[[#This Row],[Oct]]/Revenue[[#Totals],[Oct]],"-")</f>
        <v>4.8458149779735685E-2</v>
      </c>
      <c r="AB10" s="73">
        <f>IFERROR(Revenue[[#This Row],[Nov]]/Revenue[[#Totals],[Nov]],"-")</f>
        <v>0.11907983761840325</v>
      </c>
      <c r="AC10" s="73">
        <f>IFERROR(Revenue[[#This Row],[Dec]]/Revenue[[#Totals],[Dec]],"-")</f>
        <v>0.18504314477468839</v>
      </c>
      <c r="AD10" s="106">
        <f>IFERROR(Revenue[[#This Row],[Yearly]]/Revenue[[#Totals],[Yearly]],"-")</f>
        <v>0.12182448036951501</v>
      </c>
    </row>
    <row r="11" spans="2:30" ht="30" customHeight="1" x14ac:dyDescent="0.2">
      <c r="B11" s="69" t="s">
        <v>37</v>
      </c>
      <c r="C11" s="70"/>
      <c r="D11" s="71">
        <v>70</v>
      </c>
      <c r="E11" s="71">
        <v>160</v>
      </c>
      <c r="F11" s="71">
        <v>125</v>
      </c>
      <c r="G11" s="71">
        <v>84</v>
      </c>
      <c r="H11" s="71">
        <v>191</v>
      </c>
      <c r="I11" s="71">
        <v>97</v>
      </c>
      <c r="J11" s="71">
        <v>52</v>
      </c>
      <c r="K11" s="71">
        <v>45</v>
      </c>
      <c r="L11" s="71">
        <v>173</v>
      </c>
      <c r="M11" s="71">
        <v>136</v>
      </c>
      <c r="N11" s="71">
        <v>144</v>
      </c>
      <c r="O11" s="71">
        <v>167</v>
      </c>
      <c r="P11" s="104">
        <f>SUM(Revenue[[#This Row],[Jan]:[Dec]])</f>
        <v>1444</v>
      </c>
      <c r="Q11" s="73">
        <v>0.2</v>
      </c>
      <c r="R11" s="105">
        <f>IFERROR(Revenue[[#This Row],[Jan]]/Revenue[[#Totals],[Jan]],"-")</f>
        <v>0.11217948717948718</v>
      </c>
      <c r="S11" s="73">
        <f>IFERROR(Revenue[[#This Row],[Feb]]/Revenue[[#Totals],[Feb]],"-")</f>
        <v>0.21739130434782608</v>
      </c>
      <c r="T11" s="73">
        <f>IFERROR(Revenue[[#This Row],[Mar]]/Revenue[[#Totals],[Mar]],"-")</f>
        <v>0.1524390243902439</v>
      </c>
      <c r="U11" s="73">
        <f>IFERROR(Revenue[[#This Row],[Apr]]/Revenue[[#Totals],[Apr]],"-")</f>
        <v>0.13747954173486088</v>
      </c>
      <c r="V11" s="73">
        <f>IFERROR(Revenue[[#This Row],[May]]/Revenue[[#Totals],[May]],"-")</f>
        <v>0.23522167487684728</v>
      </c>
      <c r="W11" s="73">
        <f>IFERROR(Revenue[[#This Row],[Jun]]/Revenue[[#Totals],[Jun]],"-")</f>
        <v>0.16782006920415224</v>
      </c>
      <c r="X11" s="73">
        <f>IFERROR(Revenue[[#This Row],[Jul]]/Revenue[[#Totals],[Jul]],"-")</f>
        <v>8.7102177554438859E-2</v>
      </c>
      <c r="Y11" s="73">
        <f>IFERROR(Revenue[[#This Row],[Aug]]/Revenue[[#Totals],[Aug]],"-")</f>
        <v>6.6666666666666666E-2</v>
      </c>
      <c r="Z11" s="73">
        <f>IFERROR(Revenue[[#This Row],[Sep]]/Revenue[[#Totals],[Sep]],"-")</f>
        <v>0.2325268817204301</v>
      </c>
      <c r="AA11" s="73">
        <f>IFERROR(Revenue[[#This Row],[Oct]]/Revenue[[#Totals],[Oct]],"-")</f>
        <v>0.19970631424375918</v>
      </c>
      <c r="AB11" s="73">
        <f>IFERROR(Revenue[[#This Row],[Nov]]/Revenue[[#Totals],[Nov]],"-")</f>
        <v>0.19485791610284167</v>
      </c>
      <c r="AC11" s="73">
        <f>IFERROR(Revenue[[#This Row],[Dec]]/Revenue[[#Totals],[Dec]],"-")</f>
        <v>0.1601150527325024</v>
      </c>
      <c r="AD11" s="106">
        <f>IFERROR(Revenue[[#This Row],[Yearly]]/Revenue[[#Totals],[Yearly]],"-")</f>
        <v>0.16674364896073904</v>
      </c>
    </row>
    <row r="12" spans="2:30" ht="30" customHeight="1" x14ac:dyDescent="0.2">
      <c r="B12" s="69" t="s">
        <v>38</v>
      </c>
      <c r="C12" s="70"/>
      <c r="D12" s="71">
        <v>61</v>
      </c>
      <c r="E12" s="71">
        <v>99</v>
      </c>
      <c r="F12" s="71">
        <v>70</v>
      </c>
      <c r="G12" s="71">
        <v>162</v>
      </c>
      <c r="H12" s="71">
        <v>28</v>
      </c>
      <c r="I12" s="71">
        <v>163</v>
      </c>
      <c r="J12" s="71">
        <v>101</v>
      </c>
      <c r="K12" s="71">
        <v>103</v>
      </c>
      <c r="L12" s="71">
        <v>78</v>
      </c>
      <c r="M12" s="71">
        <v>33</v>
      </c>
      <c r="N12" s="71">
        <v>162</v>
      </c>
      <c r="O12" s="71">
        <v>159</v>
      </c>
      <c r="P12" s="104">
        <f>SUM(Revenue[[#This Row],[Jan]:[Dec]])</f>
        <v>1219</v>
      </c>
      <c r="Q12" s="73">
        <v>0.1</v>
      </c>
      <c r="R12" s="105">
        <f>IFERROR(Revenue[[#This Row],[Jan]]/Revenue[[#Totals],[Jan]],"-")</f>
        <v>9.7756410256410256E-2</v>
      </c>
      <c r="S12" s="73">
        <f>IFERROR(Revenue[[#This Row],[Feb]]/Revenue[[#Totals],[Feb]],"-")</f>
        <v>0.13451086956521738</v>
      </c>
      <c r="T12" s="73">
        <f>IFERROR(Revenue[[#This Row],[Mar]]/Revenue[[#Totals],[Mar]],"-")</f>
        <v>8.5365853658536592E-2</v>
      </c>
      <c r="U12" s="73">
        <f>IFERROR(Revenue[[#This Row],[Apr]]/Revenue[[#Totals],[Apr]],"-")</f>
        <v>0.265139116202946</v>
      </c>
      <c r="V12" s="73">
        <f>IFERROR(Revenue[[#This Row],[May]]/Revenue[[#Totals],[May]],"-")</f>
        <v>3.4482758620689655E-2</v>
      </c>
      <c r="W12" s="73">
        <f>IFERROR(Revenue[[#This Row],[Jun]]/Revenue[[#Totals],[Jun]],"-")</f>
        <v>0.2820069204152249</v>
      </c>
      <c r="X12" s="73">
        <f>IFERROR(Revenue[[#This Row],[Jul]]/Revenue[[#Totals],[Jul]],"-")</f>
        <v>0.16917922948073702</v>
      </c>
      <c r="Y12" s="73">
        <f>IFERROR(Revenue[[#This Row],[Aug]]/Revenue[[#Totals],[Aug]],"-")</f>
        <v>0.15259259259259259</v>
      </c>
      <c r="Z12" s="73">
        <f>IFERROR(Revenue[[#This Row],[Sep]]/Revenue[[#Totals],[Sep]],"-")</f>
        <v>0.10483870967741936</v>
      </c>
      <c r="AA12" s="73">
        <f>IFERROR(Revenue[[#This Row],[Oct]]/Revenue[[#Totals],[Oct]],"-")</f>
        <v>4.8458149779735685E-2</v>
      </c>
      <c r="AB12" s="73">
        <f>IFERROR(Revenue[[#This Row],[Nov]]/Revenue[[#Totals],[Nov]],"-")</f>
        <v>0.21921515561569688</v>
      </c>
      <c r="AC12" s="73">
        <f>IFERROR(Revenue[[#This Row],[Dec]]/Revenue[[#Totals],[Dec]],"-")</f>
        <v>0.15244487056567593</v>
      </c>
      <c r="AD12" s="106">
        <f>IFERROR(Revenue[[#This Row],[Yearly]]/Revenue[[#Totals],[Yearly]],"-")</f>
        <v>0.14076212471131641</v>
      </c>
    </row>
    <row r="13" spans="2:30" ht="30" customHeight="1" x14ac:dyDescent="0.2">
      <c r="B13" s="69" t="s">
        <v>39</v>
      </c>
      <c r="C13" s="70"/>
      <c r="D13" s="71">
        <v>105</v>
      </c>
      <c r="E13" s="71">
        <v>55</v>
      </c>
      <c r="F13" s="71">
        <v>163</v>
      </c>
      <c r="G13" s="71">
        <v>12</v>
      </c>
      <c r="H13" s="71">
        <v>117</v>
      </c>
      <c r="I13" s="71">
        <v>83</v>
      </c>
      <c r="J13" s="71">
        <v>163</v>
      </c>
      <c r="K13" s="71">
        <v>120</v>
      </c>
      <c r="L13" s="71">
        <v>171</v>
      </c>
      <c r="M13" s="71">
        <v>79</v>
      </c>
      <c r="N13" s="71">
        <v>105</v>
      </c>
      <c r="O13" s="71">
        <v>69</v>
      </c>
      <c r="P13" s="104">
        <f>SUM(Revenue[[#This Row],[Jan]:[Dec]])</f>
        <v>1242</v>
      </c>
      <c r="Q13" s="73">
        <v>0.1</v>
      </c>
      <c r="R13" s="105">
        <f>IFERROR(Revenue[[#This Row],[Jan]]/Revenue[[#Totals],[Jan]],"-")</f>
        <v>0.16826923076923078</v>
      </c>
      <c r="S13" s="73">
        <f>IFERROR(Revenue[[#This Row],[Feb]]/Revenue[[#Totals],[Feb]],"-")</f>
        <v>7.4728260869565216E-2</v>
      </c>
      <c r="T13" s="73">
        <f>IFERROR(Revenue[[#This Row],[Mar]]/Revenue[[#Totals],[Mar]],"-")</f>
        <v>0.19878048780487806</v>
      </c>
      <c r="U13" s="73">
        <f>IFERROR(Revenue[[#This Row],[Apr]]/Revenue[[#Totals],[Apr]],"-")</f>
        <v>1.9639934533551555E-2</v>
      </c>
      <c r="V13" s="73">
        <f>IFERROR(Revenue[[#This Row],[May]]/Revenue[[#Totals],[May]],"-")</f>
        <v>0.14408866995073891</v>
      </c>
      <c r="W13" s="73">
        <f>IFERROR(Revenue[[#This Row],[Jun]]/Revenue[[#Totals],[Jun]],"-")</f>
        <v>0.14359861591695502</v>
      </c>
      <c r="X13" s="73">
        <f>IFERROR(Revenue[[#This Row],[Jul]]/Revenue[[#Totals],[Jul]],"-")</f>
        <v>0.27303182579564489</v>
      </c>
      <c r="Y13" s="73">
        <f>IFERROR(Revenue[[#This Row],[Aug]]/Revenue[[#Totals],[Aug]],"-")</f>
        <v>0.17777777777777778</v>
      </c>
      <c r="Z13" s="73">
        <f>IFERROR(Revenue[[#This Row],[Sep]]/Revenue[[#Totals],[Sep]],"-")</f>
        <v>0.22983870967741934</v>
      </c>
      <c r="AA13" s="73">
        <f>IFERROR(Revenue[[#This Row],[Oct]]/Revenue[[#Totals],[Oct]],"-")</f>
        <v>0.11600587371512482</v>
      </c>
      <c r="AB13" s="73">
        <f>IFERROR(Revenue[[#This Row],[Nov]]/Revenue[[#Totals],[Nov]],"-")</f>
        <v>0.14208389715832206</v>
      </c>
      <c r="AC13" s="73">
        <f>IFERROR(Revenue[[#This Row],[Dec]]/Revenue[[#Totals],[Dec]],"-")</f>
        <v>6.6155321188878236E-2</v>
      </c>
      <c r="AD13" s="106">
        <f>IFERROR(Revenue[[#This Row],[Yearly]]/Revenue[[#Totals],[Yearly]],"-")</f>
        <v>0.14341801385681294</v>
      </c>
    </row>
    <row r="14" spans="2:30" s="40" customFormat="1" ht="30" customHeight="1" x14ac:dyDescent="0.2">
      <c r="B14" s="107" t="s">
        <v>25</v>
      </c>
      <c r="C14" s="77"/>
      <c r="D14" s="78">
        <f>SUBTOTAL(109,Revenue[Jan])</f>
        <v>624</v>
      </c>
      <c r="E14" s="78">
        <f>SUBTOTAL(109,Revenue[Feb])</f>
        <v>736</v>
      </c>
      <c r="F14" s="78">
        <f>SUBTOTAL(109,Revenue[Mar])</f>
        <v>820</v>
      </c>
      <c r="G14" s="78">
        <f>SUBTOTAL(109,Revenue[Apr])</f>
        <v>611</v>
      </c>
      <c r="H14" s="78">
        <f>SUBTOTAL(109,Revenue[May])</f>
        <v>812</v>
      </c>
      <c r="I14" s="78">
        <f>SUBTOTAL(109,Revenue[Jun])</f>
        <v>578</v>
      </c>
      <c r="J14" s="78">
        <f>SUBTOTAL(109,Revenue[Jul])</f>
        <v>597</v>
      </c>
      <c r="K14" s="78">
        <f>SUBTOTAL(109,Revenue[Aug])</f>
        <v>675</v>
      </c>
      <c r="L14" s="78">
        <f>SUBTOTAL(109,Revenue[Sep])</f>
        <v>744</v>
      </c>
      <c r="M14" s="78">
        <f>SUBTOTAL(109,Revenue[Oct])</f>
        <v>681</v>
      </c>
      <c r="N14" s="78">
        <f>SUBTOTAL(109,Revenue[Nov])</f>
        <v>739</v>
      </c>
      <c r="O14" s="78">
        <f>SUBTOTAL(109,Revenue[Dec])</f>
        <v>1043</v>
      </c>
      <c r="P14" s="108">
        <f>SUBTOTAL(109,Revenue[Yearly])</f>
        <v>8660</v>
      </c>
      <c r="Q14" s="80">
        <f>SUBTOTAL(109,Revenue[Index %])</f>
        <v>1</v>
      </c>
      <c r="R14" s="109">
        <f>SUBTOTAL(109,Revenue[Jan %])</f>
        <v>1</v>
      </c>
      <c r="S14" s="110">
        <f>SUBTOTAL(109,Revenue[Feb %])</f>
        <v>1</v>
      </c>
      <c r="T14" s="110">
        <f>SUBTOTAL(109,Revenue[Mar %])</f>
        <v>1</v>
      </c>
      <c r="U14" s="110">
        <f>SUBTOTAL(109,Revenue[Apr %])</f>
        <v>0.99999999999999989</v>
      </c>
      <c r="V14" s="110">
        <f>SUBTOTAL(109,Revenue[May %])</f>
        <v>0.99999999999999989</v>
      </c>
      <c r="W14" s="110">
        <f>SUBTOTAL(109,Revenue[Jun %])</f>
        <v>1</v>
      </c>
      <c r="X14" s="110">
        <f>SUBTOTAL(109,Revenue[Jul %])</f>
        <v>1</v>
      </c>
      <c r="Y14" s="110">
        <f>SUBTOTAL(109,Revenue[Aug %])</f>
        <v>1</v>
      </c>
      <c r="Z14" s="110">
        <f>SUBTOTAL(109,Revenue[Sep %])</f>
        <v>1</v>
      </c>
      <c r="AA14" s="110">
        <f>SUBTOTAL(109,Revenue[Oct %])</f>
        <v>1</v>
      </c>
      <c r="AB14" s="110">
        <f>SUBTOTAL(109,Revenue[Nov %])</f>
        <v>1</v>
      </c>
      <c r="AC14" s="110">
        <f>SUBTOTAL(109,Revenue[Dec %])</f>
        <v>0.99999999999999989</v>
      </c>
      <c r="AD14" s="111">
        <f>SUBTOTAL(109,Revenue[Year %])</f>
        <v>1</v>
      </c>
    </row>
  </sheetData>
  <dataConsolidate/>
  <dataValidations count="19">
    <dataValidation allowBlank="1" showInputMessage="1" showErrorMessage="1" prompt="Annual revenue is automatically calculated in this column" sqref="P5"/>
    <dataValidation allowBlank="1" showInputMessage="1" showErrorMessage="1" prompt="Enter a title for the projection period for which total sales are calculated" sqref="B2"/>
    <dataValidation allowBlank="1" showInputMessage="1" showErrorMessage="1" prompt="Enter company name in this cell" sqref="B1"/>
    <dataValidation allowBlank="1" showInputMessage="1" showErrorMessage="1" prompt="The dates in this row are automatically updated based on the starting month of fiscal year. To change starting month, modify cell AC2" sqref="D5"/>
    <dataValidation allowBlank="1" showInputMessage="1" showErrorMessage="1" prompt="Enter index percent in this column" sqref="Q6"/>
    <dataValidation allowBlank="1" showInputMessage="1" showErrorMessage="1" prompt="This worksheet calculates total sales for each month &amp; year, and total annual sales from different sources. Select fiscal year starting month in cell AC2 &amp; year in cell AD2" sqref="A3:A4 A6:A14"/>
    <dataValidation allowBlank="1" showInputMessage="1" showErrorMessage="1" prompt="This worksheet calculates total sales for each month &amp; year, &amp; total annual sales from different sources. Enter fiscal year starting month in cell AC2 &amp; year in cell AD2" sqref="A2"/>
    <dataValidation allowBlank="1" showInputMessage="1" showErrorMessage="1" prompt="Automatically updated month" sqref="E5:O5"/>
    <dataValidation allowBlank="1" showInputMessage="1" showErrorMessage="1" prompt="Automatically calculates proportion of sales from different sources to total sales in this column for the month in this cell" sqref="R5:AC5"/>
    <dataValidation allowBlank="1" showInputMessage="1" showErrorMessage="1" prompt="Automatically calculates proportion of sales from different sources to total sales for the year in this column" sqref="AD5"/>
    <dataValidation allowBlank="1" showInputMessage="1" showErrorMessage="1" prompt="Enter revenue generated by sales in this column" sqref="B6"/>
    <dataValidation allowBlank="1" showInputMessage="1" showErrorMessage="1" prompt="A trend chart for revenue over time is in this column" sqref="C6"/>
    <dataValidation allowBlank="1" showInputMessage="1" showErrorMessage="1" prompt="Enter revenue for sources listed in column B in this column" sqref="D6:O6"/>
    <dataValidation allowBlank="1" showInputMessage="1" showErrorMessage="1" prompt="Index percent is in this column" sqref="Q5"/>
    <dataValidation type="list" errorStyle="warning" allowBlank="1" showInputMessage="1" showErrorMessage="1" error="Select month from the drop down list. Select CANCEL, then press ALT+DOWN ARROW. Press ENTER to select a month" prompt="Select month in this cell. Press ALT+DOWN ARROW to open the drop down list, then ENTER to select a month" sqref="AC4 F2">
      <formula1>"JAN,FEB,MAR,APR,MAY,JUN,JUL,AUG,SEP,OCT,NOV,DEC"</formula1>
    </dataValidation>
    <dataValidation errorStyle="information" allowBlank="1" showInputMessage="1" errorTitle="Unknown Year" error="Please select a year from the drop down list. To add or remove a year from the list, on the Data tab, in the Data Tools group, click Data Validation." prompt="Enter year in this cell" sqref="AD4 G2"/>
    <dataValidation allowBlank="1" showInputMessage="1" showErrorMessage="1" prompt="Select fiscal year starting month in cell AC2 and enter a year in cell AD2 at right of this label" sqref="AB4 E2"/>
    <dataValidation allowBlank="1" showInputMessage="1" showErrorMessage="1" prompt="Projection title is in this cell. Enter values in the Revenue table, below, to calculate total sales" sqref="B3 E2"/>
    <dataValidation allowBlank="1" showInputMessage="1" showErrorMessage="1" prompt="This worksheet calculates total sales for each month &amp; year, &amp; total annual sales from different sources. Enter fiscal year starting month in cell F2 &amp; year in cell G2" sqref="A1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>
          <x14:colorSeries theme="5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(Sales)'!$D$7:$O$7</xm:f>
              <xm:sqref>C7</xm:sqref>
            </x14:sparkline>
            <x14:sparkline>
              <xm:f>'Revenues (Sales)'!$D$8:$O$8</xm:f>
              <xm:sqref>C8</xm:sqref>
            </x14:sparkline>
            <x14:sparkline>
              <xm:f>'Revenues (Sales)'!$D$9:$O$9</xm:f>
              <xm:sqref>C9</xm:sqref>
            </x14:sparkline>
            <x14:sparkline>
              <xm:f>'Revenues (Sales)'!$D$10:$O$10</xm:f>
              <xm:sqref>C10</xm:sqref>
            </x14:sparkline>
            <x14:sparkline>
              <xm:f>'Revenues (Sales)'!$D$11:$O$11</xm:f>
              <xm:sqref>C11</xm:sqref>
            </x14:sparkline>
            <x14:sparkline>
              <xm:f>'Revenues (Sales)'!$D$12:$O$12</xm:f>
              <xm:sqref>C12</xm:sqref>
            </x14:sparkline>
            <x14:sparkline>
              <xm:f>'Revenues (Sales)'!$D$13:$O$13</xm:f>
              <xm:sqref>C13</xm:sqref>
            </x14:sparkline>
          </x14:sparklines>
        </x14:sparklineGroup>
        <x14:sparklineGroup lineWeight="1" displayEmptyCellsAs="gap" high="1" low="1" negative="1">
          <x14:colorSeries theme="5" tint="-0.499984740745262"/>
          <x14:colorNegative theme="0"/>
          <x14:colorAxis rgb="FF000000"/>
          <x14:colorMarkers theme="4" tint="-0.499984740745262"/>
          <x14:colorFirst theme="4" tint="0.39997558519241921"/>
          <x14:colorLast theme="4" tint="0.39997558519241921"/>
          <x14:colorHigh theme="5" tint="-0.499984740745262"/>
          <x14:colorLow theme="5" tint="-0.499984740745262"/>
          <x14:sparklines>
            <x14:sparkline>
              <xm:f>'Revenues (Sales)'!D14:O14</xm:f>
              <xm:sqref>C14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AF1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7" sqref="G7"/>
    </sheetView>
  </sheetViews>
  <sheetFormatPr defaultColWidth="8.875" defaultRowHeight="30" customHeight="1" x14ac:dyDescent="0.2"/>
  <cols>
    <col min="1" max="1" width="2.625" style="1" customWidth="1"/>
    <col min="2" max="3" width="20.625" style="1" customWidth="1"/>
    <col min="4" max="15" width="10.75" style="1" bestFit="1" customWidth="1"/>
    <col min="16" max="16" width="11.625" style="1" customWidth="1"/>
    <col min="17" max="17" width="6.75" style="1" bestFit="1" customWidth="1"/>
    <col min="18" max="30" width="7.375" style="1" bestFit="1" customWidth="1"/>
    <col min="31" max="31" width="2.625" style="1" customWidth="1"/>
    <col min="32" max="16384" width="8.875" style="1"/>
  </cols>
  <sheetData>
    <row r="1" spans="1:32" ht="38.1" customHeight="1" x14ac:dyDescent="0.2">
      <c r="B1" s="2" t="str">
        <f>Company_Name</f>
        <v>Company Name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2" ht="35.1" customHeight="1" x14ac:dyDescent="0.2">
      <c r="B2" s="50" t="str">
        <f>Projection_Period_Title</f>
        <v>Twelve Month</v>
      </c>
      <c r="C2" s="51"/>
      <c r="D2" s="51"/>
      <c r="E2" s="52" t="s">
        <v>77</v>
      </c>
      <c r="F2" s="53" t="str">
        <f>FYMonthStart</f>
        <v>JAN</v>
      </c>
      <c r="G2" s="53">
        <f ca="1">FYStartYear</f>
        <v>2023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32" ht="60" customHeight="1" x14ac:dyDescent="0.2">
      <c r="B3" s="11" t="str">
        <f>Wksht_Title</f>
        <v>Profit &amp; Loss Projection</v>
      </c>
      <c r="C3" s="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3"/>
      <c r="Q3" s="3"/>
      <c r="R3" s="3"/>
      <c r="S3" s="3"/>
      <c r="T3" s="3"/>
      <c r="U3" s="3"/>
      <c r="V3" s="3"/>
      <c r="W3" s="3"/>
      <c r="X3" s="13"/>
      <c r="Y3" s="13"/>
      <c r="Z3" s="13"/>
      <c r="AA3" s="13"/>
      <c r="AB3" s="3"/>
      <c r="AC3" s="3"/>
      <c r="AD3" s="3"/>
    </row>
    <row r="4" spans="1:32" ht="15" customHeight="1" x14ac:dyDescent="0.2"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5"/>
      <c r="X4" s="17"/>
      <c r="Y4" s="17"/>
      <c r="Z4" s="17"/>
      <c r="AA4" s="17"/>
      <c r="AB4" s="56"/>
      <c r="AC4" s="56"/>
      <c r="AD4" s="56"/>
    </row>
    <row r="5" spans="1:32" ht="20.100000000000001" customHeight="1" x14ac:dyDescent="0.2">
      <c r="D5" s="57" t="str">
        <f ca="1">UPPER(TEXT(DATE(FYStartYear,FYMonthNo,1),"mmm-yy"))</f>
        <v>JAN-23</v>
      </c>
      <c r="E5" s="57" t="str">
        <f ca="1">UPPER(TEXT(DATE(FYStartYear,FYMonthNo+1,1),"mmm-yy"))</f>
        <v>FEB-23</v>
      </c>
      <c r="F5" s="57" t="str">
        <f ca="1">UPPER(TEXT(DATE(FYStartYear,FYMonthNo+2,1),"mmm-yy"))</f>
        <v>MAR-23</v>
      </c>
      <c r="G5" s="57" t="str">
        <f ca="1">UPPER(TEXT(DATE(FYStartYear,FYMonthNo+3,1),"mmm-yy"))</f>
        <v>APR-23</v>
      </c>
      <c r="H5" s="57" t="str">
        <f ca="1">UPPER(TEXT(DATE(FYStartYear,FYMonthNo+4,1),"mmm-yy"))</f>
        <v>MAY-23</v>
      </c>
      <c r="I5" s="57" t="str">
        <f ca="1">UPPER(TEXT(DATE(FYStartYear,FYMonthNo+5,1),"mmm-yy"))</f>
        <v>JUN-23</v>
      </c>
      <c r="J5" s="57" t="str">
        <f ca="1">UPPER(TEXT(DATE(FYStartYear,FYMonthNo+6,1),"mmm-yy"))</f>
        <v>JUL-23</v>
      </c>
      <c r="K5" s="57" t="str">
        <f ca="1">UPPER(TEXT(DATE(FYStartYear,FYMonthNo+7,1),"mmm-yy"))</f>
        <v>AUG-23</v>
      </c>
      <c r="L5" s="57" t="str">
        <f ca="1">UPPER(TEXT(DATE(FYStartYear,FYMonthNo+8,1),"mmm-yy"))</f>
        <v>SEP-23</v>
      </c>
      <c r="M5" s="57" t="str">
        <f ca="1">UPPER(TEXT(DATE(FYStartYear,FYMonthNo+9,1),"mmm-yy"))</f>
        <v>OCT-23</v>
      </c>
      <c r="N5" s="57" t="str">
        <f ca="1">UPPER(TEXT(DATE(FYStartYear,FYMonthNo+10,1),"mmm-yy"))</f>
        <v>NOV-23</v>
      </c>
      <c r="O5" s="58" t="str">
        <f ca="1">UPPER(TEXT(DATE(FYStartYear,FYMonthNo+11,1),"mmm-yy"))</f>
        <v>DEC-23</v>
      </c>
      <c r="P5" s="59" t="s">
        <v>31</v>
      </c>
      <c r="Q5" s="58" t="s">
        <v>30</v>
      </c>
      <c r="R5" s="60" t="str">
        <f ca="1">LEFT(D5,3)&amp;" %"</f>
        <v>JAN %</v>
      </c>
      <c r="S5" s="61" t="str">
        <f t="shared" ref="S5:AC5" ca="1" si="0">LEFT(E5,3)&amp;" %"</f>
        <v>FEB %</v>
      </c>
      <c r="T5" s="61" t="str">
        <f t="shared" ca="1" si="0"/>
        <v>MAR %</v>
      </c>
      <c r="U5" s="61" t="str">
        <f t="shared" ca="1" si="0"/>
        <v>APR %</v>
      </c>
      <c r="V5" s="61" t="str">
        <f t="shared" ca="1" si="0"/>
        <v>MAY %</v>
      </c>
      <c r="W5" s="61" t="str">
        <f t="shared" ca="1" si="0"/>
        <v>JUN %</v>
      </c>
      <c r="X5" s="61" t="str">
        <f t="shared" ca="1" si="0"/>
        <v>JUL %</v>
      </c>
      <c r="Y5" s="61" t="str">
        <f t="shared" ca="1" si="0"/>
        <v>AUG %</v>
      </c>
      <c r="Z5" s="61" t="str">
        <f t="shared" ca="1" si="0"/>
        <v>SEP %</v>
      </c>
      <c r="AA5" s="61" t="str">
        <f t="shared" ca="1" si="0"/>
        <v>OCT %</v>
      </c>
      <c r="AB5" s="61" t="str">
        <f t="shared" ca="1" si="0"/>
        <v>NOV %</v>
      </c>
      <c r="AC5" s="61" t="str">
        <f t="shared" ca="1" si="0"/>
        <v>DEC %</v>
      </c>
      <c r="AD5" s="62" t="s">
        <v>32</v>
      </c>
      <c r="AE5" s="15"/>
      <c r="AF5" s="15"/>
    </row>
    <row r="6" spans="1:32" ht="30" customHeight="1" x14ac:dyDescent="0.2">
      <c r="B6" s="63" t="s">
        <v>26</v>
      </c>
      <c r="C6" s="64" t="s">
        <v>24</v>
      </c>
      <c r="D6" s="65" t="s">
        <v>47</v>
      </c>
      <c r="E6" s="65" t="s">
        <v>48</v>
      </c>
      <c r="F6" s="65" t="s">
        <v>49</v>
      </c>
      <c r="G6" s="65" t="s">
        <v>50</v>
      </c>
      <c r="H6" s="65" t="s">
        <v>51</v>
      </c>
      <c r="I6" s="65" t="s">
        <v>52</v>
      </c>
      <c r="J6" s="65" t="s">
        <v>53</v>
      </c>
      <c r="K6" s="65" t="s">
        <v>54</v>
      </c>
      <c r="L6" s="65" t="s">
        <v>55</v>
      </c>
      <c r="M6" s="65" t="s">
        <v>56</v>
      </c>
      <c r="N6" s="65" t="s">
        <v>57</v>
      </c>
      <c r="O6" s="65" t="s">
        <v>58</v>
      </c>
      <c r="P6" s="66" t="s">
        <v>0</v>
      </c>
      <c r="Q6" s="65" t="s">
        <v>59</v>
      </c>
      <c r="R6" s="67" t="s">
        <v>60</v>
      </c>
      <c r="S6" s="65" t="s">
        <v>61</v>
      </c>
      <c r="T6" s="65" t="s">
        <v>62</v>
      </c>
      <c r="U6" s="65" t="s">
        <v>63</v>
      </c>
      <c r="V6" s="65" t="s">
        <v>64</v>
      </c>
      <c r="W6" s="65" t="s">
        <v>65</v>
      </c>
      <c r="X6" s="65" t="s">
        <v>66</v>
      </c>
      <c r="Y6" s="65" t="s">
        <v>67</v>
      </c>
      <c r="Z6" s="65" t="s">
        <v>68</v>
      </c>
      <c r="AA6" s="65" t="s">
        <v>69</v>
      </c>
      <c r="AB6" s="65" t="s">
        <v>70</v>
      </c>
      <c r="AC6" s="65" t="s">
        <v>71</v>
      </c>
      <c r="AD6" s="68" t="s">
        <v>72</v>
      </c>
    </row>
    <row r="7" spans="1:32" ht="30" customHeight="1" x14ac:dyDescent="0.2">
      <c r="B7" s="69" t="s">
        <v>40</v>
      </c>
      <c r="C7" s="70"/>
      <c r="D7" s="71">
        <v>61</v>
      </c>
      <c r="E7" s="71">
        <v>78</v>
      </c>
      <c r="F7" s="71">
        <v>65</v>
      </c>
      <c r="G7" s="71">
        <v>29</v>
      </c>
      <c r="H7" s="71">
        <v>125</v>
      </c>
      <c r="I7" s="71">
        <v>49</v>
      </c>
      <c r="J7" s="71">
        <v>14</v>
      </c>
      <c r="K7" s="71">
        <v>26</v>
      </c>
      <c r="L7" s="71">
        <v>14</v>
      </c>
      <c r="M7" s="71">
        <v>129</v>
      </c>
      <c r="N7" s="71">
        <v>60</v>
      </c>
      <c r="O7" s="71">
        <v>65</v>
      </c>
      <c r="P7" s="72">
        <f>SUM(CostofSales[[#This Row],[Jan]:[Dec]])</f>
        <v>715</v>
      </c>
      <c r="Q7" s="73">
        <v>0.12</v>
      </c>
      <c r="R7" s="74">
        <f>IFERROR(CostofSales[[#This Row],[Jan]]/CostofSales[[#Totals],[Jan]],"-")</f>
        <v>0.23018867924528302</v>
      </c>
      <c r="S7" s="73">
        <f>IFERROR(CostofSales[[#This Row],[Feb]]/CostofSales[[#Totals],[Feb]],"-")</f>
        <v>0.21910112359550563</v>
      </c>
      <c r="T7" s="73">
        <f>IFERROR(CostofSales[[#This Row],[Mar]]/CostofSales[[#Totals],[Mar]],"-")</f>
        <v>0.20634920634920634</v>
      </c>
      <c r="U7" s="73">
        <f>IFERROR(CostofSales[[#This Row],[Apr]]/CostofSales[[#Totals],[Apr]],"-")</f>
        <v>0.12033195020746888</v>
      </c>
      <c r="V7" s="73">
        <f>IFERROR(CostofSales[[#This Row],[May]]/CostofSales[[#Totals],[May]],"-")</f>
        <v>0.31328320802005011</v>
      </c>
      <c r="W7" s="73">
        <f>IFERROR(CostofSales[[#This Row],[Jun]]/CostofSales[[#Totals],[Jun]],"-")</f>
        <v>0.15705128205128205</v>
      </c>
      <c r="X7" s="73">
        <f>IFERROR(CostofSales[[#This Row],[Jul]]/CostofSales[[#Totals],[Jul]],"-")</f>
        <v>4.6822742474916385E-2</v>
      </c>
      <c r="Y7" s="73">
        <f>IFERROR(CostofSales[[#This Row],[Aug]]/CostofSales[[#Totals],[Aug]],"-")</f>
        <v>0.11504424778761062</v>
      </c>
      <c r="Z7" s="73">
        <f>IFERROR(CostofSales[[#This Row],[Sep]]/CostofSales[[#Totals],[Sep]],"-")</f>
        <v>3.3816425120772944E-2</v>
      </c>
      <c r="AA7" s="73">
        <f>IFERROR(CostofSales[[#This Row],[Oct]]/CostofSales[[#Totals],[Oct]],"-")</f>
        <v>0.47080291970802918</v>
      </c>
      <c r="AB7" s="73">
        <f>IFERROR(CostofSales[[#This Row],[Nov]]/CostofSales[[#Totals],[Nov]],"-")</f>
        <v>0.22727272727272727</v>
      </c>
      <c r="AC7" s="73">
        <f>IFERROR(CostofSales[[#This Row],[Dec]]/CostofSales[[#Totals],[Dec]],"-")</f>
        <v>0.14348785871964681</v>
      </c>
      <c r="AD7" s="75">
        <f>IFERROR(CostofSales[[#This Row],[Yearly]]/CostofSales[[#Totals],[Yearly]],"-")</f>
        <v>0.18727082242011525</v>
      </c>
    </row>
    <row r="8" spans="1:32" ht="30" customHeight="1" x14ac:dyDescent="0.2">
      <c r="B8" s="69" t="s">
        <v>41</v>
      </c>
      <c r="C8" s="70"/>
      <c r="D8" s="71">
        <v>7</v>
      </c>
      <c r="E8" s="71">
        <v>5</v>
      </c>
      <c r="F8" s="71">
        <v>69</v>
      </c>
      <c r="G8" s="71">
        <v>32</v>
      </c>
      <c r="H8" s="71">
        <v>11</v>
      </c>
      <c r="I8" s="71">
        <v>30</v>
      </c>
      <c r="J8" s="71">
        <v>27</v>
      </c>
      <c r="K8" s="71">
        <v>32</v>
      </c>
      <c r="L8" s="71">
        <v>10</v>
      </c>
      <c r="M8" s="71">
        <v>41</v>
      </c>
      <c r="N8" s="71">
        <v>13</v>
      </c>
      <c r="O8" s="71">
        <v>105</v>
      </c>
      <c r="P8" s="72">
        <f>SUM(CostofSales[[#This Row],[Jan]:[Dec]])</f>
        <v>382</v>
      </c>
      <c r="Q8" s="73">
        <v>0.18</v>
      </c>
      <c r="R8" s="74">
        <f>IFERROR(CostofSales[[#This Row],[Jan]]/CostofSales[[#Totals],[Jan]],"-")</f>
        <v>2.6415094339622643E-2</v>
      </c>
      <c r="S8" s="73">
        <f>IFERROR(CostofSales[[#This Row],[Feb]]/CostofSales[[#Totals],[Feb]],"-")</f>
        <v>1.4044943820224719E-2</v>
      </c>
      <c r="T8" s="73">
        <f>IFERROR(CostofSales[[#This Row],[Mar]]/CostofSales[[#Totals],[Mar]],"-")</f>
        <v>0.21904761904761905</v>
      </c>
      <c r="U8" s="73">
        <f>IFERROR(CostofSales[[#This Row],[Apr]]/CostofSales[[#Totals],[Apr]],"-")</f>
        <v>0.13278008298755187</v>
      </c>
      <c r="V8" s="73">
        <f>IFERROR(CostofSales[[#This Row],[May]]/CostofSales[[#Totals],[May]],"-")</f>
        <v>2.7568922305764409E-2</v>
      </c>
      <c r="W8" s="73">
        <f>IFERROR(CostofSales[[#This Row],[Jun]]/CostofSales[[#Totals],[Jun]],"-")</f>
        <v>9.6153846153846159E-2</v>
      </c>
      <c r="X8" s="73">
        <f>IFERROR(CostofSales[[#This Row],[Jul]]/CostofSales[[#Totals],[Jul]],"-")</f>
        <v>9.0301003344481601E-2</v>
      </c>
      <c r="Y8" s="73">
        <f>IFERROR(CostofSales[[#This Row],[Aug]]/CostofSales[[#Totals],[Aug]],"-")</f>
        <v>0.1415929203539823</v>
      </c>
      <c r="Z8" s="73">
        <f>IFERROR(CostofSales[[#This Row],[Sep]]/CostofSales[[#Totals],[Sep]],"-")</f>
        <v>2.4154589371980676E-2</v>
      </c>
      <c r="AA8" s="73">
        <f>IFERROR(CostofSales[[#This Row],[Oct]]/CostofSales[[#Totals],[Oct]],"-")</f>
        <v>0.14963503649635038</v>
      </c>
      <c r="AB8" s="73">
        <f>IFERROR(CostofSales[[#This Row],[Nov]]/CostofSales[[#Totals],[Nov]],"-")</f>
        <v>4.924242424242424E-2</v>
      </c>
      <c r="AC8" s="73">
        <f>IFERROR(CostofSales[[#This Row],[Dec]]/CostofSales[[#Totals],[Dec]],"-")</f>
        <v>0.23178807947019867</v>
      </c>
      <c r="AD8" s="75">
        <f>IFERROR(CostofSales[[#This Row],[Yearly]]/CostofSales[[#Totals],[Yearly]],"-")</f>
        <v>0.1000523834468308</v>
      </c>
    </row>
    <row r="9" spans="1:32" ht="30" customHeight="1" x14ac:dyDescent="0.2">
      <c r="B9" s="69" t="s">
        <v>42</v>
      </c>
      <c r="C9" s="70"/>
      <c r="D9" s="71">
        <v>99</v>
      </c>
      <c r="E9" s="71">
        <v>95</v>
      </c>
      <c r="F9" s="71">
        <v>51</v>
      </c>
      <c r="G9" s="71">
        <v>90</v>
      </c>
      <c r="H9" s="71">
        <v>21</v>
      </c>
      <c r="I9" s="71">
        <v>34</v>
      </c>
      <c r="J9" s="71">
        <v>30</v>
      </c>
      <c r="K9" s="71">
        <v>24</v>
      </c>
      <c r="L9" s="71">
        <v>109</v>
      </c>
      <c r="M9" s="71">
        <v>16</v>
      </c>
      <c r="N9" s="71">
        <v>21</v>
      </c>
      <c r="O9" s="71">
        <v>52</v>
      </c>
      <c r="P9" s="72">
        <f>SUM(CostofSales[[#This Row],[Jan]:[Dec]])</f>
        <v>642</v>
      </c>
      <c r="Q9" s="73">
        <v>0.19</v>
      </c>
      <c r="R9" s="74">
        <f>IFERROR(CostofSales[[#This Row],[Jan]]/CostofSales[[#Totals],[Jan]],"-")</f>
        <v>0.37358490566037733</v>
      </c>
      <c r="S9" s="73">
        <f>IFERROR(CostofSales[[#This Row],[Feb]]/CostofSales[[#Totals],[Feb]],"-")</f>
        <v>0.26685393258426965</v>
      </c>
      <c r="T9" s="73">
        <f>IFERROR(CostofSales[[#This Row],[Mar]]/CostofSales[[#Totals],[Mar]],"-")</f>
        <v>0.16190476190476191</v>
      </c>
      <c r="U9" s="73">
        <f>IFERROR(CostofSales[[#This Row],[Apr]]/CostofSales[[#Totals],[Apr]],"-")</f>
        <v>0.37344398340248963</v>
      </c>
      <c r="V9" s="73">
        <f>IFERROR(CostofSales[[#This Row],[May]]/CostofSales[[#Totals],[May]],"-")</f>
        <v>5.2631578947368418E-2</v>
      </c>
      <c r="W9" s="73">
        <f>IFERROR(CostofSales[[#This Row],[Jun]]/CostofSales[[#Totals],[Jun]],"-")</f>
        <v>0.10897435897435898</v>
      </c>
      <c r="X9" s="73">
        <f>IFERROR(CostofSales[[#This Row],[Jul]]/CostofSales[[#Totals],[Jul]],"-")</f>
        <v>0.10033444816053512</v>
      </c>
      <c r="Y9" s="73">
        <f>IFERROR(CostofSales[[#This Row],[Aug]]/CostofSales[[#Totals],[Aug]],"-")</f>
        <v>0.10619469026548672</v>
      </c>
      <c r="Z9" s="73">
        <f>IFERROR(CostofSales[[#This Row],[Sep]]/CostofSales[[#Totals],[Sep]],"-")</f>
        <v>0.26328502415458938</v>
      </c>
      <c r="AA9" s="73">
        <f>IFERROR(CostofSales[[#This Row],[Oct]]/CostofSales[[#Totals],[Oct]],"-")</f>
        <v>5.8394160583941604E-2</v>
      </c>
      <c r="AB9" s="73">
        <f>IFERROR(CostofSales[[#This Row],[Nov]]/CostofSales[[#Totals],[Nov]],"-")</f>
        <v>7.9545454545454544E-2</v>
      </c>
      <c r="AC9" s="73">
        <f>IFERROR(CostofSales[[#This Row],[Dec]]/CostofSales[[#Totals],[Dec]],"-")</f>
        <v>0.11479028697571744</v>
      </c>
      <c r="AD9" s="75">
        <f>IFERROR(CostofSales[[#This Row],[Yearly]]/CostofSales[[#Totals],[Yearly]],"-")</f>
        <v>0.16815086432687271</v>
      </c>
    </row>
    <row r="10" spans="1:32" ht="30" customHeight="1" x14ac:dyDescent="0.2">
      <c r="B10" s="69" t="s">
        <v>43</v>
      </c>
      <c r="C10" s="70"/>
      <c r="D10" s="71">
        <v>13</v>
      </c>
      <c r="E10" s="71">
        <v>28</v>
      </c>
      <c r="F10" s="71">
        <v>15</v>
      </c>
      <c r="G10" s="71">
        <v>8</v>
      </c>
      <c r="H10" s="71">
        <v>84</v>
      </c>
      <c r="I10" s="71">
        <v>12</v>
      </c>
      <c r="J10" s="71">
        <v>54</v>
      </c>
      <c r="K10" s="71">
        <v>72</v>
      </c>
      <c r="L10" s="71">
        <v>49</v>
      </c>
      <c r="M10" s="71">
        <v>24</v>
      </c>
      <c r="N10" s="71">
        <v>60</v>
      </c>
      <c r="O10" s="71">
        <v>39</v>
      </c>
      <c r="P10" s="72">
        <f>SUM(CostofSales[[#This Row],[Jan]:[Dec]])</f>
        <v>458</v>
      </c>
      <c r="Q10" s="73">
        <v>0.11</v>
      </c>
      <c r="R10" s="74">
        <f>IFERROR(CostofSales[[#This Row],[Jan]]/CostofSales[[#Totals],[Jan]],"-")</f>
        <v>4.9056603773584909E-2</v>
      </c>
      <c r="S10" s="73">
        <f>IFERROR(CostofSales[[#This Row],[Feb]]/CostofSales[[#Totals],[Feb]],"-")</f>
        <v>7.8651685393258425E-2</v>
      </c>
      <c r="T10" s="73">
        <f>IFERROR(CostofSales[[#This Row],[Mar]]/CostofSales[[#Totals],[Mar]],"-")</f>
        <v>4.7619047619047616E-2</v>
      </c>
      <c r="U10" s="73">
        <f>IFERROR(CostofSales[[#This Row],[Apr]]/CostofSales[[#Totals],[Apr]],"-")</f>
        <v>3.3195020746887967E-2</v>
      </c>
      <c r="V10" s="73">
        <f>IFERROR(CostofSales[[#This Row],[May]]/CostofSales[[#Totals],[May]],"-")</f>
        <v>0.21052631578947367</v>
      </c>
      <c r="W10" s="73">
        <f>IFERROR(CostofSales[[#This Row],[Jun]]/CostofSales[[#Totals],[Jun]],"-")</f>
        <v>3.8461538461538464E-2</v>
      </c>
      <c r="X10" s="73">
        <f>IFERROR(CostofSales[[#This Row],[Jul]]/CostofSales[[#Totals],[Jul]],"-")</f>
        <v>0.1806020066889632</v>
      </c>
      <c r="Y10" s="73">
        <f>IFERROR(CostofSales[[#This Row],[Aug]]/CostofSales[[#Totals],[Aug]],"-")</f>
        <v>0.31858407079646017</v>
      </c>
      <c r="Z10" s="73">
        <f>IFERROR(CostofSales[[#This Row],[Sep]]/CostofSales[[#Totals],[Sep]],"-")</f>
        <v>0.11835748792270531</v>
      </c>
      <c r="AA10" s="73">
        <f>IFERROR(CostofSales[[#This Row],[Oct]]/CostofSales[[#Totals],[Oct]],"-")</f>
        <v>8.7591240875912413E-2</v>
      </c>
      <c r="AB10" s="73">
        <f>IFERROR(CostofSales[[#This Row],[Nov]]/CostofSales[[#Totals],[Nov]],"-")</f>
        <v>0.22727272727272727</v>
      </c>
      <c r="AC10" s="73">
        <f>IFERROR(CostofSales[[#This Row],[Dec]]/CostofSales[[#Totals],[Dec]],"-")</f>
        <v>8.6092715231788075E-2</v>
      </c>
      <c r="AD10" s="75">
        <f>IFERROR(CostofSales[[#This Row],[Yearly]]/CostofSales[[#Totals],[Yearly]],"-")</f>
        <v>0.11995809324253535</v>
      </c>
    </row>
    <row r="11" spans="1:32" ht="30" customHeight="1" x14ac:dyDescent="0.2">
      <c r="B11" s="69" t="s">
        <v>44</v>
      </c>
      <c r="C11" s="70"/>
      <c r="D11" s="71">
        <v>34</v>
      </c>
      <c r="E11" s="71">
        <v>78</v>
      </c>
      <c r="F11" s="71">
        <v>43</v>
      </c>
      <c r="G11" s="71">
        <v>30</v>
      </c>
      <c r="H11" s="71">
        <v>77</v>
      </c>
      <c r="I11" s="71">
        <v>54</v>
      </c>
      <c r="J11" s="71">
        <v>26</v>
      </c>
      <c r="K11" s="71">
        <v>13</v>
      </c>
      <c r="L11" s="71">
        <v>56</v>
      </c>
      <c r="M11" s="71">
        <v>30</v>
      </c>
      <c r="N11" s="71">
        <v>40</v>
      </c>
      <c r="O11" s="71">
        <v>63</v>
      </c>
      <c r="P11" s="72">
        <f>SUM(CostofSales[[#This Row],[Jan]:[Dec]])</f>
        <v>544</v>
      </c>
      <c r="Q11" s="73">
        <v>0.2</v>
      </c>
      <c r="R11" s="74">
        <f>IFERROR(CostofSales[[#This Row],[Jan]]/CostofSales[[#Totals],[Jan]],"-")</f>
        <v>0.12830188679245283</v>
      </c>
      <c r="S11" s="73">
        <f>IFERROR(CostofSales[[#This Row],[Feb]]/CostofSales[[#Totals],[Feb]],"-")</f>
        <v>0.21910112359550563</v>
      </c>
      <c r="T11" s="73">
        <f>IFERROR(CostofSales[[#This Row],[Mar]]/CostofSales[[#Totals],[Mar]],"-")</f>
        <v>0.13650793650793649</v>
      </c>
      <c r="U11" s="73">
        <f>IFERROR(CostofSales[[#This Row],[Apr]]/CostofSales[[#Totals],[Apr]],"-")</f>
        <v>0.12448132780082988</v>
      </c>
      <c r="V11" s="73">
        <f>IFERROR(CostofSales[[#This Row],[May]]/CostofSales[[#Totals],[May]],"-")</f>
        <v>0.19298245614035087</v>
      </c>
      <c r="W11" s="73">
        <f>IFERROR(CostofSales[[#This Row],[Jun]]/CostofSales[[#Totals],[Jun]],"-")</f>
        <v>0.17307692307692307</v>
      </c>
      <c r="X11" s="73">
        <f>IFERROR(CostofSales[[#This Row],[Jul]]/CostofSales[[#Totals],[Jul]],"-")</f>
        <v>8.6956521739130432E-2</v>
      </c>
      <c r="Y11" s="73">
        <f>IFERROR(CostofSales[[#This Row],[Aug]]/CostofSales[[#Totals],[Aug]],"-")</f>
        <v>5.7522123893805309E-2</v>
      </c>
      <c r="Z11" s="73">
        <f>IFERROR(CostofSales[[#This Row],[Sep]]/CostofSales[[#Totals],[Sep]],"-")</f>
        <v>0.13526570048309178</v>
      </c>
      <c r="AA11" s="73">
        <f>IFERROR(CostofSales[[#This Row],[Oct]]/CostofSales[[#Totals],[Oct]],"-")</f>
        <v>0.10948905109489052</v>
      </c>
      <c r="AB11" s="73">
        <f>IFERROR(CostofSales[[#This Row],[Nov]]/CostofSales[[#Totals],[Nov]],"-")</f>
        <v>0.15151515151515152</v>
      </c>
      <c r="AC11" s="73">
        <f>IFERROR(CostofSales[[#This Row],[Dec]]/CostofSales[[#Totals],[Dec]],"-")</f>
        <v>0.13907284768211919</v>
      </c>
      <c r="AD11" s="75">
        <f>IFERROR(CostofSales[[#This Row],[Yearly]]/CostofSales[[#Totals],[Yearly]],"-")</f>
        <v>0.14248297537978</v>
      </c>
    </row>
    <row r="12" spans="1:32" ht="30" customHeight="1" x14ac:dyDescent="0.2">
      <c r="B12" s="69" t="s">
        <v>45</v>
      </c>
      <c r="C12" s="70"/>
      <c r="D12" s="71">
        <v>33</v>
      </c>
      <c r="E12" s="71">
        <v>61</v>
      </c>
      <c r="F12" s="71">
        <v>42</v>
      </c>
      <c r="G12" s="71">
        <v>43</v>
      </c>
      <c r="H12" s="71">
        <v>19</v>
      </c>
      <c r="I12" s="71">
        <v>94</v>
      </c>
      <c r="J12" s="71">
        <v>46</v>
      </c>
      <c r="K12" s="71">
        <v>15</v>
      </c>
      <c r="L12" s="71">
        <v>55</v>
      </c>
      <c r="M12" s="71">
        <v>15</v>
      </c>
      <c r="N12" s="71">
        <v>37</v>
      </c>
      <c r="O12" s="71">
        <v>89</v>
      </c>
      <c r="P12" s="72">
        <f>SUM(CostofSales[[#This Row],[Jan]:[Dec]])</f>
        <v>549</v>
      </c>
      <c r="Q12" s="73">
        <v>0.1</v>
      </c>
      <c r="R12" s="74">
        <f>IFERROR(CostofSales[[#This Row],[Jan]]/CostofSales[[#Totals],[Jan]],"-")</f>
        <v>0.12452830188679245</v>
      </c>
      <c r="S12" s="73">
        <f>IFERROR(CostofSales[[#This Row],[Feb]]/CostofSales[[#Totals],[Feb]],"-")</f>
        <v>0.17134831460674158</v>
      </c>
      <c r="T12" s="73">
        <f>IFERROR(CostofSales[[#This Row],[Mar]]/CostofSales[[#Totals],[Mar]],"-")</f>
        <v>0.13333333333333333</v>
      </c>
      <c r="U12" s="73">
        <f>IFERROR(CostofSales[[#This Row],[Apr]]/CostofSales[[#Totals],[Apr]],"-")</f>
        <v>0.17842323651452283</v>
      </c>
      <c r="V12" s="73">
        <f>IFERROR(CostofSales[[#This Row],[May]]/CostofSales[[#Totals],[May]],"-")</f>
        <v>4.7619047619047616E-2</v>
      </c>
      <c r="W12" s="73">
        <f>IFERROR(CostofSales[[#This Row],[Jun]]/CostofSales[[#Totals],[Jun]],"-")</f>
        <v>0.30128205128205127</v>
      </c>
      <c r="X12" s="73">
        <f>IFERROR(CostofSales[[#This Row],[Jul]]/CostofSales[[#Totals],[Jul]],"-")</f>
        <v>0.15384615384615385</v>
      </c>
      <c r="Y12" s="73">
        <f>IFERROR(CostofSales[[#This Row],[Aug]]/CostofSales[[#Totals],[Aug]],"-")</f>
        <v>6.637168141592921E-2</v>
      </c>
      <c r="Z12" s="73">
        <f>IFERROR(CostofSales[[#This Row],[Sep]]/CostofSales[[#Totals],[Sep]],"-")</f>
        <v>0.13285024154589373</v>
      </c>
      <c r="AA12" s="73">
        <f>IFERROR(CostofSales[[#This Row],[Oct]]/CostofSales[[#Totals],[Oct]],"-")</f>
        <v>5.4744525547445258E-2</v>
      </c>
      <c r="AB12" s="73">
        <f>IFERROR(CostofSales[[#This Row],[Nov]]/CostofSales[[#Totals],[Nov]],"-")</f>
        <v>0.14015151515151514</v>
      </c>
      <c r="AC12" s="73">
        <f>IFERROR(CostofSales[[#This Row],[Dec]]/CostofSales[[#Totals],[Dec]],"-")</f>
        <v>0.19646799116997793</v>
      </c>
      <c r="AD12" s="75">
        <f>IFERROR(CostofSales[[#This Row],[Yearly]]/CostofSales[[#Totals],[Yearly]],"-")</f>
        <v>0.14379256155055004</v>
      </c>
    </row>
    <row r="13" spans="1:32" ht="30" customHeight="1" x14ac:dyDescent="0.2">
      <c r="A13" s="39"/>
      <c r="B13" s="69" t="s">
        <v>46</v>
      </c>
      <c r="C13" s="70"/>
      <c r="D13" s="71">
        <v>18</v>
      </c>
      <c r="E13" s="71">
        <v>11</v>
      </c>
      <c r="F13" s="71">
        <v>30</v>
      </c>
      <c r="G13" s="71">
        <v>9</v>
      </c>
      <c r="H13" s="71">
        <v>62</v>
      </c>
      <c r="I13" s="71">
        <v>39</v>
      </c>
      <c r="J13" s="71">
        <v>102</v>
      </c>
      <c r="K13" s="71">
        <v>44</v>
      </c>
      <c r="L13" s="71">
        <v>121</v>
      </c>
      <c r="M13" s="71">
        <v>19</v>
      </c>
      <c r="N13" s="71">
        <v>33</v>
      </c>
      <c r="O13" s="71">
        <v>40</v>
      </c>
      <c r="P13" s="72">
        <f>SUM(CostofSales[[#This Row],[Jan]:[Dec]])</f>
        <v>528</v>
      </c>
      <c r="Q13" s="73">
        <v>0.1</v>
      </c>
      <c r="R13" s="74">
        <f>IFERROR(CostofSales[[#This Row],[Jan]]/CostofSales[[#Totals],[Jan]],"-")</f>
        <v>6.7924528301886791E-2</v>
      </c>
      <c r="S13" s="73">
        <f>IFERROR(CostofSales[[#This Row],[Feb]]/CostofSales[[#Totals],[Feb]],"-")</f>
        <v>3.0898876404494381E-2</v>
      </c>
      <c r="T13" s="73">
        <f>IFERROR(CostofSales[[#This Row],[Mar]]/CostofSales[[#Totals],[Mar]],"-")</f>
        <v>9.5238095238095233E-2</v>
      </c>
      <c r="U13" s="73">
        <f>IFERROR(CostofSales[[#This Row],[Apr]]/CostofSales[[#Totals],[Apr]],"-")</f>
        <v>3.7344398340248962E-2</v>
      </c>
      <c r="V13" s="73">
        <f>IFERROR(CostofSales[[#This Row],[May]]/CostofSales[[#Totals],[May]],"-")</f>
        <v>0.15538847117794485</v>
      </c>
      <c r="W13" s="73">
        <f>IFERROR(CostofSales[[#This Row],[Jun]]/CostofSales[[#Totals],[Jun]],"-")</f>
        <v>0.125</v>
      </c>
      <c r="X13" s="73">
        <f>IFERROR(CostofSales[[#This Row],[Jul]]/CostofSales[[#Totals],[Jul]],"-")</f>
        <v>0.34113712374581939</v>
      </c>
      <c r="Y13" s="73">
        <f>IFERROR(CostofSales[[#This Row],[Aug]]/CostofSales[[#Totals],[Aug]],"-")</f>
        <v>0.19469026548672566</v>
      </c>
      <c r="Z13" s="73">
        <f>IFERROR(CostofSales[[#This Row],[Sep]]/CostofSales[[#Totals],[Sep]],"-")</f>
        <v>0.2922705314009662</v>
      </c>
      <c r="AA13" s="73">
        <f>IFERROR(CostofSales[[#This Row],[Oct]]/CostofSales[[#Totals],[Oct]],"-")</f>
        <v>6.9343065693430656E-2</v>
      </c>
      <c r="AB13" s="73">
        <f>IFERROR(CostofSales[[#This Row],[Nov]]/CostofSales[[#Totals],[Nov]],"-")</f>
        <v>0.125</v>
      </c>
      <c r="AC13" s="73">
        <f>IFERROR(CostofSales[[#This Row],[Dec]]/CostofSales[[#Totals],[Dec]],"-")</f>
        <v>8.8300220750551883E-2</v>
      </c>
      <c r="AD13" s="75">
        <f>IFERROR(CostofSales[[#This Row],[Yearly]]/CostofSales[[#Totals],[Yearly]],"-")</f>
        <v>0.13829229963331588</v>
      </c>
    </row>
    <row r="14" spans="1:32" ht="30" customHeight="1" x14ac:dyDescent="0.2">
      <c r="A14" s="40"/>
      <c r="B14" s="76" t="s">
        <v>27</v>
      </c>
      <c r="C14" s="77"/>
      <c r="D14" s="78">
        <f>SUBTOTAL(109,CostofSales[Jan])</f>
        <v>265</v>
      </c>
      <c r="E14" s="78">
        <f>SUBTOTAL(109,CostofSales[Feb])</f>
        <v>356</v>
      </c>
      <c r="F14" s="78">
        <f>SUBTOTAL(109,CostofSales[Mar])</f>
        <v>315</v>
      </c>
      <c r="G14" s="78">
        <f>SUBTOTAL(109,CostofSales[Apr])</f>
        <v>241</v>
      </c>
      <c r="H14" s="78">
        <f>SUBTOTAL(109,CostofSales[May])</f>
        <v>399</v>
      </c>
      <c r="I14" s="78">
        <f>SUBTOTAL(109,CostofSales[Jun])</f>
        <v>312</v>
      </c>
      <c r="J14" s="78">
        <f>SUBTOTAL(109,CostofSales[Jul])</f>
        <v>299</v>
      </c>
      <c r="K14" s="78">
        <f>SUBTOTAL(109,CostofSales[Aug])</f>
        <v>226</v>
      </c>
      <c r="L14" s="78">
        <f>SUBTOTAL(109,CostofSales[Sep])</f>
        <v>414</v>
      </c>
      <c r="M14" s="78">
        <f>SUBTOTAL(109,CostofSales[Oct])</f>
        <v>274</v>
      </c>
      <c r="N14" s="78">
        <f>SUBTOTAL(109,CostofSales[Nov])</f>
        <v>264</v>
      </c>
      <c r="O14" s="78">
        <f>SUBTOTAL(109,CostofSales[Dec])</f>
        <v>453</v>
      </c>
      <c r="P14" s="79">
        <f>SUBTOTAL(109,CostofSales[Yearly])</f>
        <v>3818</v>
      </c>
      <c r="Q14" s="80">
        <f>SUBTOTAL(109,CostofSales[Index %])</f>
        <v>1</v>
      </c>
      <c r="R14" s="81">
        <f>SUBTOTAL(109,CostofSales[Jan %])</f>
        <v>0.99999999999999989</v>
      </c>
      <c r="S14" s="82">
        <f>SUBTOTAL(109,CostofSales[Feb %])</f>
        <v>1</v>
      </c>
      <c r="T14" s="82">
        <f>SUBTOTAL(109,CostofSales[Mar %])</f>
        <v>0.99999999999999989</v>
      </c>
      <c r="U14" s="82">
        <f>SUBTOTAL(109,CostofSales[Apr %])</f>
        <v>1</v>
      </c>
      <c r="V14" s="82">
        <f>SUBTOTAL(109,CostofSales[May %])</f>
        <v>0.99999999999999989</v>
      </c>
      <c r="W14" s="82">
        <f>SUBTOTAL(109,CostofSales[Jun %])</f>
        <v>1</v>
      </c>
      <c r="X14" s="82">
        <f>SUBTOTAL(109,CostofSales[Jul %])</f>
        <v>1</v>
      </c>
      <c r="Y14" s="82">
        <f>SUBTOTAL(109,CostofSales[Aug %])</f>
        <v>0.99999999999999989</v>
      </c>
      <c r="Z14" s="82">
        <f>SUBTOTAL(109,CostofSales[Sep %])</f>
        <v>1</v>
      </c>
      <c r="AA14" s="82">
        <f>SUBTOTAL(109,CostofSales[Oct %])</f>
        <v>1</v>
      </c>
      <c r="AB14" s="82">
        <f>SUBTOTAL(109,CostofSales[Nov %])</f>
        <v>0.99999999999999989</v>
      </c>
      <c r="AC14" s="82">
        <f>SUBTOTAL(109,CostofSales[Dec %])</f>
        <v>1</v>
      </c>
      <c r="AD14" s="83">
        <f>SUBTOTAL(109,CostofSales[Year %])</f>
        <v>0.99999999999999989</v>
      </c>
    </row>
    <row r="15" spans="1:32" ht="9.9499999999999993" customHeight="1" x14ac:dyDescent="0.2">
      <c r="AE15" s="84"/>
      <c r="AF15" s="84"/>
    </row>
    <row r="16" spans="1:32" ht="25.5" customHeight="1" x14ac:dyDescent="0.2">
      <c r="B16" s="85" t="s">
        <v>1</v>
      </c>
      <c r="C16" s="86"/>
      <c r="D16" s="87">
        <f>Revenue[[#Totals],[Jan]]-CostofSales[[#Totals],[Jan]]</f>
        <v>359</v>
      </c>
      <c r="E16" s="87">
        <f>Revenue[[#Totals],[Feb]]-CostofSales[[#Totals],[Feb]]</f>
        <v>380</v>
      </c>
      <c r="F16" s="87">
        <f>Revenue[[#Totals],[Mar]]-CostofSales[[#Totals],[Mar]]</f>
        <v>505</v>
      </c>
      <c r="G16" s="87">
        <f>Revenue[[#Totals],[Apr]]-CostofSales[[#Totals],[Apr]]</f>
        <v>370</v>
      </c>
      <c r="H16" s="87">
        <f>Revenue[[#Totals],[May]]-CostofSales[[#Totals],[May]]</f>
        <v>413</v>
      </c>
      <c r="I16" s="87">
        <f>Revenue[[#Totals],[Jun]]-CostofSales[[#Totals],[Jun]]</f>
        <v>266</v>
      </c>
      <c r="J16" s="87">
        <f>Revenue[[#Totals],[Jul]]-CostofSales[[#Totals],[Jul]]</f>
        <v>298</v>
      </c>
      <c r="K16" s="87">
        <f>Revenue[[#Totals],[Aug]]-CostofSales[[#Totals],[Aug]]</f>
        <v>449</v>
      </c>
      <c r="L16" s="87">
        <f>Revenue[[#Totals],[Sep]]-CostofSales[[#Totals],[Sep]]</f>
        <v>330</v>
      </c>
      <c r="M16" s="87">
        <f>Revenue[[#Totals],[Oct]]-CostofSales[[#Totals],[Oct]]</f>
        <v>407</v>
      </c>
      <c r="N16" s="87">
        <f>Revenue[[#Totals],[Nov]]-CostofSales[[#Totals],[Nov]]</f>
        <v>475</v>
      </c>
      <c r="O16" s="87">
        <f>Revenue[[#Totals],[Dec]]-CostofSales[[#Totals],[Dec]]</f>
        <v>590</v>
      </c>
      <c r="P16" s="87">
        <f>Revenue[[#Totals],[Yearly]]-CostofSales[[#Totals],[Yearly]]</f>
        <v>4842</v>
      </c>
      <c r="Q16" s="48"/>
      <c r="R16" s="88">
        <f t="shared" ref="R16:AC16" si="1">D16/$P$16</f>
        <v>7.4142916150351096E-2</v>
      </c>
      <c r="S16" s="88">
        <f t="shared" si="1"/>
        <v>7.8479966955803393E-2</v>
      </c>
      <c r="T16" s="88">
        <f t="shared" si="1"/>
        <v>0.10429574555968608</v>
      </c>
      <c r="U16" s="88">
        <f t="shared" si="1"/>
        <v>7.6414704667492769E-2</v>
      </c>
      <c r="V16" s="88">
        <f t="shared" si="1"/>
        <v>8.5295332507228414E-2</v>
      </c>
      <c r="W16" s="88">
        <f t="shared" si="1"/>
        <v>5.4935976869062368E-2</v>
      </c>
      <c r="X16" s="88">
        <f t="shared" si="1"/>
        <v>6.1544816191656339E-2</v>
      </c>
      <c r="Y16" s="88">
        <f t="shared" si="1"/>
        <v>9.2730276745146639E-2</v>
      </c>
      <c r="Z16" s="88">
        <f t="shared" si="1"/>
        <v>6.8153655514250316E-2</v>
      </c>
      <c r="AA16" s="88">
        <f t="shared" si="1"/>
        <v>8.4056175134242045E-2</v>
      </c>
      <c r="AB16" s="88">
        <f t="shared" si="1"/>
        <v>9.8099958694754227E-2</v>
      </c>
      <c r="AC16" s="88">
        <f t="shared" si="1"/>
        <v>0.12185047501032631</v>
      </c>
      <c r="AD16" s="88">
        <f>P16/$P$16</f>
        <v>1</v>
      </c>
    </row>
  </sheetData>
  <dataValidations count="18">
    <dataValidation allowBlank="1" showInputMessage="1" showErrorMessage="1" prompt="Gross profit for each month and year is automatically calculated in this row based on total sales &amp; total costs of sales" sqref="B16"/>
    <dataValidation allowBlank="1" showInputMessage="1" showErrorMessage="1" prompt="This worksheet calculates total cost of sales for each month &amp; year, &amp; annual costs of sales for items. Based on entries, gross profit is automatically calculated" sqref="A1:A2"/>
    <dataValidation allowBlank="1" showInputMessage="1" showErrorMessage="1" prompt="Automatically updated title from Revenue (Sales) worksheet. Enter values in the Cost of Sales table below to calculate total costs of sales" sqref="B3:B4"/>
    <dataValidation allowBlank="1" showInputMessage="1" showErrorMessage="1" prompt="Month &amp; year are automatically updated in cells at right. To change month or year, modify cells AC2 and AD2 in Revenue (Sales) worksheet" sqref="E2"/>
    <dataValidation allowBlank="1" showInputMessage="1" showErrorMessage="1" prompt="Enter index percent in this column" sqref="Q6"/>
    <dataValidation allowBlank="1" showInputMessage="1" showErrorMessage="1" prompt="Enter cost of the sources listed in column B, in this column" sqref="D6:O6"/>
    <dataValidation allowBlank="1" showInputMessage="1" showErrorMessage="1" prompt="A trend chart for costs over time is in this column" sqref="C6"/>
    <dataValidation allowBlank="1" showInputMessage="1" showErrorMessage="1" prompt="Enter cost of sales in this column" sqref="B6"/>
    <dataValidation allowBlank="1" showInputMessage="1" showErrorMessage="1" prompt="Automatically calculates proportion of cost of sales from different sources to total sales for the year in this column" sqref="AD5"/>
    <dataValidation allowBlank="1" showInputMessage="1" showErrorMessage="1" prompt="Automatically calculates proportion of cost of sales from different sources to total sales in this column, for the month in this cell" sqref="R5:AC5"/>
    <dataValidation allowBlank="1" showInputMessage="1" showErrorMessage="1" prompt="Automatically updated month" sqref="E5:O5"/>
    <dataValidation allowBlank="1" showInputMessage="1" showErrorMessage="1" prompt="The dates in this row are automatically updated based on the starting month of fiscal year. To change starting month, modify cell AC2 in Revenues (Sales) sheet" sqref="D5"/>
    <dataValidation allowBlank="1" showInputMessage="1" showErrorMessage="1" prompt="Annual Cost is automatically calculated in this column" sqref="P5"/>
    <dataValidation allowBlank="1" showInputMessage="1" showErrorMessage="1" prompt="Index percent is in this column" sqref="Q5"/>
    <dataValidation allowBlank="1" showInputMessage="1" showErrorMessage="1" prompt="Automatically updated month. To change, modify cell AC2 in Revenues (Sales) worksheet" sqref="F2"/>
    <dataValidation allowBlank="1" showInputMessage="1" showErrorMessage="1" prompt="Automatically updated year. To change, modify cell AD2 in Revenues (Sales) worksheet" sqref="G2"/>
    <dataValidation allowBlank="1" showInputMessage="1" showErrorMessage="1" prompt="This cell is automatically updated from the projection period title in Revenue (Sales) worksheet" sqref="B2"/>
    <dataValidation allowBlank="1" showInputMessage="1" showErrorMessage="1" prompt="Company name is automatically updated using the entry from Revenue (Sales) worksheet" sqref="AD2 B1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Sales'!D7:O7</xm:f>
              <xm:sqref>C7</xm:sqref>
            </x14:sparkline>
            <x14:sparkline>
              <xm:f>'Cost of Sales'!D8:O8</xm:f>
              <xm:sqref>C8</xm:sqref>
            </x14:sparkline>
            <x14:sparkline>
              <xm:f>'Cost of Sales'!D9:O9</xm:f>
              <xm:sqref>C9</xm:sqref>
            </x14:sparkline>
            <x14:sparkline>
              <xm:f>'Cost of Sales'!D10:O10</xm:f>
              <xm:sqref>C10</xm:sqref>
            </x14:sparkline>
            <x14:sparkline>
              <xm:f>'Cost of Sales'!D11:O11</xm:f>
              <xm:sqref>C11</xm:sqref>
            </x14:sparkline>
            <x14:sparkline>
              <xm:f>'Cost of Sales'!D12:O12</xm:f>
              <xm:sqref>C12</xm:sqref>
            </x14:sparkline>
            <x14:sparkline>
              <xm:f>'Cost of Sales'!D13:O13</xm:f>
              <xm:sqref>C13</xm:sqref>
            </x14:sparkline>
          </x14:sparklines>
        </x14:sparklineGroup>
        <x14:sparklineGroup lineWeight="1" displayEmptyCellsAs="gap" high="1" low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 tint="-0.499984740745262"/>
          <x14:colorLow theme="4" tint="-0.499984740745262"/>
          <x14:sparklines>
            <x14:sparkline>
              <xm:f>'Cost of Sales'!D14:O14</xm:f>
              <xm:sqref>C14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AF28"/>
  <sheetViews>
    <sheetView showGridLines="0" zoomScaleNormal="100" workbookViewId="0">
      <pane xSplit="3" ySplit="5" topLeftCell="D17" activePane="bottomRight" state="frozen"/>
      <selection pane="topRight" activeCell="D1" sqref="D1"/>
      <selection pane="bottomLeft" activeCell="A6" sqref="A6"/>
      <selection pane="bottomRight" activeCell="O1" sqref="A1:XFD1048576"/>
    </sheetView>
  </sheetViews>
  <sheetFormatPr defaultColWidth="8.875" defaultRowHeight="30" customHeight="1" x14ac:dyDescent="0.2"/>
  <cols>
    <col min="1" max="1" width="2.625" style="1" customWidth="1"/>
    <col min="2" max="3" width="20.625" style="1" customWidth="1"/>
    <col min="4" max="15" width="11.5" style="1" customWidth="1"/>
    <col min="16" max="16" width="12.25" style="1" bestFit="1" customWidth="1"/>
    <col min="17" max="17" width="7.625" style="1" customWidth="1"/>
    <col min="18" max="30" width="6.625" style="1" customWidth="1"/>
    <col min="31" max="31" width="2.625" style="1" customWidth="1"/>
    <col min="32" max="16384" width="8.875" style="1"/>
  </cols>
  <sheetData>
    <row r="1" spans="2:30" ht="38.1" customHeight="1" x14ac:dyDescent="0.2">
      <c r="B1" s="2" t="str">
        <f>Company_Name</f>
        <v>Company Name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2:30" ht="35.1" customHeight="1" x14ac:dyDescent="0.2">
      <c r="B2" s="4" t="str">
        <f>Projection_Period_Title</f>
        <v>Twelve Month</v>
      </c>
      <c r="C2" s="5"/>
      <c r="D2" s="5"/>
      <c r="E2" s="6" t="s">
        <v>77</v>
      </c>
      <c r="F2" s="7" t="str">
        <f>FYMonthStart</f>
        <v>JAN</v>
      </c>
      <c r="G2" s="7">
        <f ca="1">FYStartYear</f>
        <v>2023</v>
      </c>
      <c r="J2" s="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</row>
    <row r="3" spans="2:30" ht="60" customHeight="1" x14ac:dyDescent="0.2">
      <c r="B3" s="11" t="str">
        <f>'Revenues (Sales)'!$B$3</f>
        <v>Profit &amp; Loss Projection</v>
      </c>
      <c r="C3" s="3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3"/>
      <c r="Q3" s="3"/>
      <c r="R3" s="3"/>
      <c r="S3" s="3"/>
      <c r="T3" s="3"/>
      <c r="U3" s="3"/>
      <c r="V3" s="3"/>
      <c r="W3" s="3"/>
      <c r="X3" s="13"/>
      <c r="Y3" s="13"/>
      <c r="Z3" s="13"/>
      <c r="AA3" s="13"/>
      <c r="AB3" s="3"/>
      <c r="AC3" s="3"/>
      <c r="AD3" s="3"/>
    </row>
    <row r="4" spans="2:30" ht="15" customHeight="1" x14ac:dyDescent="0.2">
      <c r="B4" s="14"/>
      <c r="C4" s="15"/>
      <c r="D4" s="16"/>
      <c r="E4" s="16"/>
      <c r="F4" s="16"/>
      <c r="G4" s="16"/>
      <c r="K4" s="16"/>
      <c r="L4" s="16"/>
      <c r="M4" s="16"/>
      <c r="N4" s="16"/>
      <c r="O4" s="16"/>
      <c r="X4" s="17"/>
      <c r="Y4" s="17"/>
    </row>
    <row r="5" spans="2:30" ht="20.100000000000001" customHeight="1" x14ac:dyDescent="0.2">
      <c r="D5" s="18" t="str">
        <f ca="1">UPPER(TEXT(DATE(FYStartYear,FYMonthNo,1),"mmm-yy"))</f>
        <v>JAN-23</v>
      </c>
      <c r="E5" s="18" t="str">
        <f ca="1">UPPER(TEXT(DATE(FYStartYear,FYMonthNo+1,1),"mmm-yy"))</f>
        <v>FEB-23</v>
      </c>
      <c r="F5" s="18" t="str">
        <f ca="1">UPPER(TEXT(DATE(FYStartYear,FYMonthNo+2,1),"mmm-yy"))</f>
        <v>MAR-23</v>
      </c>
      <c r="G5" s="18" t="str">
        <f ca="1">UPPER(TEXT(DATE(FYStartYear,FYMonthNo+3,1),"mmm-yy"))</f>
        <v>APR-23</v>
      </c>
      <c r="H5" s="18" t="str">
        <f ca="1">UPPER(TEXT(DATE(FYStartYear,FYMonthNo+4,1),"mmm-yy"))</f>
        <v>MAY-23</v>
      </c>
      <c r="I5" s="18" t="str">
        <f ca="1">UPPER(TEXT(DATE(FYStartYear,FYMonthNo+5,1),"mmm-yy"))</f>
        <v>JUN-23</v>
      </c>
      <c r="J5" s="18" t="str">
        <f ca="1">UPPER(TEXT(DATE(FYStartYear,FYMonthNo+6,1),"mmm-yy"))</f>
        <v>JUL-23</v>
      </c>
      <c r="K5" s="18" t="str">
        <f ca="1">UPPER(TEXT(DATE(FYStartYear,FYMonthNo+7,1),"mmm-yy"))</f>
        <v>AUG-23</v>
      </c>
      <c r="L5" s="18" t="str">
        <f ca="1">UPPER(TEXT(DATE(FYStartYear,FYMonthNo+8,1),"mmm-yy"))</f>
        <v>SEP-23</v>
      </c>
      <c r="M5" s="18" t="str">
        <f ca="1">UPPER(TEXT(DATE(FYStartYear,FYMonthNo+9,1),"mmm-yy"))</f>
        <v>OCT-23</v>
      </c>
      <c r="N5" s="18" t="str">
        <f ca="1">UPPER(TEXT(DATE(FYStartYear,FYMonthNo+10,1),"mmm-yy"))</f>
        <v>NOV-23</v>
      </c>
      <c r="O5" s="19" t="str">
        <f ca="1">UPPER(TEXT(DATE(FYStartYear,FYMonthNo+11,1),"mmm-yy"))</f>
        <v>DEC-23</v>
      </c>
      <c r="P5" s="20" t="s">
        <v>31</v>
      </c>
      <c r="Q5" s="19" t="s">
        <v>30</v>
      </c>
      <c r="R5" s="21" t="str">
        <f ca="1">LEFT(D5,3)&amp;" %"</f>
        <v>JAN %</v>
      </c>
      <c r="S5" s="22" t="str">
        <f t="shared" ref="S5:AC5" ca="1" si="0">LEFT(E5,3)&amp;" %"</f>
        <v>FEB %</v>
      </c>
      <c r="T5" s="22" t="str">
        <f t="shared" ca="1" si="0"/>
        <v>MAR %</v>
      </c>
      <c r="U5" s="22" t="str">
        <f t="shared" ca="1" si="0"/>
        <v>APR %</v>
      </c>
      <c r="V5" s="22" t="str">
        <f t="shared" ca="1" si="0"/>
        <v>MAY %</v>
      </c>
      <c r="W5" s="22" t="str">
        <f t="shared" ca="1" si="0"/>
        <v>JUN %</v>
      </c>
      <c r="X5" s="22" t="str">
        <f t="shared" ca="1" si="0"/>
        <v>JUL %</v>
      </c>
      <c r="Y5" s="22" t="str">
        <f t="shared" ca="1" si="0"/>
        <v>AUG %</v>
      </c>
      <c r="Z5" s="22" t="str">
        <f t="shared" ca="1" si="0"/>
        <v>SEP %</v>
      </c>
      <c r="AA5" s="22" t="str">
        <f t="shared" ca="1" si="0"/>
        <v>OCT %</v>
      </c>
      <c r="AB5" s="22" t="str">
        <f t="shared" ca="1" si="0"/>
        <v>NOV %</v>
      </c>
      <c r="AC5" s="22" t="str">
        <f t="shared" ca="1" si="0"/>
        <v>DEC %</v>
      </c>
      <c r="AD5" s="23" t="s">
        <v>32</v>
      </c>
    </row>
    <row r="6" spans="2:30" ht="30" customHeight="1" x14ac:dyDescent="0.2">
      <c r="B6" s="24" t="s">
        <v>28</v>
      </c>
      <c r="C6" s="24" t="s">
        <v>24</v>
      </c>
      <c r="D6" s="25" t="s">
        <v>73</v>
      </c>
      <c r="E6" s="25" t="s">
        <v>48</v>
      </c>
      <c r="F6" s="25" t="s">
        <v>49</v>
      </c>
      <c r="G6" s="25" t="s">
        <v>50</v>
      </c>
      <c r="H6" s="25" t="s">
        <v>51</v>
      </c>
      <c r="I6" s="25" t="s">
        <v>52</v>
      </c>
      <c r="J6" s="25" t="s">
        <v>53</v>
      </c>
      <c r="K6" s="25" t="s">
        <v>54</v>
      </c>
      <c r="L6" s="25" t="s">
        <v>55</v>
      </c>
      <c r="M6" s="25" t="s">
        <v>56</v>
      </c>
      <c r="N6" s="25" t="s">
        <v>57</v>
      </c>
      <c r="O6" s="25" t="s">
        <v>58</v>
      </c>
      <c r="P6" s="26" t="s">
        <v>0</v>
      </c>
      <c r="Q6" s="25" t="s">
        <v>59</v>
      </c>
      <c r="R6" s="27" t="s">
        <v>60</v>
      </c>
      <c r="S6" s="28" t="s">
        <v>61</v>
      </c>
      <c r="T6" s="28" t="s">
        <v>62</v>
      </c>
      <c r="U6" s="28" t="s">
        <v>63</v>
      </c>
      <c r="V6" s="28" t="s">
        <v>64</v>
      </c>
      <c r="W6" s="28" t="s">
        <v>65</v>
      </c>
      <c r="X6" s="28" t="s">
        <v>66</v>
      </c>
      <c r="Y6" s="28" t="s">
        <v>67</v>
      </c>
      <c r="Z6" s="28" t="s">
        <v>68</v>
      </c>
      <c r="AA6" s="28" t="s">
        <v>69</v>
      </c>
      <c r="AB6" s="28" t="s">
        <v>70</v>
      </c>
      <c r="AC6" s="28" t="s">
        <v>71</v>
      </c>
      <c r="AD6" s="29" t="s">
        <v>72</v>
      </c>
    </row>
    <row r="7" spans="2:30" ht="30" customHeight="1" x14ac:dyDescent="0.2">
      <c r="B7" s="30" t="s">
        <v>2</v>
      </c>
      <c r="C7" s="1" t="s">
        <v>20</v>
      </c>
      <c r="D7" s="31">
        <v>10</v>
      </c>
      <c r="E7" s="31">
        <v>18</v>
      </c>
      <c r="F7" s="31">
        <v>13</v>
      </c>
      <c r="G7" s="31">
        <v>8</v>
      </c>
      <c r="H7" s="31">
        <v>22</v>
      </c>
      <c r="I7" s="31">
        <v>18</v>
      </c>
      <c r="J7" s="31">
        <v>8</v>
      </c>
      <c r="K7" s="31">
        <v>17</v>
      </c>
      <c r="L7" s="31">
        <v>20</v>
      </c>
      <c r="M7" s="31">
        <v>8</v>
      </c>
      <c r="N7" s="31">
        <v>4</v>
      </c>
      <c r="O7" s="31">
        <v>12</v>
      </c>
      <c r="P7" s="32">
        <f>SUM(tblExpenses[[#This Row],[Column1]:[Dec]])</f>
        <v>158</v>
      </c>
      <c r="Q7" s="33">
        <v>0.12</v>
      </c>
      <c r="R7" s="34">
        <f>tblExpenses[[#This Row],[Column1]]/tblExpenses[[#Totals],[Column1]]</f>
        <v>4.2372881355932202E-2</v>
      </c>
      <c r="S7" s="35">
        <f>tblExpenses[[#This Row],[Feb]]/tblExpenses[[#Totals],[Feb]]</f>
        <v>8.7804878048780483E-2</v>
      </c>
      <c r="T7" s="35">
        <f>tblExpenses[[#This Row],[Mar]]/tblExpenses[[#Totals],[Mar]]</f>
        <v>5.2208835341365459E-2</v>
      </c>
      <c r="U7" s="35">
        <f>tblExpenses[[#This Row],[Apr]]/tblExpenses[[#Totals],[Apr]]</f>
        <v>3.0651340996168581E-2</v>
      </c>
      <c r="V7" s="35">
        <f>tblExpenses[[#This Row],[May]]/tblExpenses[[#Totals],[May]]</f>
        <v>8.5603112840466927E-2</v>
      </c>
      <c r="W7" s="35">
        <f>tblExpenses[[#This Row],[Jun]]/tblExpenses[[#Totals],[Jun]]</f>
        <v>6.569343065693431E-2</v>
      </c>
      <c r="X7" s="35">
        <f>tblExpenses[[#This Row],[Jul]]/tblExpenses[[#Totals],[Jul]]</f>
        <v>3.007518796992481E-2</v>
      </c>
      <c r="Y7" s="35">
        <f>tblExpenses[[#This Row],[Aug]]/tblExpenses[[#Totals],[Aug]]</f>
        <v>7.2340425531914887E-2</v>
      </c>
      <c r="Z7" s="35">
        <f>tblExpenses[[#This Row],[Sep]]/tblExpenses[[#Totals],[Sep]]</f>
        <v>8.6956521739130432E-2</v>
      </c>
      <c r="AA7" s="35">
        <f>tblExpenses[[#This Row],[Oct]]/tblExpenses[[#Totals],[Oct]]</f>
        <v>3.0888030888030889E-2</v>
      </c>
      <c r="AB7" s="35">
        <f>tblExpenses[[#This Row],[Nov]]/tblExpenses[[#Totals],[Nov]]</f>
        <v>1.3513513513513514E-2</v>
      </c>
      <c r="AC7" s="35">
        <f>tblExpenses[[#This Row],[Dec]]/tblExpenses[[#Totals],[Dec]]</f>
        <v>5.1948051948051951E-2</v>
      </c>
      <c r="AD7" s="36">
        <f>tblExpenses[[#This Row],[Yearly]]/tblExpenses[[#Totals],[Yearly]]</f>
        <v>5.2684228076025338E-2</v>
      </c>
    </row>
    <row r="8" spans="2:30" ht="30" customHeight="1" x14ac:dyDescent="0.2">
      <c r="B8" s="30" t="s">
        <v>3</v>
      </c>
      <c r="C8" s="1" t="s">
        <v>20</v>
      </c>
      <c r="D8" s="31">
        <v>23</v>
      </c>
      <c r="E8" s="31">
        <v>11</v>
      </c>
      <c r="F8" s="31">
        <v>7</v>
      </c>
      <c r="G8" s="31">
        <v>14</v>
      </c>
      <c r="H8" s="31">
        <v>12</v>
      </c>
      <c r="I8" s="31">
        <v>19</v>
      </c>
      <c r="J8" s="31">
        <v>19</v>
      </c>
      <c r="K8" s="31">
        <v>4</v>
      </c>
      <c r="L8" s="31">
        <v>7</v>
      </c>
      <c r="M8" s="31">
        <v>13</v>
      </c>
      <c r="N8" s="31">
        <v>25</v>
      </c>
      <c r="O8" s="31">
        <v>5</v>
      </c>
      <c r="P8" s="32">
        <f>SUM(tblExpenses[[#This Row],[Column1]:[Dec]])</f>
        <v>159</v>
      </c>
      <c r="Q8" s="33">
        <v>0.09</v>
      </c>
      <c r="R8" s="34">
        <f>tblExpenses[[#This Row],[Column1]]/tblExpenses[[#Totals],[Column1]]</f>
        <v>9.7457627118644072E-2</v>
      </c>
      <c r="S8" s="35">
        <f>tblExpenses[[#This Row],[Feb]]/tblExpenses[[#Totals],[Feb]]</f>
        <v>5.3658536585365853E-2</v>
      </c>
      <c r="T8" s="35">
        <f>tblExpenses[[#This Row],[Mar]]/tblExpenses[[#Totals],[Mar]]</f>
        <v>2.8112449799196786E-2</v>
      </c>
      <c r="U8" s="35">
        <f>tblExpenses[[#This Row],[Apr]]/tblExpenses[[#Totals],[Apr]]</f>
        <v>5.3639846743295021E-2</v>
      </c>
      <c r="V8" s="35">
        <f>tblExpenses[[#This Row],[May]]/tblExpenses[[#Totals],[May]]</f>
        <v>4.6692607003891051E-2</v>
      </c>
      <c r="W8" s="35">
        <f>tblExpenses[[#This Row],[Jun]]/tblExpenses[[#Totals],[Jun]]</f>
        <v>6.9343065693430656E-2</v>
      </c>
      <c r="X8" s="35">
        <f>tblExpenses[[#This Row],[Jul]]/tblExpenses[[#Totals],[Jul]]</f>
        <v>7.1428571428571425E-2</v>
      </c>
      <c r="Y8" s="35">
        <f>tblExpenses[[#This Row],[Aug]]/tblExpenses[[#Totals],[Aug]]</f>
        <v>1.7021276595744681E-2</v>
      </c>
      <c r="Z8" s="35">
        <f>tblExpenses[[#This Row],[Sep]]/tblExpenses[[#Totals],[Sep]]</f>
        <v>3.0434782608695653E-2</v>
      </c>
      <c r="AA8" s="35">
        <f>tblExpenses[[#This Row],[Oct]]/tblExpenses[[#Totals],[Oct]]</f>
        <v>5.019305019305019E-2</v>
      </c>
      <c r="AB8" s="35">
        <f>tblExpenses[[#This Row],[Nov]]/tblExpenses[[#Totals],[Nov]]</f>
        <v>8.4459459459459457E-2</v>
      </c>
      <c r="AC8" s="35">
        <f>tblExpenses[[#This Row],[Dec]]/tblExpenses[[#Totals],[Dec]]</f>
        <v>2.1645021645021644E-2</v>
      </c>
      <c r="AD8" s="36">
        <f>tblExpenses[[#This Row],[Yearly]]/tblExpenses[[#Totals],[Yearly]]</f>
        <v>5.3017672557519172E-2</v>
      </c>
    </row>
    <row r="9" spans="2:30" ht="30" customHeight="1" x14ac:dyDescent="0.2">
      <c r="B9" s="30" t="s">
        <v>4</v>
      </c>
      <c r="C9" s="1" t="s">
        <v>20</v>
      </c>
      <c r="D9" s="31">
        <v>23</v>
      </c>
      <c r="E9" s="31">
        <v>20</v>
      </c>
      <c r="F9" s="31">
        <v>3</v>
      </c>
      <c r="G9" s="31">
        <v>16</v>
      </c>
      <c r="H9" s="31">
        <v>10</v>
      </c>
      <c r="I9" s="31">
        <v>5</v>
      </c>
      <c r="J9" s="31">
        <v>20</v>
      </c>
      <c r="K9" s="31">
        <v>7</v>
      </c>
      <c r="L9" s="31">
        <v>4</v>
      </c>
      <c r="M9" s="31">
        <v>22</v>
      </c>
      <c r="N9" s="31">
        <v>13</v>
      </c>
      <c r="O9" s="31">
        <v>14</v>
      </c>
      <c r="P9" s="32">
        <f>SUM(tblExpenses[[#This Row],[Column1]:[Dec]])</f>
        <v>157</v>
      </c>
      <c r="Q9" s="33">
        <v>0.02</v>
      </c>
      <c r="R9" s="34">
        <f>tblExpenses[[#This Row],[Column1]]/tblExpenses[[#Totals],[Column1]]</f>
        <v>9.7457627118644072E-2</v>
      </c>
      <c r="S9" s="35">
        <f>tblExpenses[[#This Row],[Feb]]/tblExpenses[[#Totals],[Feb]]</f>
        <v>9.7560975609756101E-2</v>
      </c>
      <c r="T9" s="35">
        <f>tblExpenses[[#This Row],[Mar]]/tblExpenses[[#Totals],[Mar]]</f>
        <v>1.2048192771084338E-2</v>
      </c>
      <c r="U9" s="35">
        <f>tblExpenses[[#This Row],[Apr]]/tblExpenses[[#Totals],[Apr]]</f>
        <v>6.1302681992337162E-2</v>
      </c>
      <c r="V9" s="35">
        <f>tblExpenses[[#This Row],[May]]/tblExpenses[[#Totals],[May]]</f>
        <v>3.8910505836575876E-2</v>
      </c>
      <c r="W9" s="35">
        <f>tblExpenses[[#This Row],[Jun]]/tblExpenses[[#Totals],[Jun]]</f>
        <v>1.824817518248175E-2</v>
      </c>
      <c r="X9" s="35">
        <f>tblExpenses[[#This Row],[Jul]]/tblExpenses[[#Totals],[Jul]]</f>
        <v>7.5187969924812026E-2</v>
      </c>
      <c r="Y9" s="35">
        <f>tblExpenses[[#This Row],[Aug]]/tblExpenses[[#Totals],[Aug]]</f>
        <v>2.9787234042553193E-2</v>
      </c>
      <c r="Z9" s="35">
        <f>tblExpenses[[#This Row],[Sep]]/tblExpenses[[#Totals],[Sep]]</f>
        <v>1.7391304347826087E-2</v>
      </c>
      <c r="AA9" s="35">
        <f>tblExpenses[[#This Row],[Oct]]/tblExpenses[[#Totals],[Oct]]</f>
        <v>8.4942084942084939E-2</v>
      </c>
      <c r="AB9" s="35">
        <f>tblExpenses[[#This Row],[Nov]]/tblExpenses[[#Totals],[Nov]]</f>
        <v>4.3918918918918921E-2</v>
      </c>
      <c r="AC9" s="35">
        <f>tblExpenses[[#This Row],[Dec]]/tblExpenses[[#Totals],[Dec]]</f>
        <v>6.0606060606060608E-2</v>
      </c>
      <c r="AD9" s="36">
        <f>tblExpenses[[#This Row],[Yearly]]/tblExpenses[[#Totals],[Yearly]]</f>
        <v>5.2350783594531512E-2</v>
      </c>
    </row>
    <row r="10" spans="2:30" ht="30" customHeight="1" x14ac:dyDescent="0.2">
      <c r="B10" s="30" t="s">
        <v>5</v>
      </c>
      <c r="C10" s="1" t="s">
        <v>20</v>
      </c>
      <c r="D10" s="31">
        <v>19</v>
      </c>
      <c r="E10" s="31">
        <v>4</v>
      </c>
      <c r="F10" s="31">
        <v>7</v>
      </c>
      <c r="G10" s="31">
        <v>14</v>
      </c>
      <c r="H10" s="31">
        <v>22</v>
      </c>
      <c r="I10" s="31">
        <v>10</v>
      </c>
      <c r="J10" s="31">
        <v>22</v>
      </c>
      <c r="K10" s="31">
        <v>5</v>
      </c>
      <c r="L10" s="31">
        <v>4</v>
      </c>
      <c r="M10" s="31">
        <v>12</v>
      </c>
      <c r="N10" s="31">
        <v>18</v>
      </c>
      <c r="O10" s="31">
        <v>24</v>
      </c>
      <c r="P10" s="32">
        <f>SUM(tblExpenses[[#This Row],[Column1]:[Dec]])</f>
        <v>161</v>
      </c>
      <c r="Q10" s="33">
        <v>0.08</v>
      </c>
      <c r="R10" s="34">
        <f>tblExpenses[[#This Row],[Column1]]/tblExpenses[[#Totals],[Column1]]</f>
        <v>8.050847457627118E-2</v>
      </c>
      <c r="S10" s="35">
        <f>tblExpenses[[#This Row],[Feb]]/tblExpenses[[#Totals],[Feb]]</f>
        <v>1.9512195121951219E-2</v>
      </c>
      <c r="T10" s="35">
        <f>tblExpenses[[#This Row],[Mar]]/tblExpenses[[#Totals],[Mar]]</f>
        <v>2.8112449799196786E-2</v>
      </c>
      <c r="U10" s="35">
        <f>tblExpenses[[#This Row],[Apr]]/tblExpenses[[#Totals],[Apr]]</f>
        <v>5.3639846743295021E-2</v>
      </c>
      <c r="V10" s="35">
        <f>tblExpenses[[#This Row],[May]]/tblExpenses[[#Totals],[May]]</f>
        <v>8.5603112840466927E-2</v>
      </c>
      <c r="W10" s="35">
        <f>tblExpenses[[#This Row],[Jun]]/tblExpenses[[#Totals],[Jun]]</f>
        <v>3.6496350364963501E-2</v>
      </c>
      <c r="X10" s="35">
        <f>tblExpenses[[#This Row],[Jul]]/tblExpenses[[#Totals],[Jul]]</f>
        <v>8.2706766917293228E-2</v>
      </c>
      <c r="Y10" s="35">
        <f>tblExpenses[[#This Row],[Aug]]/tblExpenses[[#Totals],[Aug]]</f>
        <v>2.1276595744680851E-2</v>
      </c>
      <c r="Z10" s="35">
        <f>tblExpenses[[#This Row],[Sep]]/tblExpenses[[#Totals],[Sep]]</f>
        <v>1.7391304347826087E-2</v>
      </c>
      <c r="AA10" s="35">
        <f>tblExpenses[[#This Row],[Oct]]/tblExpenses[[#Totals],[Oct]]</f>
        <v>4.633204633204633E-2</v>
      </c>
      <c r="AB10" s="35">
        <f>tblExpenses[[#This Row],[Nov]]/tblExpenses[[#Totals],[Nov]]</f>
        <v>6.0810810810810814E-2</v>
      </c>
      <c r="AC10" s="35">
        <f>tblExpenses[[#This Row],[Dec]]/tblExpenses[[#Totals],[Dec]]</f>
        <v>0.1038961038961039</v>
      </c>
      <c r="AD10" s="36">
        <f>tblExpenses[[#This Row],[Yearly]]/tblExpenses[[#Totals],[Yearly]]</f>
        <v>5.3684561520506838E-2</v>
      </c>
    </row>
    <row r="11" spans="2:30" ht="30" customHeight="1" x14ac:dyDescent="0.2">
      <c r="B11" s="30" t="s">
        <v>6</v>
      </c>
      <c r="C11" s="1" t="s">
        <v>20</v>
      </c>
      <c r="D11" s="31">
        <v>11</v>
      </c>
      <c r="E11" s="31">
        <v>11</v>
      </c>
      <c r="F11" s="31">
        <v>17</v>
      </c>
      <c r="G11" s="31">
        <v>12</v>
      </c>
      <c r="H11" s="31">
        <v>2</v>
      </c>
      <c r="I11" s="31">
        <v>14</v>
      </c>
      <c r="J11" s="31">
        <v>12</v>
      </c>
      <c r="K11" s="31">
        <v>10</v>
      </c>
      <c r="L11" s="31">
        <v>18</v>
      </c>
      <c r="M11" s="31">
        <v>11</v>
      </c>
      <c r="N11" s="31">
        <v>23</v>
      </c>
      <c r="O11" s="31">
        <v>11</v>
      </c>
      <c r="P11" s="32">
        <f>SUM(tblExpenses[[#This Row],[Column1]:[Dec]])</f>
        <v>152</v>
      </c>
      <c r="Q11" s="33">
        <v>0.03</v>
      </c>
      <c r="R11" s="34">
        <f>tblExpenses[[#This Row],[Column1]]/tblExpenses[[#Totals],[Column1]]</f>
        <v>4.6610169491525424E-2</v>
      </c>
      <c r="S11" s="35">
        <f>tblExpenses[[#This Row],[Feb]]/tblExpenses[[#Totals],[Feb]]</f>
        <v>5.3658536585365853E-2</v>
      </c>
      <c r="T11" s="35">
        <f>tblExpenses[[#This Row],[Mar]]/tblExpenses[[#Totals],[Mar]]</f>
        <v>6.8273092369477914E-2</v>
      </c>
      <c r="U11" s="35">
        <f>tblExpenses[[#This Row],[Apr]]/tblExpenses[[#Totals],[Apr]]</f>
        <v>4.5977011494252873E-2</v>
      </c>
      <c r="V11" s="35">
        <f>tblExpenses[[#This Row],[May]]/tblExpenses[[#Totals],[May]]</f>
        <v>7.7821011673151752E-3</v>
      </c>
      <c r="W11" s="35">
        <f>tblExpenses[[#This Row],[Jun]]/tblExpenses[[#Totals],[Jun]]</f>
        <v>5.1094890510948905E-2</v>
      </c>
      <c r="X11" s="35">
        <f>tblExpenses[[#This Row],[Jul]]/tblExpenses[[#Totals],[Jul]]</f>
        <v>4.5112781954887216E-2</v>
      </c>
      <c r="Y11" s="35">
        <f>tblExpenses[[#This Row],[Aug]]/tblExpenses[[#Totals],[Aug]]</f>
        <v>4.2553191489361701E-2</v>
      </c>
      <c r="Z11" s="35">
        <f>tblExpenses[[#This Row],[Sep]]/tblExpenses[[#Totals],[Sep]]</f>
        <v>7.8260869565217397E-2</v>
      </c>
      <c r="AA11" s="35">
        <f>tblExpenses[[#This Row],[Oct]]/tblExpenses[[#Totals],[Oct]]</f>
        <v>4.2471042471042469E-2</v>
      </c>
      <c r="AB11" s="35">
        <f>tblExpenses[[#This Row],[Nov]]/tblExpenses[[#Totals],[Nov]]</f>
        <v>7.77027027027027E-2</v>
      </c>
      <c r="AC11" s="35">
        <f>tblExpenses[[#This Row],[Dec]]/tblExpenses[[#Totals],[Dec]]</f>
        <v>4.7619047619047616E-2</v>
      </c>
      <c r="AD11" s="36">
        <f>tblExpenses[[#This Row],[Yearly]]/tblExpenses[[#Totals],[Yearly]]</f>
        <v>5.0683561187062354E-2</v>
      </c>
    </row>
    <row r="12" spans="2:30" ht="30" customHeight="1" x14ac:dyDescent="0.2">
      <c r="B12" s="30" t="s">
        <v>7</v>
      </c>
      <c r="C12" s="1" t="s">
        <v>20</v>
      </c>
      <c r="D12" s="37">
        <v>2</v>
      </c>
      <c r="E12" s="37">
        <v>16</v>
      </c>
      <c r="F12" s="37">
        <v>6</v>
      </c>
      <c r="G12" s="37">
        <v>13</v>
      </c>
      <c r="H12" s="37">
        <v>11</v>
      </c>
      <c r="I12" s="37">
        <v>22</v>
      </c>
      <c r="J12" s="37">
        <v>21</v>
      </c>
      <c r="K12" s="37">
        <v>3</v>
      </c>
      <c r="L12" s="37">
        <v>12</v>
      </c>
      <c r="M12" s="37">
        <v>7</v>
      </c>
      <c r="N12" s="37">
        <v>17</v>
      </c>
      <c r="O12" s="37">
        <v>20</v>
      </c>
      <c r="P12" s="38">
        <f>SUM(tblExpenses[[#This Row],[Column1]:[Dec]])</f>
        <v>150</v>
      </c>
      <c r="Q12" s="33">
        <v>0.15</v>
      </c>
      <c r="R12" s="34">
        <f>tblExpenses[[#This Row],[Column1]]/tblExpenses[[#Totals],[Column1]]</f>
        <v>8.4745762711864406E-3</v>
      </c>
      <c r="S12" s="35">
        <f>tblExpenses[[#This Row],[Feb]]/tblExpenses[[#Totals],[Feb]]</f>
        <v>7.8048780487804878E-2</v>
      </c>
      <c r="T12" s="35">
        <f>tblExpenses[[#This Row],[Mar]]/tblExpenses[[#Totals],[Mar]]</f>
        <v>2.4096385542168676E-2</v>
      </c>
      <c r="U12" s="35">
        <f>tblExpenses[[#This Row],[Apr]]/tblExpenses[[#Totals],[Apr]]</f>
        <v>4.9808429118773943E-2</v>
      </c>
      <c r="V12" s="35">
        <f>tblExpenses[[#This Row],[May]]/tblExpenses[[#Totals],[May]]</f>
        <v>4.2801556420233464E-2</v>
      </c>
      <c r="W12" s="35">
        <f>tblExpenses[[#This Row],[Jun]]/tblExpenses[[#Totals],[Jun]]</f>
        <v>8.0291970802919707E-2</v>
      </c>
      <c r="X12" s="35">
        <f>tblExpenses[[#This Row],[Jul]]/tblExpenses[[#Totals],[Jul]]</f>
        <v>7.8947368421052627E-2</v>
      </c>
      <c r="Y12" s="35">
        <f>tblExpenses[[#This Row],[Aug]]/tblExpenses[[#Totals],[Aug]]</f>
        <v>1.276595744680851E-2</v>
      </c>
      <c r="Z12" s="35">
        <f>tblExpenses[[#This Row],[Sep]]/tblExpenses[[#Totals],[Sep]]</f>
        <v>5.2173913043478258E-2</v>
      </c>
      <c r="AA12" s="35">
        <f>tblExpenses[[#This Row],[Oct]]/tblExpenses[[#Totals],[Oct]]</f>
        <v>2.7027027027027029E-2</v>
      </c>
      <c r="AB12" s="35">
        <f>tblExpenses[[#This Row],[Nov]]/tblExpenses[[#Totals],[Nov]]</f>
        <v>5.7432432432432436E-2</v>
      </c>
      <c r="AC12" s="35">
        <f>tblExpenses[[#This Row],[Dec]]/tblExpenses[[#Totals],[Dec]]</f>
        <v>8.6580086580086577E-2</v>
      </c>
      <c r="AD12" s="36">
        <f>tblExpenses[[#This Row],[Yearly]]/tblExpenses[[#Totals],[Yearly]]</f>
        <v>5.0016672224074694E-2</v>
      </c>
    </row>
    <row r="13" spans="2:30" ht="30" customHeight="1" x14ac:dyDescent="0.2">
      <c r="B13" s="30" t="s">
        <v>8</v>
      </c>
      <c r="C13" s="1" t="s">
        <v>20</v>
      </c>
      <c r="D13" s="37">
        <v>8</v>
      </c>
      <c r="E13" s="37">
        <v>17</v>
      </c>
      <c r="F13" s="37">
        <v>11</v>
      </c>
      <c r="G13" s="37">
        <v>11</v>
      </c>
      <c r="H13" s="37">
        <v>21</v>
      </c>
      <c r="I13" s="37">
        <v>9</v>
      </c>
      <c r="J13" s="37">
        <v>20</v>
      </c>
      <c r="K13" s="37">
        <v>3</v>
      </c>
      <c r="L13" s="37">
        <v>14</v>
      </c>
      <c r="M13" s="37">
        <v>22</v>
      </c>
      <c r="N13" s="37">
        <v>16</v>
      </c>
      <c r="O13" s="37">
        <v>12</v>
      </c>
      <c r="P13" s="38">
        <f>SUM(tblExpenses[[#This Row],[Column1]:[Dec]])</f>
        <v>164</v>
      </c>
      <c r="Q13" s="33">
        <v>0.12</v>
      </c>
      <c r="R13" s="34">
        <f>tblExpenses[[#This Row],[Column1]]/tblExpenses[[#Totals],[Column1]]</f>
        <v>3.3898305084745763E-2</v>
      </c>
      <c r="S13" s="35">
        <f>tblExpenses[[#This Row],[Feb]]/tblExpenses[[#Totals],[Feb]]</f>
        <v>8.2926829268292687E-2</v>
      </c>
      <c r="T13" s="35">
        <f>tblExpenses[[#This Row],[Mar]]/tblExpenses[[#Totals],[Mar]]</f>
        <v>4.4176706827309238E-2</v>
      </c>
      <c r="U13" s="35">
        <f>tblExpenses[[#This Row],[Apr]]/tblExpenses[[#Totals],[Apr]]</f>
        <v>4.2145593869731802E-2</v>
      </c>
      <c r="V13" s="35">
        <f>tblExpenses[[#This Row],[May]]/tblExpenses[[#Totals],[May]]</f>
        <v>8.171206225680934E-2</v>
      </c>
      <c r="W13" s="35">
        <f>tblExpenses[[#This Row],[Jun]]/tblExpenses[[#Totals],[Jun]]</f>
        <v>3.2846715328467155E-2</v>
      </c>
      <c r="X13" s="35">
        <f>tblExpenses[[#This Row],[Jul]]/tblExpenses[[#Totals],[Jul]]</f>
        <v>7.5187969924812026E-2</v>
      </c>
      <c r="Y13" s="35">
        <f>tblExpenses[[#This Row],[Aug]]/tblExpenses[[#Totals],[Aug]]</f>
        <v>1.276595744680851E-2</v>
      </c>
      <c r="Z13" s="35">
        <f>tblExpenses[[#This Row],[Sep]]/tblExpenses[[#Totals],[Sep]]</f>
        <v>6.0869565217391307E-2</v>
      </c>
      <c r="AA13" s="35">
        <f>tblExpenses[[#This Row],[Oct]]/tblExpenses[[#Totals],[Oct]]</f>
        <v>8.4942084942084939E-2</v>
      </c>
      <c r="AB13" s="35">
        <f>tblExpenses[[#This Row],[Nov]]/tblExpenses[[#Totals],[Nov]]</f>
        <v>5.4054054054054057E-2</v>
      </c>
      <c r="AC13" s="35">
        <f>tblExpenses[[#This Row],[Dec]]/tblExpenses[[#Totals],[Dec]]</f>
        <v>5.1948051948051951E-2</v>
      </c>
      <c r="AD13" s="36">
        <f>tblExpenses[[#This Row],[Yearly]]/tblExpenses[[#Totals],[Yearly]]</f>
        <v>5.468489496498833E-2</v>
      </c>
    </row>
    <row r="14" spans="2:30" ht="30" customHeight="1" x14ac:dyDescent="0.2">
      <c r="B14" s="30" t="s">
        <v>9</v>
      </c>
      <c r="C14" s="1" t="s">
        <v>20</v>
      </c>
      <c r="D14" s="37">
        <v>5</v>
      </c>
      <c r="E14" s="37">
        <v>13</v>
      </c>
      <c r="F14" s="37">
        <v>6</v>
      </c>
      <c r="G14" s="37">
        <v>15</v>
      </c>
      <c r="H14" s="37">
        <v>19</v>
      </c>
      <c r="I14" s="37">
        <v>10</v>
      </c>
      <c r="J14" s="37">
        <v>12</v>
      </c>
      <c r="K14" s="37">
        <v>9</v>
      </c>
      <c r="L14" s="37">
        <v>15</v>
      </c>
      <c r="M14" s="37">
        <v>16</v>
      </c>
      <c r="N14" s="37">
        <v>4</v>
      </c>
      <c r="O14" s="37">
        <v>9</v>
      </c>
      <c r="P14" s="38">
        <f>SUM(tblExpenses[[#This Row],[Column1]:[Dec]])</f>
        <v>133</v>
      </c>
      <c r="Q14" s="33">
        <v>0.09</v>
      </c>
      <c r="R14" s="34">
        <f>tblExpenses[[#This Row],[Column1]]/tblExpenses[[#Totals],[Column1]]</f>
        <v>2.1186440677966101E-2</v>
      </c>
      <c r="S14" s="35">
        <f>tblExpenses[[#This Row],[Feb]]/tblExpenses[[#Totals],[Feb]]</f>
        <v>6.3414634146341464E-2</v>
      </c>
      <c r="T14" s="35">
        <f>tblExpenses[[#This Row],[Mar]]/tblExpenses[[#Totals],[Mar]]</f>
        <v>2.4096385542168676E-2</v>
      </c>
      <c r="U14" s="35">
        <f>tblExpenses[[#This Row],[Apr]]/tblExpenses[[#Totals],[Apr]]</f>
        <v>5.7471264367816091E-2</v>
      </c>
      <c r="V14" s="35">
        <f>tblExpenses[[#This Row],[May]]/tblExpenses[[#Totals],[May]]</f>
        <v>7.3929961089494164E-2</v>
      </c>
      <c r="W14" s="35">
        <f>tblExpenses[[#This Row],[Jun]]/tblExpenses[[#Totals],[Jun]]</f>
        <v>3.6496350364963501E-2</v>
      </c>
      <c r="X14" s="35">
        <f>tblExpenses[[#This Row],[Jul]]/tblExpenses[[#Totals],[Jul]]</f>
        <v>4.5112781954887216E-2</v>
      </c>
      <c r="Y14" s="35">
        <f>tblExpenses[[#This Row],[Aug]]/tblExpenses[[#Totals],[Aug]]</f>
        <v>3.8297872340425532E-2</v>
      </c>
      <c r="Z14" s="35">
        <f>tblExpenses[[#This Row],[Sep]]/tblExpenses[[#Totals],[Sep]]</f>
        <v>6.5217391304347824E-2</v>
      </c>
      <c r="AA14" s="35">
        <f>tblExpenses[[#This Row],[Oct]]/tblExpenses[[#Totals],[Oct]]</f>
        <v>6.1776061776061778E-2</v>
      </c>
      <c r="AB14" s="35">
        <f>tblExpenses[[#This Row],[Nov]]/tblExpenses[[#Totals],[Nov]]</f>
        <v>1.3513513513513514E-2</v>
      </c>
      <c r="AC14" s="35">
        <f>tblExpenses[[#This Row],[Dec]]/tblExpenses[[#Totals],[Dec]]</f>
        <v>3.896103896103896E-2</v>
      </c>
      <c r="AD14" s="36">
        <f>tblExpenses[[#This Row],[Yearly]]/tblExpenses[[#Totals],[Yearly]]</f>
        <v>4.4348116038679559E-2</v>
      </c>
    </row>
    <row r="15" spans="2:30" ht="30" customHeight="1" x14ac:dyDescent="0.2">
      <c r="B15" s="30" t="s">
        <v>10</v>
      </c>
      <c r="C15" s="1" t="s">
        <v>20</v>
      </c>
      <c r="D15" s="37">
        <v>8</v>
      </c>
      <c r="E15" s="37">
        <v>4</v>
      </c>
      <c r="F15" s="37">
        <v>23</v>
      </c>
      <c r="G15" s="37">
        <v>25</v>
      </c>
      <c r="H15" s="37">
        <v>10</v>
      </c>
      <c r="I15" s="37">
        <v>24</v>
      </c>
      <c r="J15" s="37">
        <v>22</v>
      </c>
      <c r="K15" s="37">
        <v>5</v>
      </c>
      <c r="L15" s="37">
        <v>12</v>
      </c>
      <c r="M15" s="37">
        <v>24</v>
      </c>
      <c r="N15" s="37">
        <v>24</v>
      </c>
      <c r="O15" s="37">
        <v>12</v>
      </c>
      <c r="P15" s="38">
        <f>SUM(tblExpenses[[#This Row],[Column1]:[Dec]])</f>
        <v>193</v>
      </c>
      <c r="Q15" s="33">
        <v>0.01</v>
      </c>
      <c r="R15" s="34">
        <f>tblExpenses[[#This Row],[Column1]]/tblExpenses[[#Totals],[Column1]]</f>
        <v>3.3898305084745763E-2</v>
      </c>
      <c r="S15" s="35">
        <f>tblExpenses[[#This Row],[Feb]]/tblExpenses[[#Totals],[Feb]]</f>
        <v>1.9512195121951219E-2</v>
      </c>
      <c r="T15" s="35">
        <f>tblExpenses[[#This Row],[Mar]]/tblExpenses[[#Totals],[Mar]]</f>
        <v>9.2369477911646583E-2</v>
      </c>
      <c r="U15" s="35">
        <f>tblExpenses[[#This Row],[Apr]]/tblExpenses[[#Totals],[Apr]]</f>
        <v>9.5785440613026823E-2</v>
      </c>
      <c r="V15" s="35">
        <f>tblExpenses[[#This Row],[May]]/tblExpenses[[#Totals],[May]]</f>
        <v>3.8910505836575876E-2</v>
      </c>
      <c r="W15" s="35">
        <f>tblExpenses[[#This Row],[Jun]]/tblExpenses[[#Totals],[Jun]]</f>
        <v>8.7591240875912413E-2</v>
      </c>
      <c r="X15" s="35">
        <f>tblExpenses[[#This Row],[Jul]]/tblExpenses[[#Totals],[Jul]]</f>
        <v>8.2706766917293228E-2</v>
      </c>
      <c r="Y15" s="35">
        <f>tblExpenses[[#This Row],[Aug]]/tblExpenses[[#Totals],[Aug]]</f>
        <v>2.1276595744680851E-2</v>
      </c>
      <c r="Z15" s="35">
        <f>tblExpenses[[#This Row],[Sep]]/tblExpenses[[#Totals],[Sep]]</f>
        <v>5.2173913043478258E-2</v>
      </c>
      <c r="AA15" s="35">
        <f>tblExpenses[[#This Row],[Oct]]/tblExpenses[[#Totals],[Oct]]</f>
        <v>9.2664092664092659E-2</v>
      </c>
      <c r="AB15" s="35">
        <f>tblExpenses[[#This Row],[Nov]]/tblExpenses[[#Totals],[Nov]]</f>
        <v>8.1081081081081086E-2</v>
      </c>
      <c r="AC15" s="35">
        <f>tblExpenses[[#This Row],[Dec]]/tblExpenses[[#Totals],[Dec]]</f>
        <v>5.1948051948051951E-2</v>
      </c>
      <c r="AD15" s="36">
        <f>tblExpenses[[#This Row],[Yearly]]/tblExpenses[[#Totals],[Yearly]]</f>
        <v>6.4354784928309441E-2</v>
      </c>
    </row>
    <row r="16" spans="2:30" ht="30" customHeight="1" x14ac:dyDescent="0.2">
      <c r="B16" s="30" t="s">
        <v>11</v>
      </c>
      <c r="C16" s="1" t="s">
        <v>20</v>
      </c>
      <c r="D16" s="37">
        <v>25</v>
      </c>
      <c r="E16" s="37">
        <v>2</v>
      </c>
      <c r="F16" s="37">
        <v>12</v>
      </c>
      <c r="G16" s="37">
        <v>25</v>
      </c>
      <c r="H16" s="37">
        <v>10</v>
      </c>
      <c r="I16" s="37">
        <v>24</v>
      </c>
      <c r="J16" s="37">
        <v>3</v>
      </c>
      <c r="K16" s="37">
        <v>20</v>
      </c>
      <c r="L16" s="37">
        <v>3</v>
      </c>
      <c r="M16" s="37">
        <v>9</v>
      </c>
      <c r="N16" s="37">
        <v>20</v>
      </c>
      <c r="O16" s="37">
        <v>18</v>
      </c>
      <c r="P16" s="38">
        <f>SUM(tblExpenses[[#This Row],[Column1]:[Dec]])</f>
        <v>171</v>
      </c>
      <c r="Q16" s="33">
        <v>0.01</v>
      </c>
      <c r="R16" s="34">
        <f>tblExpenses[[#This Row],[Column1]]/tblExpenses[[#Totals],[Column1]]</f>
        <v>0.1059322033898305</v>
      </c>
      <c r="S16" s="35">
        <f>tblExpenses[[#This Row],[Feb]]/tblExpenses[[#Totals],[Feb]]</f>
        <v>9.7560975609756097E-3</v>
      </c>
      <c r="T16" s="35">
        <f>tblExpenses[[#This Row],[Mar]]/tblExpenses[[#Totals],[Mar]]</f>
        <v>4.8192771084337352E-2</v>
      </c>
      <c r="U16" s="35">
        <f>tblExpenses[[#This Row],[Apr]]/tblExpenses[[#Totals],[Apr]]</f>
        <v>9.5785440613026823E-2</v>
      </c>
      <c r="V16" s="35">
        <f>tblExpenses[[#This Row],[May]]/tblExpenses[[#Totals],[May]]</f>
        <v>3.8910505836575876E-2</v>
      </c>
      <c r="W16" s="35">
        <f>tblExpenses[[#This Row],[Jun]]/tblExpenses[[#Totals],[Jun]]</f>
        <v>8.7591240875912413E-2</v>
      </c>
      <c r="X16" s="35">
        <f>tblExpenses[[#This Row],[Jul]]/tblExpenses[[#Totals],[Jul]]</f>
        <v>1.1278195488721804E-2</v>
      </c>
      <c r="Y16" s="35">
        <f>tblExpenses[[#This Row],[Aug]]/tblExpenses[[#Totals],[Aug]]</f>
        <v>8.5106382978723402E-2</v>
      </c>
      <c r="Z16" s="35">
        <f>tblExpenses[[#This Row],[Sep]]/tblExpenses[[#Totals],[Sep]]</f>
        <v>1.3043478260869565E-2</v>
      </c>
      <c r="AA16" s="35">
        <f>tblExpenses[[#This Row],[Oct]]/tblExpenses[[#Totals],[Oct]]</f>
        <v>3.4749034749034749E-2</v>
      </c>
      <c r="AB16" s="35">
        <f>tblExpenses[[#This Row],[Nov]]/tblExpenses[[#Totals],[Nov]]</f>
        <v>6.7567567567567571E-2</v>
      </c>
      <c r="AC16" s="35">
        <f>tblExpenses[[#This Row],[Dec]]/tblExpenses[[#Totals],[Dec]]</f>
        <v>7.792207792207792E-2</v>
      </c>
      <c r="AD16" s="36">
        <f>tblExpenses[[#This Row],[Yearly]]/tblExpenses[[#Totals],[Yearly]]</f>
        <v>5.7019006335445148E-2</v>
      </c>
    </row>
    <row r="17" spans="1:32" ht="30" customHeight="1" x14ac:dyDescent="0.2">
      <c r="B17" s="30" t="s">
        <v>12</v>
      </c>
      <c r="C17" s="1" t="s">
        <v>20</v>
      </c>
      <c r="D17" s="37">
        <v>16</v>
      </c>
      <c r="E17" s="37">
        <v>19</v>
      </c>
      <c r="F17" s="37">
        <v>9</v>
      </c>
      <c r="G17" s="37">
        <v>16</v>
      </c>
      <c r="H17" s="37">
        <v>13</v>
      </c>
      <c r="I17" s="37">
        <v>2</v>
      </c>
      <c r="J17" s="37">
        <v>4</v>
      </c>
      <c r="K17" s="37">
        <v>24</v>
      </c>
      <c r="L17" s="37">
        <v>16</v>
      </c>
      <c r="M17" s="37">
        <v>22</v>
      </c>
      <c r="N17" s="37">
        <v>7</v>
      </c>
      <c r="O17" s="37">
        <v>18</v>
      </c>
      <c r="P17" s="38">
        <f>SUM(tblExpenses[[#This Row],[Column1]:[Dec]])</f>
        <v>166</v>
      </c>
      <c r="Q17" s="33">
        <v>0.01</v>
      </c>
      <c r="R17" s="34">
        <f>tblExpenses[[#This Row],[Column1]]/tblExpenses[[#Totals],[Column1]]</f>
        <v>6.7796610169491525E-2</v>
      </c>
      <c r="S17" s="35">
        <f>tblExpenses[[#This Row],[Feb]]/tblExpenses[[#Totals],[Feb]]</f>
        <v>9.2682926829268292E-2</v>
      </c>
      <c r="T17" s="35">
        <f>tblExpenses[[#This Row],[Mar]]/tblExpenses[[#Totals],[Mar]]</f>
        <v>3.614457831325301E-2</v>
      </c>
      <c r="U17" s="35">
        <f>tblExpenses[[#This Row],[Apr]]/tblExpenses[[#Totals],[Apr]]</f>
        <v>6.1302681992337162E-2</v>
      </c>
      <c r="V17" s="35">
        <f>tblExpenses[[#This Row],[May]]/tblExpenses[[#Totals],[May]]</f>
        <v>5.0583657587548639E-2</v>
      </c>
      <c r="W17" s="35">
        <f>tblExpenses[[#This Row],[Jun]]/tblExpenses[[#Totals],[Jun]]</f>
        <v>7.2992700729927005E-3</v>
      </c>
      <c r="X17" s="35">
        <f>tblExpenses[[#This Row],[Jul]]/tblExpenses[[#Totals],[Jul]]</f>
        <v>1.5037593984962405E-2</v>
      </c>
      <c r="Y17" s="35">
        <f>tblExpenses[[#This Row],[Aug]]/tblExpenses[[#Totals],[Aug]]</f>
        <v>0.10212765957446808</v>
      </c>
      <c r="Z17" s="35">
        <f>tblExpenses[[#This Row],[Sep]]/tblExpenses[[#Totals],[Sep]]</f>
        <v>6.9565217391304349E-2</v>
      </c>
      <c r="AA17" s="35">
        <f>tblExpenses[[#This Row],[Oct]]/tblExpenses[[#Totals],[Oct]]</f>
        <v>8.4942084942084939E-2</v>
      </c>
      <c r="AB17" s="35">
        <f>tblExpenses[[#This Row],[Nov]]/tblExpenses[[#Totals],[Nov]]</f>
        <v>2.364864864864865E-2</v>
      </c>
      <c r="AC17" s="35">
        <f>tblExpenses[[#This Row],[Dec]]/tblExpenses[[#Totals],[Dec]]</f>
        <v>7.792207792207792E-2</v>
      </c>
      <c r="AD17" s="36">
        <f>tblExpenses[[#This Row],[Yearly]]/tblExpenses[[#Totals],[Yearly]]</f>
        <v>5.5351783927975989E-2</v>
      </c>
    </row>
    <row r="18" spans="1:32" ht="30" customHeight="1" x14ac:dyDescent="0.2">
      <c r="B18" s="30" t="s">
        <v>13</v>
      </c>
      <c r="C18" s="1" t="s">
        <v>20</v>
      </c>
      <c r="D18" s="37">
        <v>12</v>
      </c>
      <c r="E18" s="37">
        <v>9</v>
      </c>
      <c r="F18" s="37">
        <v>16</v>
      </c>
      <c r="G18" s="37">
        <v>19</v>
      </c>
      <c r="H18" s="37">
        <v>25</v>
      </c>
      <c r="I18" s="37">
        <v>17</v>
      </c>
      <c r="J18" s="37">
        <v>20</v>
      </c>
      <c r="K18" s="37">
        <v>14</v>
      </c>
      <c r="L18" s="37">
        <v>5</v>
      </c>
      <c r="M18" s="37">
        <v>14</v>
      </c>
      <c r="N18" s="37">
        <v>5</v>
      </c>
      <c r="O18" s="37">
        <v>2</v>
      </c>
      <c r="P18" s="38">
        <f>SUM(tblExpenses[[#This Row],[Column1]:[Dec]])</f>
        <v>158</v>
      </c>
      <c r="Q18" s="33">
        <v>0.01</v>
      </c>
      <c r="R18" s="34">
        <f>tblExpenses[[#This Row],[Column1]]/tblExpenses[[#Totals],[Column1]]</f>
        <v>5.0847457627118647E-2</v>
      </c>
      <c r="S18" s="35">
        <f>tblExpenses[[#This Row],[Feb]]/tblExpenses[[#Totals],[Feb]]</f>
        <v>4.3902439024390241E-2</v>
      </c>
      <c r="T18" s="35">
        <f>tblExpenses[[#This Row],[Mar]]/tblExpenses[[#Totals],[Mar]]</f>
        <v>6.4257028112449793E-2</v>
      </c>
      <c r="U18" s="35">
        <f>tblExpenses[[#This Row],[Apr]]/tblExpenses[[#Totals],[Apr]]</f>
        <v>7.2796934865900387E-2</v>
      </c>
      <c r="V18" s="35">
        <f>tblExpenses[[#This Row],[May]]/tblExpenses[[#Totals],[May]]</f>
        <v>9.727626459143969E-2</v>
      </c>
      <c r="W18" s="35">
        <f>tblExpenses[[#This Row],[Jun]]/tblExpenses[[#Totals],[Jun]]</f>
        <v>6.2043795620437957E-2</v>
      </c>
      <c r="X18" s="35">
        <f>tblExpenses[[#This Row],[Jul]]/tblExpenses[[#Totals],[Jul]]</f>
        <v>7.5187969924812026E-2</v>
      </c>
      <c r="Y18" s="35">
        <f>tblExpenses[[#This Row],[Aug]]/tblExpenses[[#Totals],[Aug]]</f>
        <v>5.9574468085106386E-2</v>
      </c>
      <c r="Z18" s="35">
        <f>tblExpenses[[#This Row],[Sep]]/tblExpenses[[#Totals],[Sep]]</f>
        <v>2.1739130434782608E-2</v>
      </c>
      <c r="AA18" s="35">
        <f>tblExpenses[[#This Row],[Oct]]/tblExpenses[[#Totals],[Oct]]</f>
        <v>5.4054054054054057E-2</v>
      </c>
      <c r="AB18" s="35">
        <f>tblExpenses[[#This Row],[Nov]]/tblExpenses[[#Totals],[Nov]]</f>
        <v>1.6891891891891893E-2</v>
      </c>
      <c r="AC18" s="35">
        <f>tblExpenses[[#This Row],[Dec]]/tblExpenses[[#Totals],[Dec]]</f>
        <v>8.658008658008658E-3</v>
      </c>
      <c r="AD18" s="36">
        <f>tblExpenses[[#This Row],[Yearly]]/tblExpenses[[#Totals],[Yearly]]</f>
        <v>5.2684228076025338E-2</v>
      </c>
    </row>
    <row r="19" spans="1:32" ht="30" customHeight="1" x14ac:dyDescent="0.2">
      <c r="B19" s="30" t="s">
        <v>14</v>
      </c>
      <c r="C19" s="1" t="s">
        <v>20</v>
      </c>
      <c r="D19" s="37">
        <v>16</v>
      </c>
      <c r="E19" s="37">
        <v>13</v>
      </c>
      <c r="F19" s="37">
        <v>10</v>
      </c>
      <c r="G19" s="37">
        <v>7</v>
      </c>
      <c r="H19" s="37">
        <v>13</v>
      </c>
      <c r="I19" s="37">
        <v>3</v>
      </c>
      <c r="J19" s="37">
        <v>13</v>
      </c>
      <c r="K19" s="37">
        <v>17</v>
      </c>
      <c r="L19" s="37">
        <v>9</v>
      </c>
      <c r="M19" s="37">
        <v>4</v>
      </c>
      <c r="N19" s="37">
        <v>22</v>
      </c>
      <c r="O19" s="37">
        <v>18</v>
      </c>
      <c r="P19" s="38">
        <f>SUM(tblExpenses[[#This Row],[Column1]:[Dec]])</f>
        <v>145</v>
      </c>
      <c r="Q19" s="33">
        <v>0.14000000000000001</v>
      </c>
      <c r="R19" s="34">
        <f>tblExpenses[[#This Row],[Column1]]/tblExpenses[[#Totals],[Column1]]</f>
        <v>6.7796610169491525E-2</v>
      </c>
      <c r="S19" s="35">
        <f>tblExpenses[[#This Row],[Feb]]/tblExpenses[[#Totals],[Feb]]</f>
        <v>6.3414634146341464E-2</v>
      </c>
      <c r="T19" s="35">
        <f>tblExpenses[[#This Row],[Mar]]/tblExpenses[[#Totals],[Mar]]</f>
        <v>4.0160642570281124E-2</v>
      </c>
      <c r="U19" s="35">
        <f>tblExpenses[[#This Row],[Apr]]/tblExpenses[[#Totals],[Apr]]</f>
        <v>2.681992337164751E-2</v>
      </c>
      <c r="V19" s="35">
        <f>tblExpenses[[#This Row],[May]]/tblExpenses[[#Totals],[May]]</f>
        <v>5.0583657587548639E-2</v>
      </c>
      <c r="W19" s="35">
        <f>tblExpenses[[#This Row],[Jun]]/tblExpenses[[#Totals],[Jun]]</f>
        <v>1.0948905109489052E-2</v>
      </c>
      <c r="X19" s="35">
        <f>tblExpenses[[#This Row],[Jul]]/tblExpenses[[#Totals],[Jul]]</f>
        <v>4.8872180451127817E-2</v>
      </c>
      <c r="Y19" s="35">
        <f>tblExpenses[[#This Row],[Aug]]/tblExpenses[[#Totals],[Aug]]</f>
        <v>7.2340425531914887E-2</v>
      </c>
      <c r="Z19" s="35">
        <f>tblExpenses[[#This Row],[Sep]]/tblExpenses[[#Totals],[Sep]]</f>
        <v>3.9130434782608699E-2</v>
      </c>
      <c r="AA19" s="35">
        <f>tblExpenses[[#This Row],[Oct]]/tblExpenses[[#Totals],[Oct]]</f>
        <v>1.5444015444015444E-2</v>
      </c>
      <c r="AB19" s="35">
        <f>tblExpenses[[#This Row],[Nov]]/tblExpenses[[#Totals],[Nov]]</f>
        <v>7.4324324324324328E-2</v>
      </c>
      <c r="AC19" s="35">
        <f>tblExpenses[[#This Row],[Dec]]/tblExpenses[[#Totals],[Dec]]</f>
        <v>7.792207792207792E-2</v>
      </c>
      <c r="AD19" s="36">
        <f>tblExpenses[[#This Row],[Yearly]]/tblExpenses[[#Totals],[Yearly]]</f>
        <v>4.8349449816605536E-2</v>
      </c>
    </row>
    <row r="20" spans="1:32" ht="30" customHeight="1" x14ac:dyDescent="0.2">
      <c r="B20" s="30" t="s">
        <v>15</v>
      </c>
      <c r="C20" s="1" t="s">
        <v>20</v>
      </c>
      <c r="D20" s="37">
        <v>3</v>
      </c>
      <c r="E20" s="37">
        <v>2</v>
      </c>
      <c r="F20" s="37">
        <v>19</v>
      </c>
      <c r="G20" s="37">
        <v>21</v>
      </c>
      <c r="H20" s="37">
        <v>13</v>
      </c>
      <c r="I20" s="37">
        <v>9</v>
      </c>
      <c r="J20" s="37">
        <v>7</v>
      </c>
      <c r="K20" s="37">
        <v>13</v>
      </c>
      <c r="L20" s="37">
        <v>3</v>
      </c>
      <c r="M20" s="37">
        <v>6</v>
      </c>
      <c r="N20" s="37">
        <v>10</v>
      </c>
      <c r="O20" s="37">
        <v>13</v>
      </c>
      <c r="P20" s="38">
        <f>SUM(tblExpenses[[#This Row],[Column1]:[Dec]])</f>
        <v>119</v>
      </c>
      <c r="Q20" s="33">
        <v>0.06</v>
      </c>
      <c r="R20" s="34">
        <f>tblExpenses[[#This Row],[Column1]]/tblExpenses[[#Totals],[Column1]]</f>
        <v>1.2711864406779662E-2</v>
      </c>
      <c r="S20" s="35">
        <f>tblExpenses[[#This Row],[Feb]]/tblExpenses[[#Totals],[Feb]]</f>
        <v>9.7560975609756097E-3</v>
      </c>
      <c r="T20" s="35">
        <f>tblExpenses[[#This Row],[Mar]]/tblExpenses[[#Totals],[Mar]]</f>
        <v>7.6305220883534142E-2</v>
      </c>
      <c r="U20" s="35">
        <f>tblExpenses[[#This Row],[Apr]]/tblExpenses[[#Totals],[Apr]]</f>
        <v>8.0459770114942528E-2</v>
      </c>
      <c r="V20" s="35">
        <f>tblExpenses[[#This Row],[May]]/tblExpenses[[#Totals],[May]]</f>
        <v>5.0583657587548639E-2</v>
      </c>
      <c r="W20" s="35">
        <f>tblExpenses[[#This Row],[Jun]]/tblExpenses[[#Totals],[Jun]]</f>
        <v>3.2846715328467155E-2</v>
      </c>
      <c r="X20" s="35">
        <f>tblExpenses[[#This Row],[Jul]]/tblExpenses[[#Totals],[Jul]]</f>
        <v>2.6315789473684209E-2</v>
      </c>
      <c r="Y20" s="35">
        <f>tblExpenses[[#This Row],[Aug]]/tblExpenses[[#Totals],[Aug]]</f>
        <v>5.5319148936170209E-2</v>
      </c>
      <c r="Z20" s="35">
        <f>tblExpenses[[#This Row],[Sep]]/tblExpenses[[#Totals],[Sep]]</f>
        <v>1.3043478260869565E-2</v>
      </c>
      <c r="AA20" s="35">
        <f>tblExpenses[[#This Row],[Oct]]/tblExpenses[[#Totals],[Oct]]</f>
        <v>2.3166023166023165E-2</v>
      </c>
      <c r="AB20" s="35">
        <f>tblExpenses[[#This Row],[Nov]]/tblExpenses[[#Totals],[Nov]]</f>
        <v>3.3783783783783786E-2</v>
      </c>
      <c r="AC20" s="35">
        <f>tblExpenses[[#This Row],[Dec]]/tblExpenses[[#Totals],[Dec]]</f>
        <v>5.627705627705628E-2</v>
      </c>
      <c r="AD20" s="36">
        <f>tblExpenses[[#This Row],[Yearly]]/tblExpenses[[#Totals],[Yearly]]</f>
        <v>3.9679893297765924E-2</v>
      </c>
    </row>
    <row r="21" spans="1:32" ht="30" customHeight="1" x14ac:dyDescent="0.2">
      <c r="B21" s="30" t="s">
        <v>16</v>
      </c>
      <c r="C21" s="1" t="s">
        <v>20</v>
      </c>
      <c r="D21" s="37">
        <v>8</v>
      </c>
      <c r="E21" s="37">
        <v>7</v>
      </c>
      <c r="F21" s="37">
        <v>6</v>
      </c>
      <c r="G21" s="37">
        <v>7</v>
      </c>
      <c r="H21" s="37">
        <v>7</v>
      </c>
      <c r="I21" s="37">
        <v>6</v>
      </c>
      <c r="J21" s="37">
        <v>15</v>
      </c>
      <c r="K21" s="37">
        <v>23</v>
      </c>
      <c r="L21" s="37">
        <v>21</v>
      </c>
      <c r="M21" s="37">
        <v>16</v>
      </c>
      <c r="N21" s="37">
        <v>19</v>
      </c>
      <c r="O21" s="37">
        <v>7</v>
      </c>
      <c r="P21" s="38">
        <f>SUM(tblExpenses[[#This Row],[Column1]:[Dec]])</f>
        <v>142</v>
      </c>
      <c r="Q21" s="33">
        <v>0.01</v>
      </c>
      <c r="R21" s="34">
        <f>tblExpenses[[#This Row],[Column1]]/tblExpenses[[#Totals],[Column1]]</f>
        <v>3.3898305084745763E-2</v>
      </c>
      <c r="S21" s="35">
        <f>tblExpenses[[#This Row],[Feb]]/tblExpenses[[#Totals],[Feb]]</f>
        <v>3.4146341463414637E-2</v>
      </c>
      <c r="T21" s="35">
        <f>tblExpenses[[#This Row],[Mar]]/tblExpenses[[#Totals],[Mar]]</f>
        <v>2.4096385542168676E-2</v>
      </c>
      <c r="U21" s="35">
        <f>tblExpenses[[#This Row],[Apr]]/tblExpenses[[#Totals],[Apr]]</f>
        <v>2.681992337164751E-2</v>
      </c>
      <c r="V21" s="35">
        <f>tblExpenses[[#This Row],[May]]/tblExpenses[[#Totals],[May]]</f>
        <v>2.7237354085603113E-2</v>
      </c>
      <c r="W21" s="35">
        <f>tblExpenses[[#This Row],[Jun]]/tblExpenses[[#Totals],[Jun]]</f>
        <v>2.1897810218978103E-2</v>
      </c>
      <c r="X21" s="35">
        <f>tblExpenses[[#This Row],[Jul]]/tblExpenses[[#Totals],[Jul]]</f>
        <v>5.6390977443609019E-2</v>
      </c>
      <c r="Y21" s="35">
        <f>tblExpenses[[#This Row],[Aug]]/tblExpenses[[#Totals],[Aug]]</f>
        <v>9.7872340425531917E-2</v>
      </c>
      <c r="Z21" s="35">
        <f>tblExpenses[[#This Row],[Sep]]/tblExpenses[[#Totals],[Sep]]</f>
        <v>9.1304347826086957E-2</v>
      </c>
      <c r="AA21" s="35">
        <f>tblExpenses[[#This Row],[Oct]]/tblExpenses[[#Totals],[Oct]]</f>
        <v>6.1776061776061778E-2</v>
      </c>
      <c r="AB21" s="35">
        <f>tblExpenses[[#This Row],[Nov]]/tblExpenses[[#Totals],[Nov]]</f>
        <v>6.4189189189189186E-2</v>
      </c>
      <c r="AC21" s="35">
        <f>tblExpenses[[#This Row],[Dec]]/tblExpenses[[#Totals],[Dec]]</f>
        <v>3.0303030303030304E-2</v>
      </c>
      <c r="AD21" s="36">
        <f>tblExpenses[[#This Row],[Yearly]]/tblExpenses[[#Totals],[Yearly]]</f>
        <v>4.7349116372124044E-2</v>
      </c>
    </row>
    <row r="22" spans="1:32" ht="30" customHeight="1" x14ac:dyDescent="0.2">
      <c r="B22" s="30" t="s">
        <v>17</v>
      </c>
      <c r="C22" s="1" t="s">
        <v>20</v>
      </c>
      <c r="D22" s="37">
        <v>14</v>
      </c>
      <c r="E22" s="37">
        <v>4</v>
      </c>
      <c r="F22" s="37">
        <v>24</v>
      </c>
      <c r="G22" s="37">
        <v>6</v>
      </c>
      <c r="H22" s="37">
        <v>20</v>
      </c>
      <c r="I22" s="37">
        <v>14</v>
      </c>
      <c r="J22" s="37">
        <v>21</v>
      </c>
      <c r="K22" s="37">
        <v>20</v>
      </c>
      <c r="L22" s="37">
        <v>22</v>
      </c>
      <c r="M22" s="37">
        <v>3</v>
      </c>
      <c r="N22" s="37">
        <v>14</v>
      </c>
      <c r="O22" s="37">
        <v>6</v>
      </c>
      <c r="P22" s="38">
        <f>SUM(tblExpenses[[#This Row],[Column1]:[Dec]])</f>
        <v>168</v>
      </c>
      <c r="Q22" s="33">
        <v>0.01</v>
      </c>
      <c r="R22" s="34">
        <f>tblExpenses[[#This Row],[Column1]]/tblExpenses[[#Totals],[Column1]]</f>
        <v>5.9322033898305086E-2</v>
      </c>
      <c r="S22" s="35">
        <f>tblExpenses[[#This Row],[Feb]]/tblExpenses[[#Totals],[Feb]]</f>
        <v>1.9512195121951219E-2</v>
      </c>
      <c r="T22" s="35">
        <f>tblExpenses[[#This Row],[Mar]]/tblExpenses[[#Totals],[Mar]]</f>
        <v>9.6385542168674704E-2</v>
      </c>
      <c r="U22" s="35">
        <f>tblExpenses[[#This Row],[Apr]]/tblExpenses[[#Totals],[Apr]]</f>
        <v>2.2988505747126436E-2</v>
      </c>
      <c r="V22" s="35">
        <f>tblExpenses[[#This Row],[May]]/tblExpenses[[#Totals],[May]]</f>
        <v>7.7821011673151752E-2</v>
      </c>
      <c r="W22" s="35">
        <f>tblExpenses[[#This Row],[Jun]]/tblExpenses[[#Totals],[Jun]]</f>
        <v>5.1094890510948905E-2</v>
      </c>
      <c r="X22" s="35">
        <f>tblExpenses[[#This Row],[Jul]]/tblExpenses[[#Totals],[Jul]]</f>
        <v>7.8947368421052627E-2</v>
      </c>
      <c r="Y22" s="35">
        <f>tblExpenses[[#This Row],[Aug]]/tblExpenses[[#Totals],[Aug]]</f>
        <v>8.5106382978723402E-2</v>
      </c>
      <c r="Z22" s="35">
        <f>tblExpenses[[#This Row],[Sep]]/tblExpenses[[#Totals],[Sep]]</f>
        <v>9.5652173913043481E-2</v>
      </c>
      <c r="AA22" s="35">
        <f>tblExpenses[[#This Row],[Oct]]/tblExpenses[[#Totals],[Oct]]</f>
        <v>1.1583011583011582E-2</v>
      </c>
      <c r="AB22" s="35">
        <f>tblExpenses[[#This Row],[Nov]]/tblExpenses[[#Totals],[Nov]]</f>
        <v>4.72972972972973E-2</v>
      </c>
      <c r="AC22" s="35">
        <f>tblExpenses[[#This Row],[Dec]]/tblExpenses[[#Totals],[Dec]]</f>
        <v>2.5974025974025976E-2</v>
      </c>
      <c r="AD22" s="36">
        <f>tblExpenses[[#This Row],[Yearly]]/tblExpenses[[#Totals],[Yearly]]</f>
        <v>5.6018672890963656E-2</v>
      </c>
    </row>
    <row r="23" spans="1:32" ht="30" customHeight="1" x14ac:dyDescent="0.2">
      <c r="B23" s="30" t="s">
        <v>17</v>
      </c>
      <c r="C23" s="1" t="s">
        <v>20</v>
      </c>
      <c r="D23" s="37">
        <v>14</v>
      </c>
      <c r="E23" s="37">
        <v>7</v>
      </c>
      <c r="F23" s="37">
        <v>24</v>
      </c>
      <c r="G23" s="37">
        <v>10</v>
      </c>
      <c r="H23" s="37">
        <v>7</v>
      </c>
      <c r="I23" s="37">
        <v>24</v>
      </c>
      <c r="J23" s="37">
        <v>2</v>
      </c>
      <c r="K23" s="37">
        <v>11</v>
      </c>
      <c r="L23" s="37">
        <v>21</v>
      </c>
      <c r="M23" s="37">
        <v>19</v>
      </c>
      <c r="N23" s="37">
        <v>19</v>
      </c>
      <c r="O23" s="37">
        <v>20</v>
      </c>
      <c r="P23" s="38">
        <f>SUM(tblExpenses[[#This Row],[Column1]:[Dec]])</f>
        <v>178</v>
      </c>
      <c r="Q23" s="33">
        <v>0.01</v>
      </c>
      <c r="R23" s="34">
        <f>tblExpenses[[#This Row],[Column1]]/tblExpenses[[#Totals],[Column1]]</f>
        <v>5.9322033898305086E-2</v>
      </c>
      <c r="S23" s="35">
        <f>tblExpenses[[#This Row],[Feb]]/tblExpenses[[#Totals],[Feb]]</f>
        <v>3.4146341463414637E-2</v>
      </c>
      <c r="T23" s="35">
        <f>tblExpenses[[#This Row],[Mar]]/tblExpenses[[#Totals],[Mar]]</f>
        <v>9.6385542168674704E-2</v>
      </c>
      <c r="U23" s="35">
        <f>tblExpenses[[#This Row],[Apr]]/tblExpenses[[#Totals],[Apr]]</f>
        <v>3.8314176245210725E-2</v>
      </c>
      <c r="V23" s="35">
        <f>tblExpenses[[#This Row],[May]]/tblExpenses[[#Totals],[May]]</f>
        <v>2.7237354085603113E-2</v>
      </c>
      <c r="W23" s="35">
        <f>tblExpenses[[#This Row],[Jun]]/tblExpenses[[#Totals],[Jun]]</f>
        <v>8.7591240875912413E-2</v>
      </c>
      <c r="X23" s="35">
        <f>tblExpenses[[#This Row],[Jul]]/tblExpenses[[#Totals],[Jul]]</f>
        <v>7.5187969924812026E-3</v>
      </c>
      <c r="Y23" s="35">
        <f>tblExpenses[[#This Row],[Aug]]/tblExpenses[[#Totals],[Aug]]</f>
        <v>4.6808510638297871E-2</v>
      </c>
      <c r="Z23" s="35">
        <f>tblExpenses[[#This Row],[Sep]]/tblExpenses[[#Totals],[Sep]]</f>
        <v>9.1304347826086957E-2</v>
      </c>
      <c r="AA23" s="35">
        <f>tblExpenses[[#This Row],[Oct]]/tblExpenses[[#Totals],[Oct]]</f>
        <v>7.3359073359073365E-2</v>
      </c>
      <c r="AB23" s="35">
        <f>tblExpenses[[#This Row],[Nov]]/tblExpenses[[#Totals],[Nov]]</f>
        <v>6.4189189189189186E-2</v>
      </c>
      <c r="AC23" s="35">
        <f>tblExpenses[[#This Row],[Dec]]/tblExpenses[[#Totals],[Dec]]</f>
        <v>8.6580086580086577E-2</v>
      </c>
      <c r="AD23" s="36">
        <f>tblExpenses[[#This Row],[Yearly]]/tblExpenses[[#Totals],[Yearly]]</f>
        <v>5.9353117705901966E-2</v>
      </c>
    </row>
    <row r="24" spans="1:32" ht="30" customHeight="1" x14ac:dyDescent="0.2">
      <c r="A24" s="15"/>
      <c r="B24" s="30" t="s">
        <v>17</v>
      </c>
      <c r="C24" s="1" t="s">
        <v>20</v>
      </c>
      <c r="D24" s="37">
        <v>11</v>
      </c>
      <c r="E24" s="37">
        <v>8</v>
      </c>
      <c r="F24" s="37">
        <v>25</v>
      </c>
      <c r="G24" s="37">
        <v>11</v>
      </c>
      <c r="H24" s="37">
        <v>9</v>
      </c>
      <c r="I24" s="37">
        <v>24</v>
      </c>
      <c r="J24" s="37">
        <v>13</v>
      </c>
      <c r="K24" s="37">
        <v>14</v>
      </c>
      <c r="L24" s="37">
        <v>19</v>
      </c>
      <c r="M24" s="37">
        <v>24</v>
      </c>
      <c r="N24" s="37">
        <v>15</v>
      </c>
      <c r="O24" s="37">
        <v>7</v>
      </c>
      <c r="P24" s="38">
        <f>SUM(tblExpenses[[#This Row],[Column1]:[Dec]])</f>
        <v>180</v>
      </c>
      <c r="Q24" s="33">
        <v>0.01</v>
      </c>
      <c r="R24" s="34">
        <f>tblExpenses[[#This Row],[Column1]]/tblExpenses[[#Totals],[Column1]]</f>
        <v>4.6610169491525424E-2</v>
      </c>
      <c r="S24" s="35">
        <f>tblExpenses[[#This Row],[Feb]]/tblExpenses[[#Totals],[Feb]]</f>
        <v>3.9024390243902439E-2</v>
      </c>
      <c r="T24" s="35">
        <f>tblExpenses[[#This Row],[Mar]]/tblExpenses[[#Totals],[Mar]]</f>
        <v>0.10040160642570281</v>
      </c>
      <c r="U24" s="35">
        <f>tblExpenses[[#This Row],[Apr]]/tblExpenses[[#Totals],[Apr]]</f>
        <v>4.2145593869731802E-2</v>
      </c>
      <c r="V24" s="35">
        <f>tblExpenses[[#This Row],[May]]/tblExpenses[[#Totals],[May]]</f>
        <v>3.5019455252918288E-2</v>
      </c>
      <c r="W24" s="35">
        <f>tblExpenses[[#This Row],[Jun]]/tblExpenses[[#Totals],[Jun]]</f>
        <v>8.7591240875912413E-2</v>
      </c>
      <c r="X24" s="35">
        <f>tblExpenses[[#This Row],[Jul]]/tblExpenses[[#Totals],[Jul]]</f>
        <v>4.8872180451127817E-2</v>
      </c>
      <c r="Y24" s="35">
        <f>tblExpenses[[#This Row],[Aug]]/tblExpenses[[#Totals],[Aug]]</f>
        <v>5.9574468085106386E-2</v>
      </c>
      <c r="Z24" s="35">
        <f>tblExpenses[[#This Row],[Sep]]/tblExpenses[[#Totals],[Sep]]</f>
        <v>8.2608695652173908E-2</v>
      </c>
      <c r="AA24" s="35">
        <f>tblExpenses[[#This Row],[Oct]]/tblExpenses[[#Totals],[Oct]]</f>
        <v>9.2664092664092659E-2</v>
      </c>
      <c r="AB24" s="35">
        <f>tblExpenses[[#This Row],[Nov]]/tblExpenses[[#Totals],[Nov]]</f>
        <v>5.0675675675675678E-2</v>
      </c>
      <c r="AC24" s="35">
        <f>tblExpenses[[#This Row],[Dec]]/tblExpenses[[#Totals],[Dec]]</f>
        <v>3.0303030303030304E-2</v>
      </c>
      <c r="AD24" s="36">
        <f>tblExpenses[[#This Row],[Yearly]]/tblExpenses[[#Totals],[Yearly]]</f>
        <v>6.0020006668889632E-2</v>
      </c>
    </row>
    <row r="25" spans="1:32" ht="30" customHeight="1" x14ac:dyDescent="0.2">
      <c r="A25" s="39"/>
      <c r="B25" s="30" t="s">
        <v>18</v>
      </c>
      <c r="C25" s="1" t="s">
        <v>20</v>
      </c>
      <c r="D25" s="37">
        <v>8</v>
      </c>
      <c r="E25" s="37">
        <v>20</v>
      </c>
      <c r="F25" s="37">
        <v>11</v>
      </c>
      <c r="G25" s="37">
        <v>11</v>
      </c>
      <c r="H25" s="37">
        <v>11</v>
      </c>
      <c r="I25" s="37">
        <v>20</v>
      </c>
      <c r="J25" s="37">
        <v>12</v>
      </c>
      <c r="K25" s="37">
        <v>16</v>
      </c>
      <c r="L25" s="37">
        <v>5</v>
      </c>
      <c r="M25" s="37">
        <v>7</v>
      </c>
      <c r="N25" s="37">
        <v>21</v>
      </c>
      <c r="O25" s="37">
        <v>3</v>
      </c>
      <c r="P25" s="38">
        <f>SUM(tblExpenses[[#This Row],[Column1]:[Dec]])</f>
        <v>145</v>
      </c>
      <c r="Q25" s="33">
        <v>0.02</v>
      </c>
      <c r="R25" s="34">
        <f>tblExpenses[[#This Row],[Column1]]/tblExpenses[[#Totals],[Column1]]</f>
        <v>3.3898305084745763E-2</v>
      </c>
      <c r="S25" s="35">
        <f>tblExpenses[[#This Row],[Feb]]/tblExpenses[[#Totals],[Feb]]</f>
        <v>9.7560975609756101E-2</v>
      </c>
      <c r="T25" s="35">
        <f>tblExpenses[[#This Row],[Mar]]/tblExpenses[[#Totals],[Mar]]</f>
        <v>4.4176706827309238E-2</v>
      </c>
      <c r="U25" s="35">
        <f>tblExpenses[[#This Row],[Apr]]/tblExpenses[[#Totals],[Apr]]</f>
        <v>4.2145593869731802E-2</v>
      </c>
      <c r="V25" s="35">
        <f>tblExpenses[[#This Row],[May]]/tblExpenses[[#Totals],[May]]</f>
        <v>4.2801556420233464E-2</v>
      </c>
      <c r="W25" s="35">
        <f>tblExpenses[[#This Row],[Jun]]/tblExpenses[[#Totals],[Jun]]</f>
        <v>7.2992700729927001E-2</v>
      </c>
      <c r="X25" s="35">
        <f>tblExpenses[[#This Row],[Jul]]/tblExpenses[[#Totals],[Jul]]</f>
        <v>4.5112781954887216E-2</v>
      </c>
      <c r="Y25" s="35">
        <f>tblExpenses[[#This Row],[Aug]]/tblExpenses[[#Totals],[Aug]]</f>
        <v>6.8085106382978725E-2</v>
      </c>
      <c r="Z25" s="35">
        <f>tblExpenses[[#This Row],[Sep]]/tblExpenses[[#Totals],[Sep]]</f>
        <v>2.1739130434782608E-2</v>
      </c>
      <c r="AA25" s="35">
        <f>tblExpenses[[#This Row],[Oct]]/tblExpenses[[#Totals],[Oct]]</f>
        <v>2.7027027027027029E-2</v>
      </c>
      <c r="AB25" s="35">
        <f>tblExpenses[[#This Row],[Nov]]/tblExpenses[[#Totals],[Nov]]</f>
        <v>7.0945945945945943E-2</v>
      </c>
      <c r="AC25" s="35">
        <f>tblExpenses[[#This Row],[Dec]]/tblExpenses[[#Totals],[Dec]]</f>
        <v>1.2987012987012988E-2</v>
      </c>
      <c r="AD25" s="36">
        <f>tblExpenses[[#This Row],[Yearly]]/tblExpenses[[#Totals],[Yearly]]</f>
        <v>4.8349449816605536E-2</v>
      </c>
    </row>
    <row r="26" spans="1:32" s="40" customFormat="1" ht="30" customHeight="1" x14ac:dyDescent="0.2">
      <c r="B26" s="31" t="s">
        <v>29</v>
      </c>
      <c r="C26" s="1" t="s">
        <v>20</v>
      </c>
      <c r="D26" s="37">
        <f>SUBTOTAL(109,tblExpenses[Column1])</f>
        <v>236</v>
      </c>
      <c r="E26" s="37">
        <f>SUBTOTAL(109,tblExpenses[Feb])</f>
        <v>205</v>
      </c>
      <c r="F26" s="37">
        <f>SUBTOTAL(109,tblExpenses[Mar])</f>
        <v>249</v>
      </c>
      <c r="G26" s="37">
        <f>SUBTOTAL(109,tblExpenses[Apr])</f>
        <v>261</v>
      </c>
      <c r="H26" s="37">
        <f>SUBTOTAL(109,tblExpenses[May])</f>
        <v>257</v>
      </c>
      <c r="I26" s="37">
        <f>SUBTOTAL(109,tblExpenses[Jun])</f>
        <v>274</v>
      </c>
      <c r="J26" s="37">
        <f>SUBTOTAL(109,tblExpenses[Jul])</f>
        <v>266</v>
      </c>
      <c r="K26" s="37">
        <f>SUBTOTAL(109,tblExpenses[Aug])</f>
        <v>235</v>
      </c>
      <c r="L26" s="37">
        <f>SUBTOTAL(109,tblExpenses[Sep])</f>
        <v>230</v>
      </c>
      <c r="M26" s="37">
        <f>SUBTOTAL(109,tblExpenses[Oct])</f>
        <v>259</v>
      </c>
      <c r="N26" s="37">
        <f>SUBTOTAL(109,tblExpenses[Nov])</f>
        <v>296</v>
      </c>
      <c r="O26" s="37">
        <f>SUBTOTAL(109,tblExpenses[Dec])</f>
        <v>231</v>
      </c>
      <c r="P26" s="41">
        <f>SUBTOTAL(109,tblExpenses[Yearly])</f>
        <v>2999</v>
      </c>
      <c r="Q26" s="33">
        <f>SUBTOTAL(109,tblExpenses[Index %])</f>
        <v>1</v>
      </c>
      <c r="R26" s="42">
        <f>SUBTOTAL(109,tblExpenses[Jan %])</f>
        <v>1</v>
      </c>
      <c r="S26" s="43">
        <f>SUBTOTAL(109,tblExpenses[Feb %])</f>
        <v>1.0000000000000002</v>
      </c>
      <c r="T26" s="43">
        <f>SUBTOTAL(109,tblExpenses[Mar %])</f>
        <v>1.0000000000000002</v>
      </c>
      <c r="U26" s="43">
        <f>SUBTOTAL(109,tblExpenses[Apr %])</f>
        <v>1</v>
      </c>
      <c r="V26" s="43">
        <f>SUBTOTAL(109,tblExpenses[May %])</f>
        <v>1.0000000000000002</v>
      </c>
      <c r="W26" s="43">
        <f>SUBTOTAL(109,tblExpenses[Jun %])</f>
        <v>1</v>
      </c>
      <c r="X26" s="43">
        <f>SUBTOTAL(109,tblExpenses[Jul %])</f>
        <v>1</v>
      </c>
      <c r="Y26" s="43">
        <f>SUBTOTAL(109,tblExpenses[Aug %])</f>
        <v>0.99999999999999989</v>
      </c>
      <c r="Z26" s="43">
        <f>SUBTOTAL(109,tblExpenses[Sep %])</f>
        <v>1</v>
      </c>
      <c r="AA26" s="43">
        <f>SUBTOTAL(109,tblExpenses[Oct %])</f>
        <v>1</v>
      </c>
      <c r="AB26" s="43">
        <f>SUBTOTAL(109,tblExpenses[Nov %])</f>
        <v>0.99999999999999989</v>
      </c>
      <c r="AC26" s="43">
        <f>SUBTOTAL(109,tblExpenses[Dec %])</f>
        <v>1</v>
      </c>
      <c r="AD26" s="44">
        <f>SUBTOTAL(109,tblExpenses[Year %])</f>
        <v>0.99999999999999989</v>
      </c>
      <c r="AE26" s="1"/>
      <c r="AF26" s="1"/>
    </row>
    <row r="27" spans="1:32" ht="9.9499999999999993" customHeigh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2" ht="30" customHeight="1" x14ac:dyDescent="0.2">
      <c r="B28" s="45" t="s">
        <v>19</v>
      </c>
      <c r="C28" s="46"/>
      <c r="D28" s="47">
        <f>'Cost of Sales'!$D$16-tblExpenses[[#Totals],[Column1]]</f>
        <v>123</v>
      </c>
      <c r="E28" s="47">
        <f>'Cost of Sales'!E16-tblExpenses[[#Totals],[Feb]]</f>
        <v>175</v>
      </c>
      <c r="F28" s="47">
        <f>'Cost of Sales'!F16-tblExpenses[[#Totals],[Mar]]</f>
        <v>256</v>
      </c>
      <c r="G28" s="47">
        <f>'Cost of Sales'!G16-tblExpenses[[#Totals],[Apr]]</f>
        <v>109</v>
      </c>
      <c r="H28" s="47">
        <f>'Cost of Sales'!H16-tblExpenses[[#Totals],[May]]</f>
        <v>156</v>
      </c>
      <c r="I28" s="47">
        <f>'Cost of Sales'!I16-tblExpenses[[#Totals],[Jun]]</f>
        <v>-8</v>
      </c>
      <c r="J28" s="47">
        <f>'Cost of Sales'!J16-tblExpenses[[#Totals],[Jul]]</f>
        <v>32</v>
      </c>
      <c r="K28" s="47">
        <f>'Cost of Sales'!K16-tblExpenses[[#Totals],[Aug]]</f>
        <v>214</v>
      </c>
      <c r="L28" s="47">
        <f>'Cost of Sales'!L16-tblExpenses[[#Totals],[Sep]]</f>
        <v>100</v>
      </c>
      <c r="M28" s="47">
        <f>'Cost of Sales'!M16-tblExpenses[[#Totals],[Oct]]</f>
        <v>148</v>
      </c>
      <c r="N28" s="47">
        <f>'Cost of Sales'!N16-tblExpenses[[#Totals],[Nov]]</f>
        <v>179</v>
      </c>
      <c r="O28" s="47">
        <f>'Cost of Sales'!O16-tblExpenses[[#Totals],[Dec]]</f>
        <v>359</v>
      </c>
      <c r="P28" s="47">
        <f>SUM(D28:O28)</f>
        <v>1843</v>
      </c>
      <c r="Q28" s="48"/>
      <c r="R28" s="49">
        <f>D28/$P$28</f>
        <v>6.6739012479652735E-2</v>
      </c>
      <c r="S28" s="49">
        <f t="shared" ref="S28:AD28" si="1">E28/$P$28</f>
        <v>9.4953879544221381E-2</v>
      </c>
      <c r="T28" s="49">
        <f t="shared" si="1"/>
        <v>0.13890396093326099</v>
      </c>
      <c r="U28" s="49">
        <f t="shared" si="1"/>
        <v>5.9142702116115033E-2</v>
      </c>
      <c r="V28" s="49">
        <f t="shared" si="1"/>
        <v>8.4644601193705912E-2</v>
      </c>
      <c r="W28" s="49">
        <f t="shared" si="1"/>
        <v>-4.3407487791644059E-3</v>
      </c>
      <c r="X28" s="49">
        <f t="shared" si="1"/>
        <v>1.7362995116657624E-2</v>
      </c>
      <c r="Y28" s="49">
        <f t="shared" si="1"/>
        <v>0.11611502984264786</v>
      </c>
      <c r="Z28" s="49">
        <f t="shared" si="1"/>
        <v>5.425935973955507E-2</v>
      </c>
      <c r="AA28" s="49">
        <f t="shared" si="1"/>
        <v>8.0303852414541507E-2</v>
      </c>
      <c r="AB28" s="49">
        <f t="shared" si="1"/>
        <v>9.7124253933803584E-2</v>
      </c>
      <c r="AC28" s="49">
        <f t="shared" si="1"/>
        <v>0.19479110146500273</v>
      </c>
      <c r="AD28" s="49">
        <f t="shared" si="1"/>
        <v>1</v>
      </c>
    </row>
  </sheetData>
  <dataValidations count="18">
    <dataValidation allowBlank="1" showInputMessage="1" showErrorMessage="1" prompt="This worksheet calculates total expenses for each month &amp; year, &amp; total annual expenses on each item. Net profit is automatically calculated based on gross profit &amp; total expenses " sqref="A1:A1048576"/>
    <dataValidation allowBlank="1" showInputMessage="1" showErrorMessage="1" prompt="Automatically updated title from Revenue (Sales) worksheet. Enter values in the Expenses table below to calculate total expenses" sqref="B3:B4"/>
    <dataValidation allowBlank="1" showInputMessage="1" showErrorMessage="1" prompt="Enter index percent in this column" sqref="Q6"/>
    <dataValidation allowBlank="1" showInputMessage="1" showErrorMessage="1" prompt="Net profit is automatically calculated for each month &amp; year based on gross profit &amp; total expenses" sqref="B28"/>
    <dataValidation allowBlank="1" showInputMessage="1" showErrorMessage="1" prompt="Enter expenses of sources listed in column B, in this column" sqref="D6:O6"/>
    <dataValidation allowBlank="1" showInputMessage="1" showErrorMessage="1" prompt="A trend chart for expenses over time is in this column" sqref="C6"/>
    <dataValidation allowBlank="1" showInputMessage="1" showErrorMessage="1" prompt="Enter expenses in this column" sqref="B6"/>
    <dataValidation allowBlank="1" showInputMessage="1" showErrorMessage="1" prompt="Automatically calculates proportion of expenses from different sources to total expenses for the year in this column" sqref="AD5"/>
    <dataValidation allowBlank="1" showInputMessage="1" showErrorMessage="1" prompt="Automatically calculates proportion of expenses from different sources to total expenses in this column, for the month in this cell" sqref="R5:AC5"/>
    <dataValidation allowBlank="1" showInputMessage="1" showErrorMessage="1" prompt="Automatically updated month" sqref="E5:O5"/>
    <dataValidation allowBlank="1" showInputMessage="1" showErrorMessage="1" prompt="The dates in this row are automatically updated based on the starting month of fiscal year. To change starting month, modify cell AC2" sqref="D5"/>
    <dataValidation allowBlank="1" showInputMessage="1" showErrorMessage="1" prompt="Annual Expense is automatically calculated in this column" sqref="P5"/>
    <dataValidation allowBlank="1" showInputMessage="1" showErrorMessage="1" prompt="Index percent is in this column" sqref="Q5"/>
    <dataValidation allowBlank="1" showInputMessage="1" showErrorMessage="1" prompt="Month &amp; year are automatically updated in cells at right. To change month or year, modify cells AC2 and AD2 in Revenue (Sales) worksheet" sqref="E2"/>
    <dataValidation allowBlank="1" showInputMessage="1" showErrorMessage="1" prompt="Automatically updated month. To change, modify cell AC2 in Revenues (Sales) worksheet" sqref="F2"/>
    <dataValidation allowBlank="1" showInputMessage="1" showErrorMessage="1" prompt="Automatically updated year. To change, modify cell AD2 in Revenues (Sales) worksheet" sqref="G2"/>
    <dataValidation allowBlank="1" showInputMessage="1" showErrorMessage="1" prompt="This cell is automatically updated from the projection period title in Revenue (Sales) worksheet" sqref="B2"/>
    <dataValidation allowBlank="1" showInputMessage="1" showErrorMessage="1" prompt="Company name is automatically updated using the entry from Revenue (Sales) sheet" sqref="AD2 B1"/>
  </dataValidations>
  <printOptions horizontalCentered="1"/>
  <pageMargins left="0.25" right="0.25" top="0.75" bottom="0.75" header="0.3" footer="0.3"/>
  <pageSetup scale="46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Expenses!D7:O7</xm:f>
              <xm:sqref>C7</xm:sqref>
            </x14:sparkline>
            <x14:sparkline>
              <xm:f>Expenses!D8:O8</xm:f>
              <xm:sqref>C8</xm:sqref>
            </x14:sparkline>
            <x14:sparkline>
              <xm:f>Expenses!D9:O9</xm:f>
              <xm:sqref>C9</xm:sqref>
            </x14:sparkline>
            <x14:sparkline>
              <xm:f>Expenses!D10:O10</xm:f>
              <xm:sqref>C10</xm:sqref>
            </x14:sparkline>
            <x14:sparkline>
              <xm:f>Expenses!D11:O11</xm:f>
              <xm:sqref>C11</xm:sqref>
            </x14:sparkline>
            <x14:sparkline>
              <xm:f>Expenses!D12:O12</xm:f>
              <xm:sqref>C12</xm:sqref>
            </x14:sparkline>
            <x14:sparkline>
              <xm:f>Expenses!D13:O13</xm:f>
              <xm:sqref>C13</xm:sqref>
            </x14:sparkline>
            <x14:sparkline>
              <xm:f>Expenses!D14:O14</xm:f>
              <xm:sqref>C14</xm:sqref>
            </x14:sparkline>
            <x14:sparkline>
              <xm:f>Expenses!D15:O15</xm:f>
              <xm:sqref>C15</xm:sqref>
            </x14:sparkline>
            <x14:sparkline>
              <xm:f>Expenses!D16:O16</xm:f>
              <xm:sqref>C16</xm:sqref>
            </x14:sparkline>
            <x14:sparkline>
              <xm:f>Expenses!D17:O17</xm:f>
              <xm:sqref>C17</xm:sqref>
            </x14:sparkline>
            <x14:sparkline>
              <xm:f>Expenses!D18:O18</xm:f>
              <xm:sqref>C18</xm:sqref>
            </x14:sparkline>
            <x14:sparkline>
              <xm:f>Expenses!D19:O19</xm:f>
              <xm:sqref>C19</xm:sqref>
            </x14:sparkline>
            <x14:sparkline>
              <xm:f>Expenses!D20:O20</xm:f>
              <xm:sqref>C20</xm:sqref>
            </x14:sparkline>
            <x14:sparkline>
              <xm:f>Expenses!D21:O21</xm:f>
              <xm:sqref>C21</xm:sqref>
            </x14:sparkline>
            <x14:sparkline>
              <xm:f>Expenses!D22:O22</xm:f>
              <xm:sqref>C22</xm:sqref>
            </x14:sparkline>
            <x14:sparkline>
              <xm:f>Expenses!D23:O23</xm:f>
              <xm:sqref>C23</xm:sqref>
            </x14:sparkline>
            <x14:sparkline>
              <xm:f>Expenses!D24:O24</xm:f>
              <xm:sqref>C24</xm:sqref>
            </x14:sparkline>
            <x14:sparkline>
              <xm:f>Expenses!D25:O25</xm:f>
              <xm:sqref>C25</xm:sqref>
            </x14:sparkline>
          </x14:sparklines>
        </x14:sparklineGroup>
        <x14:sparklineGroup lineWeight="1" displayEmptyCellsAs="gap" high="1" low="1">
          <x14:colorSeries theme="9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9" tint="-0.499984740745262"/>
          <x14:colorLow theme="9" tint="-0.499984740745262"/>
          <x14:sparklines>
            <x14:sparkline>
              <xm:f>Expenses!D26:O26</xm:f>
              <xm:sqref>C26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3AA0B02-7EF7-45FE-B0B0-0382F4B4B6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55C0DC-2BAC-4262-95AA-1319CC0100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E4CF0-2589-44C0-BE62-F28DADEE0B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Revenues (Sales)</vt:lpstr>
      <vt:lpstr>Cost of Sales</vt:lpstr>
      <vt:lpstr>Expenses</vt:lpstr>
      <vt:lpstr>Company_Name</vt:lpstr>
      <vt:lpstr>FYMonthStart</vt:lpstr>
      <vt:lpstr>FYStartYear</vt:lpstr>
      <vt:lpstr>'Cost of Sales'!Print_Titles</vt:lpstr>
      <vt:lpstr>Expenses!Print_Titles</vt:lpstr>
      <vt:lpstr>'Revenues (Sales)'!Print_Titles</vt:lpstr>
      <vt:lpstr>Projection_Period_Title</vt:lpstr>
      <vt:lpstr>Title1</vt:lpstr>
      <vt:lpstr>Title2</vt:lpstr>
      <vt:lpstr>Title3</vt:lpstr>
      <vt:lpstr>Wksht_Title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https://templates.office.com/</dc:creator>
  <cp:lastModifiedBy>Windows User</cp:lastModifiedBy>
  <cp:lastPrinted>2018-06-26T13:08:05Z</cp:lastPrinted>
  <dcterms:created xsi:type="dcterms:W3CDTF">2017-10-21T03:12:43Z</dcterms:created>
  <dcterms:modified xsi:type="dcterms:W3CDTF">2023-05-14T15:35:11Z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