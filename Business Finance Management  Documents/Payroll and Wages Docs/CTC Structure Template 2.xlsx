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 defaultThemeVersion="124226"/>
  <xr:revisionPtr revIDLastSave="0" documentId="13_ncr:1_{1D16B37C-6D3F-436B-A701-5FD115A4B3A6}" xr6:coauthVersionLast="45" xr6:coauthVersionMax="45" xr10:uidLastSave="{00000000-0000-0000-0000-000000000000}"/>
  <bookViews>
    <workbookView xWindow="-93" yWindow="-93" windowWidth="21786" windowHeight="13986" tabRatio="568" xr2:uid="{00000000-000D-0000-FFFF-FFFF00000000}"/>
  </bookViews>
  <sheets>
    <sheet name="CTC Structure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18" l="1"/>
  <c r="D12" i="18"/>
  <c r="E6" i="18"/>
  <c r="E10" i="18" s="1"/>
  <c r="D10" i="18" s="1"/>
  <c r="E7" i="18" l="1"/>
  <c r="D7" i="18" s="1"/>
  <c r="D6" i="18"/>
  <c r="E11" i="18" s="1"/>
  <c r="D11" i="18" s="1"/>
  <c r="E8" i="18" l="1"/>
  <c r="D8" i="18" s="1"/>
  <c r="E9" i="18"/>
  <c r="E15" i="18" l="1"/>
  <c r="E13" i="18"/>
  <c r="D9" i="18"/>
  <c r="D13" i="18" s="1"/>
</calcChain>
</file>

<file path=xl/sharedStrings.xml><?xml version="1.0" encoding="utf-8"?>
<sst xmlns="http://schemas.openxmlformats.org/spreadsheetml/2006/main" count="16" uniqueCount="16">
  <si>
    <t>Monthly</t>
  </si>
  <si>
    <t>Annual</t>
  </si>
  <si>
    <t>Salary Components</t>
  </si>
  <si>
    <t>House Rent Allowance</t>
  </si>
  <si>
    <t>Basic Salary</t>
  </si>
  <si>
    <t>Flexi Pay</t>
  </si>
  <si>
    <t>ANNEXURE 'A'</t>
  </si>
  <si>
    <t>Basket of Allowance</t>
  </si>
  <si>
    <t>Gratuity (As per the Act)</t>
  </si>
  <si>
    <t>Annual Cost to Company (CTC)</t>
  </si>
  <si>
    <t>Gross Earnings</t>
  </si>
  <si>
    <t xml:space="preserve"> </t>
  </si>
  <si>
    <t>Statutory Bonus (As per the Act)</t>
  </si>
  <si>
    <t>Profession Tax</t>
  </si>
  <si>
    <t>Net Take Home Salary</t>
  </si>
  <si>
    <t>Annual Cost To Company (CTC)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</si>
</sst>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PT Sans"/>
      <family val="2"/>
    </font>
    <font>
      <sz val="10"/>
      <name val="PT Sans"/>
      <family val="2"/>
    </font>
    <font>
      <b/>
      <sz val="11"/>
      <name val="PT Sans"/>
      <family val="2"/>
    </font>
    <font>
      <b/>
      <u/>
      <sz val="10"/>
      <name val="PT Sans"/>
      <family val="2"/>
    </font>
    <font>
      <b/>
      <sz val="10"/>
      <name val="PT San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4943-BF18-4ABD-9E9D-FCEB6B213C58}">
  <dimension ref="B2:I17"/>
  <sheetViews>
    <sheetView tabSelected="1" zoomScaleNormal="100" workbookViewId="0">
      <selection activeCell="D13" sqref="D13"/>
    </sheetView>
  </sheetViews>
  <sheetFormatPr defaultColWidth="9.1171875" defaultRowHeight="18" customHeight="1" x14ac:dyDescent="0.5"/>
  <cols>
    <col min="1" max="1" width="6" style="1" customWidth="1"/>
    <col min="2" max="3" width="19.5859375" style="1" customWidth="1"/>
    <col min="4" max="5" width="21.5859375" style="1" customWidth="1"/>
    <col min="6" max="6" width="15" style="1" customWidth="1"/>
    <col min="7" max="7" width="17.41015625" style="1" customWidth="1"/>
    <col min="8" max="16384" width="9.1171875" style="1"/>
  </cols>
  <sheetData>
    <row r="2" spans="2:9" ht="20.25" customHeight="1" x14ac:dyDescent="0.5">
      <c r="B2" s="19" t="s">
        <v>6</v>
      </c>
      <c r="C2" s="19"/>
      <c r="D2" s="19"/>
      <c r="E2" s="19"/>
    </row>
    <row r="3" spans="2:9" ht="6" customHeight="1" x14ac:dyDescent="0.5">
      <c r="B3" s="10"/>
      <c r="C3" s="10"/>
      <c r="D3" s="10"/>
      <c r="E3" s="10"/>
    </row>
    <row r="4" spans="2:9" s="2" customFormat="1" ht="23.25" customHeight="1" x14ac:dyDescent="0.5">
      <c r="B4" s="20" t="s">
        <v>15</v>
      </c>
      <c r="C4" s="20"/>
      <c r="D4" s="20"/>
      <c r="E4" s="20"/>
    </row>
    <row r="5" spans="2:9" ht="23.25" customHeight="1" x14ac:dyDescent="0.5">
      <c r="B5" s="21" t="s">
        <v>2</v>
      </c>
      <c r="C5" s="21"/>
      <c r="D5" s="3" t="s">
        <v>0</v>
      </c>
      <c r="E5" s="11" t="s">
        <v>1</v>
      </c>
    </row>
    <row r="6" spans="2:9" ht="21.75" customHeight="1" x14ac:dyDescent="0.5">
      <c r="B6" s="22" t="s">
        <v>4</v>
      </c>
      <c r="C6" s="22"/>
      <c r="D6" s="4">
        <f>ROUND(E6/12,0)</f>
        <v>35000</v>
      </c>
      <c r="E6" s="5">
        <f>ROUND(G6*70%,0)</f>
        <v>420000</v>
      </c>
      <c r="G6" s="6">
        <v>600000</v>
      </c>
      <c r="I6" s="1" t="s">
        <v>11</v>
      </c>
    </row>
    <row r="7" spans="2:9" ht="21.75" customHeight="1" x14ac:dyDescent="0.5">
      <c r="B7" s="22" t="s">
        <v>3</v>
      </c>
      <c r="C7" s="22"/>
      <c r="D7" s="4">
        <f t="shared" ref="D7:D8" si="0">ROUND(E7/12,0)</f>
        <v>14000</v>
      </c>
      <c r="E7" s="5">
        <f>ROUND(E6*40%,0)</f>
        <v>168000</v>
      </c>
    </row>
    <row r="8" spans="2:9" ht="21.75" customHeight="1" x14ac:dyDescent="0.5">
      <c r="B8" s="17" t="s">
        <v>7</v>
      </c>
      <c r="C8" s="18"/>
      <c r="D8" s="4">
        <f t="shared" si="0"/>
        <v>1000</v>
      </c>
      <c r="E8" s="5">
        <f>G6-SUM(E6:E7)</f>
        <v>12000</v>
      </c>
    </row>
    <row r="9" spans="2:9" ht="21.75" customHeight="1" x14ac:dyDescent="0.5">
      <c r="B9" s="12" t="s">
        <v>10</v>
      </c>
      <c r="C9" s="13"/>
      <c r="D9" s="7">
        <f>ROUND(E9/12,0)</f>
        <v>50000</v>
      </c>
      <c r="E9" s="8">
        <f>SUM(E6:E8)</f>
        <v>600000</v>
      </c>
    </row>
    <row r="10" spans="2:9" ht="21.75" customHeight="1" x14ac:dyDescent="0.5">
      <c r="B10" s="14" t="s">
        <v>8</v>
      </c>
      <c r="C10" s="15"/>
      <c r="D10" s="4">
        <f>ROUND(E10/12,0)</f>
        <v>1684</v>
      </c>
      <c r="E10" s="5">
        <f>ROUND(E6*4.81%,0)</f>
        <v>20202</v>
      </c>
    </row>
    <row r="11" spans="2:9" ht="21.75" customHeight="1" x14ac:dyDescent="0.5">
      <c r="B11" s="14" t="s">
        <v>12</v>
      </c>
      <c r="C11" s="15"/>
      <c r="D11" s="4">
        <f>ROUND(E11/12,0)</f>
        <v>583</v>
      </c>
      <c r="E11" s="5">
        <f>ROUND(IF(D6&lt;21000,7000,7000),0)</f>
        <v>7000</v>
      </c>
    </row>
    <row r="12" spans="2:9" ht="21.75" customHeight="1" x14ac:dyDescent="0.5">
      <c r="B12" s="14" t="s">
        <v>13</v>
      </c>
      <c r="C12" s="15"/>
      <c r="D12" s="4">
        <f>+E12/12</f>
        <v>200</v>
      </c>
      <c r="E12" s="5">
        <v>2400</v>
      </c>
    </row>
    <row r="13" spans="2:9" ht="21.75" customHeight="1" x14ac:dyDescent="0.5">
      <c r="B13" s="16" t="s">
        <v>14</v>
      </c>
      <c r="C13" s="16"/>
      <c r="D13" s="7">
        <f>+D9-SUM(D10:D12)</f>
        <v>47533</v>
      </c>
      <c r="E13" s="7">
        <f>+E9-SUM(E10:E12)</f>
        <v>570398</v>
      </c>
      <c r="F13" s="2"/>
    </row>
    <row r="14" spans="2:9" ht="21.75" customHeight="1" x14ac:dyDescent="0.5">
      <c r="B14" s="14" t="s">
        <v>5</v>
      </c>
      <c r="C14" s="15"/>
      <c r="D14" s="4">
        <f>ROUND(E14/12,0)</f>
        <v>0</v>
      </c>
      <c r="E14" s="9">
        <v>0</v>
      </c>
      <c r="F14" s="2"/>
    </row>
    <row r="15" spans="2:9" ht="21.75" customHeight="1" x14ac:dyDescent="0.5">
      <c r="B15" s="12" t="s">
        <v>9</v>
      </c>
      <c r="C15" s="13"/>
      <c r="D15" s="8"/>
      <c r="E15" s="8">
        <f>E9</f>
        <v>600000</v>
      </c>
      <c r="F15" s="2"/>
    </row>
    <row r="16" spans="2:9" ht="18" customHeight="1" x14ac:dyDescent="0.5">
      <c r="B16" s="2"/>
      <c r="C16" s="2"/>
      <c r="D16" s="2"/>
      <c r="E16" s="2"/>
      <c r="F16" s="2"/>
    </row>
    <row r="17" spans="2:6" ht="18" customHeight="1" x14ac:dyDescent="0.5">
      <c r="B17" s="2"/>
      <c r="C17" s="2"/>
      <c r="D17" s="2"/>
      <c r="E17" s="2"/>
      <c r="F17" s="2"/>
    </row>
  </sheetData>
  <mergeCells count="13">
    <mergeCell ref="B8:C8"/>
    <mergeCell ref="B2:E2"/>
    <mergeCell ref="B4:E4"/>
    <mergeCell ref="B5:C5"/>
    <mergeCell ref="B6:C6"/>
    <mergeCell ref="B7:C7"/>
    <mergeCell ref="B15:C15"/>
    <mergeCell ref="B9:C9"/>
    <mergeCell ref="B10:C10"/>
    <mergeCell ref="B11:C11"/>
    <mergeCell ref="B12:C12"/>
    <mergeCell ref="B13:C13"/>
    <mergeCell ref="B14:C14"/>
  </mergeCells>
  <pageMargins left="1" right="0.44" top="1.5" bottom="0.5" header="0.3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2012-08-06T04:37:26Z</cp:lastPrinted>
  <dcterms:created xsi:type="dcterms:W3CDTF">2006-09-16T00:00:00Z</dcterms:created>
  <dcterms:modified xsi:type="dcterms:W3CDTF">2020-06-12T11:57:32Z</dcterms:modified>
</cp:coreProperties>
</file>