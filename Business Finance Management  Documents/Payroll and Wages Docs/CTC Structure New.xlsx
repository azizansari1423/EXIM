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 filterPrivacy="1" defaultThemeVersion="124226"/>
  <xr:revisionPtr revIDLastSave="0" documentId="11_F9D27DB47FE9C5EF08E196F095A208C58F2C574E" xr6:coauthVersionLast="45" xr6:coauthVersionMax="45" xr10:uidLastSave="{00000000-0000-0000-0000-000000000000}"/>
  <bookViews>
    <workbookView xWindow="-93" yWindow="-93" windowWidth="21786" windowHeight="13986" tabRatio="568" activeTab="2" xr2:uid="{00000000-000D-0000-FFFF-FFFF00000000}"/>
  </bookViews>
  <sheets>
    <sheet name="CTC&lt;10000" sheetId="11" r:id="rId1"/>
    <sheet name="CTC &lt;20000" sheetId="12" r:id="rId2"/>
    <sheet name="CTC&gt;20000" sheetId="1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1" i="11" l="1"/>
  <c r="E11" i="12" l="1"/>
  <c r="E11" i="13"/>
  <c r="E11" i="11" l="1"/>
  <c r="E17" i="12"/>
  <c r="D17" i="12" s="1"/>
  <c r="D22" i="13"/>
  <c r="D14" i="13"/>
  <c r="D13" i="13"/>
  <c r="E19" i="13"/>
  <c r="D19" i="13" s="1"/>
  <c r="D20" i="12"/>
  <c r="D13" i="12"/>
  <c r="D19" i="11"/>
  <c r="E12" i="11" l="1"/>
  <c r="D12" i="11" s="1"/>
  <c r="E16" i="11"/>
  <c r="D16" i="11" s="1"/>
  <c r="D11" i="13"/>
  <c r="E12" i="13"/>
  <c r="D12" i="13" s="1"/>
  <c r="E15" i="13"/>
  <c r="D15" i="13" s="1"/>
  <c r="D11" i="11"/>
  <c r="D11" i="12"/>
  <c r="E12" i="12"/>
  <c r="D12" i="12" s="1"/>
  <c r="E18" i="12" l="1"/>
  <c r="D18" i="12" s="1"/>
  <c r="E16" i="12"/>
  <c r="D16" i="12" s="1"/>
  <c r="E20" i="13"/>
  <c r="D20" i="13" s="1"/>
  <c r="E18" i="13"/>
  <c r="D18" i="13" s="1"/>
  <c r="E15" i="11"/>
  <c r="E17" i="11"/>
  <c r="D17" i="11" s="1"/>
  <c r="E14" i="12" l="1"/>
  <c r="E16" i="13"/>
  <c r="D15" i="11"/>
  <c r="E13" i="11"/>
  <c r="E14" i="11" s="1"/>
  <c r="D16" i="13" l="1"/>
  <c r="D17" i="13" s="1"/>
  <c r="D21" i="13" s="1"/>
  <c r="E17" i="13"/>
  <c r="E21" i="13" s="1"/>
  <c r="E23" i="13" s="1"/>
  <c r="E18" i="11"/>
  <c r="E20" i="11" s="1"/>
  <c r="D13" i="11"/>
  <c r="D14" i="11" s="1"/>
  <c r="D18" i="11" s="1"/>
  <c r="D14" i="12"/>
  <c r="D15" i="12" s="1"/>
  <c r="D19" i="12" s="1"/>
  <c r="E15" i="12"/>
  <c r="E19" i="12" s="1"/>
  <c r="E21" i="12" s="1"/>
</calcChain>
</file>

<file path=xl/sharedStrings.xml><?xml version="1.0" encoding="utf-8"?>
<sst xmlns="http://schemas.openxmlformats.org/spreadsheetml/2006/main" count="79" uniqueCount="32">
  <si>
    <t>Monthly</t>
  </si>
  <si>
    <t>Annual</t>
  </si>
  <si>
    <t>Salary Components</t>
  </si>
  <si>
    <t>House Rent Allowance</t>
  </si>
  <si>
    <t>Conveyance Allowance</t>
  </si>
  <si>
    <t>Basic Salary</t>
  </si>
  <si>
    <t>Fixed Cost to Company</t>
  </si>
  <si>
    <t>Flexi Pay</t>
  </si>
  <si>
    <t>ANNEXURE 'A'</t>
  </si>
  <si>
    <t>COST TO COMPANY BREAK-UP</t>
  </si>
  <si>
    <t>Basket of Allowance</t>
  </si>
  <si>
    <t>Gratuity (As per the Act)</t>
  </si>
  <si>
    <t>Annual Cost to Company (CTC)</t>
  </si>
  <si>
    <t>Medical Allowance</t>
  </si>
  <si>
    <t>Gross Earnings</t>
  </si>
  <si>
    <t>Employment Details</t>
  </si>
  <si>
    <t>Name</t>
  </si>
  <si>
    <t>Date of Joining</t>
  </si>
  <si>
    <t>Designation</t>
  </si>
  <si>
    <t>Location</t>
  </si>
  <si>
    <t>Bangalore</t>
  </si>
  <si>
    <t>Grade</t>
  </si>
  <si>
    <t>Cost Centre</t>
  </si>
  <si>
    <t>Head Office</t>
  </si>
  <si>
    <t xml:space="preserve"> </t>
  </si>
  <si>
    <t>Employer Provident Fund</t>
  </si>
  <si>
    <t>Leave Travel Allowance</t>
  </si>
  <si>
    <t>Statutory Bonus (As per the Act)</t>
  </si>
  <si>
    <t>Shruti Nambiar</t>
  </si>
  <si>
    <t>Senior Executive - HR</t>
  </si>
  <si>
    <t>G-14</t>
  </si>
  <si>
    <t>Annual CTC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</si>
</sst>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ndalus"/>
      <family val="1"/>
    </font>
    <font>
      <sz val="10"/>
      <name val="Andalus"/>
      <family val="1"/>
    </font>
    <font>
      <b/>
      <u/>
      <sz val="10"/>
      <name val="Andalus"/>
      <family val="1"/>
    </font>
    <font>
      <b/>
      <sz val="10"/>
      <name val="Andalus"/>
      <family val="1"/>
    </font>
    <font>
      <b/>
      <sz val="11"/>
      <name val="Andalus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3" fillId="2" borderId="0" xfId="0" applyFont="1" applyFill="1" applyAlignment="1">
      <alignment vertical="center"/>
    </xf>
    <xf numFmtId="0" fontId="3" fillId="2" borderId="0" xfId="0" applyFont="1" applyFill="1" applyBorder="1" applyAlignment="1">
      <alignment vertical="center"/>
    </xf>
    <xf numFmtId="164" fontId="5" fillId="2" borderId="1" xfId="1" applyNumberFormat="1" applyFont="1" applyFill="1" applyBorder="1" applyAlignment="1">
      <alignment horizontal="right" vertical="center"/>
    </xf>
    <xf numFmtId="2" fontId="4" fillId="3" borderId="1" xfId="0" applyNumberFormat="1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righ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center" vertical="center"/>
    </xf>
    <xf numFmtId="164" fontId="5" fillId="2" borderId="3" xfId="1" applyNumberFormat="1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right" vertical="center"/>
    </xf>
    <xf numFmtId="164" fontId="5" fillId="2" borderId="1" xfId="1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 wrapText="1"/>
    </xf>
    <xf numFmtId="14" fontId="3" fillId="2" borderId="1" xfId="0" applyNumberFormat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14" fontId="3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5" fillId="2" borderId="0" xfId="0" applyNumberFormat="1" applyFont="1" applyFill="1" applyAlignment="1">
      <alignment horizontal="right" vertical="center"/>
    </xf>
    <xf numFmtId="164" fontId="5" fillId="2" borderId="0" xfId="0" applyNumberFormat="1" applyFont="1" applyFill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2"/>
  <sheetViews>
    <sheetView topLeftCell="A7" zoomScaleNormal="85" workbookViewId="0">
      <selection activeCell="E12" sqref="E12"/>
    </sheetView>
  </sheetViews>
  <sheetFormatPr defaultColWidth="9.1171875" defaultRowHeight="18" customHeight="1" x14ac:dyDescent="0.5"/>
  <cols>
    <col min="1" max="1" width="6" style="1" customWidth="1"/>
    <col min="2" max="2" width="19.5859375" style="1" customWidth="1"/>
    <col min="3" max="5" width="20.703125" style="1" customWidth="1"/>
    <col min="6" max="6" width="13.1171875" style="1" customWidth="1"/>
    <col min="7" max="7" width="17.41015625" style="1" customWidth="1"/>
    <col min="8" max="16384" width="9.1171875" style="1"/>
  </cols>
  <sheetData>
    <row r="2" spans="2:9" ht="20.25" customHeight="1" x14ac:dyDescent="0.5">
      <c r="B2" s="28" t="s">
        <v>8</v>
      </c>
      <c r="C2" s="28"/>
      <c r="D2" s="28"/>
      <c r="E2" s="28"/>
    </row>
    <row r="3" spans="2:9" ht="6" customHeight="1" x14ac:dyDescent="0.5">
      <c r="B3" s="16"/>
      <c r="C3" s="16"/>
      <c r="D3" s="16"/>
      <c r="E3" s="16"/>
    </row>
    <row r="4" spans="2:9" ht="20.25" customHeight="1" x14ac:dyDescent="0.5">
      <c r="B4" s="29" t="s">
        <v>15</v>
      </c>
      <c r="C4" s="29"/>
      <c r="D4" s="29"/>
      <c r="E4" s="29"/>
    </row>
    <row r="5" spans="2:9" ht="20.25" customHeight="1" x14ac:dyDescent="0.5">
      <c r="B5" s="10" t="s">
        <v>16</v>
      </c>
      <c r="C5" s="11"/>
      <c r="D5" s="10" t="s">
        <v>17</v>
      </c>
      <c r="E5" s="12"/>
    </row>
    <row r="6" spans="2:9" ht="20.25" customHeight="1" x14ac:dyDescent="0.5">
      <c r="B6" s="10" t="s">
        <v>18</v>
      </c>
      <c r="C6" s="11"/>
      <c r="D6" s="10" t="s">
        <v>19</v>
      </c>
      <c r="E6" s="13"/>
      <c r="G6" s="14"/>
    </row>
    <row r="7" spans="2:9" ht="20.25" customHeight="1" x14ac:dyDescent="0.5">
      <c r="B7" s="10" t="s">
        <v>21</v>
      </c>
      <c r="C7" s="15"/>
      <c r="D7" s="10" t="s">
        <v>22</v>
      </c>
      <c r="E7" s="13"/>
    </row>
    <row r="8" spans="2:9" ht="12" customHeight="1" x14ac:dyDescent="0.5">
      <c r="B8" s="16"/>
      <c r="C8" s="16"/>
      <c r="D8" s="16"/>
      <c r="E8" s="16"/>
    </row>
    <row r="9" spans="2:9" s="2" customFormat="1" ht="23.25" customHeight="1" x14ac:dyDescent="0.5">
      <c r="B9" s="30" t="s">
        <v>9</v>
      </c>
      <c r="C9" s="30"/>
      <c r="D9" s="30"/>
      <c r="E9" s="30"/>
    </row>
    <row r="10" spans="2:9" ht="23.25" customHeight="1" x14ac:dyDescent="0.5">
      <c r="B10" s="29" t="s">
        <v>2</v>
      </c>
      <c r="C10" s="29"/>
      <c r="D10" s="7" t="s">
        <v>0</v>
      </c>
      <c r="E10" s="17" t="s">
        <v>1</v>
      </c>
    </row>
    <row r="11" spans="2:9" ht="21.75" customHeight="1" x14ac:dyDescent="0.5">
      <c r="B11" s="31" t="s">
        <v>5</v>
      </c>
      <c r="C11" s="31"/>
      <c r="D11" s="8">
        <f>ROUND(E11/12,0)</f>
        <v>6000</v>
      </c>
      <c r="E11" s="3">
        <f>ROUND(G11*60%,0)</f>
        <v>72000</v>
      </c>
      <c r="G11" s="4">
        <f>10000*12</f>
        <v>120000</v>
      </c>
      <c r="I11" s="1" t="s">
        <v>24</v>
      </c>
    </row>
    <row r="12" spans="2:9" ht="21.75" customHeight="1" x14ac:dyDescent="0.5">
      <c r="B12" s="31" t="s">
        <v>3</v>
      </c>
      <c r="C12" s="31"/>
      <c r="D12" s="8">
        <f t="shared" ref="D12:D13" si="0">ROUND(E12/12,0)</f>
        <v>1200</v>
      </c>
      <c r="E12" s="3">
        <f>ROUND(E11*20%,0)</f>
        <v>14400</v>
      </c>
    </row>
    <row r="13" spans="2:9" ht="21.75" customHeight="1" x14ac:dyDescent="0.5">
      <c r="B13" s="24" t="s">
        <v>10</v>
      </c>
      <c r="C13" s="25"/>
      <c r="D13" s="8">
        <f t="shared" si="0"/>
        <v>1208</v>
      </c>
      <c r="E13" s="3">
        <f>G11-(SUM(E11:E12)+SUM(E15:E17))</f>
        <v>14497</v>
      </c>
    </row>
    <row r="14" spans="2:9" ht="21.75" customHeight="1" x14ac:dyDescent="0.5">
      <c r="B14" s="26" t="s">
        <v>14</v>
      </c>
      <c r="C14" s="27"/>
      <c r="D14" s="5">
        <f>SUM(D11:D13)</f>
        <v>8408</v>
      </c>
      <c r="E14" s="5">
        <f>SUM(E11:E13)</f>
        <v>100897</v>
      </c>
    </row>
    <row r="15" spans="2:9" ht="21.75" customHeight="1" x14ac:dyDescent="0.5">
      <c r="B15" s="32" t="s">
        <v>25</v>
      </c>
      <c r="C15" s="33"/>
      <c r="D15" s="8">
        <f>ROUND(E15/12,0)</f>
        <v>720</v>
      </c>
      <c r="E15" s="3">
        <f>ROUND(IF(D11&lt;15000,E11*12%,1800*12),0)</f>
        <v>8640</v>
      </c>
    </row>
    <row r="16" spans="2:9" ht="21.75" customHeight="1" x14ac:dyDescent="0.5">
      <c r="B16" s="32" t="s">
        <v>11</v>
      </c>
      <c r="C16" s="33"/>
      <c r="D16" s="8">
        <f>ROUND(E16/12,0)</f>
        <v>289</v>
      </c>
      <c r="E16" s="3">
        <f>ROUND(E11*4.81%,0)</f>
        <v>3463</v>
      </c>
    </row>
    <row r="17" spans="2:6" ht="21.75" customHeight="1" x14ac:dyDescent="0.5">
      <c r="B17" s="32" t="s">
        <v>27</v>
      </c>
      <c r="C17" s="33"/>
      <c r="D17" s="8">
        <f>ROUND(E17/12,0)</f>
        <v>583</v>
      </c>
      <c r="E17" s="3">
        <f>ROUND(IF(D11&lt;21000,7000,E11*4.4%),0)</f>
        <v>7000</v>
      </c>
    </row>
    <row r="18" spans="2:6" ht="21.75" customHeight="1" x14ac:dyDescent="0.5">
      <c r="B18" s="34" t="s">
        <v>6</v>
      </c>
      <c r="C18" s="34"/>
      <c r="D18" s="9">
        <f>SUM(D14:D17)</f>
        <v>10000</v>
      </c>
      <c r="E18" s="5">
        <f>SUM(E14:E17)</f>
        <v>120000</v>
      </c>
      <c r="F18" s="2"/>
    </row>
    <row r="19" spans="2:6" ht="21.75" customHeight="1" x14ac:dyDescent="0.5">
      <c r="B19" s="32" t="s">
        <v>7</v>
      </c>
      <c r="C19" s="33"/>
      <c r="D19" s="8">
        <f>ROUND(E19/12,0)</f>
        <v>0</v>
      </c>
      <c r="E19" s="6">
        <v>0</v>
      </c>
      <c r="F19" s="2"/>
    </row>
    <row r="20" spans="2:6" ht="21.75" customHeight="1" x14ac:dyDescent="0.5">
      <c r="B20" s="26" t="s">
        <v>12</v>
      </c>
      <c r="C20" s="27"/>
      <c r="D20" s="5"/>
      <c r="E20" s="5">
        <f>+E18+E19</f>
        <v>120000</v>
      </c>
      <c r="F20" s="2"/>
    </row>
    <row r="21" spans="2:6" ht="18" customHeight="1" x14ac:dyDescent="0.5">
      <c r="B21" s="2"/>
      <c r="C21" s="2"/>
      <c r="D21" s="2"/>
      <c r="E21" s="2"/>
      <c r="F21" s="2"/>
    </row>
    <row r="22" spans="2:6" ht="18" customHeight="1" x14ac:dyDescent="0.5">
      <c r="B22" s="2"/>
      <c r="C22" s="2"/>
      <c r="D22" s="2"/>
      <c r="E22" s="2"/>
      <c r="F22" s="2"/>
    </row>
  </sheetData>
  <mergeCells count="14">
    <mergeCell ref="B17:C17"/>
    <mergeCell ref="B18:C18"/>
    <mergeCell ref="B19:C19"/>
    <mergeCell ref="B20:C20"/>
    <mergeCell ref="B15:C15"/>
    <mergeCell ref="B16:C16"/>
    <mergeCell ref="B13:C13"/>
    <mergeCell ref="B14:C14"/>
    <mergeCell ref="B2:E2"/>
    <mergeCell ref="B4:E4"/>
    <mergeCell ref="B9:E9"/>
    <mergeCell ref="B10:C10"/>
    <mergeCell ref="B11:C11"/>
    <mergeCell ref="B12:C12"/>
  </mergeCells>
  <pageMargins left="0.25" right="0.25" top="0.75" bottom="0.75" header="0.3" footer="0.3"/>
  <pageSetup paperSize="9"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23"/>
  <sheetViews>
    <sheetView topLeftCell="A7" zoomScaleNormal="85" workbookViewId="0">
      <selection activeCell="G11" sqref="G11"/>
    </sheetView>
  </sheetViews>
  <sheetFormatPr defaultColWidth="9.1171875" defaultRowHeight="18" customHeight="1" x14ac:dyDescent="0.5"/>
  <cols>
    <col min="1" max="1" width="6" style="1" customWidth="1"/>
    <col min="2" max="3" width="19.5859375" style="1" customWidth="1"/>
    <col min="4" max="5" width="21.5859375" style="1" customWidth="1"/>
    <col min="6" max="6" width="13.1171875" style="1" customWidth="1"/>
    <col min="7" max="7" width="17.41015625" style="1" customWidth="1"/>
    <col min="8" max="16384" width="9.1171875" style="1"/>
  </cols>
  <sheetData>
    <row r="2" spans="2:9" ht="20.25" customHeight="1" x14ac:dyDescent="0.5">
      <c r="B2" s="28" t="s">
        <v>8</v>
      </c>
      <c r="C2" s="28"/>
      <c r="D2" s="28"/>
      <c r="E2" s="28"/>
    </row>
    <row r="3" spans="2:9" ht="6" customHeight="1" x14ac:dyDescent="0.5">
      <c r="B3" s="16"/>
      <c r="C3" s="16"/>
      <c r="D3" s="16"/>
      <c r="E3" s="16"/>
    </row>
    <row r="4" spans="2:9" ht="20.25" customHeight="1" x14ac:dyDescent="0.5">
      <c r="B4" s="29" t="s">
        <v>15</v>
      </c>
      <c r="C4" s="29"/>
      <c r="D4" s="29"/>
      <c r="E4" s="29"/>
    </row>
    <row r="5" spans="2:9" ht="20.25" customHeight="1" x14ac:dyDescent="0.5">
      <c r="B5" s="10" t="s">
        <v>16</v>
      </c>
      <c r="C5" s="11"/>
      <c r="D5" s="10" t="s">
        <v>17</v>
      </c>
      <c r="E5" s="12"/>
    </row>
    <row r="6" spans="2:9" ht="20.25" customHeight="1" x14ac:dyDescent="0.5">
      <c r="B6" s="10" t="s">
        <v>18</v>
      </c>
      <c r="C6" s="11"/>
      <c r="D6" s="10" t="s">
        <v>19</v>
      </c>
      <c r="E6" s="13"/>
      <c r="G6" s="14"/>
    </row>
    <row r="7" spans="2:9" ht="20.25" customHeight="1" x14ac:dyDescent="0.5">
      <c r="B7" s="10" t="s">
        <v>21</v>
      </c>
      <c r="C7" s="15"/>
      <c r="D7" s="10" t="s">
        <v>22</v>
      </c>
      <c r="E7" s="13"/>
    </row>
    <row r="8" spans="2:9" ht="12" customHeight="1" x14ac:dyDescent="0.5">
      <c r="B8" s="16"/>
      <c r="C8" s="16"/>
      <c r="D8" s="16"/>
      <c r="E8" s="16"/>
    </row>
    <row r="9" spans="2:9" s="2" customFormat="1" ht="23.25" customHeight="1" x14ac:dyDescent="0.5">
      <c r="B9" s="30" t="s">
        <v>9</v>
      </c>
      <c r="C9" s="30"/>
      <c r="D9" s="30"/>
      <c r="E9" s="30"/>
    </row>
    <row r="10" spans="2:9" ht="23.25" customHeight="1" x14ac:dyDescent="0.5">
      <c r="B10" s="29" t="s">
        <v>2</v>
      </c>
      <c r="C10" s="29"/>
      <c r="D10" s="7" t="s">
        <v>0</v>
      </c>
      <c r="E10" s="17" t="s">
        <v>1</v>
      </c>
    </row>
    <row r="11" spans="2:9" ht="21.75" customHeight="1" x14ac:dyDescent="0.5">
      <c r="B11" s="31" t="s">
        <v>5</v>
      </c>
      <c r="C11" s="31"/>
      <c r="D11" s="8">
        <f>ROUND(E11/12,0)</f>
        <v>5500</v>
      </c>
      <c r="E11" s="3">
        <f>ROUND(G11*50%,0)</f>
        <v>66000</v>
      </c>
      <c r="G11" s="4">
        <v>132000</v>
      </c>
      <c r="I11" s="1" t="s">
        <v>24</v>
      </c>
    </row>
    <row r="12" spans="2:9" ht="21.75" customHeight="1" x14ac:dyDescent="0.5">
      <c r="B12" s="31" t="s">
        <v>3</v>
      </c>
      <c r="C12" s="31"/>
      <c r="D12" s="8">
        <f t="shared" ref="D12:D14" si="0">ROUND(E12/12,0)</f>
        <v>2750</v>
      </c>
      <c r="E12" s="3">
        <f>ROUND(E11*50%,0)</f>
        <v>33000</v>
      </c>
    </row>
    <row r="13" spans="2:9" ht="21.75" customHeight="1" x14ac:dyDescent="0.5">
      <c r="B13" s="35" t="s">
        <v>4</v>
      </c>
      <c r="C13" s="35"/>
      <c r="D13" s="8">
        <f t="shared" si="0"/>
        <v>1000</v>
      </c>
      <c r="E13" s="3">
        <v>12000</v>
      </c>
    </row>
    <row r="14" spans="2:9" ht="21.75" customHeight="1" x14ac:dyDescent="0.5">
      <c r="B14" s="24" t="s">
        <v>10</v>
      </c>
      <c r="C14" s="25"/>
      <c r="D14" s="8">
        <f t="shared" si="0"/>
        <v>242</v>
      </c>
      <c r="E14" s="3">
        <f>G11-(SUM(E11:E13)+SUM(E16:E18))</f>
        <v>2905</v>
      </c>
    </row>
    <row r="15" spans="2:9" ht="21.75" customHeight="1" x14ac:dyDescent="0.5">
      <c r="B15" s="26" t="s">
        <v>14</v>
      </c>
      <c r="C15" s="27"/>
      <c r="D15" s="5">
        <f>SUM(D11:D14)</f>
        <v>9492</v>
      </c>
      <c r="E15" s="5">
        <f>SUM(E11:E14)</f>
        <v>113905</v>
      </c>
    </row>
    <row r="16" spans="2:9" ht="21.75" customHeight="1" x14ac:dyDescent="0.5">
      <c r="B16" s="32" t="s">
        <v>25</v>
      </c>
      <c r="C16" s="33"/>
      <c r="D16" s="8">
        <f>ROUND(E16/12,0)</f>
        <v>660</v>
      </c>
      <c r="E16" s="3">
        <f>ROUND(IF(D11&lt;15000,E11*12%,1800*12),0)</f>
        <v>7920</v>
      </c>
    </row>
    <row r="17" spans="2:6" ht="21.75" customHeight="1" x14ac:dyDescent="0.5">
      <c r="B17" s="32" t="s">
        <v>11</v>
      </c>
      <c r="C17" s="33"/>
      <c r="D17" s="8">
        <f>ROUND(E17/12,0)</f>
        <v>265</v>
      </c>
      <c r="E17" s="3">
        <f>ROUND(E11*4.81%,0)</f>
        <v>3175</v>
      </c>
    </row>
    <row r="18" spans="2:6" ht="21.75" customHeight="1" x14ac:dyDescent="0.5">
      <c r="B18" s="32" t="s">
        <v>27</v>
      </c>
      <c r="C18" s="33"/>
      <c r="D18" s="8">
        <f>ROUND(E18/12,0)</f>
        <v>583</v>
      </c>
      <c r="E18" s="3">
        <f>ROUND(IF(D11&lt;21000,7000,E11*4.4%),0)</f>
        <v>7000</v>
      </c>
    </row>
    <row r="19" spans="2:6" ht="21.75" customHeight="1" x14ac:dyDescent="0.5">
      <c r="B19" s="34" t="s">
        <v>6</v>
      </c>
      <c r="C19" s="34"/>
      <c r="D19" s="9">
        <f>SUM(D15:D18)</f>
        <v>11000</v>
      </c>
      <c r="E19" s="5">
        <f>SUM(E15:E18)</f>
        <v>132000</v>
      </c>
      <c r="F19" s="2"/>
    </row>
    <row r="20" spans="2:6" ht="21.75" customHeight="1" x14ac:dyDescent="0.5">
      <c r="B20" s="32" t="s">
        <v>7</v>
      </c>
      <c r="C20" s="33"/>
      <c r="D20" s="8">
        <f>ROUND(E20/12,0)</f>
        <v>0</v>
      </c>
      <c r="E20" s="6">
        <v>0</v>
      </c>
      <c r="F20" s="2"/>
    </row>
    <row r="21" spans="2:6" ht="21.75" customHeight="1" x14ac:dyDescent="0.5">
      <c r="B21" s="26" t="s">
        <v>12</v>
      </c>
      <c r="C21" s="27"/>
      <c r="D21" s="5"/>
      <c r="E21" s="5">
        <f>+E19+E20</f>
        <v>132000</v>
      </c>
      <c r="F21" s="2"/>
    </row>
    <row r="22" spans="2:6" ht="18" customHeight="1" x14ac:dyDescent="0.5">
      <c r="B22" s="2"/>
      <c r="C22" s="2"/>
      <c r="D22" s="2"/>
      <c r="E22" s="2"/>
      <c r="F22" s="2"/>
    </row>
    <row r="23" spans="2:6" ht="18" customHeight="1" x14ac:dyDescent="0.5">
      <c r="B23" s="2"/>
      <c r="C23" s="2"/>
      <c r="D23" s="2"/>
      <c r="E23" s="2"/>
      <c r="F23" s="2"/>
    </row>
  </sheetData>
  <mergeCells count="15">
    <mergeCell ref="B18:C18"/>
    <mergeCell ref="B16:C16"/>
    <mergeCell ref="B19:C19"/>
    <mergeCell ref="B20:C20"/>
    <mergeCell ref="B21:C21"/>
    <mergeCell ref="B17:C17"/>
    <mergeCell ref="B13:C13"/>
    <mergeCell ref="B14:C14"/>
    <mergeCell ref="B15:C15"/>
    <mergeCell ref="B2:E2"/>
    <mergeCell ref="B4:E4"/>
    <mergeCell ref="B9:E9"/>
    <mergeCell ref="B10:C10"/>
    <mergeCell ref="B11:C11"/>
    <mergeCell ref="B12:C12"/>
  </mergeCells>
  <pageMargins left="0.25" right="0.25" top="0.75" bottom="0.75" header="0.3" footer="0.3"/>
  <pageSetup paperSize="9" orientation="portrait" horizontalDpi="429496729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25"/>
  <sheetViews>
    <sheetView tabSelected="1" zoomScaleNormal="100" workbookViewId="0">
      <selection activeCell="F16" sqref="F16"/>
    </sheetView>
  </sheetViews>
  <sheetFormatPr defaultColWidth="9.1171875" defaultRowHeight="18" customHeight="1" x14ac:dyDescent="0.5"/>
  <cols>
    <col min="1" max="1" width="6" style="1" customWidth="1"/>
    <col min="2" max="3" width="19.5859375" style="1" customWidth="1"/>
    <col min="4" max="5" width="21.5859375" style="1" customWidth="1"/>
    <col min="6" max="6" width="29.41015625" style="1" customWidth="1"/>
    <col min="7" max="7" width="17.41015625" style="1" customWidth="1"/>
    <col min="8" max="16384" width="9.1171875" style="1"/>
  </cols>
  <sheetData>
    <row r="2" spans="2:9" ht="20.25" customHeight="1" x14ac:dyDescent="0.5">
      <c r="B2" s="28" t="s">
        <v>8</v>
      </c>
      <c r="C2" s="28"/>
      <c r="D2" s="28"/>
      <c r="E2" s="28"/>
    </row>
    <row r="3" spans="2:9" ht="6" customHeight="1" x14ac:dyDescent="0.5">
      <c r="B3" s="16"/>
      <c r="C3" s="16"/>
      <c r="D3" s="16"/>
      <c r="E3" s="16"/>
    </row>
    <row r="4" spans="2:9" ht="20.25" customHeight="1" x14ac:dyDescent="0.5">
      <c r="B4" s="29" t="s">
        <v>15</v>
      </c>
      <c r="C4" s="29"/>
      <c r="D4" s="29"/>
      <c r="E4" s="29"/>
    </row>
    <row r="5" spans="2:9" ht="20.25" customHeight="1" x14ac:dyDescent="0.5">
      <c r="B5" s="10" t="s">
        <v>16</v>
      </c>
      <c r="C5" s="11" t="s">
        <v>28</v>
      </c>
      <c r="D5" s="10" t="s">
        <v>17</v>
      </c>
      <c r="E5" s="12">
        <v>41640</v>
      </c>
    </row>
    <row r="6" spans="2:9" ht="20.25" customHeight="1" x14ac:dyDescent="0.5">
      <c r="B6" s="10" t="s">
        <v>18</v>
      </c>
      <c r="C6" s="11" t="s">
        <v>29</v>
      </c>
      <c r="D6" s="10" t="s">
        <v>19</v>
      </c>
      <c r="E6" s="13" t="s">
        <v>20</v>
      </c>
      <c r="G6" s="14"/>
    </row>
    <row r="7" spans="2:9" ht="20.25" customHeight="1" x14ac:dyDescent="0.5">
      <c r="B7" s="10" t="s">
        <v>21</v>
      </c>
      <c r="C7" s="15" t="s">
        <v>30</v>
      </c>
      <c r="D7" s="10" t="s">
        <v>22</v>
      </c>
      <c r="E7" s="13" t="s">
        <v>23</v>
      </c>
    </row>
    <row r="8" spans="2:9" ht="12" customHeight="1" x14ac:dyDescent="0.5">
      <c r="B8" s="16"/>
      <c r="C8" s="16"/>
      <c r="D8" s="16"/>
      <c r="E8" s="16"/>
    </row>
    <row r="9" spans="2:9" s="2" customFormat="1" ht="23.25" customHeight="1" x14ac:dyDescent="0.5">
      <c r="B9" s="30" t="s">
        <v>9</v>
      </c>
      <c r="C9" s="30"/>
      <c r="D9" s="30"/>
      <c r="E9" s="30"/>
    </row>
    <row r="10" spans="2:9" ht="23.25" customHeight="1" x14ac:dyDescent="0.5">
      <c r="B10" s="29" t="s">
        <v>2</v>
      </c>
      <c r="C10" s="29"/>
      <c r="D10" s="7" t="s">
        <v>0</v>
      </c>
      <c r="E10" s="17" t="s">
        <v>1</v>
      </c>
      <c r="G10" s="18" t="s">
        <v>31</v>
      </c>
    </row>
    <row r="11" spans="2:9" ht="21.75" customHeight="1" x14ac:dyDescent="0.5">
      <c r="B11" s="31" t="s">
        <v>5</v>
      </c>
      <c r="C11" s="31"/>
      <c r="D11" s="8">
        <f>ROUND(E11/12,0)</f>
        <v>123750</v>
      </c>
      <c r="E11" s="3">
        <f>ROUND(G11*45%,0)</f>
        <v>1485000</v>
      </c>
      <c r="G11" s="4">
        <v>3300000</v>
      </c>
      <c r="I11" s="1" t="s">
        <v>24</v>
      </c>
    </row>
    <row r="12" spans="2:9" ht="21.75" customHeight="1" x14ac:dyDescent="0.5">
      <c r="B12" s="31" t="s">
        <v>3</v>
      </c>
      <c r="C12" s="31"/>
      <c r="D12" s="8">
        <f t="shared" ref="D12:D16" si="0">ROUND(E12/12,0)</f>
        <v>61875</v>
      </c>
      <c r="E12" s="3">
        <f>ROUND(E11*50%,0)</f>
        <v>742500</v>
      </c>
    </row>
    <row r="13" spans="2:9" ht="21.75" customHeight="1" x14ac:dyDescent="0.5">
      <c r="B13" s="35" t="s">
        <v>4</v>
      </c>
      <c r="C13" s="35"/>
      <c r="D13" s="8">
        <f t="shared" si="0"/>
        <v>1600</v>
      </c>
      <c r="E13" s="3">
        <v>19200</v>
      </c>
    </row>
    <row r="14" spans="2:9" ht="21.75" customHeight="1" x14ac:dyDescent="0.5">
      <c r="B14" s="24" t="s">
        <v>13</v>
      </c>
      <c r="C14" s="25"/>
      <c r="D14" s="8">
        <f t="shared" si="0"/>
        <v>1250</v>
      </c>
      <c r="E14" s="3">
        <v>15000</v>
      </c>
    </row>
    <row r="15" spans="2:9" ht="21.75" customHeight="1" x14ac:dyDescent="0.5">
      <c r="B15" s="24" t="s">
        <v>26</v>
      </c>
      <c r="C15" s="25"/>
      <c r="D15" s="8">
        <f t="shared" si="0"/>
        <v>15469</v>
      </c>
      <c r="E15" s="3">
        <f>+ROUND(E11*12.5%,0)</f>
        <v>185625</v>
      </c>
    </row>
    <row r="16" spans="2:9" ht="21.75" customHeight="1" x14ac:dyDescent="0.5">
      <c r="B16" s="24" t="s">
        <v>10</v>
      </c>
      <c r="C16" s="25"/>
      <c r="D16" s="8">
        <f t="shared" si="0"/>
        <v>57859</v>
      </c>
      <c r="E16" s="3">
        <f>G11-(SUM(E11:E15)+SUM(E18:E20))</f>
        <v>694306</v>
      </c>
    </row>
    <row r="17" spans="2:7" ht="21.75" customHeight="1" x14ac:dyDescent="0.5">
      <c r="B17" s="26" t="s">
        <v>14</v>
      </c>
      <c r="C17" s="27"/>
      <c r="D17" s="5">
        <f>SUM(D11:D16)</f>
        <v>261803</v>
      </c>
      <c r="E17" s="5">
        <f>SUM(E11:E16)</f>
        <v>3141631</v>
      </c>
      <c r="F17" s="20"/>
      <c r="G17" s="19"/>
    </row>
    <row r="18" spans="2:7" ht="21.75" customHeight="1" x14ac:dyDescent="0.5">
      <c r="B18" s="32" t="s">
        <v>25</v>
      </c>
      <c r="C18" s="33"/>
      <c r="D18" s="8">
        <f>ROUND(E18/12,0)</f>
        <v>1800</v>
      </c>
      <c r="E18" s="3">
        <f>ROUND(IF(D11&lt;15000,E11*12%,1800*12),0)</f>
        <v>21600</v>
      </c>
      <c r="F18" s="21"/>
    </row>
    <row r="19" spans="2:7" ht="21.75" customHeight="1" x14ac:dyDescent="0.5">
      <c r="B19" s="32" t="s">
        <v>11</v>
      </c>
      <c r="C19" s="33"/>
      <c r="D19" s="8">
        <f>ROUND(E19/12,0)</f>
        <v>5952</v>
      </c>
      <c r="E19" s="3">
        <f>ROUND(E11*4.81%,0)</f>
        <v>71429</v>
      </c>
      <c r="F19" s="21"/>
      <c r="G19" s="19"/>
    </row>
    <row r="20" spans="2:7" ht="21.75" customHeight="1" x14ac:dyDescent="0.5">
      <c r="B20" s="32" t="s">
        <v>27</v>
      </c>
      <c r="C20" s="33"/>
      <c r="D20" s="8">
        <f>ROUND(E20/12,0)</f>
        <v>5445</v>
      </c>
      <c r="E20" s="3">
        <f>ROUND(IF(D11&lt;21000,7000,E11*4.4%),0)</f>
        <v>65340</v>
      </c>
    </row>
    <row r="21" spans="2:7" ht="21.75" customHeight="1" x14ac:dyDescent="0.5">
      <c r="B21" s="34" t="s">
        <v>6</v>
      </c>
      <c r="C21" s="34"/>
      <c r="D21" s="9">
        <f>SUM(D17:D20)</f>
        <v>275000</v>
      </c>
      <c r="E21" s="5">
        <f>SUM(E17:E20)</f>
        <v>3300000</v>
      </c>
      <c r="F21" s="22"/>
      <c r="G21" s="23"/>
    </row>
    <row r="22" spans="2:7" ht="21.75" customHeight="1" x14ac:dyDescent="0.5">
      <c r="B22" s="32" t="s">
        <v>7</v>
      </c>
      <c r="C22" s="33"/>
      <c r="D22" s="8">
        <f>ROUND(E22/12,0)</f>
        <v>0</v>
      </c>
      <c r="E22" s="6">
        <v>0</v>
      </c>
      <c r="F22" s="2"/>
    </row>
    <row r="23" spans="2:7" ht="21.75" customHeight="1" x14ac:dyDescent="0.5">
      <c r="B23" s="26" t="s">
        <v>12</v>
      </c>
      <c r="C23" s="27"/>
      <c r="D23" s="5"/>
      <c r="E23" s="5">
        <f>+E21+E22</f>
        <v>3300000</v>
      </c>
      <c r="F23" s="2"/>
    </row>
    <row r="24" spans="2:7" ht="18" customHeight="1" x14ac:dyDescent="0.5">
      <c r="B24" s="2"/>
      <c r="C24" s="2"/>
      <c r="D24" s="2"/>
      <c r="E24" s="2"/>
      <c r="F24" s="2"/>
    </row>
    <row r="25" spans="2:7" ht="18" customHeight="1" x14ac:dyDescent="0.5">
      <c r="B25" s="2"/>
      <c r="C25" s="2"/>
      <c r="D25" s="2"/>
      <c r="E25" s="2"/>
      <c r="F25" s="2"/>
    </row>
  </sheetData>
  <mergeCells count="17">
    <mergeCell ref="B19:C19"/>
    <mergeCell ref="B20:C20"/>
    <mergeCell ref="B21:C21"/>
    <mergeCell ref="B22:C22"/>
    <mergeCell ref="B23:C23"/>
    <mergeCell ref="B18:C18"/>
    <mergeCell ref="B2:E2"/>
    <mergeCell ref="B4:E4"/>
    <mergeCell ref="B9:E9"/>
    <mergeCell ref="B10:C10"/>
    <mergeCell ref="B11:C11"/>
    <mergeCell ref="B12:C12"/>
    <mergeCell ref="B13:C13"/>
    <mergeCell ref="B14:C14"/>
    <mergeCell ref="B15:C15"/>
    <mergeCell ref="B16:C16"/>
    <mergeCell ref="B17:C17"/>
  </mergeCells>
  <pageMargins left="1" right="0.44" top="1.5" bottom="0.5" header="0.3" footer="0.3"/>
  <pageSetup paperSize="9"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CTC&lt;10000</vt:lpstr>
      <vt:lpstr>CTC &lt;20000</vt:lpstr>
      <vt:lpstr>CTC&gt;20000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2012-08-06T04:37:26Z</cp:lastPrinted>
  <dcterms:created xsi:type="dcterms:W3CDTF">2006-09-16T00:00:00Z</dcterms:created>
  <dcterms:modified xsi:type="dcterms:W3CDTF">2020-06-12T12:32:10Z</dcterms:modified>
</cp:coreProperties>
</file>