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827"/>
  <workbookPr/>
  <mc:AlternateContent xmlns:mc="http://schemas.openxmlformats.org/markup-compatibility/2006">
    <mc:Choice Requires="x15">
      <x15ac:absPath xmlns:x15ac="http://schemas.microsoft.com/office/spreadsheetml/2010/11/ac" url="D:\Dropbox\Business Toolkit\Business Toolkit\05. Payroll Management\MIS Reports Samples\"/>
    </mc:Choice>
  </mc:AlternateContent>
  <xr:revisionPtr revIDLastSave="0" documentId="13_ncr:1_{035D9FBC-6DB6-4258-BA48-7D2965FE6F83}" xr6:coauthVersionLast="45" xr6:coauthVersionMax="45" xr10:uidLastSave="{00000000-0000-0000-0000-000000000000}"/>
  <bookViews>
    <workbookView xWindow="-93" yWindow="-93" windowWidth="21786" windowHeight="13986" tabRatio="716" activeTab="1" xr2:uid="{00000000-000D-0000-FFFF-FFFF00000000}"/>
  </bookViews>
  <sheets>
    <sheet name="Report Master" sheetId="3" r:id="rId1"/>
    <sheet name="Attendance" sheetId="8" r:id="rId2"/>
    <sheet name="New Joinee" sheetId="1" r:id="rId3"/>
    <sheet name="Resigned" sheetId="4" r:id="rId4"/>
    <sheet name="Stop Payment" sheetId="6" r:id="rId5"/>
  </sheets>
  <definedNames>
    <definedName name="_xlnm._FilterDatabase" localSheetId="1" hidden="1">Attendance!#REF!</definedName>
    <definedName name="_xlnm._FilterDatabase" localSheetId="2" hidden="1">'New Joinee'!$A$2:$M$2</definedName>
    <definedName name="_xlnm._FilterDatabase" localSheetId="0" hidden="1">'Report Master'!$A$2:$C$4</definedName>
    <definedName name="_xlnm._FilterDatabase" localSheetId="3" hidden="1">Resigned!$A$2:$K$4</definedName>
    <definedName name="_xlnm._FilterDatabase" localSheetId="4" hidden="1">'Stop Payment'!$A$2:$K$4</definedName>
    <definedName name="Payroll_Statement" localSheetId="0">'Report Master'!$A$2:$C$4</definedName>
    <definedName name="Payroll_Statement" localSheetId="3">Resigned!$A$2:$K$4</definedName>
    <definedName name="Payroll_Statement" localSheetId="4">'Stop Payment'!$A$2:$K$4</definedName>
    <definedName name="Payroll_Statement">'New Joinee'!$A$2:$K$4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L32" i="8" l="1"/>
  <c r="CI32" i="8"/>
  <c r="CF32" i="8"/>
  <c r="CC32" i="8"/>
  <c r="BZ32" i="8"/>
  <c r="BQ32" i="8"/>
  <c r="BN32" i="8"/>
  <c r="BK32" i="8"/>
  <c r="BH32" i="8"/>
  <c r="BE32" i="8"/>
  <c r="AV32" i="8"/>
  <c r="AS32" i="8"/>
  <c r="AP32" i="8"/>
  <c r="AM32" i="8"/>
  <c r="AJ32" i="8"/>
  <c r="AA32" i="8"/>
  <c r="CR32" i="8" s="1"/>
  <c r="U32" i="8"/>
  <c r="R32" i="8"/>
  <c r="O32" i="8"/>
  <c r="CL31" i="8"/>
  <c r="CI31" i="8"/>
  <c r="CF31" i="8"/>
  <c r="CC31" i="8"/>
  <c r="BZ31" i="8"/>
  <c r="BQ31" i="8"/>
  <c r="BN31" i="8"/>
  <c r="BK31" i="8"/>
  <c r="BH31" i="8"/>
  <c r="BE31" i="8"/>
  <c r="AV31" i="8"/>
  <c r="AS31" i="8"/>
  <c r="AP31" i="8"/>
  <c r="AM31" i="8"/>
  <c r="AJ31" i="8"/>
  <c r="AA31" i="8"/>
  <c r="CR31" i="8" s="1"/>
  <c r="U31" i="8"/>
  <c r="R31" i="8"/>
  <c r="O31" i="8"/>
  <c r="CL30" i="8"/>
  <c r="CI30" i="8"/>
  <c r="CF30" i="8"/>
  <c r="CC30" i="8"/>
  <c r="BZ30" i="8"/>
  <c r="BQ30" i="8"/>
  <c r="BN30" i="8"/>
  <c r="BK30" i="8"/>
  <c r="BH30" i="8"/>
  <c r="BE30" i="8"/>
  <c r="AV30" i="8"/>
  <c r="AS30" i="8"/>
  <c r="AP30" i="8"/>
  <c r="AM30" i="8"/>
  <c r="AJ30" i="8"/>
  <c r="AA30" i="8"/>
  <c r="CR30" i="8" s="1"/>
  <c r="U30" i="8"/>
  <c r="R30" i="8"/>
  <c r="O30" i="8"/>
  <c r="CL29" i="8"/>
  <c r="CI29" i="8"/>
  <c r="CF29" i="8"/>
  <c r="CC29" i="8"/>
  <c r="BZ29" i="8"/>
  <c r="BQ29" i="8"/>
  <c r="BN29" i="8"/>
  <c r="BK29" i="8"/>
  <c r="BH29" i="8"/>
  <c r="BE29" i="8"/>
  <c r="AV29" i="8"/>
  <c r="AS29" i="8"/>
  <c r="AP29" i="8"/>
  <c r="AM29" i="8"/>
  <c r="AJ29" i="8"/>
  <c r="AA29" i="8"/>
  <c r="U29" i="8"/>
  <c r="R29" i="8"/>
  <c r="O29" i="8"/>
  <c r="CL28" i="8"/>
  <c r="CI28" i="8"/>
  <c r="CF28" i="8"/>
  <c r="CC28" i="8"/>
  <c r="BZ28" i="8"/>
  <c r="BQ28" i="8"/>
  <c r="BN28" i="8"/>
  <c r="BK28" i="8"/>
  <c r="BH28" i="8"/>
  <c r="BE28" i="8"/>
  <c r="AV28" i="8"/>
  <c r="AS28" i="8"/>
  <c r="AP28" i="8"/>
  <c r="AM28" i="8"/>
  <c r="AJ28" i="8"/>
  <c r="AA28" i="8"/>
  <c r="U28" i="8"/>
  <c r="CR28" i="8" s="1"/>
  <c r="R28" i="8"/>
  <c r="O28" i="8"/>
  <c r="CR27" i="8"/>
  <c r="CL27" i="8"/>
  <c r="CI27" i="8"/>
  <c r="CF27" i="8"/>
  <c r="CC27" i="8"/>
  <c r="BZ27" i="8"/>
  <c r="BQ27" i="8"/>
  <c r="BN27" i="8"/>
  <c r="BK27" i="8"/>
  <c r="BH27" i="8"/>
  <c r="BE27" i="8"/>
  <c r="AV27" i="8"/>
  <c r="AS27" i="8"/>
  <c r="AP27" i="8"/>
  <c r="AM27" i="8"/>
  <c r="AJ27" i="8"/>
  <c r="AA27" i="8"/>
  <c r="U27" i="8"/>
  <c r="R27" i="8"/>
  <c r="O27" i="8"/>
  <c r="CL26" i="8"/>
  <c r="CI26" i="8"/>
  <c r="CF26" i="8"/>
  <c r="CC26" i="8"/>
  <c r="BZ26" i="8"/>
  <c r="BQ26" i="8"/>
  <c r="BN26" i="8"/>
  <c r="BK26" i="8"/>
  <c r="BH26" i="8"/>
  <c r="BE26" i="8"/>
  <c r="AV26" i="8"/>
  <c r="AS26" i="8"/>
  <c r="AP26" i="8"/>
  <c r="AM26" i="8"/>
  <c r="AJ26" i="8"/>
  <c r="AA26" i="8"/>
  <c r="U26" i="8"/>
  <c r="CR26" i="8" s="1"/>
  <c r="R26" i="8"/>
  <c r="O26" i="8"/>
  <c r="CL25" i="8"/>
  <c r="CI25" i="8"/>
  <c r="CF25" i="8"/>
  <c r="CC25" i="8"/>
  <c r="BZ25" i="8"/>
  <c r="BQ25" i="8"/>
  <c r="BN25" i="8"/>
  <c r="BK25" i="8"/>
  <c r="BH25" i="8"/>
  <c r="BE25" i="8"/>
  <c r="AV25" i="8"/>
  <c r="AS25" i="8"/>
  <c r="AP25" i="8"/>
  <c r="AM25" i="8"/>
  <c r="AJ25" i="8"/>
  <c r="AA25" i="8"/>
  <c r="U25" i="8"/>
  <c r="R25" i="8"/>
  <c r="O25" i="8"/>
  <c r="CL24" i="8"/>
  <c r="CI24" i="8"/>
  <c r="CF24" i="8"/>
  <c r="CC24" i="8"/>
  <c r="BZ24" i="8"/>
  <c r="BQ24" i="8"/>
  <c r="BN24" i="8"/>
  <c r="BK24" i="8"/>
  <c r="BH24" i="8"/>
  <c r="BE24" i="8"/>
  <c r="AV24" i="8"/>
  <c r="AS24" i="8"/>
  <c r="AP24" i="8"/>
  <c r="AM24" i="8"/>
  <c r="AJ24" i="8"/>
  <c r="AA24" i="8"/>
  <c r="U24" i="8"/>
  <c r="R24" i="8"/>
  <c r="CR24" i="8" s="1"/>
  <c r="O24" i="8"/>
  <c r="CL23" i="8"/>
  <c r="CI23" i="8"/>
  <c r="CF23" i="8"/>
  <c r="CC23" i="8"/>
  <c r="BZ23" i="8"/>
  <c r="BQ23" i="8"/>
  <c r="BN23" i="8"/>
  <c r="BK23" i="8"/>
  <c r="BH23" i="8"/>
  <c r="BE23" i="8"/>
  <c r="AV23" i="8"/>
  <c r="AS23" i="8"/>
  <c r="AP23" i="8"/>
  <c r="AM23" i="8"/>
  <c r="AJ23" i="8"/>
  <c r="AA23" i="8"/>
  <c r="U23" i="8"/>
  <c r="R23" i="8"/>
  <c r="CR23" i="8" s="1"/>
  <c r="O23" i="8"/>
  <c r="CL22" i="8"/>
  <c r="CI22" i="8"/>
  <c r="CF22" i="8"/>
  <c r="CC22" i="8"/>
  <c r="BZ22" i="8"/>
  <c r="BQ22" i="8"/>
  <c r="BN22" i="8"/>
  <c r="BK22" i="8"/>
  <c r="BH22" i="8"/>
  <c r="BE22" i="8"/>
  <c r="AV22" i="8"/>
  <c r="AS22" i="8"/>
  <c r="AP22" i="8"/>
  <c r="AM22" i="8"/>
  <c r="AJ22" i="8"/>
  <c r="AA22" i="8"/>
  <c r="U22" i="8"/>
  <c r="R22" i="8"/>
  <c r="CR22" i="8" s="1"/>
  <c r="O22" i="8"/>
  <c r="CL21" i="8"/>
  <c r="CI21" i="8"/>
  <c r="CF21" i="8"/>
  <c r="CC21" i="8"/>
  <c r="BZ21" i="8"/>
  <c r="BQ21" i="8"/>
  <c r="BN21" i="8"/>
  <c r="BK21" i="8"/>
  <c r="BH21" i="8"/>
  <c r="BE21" i="8"/>
  <c r="AV21" i="8"/>
  <c r="AS21" i="8"/>
  <c r="AP21" i="8"/>
  <c r="AM21" i="8"/>
  <c r="AJ21" i="8"/>
  <c r="AA21" i="8"/>
  <c r="U21" i="8"/>
  <c r="R21" i="8"/>
  <c r="O21" i="8"/>
  <c r="CL20" i="8"/>
  <c r="CI20" i="8"/>
  <c r="CF20" i="8"/>
  <c r="CC20" i="8"/>
  <c r="BZ20" i="8"/>
  <c r="BQ20" i="8"/>
  <c r="BN20" i="8"/>
  <c r="BK20" i="8"/>
  <c r="BH20" i="8"/>
  <c r="BE20" i="8"/>
  <c r="AV20" i="8"/>
  <c r="AS20" i="8"/>
  <c r="AP20" i="8"/>
  <c r="AM20" i="8"/>
  <c r="AJ20" i="8"/>
  <c r="AA20" i="8"/>
  <c r="U20" i="8"/>
  <c r="R20" i="8"/>
  <c r="O20" i="8"/>
  <c r="CR20" i="8" s="1"/>
  <c r="CL19" i="8"/>
  <c r="CI19" i="8"/>
  <c r="CF19" i="8"/>
  <c r="CC19" i="8"/>
  <c r="BZ19" i="8"/>
  <c r="BQ19" i="8"/>
  <c r="BN19" i="8"/>
  <c r="BK19" i="8"/>
  <c r="BH19" i="8"/>
  <c r="BE19" i="8"/>
  <c r="AV19" i="8"/>
  <c r="AS19" i="8"/>
  <c r="AP19" i="8"/>
  <c r="AM19" i="8"/>
  <c r="AJ19" i="8"/>
  <c r="AA19" i="8"/>
  <c r="U19" i="8"/>
  <c r="R19" i="8"/>
  <c r="O19" i="8"/>
  <c r="CR19" i="8" s="1"/>
  <c r="CL18" i="8"/>
  <c r="CI18" i="8"/>
  <c r="CF18" i="8"/>
  <c r="CC18" i="8"/>
  <c r="BZ18" i="8"/>
  <c r="BQ18" i="8"/>
  <c r="BN18" i="8"/>
  <c r="BK18" i="8"/>
  <c r="BH18" i="8"/>
  <c r="BE18" i="8"/>
  <c r="AV18" i="8"/>
  <c r="AS18" i="8"/>
  <c r="AP18" i="8"/>
  <c r="AM18" i="8"/>
  <c r="AJ18" i="8"/>
  <c r="AA18" i="8"/>
  <c r="U18" i="8"/>
  <c r="R18" i="8"/>
  <c r="O18" i="8"/>
  <c r="CR18" i="8" s="1"/>
  <c r="CL17" i="8"/>
  <c r="CI17" i="8"/>
  <c r="CF17" i="8"/>
  <c r="CC17" i="8"/>
  <c r="BZ17" i="8"/>
  <c r="BQ17" i="8"/>
  <c r="BN17" i="8"/>
  <c r="BK17" i="8"/>
  <c r="BH17" i="8"/>
  <c r="BE17" i="8"/>
  <c r="AV17" i="8"/>
  <c r="AS17" i="8"/>
  <c r="AP17" i="8"/>
  <c r="AM17" i="8"/>
  <c r="AJ17" i="8"/>
  <c r="AA17" i="8"/>
  <c r="U17" i="8"/>
  <c r="R17" i="8"/>
  <c r="O17" i="8"/>
  <c r="CL16" i="8"/>
  <c r="CI16" i="8"/>
  <c r="CF16" i="8"/>
  <c r="CC16" i="8"/>
  <c r="BZ16" i="8"/>
  <c r="BQ16" i="8"/>
  <c r="BN16" i="8"/>
  <c r="BK16" i="8"/>
  <c r="BH16" i="8"/>
  <c r="BE16" i="8"/>
  <c r="AV16" i="8"/>
  <c r="AS16" i="8"/>
  <c r="AP16" i="8"/>
  <c r="AM16" i="8"/>
  <c r="AJ16" i="8"/>
  <c r="AA16" i="8"/>
  <c r="CR16" i="8" s="1"/>
  <c r="U16" i="8"/>
  <c r="R16" i="8"/>
  <c r="O16" i="8"/>
  <c r="CL15" i="8"/>
  <c r="CI15" i="8"/>
  <c r="CF15" i="8"/>
  <c r="CC15" i="8"/>
  <c r="BZ15" i="8"/>
  <c r="BQ15" i="8"/>
  <c r="BN15" i="8"/>
  <c r="BK15" i="8"/>
  <c r="BH15" i="8"/>
  <c r="BE15" i="8"/>
  <c r="AV15" i="8"/>
  <c r="AS15" i="8"/>
  <c r="AP15" i="8"/>
  <c r="AM15" i="8"/>
  <c r="AJ15" i="8"/>
  <c r="AA15" i="8"/>
  <c r="U15" i="8"/>
  <c r="R15" i="8"/>
  <c r="O15" i="8"/>
  <c r="CW15" i="8" s="1"/>
  <c r="CL14" i="8"/>
  <c r="CI14" i="8"/>
  <c r="CF14" i="8"/>
  <c r="CC14" i="8"/>
  <c r="BZ14" i="8"/>
  <c r="BQ14" i="8"/>
  <c r="BN14" i="8"/>
  <c r="BK14" i="8"/>
  <c r="BH14" i="8"/>
  <c r="BE14" i="8"/>
  <c r="AV14" i="8"/>
  <c r="AS14" i="8"/>
  <c r="AP14" i="8"/>
  <c r="AM14" i="8"/>
  <c r="AJ14" i="8"/>
  <c r="AA14" i="8"/>
  <c r="CR14" i="8" s="1"/>
  <c r="U14" i="8"/>
  <c r="R14" i="8"/>
  <c r="O14" i="8"/>
  <c r="CL13" i="8"/>
  <c r="CI13" i="8"/>
  <c r="CF13" i="8"/>
  <c r="CC13" i="8"/>
  <c r="BZ13" i="8"/>
  <c r="BQ13" i="8"/>
  <c r="BN13" i="8"/>
  <c r="BK13" i="8"/>
  <c r="BH13" i="8"/>
  <c r="BE13" i="8"/>
  <c r="AV13" i="8"/>
  <c r="AS13" i="8"/>
  <c r="AP13" i="8"/>
  <c r="AM13" i="8"/>
  <c r="AJ13" i="8"/>
  <c r="AA13" i="8"/>
  <c r="U13" i="8"/>
  <c r="R13" i="8"/>
  <c r="O13" i="8"/>
  <c r="CR12" i="8"/>
  <c r="CL12" i="8"/>
  <c r="CI12" i="8"/>
  <c r="CF12" i="8"/>
  <c r="CC12" i="8"/>
  <c r="BZ12" i="8"/>
  <c r="BQ12" i="8"/>
  <c r="BN12" i="8"/>
  <c r="BK12" i="8"/>
  <c r="BH12" i="8"/>
  <c r="BE12" i="8"/>
  <c r="AV12" i="8"/>
  <c r="AS12" i="8"/>
  <c r="AP12" i="8"/>
  <c r="AM12" i="8"/>
  <c r="AJ12" i="8"/>
  <c r="AA12" i="8"/>
  <c r="U12" i="8"/>
  <c r="R12" i="8"/>
  <c r="O12" i="8"/>
  <c r="CL11" i="8"/>
  <c r="CI11" i="8"/>
  <c r="CF11" i="8"/>
  <c r="CC11" i="8"/>
  <c r="BZ11" i="8"/>
  <c r="BQ11" i="8"/>
  <c r="BN11" i="8"/>
  <c r="BK11" i="8"/>
  <c r="BH11" i="8"/>
  <c r="BE11" i="8"/>
  <c r="AV11" i="8"/>
  <c r="AS11" i="8"/>
  <c r="AP11" i="8"/>
  <c r="AM11" i="8"/>
  <c r="AJ11" i="8"/>
  <c r="AA11" i="8"/>
  <c r="U11" i="8"/>
  <c r="R11" i="8"/>
  <c r="O11" i="8"/>
  <c r="CL10" i="8"/>
  <c r="CI10" i="8"/>
  <c r="CF10" i="8"/>
  <c r="CC10" i="8"/>
  <c r="BZ10" i="8"/>
  <c r="BQ10" i="8"/>
  <c r="BN10" i="8"/>
  <c r="BK10" i="8"/>
  <c r="BH10" i="8"/>
  <c r="BE10" i="8"/>
  <c r="AV10" i="8"/>
  <c r="AS10" i="8"/>
  <c r="AP10" i="8"/>
  <c r="AM10" i="8"/>
  <c r="AJ10" i="8"/>
  <c r="AA10" i="8"/>
  <c r="U10" i="8"/>
  <c r="R10" i="8"/>
  <c r="O10" i="8"/>
  <c r="CL9" i="8"/>
  <c r="CI9" i="8"/>
  <c r="CF9" i="8"/>
  <c r="CC9" i="8"/>
  <c r="BZ9" i="8"/>
  <c r="BQ9" i="8"/>
  <c r="BN9" i="8"/>
  <c r="BK9" i="8"/>
  <c r="BH9" i="8"/>
  <c r="BE9" i="8"/>
  <c r="AV9" i="8"/>
  <c r="AS9" i="8"/>
  <c r="AP9" i="8"/>
  <c r="AM9" i="8"/>
  <c r="AJ9" i="8"/>
  <c r="AA9" i="8"/>
  <c r="U9" i="8"/>
  <c r="R9" i="8"/>
  <c r="O9" i="8"/>
  <c r="CX9" i="8" s="1"/>
  <c r="CL8" i="8"/>
  <c r="CI8" i="8"/>
  <c r="CF8" i="8"/>
  <c r="CC8" i="8"/>
  <c r="BZ8" i="8"/>
  <c r="BQ8" i="8"/>
  <c r="BN8" i="8"/>
  <c r="BK8" i="8"/>
  <c r="BH8" i="8"/>
  <c r="BE8" i="8"/>
  <c r="AV8" i="8"/>
  <c r="AS8" i="8"/>
  <c r="AP8" i="8"/>
  <c r="AM8" i="8"/>
  <c r="AJ8" i="8"/>
  <c r="AA8" i="8"/>
  <c r="U8" i="8"/>
  <c r="R8" i="8"/>
  <c r="O8" i="8"/>
  <c r="CL7" i="8"/>
  <c r="CI7" i="8"/>
  <c r="CF7" i="8"/>
  <c r="CC7" i="8"/>
  <c r="BZ7" i="8"/>
  <c r="BQ7" i="8"/>
  <c r="BN7" i="8"/>
  <c r="BK7" i="8"/>
  <c r="BH7" i="8"/>
  <c r="BE7" i="8"/>
  <c r="AV7" i="8"/>
  <c r="AS7" i="8"/>
  <c r="AP7" i="8"/>
  <c r="AM7" i="8"/>
  <c r="AJ7" i="8"/>
  <c r="CU7" i="8" s="1"/>
  <c r="AA7" i="8"/>
  <c r="U7" i="8"/>
  <c r="R7" i="8"/>
  <c r="O7" i="8"/>
  <c r="CT7" i="8" s="1"/>
  <c r="CL6" i="8"/>
  <c r="CI6" i="8"/>
  <c r="CF6" i="8"/>
  <c r="CC6" i="8"/>
  <c r="BZ6" i="8"/>
  <c r="BQ6" i="8"/>
  <c r="BN6" i="8"/>
  <c r="BK6" i="8"/>
  <c r="BH6" i="8"/>
  <c r="BE6" i="8"/>
  <c r="AV6" i="8"/>
  <c r="AS6" i="8"/>
  <c r="AP6" i="8"/>
  <c r="AM6" i="8"/>
  <c r="AJ6" i="8"/>
  <c r="AA6" i="8"/>
  <c r="U6" i="8"/>
  <c r="R6" i="8"/>
  <c r="O6" i="8"/>
  <c r="CL5" i="8"/>
  <c r="CI5" i="8"/>
  <c r="CF5" i="8"/>
  <c r="CC5" i="8"/>
  <c r="BZ5" i="8"/>
  <c r="BQ5" i="8"/>
  <c r="BN5" i="8"/>
  <c r="BK5" i="8"/>
  <c r="BH5" i="8"/>
  <c r="BE5" i="8"/>
  <c r="AV5" i="8"/>
  <c r="AS5" i="8"/>
  <c r="AP5" i="8"/>
  <c r="AM5" i="8"/>
  <c r="AJ5" i="8"/>
  <c r="CU5" i="8" s="1"/>
  <c r="AA5" i="8"/>
  <c r="U5" i="8"/>
  <c r="R5" i="8"/>
  <c r="O5" i="8"/>
  <c r="CT5" i="8" s="1"/>
  <c r="CL4" i="8"/>
  <c r="CI4" i="8"/>
  <c r="CF4" i="8"/>
  <c r="CC4" i="8"/>
  <c r="BZ4" i="8"/>
  <c r="BQ4" i="8"/>
  <c r="BN4" i="8"/>
  <c r="BK4" i="8"/>
  <c r="BH4" i="8"/>
  <c r="BE4" i="8"/>
  <c r="AV4" i="8"/>
  <c r="AS4" i="8"/>
  <c r="AP4" i="8"/>
  <c r="AM4" i="8"/>
  <c r="AJ4" i="8"/>
  <c r="AA4" i="8"/>
  <c r="U4" i="8"/>
  <c r="R4" i="8"/>
  <c r="O4" i="8"/>
  <c r="CT4" i="8" s="1"/>
  <c r="CU3" i="8"/>
  <c r="CL3" i="8"/>
  <c r="CI3" i="8"/>
  <c r="CF3" i="8"/>
  <c r="CC3" i="8"/>
  <c r="BZ3" i="8"/>
  <c r="BQ3" i="8"/>
  <c r="BN3" i="8"/>
  <c r="BK3" i="8"/>
  <c r="BH3" i="8"/>
  <c r="BE3" i="8"/>
  <c r="AV3" i="8"/>
  <c r="AS3" i="8"/>
  <c r="AP3" i="8"/>
  <c r="AM3" i="8"/>
  <c r="AJ3" i="8"/>
  <c r="AA3" i="8"/>
  <c r="U3" i="8"/>
  <c r="R3" i="8"/>
  <c r="O3" i="8"/>
  <c r="CT3" i="8" s="1"/>
  <c r="CW14" i="8" l="1"/>
  <c r="CX4" i="8"/>
  <c r="CP11" i="8"/>
  <c r="CX3" i="8"/>
  <c r="CX5" i="8"/>
  <c r="CX7" i="8"/>
  <c r="CP9" i="8"/>
  <c r="CW21" i="8"/>
  <c r="CX10" i="8"/>
  <c r="CW22" i="8"/>
  <c r="CP6" i="8"/>
  <c r="CX8" i="8"/>
  <c r="CR15" i="8"/>
  <c r="CX6" i="8"/>
  <c r="CX13" i="8"/>
  <c r="CT13" i="8"/>
  <c r="CP13" i="8"/>
  <c r="CQ13" i="8"/>
  <c r="CZ13" i="8"/>
  <c r="CY13" i="8"/>
  <c r="CU13" i="8"/>
  <c r="CS13" i="8"/>
  <c r="CW13" i="8"/>
  <c r="CX17" i="8"/>
  <c r="CT17" i="8"/>
  <c r="CP17" i="8"/>
  <c r="CQ17" i="8"/>
  <c r="CZ17" i="8"/>
  <c r="CU17" i="8"/>
  <c r="CY17" i="8"/>
  <c r="DA17" i="8" s="1"/>
  <c r="DC17" i="8" s="1"/>
  <c r="CS17" i="8"/>
  <c r="CX25" i="8"/>
  <c r="CT25" i="8"/>
  <c r="CP25" i="8"/>
  <c r="CQ25" i="8"/>
  <c r="CZ25" i="8"/>
  <c r="CU25" i="8"/>
  <c r="CS25" i="8"/>
  <c r="CY25" i="8"/>
  <c r="CW25" i="8"/>
  <c r="CX29" i="8"/>
  <c r="CT29" i="8"/>
  <c r="CP29" i="8"/>
  <c r="CQ29" i="8"/>
  <c r="CZ29" i="8"/>
  <c r="CU29" i="8"/>
  <c r="CS29" i="8"/>
  <c r="CY29" i="8"/>
  <c r="CW29" i="8"/>
  <c r="CQ4" i="8"/>
  <c r="CY4" i="8"/>
  <c r="CW6" i="8"/>
  <c r="CS6" i="8"/>
  <c r="CR6" i="8"/>
  <c r="CZ6" i="8"/>
  <c r="CQ6" i="8"/>
  <c r="CY6" i="8"/>
  <c r="CW8" i="8"/>
  <c r="CS8" i="8"/>
  <c r="CZ8" i="8"/>
  <c r="CR8" i="8"/>
  <c r="CY8" i="8"/>
  <c r="DA8" i="8" s="1"/>
  <c r="DC8" i="8" s="1"/>
  <c r="CP10" i="8"/>
  <c r="CT11" i="8"/>
  <c r="CX18" i="8"/>
  <c r="CT18" i="8"/>
  <c r="CP18" i="8"/>
  <c r="CQ18" i="8"/>
  <c r="CZ18" i="8"/>
  <c r="CU18" i="8"/>
  <c r="CS18" i="8"/>
  <c r="CY18" i="8"/>
  <c r="CX26" i="8"/>
  <c r="CT26" i="8"/>
  <c r="CP26" i="8"/>
  <c r="CQ26" i="8"/>
  <c r="CZ26" i="8"/>
  <c r="CU26" i="8"/>
  <c r="CY26" i="8"/>
  <c r="CS26" i="8"/>
  <c r="CP3" i="8"/>
  <c r="CP5" i="8"/>
  <c r="CT6" i="8"/>
  <c r="CP7" i="8"/>
  <c r="CT8" i="8"/>
  <c r="CW10" i="8"/>
  <c r="CT10" i="8"/>
  <c r="CX11" i="8"/>
  <c r="CX19" i="8"/>
  <c r="CT19" i="8"/>
  <c r="CP19" i="8"/>
  <c r="CQ19" i="8"/>
  <c r="CZ19" i="8"/>
  <c r="CU19" i="8"/>
  <c r="CS19" i="8"/>
  <c r="CY19" i="8"/>
  <c r="CP4" i="8"/>
  <c r="CP8" i="8"/>
  <c r="CW17" i="8"/>
  <c r="CX21" i="8"/>
  <c r="CT21" i="8"/>
  <c r="CP21" i="8"/>
  <c r="CQ21" i="8"/>
  <c r="CZ21" i="8"/>
  <c r="CU21" i="8"/>
  <c r="CS21" i="8"/>
  <c r="CY21" i="8"/>
  <c r="CW4" i="8"/>
  <c r="CS4" i="8"/>
  <c r="CZ4" i="8"/>
  <c r="CR4" i="8"/>
  <c r="CQ8" i="8"/>
  <c r="CW11" i="8"/>
  <c r="CX14" i="8"/>
  <c r="CT14" i="8"/>
  <c r="CP14" i="8"/>
  <c r="CQ14" i="8"/>
  <c r="CZ14" i="8"/>
  <c r="CU14" i="8"/>
  <c r="CS14" i="8"/>
  <c r="CY14" i="8"/>
  <c r="CW18" i="8"/>
  <c r="CX22" i="8"/>
  <c r="CT22" i="8"/>
  <c r="CP22" i="8"/>
  <c r="CQ22" i="8"/>
  <c r="CZ22" i="8"/>
  <c r="CU22" i="8"/>
  <c r="CY22" i="8"/>
  <c r="DA22" i="8" s="1"/>
  <c r="DC22" i="8" s="1"/>
  <c r="CS22" i="8"/>
  <c r="CW26" i="8"/>
  <c r="CX30" i="8"/>
  <c r="CT30" i="8"/>
  <c r="CP30" i="8"/>
  <c r="CV30" i="8" s="1"/>
  <c r="CQ30" i="8"/>
  <c r="CZ30" i="8"/>
  <c r="CU30" i="8"/>
  <c r="CY30" i="8"/>
  <c r="DA30" i="8" s="1"/>
  <c r="DC30" i="8" s="1"/>
  <c r="CS30" i="8"/>
  <c r="CW30" i="8"/>
  <c r="CX15" i="8"/>
  <c r="CT15" i="8"/>
  <c r="CP15" i="8"/>
  <c r="CQ15" i="8"/>
  <c r="CZ15" i="8"/>
  <c r="CU15" i="8"/>
  <c r="CY15" i="8"/>
  <c r="CS15" i="8"/>
  <c r="CW19" i="8"/>
  <c r="CX23" i="8"/>
  <c r="CT23" i="8"/>
  <c r="CP23" i="8"/>
  <c r="CQ23" i="8"/>
  <c r="CZ23" i="8"/>
  <c r="CU23" i="8"/>
  <c r="CS23" i="8"/>
  <c r="CY23" i="8"/>
  <c r="CW23" i="8"/>
  <c r="CX27" i="8"/>
  <c r="CT27" i="8"/>
  <c r="CP27" i="8"/>
  <c r="CQ27" i="8"/>
  <c r="CZ27" i="8"/>
  <c r="CU27" i="8"/>
  <c r="CS27" i="8"/>
  <c r="CY27" i="8"/>
  <c r="DA27" i="8" s="1"/>
  <c r="DC27" i="8" s="1"/>
  <c r="CW27" i="8"/>
  <c r="CX31" i="8"/>
  <c r="CT31" i="8"/>
  <c r="CP31" i="8"/>
  <c r="CQ31" i="8"/>
  <c r="CZ31" i="8"/>
  <c r="CU31" i="8"/>
  <c r="CS31" i="8"/>
  <c r="CY31" i="8"/>
  <c r="CW31" i="8"/>
  <c r="CW3" i="8"/>
  <c r="CS3" i="8"/>
  <c r="CZ3" i="8"/>
  <c r="CR3" i="8"/>
  <c r="CQ3" i="8"/>
  <c r="CY3" i="8"/>
  <c r="DA3" i="8" s="1"/>
  <c r="DC3" i="8" s="1"/>
  <c r="CU4" i="8"/>
  <c r="CW5" i="8"/>
  <c r="CS5" i="8"/>
  <c r="CR5" i="8"/>
  <c r="CZ5" i="8"/>
  <c r="CQ5" i="8"/>
  <c r="CY5" i="8"/>
  <c r="DA5" i="8" s="1"/>
  <c r="DC5" i="8" s="1"/>
  <c r="CU6" i="8"/>
  <c r="CW7" i="8"/>
  <c r="CS7" i="8"/>
  <c r="CZ7" i="8"/>
  <c r="CR7" i="8"/>
  <c r="CQ7" i="8"/>
  <c r="CY7" i="8"/>
  <c r="CU8" i="8"/>
  <c r="CW9" i="8"/>
  <c r="CS9" i="8"/>
  <c r="CZ9" i="8"/>
  <c r="CY9" i="8"/>
  <c r="DA9" i="8" s="1"/>
  <c r="DC9" i="8" s="1"/>
  <c r="CQ9" i="8"/>
  <c r="CR9" i="8"/>
  <c r="CU9" i="8"/>
  <c r="CT9" i="8"/>
  <c r="CX12" i="8"/>
  <c r="CT12" i="8"/>
  <c r="CP12" i="8"/>
  <c r="CQ12" i="8"/>
  <c r="CZ12" i="8"/>
  <c r="CU12" i="8"/>
  <c r="CY12" i="8"/>
  <c r="CS12" i="8"/>
  <c r="CW12" i="8"/>
  <c r="CR13" i="8"/>
  <c r="CX16" i="8"/>
  <c r="CT16" i="8"/>
  <c r="CP16" i="8"/>
  <c r="CQ16" i="8"/>
  <c r="CZ16" i="8"/>
  <c r="CU16" i="8"/>
  <c r="CS16" i="8"/>
  <c r="CY16" i="8"/>
  <c r="CW16" i="8"/>
  <c r="CR17" i="8"/>
  <c r="CX20" i="8"/>
  <c r="CT20" i="8"/>
  <c r="CP20" i="8"/>
  <c r="CQ20" i="8"/>
  <c r="CZ20" i="8"/>
  <c r="CU20" i="8"/>
  <c r="CY20" i="8"/>
  <c r="CS20" i="8"/>
  <c r="CW20" i="8"/>
  <c r="CR21" i="8"/>
  <c r="CX24" i="8"/>
  <c r="CT24" i="8"/>
  <c r="CP24" i="8"/>
  <c r="CV24" i="8" s="1"/>
  <c r="CQ24" i="8"/>
  <c r="CZ24" i="8"/>
  <c r="CU24" i="8"/>
  <c r="CY24" i="8"/>
  <c r="DA24" i="8" s="1"/>
  <c r="DC24" i="8" s="1"/>
  <c r="CS24" i="8"/>
  <c r="CW24" i="8"/>
  <c r="CR25" i="8"/>
  <c r="CX28" i="8"/>
  <c r="CT28" i="8"/>
  <c r="CP28" i="8"/>
  <c r="CQ28" i="8"/>
  <c r="CZ28" i="8"/>
  <c r="CU28" i="8"/>
  <c r="CY28" i="8"/>
  <c r="CS28" i="8"/>
  <c r="CW28" i="8"/>
  <c r="CR29" i="8"/>
  <c r="CX32" i="8"/>
  <c r="CT32" i="8"/>
  <c r="CP32" i="8"/>
  <c r="CQ32" i="8"/>
  <c r="CZ32" i="8"/>
  <c r="CU32" i="8"/>
  <c r="CS32" i="8"/>
  <c r="CY32" i="8"/>
  <c r="CW32" i="8"/>
  <c r="CU10" i="8"/>
  <c r="CQ11" i="8"/>
  <c r="CV11" i="8" s="1"/>
  <c r="CY11" i="8"/>
  <c r="CR10" i="8"/>
  <c r="CQ10" i="8"/>
  <c r="CY10" i="8"/>
  <c r="DA10" i="8" s="1"/>
  <c r="DC10" i="8" s="1"/>
  <c r="CU11" i="8"/>
  <c r="CZ10" i="8"/>
  <c r="CR11" i="8"/>
  <c r="CZ11" i="8"/>
  <c r="CS10" i="8"/>
  <c r="CS11" i="8"/>
  <c r="CV21" i="8" l="1"/>
  <c r="CV6" i="8"/>
  <c r="CV9" i="8"/>
  <c r="CV8" i="8"/>
  <c r="CV17" i="8"/>
  <c r="DA6" i="8"/>
  <c r="DC6" i="8" s="1"/>
  <c r="CV31" i="8"/>
  <c r="CV27" i="8"/>
  <c r="CV13" i="8"/>
  <c r="CV32" i="8"/>
  <c r="CV16" i="8"/>
  <c r="CV25" i="8"/>
  <c r="DA14" i="8"/>
  <c r="DC14" i="8" s="1"/>
  <c r="CV3" i="8"/>
  <c r="DA28" i="8"/>
  <c r="DC28" i="8" s="1"/>
  <c r="CV28" i="8"/>
  <c r="DA20" i="8"/>
  <c r="DC20" i="8" s="1"/>
  <c r="CV20" i="8"/>
  <c r="DA12" i="8"/>
  <c r="DC12" i="8" s="1"/>
  <c r="CV12" i="8"/>
  <c r="DA7" i="8"/>
  <c r="DC7" i="8" s="1"/>
  <c r="CV23" i="8"/>
  <c r="CV14" i="8"/>
  <c r="DA19" i="8"/>
  <c r="DC19" i="8" s="1"/>
  <c r="CV7" i="8"/>
  <c r="DA18" i="8"/>
  <c r="DC18" i="8" s="1"/>
  <c r="DA29" i="8"/>
  <c r="DC29" i="8" s="1"/>
  <c r="DA13" i="8"/>
  <c r="DC13" i="8" s="1"/>
  <c r="CV5" i="8"/>
  <c r="DA23" i="8"/>
  <c r="DC23" i="8" s="1"/>
  <c r="CV22" i="8"/>
  <c r="CV4" i="8"/>
  <c r="DA11" i="8"/>
  <c r="DC11" i="8" s="1"/>
  <c r="DA32" i="8"/>
  <c r="DC32" i="8" s="1"/>
  <c r="DA16" i="8"/>
  <c r="DC16" i="8" s="1"/>
  <c r="DA31" i="8"/>
  <c r="DC31" i="8" s="1"/>
  <c r="DA15" i="8"/>
  <c r="DC15" i="8" s="1"/>
  <c r="CV15" i="8"/>
  <c r="DA21" i="8"/>
  <c r="DC21" i="8" s="1"/>
  <c r="CV19" i="8"/>
  <c r="DA26" i="8"/>
  <c r="DC26" i="8" s="1"/>
  <c r="CV26" i="8"/>
  <c r="CV18" i="8"/>
  <c r="CV10" i="8"/>
  <c r="DA4" i="8"/>
  <c r="DC4" i="8" s="1"/>
  <c r="CV29" i="8"/>
  <c r="DA25" i="8"/>
  <c r="DC25" i="8" s="1"/>
</calcChain>
</file>

<file path=xl/sharedStrings.xml><?xml version="1.0" encoding="utf-8"?>
<sst xmlns="http://schemas.openxmlformats.org/spreadsheetml/2006/main" count="512" uniqueCount="95">
  <si>
    <t>Employee No</t>
  </si>
  <si>
    <t>Designation</t>
  </si>
  <si>
    <t>Department</t>
  </si>
  <si>
    <t>Sl No.</t>
  </si>
  <si>
    <t>Remarks</t>
  </si>
  <si>
    <t>1</t>
  </si>
  <si>
    <t>2</t>
  </si>
  <si>
    <t>3</t>
  </si>
  <si>
    <t>4</t>
  </si>
  <si>
    <t>5</t>
  </si>
  <si>
    <t>6</t>
  </si>
  <si>
    <t>7</t>
  </si>
  <si>
    <t>Lcoation</t>
  </si>
  <si>
    <t>New Joinee Report</t>
  </si>
  <si>
    <t>View Report</t>
  </si>
  <si>
    <t>Master</t>
  </si>
  <si>
    <t>Date of Join</t>
  </si>
  <si>
    <t>Reporting Manager</t>
  </si>
  <si>
    <t>Gross Salary / CTC</t>
  </si>
  <si>
    <t>Grade / Band</t>
  </si>
  <si>
    <t>Employee Name</t>
  </si>
  <si>
    <t>8</t>
  </si>
  <si>
    <t>9</t>
  </si>
  <si>
    <t>10</t>
  </si>
  <si>
    <t>Report Name</t>
  </si>
  <si>
    <t>11</t>
  </si>
  <si>
    <t>12</t>
  </si>
  <si>
    <t>13</t>
  </si>
  <si>
    <t>14</t>
  </si>
  <si>
    <t>15</t>
  </si>
  <si>
    <t>16</t>
  </si>
  <si>
    <t>17</t>
  </si>
  <si>
    <t>18</t>
  </si>
  <si>
    <t>19</t>
  </si>
  <si>
    <t>20</t>
  </si>
  <si>
    <t>21</t>
  </si>
  <si>
    <t>22</t>
  </si>
  <si>
    <t>23</t>
  </si>
  <si>
    <t>24</t>
  </si>
  <si>
    <t>25</t>
  </si>
  <si>
    <t>New Joinee Report for May 2019</t>
  </si>
  <si>
    <t>TOTAL LEAVES</t>
  </si>
  <si>
    <t>TOTAL PRESENT - ABSENT - HOLIDAYS</t>
  </si>
  <si>
    <t>TOTAL</t>
  </si>
  <si>
    <t>Late Coming Days</t>
  </si>
  <si>
    <t>REMARKS</t>
  </si>
  <si>
    <t>Emp. No.</t>
  </si>
  <si>
    <t>Emp. Name</t>
  </si>
  <si>
    <t>EL</t>
  </si>
  <si>
    <t>EL-H</t>
  </si>
  <si>
    <t>CL</t>
  </si>
  <si>
    <t>CL-H</t>
  </si>
  <si>
    <t>C-Off</t>
  </si>
  <si>
    <t>C-Off-H</t>
  </si>
  <si>
    <t>Total Leaves</t>
  </si>
  <si>
    <t>Present</t>
  </si>
  <si>
    <t>Holidays</t>
  </si>
  <si>
    <t>Half Day</t>
  </si>
  <si>
    <t>Absent</t>
  </si>
  <si>
    <t>Total LOP</t>
  </si>
  <si>
    <t>Total Month Days</t>
  </si>
  <si>
    <t>Total Workdays</t>
  </si>
  <si>
    <t>H</t>
  </si>
  <si>
    <t>S</t>
  </si>
  <si>
    <t>Resigned Employee Report for May 2019</t>
  </si>
  <si>
    <t>Date of Resignation</t>
  </si>
  <si>
    <t>Notice Period</t>
  </si>
  <si>
    <t>Tentative Date of Leaving</t>
  </si>
  <si>
    <t>Reason for Leaving</t>
  </si>
  <si>
    <t>Resigned Employee Report</t>
  </si>
  <si>
    <t>Stop Payment / Salary Hold Report for the month of July 2019</t>
  </si>
  <si>
    <t>Reason for Stop Payment</t>
  </si>
  <si>
    <t>Stop Payment Report</t>
  </si>
  <si>
    <t>Attendance Report</t>
  </si>
  <si>
    <t>26</t>
  </si>
  <si>
    <t>27</t>
  </si>
  <si>
    <t>28</t>
  </si>
  <si>
    <t>29</t>
  </si>
  <si>
    <t>30</t>
  </si>
  <si>
    <t>Attendance Register for the month of November 2019</t>
  </si>
  <si>
    <t>P</t>
  </si>
  <si>
    <t>A</t>
  </si>
  <si>
    <t>A-H</t>
  </si>
  <si>
    <t>Half Day Absent</t>
  </si>
  <si>
    <t>Sunday / Saturday</t>
  </si>
  <si>
    <t>Holiday</t>
  </si>
  <si>
    <t>Earned Leave</t>
  </si>
  <si>
    <t>Half Day EL</t>
  </si>
  <si>
    <t>Casual Leave</t>
  </si>
  <si>
    <t>Half Day CL</t>
  </si>
  <si>
    <t>C-OFF</t>
  </si>
  <si>
    <t>Comp Off</t>
  </si>
  <si>
    <t>C-OFF-H</t>
  </si>
  <si>
    <t>Half Day Comp Off</t>
  </si>
  <si>
    <t>MIS Reports Master for November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</si>
</sst>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5"/>
      <name val="Calibri Light"/>
      <family val="2"/>
      <scheme val="major"/>
    </font>
    <font>
      <sz val="10"/>
      <name val="Calibri Light"/>
      <family val="2"/>
      <scheme val="major"/>
    </font>
    <font>
      <b/>
      <sz val="10"/>
      <color indexed="8"/>
      <name val="Calibri Light"/>
      <family val="2"/>
      <scheme val="major"/>
    </font>
    <font>
      <u/>
      <sz val="10"/>
      <color theme="10"/>
      <name val="Arial"/>
      <family val="2"/>
    </font>
    <font>
      <b/>
      <sz val="15"/>
      <name val="Palatino Linotype"/>
      <family val="1"/>
    </font>
    <font>
      <sz val="10"/>
      <name val="Palatino Linotype"/>
      <family val="1"/>
    </font>
    <font>
      <b/>
      <sz val="10"/>
      <color indexed="8"/>
      <name val="Palatino Linotype"/>
      <family val="1"/>
    </font>
    <font>
      <u/>
      <sz val="10"/>
      <color theme="10"/>
      <name val="Palatino Linotype"/>
      <family val="1"/>
    </font>
    <font>
      <b/>
      <sz val="15"/>
      <color theme="1"/>
      <name val="Palatino Linotype"/>
      <family val="1"/>
    </font>
    <font>
      <b/>
      <sz val="10"/>
      <color theme="0"/>
      <name val="Palatino Linotype"/>
      <family val="1"/>
    </font>
    <font>
      <b/>
      <sz val="9"/>
      <color indexed="9"/>
      <name val="Palatino Linotype"/>
      <family val="1"/>
    </font>
    <font>
      <sz val="11"/>
      <color theme="1"/>
      <name val="Palatino Linotype"/>
      <family val="1"/>
    </font>
    <font>
      <b/>
      <sz val="11"/>
      <color theme="1"/>
      <name val="Palatino Linotype"/>
      <family val="1"/>
    </font>
    <font>
      <b/>
      <sz val="12"/>
      <color theme="1"/>
      <name val="Palatino Linotype"/>
      <family val="1"/>
    </font>
    <font>
      <sz val="11"/>
      <color indexed="8"/>
      <name val="Palatino Linotype"/>
      <family val="1"/>
    </font>
    <font>
      <sz val="11"/>
      <name val="Palatino Linotype"/>
      <family val="1"/>
    </font>
  </fonts>
  <fills count="5">
    <fill>
      <patternFill patternType="none"/>
    </fill>
    <fill>
      <patternFill patternType="gray125"/>
    </fill>
    <fill>
      <patternFill patternType="solid">
        <fgColor theme="0"/>
        <bgColor indexed="64"/>
      </patternFill>
    </fill>
    <fill>
      <patternFill patternType="solid">
        <fgColor indexed="6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7" fillId="0" borderId="0" applyNumberFormat="0" applyFill="0" applyBorder="0" applyAlignment="0" applyProtection="0"/>
    <xf numFmtId="0" fontId="3" fillId="0" borderId="0"/>
    <xf numFmtId="0" fontId="2" fillId="0" borderId="0"/>
    <xf numFmtId="0" fontId="1" fillId="0" borderId="0"/>
  </cellStyleXfs>
  <cellXfs count="52">
    <xf numFmtId="0" fontId="0" fillId="0" borderId="0" xfId="0"/>
    <xf numFmtId="0" fontId="5" fillId="2" borderId="0" xfId="0" applyFont="1" applyFill="1"/>
    <xf numFmtId="0" fontId="6"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 xfId="0" quotePrefix="1" applyFont="1" applyFill="1" applyBorder="1" applyAlignment="1">
      <alignment horizontal="center" vertical="center"/>
    </xf>
    <xf numFmtId="0" fontId="5" fillId="2" borderId="0" xfId="0" applyFont="1" applyFill="1" applyAlignment="1">
      <alignment horizontal="center"/>
    </xf>
    <xf numFmtId="0" fontId="7" fillId="2" borderId="0" xfId="1" applyFill="1"/>
    <xf numFmtId="0" fontId="5" fillId="2" borderId="0" xfId="0" applyFont="1" applyFill="1" applyAlignment="1">
      <alignment vertical="center"/>
    </xf>
    <xf numFmtId="0" fontId="5" fillId="2" borderId="1" xfId="0" quotePrefix="1" applyFont="1" applyFill="1" applyBorder="1" applyAlignment="1">
      <alignment vertical="center"/>
    </xf>
    <xf numFmtId="4" fontId="5" fillId="2" borderId="1" xfId="0" applyNumberFormat="1" applyFont="1" applyFill="1" applyBorder="1" applyAlignment="1">
      <alignment horizontal="right" vertical="center"/>
    </xf>
    <xf numFmtId="0" fontId="7" fillId="2" borderId="1" xfId="1" quotePrefix="1" applyFill="1" applyBorder="1" applyAlignment="1">
      <alignment horizontal="center" vertical="center"/>
    </xf>
    <xf numFmtId="0" fontId="7" fillId="2" borderId="0" xfId="1" applyFill="1" applyAlignment="1">
      <alignment horizontal="center" vertical="center" wrapText="1"/>
    </xf>
    <xf numFmtId="0" fontId="5" fillId="2" borderId="0" xfId="0" applyFont="1" applyFill="1" applyAlignment="1">
      <alignment vertical="center" textRotation="90"/>
    </xf>
    <xf numFmtId="0" fontId="7" fillId="2" borderId="0" xfId="1" applyFill="1" applyAlignment="1">
      <alignment vertical="center"/>
    </xf>
    <xf numFmtId="0" fontId="9" fillId="2" borderId="0" xfId="0" applyFont="1" applyFill="1" applyAlignment="1">
      <alignment vertical="center"/>
    </xf>
    <xf numFmtId="0" fontId="10" fillId="2" borderId="1" xfId="0" applyFont="1" applyFill="1" applyBorder="1" applyAlignment="1">
      <alignment horizontal="center" vertical="center" wrapText="1"/>
    </xf>
    <xf numFmtId="0" fontId="9" fillId="2" borderId="0" xfId="0" applyFont="1" applyFill="1" applyAlignment="1">
      <alignment horizontal="center" vertical="center" wrapText="1"/>
    </xf>
    <xf numFmtId="0" fontId="11" fillId="2" borderId="0" xfId="1" applyFont="1" applyFill="1" applyAlignment="1">
      <alignment horizontal="center" vertical="center" wrapText="1"/>
    </xf>
    <xf numFmtId="0" fontId="9" fillId="2" borderId="1" xfId="0" quotePrefix="1" applyFont="1" applyFill="1" applyBorder="1" applyAlignment="1">
      <alignment horizontal="center" vertical="center"/>
    </xf>
    <xf numFmtId="0" fontId="9" fillId="2" borderId="1" xfId="0" quotePrefix="1" applyFont="1" applyFill="1" applyBorder="1" applyAlignment="1">
      <alignment vertical="center"/>
    </xf>
    <xf numFmtId="4" fontId="9" fillId="2" borderId="1" xfId="0" applyNumberFormat="1" applyFont="1" applyFill="1" applyBorder="1" applyAlignment="1">
      <alignment horizontal="right" vertical="center"/>
    </xf>
    <xf numFmtId="0" fontId="11" fillId="2" borderId="0" xfId="1" applyFont="1" applyFill="1" applyAlignment="1">
      <alignment vertical="center"/>
    </xf>
    <xf numFmtId="0" fontId="9" fillId="2" borderId="0" xfId="0" applyFont="1" applyFill="1" applyAlignment="1">
      <alignment horizontal="center"/>
    </xf>
    <xf numFmtId="0" fontId="9" fillId="2" borderId="0" xfId="0" applyFont="1" applyFill="1"/>
    <xf numFmtId="0" fontId="11" fillId="2" borderId="0" xfId="1" applyFont="1" applyFill="1"/>
    <xf numFmtId="0" fontId="15" fillId="2" borderId="0" xfId="4" applyFont="1" applyFill="1" applyAlignment="1">
      <alignment vertical="center"/>
    </xf>
    <xf numFmtId="0" fontId="16" fillId="2" borderId="1" xfId="4" applyFont="1" applyFill="1" applyBorder="1" applyAlignment="1">
      <alignment horizontal="center" vertical="center" wrapText="1"/>
    </xf>
    <xf numFmtId="0" fontId="16" fillId="2" borderId="1" xfId="4" applyFont="1" applyFill="1" applyBorder="1" applyAlignment="1">
      <alignment horizontal="left" vertical="center" wrapText="1"/>
    </xf>
    <xf numFmtId="0" fontId="14" fillId="3" borderId="1" xfId="4" applyFont="1" applyFill="1" applyBorder="1" applyAlignment="1">
      <alignment horizontal="center" vertical="center" wrapText="1"/>
    </xf>
    <xf numFmtId="0" fontId="15" fillId="2" borderId="0" xfId="4" applyFont="1" applyFill="1" applyAlignment="1">
      <alignment horizontal="center" vertical="center" wrapText="1"/>
    </xf>
    <xf numFmtId="0" fontId="15" fillId="2" borderId="2" xfId="4" quotePrefix="1" applyFont="1" applyFill="1" applyBorder="1" applyAlignment="1">
      <alignment horizontal="center" vertical="center"/>
    </xf>
    <xf numFmtId="0" fontId="15" fillId="2" borderId="1" xfId="4" applyFont="1" applyFill="1" applyBorder="1" applyAlignment="1">
      <alignment horizontal="center" vertical="center"/>
    </xf>
    <xf numFmtId="0" fontId="15" fillId="2" borderId="1" xfId="4" applyFont="1" applyFill="1" applyBorder="1" applyAlignment="1">
      <alignment vertical="center"/>
    </xf>
    <xf numFmtId="2" fontId="18" fillId="0" borderId="1" xfId="4" applyNumberFormat="1" applyFont="1" applyBorder="1" applyAlignment="1">
      <alignment horizontal="center" vertical="center" wrapText="1"/>
    </xf>
    <xf numFmtId="2" fontId="15" fillId="2" borderId="1" xfId="4" applyNumberFormat="1" applyFont="1" applyFill="1" applyBorder="1" applyAlignment="1">
      <alignment horizontal="center" vertical="center"/>
    </xf>
    <xf numFmtId="164" fontId="15" fillId="2" borderId="2" xfId="4" applyNumberFormat="1" applyFont="1" applyFill="1" applyBorder="1" applyAlignment="1">
      <alignment horizontal="center" vertical="center"/>
    </xf>
    <xf numFmtId="164" fontId="16" fillId="2" borderId="2" xfId="4" applyNumberFormat="1" applyFont="1" applyFill="1" applyBorder="1" applyAlignment="1">
      <alignment horizontal="center" vertical="center"/>
    </xf>
    <xf numFmtId="164" fontId="15" fillId="4" borderId="2" xfId="4" applyNumberFormat="1" applyFont="1" applyFill="1" applyBorder="1" applyAlignment="1">
      <alignment horizontal="center" vertical="center"/>
    </xf>
    <xf numFmtId="164" fontId="16" fillId="2" borderId="1" xfId="4" applyNumberFormat="1" applyFont="1" applyFill="1" applyBorder="1" applyAlignment="1">
      <alignment horizontal="center" vertical="center"/>
    </xf>
    <xf numFmtId="0" fontId="19" fillId="2" borderId="1" xfId="4" applyFont="1" applyFill="1" applyBorder="1" applyAlignment="1">
      <alignment horizontal="center" vertical="center"/>
    </xf>
    <xf numFmtId="0" fontId="15" fillId="2" borderId="1" xfId="4" applyFont="1" applyFill="1" applyBorder="1" applyAlignment="1">
      <alignment horizontal="left" vertical="center"/>
    </xf>
    <xf numFmtId="0" fontId="15" fillId="2" borderId="0" xfId="4" applyFont="1" applyFill="1" applyAlignment="1">
      <alignment horizontal="center" vertical="center"/>
    </xf>
    <xf numFmtId="0" fontId="15" fillId="2" borderId="0" xfId="4" applyFont="1" applyFill="1" applyAlignment="1">
      <alignment horizontal="left" vertical="center"/>
    </xf>
    <xf numFmtId="0" fontId="16" fillId="2" borderId="0" xfId="4" applyFont="1" applyFill="1" applyAlignment="1">
      <alignment vertical="center"/>
    </xf>
    <xf numFmtId="0" fontId="4" fillId="2" borderId="1" xfId="0" applyFont="1" applyFill="1" applyBorder="1" applyAlignment="1">
      <alignment horizontal="center" vertical="center"/>
    </xf>
    <xf numFmtId="14" fontId="17" fillId="2" borderId="1" xfId="4" quotePrefix="1" applyNumberFormat="1" applyFont="1" applyFill="1" applyBorder="1" applyAlignment="1">
      <alignment horizontal="center" vertical="center" wrapText="1"/>
    </xf>
    <xf numFmtId="0" fontId="12" fillId="2" borderId="1" xfId="4" applyFont="1" applyFill="1" applyBorder="1" applyAlignment="1">
      <alignment horizontal="left" vertical="center"/>
    </xf>
    <xf numFmtId="0" fontId="12" fillId="2" borderId="3" xfId="4" applyFont="1" applyFill="1" applyBorder="1" applyAlignment="1">
      <alignment horizontal="left" vertical="center"/>
    </xf>
    <xf numFmtId="0" fontId="13" fillId="3" borderId="1" xfId="4" applyFont="1" applyFill="1" applyBorder="1" applyAlignment="1">
      <alignment horizontal="center" vertical="center"/>
    </xf>
    <xf numFmtId="0" fontId="13" fillId="3" borderId="1" xfId="4" applyFont="1" applyFill="1" applyBorder="1" applyAlignment="1">
      <alignment horizontal="center" vertical="center" wrapText="1"/>
    </xf>
    <xf numFmtId="0" fontId="14" fillId="3" borderId="1" xfId="4" applyFont="1" applyFill="1" applyBorder="1" applyAlignment="1">
      <alignment horizontal="center" vertical="center" wrapText="1"/>
    </xf>
    <xf numFmtId="0" fontId="8" fillId="2" borderId="1" xfId="0" applyFont="1" applyFill="1" applyBorder="1" applyAlignment="1">
      <alignment horizontal="center" vertical="center"/>
    </xf>
  </cellXfs>
  <cellStyles count="5">
    <cellStyle name="Hyperlink" xfId="1" builtinId="8"/>
    <cellStyle name="Normal" xfId="0" builtinId="0"/>
    <cellStyle name="Normal 2" xfId="2" xr:uid="{A2C688F6-ACFC-4BE8-A9C6-B668A5BD3238}"/>
    <cellStyle name="Normal 3" xfId="3" xr:uid="{55A94432-923D-47B8-B636-B7B955DA4BB9}"/>
    <cellStyle name="Normal 4" xfId="4" xr:uid="{0E0F2DAF-0196-42E2-A32A-CE5B8316C3B6}"/>
  </cellStyles>
  <dxfs count="3500">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dxf>
    <dxf>
      <font>
        <b/>
        <i val="0"/>
        <color auto="1"/>
      </font>
      <fill>
        <patternFill>
          <bgColor rgb="FFFFFF00"/>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theme="4"/>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i val="0"/>
        <color theme="0"/>
      </font>
      <fill>
        <patternFill>
          <bgColor rgb="FFFF0000"/>
        </patternFill>
      </fill>
    </dxf>
    <dxf>
      <font>
        <color theme="1"/>
      </font>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157FE-DBAE-4743-80C1-33F42620C648}">
  <dimension ref="A1:E27"/>
  <sheetViews>
    <sheetView workbookViewId="0">
      <selection activeCell="C4" sqref="C4"/>
    </sheetView>
  </sheetViews>
  <sheetFormatPr defaultColWidth="9.1171875" defaultRowHeight="13" x14ac:dyDescent="0.45"/>
  <cols>
    <col min="1" max="1" width="7.703125" style="5" customWidth="1"/>
    <col min="2" max="2" width="45.87890625" style="1" customWidth="1"/>
    <col min="3" max="3" width="17.87890625" style="1" customWidth="1"/>
    <col min="4" max="4" width="9.1171875" style="1"/>
    <col min="5" max="5" width="18.1171875" style="1" customWidth="1"/>
    <col min="6" max="16384" width="9.1171875" style="1"/>
  </cols>
  <sheetData>
    <row r="1" spans="1:5" s="7" customFormat="1" ht="25.5" customHeight="1" x14ac:dyDescent="0.4">
      <c r="A1" s="44" t="s">
        <v>94</v>
      </c>
      <c r="B1" s="44"/>
      <c r="C1" s="44"/>
    </row>
    <row r="2" spans="1:5" s="3" customFormat="1" ht="36" customHeight="1" x14ac:dyDescent="0.4">
      <c r="A2" s="2" t="s">
        <v>3</v>
      </c>
      <c r="B2" s="2" t="s">
        <v>24</v>
      </c>
      <c r="C2" s="2" t="s">
        <v>14</v>
      </c>
    </row>
    <row r="3" spans="1:5" s="7" customFormat="1" ht="21" customHeight="1" x14ac:dyDescent="0.4">
      <c r="A3" s="4" t="s">
        <v>5</v>
      </c>
      <c r="B3" s="8" t="s">
        <v>73</v>
      </c>
      <c r="C3" s="10" t="s">
        <v>14</v>
      </c>
      <c r="E3" s="12"/>
    </row>
    <row r="4" spans="1:5" s="7" customFormat="1" ht="24" customHeight="1" x14ac:dyDescent="0.4">
      <c r="A4" s="4" t="s">
        <v>6</v>
      </c>
      <c r="B4" s="8" t="s">
        <v>13</v>
      </c>
      <c r="C4" s="10" t="s">
        <v>14</v>
      </c>
    </row>
    <row r="5" spans="1:5" s="7" customFormat="1" ht="24" customHeight="1" x14ac:dyDescent="0.4">
      <c r="A5" s="4" t="s">
        <v>7</v>
      </c>
      <c r="B5" s="8" t="s">
        <v>69</v>
      </c>
      <c r="C5" s="10" t="s">
        <v>14</v>
      </c>
    </row>
    <row r="6" spans="1:5" s="7" customFormat="1" ht="24" customHeight="1" x14ac:dyDescent="0.4">
      <c r="A6" s="4" t="s">
        <v>8</v>
      </c>
      <c r="B6" s="8" t="s">
        <v>72</v>
      </c>
      <c r="C6" s="10" t="s">
        <v>14</v>
      </c>
    </row>
    <row r="7" spans="1:5" s="7" customFormat="1" ht="24" customHeight="1" x14ac:dyDescent="0.4">
      <c r="A7" s="4" t="s">
        <v>9</v>
      </c>
      <c r="B7" s="8"/>
      <c r="C7" s="10"/>
    </row>
    <row r="8" spans="1:5" s="7" customFormat="1" ht="24" customHeight="1" x14ac:dyDescent="0.4">
      <c r="A8" s="4" t="s">
        <v>10</v>
      </c>
      <c r="B8" s="8"/>
      <c r="C8" s="10"/>
    </row>
    <row r="9" spans="1:5" s="7" customFormat="1" ht="24" customHeight="1" x14ac:dyDescent="0.4">
      <c r="A9" s="4" t="s">
        <v>11</v>
      </c>
      <c r="B9" s="8"/>
      <c r="C9" s="8"/>
    </row>
    <row r="10" spans="1:5" s="7" customFormat="1" ht="24" customHeight="1" x14ac:dyDescent="0.4">
      <c r="A10" s="4" t="s">
        <v>21</v>
      </c>
      <c r="B10" s="8"/>
      <c r="C10" s="8"/>
    </row>
    <row r="11" spans="1:5" s="7" customFormat="1" ht="24" customHeight="1" x14ac:dyDescent="0.4">
      <c r="A11" s="4" t="s">
        <v>22</v>
      </c>
      <c r="B11" s="8"/>
      <c r="C11" s="8"/>
    </row>
    <row r="12" spans="1:5" s="7" customFormat="1" ht="24" customHeight="1" x14ac:dyDescent="0.4">
      <c r="A12" s="4" t="s">
        <v>23</v>
      </c>
      <c r="B12" s="8"/>
      <c r="C12" s="8"/>
    </row>
    <row r="13" spans="1:5" s="7" customFormat="1" ht="24" customHeight="1" x14ac:dyDescent="0.4">
      <c r="A13" s="4" t="s">
        <v>25</v>
      </c>
      <c r="B13" s="8"/>
      <c r="C13" s="8"/>
    </row>
    <row r="14" spans="1:5" s="7" customFormat="1" ht="24" customHeight="1" x14ac:dyDescent="0.4">
      <c r="A14" s="4" t="s">
        <v>26</v>
      </c>
      <c r="B14" s="8"/>
      <c r="C14" s="8"/>
    </row>
    <row r="15" spans="1:5" s="7" customFormat="1" ht="24" customHeight="1" x14ac:dyDescent="0.4">
      <c r="A15" s="4" t="s">
        <v>27</v>
      </c>
      <c r="B15" s="8"/>
      <c r="C15" s="8"/>
    </row>
    <row r="16" spans="1:5" s="7" customFormat="1" ht="24" customHeight="1" x14ac:dyDescent="0.4">
      <c r="A16" s="4" t="s">
        <v>28</v>
      </c>
      <c r="B16" s="8"/>
      <c r="C16" s="8"/>
    </row>
    <row r="17" spans="1:3" s="7" customFormat="1" ht="24" customHeight="1" x14ac:dyDescent="0.4">
      <c r="A17" s="4" t="s">
        <v>29</v>
      </c>
      <c r="B17" s="8"/>
      <c r="C17" s="8"/>
    </row>
    <row r="18" spans="1:3" s="7" customFormat="1" ht="24" customHeight="1" x14ac:dyDescent="0.4">
      <c r="A18" s="4" t="s">
        <v>30</v>
      </c>
      <c r="B18" s="8"/>
      <c r="C18" s="8"/>
    </row>
    <row r="19" spans="1:3" s="7" customFormat="1" ht="24" customHeight="1" x14ac:dyDescent="0.4">
      <c r="A19" s="4" t="s">
        <v>31</v>
      </c>
      <c r="B19" s="8"/>
      <c r="C19" s="8"/>
    </row>
    <row r="20" spans="1:3" s="7" customFormat="1" ht="24" customHeight="1" x14ac:dyDescent="0.4">
      <c r="A20" s="4" t="s">
        <v>32</v>
      </c>
      <c r="B20" s="8"/>
      <c r="C20" s="8"/>
    </row>
    <row r="21" spans="1:3" s="7" customFormat="1" ht="24" customHeight="1" x14ac:dyDescent="0.4">
      <c r="A21" s="4" t="s">
        <v>33</v>
      </c>
      <c r="B21" s="8"/>
      <c r="C21" s="8"/>
    </row>
    <row r="22" spans="1:3" s="7" customFormat="1" ht="24" customHeight="1" x14ac:dyDescent="0.4">
      <c r="A22" s="4" t="s">
        <v>34</v>
      </c>
      <c r="B22" s="8"/>
      <c r="C22" s="8"/>
    </row>
    <row r="23" spans="1:3" s="7" customFormat="1" ht="24" customHeight="1" x14ac:dyDescent="0.4">
      <c r="A23" s="4" t="s">
        <v>35</v>
      </c>
      <c r="B23" s="8"/>
      <c r="C23" s="8"/>
    </row>
    <row r="24" spans="1:3" s="7" customFormat="1" ht="24" customHeight="1" x14ac:dyDescent="0.4">
      <c r="A24" s="4" t="s">
        <v>36</v>
      </c>
      <c r="B24" s="8"/>
      <c r="C24" s="8"/>
    </row>
    <row r="25" spans="1:3" s="7" customFormat="1" ht="24" customHeight="1" x14ac:dyDescent="0.4">
      <c r="A25" s="4" t="s">
        <v>37</v>
      </c>
      <c r="B25" s="8"/>
      <c r="C25" s="8"/>
    </row>
    <row r="26" spans="1:3" s="7" customFormat="1" ht="24" customHeight="1" x14ac:dyDescent="0.4">
      <c r="A26" s="4" t="s">
        <v>38</v>
      </c>
      <c r="B26" s="8"/>
      <c r="C26" s="8"/>
    </row>
    <row r="27" spans="1:3" s="7" customFormat="1" ht="24" customHeight="1" x14ac:dyDescent="0.4">
      <c r="A27" s="4" t="s">
        <v>39</v>
      </c>
      <c r="B27" s="8"/>
      <c r="C27" s="8"/>
    </row>
  </sheetData>
  <autoFilter ref="A2:C4" xr:uid="{00000000-0009-0000-0000-000000000000}"/>
  <mergeCells count="1">
    <mergeCell ref="A1:C1"/>
  </mergeCells>
  <hyperlinks>
    <hyperlink ref="C4" location="'New Joinee'!A1" display="View Report" xr:uid="{967F0420-B4CC-4F32-A985-6A69191C4FC3}"/>
    <hyperlink ref="C5" location="Resigned!A1" display="View Report" xr:uid="{94BDA5D7-7847-41B0-A49D-E2563105948C}"/>
    <hyperlink ref="C6" location="'Stop Payment'!A1" display="View Report" xr:uid="{E2EF82BE-1EE1-4197-B3A4-83CD3466FAEE}"/>
    <hyperlink ref="C3" location="Attendance!A1" display="View Report" xr:uid="{11304EB1-36C8-4B66-B77D-3C043E2B5292}"/>
  </hyperlinks>
  <pageMargins left="0.75" right="0.75" top="1" bottom="1" header="0.5" footer="0.5"/>
  <pageSetup orientation="portrait" horizontalDpi="0" verticalDpi="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38D62-8C4D-49F4-A9C9-B877B35FF9D4}">
  <dimension ref="A1:DH44"/>
  <sheetViews>
    <sheetView tabSelected="1" zoomScale="90" zoomScaleNormal="90" workbookViewId="0">
      <pane xSplit="3" ySplit="1" topLeftCell="DC2" activePane="bottomRight" state="frozen"/>
      <selection pane="topRight" activeCell="D1" sqref="D1"/>
      <selection pane="bottomLeft" activeCell="A2" sqref="A2"/>
      <selection pane="bottomRight" activeCell="DE12" sqref="DE12"/>
    </sheetView>
  </sheetViews>
  <sheetFormatPr defaultColWidth="9.1171875" defaultRowHeight="21" customHeight="1" x14ac:dyDescent="0.4"/>
  <cols>
    <col min="1" max="1" width="8.41015625" style="41" customWidth="1"/>
    <col min="2" max="2" width="13.5859375" style="41" customWidth="1"/>
    <col min="3" max="3" width="35.41015625" style="42" customWidth="1"/>
    <col min="4" max="93" width="9" style="25" customWidth="1"/>
    <col min="94" max="107" width="9.1171875" style="25"/>
    <col min="108" max="108" width="12.1171875" style="25" customWidth="1"/>
    <col min="109" max="109" width="41.41015625" style="25" customWidth="1"/>
    <col min="110" max="16384" width="9.1171875" style="25"/>
  </cols>
  <sheetData>
    <row r="1" spans="1:112" ht="28.5" customHeight="1" x14ac:dyDescent="0.4">
      <c r="A1" s="46" t="s">
        <v>79</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7"/>
      <c r="CE1" s="47"/>
      <c r="CF1" s="47"/>
      <c r="CG1" s="47"/>
      <c r="CH1" s="47"/>
      <c r="CI1" s="47"/>
      <c r="CJ1" s="47"/>
      <c r="CK1" s="47"/>
      <c r="CL1" s="47"/>
      <c r="CM1" s="47"/>
      <c r="CN1" s="47"/>
      <c r="CO1" s="47"/>
      <c r="CP1" s="48" t="s">
        <v>41</v>
      </c>
      <c r="CQ1" s="48"/>
      <c r="CR1" s="48"/>
      <c r="CS1" s="48"/>
      <c r="CT1" s="48"/>
      <c r="CU1" s="48"/>
      <c r="CV1" s="48"/>
      <c r="CW1" s="48" t="s">
        <v>42</v>
      </c>
      <c r="CX1" s="48"/>
      <c r="CY1" s="48"/>
      <c r="CZ1" s="48"/>
      <c r="DA1" s="48"/>
      <c r="DB1" s="48" t="s">
        <v>43</v>
      </c>
      <c r="DC1" s="48"/>
      <c r="DD1" s="49" t="s">
        <v>44</v>
      </c>
      <c r="DE1" s="50" t="s">
        <v>45</v>
      </c>
    </row>
    <row r="2" spans="1:112" s="29" customFormat="1" ht="46.5" customHeight="1" x14ac:dyDescent="0.4">
      <c r="A2" s="26" t="s">
        <v>3</v>
      </c>
      <c r="B2" s="26" t="s">
        <v>46</v>
      </c>
      <c r="C2" s="27" t="s">
        <v>47</v>
      </c>
      <c r="D2" s="45">
        <v>43770</v>
      </c>
      <c r="E2" s="45"/>
      <c r="F2" s="45"/>
      <c r="G2" s="45">
        <v>43771</v>
      </c>
      <c r="H2" s="45"/>
      <c r="I2" s="45"/>
      <c r="J2" s="45">
        <v>43772</v>
      </c>
      <c r="K2" s="45"/>
      <c r="L2" s="45"/>
      <c r="M2" s="45">
        <v>43773</v>
      </c>
      <c r="N2" s="45"/>
      <c r="O2" s="45"/>
      <c r="P2" s="45">
        <v>43774</v>
      </c>
      <c r="Q2" s="45"/>
      <c r="R2" s="45"/>
      <c r="S2" s="45">
        <v>43775</v>
      </c>
      <c r="T2" s="45"/>
      <c r="U2" s="45"/>
      <c r="V2" s="45">
        <v>43776</v>
      </c>
      <c r="W2" s="45"/>
      <c r="X2" s="45"/>
      <c r="Y2" s="45">
        <v>43777</v>
      </c>
      <c r="Z2" s="45"/>
      <c r="AA2" s="45"/>
      <c r="AB2" s="45">
        <v>43778</v>
      </c>
      <c r="AC2" s="45"/>
      <c r="AD2" s="45"/>
      <c r="AE2" s="45">
        <v>43779</v>
      </c>
      <c r="AF2" s="45"/>
      <c r="AG2" s="45"/>
      <c r="AH2" s="45">
        <v>43780</v>
      </c>
      <c r="AI2" s="45"/>
      <c r="AJ2" s="45"/>
      <c r="AK2" s="45">
        <v>43781</v>
      </c>
      <c r="AL2" s="45"/>
      <c r="AM2" s="45"/>
      <c r="AN2" s="45">
        <v>43782</v>
      </c>
      <c r="AO2" s="45"/>
      <c r="AP2" s="45"/>
      <c r="AQ2" s="45">
        <v>43783</v>
      </c>
      <c r="AR2" s="45"/>
      <c r="AS2" s="45"/>
      <c r="AT2" s="45">
        <v>43784</v>
      </c>
      <c r="AU2" s="45"/>
      <c r="AV2" s="45"/>
      <c r="AW2" s="45">
        <v>43785</v>
      </c>
      <c r="AX2" s="45"/>
      <c r="AY2" s="45"/>
      <c r="AZ2" s="45">
        <v>43786</v>
      </c>
      <c r="BA2" s="45"/>
      <c r="BB2" s="45"/>
      <c r="BC2" s="45">
        <v>43787</v>
      </c>
      <c r="BD2" s="45"/>
      <c r="BE2" s="45"/>
      <c r="BF2" s="45">
        <v>43788</v>
      </c>
      <c r="BG2" s="45"/>
      <c r="BH2" s="45"/>
      <c r="BI2" s="45">
        <v>43789</v>
      </c>
      <c r="BJ2" s="45"/>
      <c r="BK2" s="45"/>
      <c r="BL2" s="45">
        <v>43790</v>
      </c>
      <c r="BM2" s="45"/>
      <c r="BN2" s="45"/>
      <c r="BO2" s="45">
        <v>43791</v>
      </c>
      <c r="BP2" s="45"/>
      <c r="BQ2" s="45"/>
      <c r="BR2" s="45">
        <v>43792</v>
      </c>
      <c r="BS2" s="45"/>
      <c r="BT2" s="45"/>
      <c r="BU2" s="45">
        <v>43793</v>
      </c>
      <c r="BV2" s="45"/>
      <c r="BW2" s="45"/>
      <c r="BX2" s="45">
        <v>43794</v>
      </c>
      <c r="BY2" s="45"/>
      <c r="BZ2" s="45"/>
      <c r="CA2" s="45">
        <v>43795</v>
      </c>
      <c r="CB2" s="45"/>
      <c r="CC2" s="45"/>
      <c r="CD2" s="45">
        <v>43796</v>
      </c>
      <c r="CE2" s="45"/>
      <c r="CF2" s="45"/>
      <c r="CG2" s="45">
        <v>43797</v>
      </c>
      <c r="CH2" s="45"/>
      <c r="CI2" s="45"/>
      <c r="CJ2" s="45">
        <v>43798</v>
      </c>
      <c r="CK2" s="45"/>
      <c r="CL2" s="45"/>
      <c r="CM2" s="45">
        <v>43799</v>
      </c>
      <c r="CN2" s="45"/>
      <c r="CO2" s="45"/>
      <c r="CP2" s="28" t="s">
        <v>48</v>
      </c>
      <c r="CQ2" s="28" t="s">
        <v>49</v>
      </c>
      <c r="CR2" s="28" t="s">
        <v>50</v>
      </c>
      <c r="CS2" s="28" t="s">
        <v>51</v>
      </c>
      <c r="CT2" s="28" t="s">
        <v>52</v>
      </c>
      <c r="CU2" s="28" t="s">
        <v>53</v>
      </c>
      <c r="CV2" s="28" t="s">
        <v>54</v>
      </c>
      <c r="CW2" s="28" t="s">
        <v>55</v>
      </c>
      <c r="CX2" s="28" t="s">
        <v>56</v>
      </c>
      <c r="CY2" s="28" t="s">
        <v>57</v>
      </c>
      <c r="CZ2" s="28" t="s">
        <v>58</v>
      </c>
      <c r="DA2" s="28" t="s">
        <v>59</v>
      </c>
      <c r="DB2" s="28" t="s">
        <v>60</v>
      </c>
      <c r="DC2" s="28" t="s">
        <v>61</v>
      </c>
      <c r="DD2" s="49"/>
      <c r="DE2" s="50"/>
      <c r="DH2" s="11" t="s">
        <v>15</v>
      </c>
    </row>
    <row r="3" spans="1:112" ht="30.75" customHeight="1" x14ac:dyDescent="0.4">
      <c r="A3" s="30" t="s">
        <v>5</v>
      </c>
      <c r="B3" s="31"/>
      <c r="C3" s="32"/>
      <c r="D3" s="33"/>
      <c r="E3" s="33"/>
      <c r="F3" s="34" t="s">
        <v>62</v>
      </c>
      <c r="G3" s="33"/>
      <c r="H3" s="33"/>
      <c r="I3" s="34" t="s">
        <v>63</v>
      </c>
      <c r="J3" s="33"/>
      <c r="K3" s="33"/>
      <c r="L3" s="34" t="s">
        <v>63</v>
      </c>
      <c r="M3" s="33"/>
      <c r="N3" s="33"/>
      <c r="O3" s="34" t="str">
        <f t="shared" ref="O3:O32" si="0">IF(N3="","A",IF(M3="","A",IF(N3-M3&lt;8,"A-H","P")))</f>
        <v>A</v>
      </c>
      <c r="P3" s="33"/>
      <c r="Q3" s="33"/>
      <c r="R3" s="34" t="str">
        <f>IF(Q3="","A",IF(P3="","A",IF(Q3-P3&lt;3,"A-H","P")))</f>
        <v>A</v>
      </c>
      <c r="S3" s="33"/>
      <c r="T3" s="33"/>
      <c r="U3" s="34" t="str">
        <f>IF(T3="","A",IF(S3="","A",IF(T3-S3&lt;3,"A-H","P")))</f>
        <v>A</v>
      </c>
      <c r="V3" s="33"/>
      <c r="W3" s="33"/>
      <c r="X3" s="34" t="s">
        <v>62</v>
      </c>
      <c r="Y3" s="33"/>
      <c r="Z3" s="33"/>
      <c r="AA3" s="34" t="str">
        <f>IF(Z3="","A",IF(Y3="","A",IF(Z3-Y3&lt;3,"A-H","P")))</f>
        <v>A</v>
      </c>
      <c r="AB3" s="33"/>
      <c r="AC3" s="33"/>
      <c r="AD3" s="34" t="s">
        <v>63</v>
      </c>
      <c r="AE3" s="33"/>
      <c r="AF3" s="33"/>
      <c r="AG3" s="34" t="s">
        <v>63</v>
      </c>
      <c r="AH3" s="33"/>
      <c r="AI3" s="33"/>
      <c r="AJ3" s="34" t="str">
        <f t="shared" ref="AJ3:AJ32" si="1">IF(AI3="","A",IF(AH3="","A",IF(AI3-AH3&lt;8,"A-H","P")))</f>
        <v>A</v>
      </c>
      <c r="AK3" s="33"/>
      <c r="AL3" s="33"/>
      <c r="AM3" s="34" t="str">
        <f>IF(AL3="","A",IF(AK3="","A",IF(AL3-AK3&lt;3,"A-H","P")))</f>
        <v>A</v>
      </c>
      <c r="AN3" s="33"/>
      <c r="AO3" s="33"/>
      <c r="AP3" s="34" t="str">
        <f>IF(AO3="","A",IF(AN3="","A",IF(AO3-AN3&lt;3,"A-H","P")))</f>
        <v>A</v>
      </c>
      <c r="AQ3" s="33"/>
      <c r="AR3" s="33"/>
      <c r="AS3" s="34" t="str">
        <f>IF(AR3="","A",IF(AQ3="","A",IF(AR3-AQ3&lt;3,"A-H","P")))</f>
        <v>A</v>
      </c>
      <c r="AT3" s="33"/>
      <c r="AU3" s="33"/>
      <c r="AV3" s="34" t="str">
        <f t="shared" ref="AV3:AV32" si="2">IF(AU3="","A",IF(AT3="","A",IF(AU3-AT3&lt;8,"A-H","P")))</f>
        <v>A</v>
      </c>
      <c r="AW3" s="33"/>
      <c r="AX3" s="33"/>
      <c r="AY3" s="34" t="s">
        <v>63</v>
      </c>
      <c r="AZ3" s="33"/>
      <c r="BA3" s="33"/>
      <c r="BB3" s="34" t="s">
        <v>63</v>
      </c>
      <c r="BC3" s="33"/>
      <c r="BD3" s="33"/>
      <c r="BE3" s="34" t="str">
        <f t="shared" ref="BE3:BE32" si="3">IF(BD3="","A",IF(BC3="","A",IF(BD3-BC3&lt;8,"A-H","P")))</f>
        <v>A</v>
      </c>
      <c r="BF3" s="33"/>
      <c r="BG3" s="33"/>
      <c r="BH3" s="34" t="str">
        <f>IF(BG3="","A",IF(BF3="","A",IF(BG3-BF3&lt;3,"A-H","P")))</f>
        <v>A</v>
      </c>
      <c r="BI3" s="33"/>
      <c r="BJ3" s="33"/>
      <c r="BK3" s="34" t="str">
        <f>IF(BJ3="","A",IF(BI3="","A",IF(BJ3-BI3&lt;3,"A-H","P")))</f>
        <v>A</v>
      </c>
      <c r="BL3" s="33"/>
      <c r="BM3" s="33"/>
      <c r="BN3" s="34" t="str">
        <f t="shared" ref="BN3:BN32" si="4">IF(BM3="","A",IF(BL3="","A",IF(BM3-BL3&lt;8,"A-H","P")))</f>
        <v>A</v>
      </c>
      <c r="BO3" s="33"/>
      <c r="BP3" s="33"/>
      <c r="BQ3" s="34" t="str">
        <f t="shared" ref="BQ3:BQ32" si="5">IF(BP3="","A",IF(BO3="","A",IF(BP3-BO3&lt;8,"A-H","P")))</f>
        <v>A</v>
      </c>
      <c r="BR3" s="33"/>
      <c r="BS3" s="33"/>
      <c r="BT3" s="34" t="s">
        <v>63</v>
      </c>
      <c r="BU3" s="33"/>
      <c r="BV3" s="33"/>
      <c r="BW3" s="34" t="s">
        <v>63</v>
      </c>
      <c r="BX3" s="33"/>
      <c r="BY3" s="33"/>
      <c r="BZ3" s="34" t="str">
        <f t="shared" ref="BZ3:BZ32" si="6">IF(BY3="","A",IF(BX3="","A",IF(BY3-BX3&lt;8,"A-H","P")))</f>
        <v>A</v>
      </c>
      <c r="CA3" s="33"/>
      <c r="CB3" s="34"/>
      <c r="CC3" s="34" t="str">
        <f>IF(CB3="","A",IF(CA3="","A",IF(CB3-CA3&lt;3,"A-H","P")))</f>
        <v>A</v>
      </c>
      <c r="CD3" s="34"/>
      <c r="CE3" s="34"/>
      <c r="CF3" s="34" t="str">
        <f>IF(CE3="","A",IF(CD3="","A",IF(CE3-CD3&lt;3,"A-H","P")))</f>
        <v>A</v>
      </c>
      <c r="CG3" s="34"/>
      <c r="CH3" s="34"/>
      <c r="CI3" s="34" t="str">
        <f t="shared" ref="CI3:CI32" si="7">IF(CH3="","A",IF(CG3="","A",IF(CH3-CG3&lt;8,"A-H","P")))</f>
        <v>A</v>
      </c>
      <c r="CJ3" s="34"/>
      <c r="CK3" s="34"/>
      <c r="CL3" s="34" t="str">
        <f t="shared" ref="CL3:CL32" si="8">IF(CK3="","A",IF(CJ3="","A",IF(CK3-CJ3&lt;8,"A-H","P")))</f>
        <v>A</v>
      </c>
      <c r="CM3" s="34"/>
      <c r="CN3" s="34"/>
      <c r="CO3" s="34" t="s">
        <v>63</v>
      </c>
      <c r="CP3" s="35">
        <f t="shared" ref="CP3:CP32" si="9">COUNTIF(D3:CO3,"EL")</f>
        <v>0</v>
      </c>
      <c r="CQ3" s="35">
        <f t="shared" ref="CQ3:CQ32" si="10">COUNTIF(D3:CO3,"EL-H")*0.5</f>
        <v>0</v>
      </c>
      <c r="CR3" s="35">
        <f t="shared" ref="CR3:CR32" si="11">COUNTIF(D3:CO3,"CL")</f>
        <v>0</v>
      </c>
      <c r="CS3" s="35">
        <f t="shared" ref="CS3:CS32" si="12">COUNTIF(D3:CO3,"CL-H")*0.5</f>
        <v>0</v>
      </c>
      <c r="CT3" s="35">
        <f t="shared" ref="CT3:CT32" si="13">COUNTIF(D3:CO3,"C-Off")</f>
        <v>0</v>
      </c>
      <c r="CU3" s="35">
        <f t="shared" ref="CU3:CU32" si="14">COUNTIF(D3:CO3,"C-Off-H")*0.5</f>
        <v>0</v>
      </c>
      <c r="CV3" s="35">
        <f t="shared" ref="CV3:CV32" si="15">SUM(CP3:CU3)</f>
        <v>0</v>
      </c>
      <c r="CW3" s="35">
        <f t="shared" ref="CW3:CW32" si="16">COUNTIF(D3:CO3,"P")</f>
        <v>0</v>
      </c>
      <c r="CX3" s="35">
        <f t="shared" ref="CX3:CX32" si="17">COUNTIF(D3:CO3,"H")+COUNTIF(D3:CO3,"S")</f>
        <v>11</v>
      </c>
      <c r="CY3" s="35">
        <f t="shared" ref="CY3:CY32" si="18">COUNTIF(D3:CO3,"A-H")*0.5</f>
        <v>0</v>
      </c>
      <c r="CZ3" s="35">
        <f t="shared" ref="CZ3:CZ32" si="19">COUNTIF(D3:CO3,"A")</f>
        <v>19</v>
      </c>
      <c r="DA3" s="36">
        <f t="shared" ref="DA3:DA32" si="20">+CY3+CZ3</f>
        <v>19</v>
      </c>
      <c r="DB3" s="37">
        <v>31</v>
      </c>
      <c r="DC3" s="35">
        <f t="shared" ref="DC3:DC32" si="21">DB3-DA3</f>
        <v>12</v>
      </c>
      <c r="DD3" s="38"/>
      <c r="DE3" s="38"/>
    </row>
    <row r="4" spans="1:112" ht="30.75" customHeight="1" x14ac:dyDescent="0.4">
      <c r="A4" s="30" t="s">
        <v>6</v>
      </c>
      <c r="B4" s="39"/>
      <c r="C4" s="40"/>
      <c r="D4" s="33"/>
      <c r="E4" s="33"/>
      <c r="F4" s="34" t="s">
        <v>62</v>
      </c>
      <c r="G4" s="33"/>
      <c r="H4" s="33"/>
      <c r="I4" s="34" t="s">
        <v>63</v>
      </c>
      <c r="J4" s="33"/>
      <c r="K4" s="33"/>
      <c r="L4" s="34" t="s">
        <v>63</v>
      </c>
      <c r="M4" s="33"/>
      <c r="N4" s="33"/>
      <c r="O4" s="34" t="str">
        <f t="shared" si="0"/>
        <v>A</v>
      </c>
      <c r="P4" s="33"/>
      <c r="Q4" s="33"/>
      <c r="R4" s="34" t="str">
        <f t="shared" ref="R4:R32" si="22">IF(Q4="","A",IF(P4="","A",IF(Q4-P4&lt;3,"A-H","P")))</f>
        <v>A</v>
      </c>
      <c r="S4" s="33"/>
      <c r="T4" s="33"/>
      <c r="U4" s="34" t="str">
        <f t="shared" ref="U4:U32" si="23">IF(T4="","A",IF(S4="","A",IF(T4-S4&lt;3,"A-H","P")))</f>
        <v>A</v>
      </c>
      <c r="V4" s="33"/>
      <c r="W4" s="33"/>
      <c r="X4" s="34" t="s">
        <v>62</v>
      </c>
      <c r="Y4" s="33"/>
      <c r="Z4" s="33"/>
      <c r="AA4" s="34" t="str">
        <f t="shared" ref="AA4:AA32" si="24">IF(Z4="","A",IF(Y4="","A",IF(Z4-Y4&lt;3,"A-H","P")))</f>
        <v>A</v>
      </c>
      <c r="AB4" s="33"/>
      <c r="AC4" s="33"/>
      <c r="AD4" s="34" t="s">
        <v>63</v>
      </c>
      <c r="AE4" s="33"/>
      <c r="AF4" s="33"/>
      <c r="AG4" s="34" t="s">
        <v>63</v>
      </c>
      <c r="AH4" s="33"/>
      <c r="AI4" s="33"/>
      <c r="AJ4" s="34" t="str">
        <f t="shared" si="1"/>
        <v>A</v>
      </c>
      <c r="AK4" s="33"/>
      <c r="AL4" s="33"/>
      <c r="AM4" s="34" t="str">
        <f t="shared" ref="AM4:AM32" si="25">IF(AL4="","A",IF(AK4="","A",IF(AL4-AK4&lt;3,"A-H","P")))</f>
        <v>A</v>
      </c>
      <c r="AN4" s="33"/>
      <c r="AO4" s="33"/>
      <c r="AP4" s="34" t="str">
        <f t="shared" ref="AP4:AP32" si="26">IF(AO4="","A",IF(AN4="","A",IF(AO4-AN4&lt;3,"A-H","P")))</f>
        <v>A</v>
      </c>
      <c r="AQ4" s="33"/>
      <c r="AR4" s="33"/>
      <c r="AS4" s="34" t="str">
        <f t="shared" ref="AS4:AS32" si="27">IF(AR4="","A",IF(AQ4="","A",IF(AR4-AQ4&lt;3,"A-H","P")))</f>
        <v>A</v>
      </c>
      <c r="AT4" s="33"/>
      <c r="AU4" s="33"/>
      <c r="AV4" s="34" t="str">
        <f t="shared" si="2"/>
        <v>A</v>
      </c>
      <c r="AW4" s="33"/>
      <c r="AX4" s="33"/>
      <c r="AY4" s="34" t="s">
        <v>63</v>
      </c>
      <c r="AZ4" s="33"/>
      <c r="BA4" s="33"/>
      <c r="BB4" s="34" t="s">
        <v>63</v>
      </c>
      <c r="BC4" s="33"/>
      <c r="BD4" s="33"/>
      <c r="BE4" s="34" t="str">
        <f t="shared" si="3"/>
        <v>A</v>
      </c>
      <c r="BF4" s="33"/>
      <c r="BG4" s="33"/>
      <c r="BH4" s="34" t="str">
        <f t="shared" ref="BH4:BH32" si="28">IF(BG4="","A",IF(BF4="","A",IF(BG4-BF4&lt;3,"A-H","P")))</f>
        <v>A</v>
      </c>
      <c r="BI4" s="33"/>
      <c r="BJ4" s="34"/>
      <c r="BK4" s="34" t="str">
        <f t="shared" ref="BK4:BK32" si="29">IF(BJ4="","A",IF(BI4="","A",IF(BJ4-BI4&lt;3,"A-H","P")))</f>
        <v>A</v>
      </c>
      <c r="BL4" s="33"/>
      <c r="BM4" s="33"/>
      <c r="BN4" s="34" t="str">
        <f t="shared" si="4"/>
        <v>A</v>
      </c>
      <c r="BO4" s="33"/>
      <c r="BP4" s="33"/>
      <c r="BQ4" s="34" t="str">
        <f t="shared" si="5"/>
        <v>A</v>
      </c>
      <c r="BR4" s="33"/>
      <c r="BS4" s="33"/>
      <c r="BT4" s="34" t="s">
        <v>63</v>
      </c>
      <c r="BU4" s="33"/>
      <c r="BV4" s="33"/>
      <c r="BW4" s="34" t="s">
        <v>63</v>
      </c>
      <c r="BX4" s="33"/>
      <c r="BY4" s="33"/>
      <c r="BZ4" s="34" t="str">
        <f t="shared" si="6"/>
        <v>A</v>
      </c>
      <c r="CA4" s="33"/>
      <c r="CB4" s="34"/>
      <c r="CC4" s="34" t="str">
        <f t="shared" ref="CC4:CC32" si="30">IF(CB4="","A",IF(CA4="","A",IF(CB4-CA4&lt;3,"A-H","P")))</f>
        <v>A</v>
      </c>
      <c r="CD4" s="34"/>
      <c r="CE4" s="34"/>
      <c r="CF4" s="34" t="str">
        <f t="shared" ref="CF4:CF32" si="31">IF(CE4="","A",IF(CD4="","A",IF(CE4-CD4&lt;3,"A-H","P")))</f>
        <v>A</v>
      </c>
      <c r="CG4" s="34"/>
      <c r="CH4" s="34"/>
      <c r="CI4" s="34" t="str">
        <f t="shared" si="7"/>
        <v>A</v>
      </c>
      <c r="CJ4" s="34"/>
      <c r="CK4" s="34"/>
      <c r="CL4" s="34" t="str">
        <f t="shared" si="8"/>
        <v>A</v>
      </c>
      <c r="CM4" s="34"/>
      <c r="CN4" s="34"/>
      <c r="CO4" s="34" t="s">
        <v>63</v>
      </c>
      <c r="CP4" s="35">
        <f t="shared" si="9"/>
        <v>0</v>
      </c>
      <c r="CQ4" s="35">
        <f t="shared" si="10"/>
        <v>0</v>
      </c>
      <c r="CR4" s="35">
        <f t="shared" si="11"/>
        <v>0</v>
      </c>
      <c r="CS4" s="35">
        <f t="shared" si="12"/>
        <v>0</v>
      </c>
      <c r="CT4" s="35">
        <f t="shared" si="13"/>
        <v>0</v>
      </c>
      <c r="CU4" s="35">
        <f t="shared" si="14"/>
        <v>0</v>
      </c>
      <c r="CV4" s="35">
        <f t="shared" si="15"/>
        <v>0</v>
      </c>
      <c r="CW4" s="35">
        <f t="shared" si="16"/>
        <v>0</v>
      </c>
      <c r="CX4" s="35">
        <f t="shared" si="17"/>
        <v>11</v>
      </c>
      <c r="CY4" s="35">
        <f t="shared" si="18"/>
        <v>0</v>
      </c>
      <c r="CZ4" s="35">
        <f t="shared" si="19"/>
        <v>19</v>
      </c>
      <c r="DA4" s="36">
        <f t="shared" si="20"/>
        <v>19</v>
      </c>
      <c r="DB4" s="37">
        <v>31</v>
      </c>
      <c r="DC4" s="35">
        <f t="shared" si="21"/>
        <v>12</v>
      </c>
      <c r="DD4" s="38"/>
      <c r="DE4" s="38"/>
    </row>
    <row r="5" spans="1:112" ht="30.75" customHeight="1" x14ac:dyDescent="0.4">
      <c r="A5" s="30" t="s">
        <v>7</v>
      </c>
      <c r="B5" s="31"/>
      <c r="C5" s="32"/>
      <c r="D5" s="33"/>
      <c r="E5" s="33"/>
      <c r="F5" s="34" t="s">
        <v>62</v>
      </c>
      <c r="G5" s="33"/>
      <c r="H5" s="33"/>
      <c r="I5" s="34" t="s">
        <v>63</v>
      </c>
      <c r="J5" s="33"/>
      <c r="K5" s="33"/>
      <c r="L5" s="34" t="s">
        <v>63</v>
      </c>
      <c r="M5" s="33"/>
      <c r="N5" s="33"/>
      <c r="O5" s="34" t="str">
        <f t="shared" si="0"/>
        <v>A</v>
      </c>
      <c r="P5" s="33"/>
      <c r="Q5" s="33"/>
      <c r="R5" s="34" t="str">
        <f t="shared" si="22"/>
        <v>A</v>
      </c>
      <c r="S5" s="33"/>
      <c r="T5" s="33"/>
      <c r="U5" s="34" t="str">
        <f t="shared" si="23"/>
        <v>A</v>
      </c>
      <c r="V5" s="33"/>
      <c r="W5" s="33"/>
      <c r="X5" s="34" t="s">
        <v>62</v>
      </c>
      <c r="Y5" s="33"/>
      <c r="Z5" s="33"/>
      <c r="AA5" s="34" t="str">
        <f t="shared" si="24"/>
        <v>A</v>
      </c>
      <c r="AB5" s="33"/>
      <c r="AC5" s="33"/>
      <c r="AD5" s="34" t="s">
        <v>63</v>
      </c>
      <c r="AE5" s="33"/>
      <c r="AF5" s="33"/>
      <c r="AG5" s="34" t="s">
        <v>63</v>
      </c>
      <c r="AH5" s="33"/>
      <c r="AI5" s="33"/>
      <c r="AJ5" s="34" t="str">
        <f t="shared" si="1"/>
        <v>A</v>
      </c>
      <c r="AK5" s="33"/>
      <c r="AL5" s="33"/>
      <c r="AM5" s="34" t="str">
        <f t="shared" si="25"/>
        <v>A</v>
      </c>
      <c r="AN5" s="33"/>
      <c r="AO5" s="33"/>
      <c r="AP5" s="34" t="str">
        <f t="shared" si="26"/>
        <v>A</v>
      </c>
      <c r="AQ5" s="33"/>
      <c r="AR5" s="33"/>
      <c r="AS5" s="34" t="str">
        <f t="shared" si="27"/>
        <v>A</v>
      </c>
      <c r="AT5" s="33"/>
      <c r="AU5" s="33"/>
      <c r="AV5" s="34" t="str">
        <f t="shared" si="2"/>
        <v>A</v>
      </c>
      <c r="AW5" s="33"/>
      <c r="AX5" s="33"/>
      <c r="AY5" s="34" t="s">
        <v>63</v>
      </c>
      <c r="AZ5" s="33"/>
      <c r="BA5" s="33"/>
      <c r="BB5" s="34" t="s">
        <v>63</v>
      </c>
      <c r="BC5" s="33"/>
      <c r="BD5" s="33"/>
      <c r="BE5" s="34" t="str">
        <f t="shared" si="3"/>
        <v>A</v>
      </c>
      <c r="BF5" s="33"/>
      <c r="BG5" s="33"/>
      <c r="BH5" s="34" t="str">
        <f t="shared" si="28"/>
        <v>A</v>
      </c>
      <c r="BI5" s="33"/>
      <c r="BJ5" s="33"/>
      <c r="BK5" s="34" t="str">
        <f t="shared" si="29"/>
        <v>A</v>
      </c>
      <c r="BL5" s="33"/>
      <c r="BM5" s="33"/>
      <c r="BN5" s="34" t="str">
        <f t="shared" si="4"/>
        <v>A</v>
      </c>
      <c r="BO5" s="33"/>
      <c r="BP5" s="33"/>
      <c r="BQ5" s="34" t="str">
        <f t="shared" si="5"/>
        <v>A</v>
      </c>
      <c r="BR5" s="33"/>
      <c r="BS5" s="33"/>
      <c r="BT5" s="34" t="s">
        <v>63</v>
      </c>
      <c r="BU5" s="33"/>
      <c r="BV5" s="33"/>
      <c r="BW5" s="34" t="s">
        <v>63</v>
      </c>
      <c r="BX5" s="33"/>
      <c r="BY5" s="33"/>
      <c r="BZ5" s="34" t="str">
        <f t="shared" si="6"/>
        <v>A</v>
      </c>
      <c r="CA5" s="33"/>
      <c r="CB5" s="34"/>
      <c r="CC5" s="34" t="str">
        <f t="shared" si="30"/>
        <v>A</v>
      </c>
      <c r="CD5" s="34"/>
      <c r="CE5" s="34"/>
      <c r="CF5" s="34" t="str">
        <f t="shared" si="31"/>
        <v>A</v>
      </c>
      <c r="CG5" s="34"/>
      <c r="CH5" s="34"/>
      <c r="CI5" s="34" t="str">
        <f t="shared" si="7"/>
        <v>A</v>
      </c>
      <c r="CJ5" s="34"/>
      <c r="CK5" s="34"/>
      <c r="CL5" s="34" t="str">
        <f t="shared" si="8"/>
        <v>A</v>
      </c>
      <c r="CM5" s="34"/>
      <c r="CN5" s="34"/>
      <c r="CO5" s="34" t="s">
        <v>63</v>
      </c>
      <c r="CP5" s="35">
        <f t="shared" si="9"/>
        <v>0</v>
      </c>
      <c r="CQ5" s="35">
        <f t="shared" si="10"/>
        <v>0</v>
      </c>
      <c r="CR5" s="35">
        <f t="shared" si="11"/>
        <v>0</v>
      </c>
      <c r="CS5" s="35">
        <f t="shared" si="12"/>
        <v>0</v>
      </c>
      <c r="CT5" s="35">
        <f t="shared" si="13"/>
        <v>0</v>
      </c>
      <c r="CU5" s="35">
        <f t="shared" si="14"/>
        <v>0</v>
      </c>
      <c r="CV5" s="35">
        <f t="shared" si="15"/>
        <v>0</v>
      </c>
      <c r="CW5" s="35">
        <f t="shared" si="16"/>
        <v>0</v>
      </c>
      <c r="CX5" s="35">
        <f t="shared" si="17"/>
        <v>11</v>
      </c>
      <c r="CY5" s="35">
        <f t="shared" si="18"/>
        <v>0</v>
      </c>
      <c r="CZ5" s="35">
        <f t="shared" si="19"/>
        <v>19</v>
      </c>
      <c r="DA5" s="36">
        <f t="shared" si="20"/>
        <v>19</v>
      </c>
      <c r="DB5" s="37">
        <v>31</v>
      </c>
      <c r="DC5" s="35">
        <f t="shared" si="21"/>
        <v>12</v>
      </c>
      <c r="DD5" s="38"/>
      <c r="DE5" s="38"/>
    </row>
    <row r="6" spans="1:112" ht="30.75" customHeight="1" x14ac:dyDescent="0.4">
      <c r="A6" s="30" t="s">
        <v>8</v>
      </c>
      <c r="B6" s="31"/>
      <c r="C6" s="32"/>
      <c r="D6" s="33"/>
      <c r="E6" s="33"/>
      <c r="F6" s="34" t="s">
        <v>62</v>
      </c>
      <c r="G6" s="33"/>
      <c r="H6" s="33"/>
      <c r="I6" s="34" t="s">
        <v>63</v>
      </c>
      <c r="J6" s="33"/>
      <c r="K6" s="33"/>
      <c r="L6" s="34" t="s">
        <v>63</v>
      </c>
      <c r="M6" s="33"/>
      <c r="N6" s="33"/>
      <c r="O6" s="34" t="str">
        <f t="shared" si="0"/>
        <v>A</v>
      </c>
      <c r="P6" s="33"/>
      <c r="Q6" s="33"/>
      <c r="R6" s="34" t="str">
        <f t="shared" si="22"/>
        <v>A</v>
      </c>
      <c r="S6" s="33"/>
      <c r="T6" s="33"/>
      <c r="U6" s="34" t="str">
        <f t="shared" si="23"/>
        <v>A</v>
      </c>
      <c r="V6" s="33"/>
      <c r="W6" s="33"/>
      <c r="X6" s="34" t="s">
        <v>62</v>
      </c>
      <c r="Y6" s="33"/>
      <c r="Z6" s="33"/>
      <c r="AA6" s="34" t="str">
        <f t="shared" si="24"/>
        <v>A</v>
      </c>
      <c r="AB6" s="33"/>
      <c r="AC6" s="33"/>
      <c r="AD6" s="34" t="s">
        <v>63</v>
      </c>
      <c r="AE6" s="33"/>
      <c r="AF6" s="33"/>
      <c r="AG6" s="34" t="s">
        <v>63</v>
      </c>
      <c r="AH6" s="33"/>
      <c r="AI6" s="33"/>
      <c r="AJ6" s="34" t="str">
        <f t="shared" si="1"/>
        <v>A</v>
      </c>
      <c r="AK6" s="33"/>
      <c r="AL6" s="33"/>
      <c r="AM6" s="34" t="str">
        <f t="shared" si="25"/>
        <v>A</v>
      </c>
      <c r="AN6" s="33"/>
      <c r="AO6" s="33"/>
      <c r="AP6" s="34" t="str">
        <f t="shared" si="26"/>
        <v>A</v>
      </c>
      <c r="AQ6" s="33"/>
      <c r="AR6" s="33"/>
      <c r="AS6" s="34" t="str">
        <f t="shared" si="27"/>
        <v>A</v>
      </c>
      <c r="AT6" s="33"/>
      <c r="AU6" s="33"/>
      <c r="AV6" s="34" t="str">
        <f t="shared" si="2"/>
        <v>A</v>
      </c>
      <c r="AW6" s="33"/>
      <c r="AX6" s="33"/>
      <c r="AY6" s="34" t="s">
        <v>63</v>
      </c>
      <c r="AZ6" s="33"/>
      <c r="BA6" s="33"/>
      <c r="BB6" s="34" t="s">
        <v>63</v>
      </c>
      <c r="BC6" s="33"/>
      <c r="BD6" s="33"/>
      <c r="BE6" s="34" t="str">
        <f t="shared" si="3"/>
        <v>A</v>
      </c>
      <c r="BF6" s="33"/>
      <c r="BG6" s="33"/>
      <c r="BH6" s="34" t="str">
        <f t="shared" si="28"/>
        <v>A</v>
      </c>
      <c r="BI6" s="33"/>
      <c r="BJ6" s="33"/>
      <c r="BK6" s="34" t="str">
        <f t="shared" si="29"/>
        <v>A</v>
      </c>
      <c r="BL6" s="33"/>
      <c r="BM6" s="33"/>
      <c r="BN6" s="34" t="str">
        <f t="shared" si="4"/>
        <v>A</v>
      </c>
      <c r="BO6" s="33"/>
      <c r="BP6" s="33"/>
      <c r="BQ6" s="34" t="str">
        <f t="shared" si="5"/>
        <v>A</v>
      </c>
      <c r="BR6" s="33"/>
      <c r="BS6" s="33"/>
      <c r="BT6" s="34" t="s">
        <v>63</v>
      </c>
      <c r="BU6" s="33"/>
      <c r="BV6" s="33"/>
      <c r="BW6" s="34" t="s">
        <v>63</v>
      </c>
      <c r="BX6" s="33"/>
      <c r="BY6" s="33"/>
      <c r="BZ6" s="34" t="str">
        <f t="shared" si="6"/>
        <v>A</v>
      </c>
      <c r="CA6" s="33"/>
      <c r="CB6" s="34"/>
      <c r="CC6" s="34" t="str">
        <f t="shared" si="30"/>
        <v>A</v>
      </c>
      <c r="CD6" s="34"/>
      <c r="CE6" s="34"/>
      <c r="CF6" s="34" t="str">
        <f t="shared" si="31"/>
        <v>A</v>
      </c>
      <c r="CG6" s="34"/>
      <c r="CH6" s="34"/>
      <c r="CI6" s="34" t="str">
        <f t="shared" si="7"/>
        <v>A</v>
      </c>
      <c r="CJ6" s="34"/>
      <c r="CK6" s="34"/>
      <c r="CL6" s="34" t="str">
        <f t="shared" si="8"/>
        <v>A</v>
      </c>
      <c r="CM6" s="34"/>
      <c r="CN6" s="34"/>
      <c r="CO6" s="34" t="s">
        <v>63</v>
      </c>
      <c r="CP6" s="35">
        <f t="shared" si="9"/>
        <v>0</v>
      </c>
      <c r="CQ6" s="35">
        <f t="shared" si="10"/>
        <v>0</v>
      </c>
      <c r="CR6" s="35">
        <f t="shared" si="11"/>
        <v>0</v>
      </c>
      <c r="CS6" s="35">
        <f t="shared" si="12"/>
        <v>0</v>
      </c>
      <c r="CT6" s="35">
        <f t="shared" si="13"/>
        <v>0</v>
      </c>
      <c r="CU6" s="35">
        <f t="shared" si="14"/>
        <v>0</v>
      </c>
      <c r="CV6" s="35">
        <f t="shared" si="15"/>
        <v>0</v>
      </c>
      <c r="CW6" s="35">
        <f t="shared" si="16"/>
        <v>0</v>
      </c>
      <c r="CX6" s="35">
        <f t="shared" si="17"/>
        <v>11</v>
      </c>
      <c r="CY6" s="35">
        <f t="shared" si="18"/>
        <v>0</v>
      </c>
      <c r="CZ6" s="35">
        <f t="shared" si="19"/>
        <v>19</v>
      </c>
      <c r="DA6" s="36">
        <f t="shared" si="20"/>
        <v>19</v>
      </c>
      <c r="DB6" s="37">
        <v>31</v>
      </c>
      <c r="DC6" s="35">
        <f t="shared" si="21"/>
        <v>12</v>
      </c>
      <c r="DD6" s="38"/>
      <c r="DE6" s="38"/>
    </row>
    <row r="7" spans="1:112" ht="30.75" customHeight="1" x14ac:dyDescent="0.4">
      <c r="A7" s="30" t="s">
        <v>9</v>
      </c>
      <c r="B7" s="31"/>
      <c r="C7" s="32"/>
      <c r="D7" s="33"/>
      <c r="E7" s="33"/>
      <c r="F7" s="34" t="s">
        <v>62</v>
      </c>
      <c r="G7" s="33"/>
      <c r="H7" s="33"/>
      <c r="I7" s="34" t="s">
        <v>63</v>
      </c>
      <c r="J7" s="33"/>
      <c r="K7" s="33"/>
      <c r="L7" s="34" t="s">
        <v>63</v>
      </c>
      <c r="M7" s="33"/>
      <c r="N7" s="33"/>
      <c r="O7" s="34" t="str">
        <f t="shared" si="0"/>
        <v>A</v>
      </c>
      <c r="P7" s="33"/>
      <c r="Q7" s="33"/>
      <c r="R7" s="34" t="str">
        <f t="shared" si="22"/>
        <v>A</v>
      </c>
      <c r="S7" s="33"/>
      <c r="T7" s="33"/>
      <c r="U7" s="34" t="str">
        <f t="shared" si="23"/>
        <v>A</v>
      </c>
      <c r="V7" s="33"/>
      <c r="W7" s="33"/>
      <c r="X7" s="34" t="s">
        <v>62</v>
      </c>
      <c r="Y7" s="33"/>
      <c r="Z7" s="33"/>
      <c r="AA7" s="34" t="str">
        <f t="shared" si="24"/>
        <v>A</v>
      </c>
      <c r="AB7" s="33"/>
      <c r="AC7" s="33"/>
      <c r="AD7" s="34" t="s">
        <v>63</v>
      </c>
      <c r="AE7" s="33"/>
      <c r="AF7" s="33"/>
      <c r="AG7" s="34" t="s">
        <v>63</v>
      </c>
      <c r="AH7" s="33"/>
      <c r="AI7" s="33"/>
      <c r="AJ7" s="34" t="str">
        <f t="shared" si="1"/>
        <v>A</v>
      </c>
      <c r="AK7" s="33"/>
      <c r="AL7" s="33"/>
      <c r="AM7" s="34" t="str">
        <f t="shared" si="25"/>
        <v>A</v>
      </c>
      <c r="AN7" s="33"/>
      <c r="AO7" s="33"/>
      <c r="AP7" s="34" t="str">
        <f t="shared" si="26"/>
        <v>A</v>
      </c>
      <c r="AQ7" s="33"/>
      <c r="AR7" s="33"/>
      <c r="AS7" s="34" t="str">
        <f t="shared" si="27"/>
        <v>A</v>
      </c>
      <c r="AT7" s="33"/>
      <c r="AU7" s="33"/>
      <c r="AV7" s="34" t="str">
        <f t="shared" si="2"/>
        <v>A</v>
      </c>
      <c r="AW7" s="33"/>
      <c r="AX7" s="33"/>
      <c r="AY7" s="34" t="s">
        <v>63</v>
      </c>
      <c r="AZ7" s="33"/>
      <c r="BA7" s="33"/>
      <c r="BB7" s="34" t="s">
        <v>63</v>
      </c>
      <c r="BC7" s="33"/>
      <c r="BD7" s="33"/>
      <c r="BE7" s="34" t="str">
        <f t="shared" si="3"/>
        <v>A</v>
      </c>
      <c r="BF7" s="33"/>
      <c r="BG7" s="33"/>
      <c r="BH7" s="34" t="str">
        <f t="shared" si="28"/>
        <v>A</v>
      </c>
      <c r="BI7" s="33"/>
      <c r="BJ7" s="33"/>
      <c r="BK7" s="34" t="str">
        <f t="shared" si="29"/>
        <v>A</v>
      </c>
      <c r="BL7" s="33"/>
      <c r="BM7" s="33"/>
      <c r="BN7" s="34" t="str">
        <f t="shared" si="4"/>
        <v>A</v>
      </c>
      <c r="BO7" s="33"/>
      <c r="BP7" s="33"/>
      <c r="BQ7" s="34" t="str">
        <f t="shared" si="5"/>
        <v>A</v>
      </c>
      <c r="BR7" s="33"/>
      <c r="BS7" s="33"/>
      <c r="BT7" s="34" t="s">
        <v>63</v>
      </c>
      <c r="BU7" s="33"/>
      <c r="BV7" s="33"/>
      <c r="BW7" s="34" t="s">
        <v>63</v>
      </c>
      <c r="BX7" s="33"/>
      <c r="BY7" s="33"/>
      <c r="BZ7" s="34" t="str">
        <f t="shared" si="6"/>
        <v>A</v>
      </c>
      <c r="CA7" s="33"/>
      <c r="CB7" s="34"/>
      <c r="CC7" s="34" t="str">
        <f t="shared" si="30"/>
        <v>A</v>
      </c>
      <c r="CD7" s="34"/>
      <c r="CE7" s="34"/>
      <c r="CF7" s="34" t="str">
        <f t="shared" si="31"/>
        <v>A</v>
      </c>
      <c r="CG7" s="34"/>
      <c r="CH7" s="34"/>
      <c r="CI7" s="34" t="str">
        <f t="shared" si="7"/>
        <v>A</v>
      </c>
      <c r="CJ7" s="34"/>
      <c r="CK7" s="34"/>
      <c r="CL7" s="34" t="str">
        <f t="shared" si="8"/>
        <v>A</v>
      </c>
      <c r="CM7" s="34"/>
      <c r="CN7" s="34"/>
      <c r="CO7" s="34" t="s">
        <v>63</v>
      </c>
      <c r="CP7" s="35">
        <f t="shared" si="9"/>
        <v>0</v>
      </c>
      <c r="CQ7" s="35">
        <f t="shared" si="10"/>
        <v>0</v>
      </c>
      <c r="CR7" s="35">
        <f t="shared" si="11"/>
        <v>0</v>
      </c>
      <c r="CS7" s="35">
        <f t="shared" si="12"/>
        <v>0</v>
      </c>
      <c r="CT7" s="35">
        <f t="shared" si="13"/>
        <v>0</v>
      </c>
      <c r="CU7" s="35">
        <f t="shared" si="14"/>
        <v>0</v>
      </c>
      <c r="CV7" s="35">
        <f t="shared" si="15"/>
        <v>0</v>
      </c>
      <c r="CW7" s="35">
        <f t="shared" si="16"/>
        <v>0</v>
      </c>
      <c r="CX7" s="35">
        <f t="shared" si="17"/>
        <v>11</v>
      </c>
      <c r="CY7" s="35">
        <f t="shared" si="18"/>
        <v>0</v>
      </c>
      <c r="CZ7" s="35">
        <f t="shared" si="19"/>
        <v>19</v>
      </c>
      <c r="DA7" s="36">
        <f t="shared" si="20"/>
        <v>19</v>
      </c>
      <c r="DB7" s="37">
        <v>31</v>
      </c>
      <c r="DC7" s="35">
        <f t="shared" si="21"/>
        <v>12</v>
      </c>
      <c r="DD7" s="38"/>
      <c r="DE7" s="38"/>
    </row>
    <row r="8" spans="1:112" ht="30.75" customHeight="1" x14ac:dyDescent="0.4">
      <c r="A8" s="30" t="s">
        <v>10</v>
      </c>
      <c r="B8" s="31"/>
      <c r="C8" s="32"/>
      <c r="D8" s="33"/>
      <c r="E8" s="33"/>
      <c r="F8" s="34" t="s">
        <v>62</v>
      </c>
      <c r="G8" s="33"/>
      <c r="H8" s="33"/>
      <c r="I8" s="34" t="s">
        <v>63</v>
      </c>
      <c r="J8" s="33"/>
      <c r="K8" s="33"/>
      <c r="L8" s="34" t="s">
        <v>63</v>
      </c>
      <c r="M8" s="33"/>
      <c r="N8" s="33"/>
      <c r="O8" s="34" t="str">
        <f t="shared" si="0"/>
        <v>A</v>
      </c>
      <c r="P8" s="33"/>
      <c r="Q8" s="33"/>
      <c r="R8" s="34" t="str">
        <f t="shared" si="22"/>
        <v>A</v>
      </c>
      <c r="S8" s="33"/>
      <c r="T8" s="33"/>
      <c r="U8" s="34" t="str">
        <f t="shared" si="23"/>
        <v>A</v>
      </c>
      <c r="V8" s="33"/>
      <c r="W8" s="33"/>
      <c r="X8" s="34" t="s">
        <v>62</v>
      </c>
      <c r="Y8" s="33"/>
      <c r="Z8" s="33"/>
      <c r="AA8" s="34" t="str">
        <f t="shared" si="24"/>
        <v>A</v>
      </c>
      <c r="AB8" s="33"/>
      <c r="AC8" s="33"/>
      <c r="AD8" s="34" t="s">
        <v>63</v>
      </c>
      <c r="AE8" s="33"/>
      <c r="AF8" s="33"/>
      <c r="AG8" s="34" t="s">
        <v>63</v>
      </c>
      <c r="AH8" s="33"/>
      <c r="AI8" s="33"/>
      <c r="AJ8" s="34" t="str">
        <f t="shared" si="1"/>
        <v>A</v>
      </c>
      <c r="AK8" s="33"/>
      <c r="AL8" s="33"/>
      <c r="AM8" s="34" t="str">
        <f t="shared" si="25"/>
        <v>A</v>
      </c>
      <c r="AN8" s="33"/>
      <c r="AO8" s="33"/>
      <c r="AP8" s="34" t="str">
        <f t="shared" si="26"/>
        <v>A</v>
      </c>
      <c r="AQ8" s="33"/>
      <c r="AR8" s="33"/>
      <c r="AS8" s="34" t="str">
        <f t="shared" si="27"/>
        <v>A</v>
      </c>
      <c r="AT8" s="33"/>
      <c r="AU8" s="33"/>
      <c r="AV8" s="34" t="str">
        <f t="shared" si="2"/>
        <v>A</v>
      </c>
      <c r="AW8" s="33"/>
      <c r="AX8" s="33"/>
      <c r="AY8" s="34" t="s">
        <v>63</v>
      </c>
      <c r="AZ8" s="33"/>
      <c r="BA8" s="33"/>
      <c r="BB8" s="34" t="s">
        <v>63</v>
      </c>
      <c r="BC8" s="33"/>
      <c r="BD8" s="33"/>
      <c r="BE8" s="34" t="str">
        <f t="shared" si="3"/>
        <v>A</v>
      </c>
      <c r="BF8" s="33"/>
      <c r="BG8" s="33"/>
      <c r="BH8" s="34" t="str">
        <f t="shared" si="28"/>
        <v>A</v>
      </c>
      <c r="BI8" s="33"/>
      <c r="BJ8" s="33"/>
      <c r="BK8" s="34" t="str">
        <f t="shared" si="29"/>
        <v>A</v>
      </c>
      <c r="BL8" s="33"/>
      <c r="BM8" s="33"/>
      <c r="BN8" s="34" t="str">
        <f t="shared" si="4"/>
        <v>A</v>
      </c>
      <c r="BO8" s="33"/>
      <c r="BP8" s="33"/>
      <c r="BQ8" s="34" t="str">
        <f t="shared" si="5"/>
        <v>A</v>
      </c>
      <c r="BR8" s="33"/>
      <c r="BS8" s="33"/>
      <c r="BT8" s="34" t="s">
        <v>63</v>
      </c>
      <c r="BU8" s="33"/>
      <c r="BV8" s="33"/>
      <c r="BW8" s="34" t="s">
        <v>63</v>
      </c>
      <c r="BX8" s="33"/>
      <c r="BY8" s="33"/>
      <c r="BZ8" s="34" t="str">
        <f t="shared" si="6"/>
        <v>A</v>
      </c>
      <c r="CA8" s="33"/>
      <c r="CB8" s="34"/>
      <c r="CC8" s="34" t="str">
        <f t="shared" si="30"/>
        <v>A</v>
      </c>
      <c r="CD8" s="34"/>
      <c r="CE8" s="34"/>
      <c r="CF8" s="34" t="str">
        <f t="shared" si="31"/>
        <v>A</v>
      </c>
      <c r="CG8" s="34"/>
      <c r="CH8" s="34"/>
      <c r="CI8" s="34" t="str">
        <f t="shared" si="7"/>
        <v>A</v>
      </c>
      <c r="CJ8" s="34"/>
      <c r="CK8" s="34"/>
      <c r="CL8" s="34" t="str">
        <f t="shared" si="8"/>
        <v>A</v>
      </c>
      <c r="CM8" s="34"/>
      <c r="CN8" s="34"/>
      <c r="CO8" s="34" t="s">
        <v>63</v>
      </c>
      <c r="CP8" s="35">
        <f t="shared" si="9"/>
        <v>0</v>
      </c>
      <c r="CQ8" s="35">
        <f t="shared" si="10"/>
        <v>0</v>
      </c>
      <c r="CR8" s="35">
        <f t="shared" si="11"/>
        <v>0</v>
      </c>
      <c r="CS8" s="35">
        <f t="shared" si="12"/>
        <v>0</v>
      </c>
      <c r="CT8" s="35">
        <f t="shared" si="13"/>
        <v>0</v>
      </c>
      <c r="CU8" s="35">
        <f t="shared" si="14"/>
        <v>0</v>
      </c>
      <c r="CV8" s="35">
        <f t="shared" si="15"/>
        <v>0</v>
      </c>
      <c r="CW8" s="35">
        <f t="shared" si="16"/>
        <v>0</v>
      </c>
      <c r="CX8" s="35">
        <f t="shared" si="17"/>
        <v>11</v>
      </c>
      <c r="CY8" s="35">
        <f t="shared" si="18"/>
        <v>0</v>
      </c>
      <c r="CZ8" s="35">
        <f t="shared" si="19"/>
        <v>19</v>
      </c>
      <c r="DA8" s="36">
        <f t="shared" si="20"/>
        <v>19</v>
      </c>
      <c r="DB8" s="37">
        <v>31</v>
      </c>
      <c r="DC8" s="35">
        <f t="shared" si="21"/>
        <v>12</v>
      </c>
      <c r="DD8" s="38"/>
      <c r="DE8" s="38"/>
    </row>
    <row r="9" spans="1:112" ht="30.75" customHeight="1" x14ac:dyDescent="0.4">
      <c r="A9" s="30" t="s">
        <v>11</v>
      </c>
      <c r="B9" s="31"/>
      <c r="C9" s="32"/>
      <c r="D9" s="33"/>
      <c r="E9" s="33"/>
      <c r="F9" s="34" t="s">
        <v>62</v>
      </c>
      <c r="G9" s="33"/>
      <c r="H9" s="33"/>
      <c r="I9" s="34" t="s">
        <v>63</v>
      </c>
      <c r="J9" s="33"/>
      <c r="K9" s="33"/>
      <c r="L9" s="34" t="s">
        <v>63</v>
      </c>
      <c r="M9" s="33"/>
      <c r="N9" s="33"/>
      <c r="O9" s="34" t="str">
        <f t="shared" si="0"/>
        <v>A</v>
      </c>
      <c r="P9" s="33"/>
      <c r="Q9" s="33"/>
      <c r="R9" s="34" t="str">
        <f t="shared" si="22"/>
        <v>A</v>
      </c>
      <c r="S9" s="33"/>
      <c r="T9" s="33"/>
      <c r="U9" s="34" t="str">
        <f t="shared" si="23"/>
        <v>A</v>
      </c>
      <c r="V9" s="33"/>
      <c r="W9" s="33"/>
      <c r="X9" s="34" t="s">
        <v>62</v>
      </c>
      <c r="Y9" s="33"/>
      <c r="Z9" s="33"/>
      <c r="AA9" s="34" t="str">
        <f t="shared" si="24"/>
        <v>A</v>
      </c>
      <c r="AB9" s="33"/>
      <c r="AC9" s="33"/>
      <c r="AD9" s="34" t="s">
        <v>63</v>
      </c>
      <c r="AE9" s="33"/>
      <c r="AF9" s="33"/>
      <c r="AG9" s="34" t="s">
        <v>63</v>
      </c>
      <c r="AH9" s="33"/>
      <c r="AI9" s="33"/>
      <c r="AJ9" s="34" t="str">
        <f t="shared" si="1"/>
        <v>A</v>
      </c>
      <c r="AK9" s="33"/>
      <c r="AL9" s="33"/>
      <c r="AM9" s="34" t="str">
        <f t="shared" si="25"/>
        <v>A</v>
      </c>
      <c r="AN9" s="33"/>
      <c r="AO9" s="33"/>
      <c r="AP9" s="34" t="str">
        <f t="shared" si="26"/>
        <v>A</v>
      </c>
      <c r="AQ9" s="33"/>
      <c r="AR9" s="33"/>
      <c r="AS9" s="34" t="str">
        <f t="shared" si="27"/>
        <v>A</v>
      </c>
      <c r="AT9" s="33"/>
      <c r="AU9" s="33"/>
      <c r="AV9" s="34" t="str">
        <f t="shared" si="2"/>
        <v>A</v>
      </c>
      <c r="AW9" s="33"/>
      <c r="AX9" s="33"/>
      <c r="AY9" s="34" t="s">
        <v>63</v>
      </c>
      <c r="AZ9" s="33"/>
      <c r="BA9" s="33"/>
      <c r="BB9" s="34" t="s">
        <v>63</v>
      </c>
      <c r="BC9" s="33"/>
      <c r="BD9" s="33"/>
      <c r="BE9" s="34" t="str">
        <f t="shared" si="3"/>
        <v>A</v>
      </c>
      <c r="BF9" s="33"/>
      <c r="BG9" s="33"/>
      <c r="BH9" s="34" t="str">
        <f t="shared" si="28"/>
        <v>A</v>
      </c>
      <c r="BI9" s="33"/>
      <c r="BJ9" s="33"/>
      <c r="BK9" s="34" t="str">
        <f t="shared" si="29"/>
        <v>A</v>
      </c>
      <c r="BL9" s="33"/>
      <c r="BM9" s="33"/>
      <c r="BN9" s="34" t="str">
        <f t="shared" si="4"/>
        <v>A</v>
      </c>
      <c r="BO9" s="33"/>
      <c r="BP9" s="33"/>
      <c r="BQ9" s="34" t="str">
        <f t="shared" si="5"/>
        <v>A</v>
      </c>
      <c r="BR9" s="33"/>
      <c r="BS9" s="33"/>
      <c r="BT9" s="34" t="s">
        <v>63</v>
      </c>
      <c r="BU9" s="33"/>
      <c r="BV9" s="33"/>
      <c r="BW9" s="34" t="s">
        <v>63</v>
      </c>
      <c r="BX9" s="33"/>
      <c r="BY9" s="33"/>
      <c r="BZ9" s="34" t="str">
        <f t="shared" si="6"/>
        <v>A</v>
      </c>
      <c r="CA9" s="33"/>
      <c r="CB9" s="34"/>
      <c r="CC9" s="34" t="str">
        <f t="shared" si="30"/>
        <v>A</v>
      </c>
      <c r="CD9" s="34"/>
      <c r="CE9" s="34"/>
      <c r="CF9" s="34" t="str">
        <f t="shared" si="31"/>
        <v>A</v>
      </c>
      <c r="CG9" s="34"/>
      <c r="CH9" s="34"/>
      <c r="CI9" s="34" t="str">
        <f t="shared" si="7"/>
        <v>A</v>
      </c>
      <c r="CJ9" s="34"/>
      <c r="CK9" s="34"/>
      <c r="CL9" s="34" t="str">
        <f t="shared" si="8"/>
        <v>A</v>
      </c>
      <c r="CM9" s="34"/>
      <c r="CN9" s="34"/>
      <c r="CO9" s="34" t="s">
        <v>63</v>
      </c>
      <c r="CP9" s="35">
        <f t="shared" si="9"/>
        <v>0</v>
      </c>
      <c r="CQ9" s="35">
        <f t="shared" si="10"/>
        <v>0</v>
      </c>
      <c r="CR9" s="35">
        <f t="shared" si="11"/>
        <v>0</v>
      </c>
      <c r="CS9" s="35">
        <f t="shared" si="12"/>
        <v>0</v>
      </c>
      <c r="CT9" s="35">
        <f t="shared" si="13"/>
        <v>0</v>
      </c>
      <c r="CU9" s="35">
        <f t="shared" si="14"/>
        <v>0</v>
      </c>
      <c r="CV9" s="35">
        <f t="shared" si="15"/>
        <v>0</v>
      </c>
      <c r="CW9" s="35">
        <f t="shared" si="16"/>
        <v>0</v>
      </c>
      <c r="CX9" s="35">
        <f t="shared" si="17"/>
        <v>11</v>
      </c>
      <c r="CY9" s="35">
        <f t="shared" si="18"/>
        <v>0</v>
      </c>
      <c r="CZ9" s="35">
        <f t="shared" si="19"/>
        <v>19</v>
      </c>
      <c r="DA9" s="36">
        <f t="shared" si="20"/>
        <v>19</v>
      </c>
      <c r="DB9" s="37">
        <v>31</v>
      </c>
      <c r="DC9" s="35">
        <f t="shared" si="21"/>
        <v>12</v>
      </c>
      <c r="DD9" s="38"/>
      <c r="DE9" s="38"/>
    </row>
    <row r="10" spans="1:112" ht="30.75" customHeight="1" x14ac:dyDescent="0.4">
      <c r="A10" s="30" t="s">
        <v>21</v>
      </c>
      <c r="B10" s="31"/>
      <c r="C10" s="32"/>
      <c r="D10" s="33"/>
      <c r="E10" s="33"/>
      <c r="F10" s="34" t="s">
        <v>62</v>
      </c>
      <c r="G10" s="33"/>
      <c r="H10" s="33"/>
      <c r="I10" s="34" t="s">
        <v>63</v>
      </c>
      <c r="J10" s="33"/>
      <c r="K10" s="33"/>
      <c r="L10" s="34" t="s">
        <v>63</v>
      </c>
      <c r="M10" s="33"/>
      <c r="N10" s="33"/>
      <c r="O10" s="34" t="str">
        <f t="shared" si="0"/>
        <v>A</v>
      </c>
      <c r="P10" s="33"/>
      <c r="Q10" s="33"/>
      <c r="R10" s="34" t="str">
        <f t="shared" si="22"/>
        <v>A</v>
      </c>
      <c r="S10" s="33"/>
      <c r="T10" s="33"/>
      <c r="U10" s="34" t="str">
        <f t="shared" si="23"/>
        <v>A</v>
      </c>
      <c r="V10" s="33"/>
      <c r="W10" s="33"/>
      <c r="X10" s="34" t="s">
        <v>62</v>
      </c>
      <c r="Y10" s="33"/>
      <c r="Z10" s="33"/>
      <c r="AA10" s="34" t="str">
        <f t="shared" si="24"/>
        <v>A</v>
      </c>
      <c r="AB10" s="33"/>
      <c r="AC10" s="33"/>
      <c r="AD10" s="34" t="s">
        <v>63</v>
      </c>
      <c r="AE10" s="33"/>
      <c r="AF10" s="33"/>
      <c r="AG10" s="34" t="s">
        <v>63</v>
      </c>
      <c r="AH10" s="33"/>
      <c r="AI10" s="33"/>
      <c r="AJ10" s="34" t="str">
        <f t="shared" si="1"/>
        <v>A</v>
      </c>
      <c r="AK10" s="33"/>
      <c r="AL10" s="33"/>
      <c r="AM10" s="34" t="str">
        <f t="shared" si="25"/>
        <v>A</v>
      </c>
      <c r="AN10" s="33"/>
      <c r="AO10" s="33"/>
      <c r="AP10" s="34" t="str">
        <f t="shared" si="26"/>
        <v>A</v>
      </c>
      <c r="AQ10" s="33"/>
      <c r="AR10" s="33"/>
      <c r="AS10" s="34" t="str">
        <f t="shared" si="27"/>
        <v>A</v>
      </c>
      <c r="AT10" s="33"/>
      <c r="AU10" s="33"/>
      <c r="AV10" s="34" t="str">
        <f t="shared" si="2"/>
        <v>A</v>
      </c>
      <c r="AW10" s="33"/>
      <c r="AX10" s="33"/>
      <c r="AY10" s="34" t="s">
        <v>63</v>
      </c>
      <c r="AZ10" s="33"/>
      <c r="BA10" s="33"/>
      <c r="BB10" s="34" t="s">
        <v>63</v>
      </c>
      <c r="BC10" s="33"/>
      <c r="BD10" s="33"/>
      <c r="BE10" s="34" t="str">
        <f t="shared" si="3"/>
        <v>A</v>
      </c>
      <c r="BF10" s="33"/>
      <c r="BG10" s="33"/>
      <c r="BH10" s="34" t="str">
        <f t="shared" si="28"/>
        <v>A</v>
      </c>
      <c r="BI10" s="33"/>
      <c r="BJ10" s="33"/>
      <c r="BK10" s="34" t="str">
        <f t="shared" si="29"/>
        <v>A</v>
      </c>
      <c r="BL10" s="33"/>
      <c r="BM10" s="33"/>
      <c r="BN10" s="34" t="str">
        <f t="shared" si="4"/>
        <v>A</v>
      </c>
      <c r="BO10" s="33"/>
      <c r="BP10" s="33"/>
      <c r="BQ10" s="34" t="str">
        <f t="shared" si="5"/>
        <v>A</v>
      </c>
      <c r="BR10" s="33"/>
      <c r="BS10" s="33"/>
      <c r="BT10" s="34" t="s">
        <v>63</v>
      </c>
      <c r="BU10" s="33"/>
      <c r="BV10" s="33"/>
      <c r="BW10" s="34" t="s">
        <v>63</v>
      </c>
      <c r="BX10" s="33"/>
      <c r="BY10" s="33"/>
      <c r="BZ10" s="34" t="str">
        <f t="shared" si="6"/>
        <v>A</v>
      </c>
      <c r="CA10" s="33"/>
      <c r="CB10" s="34"/>
      <c r="CC10" s="34" t="str">
        <f t="shared" si="30"/>
        <v>A</v>
      </c>
      <c r="CD10" s="34"/>
      <c r="CE10" s="34"/>
      <c r="CF10" s="34" t="str">
        <f t="shared" si="31"/>
        <v>A</v>
      </c>
      <c r="CG10" s="34"/>
      <c r="CH10" s="34"/>
      <c r="CI10" s="34" t="str">
        <f t="shared" si="7"/>
        <v>A</v>
      </c>
      <c r="CJ10" s="34"/>
      <c r="CK10" s="34"/>
      <c r="CL10" s="34" t="str">
        <f t="shared" si="8"/>
        <v>A</v>
      </c>
      <c r="CM10" s="34"/>
      <c r="CN10" s="34"/>
      <c r="CO10" s="34" t="s">
        <v>63</v>
      </c>
      <c r="CP10" s="35">
        <f t="shared" si="9"/>
        <v>0</v>
      </c>
      <c r="CQ10" s="35">
        <f t="shared" si="10"/>
        <v>0</v>
      </c>
      <c r="CR10" s="35">
        <f t="shared" si="11"/>
        <v>0</v>
      </c>
      <c r="CS10" s="35">
        <f t="shared" si="12"/>
        <v>0</v>
      </c>
      <c r="CT10" s="35">
        <f t="shared" si="13"/>
        <v>0</v>
      </c>
      <c r="CU10" s="35">
        <f t="shared" si="14"/>
        <v>0</v>
      </c>
      <c r="CV10" s="35">
        <f t="shared" si="15"/>
        <v>0</v>
      </c>
      <c r="CW10" s="35">
        <f t="shared" si="16"/>
        <v>0</v>
      </c>
      <c r="CX10" s="35">
        <f t="shared" si="17"/>
        <v>11</v>
      </c>
      <c r="CY10" s="35">
        <f t="shared" si="18"/>
        <v>0</v>
      </c>
      <c r="CZ10" s="35">
        <f t="shared" si="19"/>
        <v>19</v>
      </c>
      <c r="DA10" s="36">
        <f t="shared" si="20"/>
        <v>19</v>
      </c>
      <c r="DB10" s="37">
        <v>31</v>
      </c>
      <c r="DC10" s="35">
        <f t="shared" si="21"/>
        <v>12</v>
      </c>
      <c r="DD10" s="38"/>
      <c r="DE10" s="38"/>
    </row>
    <row r="11" spans="1:112" ht="30.75" customHeight="1" x14ac:dyDescent="0.4">
      <c r="A11" s="30" t="s">
        <v>22</v>
      </c>
      <c r="B11" s="31"/>
      <c r="C11" s="32"/>
      <c r="D11" s="33"/>
      <c r="E11" s="33"/>
      <c r="F11" s="34" t="s">
        <v>62</v>
      </c>
      <c r="G11" s="33"/>
      <c r="H11" s="33"/>
      <c r="I11" s="34" t="s">
        <v>63</v>
      </c>
      <c r="J11" s="33"/>
      <c r="K11" s="33"/>
      <c r="L11" s="34" t="s">
        <v>63</v>
      </c>
      <c r="M11" s="33"/>
      <c r="N11" s="33"/>
      <c r="O11" s="34" t="str">
        <f t="shared" si="0"/>
        <v>A</v>
      </c>
      <c r="P11" s="33"/>
      <c r="Q11" s="33"/>
      <c r="R11" s="34" t="str">
        <f t="shared" si="22"/>
        <v>A</v>
      </c>
      <c r="S11" s="33"/>
      <c r="T11" s="33"/>
      <c r="U11" s="34" t="str">
        <f t="shared" si="23"/>
        <v>A</v>
      </c>
      <c r="V11" s="33"/>
      <c r="W11" s="33"/>
      <c r="X11" s="34" t="s">
        <v>62</v>
      </c>
      <c r="Y11" s="33"/>
      <c r="Z11" s="33"/>
      <c r="AA11" s="34" t="str">
        <f t="shared" si="24"/>
        <v>A</v>
      </c>
      <c r="AB11" s="33"/>
      <c r="AC11" s="33"/>
      <c r="AD11" s="34" t="s">
        <v>63</v>
      </c>
      <c r="AE11" s="33"/>
      <c r="AF11" s="33"/>
      <c r="AG11" s="34" t="s">
        <v>63</v>
      </c>
      <c r="AH11" s="33"/>
      <c r="AI11" s="33"/>
      <c r="AJ11" s="34" t="str">
        <f t="shared" si="1"/>
        <v>A</v>
      </c>
      <c r="AK11" s="33"/>
      <c r="AL11" s="33"/>
      <c r="AM11" s="34" t="str">
        <f t="shared" si="25"/>
        <v>A</v>
      </c>
      <c r="AN11" s="33"/>
      <c r="AO11" s="33"/>
      <c r="AP11" s="34" t="str">
        <f t="shared" si="26"/>
        <v>A</v>
      </c>
      <c r="AQ11" s="33"/>
      <c r="AR11" s="33"/>
      <c r="AS11" s="34" t="str">
        <f t="shared" si="27"/>
        <v>A</v>
      </c>
      <c r="AT11" s="33"/>
      <c r="AU11" s="33"/>
      <c r="AV11" s="34" t="str">
        <f t="shared" si="2"/>
        <v>A</v>
      </c>
      <c r="AW11" s="33"/>
      <c r="AX11" s="33"/>
      <c r="AY11" s="34" t="s">
        <v>63</v>
      </c>
      <c r="AZ11" s="33"/>
      <c r="BA11" s="33"/>
      <c r="BB11" s="34" t="s">
        <v>63</v>
      </c>
      <c r="BC11" s="33"/>
      <c r="BD11" s="33"/>
      <c r="BE11" s="34" t="str">
        <f t="shared" si="3"/>
        <v>A</v>
      </c>
      <c r="BF11" s="33"/>
      <c r="BG11" s="33"/>
      <c r="BH11" s="34" t="str">
        <f t="shared" si="28"/>
        <v>A</v>
      </c>
      <c r="BI11" s="33"/>
      <c r="BJ11" s="33"/>
      <c r="BK11" s="34" t="str">
        <f t="shared" si="29"/>
        <v>A</v>
      </c>
      <c r="BL11" s="33"/>
      <c r="BM11" s="33"/>
      <c r="BN11" s="34" t="str">
        <f t="shared" si="4"/>
        <v>A</v>
      </c>
      <c r="BO11" s="33"/>
      <c r="BP11" s="33"/>
      <c r="BQ11" s="34" t="str">
        <f t="shared" si="5"/>
        <v>A</v>
      </c>
      <c r="BR11" s="33"/>
      <c r="BS11" s="33"/>
      <c r="BT11" s="34" t="s">
        <v>63</v>
      </c>
      <c r="BU11" s="33"/>
      <c r="BV11" s="33"/>
      <c r="BW11" s="34" t="s">
        <v>63</v>
      </c>
      <c r="BX11" s="33"/>
      <c r="BY11" s="33"/>
      <c r="BZ11" s="34" t="str">
        <f t="shared" si="6"/>
        <v>A</v>
      </c>
      <c r="CA11" s="33"/>
      <c r="CB11" s="34"/>
      <c r="CC11" s="34" t="str">
        <f t="shared" si="30"/>
        <v>A</v>
      </c>
      <c r="CD11" s="34"/>
      <c r="CE11" s="34"/>
      <c r="CF11" s="34" t="str">
        <f t="shared" si="31"/>
        <v>A</v>
      </c>
      <c r="CG11" s="34"/>
      <c r="CH11" s="34"/>
      <c r="CI11" s="34" t="str">
        <f t="shared" si="7"/>
        <v>A</v>
      </c>
      <c r="CJ11" s="34"/>
      <c r="CK11" s="34"/>
      <c r="CL11" s="34" t="str">
        <f t="shared" si="8"/>
        <v>A</v>
      </c>
      <c r="CM11" s="34"/>
      <c r="CN11" s="34"/>
      <c r="CO11" s="34" t="s">
        <v>63</v>
      </c>
      <c r="CP11" s="35">
        <f t="shared" si="9"/>
        <v>0</v>
      </c>
      <c r="CQ11" s="35">
        <f t="shared" si="10"/>
        <v>0</v>
      </c>
      <c r="CR11" s="35">
        <f t="shared" si="11"/>
        <v>0</v>
      </c>
      <c r="CS11" s="35">
        <f t="shared" si="12"/>
        <v>0</v>
      </c>
      <c r="CT11" s="35">
        <f t="shared" si="13"/>
        <v>0</v>
      </c>
      <c r="CU11" s="35">
        <f t="shared" si="14"/>
        <v>0</v>
      </c>
      <c r="CV11" s="35">
        <f t="shared" si="15"/>
        <v>0</v>
      </c>
      <c r="CW11" s="35">
        <f t="shared" si="16"/>
        <v>0</v>
      </c>
      <c r="CX11" s="35">
        <f t="shared" si="17"/>
        <v>11</v>
      </c>
      <c r="CY11" s="35">
        <f t="shared" si="18"/>
        <v>0</v>
      </c>
      <c r="CZ11" s="35">
        <f t="shared" si="19"/>
        <v>19</v>
      </c>
      <c r="DA11" s="36">
        <f t="shared" si="20"/>
        <v>19</v>
      </c>
      <c r="DB11" s="37">
        <v>31</v>
      </c>
      <c r="DC11" s="35">
        <f t="shared" si="21"/>
        <v>12</v>
      </c>
      <c r="DD11" s="38"/>
      <c r="DE11" s="38"/>
    </row>
    <row r="12" spans="1:112" ht="30.75" customHeight="1" x14ac:dyDescent="0.4">
      <c r="A12" s="30" t="s">
        <v>23</v>
      </c>
      <c r="B12" s="31"/>
      <c r="C12" s="32"/>
      <c r="D12" s="33"/>
      <c r="E12" s="33"/>
      <c r="F12" s="34" t="s">
        <v>62</v>
      </c>
      <c r="G12" s="33"/>
      <c r="H12" s="33"/>
      <c r="I12" s="34" t="s">
        <v>63</v>
      </c>
      <c r="J12" s="33"/>
      <c r="K12" s="33"/>
      <c r="L12" s="34" t="s">
        <v>63</v>
      </c>
      <c r="M12" s="33"/>
      <c r="N12" s="33"/>
      <c r="O12" s="34" t="str">
        <f t="shared" si="0"/>
        <v>A</v>
      </c>
      <c r="P12" s="33"/>
      <c r="Q12" s="33"/>
      <c r="R12" s="34" t="str">
        <f t="shared" si="22"/>
        <v>A</v>
      </c>
      <c r="S12" s="33"/>
      <c r="T12" s="33"/>
      <c r="U12" s="34" t="str">
        <f t="shared" si="23"/>
        <v>A</v>
      </c>
      <c r="V12" s="33"/>
      <c r="W12" s="33"/>
      <c r="X12" s="34" t="s">
        <v>62</v>
      </c>
      <c r="Y12" s="33"/>
      <c r="Z12" s="33"/>
      <c r="AA12" s="34" t="str">
        <f t="shared" si="24"/>
        <v>A</v>
      </c>
      <c r="AB12" s="33"/>
      <c r="AC12" s="33"/>
      <c r="AD12" s="34" t="s">
        <v>63</v>
      </c>
      <c r="AE12" s="33"/>
      <c r="AF12" s="33"/>
      <c r="AG12" s="34" t="s">
        <v>63</v>
      </c>
      <c r="AH12" s="33"/>
      <c r="AI12" s="33"/>
      <c r="AJ12" s="34" t="str">
        <f t="shared" si="1"/>
        <v>A</v>
      </c>
      <c r="AK12" s="33"/>
      <c r="AL12" s="33"/>
      <c r="AM12" s="34" t="str">
        <f t="shared" si="25"/>
        <v>A</v>
      </c>
      <c r="AN12" s="33"/>
      <c r="AO12" s="33"/>
      <c r="AP12" s="34" t="str">
        <f t="shared" si="26"/>
        <v>A</v>
      </c>
      <c r="AQ12" s="33"/>
      <c r="AR12" s="33"/>
      <c r="AS12" s="34" t="str">
        <f t="shared" si="27"/>
        <v>A</v>
      </c>
      <c r="AT12" s="33"/>
      <c r="AU12" s="33"/>
      <c r="AV12" s="34" t="str">
        <f t="shared" si="2"/>
        <v>A</v>
      </c>
      <c r="AW12" s="33"/>
      <c r="AX12" s="33"/>
      <c r="AY12" s="34" t="s">
        <v>63</v>
      </c>
      <c r="AZ12" s="33"/>
      <c r="BA12" s="33"/>
      <c r="BB12" s="34" t="s">
        <v>63</v>
      </c>
      <c r="BC12" s="33"/>
      <c r="BD12" s="33"/>
      <c r="BE12" s="34" t="str">
        <f t="shared" si="3"/>
        <v>A</v>
      </c>
      <c r="BF12" s="33"/>
      <c r="BG12" s="33"/>
      <c r="BH12" s="34" t="str">
        <f t="shared" si="28"/>
        <v>A</v>
      </c>
      <c r="BI12" s="33"/>
      <c r="BJ12" s="33"/>
      <c r="BK12" s="34" t="str">
        <f t="shared" si="29"/>
        <v>A</v>
      </c>
      <c r="BL12" s="33"/>
      <c r="BM12" s="33"/>
      <c r="BN12" s="34" t="str">
        <f t="shared" si="4"/>
        <v>A</v>
      </c>
      <c r="BO12" s="33"/>
      <c r="BP12" s="33"/>
      <c r="BQ12" s="34" t="str">
        <f t="shared" si="5"/>
        <v>A</v>
      </c>
      <c r="BR12" s="33"/>
      <c r="BS12" s="33"/>
      <c r="BT12" s="34" t="s">
        <v>63</v>
      </c>
      <c r="BU12" s="33"/>
      <c r="BV12" s="33"/>
      <c r="BW12" s="34" t="s">
        <v>63</v>
      </c>
      <c r="BX12" s="33"/>
      <c r="BY12" s="33"/>
      <c r="BZ12" s="34" t="str">
        <f t="shared" si="6"/>
        <v>A</v>
      </c>
      <c r="CA12" s="33"/>
      <c r="CB12" s="34"/>
      <c r="CC12" s="34" t="str">
        <f t="shared" si="30"/>
        <v>A</v>
      </c>
      <c r="CD12" s="34"/>
      <c r="CE12" s="34"/>
      <c r="CF12" s="34" t="str">
        <f t="shared" si="31"/>
        <v>A</v>
      </c>
      <c r="CG12" s="34"/>
      <c r="CH12" s="34"/>
      <c r="CI12" s="34" t="str">
        <f t="shared" si="7"/>
        <v>A</v>
      </c>
      <c r="CJ12" s="34"/>
      <c r="CK12" s="34"/>
      <c r="CL12" s="34" t="str">
        <f t="shared" si="8"/>
        <v>A</v>
      </c>
      <c r="CM12" s="34"/>
      <c r="CN12" s="34"/>
      <c r="CO12" s="34" t="s">
        <v>63</v>
      </c>
      <c r="CP12" s="35">
        <f t="shared" si="9"/>
        <v>0</v>
      </c>
      <c r="CQ12" s="35">
        <f t="shared" si="10"/>
        <v>0</v>
      </c>
      <c r="CR12" s="35">
        <f t="shared" si="11"/>
        <v>0</v>
      </c>
      <c r="CS12" s="35">
        <f t="shared" si="12"/>
        <v>0</v>
      </c>
      <c r="CT12" s="35">
        <f t="shared" si="13"/>
        <v>0</v>
      </c>
      <c r="CU12" s="35">
        <f t="shared" si="14"/>
        <v>0</v>
      </c>
      <c r="CV12" s="35">
        <f t="shared" si="15"/>
        <v>0</v>
      </c>
      <c r="CW12" s="35">
        <f t="shared" si="16"/>
        <v>0</v>
      </c>
      <c r="CX12" s="35">
        <f t="shared" si="17"/>
        <v>11</v>
      </c>
      <c r="CY12" s="35">
        <f t="shared" si="18"/>
        <v>0</v>
      </c>
      <c r="CZ12" s="35">
        <f t="shared" si="19"/>
        <v>19</v>
      </c>
      <c r="DA12" s="36">
        <f t="shared" si="20"/>
        <v>19</v>
      </c>
      <c r="DB12" s="37">
        <v>31</v>
      </c>
      <c r="DC12" s="35">
        <f t="shared" si="21"/>
        <v>12</v>
      </c>
      <c r="DD12" s="38"/>
      <c r="DE12" s="38"/>
    </row>
    <row r="13" spans="1:112" ht="30.75" customHeight="1" x14ac:dyDescent="0.4">
      <c r="A13" s="30" t="s">
        <v>25</v>
      </c>
      <c r="B13" s="31"/>
      <c r="C13" s="32"/>
      <c r="D13" s="33"/>
      <c r="E13" s="33"/>
      <c r="F13" s="34" t="s">
        <v>62</v>
      </c>
      <c r="G13" s="33"/>
      <c r="H13" s="33"/>
      <c r="I13" s="34" t="s">
        <v>63</v>
      </c>
      <c r="J13" s="33"/>
      <c r="K13" s="33"/>
      <c r="L13" s="34" t="s">
        <v>63</v>
      </c>
      <c r="M13" s="33"/>
      <c r="N13" s="33"/>
      <c r="O13" s="34" t="str">
        <f t="shared" si="0"/>
        <v>A</v>
      </c>
      <c r="P13" s="33"/>
      <c r="Q13" s="33"/>
      <c r="R13" s="34" t="str">
        <f t="shared" si="22"/>
        <v>A</v>
      </c>
      <c r="S13" s="33"/>
      <c r="T13" s="33"/>
      <c r="U13" s="34" t="str">
        <f t="shared" si="23"/>
        <v>A</v>
      </c>
      <c r="V13" s="33"/>
      <c r="W13" s="33"/>
      <c r="X13" s="34" t="s">
        <v>62</v>
      </c>
      <c r="Y13" s="33"/>
      <c r="Z13" s="33"/>
      <c r="AA13" s="34" t="str">
        <f t="shared" si="24"/>
        <v>A</v>
      </c>
      <c r="AB13" s="33"/>
      <c r="AC13" s="33"/>
      <c r="AD13" s="34" t="s">
        <v>63</v>
      </c>
      <c r="AE13" s="33"/>
      <c r="AF13" s="33"/>
      <c r="AG13" s="34" t="s">
        <v>63</v>
      </c>
      <c r="AH13" s="33"/>
      <c r="AI13" s="33"/>
      <c r="AJ13" s="34" t="str">
        <f t="shared" si="1"/>
        <v>A</v>
      </c>
      <c r="AK13" s="33"/>
      <c r="AL13" s="33"/>
      <c r="AM13" s="34" t="str">
        <f t="shared" si="25"/>
        <v>A</v>
      </c>
      <c r="AN13" s="33"/>
      <c r="AO13" s="33"/>
      <c r="AP13" s="34" t="str">
        <f t="shared" si="26"/>
        <v>A</v>
      </c>
      <c r="AQ13" s="33"/>
      <c r="AR13" s="33"/>
      <c r="AS13" s="34" t="str">
        <f t="shared" si="27"/>
        <v>A</v>
      </c>
      <c r="AT13" s="33"/>
      <c r="AU13" s="33"/>
      <c r="AV13" s="34" t="str">
        <f t="shared" si="2"/>
        <v>A</v>
      </c>
      <c r="AW13" s="33"/>
      <c r="AX13" s="33"/>
      <c r="AY13" s="34" t="s">
        <v>63</v>
      </c>
      <c r="AZ13" s="33"/>
      <c r="BA13" s="33"/>
      <c r="BB13" s="34" t="s">
        <v>63</v>
      </c>
      <c r="BC13" s="33"/>
      <c r="BD13" s="33"/>
      <c r="BE13" s="34" t="str">
        <f t="shared" si="3"/>
        <v>A</v>
      </c>
      <c r="BF13" s="33"/>
      <c r="BG13" s="33"/>
      <c r="BH13" s="34" t="str">
        <f t="shared" si="28"/>
        <v>A</v>
      </c>
      <c r="BI13" s="33"/>
      <c r="BJ13" s="33"/>
      <c r="BK13" s="34" t="str">
        <f t="shared" si="29"/>
        <v>A</v>
      </c>
      <c r="BL13" s="33"/>
      <c r="BM13" s="33"/>
      <c r="BN13" s="34" t="str">
        <f t="shared" si="4"/>
        <v>A</v>
      </c>
      <c r="BO13" s="33"/>
      <c r="BP13" s="33"/>
      <c r="BQ13" s="34" t="str">
        <f t="shared" si="5"/>
        <v>A</v>
      </c>
      <c r="BR13" s="33"/>
      <c r="BS13" s="33"/>
      <c r="BT13" s="34" t="s">
        <v>63</v>
      </c>
      <c r="BU13" s="33"/>
      <c r="BV13" s="33"/>
      <c r="BW13" s="34" t="s">
        <v>63</v>
      </c>
      <c r="BX13" s="33"/>
      <c r="BY13" s="33"/>
      <c r="BZ13" s="34" t="str">
        <f t="shared" si="6"/>
        <v>A</v>
      </c>
      <c r="CA13" s="33"/>
      <c r="CB13" s="34"/>
      <c r="CC13" s="34" t="str">
        <f t="shared" si="30"/>
        <v>A</v>
      </c>
      <c r="CD13" s="34"/>
      <c r="CE13" s="34"/>
      <c r="CF13" s="34" t="str">
        <f t="shared" si="31"/>
        <v>A</v>
      </c>
      <c r="CG13" s="34"/>
      <c r="CH13" s="34"/>
      <c r="CI13" s="34" t="str">
        <f t="shared" si="7"/>
        <v>A</v>
      </c>
      <c r="CJ13" s="34"/>
      <c r="CK13" s="34"/>
      <c r="CL13" s="34" t="str">
        <f t="shared" si="8"/>
        <v>A</v>
      </c>
      <c r="CM13" s="34"/>
      <c r="CN13" s="34"/>
      <c r="CO13" s="34" t="s">
        <v>63</v>
      </c>
      <c r="CP13" s="35">
        <f t="shared" si="9"/>
        <v>0</v>
      </c>
      <c r="CQ13" s="35">
        <f t="shared" si="10"/>
        <v>0</v>
      </c>
      <c r="CR13" s="35">
        <f t="shared" si="11"/>
        <v>0</v>
      </c>
      <c r="CS13" s="35">
        <f t="shared" si="12"/>
        <v>0</v>
      </c>
      <c r="CT13" s="35">
        <f t="shared" si="13"/>
        <v>0</v>
      </c>
      <c r="CU13" s="35">
        <f t="shared" si="14"/>
        <v>0</v>
      </c>
      <c r="CV13" s="35">
        <f t="shared" si="15"/>
        <v>0</v>
      </c>
      <c r="CW13" s="35">
        <f t="shared" si="16"/>
        <v>0</v>
      </c>
      <c r="CX13" s="35">
        <f t="shared" si="17"/>
        <v>11</v>
      </c>
      <c r="CY13" s="35">
        <f t="shared" si="18"/>
        <v>0</v>
      </c>
      <c r="CZ13" s="35">
        <f t="shared" si="19"/>
        <v>19</v>
      </c>
      <c r="DA13" s="36">
        <f t="shared" si="20"/>
        <v>19</v>
      </c>
      <c r="DB13" s="37">
        <v>31</v>
      </c>
      <c r="DC13" s="35">
        <f t="shared" si="21"/>
        <v>12</v>
      </c>
      <c r="DD13" s="38"/>
      <c r="DE13" s="38"/>
    </row>
    <row r="14" spans="1:112" ht="30.75" customHeight="1" x14ac:dyDescent="0.4">
      <c r="A14" s="30" t="s">
        <v>26</v>
      </c>
      <c r="B14" s="31"/>
      <c r="C14" s="32"/>
      <c r="D14" s="33"/>
      <c r="E14" s="33"/>
      <c r="F14" s="34" t="s">
        <v>62</v>
      </c>
      <c r="G14" s="33"/>
      <c r="H14" s="33"/>
      <c r="I14" s="34" t="s">
        <v>63</v>
      </c>
      <c r="J14" s="33"/>
      <c r="K14" s="33"/>
      <c r="L14" s="34" t="s">
        <v>63</v>
      </c>
      <c r="M14" s="33"/>
      <c r="N14" s="33"/>
      <c r="O14" s="34" t="str">
        <f t="shared" si="0"/>
        <v>A</v>
      </c>
      <c r="P14" s="33"/>
      <c r="Q14" s="33"/>
      <c r="R14" s="34" t="str">
        <f t="shared" si="22"/>
        <v>A</v>
      </c>
      <c r="S14" s="33"/>
      <c r="T14" s="33"/>
      <c r="U14" s="34" t="str">
        <f t="shared" si="23"/>
        <v>A</v>
      </c>
      <c r="V14" s="33"/>
      <c r="W14" s="33"/>
      <c r="X14" s="34" t="s">
        <v>62</v>
      </c>
      <c r="Y14" s="33"/>
      <c r="Z14" s="33"/>
      <c r="AA14" s="34" t="str">
        <f t="shared" si="24"/>
        <v>A</v>
      </c>
      <c r="AB14" s="33"/>
      <c r="AC14" s="33"/>
      <c r="AD14" s="34" t="s">
        <v>63</v>
      </c>
      <c r="AE14" s="33"/>
      <c r="AF14" s="33"/>
      <c r="AG14" s="34" t="s">
        <v>63</v>
      </c>
      <c r="AH14" s="33"/>
      <c r="AI14" s="33"/>
      <c r="AJ14" s="34" t="str">
        <f t="shared" si="1"/>
        <v>A</v>
      </c>
      <c r="AK14" s="33"/>
      <c r="AL14" s="33"/>
      <c r="AM14" s="34" t="str">
        <f t="shared" si="25"/>
        <v>A</v>
      </c>
      <c r="AN14" s="33"/>
      <c r="AO14" s="33"/>
      <c r="AP14" s="34" t="str">
        <f t="shared" si="26"/>
        <v>A</v>
      </c>
      <c r="AQ14" s="33"/>
      <c r="AR14" s="33"/>
      <c r="AS14" s="34" t="str">
        <f t="shared" si="27"/>
        <v>A</v>
      </c>
      <c r="AT14" s="33"/>
      <c r="AU14" s="33"/>
      <c r="AV14" s="34" t="str">
        <f t="shared" si="2"/>
        <v>A</v>
      </c>
      <c r="AW14" s="33"/>
      <c r="AX14" s="33"/>
      <c r="AY14" s="34" t="s">
        <v>63</v>
      </c>
      <c r="AZ14" s="33"/>
      <c r="BA14" s="33"/>
      <c r="BB14" s="34" t="s">
        <v>63</v>
      </c>
      <c r="BC14" s="33"/>
      <c r="BD14" s="33"/>
      <c r="BE14" s="34" t="str">
        <f t="shared" si="3"/>
        <v>A</v>
      </c>
      <c r="BF14" s="33"/>
      <c r="BG14" s="33"/>
      <c r="BH14" s="34" t="str">
        <f t="shared" si="28"/>
        <v>A</v>
      </c>
      <c r="BI14" s="33"/>
      <c r="BJ14" s="33"/>
      <c r="BK14" s="34" t="str">
        <f t="shared" si="29"/>
        <v>A</v>
      </c>
      <c r="BL14" s="33"/>
      <c r="BM14" s="33"/>
      <c r="BN14" s="34" t="str">
        <f t="shared" si="4"/>
        <v>A</v>
      </c>
      <c r="BO14" s="33"/>
      <c r="BP14" s="33"/>
      <c r="BQ14" s="34" t="str">
        <f t="shared" si="5"/>
        <v>A</v>
      </c>
      <c r="BR14" s="33"/>
      <c r="BS14" s="33"/>
      <c r="BT14" s="34" t="s">
        <v>63</v>
      </c>
      <c r="BU14" s="33"/>
      <c r="BV14" s="33"/>
      <c r="BW14" s="34" t="s">
        <v>63</v>
      </c>
      <c r="BX14" s="33"/>
      <c r="BY14" s="33"/>
      <c r="BZ14" s="34" t="str">
        <f t="shared" si="6"/>
        <v>A</v>
      </c>
      <c r="CA14" s="33"/>
      <c r="CB14" s="34"/>
      <c r="CC14" s="34" t="str">
        <f t="shared" si="30"/>
        <v>A</v>
      </c>
      <c r="CD14" s="34"/>
      <c r="CE14" s="34"/>
      <c r="CF14" s="34" t="str">
        <f t="shared" si="31"/>
        <v>A</v>
      </c>
      <c r="CG14" s="34"/>
      <c r="CH14" s="34"/>
      <c r="CI14" s="34" t="str">
        <f t="shared" si="7"/>
        <v>A</v>
      </c>
      <c r="CJ14" s="34"/>
      <c r="CK14" s="34"/>
      <c r="CL14" s="34" t="str">
        <f t="shared" si="8"/>
        <v>A</v>
      </c>
      <c r="CM14" s="34"/>
      <c r="CN14" s="34"/>
      <c r="CO14" s="34" t="s">
        <v>63</v>
      </c>
      <c r="CP14" s="35">
        <f t="shared" si="9"/>
        <v>0</v>
      </c>
      <c r="CQ14" s="35">
        <f t="shared" si="10"/>
        <v>0</v>
      </c>
      <c r="CR14" s="35">
        <f t="shared" si="11"/>
        <v>0</v>
      </c>
      <c r="CS14" s="35">
        <f t="shared" si="12"/>
        <v>0</v>
      </c>
      <c r="CT14" s="35">
        <f t="shared" si="13"/>
        <v>0</v>
      </c>
      <c r="CU14" s="35">
        <f t="shared" si="14"/>
        <v>0</v>
      </c>
      <c r="CV14" s="35">
        <f t="shared" si="15"/>
        <v>0</v>
      </c>
      <c r="CW14" s="35">
        <f t="shared" si="16"/>
        <v>0</v>
      </c>
      <c r="CX14" s="35">
        <f t="shared" si="17"/>
        <v>11</v>
      </c>
      <c r="CY14" s="35">
        <f t="shared" si="18"/>
        <v>0</v>
      </c>
      <c r="CZ14" s="35">
        <f t="shared" si="19"/>
        <v>19</v>
      </c>
      <c r="DA14" s="36">
        <f t="shared" si="20"/>
        <v>19</v>
      </c>
      <c r="DB14" s="37">
        <v>31</v>
      </c>
      <c r="DC14" s="35">
        <f t="shared" si="21"/>
        <v>12</v>
      </c>
      <c r="DD14" s="38"/>
      <c r="DE14" s="38"/>
    </row>
    <row r="15" spans="1:112" ht="30.75" customHeight="1" x14ac:dyDescent="0.4">
      <c r="A15" s="30" t="s">
        <v>27</v>
      </c>
      <c r="B15" s="31"/>
      <c r="C15" s="32"/>
      <c r="D15" s="33"/>
      <c r="E15" s="33"/>
      <c r="F15" s="34" t="s">
        <v>62</v>
      </c>
      <c r="G15" s="33"/>
      <c r="H15" s="33"/>
      <c r="I15" s="34" t="s">
        <v>63</v>
      </c>
      <c r="J15" s="33"/>
      <c r="K15" s="33"/>
      <c r="L15" s="34" t="s">
        <v>63</v>
      </c>
      <c r="M15" s="33"/>
      <c r="N15" s="33"/>
      <c r="O15" s="34" t="str">
        <f t="shared" si="0"/>
        <v>A</v>
      </c>
      <c r="P15" s="33"/>
      <c r="Q15" s="33"/>
      <c r="R15" s="34" t="str">
        <f t="shared" si="22"/>
        <v>A</v>
      </c>
      <c r="S15" s="33"/>
      <c r="T15" s="33"/>
      <c r="U15" s="34" t="str">
        <f t="shared" si="23"/>
        <v>A</v>
      </c>
      <c r="V15" s="33"/>
      <c r="W15" s="33"/>
      <c r="X15" s="34" t="s">
        <v>62</v>
      </c>
      <c r="Y15" s="33"/>
      <c r="Z15" s="33"/>
      <c r="AA15" s="34" t="str">
        <f t="shared" si="24"/>
        <v>A</v>
      </c>
      <c r="AB15" s="33"/>
      <c r="AC15" s="33"/>
      <c r="AD15" s="34" t="s">
        <v>63</v>
      </c>
      <c r="AE15" s="33"/>
      <c r="AF15" s="33"/>
      <c r="AG15" s="34" t="s">
        <v>63</v>
      </c>
      <c r="AH15" s="33"/>
      <c r="AI15" s="33"/>
      <c r="AJ15" s="34" t="str">
        <f t="shared" si="1"/>
        <v>A</v>
      </c>
      <c r="AK15" s="33"/>
      <c r="AL15" s="33"/>
      <c r="AM15" s="34" t="str">
        <f t="shared" si="25"/>
        <v>A</v>
      </c>
      <c r="AN15" s="33"/>
      <c r="AO15" s="33"/>
      <c r="AP15" s="34" t="str">
        <f t="shared" si="26"/>
        <v>A</v>
      </c>
      <c r="AQ15" s="33"/>
      <c r="AR15" s="33"/>
      <c r="AS15" s="34" t="str">
        <f t="shared" si="27"/>
        <v>A</v>
      </c>
      <c r="AT15" s="33"/>
      <c r="AU15" s="33"/>
      <c r="AV15" s="34" t="str">
        <f t="shared" si="2"/>
        <v>A</v>
      </c>
      <c r="AW15" s="33"/>
      <c r="AX15" s="33"/>
      <c r="AY15" s="34" t="s">
        <v>63</v>
      </c>
      <c r="AZ15" s="33"/>
      <c r="BA15" s="33"/>
      <c r="BB15" s="34" t="s">
        <v>63</v>
      </c>
      <c r="BC15" s="33"/>
      <c r="BD15" s="33"/>
      <c r="BE15" s="34" t="str">
        <f t="shared" si="3"/>
        <v>A</v>
      </c>
      <c r="BF15" s="33"/>
      <c r="BG15" s="33"/>
      <c r="BH15" s="34" t="str">
        <f t="shared" si="28"/>
        <v>A</v>
      </c>
      <c r="BI15" s="33"/>
      <c r="BJ15" s="33"/>
      <c r="BK15" s="34" t="str">
        <f t="shared" si="29"/>
        <v>A</v>
      </c>
      <c r="BL15" s="33"/>
      <c r="BM15" s="33"/>
      <c r="BN15" s="34" t="str">
        <f t="shared" si="4"/>
        <v>A</v>
      </c>
      <c r="BO15" s="33"/>
      <c r="BP15" s="33"/>
      <c r="BQ15" s="34" t="str">
        <f t="shared" si="5"/>
        <v>A</v>
      </c>
      <c r="BR15" s="33"/>
      <c r="BS15" s="33"/>
      <c r="BT15" s="34" t="s">
        <v>63</v>
      </c>
      <c r="BU15" s="33"/>
      <c r="BV15" s="33"/>
      <c r="BW15" s="34" t="s">
        <v>63</v>
      </c>
      <c r="BX15" s="33"/>
      <c r="BY15" s="33"/>
      <c r="BZ15" s="34" t="str">
        <f t="shared" si="6"/>
        <v>A</v>
      </c>
      <c r="CA15" s="33"/>
      <c r="CB15" s="34"/>
      <c r="CC15" s="34" t="str">
        <f t="shared" si="30"/>
        <v>A</v>
      </c>
      <c r="CD15" s="34"/>
      <c r="CE15" s="34"/>
      <c r="CF15" s="34" t="str">
        <f t="shared" si="31"/>
        <v>A</v>
      </c>
      <c r="CG15" s="34"/>
      <c r="CH15" s="34"/>
      <c r="CI15" s="34" t="str">
        <f t="shared" si="7"/>
        <v>A</v>
      </c>
      <c r="CJ15" s="34"/>
      <c r="CK15" s="34"/>
      <c r="CL15" s="34" t="str">
        <f t="shared" si="8"/>
        <v>A</v>
      </c>
      <c r="CM15" s="34"/>
      <c r="CN15" s="34"/>
      <c r="CO15" s="34" t="s">
        <v>63</v>
      </c>
      <c r="CP15" s="35">
        <f t="shared" si="9"/>
        <v>0</v>
      </c>
      <c r="CQ15" s="35">
        <f t="shared" si="10"/>
        <v>0</v>
      </c>
      <c r="CR15" s="35">
        <f t="shared" si="11"/>
        <v>0</v>
      </c>
      <c r="CS15" s="35">
        <f t="shared" si="12"/>
        <v>0</v>
      </c>
      <c r="CT15" s="35">
        <f t="shared" si="13"/>
        <v>0</v>
      </c>
      <c r="CU15" s="35">
        <f t="shared" si="14"/>
        <v>0</v>
      </c>
      <c r="CV15" s="35">
        <f t="shared" si="15"/>
        <v>0</v>
      </c>
      <c r="CW15" s="35">
        <f t="shared" si="16"/>
        <v>0</v>
      </c>
      <c r="CX15" s="35">
        <f t="shared" si="17"/>
        <v>11</v>
      </c>
      <c r="CY15" s="35">
        <f t="shared" si="18"/>
        <v>0</v>
      </c>
      <c r="CZ15" s="35">
        <f t="shared" si="19"/>
        <v>19</v>
      </c>
      <c r="DA15" s="36">
        <f t="shared" si="20"/>
        <v>19</v>
      </c>
      <c r="DB15" s="37">
        <v>31</v>
      </c>
      <c r="DC15" s="35">
        <f t="shared" si="21"/>
        <v>12</v>
      </c>
      <c r="DD15" s="38"/>
      <c r="DE15" s="38"/>
    </row>
    <row r="16" spans="1:112" ht="30.75" customHeight="1" x14ac:dyDescent="0.4">
      <c r="A16" s="30" t="s">
        <v>28</v>
      </c>
      <c r="B16" s="31"/>
      <c r="C16" s="32"/>
      <c r="D16" s="33"/>
      <c r="E16" s="33"/>
      <c r="F16" s="34" t="s">
        <v>62</v>
      </c>
      <c r="G16" s="33"/>
      <c r="H16" s="33"/>
      <c r="I16" s="34" t="s">
        <v>63</v>
      </c>
      <c r="J16" s="33"/>
      <c r="K16" s="33"/>
      <c r="L16" s="34" t="s">
        <v>63</v>
      </c>
      <c r="M16" s="33"/>
      <c r="N16" s="33"/>
      <c r="O16" s="34" t="str">
        <f t="shared" si="0"/>
        <v>A</v>
      </c>
      <c r="P16" s="33"/>
      <c r="Q16" s="33"/>
      <c r="R16" s="34" t="str">
        <f t="shared" si="22"/>
        <v>A</v>
      </c>
      <c r="S16" s="33"/>
      <c r="T16" s="33"/>
      <c r="U16" s="34" t="str">
        <f t="shared" si="23"/>
        <v>A</v>
      </c>
      <c r="V16" s="33"/>
      <c r="W16" s="33"/>
      <c r="X16" s="34" t="s">
        <v>62</v>
      </c>
      <c r="Y16" s="33"/>
      <c r="Z16" s="33"/>
      <c r="AA16" s="34" t="str">
        <f t="shared" si="24"/>
        <v>A</v>
      </c>
      <c r="AB16" s="33"/>
      <c r="AC16" s="33"/>
      <c r="AD16" s="34" t="s">
        <v>63</v>
      </c>
      <c r="AE16" s="33"/>
      <c r="AF16" s="33"/>
      <c r="AG16" s="34" t="s">
        <v>63</v>
      </c>
      <c r="AH16" s="33"/>
      <c r="AI16" s="33"/>
      <c r="AJ16" s="34" t="str">
        <f t="shared" si="1"/>
        <v>A</v>
      </c>
      <c r="AK16" s="33"/>
      <c r="AL16" s="33"/>
      <c r="AM16" s="34" t="str">
        <f t="shared" si="25"/>
        <v>A</v>
      </c>
      <c r="AN16" s="33"/>
      <c r="AO16" s="33"/>
      <c r="AP16" s="34" t="str">
        <f t="shared" si="26"/>
        <v>A</v>
      </c>
      <c r="AQ16" s="33"/>
      <c r="AR16" s="33"/>
      <c r="AS16" s="34" t="str">
        <f t="shared" si="27"/>
        <v>A</v>
      </c>
      <c r="AT16" s="33"/>
      <c r="AU16" s="33"/>
      <c r="AV16" s="34" t="str">
        <f t="shared" si="2"/>
        <v>A</v>
      </c>
      <c r="AW16" s="33"/>
      <c r="AX16" s="33"/>
      <c r="AY16" s="34" t="s">
        <v>63</v>
      </c>
      <c r="AZ16" s="33"/>
      <c r="BA16" s="33"/>
      <c r="BB16" s="34" t="s">
        <v>63</v>
      </c>
      <c r="BC16" s="33"/>
      <c r="BD16" s="33"/>
      <c r="BE16" s="34" t="str">
        <f t="shared" si="3"/>
        <v>A</v>
      </c>
      <c r="BF16" s="33"/>
      <c r="BG16" s="33"/>
      <c r="BH16" s="34" t="str">
        <f t="shared" si="28"/>
        <v>A</v>
      </c>
      <c r="BI16" s="33"/>
      <c r="BJ16" s="33"/>
      <c r="BK16" s="34" t="str">
        <f t="shared" si="29"/>
        <v>A</v>
      </c>
      <c r="BL16" s="33"/>
      <c r="BM16" s="33"/>
      <c r="BN16" s="34" t="str">
        <f t="shared" si="4"/>
        <v>A</v>
      </c>
      <c r="BO16" s="33"/>
      <c r="BP16" s="33"/>
      <c r="BQ16" s="34" t="str">
        <f t="shared" si="5"/>
        <v>A</v>
      </c>
      <c r="BR16" s="33"/>
      <c r="BS16" s="33"/>
      <c r="BT16" s="34" t="s">
        <v>63</v>
      </c>
      <c r="BU16" s="33"/>
      <c r="BV16" s="33"/>
      <c r="BW16" s="34" t="s">
        <v>63</v>
      </c>
      <c r="BX16" s="33"/>
      <c r="BY16" s="33"/>
      <c r="BZ16" s="34" t="str">
        <f t="shared" si="6"/>
        <v>A</v>
      </c>
      <c r="CA16" s="33"/>
      <c r="CB16" s="34"/>
      <c r="CC16" s="34" t="str">
        <f t="shared" si="30"/>
        <v>A</v>
      </c>
      <c r="CD16" s="34"/>
      <c r="CE16" s="34"/>
      <c r="CF16" s="34" t="str">
        <f t="shared" si="31"/>
        <v>A</v>
      </c>
      <c r="CG16" s="34"/>
      <c r="CH16" s="34"/>
      <c r="CI16" s="34" t="str">
        <f t="shared" si="7"/>
        <v>A</v>
      </c>
      <c r="CJ16" s="34"/>
      <c r="CK16" s="34"/>
      <c r="CL16" s="34" t="str">
        <f t="shared" si="8"/>
        <v>A</v>
      </c>
      <c r="CM16" s="34"/>
      <c r="CN16" s="34"/>
      <c r="CO16" s="34" t="s">
        <v>63</v>
      </c>
      <c r="CP16" s="35">
        <f t="shared" si="9"/>
        <v>0</v>
      </c>
      <c r="CQ16" s="35">
        <f t="shared" si="10"/>
        <v>0</v>
      </c>
      <c r="CR16" s="35">
        <f t="shared" si="11"/>
        <v>0</v>
      </c>
      <c r="CS16" s="35">
        <f t="shared" si="12"/>
        <v>0</v>
      </c>
      <c r="CT16" s="35">
        <f t="shared" si="13"/>
        <v>0</v>
      </c>
      <c r="CU16" s="35">
        <f t="shared" si="14"/>
        <v>0</v>
      </c>
      <c r="CV16" s="35">
        <f t="shared" si="15"/>
        <v>0</v>
      </c>
      <c r="CW16" s="35">
        <f t="shared" si="16"/>
        <v>0</v>
      </c>
      <c r="CX16" s="35">
        <f t="shared" si="17"/>
        <v>11</v>
      </c>
      <c r="CY16" s="35">
        <f t="shared" si="18"/>
        <v>0</v>
      </c>
      <c r="CZ16" s="35">
        <f t="shared" si="19"/>
        <v>19</v>
      </c>
      <c r="DA16" s="36">
        <f t="shared" si="20"/>
        <v>19</v>
      </c>
      <c r="DB16" s="37">
        <v>31</v>
      </c>
      <c r="DC16" s="35">
        <f t="shared" si="21"/>
        <v>12</v>
      </c>
      <c r="DD16" s="38"/>
      <c r="DE16" s="38"/>
    </row>
    <row r="17" spans="1:109" ht="30.75" customHeight="1" x14ac:dyDescent="0.4">
      <c r="A17" s="30" t="s">
        <v>29</v>
      </c>
      <c r="B17" s="31"/>
      <c r="C17" s="32"/>
      <c r="D17" s="33"/>
      <c r="E17" s="33"/>
      <c r="F17" s="34" t="s">
        <v>62</v>
      </c>
      <c r="G17" s="33"/>
      <c r="H17" s="33"/>
      <c r="I17" s="34" t="s">
        <v>63</v>
      </c>
      <c r="J17" s="33"/>
      <c r="K17" s="33"/>
      <c r="L17" s="34" t="s">
        <v>63</v>
      </c>
      <c r="M17" s="33"/>
      <c r="N17" s="33"/>
      <c r="O17" s="34" t="str">
        <f t="shared" si="0"/>
        <v>A</v>
      </c>
      <c r="P17" s="33"/>
      <c r="Q17" s="33"/>
      <c r="R17" s="34" t="str">
        <f t="shared" si="22"/>
        <v>A</v>
      </c>
      <c r="S17" s="33"/>
      <c r="T17" s="33"/>
      <c r="U17" s="34" t="str">
        <f t="shared" si="23"/>
        <v>A</v>
      </c>
      <c r="V17" s="33"/>
      <c r="W17" s="33"/>
      <c r="X17" s="34" t="s">
        <v>62</v>
      </c>
      <c r="Y17" s="33"/>
      <c r="Z17" s="33"/>
      <c r="AA17" s="34" t="str">
        <f t="shared" si="24"/>
        <v>A</v>
      </c>
      <c r="AB17" s="33"/>
      <c r="AC17" s="33"/>
      <c r="AD17" s="34" t="s">
        <v>63</v>
      </c>
      <c r="AE17" s="33"/>
      <c r="AF17" s="33"/>
      <c r="AG17" s="34" t="s">
        <v>63</v>
      </c>
      <c r="AH17" s="33"/>
      <c r="AI17" s="33"/>
      <c r="AJ17" s="34" t="str">
        <f t="shared" si="1"/>
        <v>A</v>
      </c>
      <c r="AK17" s="33"/>
      <c r="AL17" s="33"/>
      <c r="AM17" s="34" t="str">
        <f t="shared" si="25"/>
        <v>A</v>
      </c>
      <c r="AN17" s="33"/>
      <c r="AO17" s="33"/>
      <c r="AP17" s="34" t="str">
        <f t="shared" si="26"/>
        <v>A</v>
      </c>
      <c r="AQ17" s="33"/>
      <c r="AR17" s="33"/>
      <c r="AS17" s="34" t="str">
        <f t="shared" si="27"/>
        <v>A</v>
      </c>
      <c r="AT17" s="33"/>
      <c r="AU17" s="33"/>
      <c r="AV17" s="34" t="str">
        <f t="shared" si="2"/>
        <v>A</v>
      </c>
      <c r="AW17" s="33"/>
      <c r="AX17" s="33"/>
      <c r="AY17" s="34" t="s">
        <v>63</v>
      </c>
      <c r="AZ17" s="33"/>
      <c r="BA17" s="33"/>
      <c r="BB17" s="34" t="s">
        <v>63</v>
      </c>
      <c r="BC17" s="33"/>
      <c r="BD17" s="33"/>
      <c r="BE17" s="34" t="str">
        <f t="shared" si="3"/>
        <v>A</v>
      </c>
      <c r="BF17" s="33"/>
      <c r="BG17" s="33"/>
      <c r="BH17" s="34" t="str">
        <f t="shared" si="28"/>
        <v>A</v>
      </c>
      <c r="BI17" s="33"/>
      <c r="BJ17" s="33"/>
      <c r="BK17" s="34" t="str">
        <f t="shared" si="29"/>
        <v>A</v>
      </c>
      <c r="BL17" s="33"/>
      <c r="BM17" s="33"/>
      <c r="BN17" s="34" t="str">
        <f t="shared" si="4"/>
        <v>A</v>
      </c>
      <c r="BO17" s="33"/>
      <c r="BP17" s="33"/>
      <c r="BQ17" s="34" t="str">
        <f t="shared" si="5"/>
        <v>A</v>
      </c>
      <c r="BR17" s="33"/>
      <c r="BS17" s="33"/>
      <c r="BT17" s="34" t="s">
        <v>63</v>
      </c>
      <c r="BU17" s="33"/>
      <c r="BV17" s="33"/>
      <c r="BW17" s="34" t="s">
        <v>63</v>
      </c>
      <c r="BX17" s="33"/>
      <c r="BY17" s="33"/>
      <c r="BZ17" s="34" t="str">
        <f t="shared" si="6"/>
        <v>A</v>
      </c>
      <c r="CA17" s="33"/>
      <c r="CB17" s="34"/>
      <c r="CC17" s="34" t="str">
        <f t="shared" si="30"/>
        <v>A</v>
      </c>
      <c r="CD17" s="34"/>
      <c r="CE17" s="34"/>
      <c r="CF17" s="34" t="str">
        <f t="shared" si="31"/>
        <v>A</v>
      </c>
      <c r="CG17" s="34"/>
      <c r="CH17" s="34"/>
      <c r="CI17" s="34" t="str">
        <f t="shared" si="7"/>
        <v>A</v>
      </c>
      <c r="CJ17" s="34"/>
      <c r="CK17" s="34"/>
      <c r="CL17" s="34" t="str">
        <f t="shared" si="8"/>
        <v>A</v>
      </c>
      <c r="CM17" s="34"/>
      <c r="CN17" s="34"/>
      <c r="CO17" s="34" t="s">
        <v>63</v>
      </c>
      <c r="CP17" s="35">
        <f t="shared" si="9"/>
        <v>0</v>
      </c>
      <c r="CQ17" s="35">
        <f t="shared" si="10"/>
        <v>0</v>
      </c>
      <c r="CR17" s="35">
        <f t="shared" si="11"/>
        <v>0</v>
      </c>
      <c r="CS17" s="35">
        <f t="shared" si="12"/>
        <v>0</v>
      </c>
      <c r="CT17" s="35">
        <f t="shared" si="13"/>
        <v>0</v>
      </c>
      <c r="CU17" s="35">
        <f t="shared" si="14"/>
        <v>0</v>
      </c>
      <c r="CV17" s="35">
        <f t="shared" si="15"/>
        <v>0</v>
      </c>
      <c r="CW17" s="35">
        <f t="shared" si="16"/>
        <v>0</v>
      </c>
      <c r="CX17" s="35">
        <f t="shared" si="17"/>
        <v>11</v>
      </c>
      <c r="CY17" s="35">
        <f t="shared" si="18"/>
        <v>0</v>
      </c>
      <c r="CZ17" s="35">
        <f t="shared" si="19"/>
        <v>19</v>
      </c>
      <c r="DA17" s="36">
        <f t="shared" si="20"/>
        <v>19</v>
      </c>
      <c r="DB17" s="37">
        <v>31</v>
      </c>
      <c r="DC17" s="35">
        <f t="shared" si="21"/>
        <v>12</v>
      </c>
      <c r="DD17" s="38"/>
      <c r="DE17" s="38"/>
    </row>
    <row r="18" spans="1:109" ht="30.75" customHeight="1" x14ac:dyDescent="0.4">
      <c r="A18" s="30" t="s">
        <v>30</v>
      </c>
      <c r="B18" s="31"/>
      <c r="C18" s="32"/>
      <c r="D18" s="33"/>
      <c r="E18" s="33"/>
      <c r="F18" s="34" t="s">
        <v>62</v>
      </c>
      <c r="G18" s="33"/>
      <c r="H18" s="33"/>
      <c r="I18" s="34" t="s">
        <v>63</v>
      </c>
      <c r="J18" s="33"/>
      <c r="K18" s="33"/>
      <c r="L18" s="34" t="s">
        <v>63</v>
      </c>
      <c r="M18" s="33"/>
      <c r="N18" s="33"/>
      <c r="O18" s="34" t="str">
        <f t="shared" si="0"/>
        <v>A</v>
      </c>
      <c r="P18" s="33"/>
      <c r="Q18" s="33"/>
      <c r="R18" s="34" t="str">
        <f t="shared" si="22"/>
        <v>A</v>
      </c>
      <c r="S18" s="33"/>
      <c r="T18" s="33"/>
      <c r="U18" s="34" t="str">
        <f t="shared" si="23"/>
        <v>A</v>
      </c>
      <c r="V18" s="33"/>
      <c r="W18" s="33"/>
      <c r="X18" s="34" t="s">
        <v>62</v>
      </c>
      <c r="Y18" s="33"/>
      <c r="Z18" s="33"/>
      <c r="AA18" s="34" t="str">
        <f t="shared" si="24"/>
        <v>A</v>
      </c>
      <c r="AB18" s="33"/>
      <c r="AC18" s="33"/>
      <c r="AD18" s="34" t="s">
        <v>63</v>
      </c>
      <c r="AE18" s="33"/>
      <c r="AF18" s="33"/>
      <c r="AG18" s="34" t="s">
        <v>63</v>
      </c>
      <c r="AH18" s="33"/>
      <c r="AI18" s="33"/>
      <c r="AJ18" s="34" t="str">
        <f t="shared" si="1"/>
        <v>A</v>
      </c>
      <c r="AK18" s="33"/>
      <c r="AL18" s="33"/>
      <c r="AM18" s="34" t="str">
        <f t="shared" si="25"/>
        <v>A</v>
      </c>
      <c r="AN18" s="33"/>
      <c r="AO18" s="33"/>
      <c r="AP18" s="34" t="str">
        <f t="shared" si="26"/>
        <v>A</v>
      </c>
      <c r="AQ18" s="33"/>
      <c r="AR18" s="33"/>
      <c r="AS18" s="34" t="str">
        <f t="shared" si="27"/>
        <v>A</v>
      </c>
      <c r="AT18" s="33"/>
      <c r="AU18" s="33"/>
      <c r="AV18" s="34" t="str">
        <f t="shared" si="2"/>
        <v>A</v>
      </c>
      <c r="AW18" s="33"/>
      <c r="AX18" s="33"/>
      <c r="AY18" s="34" t="s">
        <v>63</v>
      </c>
      <c r="AZ18" s="33"/>
      <c r="BA18" s="33"/>
      <c r="BB18" s="34" t="s">
        <v>63</v>
      </c>
      <c r="BC18" s="33"/>
      <c r="BD18" s="33"/>
      <c r="BE18" s="34" t="str">
        <f t="shared" si="3"/>
        <v>A</v>
      </c>
      <c r="BF18" s="33"/>
      <c r="BG18" s="33"/>
      <c r="BH18" s="34" t="str">
        <f t="shared" si="28"/>
        <v>A</v>
      </c>
      <c r="BI18" s="33"/>
      <c r="BJ18" s="33"/>
      <c r="BK18" s="34" t="str">
        <f t="shared" si="29"/>
        <v>A</v>
      </c>
      <c r="BL18" s="33"/>
      <c r="BM18" s="33"/>
      <c r="BN18" s="34" t="str">
        <f t="shared" si="4"/>
        <v>A</v>
      </c>
      <c r="BO18" s="33"/>
      <c r="BP18" s="33"/>
      <c r="BQ18" s="34" t="str">
        <f t="shared" si="5"/>
        <v>A</v>
      </c>
      <c r="BR18" s="33"/>
      <c r="BS18" s="33"/>
      <c r="BT18" s="34" t="s">
        <v>63</v>
      </c>
      <c r="BU18" s="33"/>
      <c r="BV18" s="33"/>
      <c r="BW18" s="34" t="s">
        <v>63</v>
      </c>
      <c r="BX18" s="33"/>
      <c r="BY18" s="33"/>
      <c r="BZ18" s="34" t="str">
        <f t="shared" si="6"/>
        <v>A</v>
      </c>
      <c r="CA18" s="33"/>
      <c r="CB18" s="34"/>
      <c r="CC18" s="34" t="str">
        <f t="shared" si="30"/>
        <v>A</v>
      </c>
      <c r="CD18" s="34"/>
      <c r="CE18" s="34"/>
      <c r="CF18" s="34" t="str">
        <f t="shared" si="31"/>
        <v>A</v>
      </c>
      <c r="CG18" s="34"/>
      <c r="CH18" s="34"/>
      <c r="CI18" s="34" t="str">
        <f t="shared" si="7"/>
        <v>A</v>
      </c>
      <c r="CJ18" s="34"/>
      <c r="CK18" s="34"/>
      <c r="CL18" s="34" t="str">
        <f t="shared" si="8"/>
        <v>A</v>
      </c>
      <c r="CM18" s="34"/>
      <c r="CN18" s="34"/>
      <c r="CO18" s="34" t="s">
        <v>63</v>
      </c>
      <c r="CP18" s="35">
        <f t="shared" si="9"/>
        <v>0</v>
      </c>
      <c r="CQ18" s="35">
        <f t="shared" si="10"/>
        <v>0</v>
      </c>
      <c r="CR18" s="35">
        <f t="shared" si="11"/>
        <v>0</v>
      </c>
      <c r="CS18" s="35">
        <f t="shared" si="12"/>
        <v>0</v>
      </c>
      <c r="CT18" s="35">
        <f t="shared" si="13"/>
        <v>0</v>
      </c>
      <c r="CU18" s="35">
        <f t="shared" si="14"/>
        <v>0</v>
      </c>
      <c r="CV18" s="35">
        <f t="shared" si="15"/>
        <v>0</v>
      </c>
      <c r="CW18" s="35">
        <f t="shared" si="16"/>
        <v>0</v>
      </c>
      <c r="CX18" s="35">
        <f t="shared" si="17"/>
        <v>11</v>
      </c>
      <c r="CY18" s="35">
        <f t="shared" si="18"/>
        <v>0</v>
      </c>
      <c r="CZ18" s="35">
        <f t="shared" si="19"/>
        <v>19</v>
      </c>
      <c r="DA18" s="36">
        <f t="shared" si="20"/>
        <v>19</v>
      </c>
      <c r="DB18" s="37">
        <v>31</v>
      </c>
      <c r="DC18" s="35">
        <f t="shared" si="21"/>
        <v>12</v>
      </c>
      <c r="DD18" s="38"/>
      <c r="DE18" s="38"/>
    </row>
    <row r="19" spans="1:109" ht="30.75" customHeight="1" x14ac:dyDescent="0.4">
      <c r="A19" s="30" t="s">
        <v>31</v>
      </c>
      <c r="B19" s="31"/>
      <c r="C19" s="32"/>
      <c r="D19" s="33"/>
      <c r="E19" s="33"/>
      <c r="F19" s="34" t="s">
        <v>62</v>
      </c>
      <c r="G19" s="33"/>
      <c r="H19" s="33"/>
      <c r="I19" s="34" t="s">
        <v>63</v>
      </c>
      <c r="J19" s="33"/>
      <c r="K19" s="33"/>
      <c r="L19" s="34" t="s">
        <v>63</v>
      </c>
      <c r="M19" s="33"/>
      <c r="N19" s="33"/>
      <c r="O19" s="34" t="str">
        <f t="shared" si="0"/>
        <v>A</v>
      </c>
      <c r="P19" s="33"/>
      <c r="Q19" s="33"/>
      <c r="R19" s="34" t="str">
        <f t="shared" si="22"/>
        <v>A</v>
      </c>
      <c r="S19" s="33"/>
      <c r="T19" s="33"/>
      <c r="U19" s="34" t="str">
        <f t="shared" si="23"/>
        <v>A</v>
      </c>
      <c r="V19" s="33"/>
      <c r="W19" s="33"/>
      <c r="X19" s="34" t="s">
        <v>62</v>
      </c>
      <c r="Y19" s="33"/>
      <c r="Z19" s="33"/>
      <c r="AA19" s="34" t="str">
        <f t="shared" si="24"/>
        <v>A</v>
      </c>
      <c r="AB19" s="33"/>
      <c r="AC19" s="33"/>
      <c r="AD19" s="34" t="s">
        <v>63</v>
      </c>
      <c r="AE19" s="33"/>
      <c r="AF19" s="33"/>
      <c r="AG19" s="34" t="s">
        <v>63</v>
      </c>
      <c r="AH19" s="33"/>
      <c r="AI19" s="33"/>
      <c r="AJ19" s="34" t="str">
        <f t="shared" si="1"/>
        <v>A</v>
      </c>
      <c r="AK19" s="33"/>
      <c r="AL19" s="33"/>
      <c r="AM19" s="34" t="str">
        <f t="shared" si="25"/>
        <v>A</v>
      </c>
      <c r="AN19" s="33"/>
      <c r="AO19" s="33"/>
      <c r="AP19" s="34" t="str">
        <f t="shared" si="26"/>
        <v>A</v>
      </c>
      <c r="AQ19" s="33"/>
      <c r="AR19" s="33"/>
      <c r="AS19" s="34" t="str">
        <f t="shared" si="27"/>
        <v>A</v>
      </c>
      <c r="AT19" s="33"/>
      <c r="AU19" s="33"/>
      <c r="AV19" s="34" t="str">
        <f t="shared" si="2"/>
        <v>A</v>
      </c>
      <c r="AW19" s="33"/>
      <c r="AX19" s="33"/>
      <c r="AY19" s="34" t="s">
        <v>63</v>
      </c>
      <c r="AZ19" s="33"/>
      <c r="BA19" s="33"/>
      <c r="BB19" s="34" t="s">
        <v>63</v>
      </c>
      <c r="BC19" s="33"/>
      <c r="BD19" s="33"/>
      <c r="BE19" s="34" t="str">
        <f t="shared" si="3"/>
        <v>A</v>
      </c>
      <c r="BF19" s="33"/>
      <c r="BG19" s="33"/>
      <c r="BH19" s="34" t="str">
        <f t="shared" si="28"/>
        <v>A</v>
      </c>
      <c r="BI19" s="33"/>
      <c r="BJ19" s="33"/>
      <c r="BK19" s="34" t="str">
        <f t="shared" si="29"/>
        <v>A</v>
      </c>
      <c r="BL19" s="33"/>
      <c r="BM19" s="33"/>
      <c r="BN19" s="34" t="str">
        <f t="shared" si="4"/>
        <v>A</v>
      </c>
      <c r="BO19" s="33"/>
      <c r="BP19" s="33"/>
      <c r="BQ19" s="34" t="str">
        <f t="shared" si="5"/>
        <v>A</v>
      </c>
      <c r="BR19" s="33"/>
      <c r="BS19" s="33"/>
      <c r="BT19" s="34" t="s">
        <v>63</v>
      </c>
      <c r="BU19" s="33"/>
      <c r="BV19" s="33"/>
      <c r="BW19" s="34" t="s">
        <v>63</v>
      </c>
      <c r="BX19" s="33"/>
      <c r="BY19" s="33"/>
      <c r="BZ19" s="34" t="str">
        <f t="shared" si="6"/>
        <v>A</v>
      </c>
      <c r="CA19" s="33"/>
      <c r="CB19" s="34"/>
      <c r="CC19" s="34" t="str">
        <f t="shared" si="30"/>
        <v>A</v>
      </c>
      <c r="CD19" s="34"/>
      <c r="CE19" s="34"/>
      <c r="CF19" s="34" t="str">
        <f t="shared" si="31"/>
        <v>A</v>
      </c>
      <c r="CG19" s="34"/>
      <c r="CH19" s="34"/>
      <c r="CI19" s="34" t="str">
        <f t="shared" si="7"/>
        <v>A</v>
      </c>
      <c r="CJ19" s="34"/>
      <c r="CK19" s="34"/>
      <c r="CL19" s="34" t="str">
        <f t="shared" si="8"/>
        <v>A</v>
      </c>
      <c r="CM19" s="34"/>
      <c r="CN19" s="34"/>
      <c r="CO19" s="34" t="s">
        <v>63</v>
      </c>
      <c r="CP19" s="35">
        <f t="shared" si="9"/>
        <v>0</v>
      </c>
      <c r="CQ19" s="35">
        <f t="shared" si="10"/>
        <v>0</v>
      </c>
      <c r="CR19" s="35">
        <f t="shared" si="11"/>
        <v>0</v>
      </c>
      <c r="CS19" s="35">
        <f t="shared" si="12"/>
        <v>0</v>
      </c>
      <c r="CT19" s="35">
        <f t="shared" si="13"/>
        <v>0</v>
      </c>
      <c r="CU19" s="35">
        <f t="shared" si="14"/>
        <v>0</v>
      </c>
      <c r="CV19" s="35">
        <f t="shared" si="15"/>
        <v>0</v>
      </c>
      <c r="CW19" s="35">
        <f t="shared" si="16"/>
        <v>0</v>
      </c>
      <c r="CX19" s="35">
        <f t="shared" si="17"/>
        <v>11</v>
      </c>
      <c r="CY19" s="35">
        <f t="shared" si="18"/>
        <v>0</v>
      </c>
      <c r="CZ19" s="35">
        <f t="shared" si="19"/>
        <v>19</v>
      </c>
      <c r="DA19" s="36">
        <f t="shared" si="20"/>
        <v>19</v>
      </c>
      <c r="DB19" s="37">
        <v>31</v>
      </c>
      <c r="DC19" s="35">
        <f t="shared" si="21"/>
        <v>12</v>
      </c>
      <c r="DD19" s="38"/>
      <c r="DE19" s="38"/>
    </row>
    <row r="20" spans="1:109" ht="30.75" customHeight="1" x14ac:dyDescent="0.4">
      <c r="A20" s="30" t="s">
        <v>32</v>
      </c>
      <c r="B20" s="31"/>
      <c r="C20" s="32"/>
      <c r="D20" s="33"/>
      <c r="E20" s="33"/>
      <c r="F20" s="34" t="s">
        <v>62</v>
      </c>
      <c r="G20" s="33"/>
      <c r="H20" s="33"/>
      <c r="I20" s="34" t="s">
        <v>63</v>
      </c>
      <c r="J20" s="33"/>
      <c r="K20" s="33"/>
      <c r="L20" s="34" t="s">
        <v>63</v>
      </c>
      <c r="M20" s="33"/>
      <c r="N20" s="33"/>
      <c r="O20" s="34" t="str">
        <f t="shared" si="0"/>
        <v>A</v>
      </c>
      <c r="P20" s="33"/>
      <c r="Q20" s="33"/>
      <c r="R20" s="34" t="str">
        <f t="shared" si="22"/>
        <v>A</v>
      </c>
      <c r="S20" s="33"/>
      <c r="T20" s="33"/>
      <c r="U20" s="34" t="str">
        <f t="shared" si="23"/>
        <v>A</v>
      </c>
      <c r="V20" s="33"/>
      <c r="W20" s="33"/>
      <c r="X20" s="34" t="s">
        <v>62</v>
      </c>
      <c r="Y20" s="33"/>
      <c r="Z20" s="33"/>
      <c r="AA20" s="34" t="str">
        <f t="shared" si="24"/>
        <v>A</v>
      </c>
      <c r="AB20" s="33"/>
      <c r="AC20" s="33"/>
      <c r="AD20" s="34" t="s">
        <v>63</v>
      </c>
      <c r="AE20" s="33"/>
      <c r="AF20" s="33"/>
      <c r="AG20" s="34" t="s">
        <v>63</v>
      </c>
      <c r="AH20" s="33"/>
      <c r="AI20" s="33"/>
      <c r="AJ20" s="34" t="str">
        <f t="shared" si="1"/>
        <v>A</v>
      </c>
      <c r="AK20" s="33"/>
      <c r="AL20" s="33"/>
      <c r="AM20" s="34" t="str">
        <f t="shared" si="25"/>
        <v>A</v>
      </c>
      <c r="AN20" s="33"/>
      <c r="AO20" s="33"/>
      <c r="AP20" s="34" t="str">
        <f t="shared" si="26"/>
        <v>A</v>
      </c>
      <c r="AQ20" s="33"/>
      <c r="AR20" s="33"/>
      <c r="AS20" s="34" t="str">
        <f t="shared" si="27"/>
        <v>A</v>
      </c>
      <c r="AT20" s="33"/>
      <c r="AU20" s="33"/>
      <c r="AV20" s="34" t="str">
        <f t="shared" si="2"/>
        <v>A</v>
      </c>
      <c r="AW20" s="33"/>
      <c r="AX20" s="33"/>
      <c r="AY20" s="34" t="s">
        <v>63</v>
      </c>
      <c r="AZ20" s="33"/>
      <c r="BA20" s="33"/>
      <c r="BB20" s="34" t="s">
        <v>63</v>
      </c>
      <c r="BC20" s="33"/>
      <c r="BD20" s="33"/>
      <c r="BE20" s="34" t="str">
        <f t="shared" si="3"/>
        <v>A</v>
      </c>
      <c r="BF20" s="33"/>
      <c r="BG20" s="33"/>
      <c r="BH20" s="34" t="str">
        <f t="shared" si="28"/>
        <v>A</v>
      </c>
      <c r="BI20" s="33"/>
      <c r="BJ20" s="33"/>
      <c r="BK20" s="34" t="str">
        <f t="shared" si="29"/>
        <v>A</v>
      </c>
      <c r="BL20" s="33"/>
      <c r="BM20" s="33"/>
      <c r="BN20" s="34" t="str">
        <f t="shared" si="4"/>
        <v>A</v>
      </c>
      <c r="BO20" s="33"/>
      <c r="BP20" s="33"/>
      <c r="BQ20" s="34" t="str">
        <f t="shared" si="5"/>
        <v>A</v>
      </c>
      <c r="BR20" s="33"/>
      <c r="BS20" s="33"/>
      <c r="BT20" s="34" t="s">
        <v>63</v>
      </c>
      <c r="BU20" s="33"/>
      <c r="BV20" s="33"/>
      <c r="BW20" s="34" t="s">
        <v>63</v>
      </c>
      <c r="BX20" s="33"/>
      <c r="BY20" s="33"/>
      <c r="BZ20" s="34" t="str">
        <f t="shared" si="6"/>
        <v>A</v>
      </c>
      <c r="CA20" s="33"/>
      <c r="CB20" s="34"/>
      <c r="CC20" s="34" t="str">
        <f t="shared" si="30"/>
        <v>A</v>
      </c>
      <c r="CD20" s="34"/>
      <c r="CE20" s="34"/>
      <c r="CF20" s="34" t="str">
        <f t="shared" si="31"/>
        <v>A</v>
      </c>
      <c r="CG20" s="34"/>
      <c r="CH20" s="34"/>
      <c r="CI20" s="34" t="str">
        <f t="shared" si="7"/>
        <v>A</v>
      </c>
      <c r="CJ20" s="34"/>
      <c r="CK20" s="34"/>
      <c r="CL20" s="34" t="str">
        <f t="shared" si="8"/>
        <v>A</v>
      </c>
      <c r="CM20" s="34"/>
      <c r="CN20" s="34"/>
      <c r="CO20" s="34" t="s">
        <v>63</v>
      </c>
      <c r="CP20" s="35">
        <f t="shared" si="9"/>
        <v>0</v>
      </c>
      <c r="CQ20" s="35">
        <f t="shared" si="10"/>
        <v>0</v>
      </c>
      <c r="CR20" s="35">
        <f t="shared" si="11"/>
        <v>0</v>
      </c>
      <c r="CS20" s="35">
        <f t="shared" si="12"/>
        <v>0</v>
      </c>
      <c r="CT20" s="35">
        <f t="shared" si="13"/>
        <v>0</v>
      </c>
      <c r="CU20" s="35">
        <f t="shared" si="14"/>
        <v>0</v>
      </c>
      <c r="CV20" s="35">
        <f t="shared" si="15"/>
        <v>0</v>
      </c>
      <c r="CW20" s="35">
        <f t="shared" si="16"/>
        <v>0</v>
      </c>
      <c r="CX20" s="35">
        <f t="shared" si="17"/>
        <v>11</v>
      </c>
      <c r="CY20" s="35">
        <f t="shared" si="18"/>
        <v>0</v>
      </c>
      <c r="CZ20" s="35">
        <f t="shared" si="19"/>
        <v>19</v>
      </c>
      <c r="DA20" s="36">
        <f t="shared" si="20"/>
        <v>19</v>
      </c>
      <c r="DB20" s="37">
        <v>31</v>
      </c>
      <c r="DC20" s="35">
        <f t="shared" si="21"/>
        <v>12</v>
      </c>
      <c r="DD20" s="38"/>
      <c r="DE20" s="38"/>
    </row>
    <row r="21" spans="1:109" ht="30.75" customHeight="1" x14ac:dyDescent="0.4">
      <c r="A21" s="30" t="s">
        <v>33</v>
      </c>
      <c r="B21" s="31"/>
      <c r="C21" s="32"/>
      <c r="D21" s="33"/>
      <c r="E21" s="33"/>
      <c r="F21" s="34" t="s">
        <v>62</v>
      </c>
      <c r="G21" s="33"/>
      <c r="H21" s="33"/>
      <c r="I21" s="34" t="s">
        <v>63</v>
      </c>
      <c r="J21" s="33"/>
      <c r="K21" s="33"/>
      <c r="L21" s="34" t="s">
        <v>63</v>
      </c>
      <c r="M21" s="33"/>
      <c r="N21" s="33"/>
      <c r="O21" s="34" t="str">
        <f t="shared" si="0"/>
        <v>A</v>
      </c>
      <c r="P21" s="33"/>
      <c r="Q21" s="33"/>
      <c r="R21" s="34" t="str">
        <f t="shared" si="22"/>
        <v>A</v>
      </c>
      <c r="S21" s="33"/>
      <c r="T21" s="33"/>
      <c r="U21" s="34" t="str">
        <f t="shared" si="23"/>
        <v>A</v>
      </c>
      <c r="V21" s="33"/>
      <c r="W21" s="33"/>
      <c r="X21" s="34" t="s">
        <v>62</v>
      </c>
      <c r="Y21" s="33"/>
      <c r="Z21" s="33"/>
      <c r="AA21" s="34" t="str">
        <f t="shared" si="24"/>
        <v>A</v>
      </c>
      <c r="AB21" s="33"/>
      <c r="AC21" s="33"/>
      <c r="AD21" s="34" t="s">
        <v>63</v>
      </c>
      <c r="AE21" s="33"/>
      <c r="AF21" s="33"/>
      <c r="AG21" s="34" t="s">
        <v>63</v>
      </c>
      <c r="AH21" s="33"/>
      <c r="AI21" s="33"/>
      <c r="AJ21" s="34" t="str">
        <f t="shared" si="1"/>
        <v>A</v>
      </c>
      <c r="AK21" s="33"/>
      <c r="AL21" s="33"/>
      <c r="AM21" s="34" t="str">
        <f t="shared" si="25"/>
        <v>A</v>
      </c>
      <c r="AN21" s="33"/>
      <c r="AO21" s="33"/>
      <c r="AP21" s="34" t="str">
        <f t="shared" si="26"/>
        <v>A</v>
      </c>
      <c r="AQ21" s="33"/>
      <c r="AR21" s="33"/>
      <c r="AS21" s="34" t="str">
        <f t="shared" si="27"/>
        <v>A</v>
      </c>
      <c r="AT21" s="33"/>
      <c r="AU21" s="33"/>
      <c r="AV21" s="34" t="str">
        <f t="shared" si="2"/>
        <v>A</v>
      </c>
      <c r="AW21" s="33"/>
      <c r="AX21" s="33"/>
      <c r="AY21" s="34" t="s">
        <v>63</v>
      </c>
      <c r="AZ21" s="33"/>
      <c r="BA21" s="33"/>
      <c r="BB21" s="34" t="s">
        <v>63</v>
      </c>
      <c r="BC21" s="33"/>
      <c r="BD21" s="33"/>
      <c r="BE21" s="34" t="str">
        <f t="shared" si="3"/>
        <v>A</v>
      </c>
      <c r="BF21" s="33"/>
      <c r="BG21" s="33"/>
      <c r="BH21" s="34" t="str">
        <f t="shared" si="28"/>
        <v>A</v>
      </c>
      <c r="BI21" s="33"/>
      <c r="BJ21" s="33"/>
      <c r="BK21" s="34" t="str">
        <f t="shared" si="29"/>
        <v>A</v>
      </c>
      <c r="BL21" s="33"/>
      <c r="BM21" s="33"/>
      <c r="BN21" s="34" t="str">
        <f t="shared" si="4"/>
        <v>A</v>
      </c>
      <c r="BO21" s="33"/>
      <c r="BP21" s="33"/>
      <c r="BQ21" s="34" t="str">
        <f t="shared" si="5"/>
        <v>A</v>
      </c>
      <c r="BR21" s="33"/>
      <c r="BS21" s="33"/>
      <c r="BT21" s="34" t="s">
        <v>63</v>
      </c>
      <c r="BU21" s="33"/>
      <c r="BV21" s="33"/>
      <c r="BW21" s="34" t="s">
        <v>63</v>
      </c>
      <c r="BX21" s="33"/>
      <c r="BY21" s="33"/>
      <c r="BZ21" s="34" t="str">
        <f t="shared" si="6"/>
        <v>A</v>
      </c>
      <c r="CA21" s="33"/>
      <c r="CB21" s="34"/>
      <c r="CC21" s="34" t="str">
        <f t="shared" si="30"/>
        <v>A</v>
      </c>
      <c r="CD21" s="34"/>
      <c r="CE21" s="34"/>
      <c r="CF21" s="34" t="str">
        <f t="shared" si="31"/>
        <v>A</v>
      </c>
      <c r="CG21" s="34"/>
      <c r="CH21" s="34"/>
      <c r="CI21" s="34" t="str">
        <f t="shared" si="7"/>
        <v>A</v>
      </c>
      <c r="CJ21" s="34"/>
      <c r="CK21" s="34"/>
      <c r="CL21" s="34" t="str">
        <f t="shared" si="8"/>
        <v>A</v>
      </c>
      <c r="CM21" s="34"/>
      <c r="CN21" s="34"/>
      <c r="CO21" s="34" t="s">
        <v>63</v>
      </c>
      <c r="CP21" s="35">
        <f t="shared" si="9"/>
        <v>0</v>
      </c>
      <c r="CQ21" s="35">
        <f t="shared" si="10"/>
        <v>0</v>
      </c>
      <c r="CR21" s="35">
        <f t="shared" si="11"/>
        <v>0</v>
      </c>
      <c r="CS21" s="35">
        <f t="shared" si="12"/>
        <v>0</v>
      </c>
      <c r="CT21" s="35">
        <f t="shared" si="13"/>
        <v>0</v>
      </c>
      <c r="CU21" s="35">
        <f t="shared" si="14"/>
        <v>0</v>
      </c>
      <c r="CV21" s="35">
        <f t="shared" si="15"/>
        <v>0</v>
      </c>
      <c r="CW21" s="35">
        <f t="shared" si="16"/>
        <v>0</v>
      </c>
      <c r="CX21" s="35">
        <f t="shared" si="17"/>
        <v>11</v>
      </c>
      <c r="CY21" s="35">
        <f t="shared" si="18"/>
        <v>0</v>
      </c>
      <c r="CZ21" s="35">
        <f t="shared" si="19"/>
        <v>19</v>
      </c>
      <c r="DA21" s="36">
        <f t="shared" si="20"/>
        <v>19</v>
      </c>
      <c r="DB21" s="37">
        <v>31</v>
      </c>
      <c r="DC21" s="35">
        <f t="shared" si="21"/>
        <v>12</v>
      </c>
      <c r="DD21" s="38"/>
      <c r="DE21" s="38"/>
    </row>
    <row r="22" spans="1:109" ht="30.75" customHeight="1" x14ac:dyDescent="0.4">
      <c r="A22" s="30" t="s">
        <v>34</v>
      </c>
      <c r="B22" s="31"/>
      <c r="C22" s="32"/>
      <c r="D22" s="33"/>
      <c r="E22" s="33"/>
      <c r="F22" s="34" t="s">
        <v>62</v>
      </c>
      <c r="G22" s="33"/>
      <c r="H22" s="33"/>
      <c r="I22" s="34" t="s">
        <v>63</v>
      </c>
      <c r="J22" s="33"/>
      <c r="K22" s="33"/>
      <c r="L22" s="34" t="s">
        <v>63</v>
      </c>
      <c r="M22" s="33"/>
      <c r="N22" s="33"/>
      <c r="O22" s="34" t="str">
        <f t="shared" si="0"/>
        <v>A</v>
      </c>
      <c r="P22" s="33"/>
      <c r="Q22" s="33"/>
      <c r="R22" s="34" t="str">
        <f t="shared" si="22"/>
        <v>A</v>
      </c>
      <c r="S22" s="33"/>
      <c r="T22" s="33"/>
      <c r="U22" s="34" t="str">
        <f t="shared" si="23"/>
        <v>A</v>
      </c>
      <c r="V22" s="33"/>
      <c r="W22" s="33"/>
      <c r="X22" s="34" t="s">
        <v>62</v>
      </c>
      <c r="Y22" s="33"/>
      <c r="Z22" s="33"/>
      <c r="AA22" s="34" t="str">
        <f t="shared" si="24"/>
        <v>A</v>
      </c>
      <c r="AB22" s="33"/>
      <c r="AC22" s="33"/>
      <c r="AD22" s="34" t="s">
        <v>63</v>
      </c>
      <c r="AE22" s="33"/>
      <c r="AF22" s="33"/>
      <c r="AG22" s="34" t="s">
        <v>63</v>
      </c>
      <c r="AH22" s="33"/>
      <c r="AI22" s="33"/>
      <c r="AJ22" s="34" t="str">
        <f t="shared" si="1"/>
        <v>A</v>
      </c>
      <c r="AK22" s="33"/>
      <c r="AL22" s="33"/>
      <c r="AM22" s="34" t="str">
        <f t="shared" si="25"/>
        <v>A</v>
      </c>
      <c r="AN22" s="33"/>
      <c r="AO22" s="33"/>
      <c r="AP22" s="34" t="str">
        <f t="shared" si="26"/>
        <v>A</v>
      </c>
      <c r="AQ22" s="33"/>
      <c r="AR22" s="33"/>
      <c r="AS22" s="34" t="str">
        <f t="shared" si="27"/>
        <v>A</v>
      </c>
      <c r="AT22" s="33"/>
      <c r="AU22" s="33"/>
      <c r="AV22" s="34" t="str">
        <f t="shared" si="2"/>
        <v>A</v>
      </c>
      <c r="AW22" s="33"/>
      <c r="AX22" s="33"/>
      <c r="AY22" s="34" t="s">
        <v>63</v>
      </c>
      <c r="AZ22" s="33"/>
      <c r="BA22" s="33"/>
      <c r="BB22" s="34" t="s">
        <v>63</v>
      </c>
      <c r="BC22" s="33"/>
      <c r="BD22" s="33"/>
      <c r="BE22" s="34" t="str">
        <f t="shared" si="3"/>
        <v>A</v>
      </c>
      <c r="BF22" s="33"/>
      <c r="BG22" s="33"/>
      <c r="BH22" s="34" t="str">
        <f t="shared" si="28"/>
        <v>A</v>
      </c>
      <c r="BI22" s="33"/>
      <c r="BJ22" s="33"/>
      <c r="BK22" s="34" t="str">
        <f t="shared" si="29"/>
        <v>A</v>
      </c>
      <c r="BL22" s="33"/>
      <c r="BM22" s="33"/>
      <c r="BN22" s="34" t="str">
        <f t="shared" si="4"/>
        <v>A</v>
      </c>
      <c r="BO22" s="33"/>
      <c r="BP22" s="33"/>
      <c r="BQ22" s="34" t="str">
        <f t="shared" si="5"/>
        <v>A</v>
      </c>
      <c r="BR22" s="33"/>
      <c r="BS22" s="33"/>
      <c r="BT22" s="34" t="s">
        <v>63</v>
      </c>
      <c r="BU22" s="33"/>
      <c r="BV22" s="33"/>
      <c r="BW22" s="34" t="s">
        <v>63</v>
      </c>
      <c r="BX22" s="33"/>
      <c r="BY22" s="33"/>
      <c r="BZ22" s="34" t="str">
        <f t="shared" si="6"/>
        <v>A</v>
      </c>
      <c r="CA22" s="33"/>
      <c r="CB22" s="34"/>
      <c r="CC22" s="34" t="str">
        <f t="shared" si="30"/>
        <v>A</v>
      </c>
      <c r="CD22" s="34"/>
      <c r="CE22" s="34"/>
      <c r="CF22" s="34" t="str">
        <f t="shared" si="31"/>
        <v>A</v>
      </c>
      <c r="CG22" s="34"/>
      <c r="CH22" s="34"/>
      <c r="CI22" s="34" t="str">
        <f t="shared" si="7"/>
        <v>A</v>
      </c>
      <c r="CJ22" s="34"/>
      <c r="CK22" s="34"/>
      <c r="CL22" s="34" t="str">
        <f t="shared" si="8"/>
        <v>A</v>
      </c>
      <c r="CM22" s="34"/>
      <c r="CN22" s="34"/>
      <c r="CO22" s="34" t="s">
        <v>63</v>
      </c>
      <c r="CP22" s="35">
        <f t="shared" si="9"/>
        <v>0</v>
      </c>
      <c r="CQ22" s="35">
        <f t="shared" si="10"/>
        <v>0</v>
      </c>
      <c r="CR22" s="35">
        <f t="shared" si="11"/>
        <v>0</v>
      </c>
      <c r="CS22" s="35">
        <f t="shared" si="12"/>
        <v>0</v>
      </c>
      <c r="CT22" s="35">
        <f t="shared" si="13"/>
        <v>0</v>
      </c>
      <c r="CU22" s="35">
        <f t="shared" si="14"/>
        <v>0</v>
      </c>
      <c r="CV22" s="35">
        <f t="shared" si="15"/>
        <v>0</v>
      </c>
      <c r="CW22" s="35">
        <f t="shared" si="16"/>
        <v>0</v>
      </c>
      <c r="CX22" s="35">
        <f t="shared" si="17"/>
        <v>11</v>
      </c>
      <c r="CY22" s="35">
        <f t="shared" si="18"/>
        <v>0</v>
      </c>
      <c r="CZ22" s="35">
        <f t="shared" si="19"/>
        <v>19</v>
      </c>
      <c r="DA22" s="36">
        <f t="shared" si="20"/>
        <v>19</v>
      </c>
      <c r="DB22" s="37">
        <v>31</v>
      </c>
      <c r="DC22" s="35">
        <f t="shared" si="21"/>
        <v>12</v>
      </c>
      <c r="DD22" s="38"/>
      <c r="DE22" s="38"/>
    </row>
    <row r="23" spans="1:109" ht="30.75" customHeight="1" x14ac:dyDescent="0.4">
      <c r="A23" s="30" t="s">
        <v>35</v>
      </c>
      <c r="B23" s="31"/>
      <c r="C23" s="32"/>
      <c r="D23" s="33"/>
      <c r="E23" s="33"/>
      <c r="F23" s="34" t="s">
        <v>62</v>
      </c>
      <c r="G23" s="33"/>
      <c r="H23" s="33"/>
      <c r="I23" s="34" t="s">
        <v>63</v>
      </c>
      <c r="J23" s="33"/>
      <c r="K23" s="33"/>
      <c r="L23" s="34" t="s">
        <v>63</v>
      </c>
      <c r="M23" s="33"/>
      <c r="N23" s="33"/>
      <c r="O23" s="34" t="str">
        <f t="shared" si="0"/>
        <v>A</v>
      </c>
      <c r="P23" s="33"/>
      <c r="Q23" s="33"/>
      <c r="R23" s="34" t="str">
        <f t="shared" si="22"/>
        <v>A</v>
      </c>
      <c r="S23" s="33"/>
      <c r="T23" s="33"/>
      <c r="U23" s="34" t="str">
        <f t="shared" si="23"/>
        <v>A</v>
      </c>
      <c r="V23" s="33"/>
      <c r="W23" s="33"/>
      <c r="X23" s="34" t="s">
        <v>62</v>
      </c>
      <c r="Y23" s="33"/>
      <c r="Z23" s="33"/>
      <c r="AA23" s="34" t="str">
        <f t="shared" si="24"/>
        <v>A</v>
      </c>
      <c r="AB23" s="33"/>
      <c r="AC23" s="33"/>
      <c r="AD23" s="34" t="s">
        <v>63</v>
      </c>
      <c r="AE23" s="33"/>
      <c r="AF23" s="33"/>
      <c r="AG23" s="34" t="s">
        <v>63</v>
      </c>
      <c r="AH23" s="33"/>
      <c r="AI23" s="33"/>
      <c r="AJ23" s="34" t="str">
        <f t="shared" si="1"/>
        <v>A</v>
      </c>
      <c r="AK23" s="33"/>
      <c r="AL23" s="33"/>
      <c r="AM23" s="34" t="str">
        <f t="shared" si="25"/>
        <v>A</v>
      </c>
      <c r="AN23" s="33"/>
      <c r="AO23" s="33"/>
      <c r="AP23" s="34" t="str">
        <f t="shared" si="26"/>
        <v>A</v>
      </c>
      <c r="AQ23" s="33"/>
      <c r="AR23" s="33"/>
      <c r="AS23" s="34" t="str">
        <f t="shared" si="27"/>
        <v>A</v>
      </c>
      <c r="AT23" s="33"/>
      <c r="AU23" s="33"/>
      <c r="AV23" s="34" t="str">
        <f t="shared" si="2"/>
        <v>A</v>
      </c>
      <c r="AW23" s="33"/>
      <c r="AX23" s="33"/>
      <c r="AY23" s="34" t="s">
        <v>63</v>
      </c>
      <c r="AZ23" s="33"/>
      <c r="BA23" s="33"/>
      <c r="BB23" s="34" t="s">
        <v>63</v>
      </c>
      <c r="BC23" s="33"/>
      <c r="BD23" s="33"/>
      <c r="BE23" s="34" t="str">
        <f t="shared" si="3"/>
        <v>A</v>
      </c>
      <c r="BF23" s="33"/>
      <c r="BG23" s="33"/>
      <c r="BH23" s="34" t="str">
        <f t="shared" si="28"/>
        <v>A</v>
      </c>
      <c r="BI23" s="33"/>
      <c r="BJ23" s="33"/>
      <c r="BK23" s="34" t="str">
        <f t="shared" si="29"/>
        <v>A</v>
      </c>
      <c r="BL23" s="33"/>
      <c r="BM23" s="33"/>
      <c r="BN23" s="34" t="str">
        <f t="shared" si="4"/>
        <v>A</v>
      </c>
      <c r="BO23" s="33"/>
      <c r="BP23" s="33"/>
      <c r="BQ23" s="34" t="str">
        <f t="shared" si="5"/>
        <v>A</v>
      </c>
      <c r="BR23" s="33"/>
      <c r="BS23" s="33"/>
      <c r="BT23" s="34" t="s">
        <v>63</v>
      </c>
      <c r="BU23" s="33"/>
      <c r="BV23" s="33"/>
      <c r="BW23" s="34" t="s">
        <v>63</v>
      </c>
      <c r="BX23" s="33"/>
      <c r="BY23" s="33"/>
      <c r="BZ23" s="34" t="str">
        <f t="shared" si="6"/>
        <v>A</v>
      </c>
      <c r="CA23" s="33"/>
      <c r="CB23" s="34"/>
      <c r="CC23" s="34" t="str">
        <f t="shared" si="30"/>
        <v>A</v>
      </c>
      <c r="CD23" s="34"/>
      <c r="CE23" s="34"/>
      <c r="CF23" s="34" t="str">
        <f t="shared" si="31"/>
        <v>A</v>
      </c>
      <c r="CG23" s="34"/>
      <c r="CH23" s="34"/>
      <c r="CI23" s="34" t="str">
        <f t="shared" si="7"/>
        <v>A</v>
      </c>
      <c r="CJ23" s="34"/>
      <c r="CK23" s="34"/>
      <c r="CL23" s="34" t="str">
        <f t="shared" si="8"/>
        <v>A</v>
      </c>
      <c r="CM23" s="34"/>
      <c r="CN23" s="34"/>
      <c r="CO23" s="34" t="s">
        <v>63</v>
      </c>
      <c r="CP23" s="35">
        <f t="shared" si="9"/>
        <v>0</v>
      </c>
      <c r="CQ23" s="35">
        <f t="shared" si="10"/>
        <v>0</v>
      </c>
      <c r="CR23" s="35">
        <f t="shared" si="11"/>
        <v>0</v>
      </c>
      <c r="CS23" s="35">
        <f t="shared" si="12"/>
        <v>0</v>
      </c>
      <c r="CT23" s="35">
        <f t="shared" si="13"/>
        <v>0</v>
      </c>
      <c r="CU23" s="35">
        <f t="shared" si="14"/>
        <v>0</v>
      </c>
      <c r="CV23" s="35">
        <f t="shared" si="15"/>
        <v>0</v>
      </c>
      <c r="CW23" s="35">
        <f t="shared" si="16"/>
        <v>0</v>
      </c>
      <c r="CX23" s="35">
        <f t="shared" si="17"/>
        <v>11</v>
      </c>
      <c r="CY23" s="35">
        <f t="shared" si="18"/>
        <v>0</v>
      </c>
      <c r="CZ23" s="35">
        <f t="shared" si="19"/>
        <v>19</v>
      </c>
      <c r="DA23" s="36">
        <f t="shared" si="20"/>
        <v>19</v>
      </c>
      <c r="DB23" s="37">
        <v>31</v>
      </c>
      <c r="DC23" s="35">
        <f t="shared" si="21"/>
        <v>12</v>
      </c>
      <c r="DD23" s="38"/>
      <c r="DE23" s="38"/>
    </row>
    <row r="24" spans="1:109" ht="30.75" customHeight="1" x14ac:dyDescent="0.4">
      <c r="A24" s="30" t="s">
        <v>36</v>
      </c>
      <c r="B24" s="31"/>
      <c r="C24" s="32"/>
      <c r="D24" s="33"/>
      <c r="E24" s="33"/>
      <c r="F24" s="34" t="s">
        <v>62</v>
      </c>
      <c r="G24" s="33"/>
      <c r="H24" s="33"/>
      <c r="I24" s="34" t="s">
        <v>63</v>
      </c>
      <c r="J24" s="33"/>
      <c r="K24" s="33"/>
      <c r="L24" s="34" t="s">
        <v>63</v>
      </c>
      <c r="M24" s="33"/>
      <c r="N24" s="33"/>
      <c r="O24" s="34" t="str">
        <f t="shared" si="0"/>
        <v>A</v>
      </c>
      <c r="P24" s="33"/>
      <c r="Q24" s="33"/>
      <c r="R24" s="34" t="str">
        <f t="shared" si="22"/>
        <v>A</v>
      </c>
      <c r="S24" s="33"/>
      <c r="T24" s="33"/>
      <c r="U24" s="34" t="str">
        <f t="shared" si="23"/>
        <v>A</v>
      </c>
      <c r="V24" s="33"/>
      <c r="W24" s="33"/>
      <c r="X24" s="34" t="s">
        <v>62</v>
      </c>
      <c r="Y24" s="33"/>
      <c r="Z24" s="33"/>
      <c r="AA24" s="34" t="str">
        <f t="shared" si="24"/>
        <v>A</v>
      </c>
      <c r="AB24" s="33"/>
      <c r="AC24" s="33"/>
      <c r="AD24" s="34" t="s">
        <v>63</v>
      </c>
      <c r="AE24" s="33"/>
      <c r="AF24" s="33"/>
      <c r="AG24" s="34" t="s">
        <v>63</v>
      </c>
      <c r="AH24" s="33"/>
      <c r="AI24" s="33"/>
      <c r="AJ24" s="34" t="str">
        <f t="shared" si="1"/>
        <v>A</v>
      </c>
      <c r="AK24" s="33"/>
      <c r="AL24" s="33"/>
      <c r="AM24" s="34" t="str">
        <f t="shared" si="25"/>
        <v>A</v>
      </c>
      <c r="AN24" s="33"/>
      <c r="AO24" s="33"/>
      <c r="AP24" s="34" t="str">
        <f t="shared" si="26"/>
        <v>A</v>
      </c>
      <c r="AQ24" s="33"/>
      <c r="AR24" s="33"/>
      <c r="AS24" s="34" t="str">
        <f t="shared" si="27"/>
        <v>A</v>
      </c>
      <c r="AT24" s="33"/>
      <c r="AU24" s="33"/>
      <c r="AV24" s="34" t="str">
        <f t="shared" si="2"/>
        <v>A</v>
      </c>
      <c r="AW24" s="33"/>
      <c r="AX24" s="33"/>
      <c r="AY24" s="34" t="s">
        <v>63</v>
      </c>
      <c r="AZ24" s="33"/>
      <c r="BA24" s="33"/>
      <c r="BB24" s="34" t="s">
        <v>63</v>
      </c>
      <c r="BC24" s="33"/>
      <c r="BD24" s="33"/>
      <c r="BE24" s="34" t="str">
        <f t="shared" si="3"/>
        <v>A</v>
      </c>
      <c r="BF24" s="33"/>
      <c r="BG24" s="33"/>
      <c r="BH24" s="34" t="str">
        <f t="shared" si="28"/>
        <v>A</v>
      </c>
      <c r="BI24" s="33"/>
      <c r="BJ24" s="33"/>
      <c r="BK24" s="34" t="str">
        <f t="shared" si="29"/>
        <v>A</v>
      </c>
      <c r="BL24" s="33"/>
      <c r="BM24" s="33"/>
      <c r="BN24" s="34" t="str">
        <f t="shared" si="4"/>
        <v>A</v>
      </c>
      <c r="BO24" s="33"/>
      <c r="BP24" s="33"/>
      <c r="BQ24" s="34" t="str">
        <f t="shared" si="5"/>
        <v>A</v>
      </c>
      <c r="BR24" s="33"/>
      <c r="BS24" s="33"/>
      <c r="BT24" s="34" t="s">
        <v>63</v>
      </c>
      <c r="BU24" s="33"/>
      <c r="BV24" s="33"/>
      <c r="BW24" s="34" t="s">
        <v>63</v>
      </c>
      <c r="BX24" s="33"/>
      <c r="BY24" s="33"/>
      <c r="BZ24" s="34" t="str">
        <f t="shared" si="6"/>
        <v>A</v>
      </c>
      <c r="CA24" s="33"/>
      <c r="CB24" s="34"/>
      <c r="CC24" s="34" t="str">
        <f t="shared" si="30"/>
        <v>A</v>
      </c>
      <c r="CD24" s="34"/>
      <c r="CE24" s="34"/>
      <c r="CF24" s="34" t="str">
        <f t="shared" si="31"/>
        <v>A</v>
      </c>
      <c r="CG24" s="34"/>
      <c r="CH24" s="34"/>
      <c r="CI24" s="34" t="str">
        <f t="shared" si="7"/>
        <v>A</v>
      </c>
      <c r="CJ24" s="34"/>
      <c r="CK24" s="34"/>
      <c r="CL24" s="34" t="str">
        <f t="shared" si="8"/>
        <v>A</v>
      </c>
      <c r="CM24" s="34"/>
      <c r="CN24" s="34"/>
      <c r="CO24" s="34" t="s">
        <v>63</v>
      </c>
      <c r="CP24" s="35">
        <f t="shared" si="9"/>
        <v>0</v>
      </c>
      <c r="CQ24" s="35">
        <f t="shared" si="10"/>
        <v>0</v>
      </c>
      <c r="CR24" s="35">
        <f t="shared" si="11"/>
        <v>0</v>
      </c>
      <c r="CS24" s="35">
        <f t="shared" si="12"/>
        <v>0</v>
      </c>
      <c r="CT24" s="35">
        <f t="shared" si="13"/>
        <v>0</v>
      </c>
      <c r="CU24" s="35">
        <f t="shared" si="14"/>
        <v>0</v>
      </c>
      <c r="CV24" s="35">
        <f t="shared" si="15"/>
        <v>0</v>
      </c>
      <c r="CW24" s="35">
        <f t="shared" si="16"/>
        <v>0</v>
      </c>
      <c r="CX24" s="35">
        <f t="shared" si="17"/>
        <v>11</v>
      </c>
      <c r="CY24" s="35">
        <f t="shared" si="18"/>
        <v>0</v>
      </c>
      <c r="CZ24" s="35">
        <f t="shared" si="19"/>
        <v>19</v>
      </c>
      <c r="DA24" s="36">
        <f t="shared" si="20"/>
        <v>19</v>
      </c>
      <c r="DB24" s="37">
        <v>31</v>
      </c>
      <c r="DC24" s="35">
        <f t="shared" si="21"/>
        <v>12</v>
      </c>
      <c r="DD24" s="38"/>
      <c r="DE24" s="38"/>
    </row>
    <row r="25" spans="1:109" ht="30.75" customHeight="1" x14ac:dyDescent="0.4">
      <c r="A25" s="30" t="s">
        <v>37</v>
      </c>
      <c r="B25" s="31"/>
      <c r="C25" s="32"/>
      <c r="D25" s="33"/>
      <c r="E25" s="33"/>
      <c r="F25" s="34" t="s">
        <v>62</v>
      </c>
      <c r="G25" s="33"/>
      <c r="H25" s="33"/>
      <c r="I25" s="34" t="s">
        <v>63</v>
      </c>
      <c r="J25" s="33"/>
      <c r="K25" s="33"/>
      <c r="L25" s="34" t="s">
        <v>63</v>
      </c>
      <c r="M25" s="33"/>
      <c r="N25" s="33"/>
      <c r="O25" s="34" t="str">
        <f t="shared" si="0"/>
        <v>A</v>
      </c>
      <c r="P25" s="33"/>
      <c r="Q25" s="33"/>
      <c r="R25" s="34" t="str">
        <f t="shared" si="22"/>
        <v>A</v>
      </c>
      <c r="S25" s="33"/>
      <c r="T25" s="33"/>
      <c r="U25" s="34" t="str">
        <f t="shared" si="23"/>
        <v>A</v>
      </c>
      <c r="V25" s="33"/>
      <c r="W25" s="33"/>
      <c r="X25" s="34" t="s">
        <v>62</v>
      </c>
      <c r="Y25" s="33"/>
      <c r="Z25" s="33"/>
      <c r="AA25" s="34" t="str">
        <f t="shared" si="24"/>
        <v>A</v>
      </c>
      <c r="AB25" s="33"/>
      <c r="AC25" s="33"/>
      <c r="AD25" s="34" t="s">
        <v>63</v>
      </c>
      <c r="AE25" s="33"/>
      <c r="AF25" s="33"/>
      <c r="AG25" s="34" t="s">
        <v>63</v>
      </c>
      <c r="AH25" s="33"/>
      <c r="AI25" s="33"/>
      <c r="AJ25" s="34" t="str">
        <f t="shared" si="1"/>
        <v>A</v>
      </c>
      <c r="AK25" s="33"/>
      <c r="AL25" s="33"/>
      <c r="AM25" s="34" t="str">
        <f t="shared" si="25"/>
        <v>A</v>
      </c>
      <c r="AN25" s="33"/>
      <c r="AO25" s="33"/>
      <c r="AP25" s="34" t="str">
        <f t="shared" si="26"/>
        <v>A</v>
      </c>
      <c r="AQ25" s="33"/>
      <c r="AR25" s="33"/>
      <c r="AS25" s="34" t="str">
        <f t="shared" si="27"/>
        <v>A</v>
      </c>
      <c r="AT25" s="33"/>
      <c r="AU25" s="33"/>
      <c r="AV25" s="34" t="str">
        <f t="shared" si="2"/>
        <v>A</v>
      </c>
      <c r="AW25" s="33"/>
      <c r="AX25" s="33"/>
      <c r="AY25" s="34" t="s">
        <v>63</v>
      </c>
      <c r="AZ25" s="33"/>
      <c r="BA25" s="33"/>
      <c r="BB25" s="34" t="s">
        <v>63</v>
      </c>
      <c r="BC25" s="33"/>
      <c r="BD25" s="33"/>
      <c r="BE25" s="34" t="str">
        <f t="shared" si="3"/>
        <v>A</v>
      </c>
      <c r="BF25" s="33"/>
      <c r="BG25" s="33"/>
      <c r="BH25" s="34" t="str">
        <f t="shared" si="28"/>
        <v>A</v>
      </c>
      <c r="BI25" s="33"/>
      <c r="BJ25" s="33"/>
      <c r="BK25" s="34" t="str">
        <f t="shared" si="29"/>
        <v>A</v>
      </c>
      <c r="BL25" s="33"/>
      <c r="BM25" s="33"/>
      <c r="BN25" s="34" t="str">
        <f t="shared" si="4"/>
        <v>A</v>
      </c>
      <c r="BO25" s="33"/>
      <c r="BP25" s="33"/>
      <c r="BQ25" s="34" t="str">
        <f t="shared" si="5"/>
        <v>A</v>
      </c>
      <c r="BR25" s="33"/>
      <c r="BS25" s="33"/>
      <c r="BT25" s="34" t="s">
        <v>63</v>
      </c>
      <c r="BU25" s="33"/>
      <c r="BV25" s="33"/>
      <c r="BW25" s="34" t="s">
        <v>63</v>
      </c>
      <c r="BX25" s="33"/>
      <c r="BY25" s="33"/>
      <c r="BZ25" s="34" t="str">
        <f t="shared" si="6"/>
        <v>A</v>
      </c>
      <c r="CA25" s="33"/>
      <c r="CB25" s="34"/>
      <c r="CC25" s="34" t="str">
        <f t="shared" si="30"/>
        <v>A</v>
      </c>
      <c r="CD25" s="34"/>
      <c r="CE25" s="34"/>
      <c r="CF25" s="34" t="str">
        <f t="shared" si="31"/>
        <v>A</v>
      </c>
      <c r="CG25" s="34"/>
      <c r="CH25" s="34"/>
      <c r="CI25" s="34" t="str">
        <f t="shared" si="7"/>
        <v>A</v>
      </c>
      <c r="CJ25" s="34"/>
      <c r="CK25" s="34"/>
      <c r="CL25" s="34" t="str">
        <f t="shared" si="8"/>
        <v>A</v>
      </c>
      <c r="CM25" s="34"/>
      <c r="CN25" s="34"/>
      <c r="CO25" s="34" t="s">
        <v>63</v>
      </c>
      <c r="CP25" s="35">
        <f t="shared" si="9"/>
        <v>0</v>
      </c>
      <c r="CQ25" s="35">
        <f t="shared" si="10"/>
        <v>0</v>
      </c>
      <c r="CR25" s="35">
        <f t="shared" si="11"/>
        <v>0</v>
      </c>
      <c r="CS25" s="35">
        <f t="shared" si="12"/>
        <v>0</v>
      </c>
      <c r="CT25" s="35">
        <f t="shared" si="13"/>
        <v>0</v>
      </c>
      <c r="CU25" s="35">
        <f t="shared" si="14"/>
        <v>0</v>
      </c>
      <c r="CV25" s="35">
        <f t="shared" si="15"/>
        <v>0</v>
      </c>
      <c r="CW25" s="35">
        <f t="shared" si="16"/>
        <v>0</v>
      </c>
      <c r="CX25" s="35">
        <f t="shared" si="17"/>
        <v>11</v>
      </c>
      <c r="CY25" s="35">
        <f t="shared" si="18"/>
        <v>0</v>
      </c>
      <c r="CZ25" s="35">
        <f t="shared" si="19"/>
        <v>19</v>
      </c>
      <c r="DA25" s="36">
        <f t="shared" si="20"/>
        <v>19</v>
      </c>
      <c r="DB25" s="37">
        <v>31</v>
      </c>
      <c r="DC25" s="35">
        <f t="shared" si="21"/>
        <v>12</v>
      </c>
      <c r="DD25" s="38"/>
      <c r="DE25" s="38"/>
    </row>
    <row r="26" spans="1:109" ht="30.75" customHeight="1" x14ac:dyDescent="0.4">
      <c r="A26" s="30" t="s">
        <v>38</v>
      </c>
      <c r="B26" s="31"/>
      <c r="C26" s="32"/>
      <c r="D26" s="33"/>
      <c r="E26" s="33"/>
      <c r="F26" s="34" t="s">
        <v>62</v>
      </c>
      <c r="G26" s="33"/>
      <c r="H26" s="33"/>
      <c r="I26" s="34" t="s">
        <v>63</v>
      </c>
      <c r="J26" s="33"/>
      <c r="K26" s="33"/>
      <c r="L26" s="34" t="s">
        <v>63</v>
      </c>
      <c r="M26" s="33"/>
      <c r="N26" s="33"/>
      <c r="O26" s="34" t="str">
        <f t="shared" si="0"/>
        <v>A</v>
      </c>
      <c r="P26" s="33"/>
      <c r="Q26" s="33"/>
      <c r="R26" s="34" t="str">
        <f t="shared" si="22"/>
        <v>A</v>
      </c>
      <c r="S26" s="33"/>
      <c r="T26" s="33"/>
      <c r="U26" s="34" t="str">
        <f t="shared" si="23"/>
        <v>A</v>
      </c>
      <c r="V26" s="33"/>
      <c r="W26" s="33"/>
      <c r="X26" s="34" t="s">
        <v>62</v>
      </c>
      <c r="Y26" s="33"/>
      <c r="Z26" s="33"/>
      <c r="AA26" s="34" t="str">
        <f t="shared" si="24"/>
        <v>A</v>
      </c>
      <c r="AB26" s="33"/>
      <c r="AC26" s="33"/>
      <c r="AD26" s="34" t="s">
        <v>63</v>
      </c>
      <c r="AE26" s="33"/>
      <c r="AF26" s="33"/>
      <c r="AG26" s="34" t="s">
        <v>63</v>
      </c>
      <c r="AH26" s="33"/>
      <c r="AI26" s="33"/>
      <c r="AJ26" s="34" t="str">
        <f t="shared" si="1"/>
        <v>A</v>
      </c>
      <c r="AK26" s="33"/>
      <c r="AL26" s="33"/>
      <c r="AM26" s="34" t="str">
        <f t="shared" si="25"/>
        <v>A</v>
      </c>
      <c r="AN26" s="33"/>
      <c r="AO26" s="33"/>
      <c r="AP26" s="34" t="str">
        <f t="shared" si="26"/>
        <v>A</v>
      </c>
      <c r="AQ26" s="33"/>
      <c r="AR26" s="33"/>
      <c r="AS26" s="34" t="str">
        <f t="shared" si="27"/>
        <v>A</v>
      </c>
      <c r="AT26" s="33"/>
      <c r="AU26" s="33"/>
      <c r="AV26" s="34" t="str">
        <f t="shared" si="2"/>
        <v>A</v>
      </c>
      <c r="AW26" s="33"/>
      <c r="AX26" s="33"/>
      <c r="AY26" s="34" t="s">
        <v>63</v>
      </c>
      <c r="AZ26" s="33"/>
      <c r="BA26" s="33"/>
      <c r="BB26" s="34" t="s">
        <v>63</v>
      </c>
      <c r="BC26" s="33"/>
      <c r="BD26" s="33"/>
      <c r="BE26" s="34" t="str">
        <f t="shared" si="3"/>
        <v>A</v>
      </c>
      <c r="BF26" s="33"/>
      <c r="BG26" s="33"/>
      <c r="BH26" s="34" t="str">
        <f t="shared" si="28"/>
        <v>A</v>
      </c>
      <c r="BI26" s="33"/>
      <c r="BJ26" s="33"/>
      <c r="BK26" s="34" t="str">
        <f t="shared" si="29"/>
        <v>A</v>
      </c>
      <c r="BL26" s="33"/>
      <c r="BM26" s="33"/>
      <c r="BN26" s="34" t="str">
        <f t="shared" si="4"/>
        <v>A</v>
      </c>
      <c r="BO26" s="33"/>
      <c r="BP26" s="33"/>
      <c r="BQ26" s="34" t="str">
        <f t="shared" si="5"/>
        <v>A</v>
      </c>
      <c r="BR26" s="33"/>
      <c r="BS26" s="33"/>
      <c r="BT26" s="34" t="s">
        <v>63</v>
      </c>
      <c r="BU26" s="33"/>
      <c r="BV26" s="33"/>
      <c r="BW26" s="34" t="s">
        <v>63</v>
      </c>
      <c r="BX26" s="33"/>
      <c r="BY26" s="33"/>
      <c r="BZ26" s="34" t="str">
        <f t="shared" si="6"/>
        <v>A</v>
      </c>
      <c r="CA26" s="33"/>
      <c r="CB26" s="34"/>
      <c r="CC26" s="34" t="str">
        <f t="shared" si="30"/>
        <v>A</v>
      </c>
      <c r="CD26" s="34"/>
      <c r="CE26" s="34"/>
      <c r="CF26" s="34" t="str">
        <f t="shared" si="31"/>
        <v>A</v>
      </c>
      <c r="CG26" s="34"/>
      <c r="CH26" s="34"/>
      <c r="CI26" s="34" t="str">
        <f t="shared" si="7"/>
        <v>A</v>
      </c>
      <c r="CJ26" s="34"/>
      <c r="CK26" s="34"/>
      <c r="CL26" s="34" t="str">
        <f t="shared" si="8"/>
        <v>A</v>
      </c>
      <c r="CM26" s="34"/>
      <c r="CN26" s="34"/>
      <c r="CO26" s="34" t="s">
        <v>63</v>
      </c>
      <c r="CP26" s="35">
        <f t="shared" si="9"/>
        <v>0</v>
      </c>
      <c r="CQ26" s="35">
        <f t="shared" si="10"/>
        <v>0</v>
      </c>
      <c r="CR26" s="35">
        <f t="shared" si="11"/>
        <v>0</v>
      </c>
      <c r="CS26" s="35">
        <f t="shared" si="12"/>
        <v>0</v>
      </c>
      <c r="CT26" s="35">
        <f t="shared" si="13"/>
        <v>0</v>
      </c>
      <c r="CU26" s="35">
        <f t="shared" si="14"/>
        <v>0</v>
      </c>
      <c r="CV26" s="35">
        <f t="shared" si="15"/>
        <v>0</v>
      </c>
      <c r="CW26" s="35">
        <f t="shared" si="16"/>
        <v>0</v>
      </c>
      <c r="CX26" s="35">
        <f t="shared" si="17"/>
        <v>11</v>
      </c>
      <c r="CY26" s="35">
        <f t="shared" si="18"/>
        <v>0</v>
      </c>
      <c r="CZ26" s="35">
        <f t="shared" si="19"/>
        <v>19</v>
      </c>
      <c r="DA26" s="36">
        <f t="shared" si="20"/>
        <v>19</v>
      </c>
      <c r="DB26" s="37">
        <v>31</v>
      </c>
      <c r="DC26" s="35">
        <f t="shared" si="21"/>
        <v>12</v>
      </c>
      <c r="DD26" s="38"/>
      <c r="DE26" s="38"/>
    </row>
    <row r="27" spans="1:109" ht="30.75" customHeight="1" x14ac:dyDescent="0.4">
      <c r="A27" s="30" t="s">
        <v>39</v>
      </c>
      <c r="B27" s="31"/>
      <c r="C27" s="32"/>
      <c r="D27" s="33"/>
      <c r="E27" s="33"/>
      <c r="F27" s="34" t="s">
        <v>62</v>
      </c>
      <c r="G27" s="33"/>
      <c r="H27" s="33"/>
      <c r="I27" s="34" t="s">
        <v>63</v>
      </c>
      <c r="J27" s="33"/>
      <c r="K27" s="33"/>
      <c r="L27" s="34" t="s">
        <v>63</v>
      </c>
      <c r="M27" s="33"/>
      <c r="N27" s="33"/>
      <c r="O27" s="34" t="str">
        <f t="shared" si="0"/>
        <v>A</v>
      </c>
      <c r="P27" s="33"/>
      <c r="Q27" s="33"/>
      <c r="R27" s="34" t="str">
        <f t="shared" si="22"/>
        <v>A</v>
      </c>
      <c r="S27" s="33"/>
      <c r="T27" s="33"/>
      <c r="U27" s="34" t="str">
        <f t="shared" si="23"/>
        <v>A</v>
      </c>
      <c r="V27" s="33"/>
      <c r="W27" s="33"/>
      <c r="X27" s="34" t="s">
        <v>62</v>
      </c>
      <c r="Y27" s="33"/>
      <c r="Z27" s="33"/>
      <c r="AA27" s="34" t="str">
        <f t="shared" si="24"/>
        <v>A</v>
      </c>
      <c r="AB27" s="33"/>
      <c r="AC27" s="33"/>
      <c r="AD27" s="34" t="s">
        <v>63</v>
      </c>
      <c r="AE27" s="33"/>
      <c r="AF27" s="33"/>
      <c r="AG27" s="34" t="s">
        <v>63</v>
      </c>
      <c r="AH27" s="33"/>
      <c r="AI27" s="33"/>
      <c r="AJ27" s="34" t="str">
        <f t="shared" si="1"/>
        <v>A</v>
      </c>
      <c r="AK27" s="33"/>
      <c r="AL27" s="33"/>
      <c r="AM27" s="34" t="str">
        <f t="shared" si="25"/>
        <v>A</v>
      </c>
      <c r="AN27" s="33"/>
      <c r="AO27" s="33"/>
      <c r="AP27" s="34" t="str">
        <f t="shared" si="26"/>
        <v>A</v>
      </c>
      <c r="AQ27" s="33"/>
      <c r="AR27" s="33"/>
      <c r="AS27" s="34" t="str">
        <f t="shared" si="27"/>
        <v>A</v>
      </c>
      <c r="AT27" s="33"/>
      <c r="AU27" s="33"/>
      <c r="AV27" s="34" t="str">
        <f t="shared" si="2"/>
        <v>A</v>
      </c>
      <c r="AW27" s="33"/>
      <c r="AX27" s="33"/>
      <c r="AY27" s="34" t="s">
        <v>63</v>
      </c>
      <c r="AZ27" s="33"/>
      <c r="BA27" s="33"/>
      <c r="BB27" s="34" t="s">
        <v>63</v>
      </c>
      <c r="BC27" s="33"/>
      <c r="BD27" s="33"/>
      <c r="BE27" s="34" t="str">
        <f t="shared" si="3"/>
        <v>A</v>
      </c>
      <c r="BF27" s="33"/>
      <c r="BG27" s="33"/>
      <c r="BH27" s="34" t="str">
        <f t="shared" si="28"/>
        <v>A</v>
      </c>
      <c r="BI27" s="33"/>
      <c r="BJ27" s="33"/>
      <c r="BK27" s="34" t="str">
        <f t="shared" si="29"/>
        <v>A</v>
      </c>
      <c r="BL27" s="33"/>
      <c r="BM27" s="33"/>
      <c r="BN27" s="34" t="str">
        <f t="shared" si="4"/>
        <v>A</v>
      </c>
      <c r="BO27" s="33"/>
      <c r="BP27" s="33"/>
      <c r="BQ27" s="34" t="str">
        <f t="shared" si="5"/>
        <v>A</v>
      </c>
      <c r="BR27" s="33"/>
      <c r="BS27" s="33"/>
      <c r="BT27" s="34" t="s">
        <v>63</v>
      </c>
      <c r="BU27" s="33"/>
      <c r="BV27" s="33"/>
      <c r="BW27" s="34" t="s">
        <v>63</v>
      </c>
      <c r="BX27" s="33"/>
      <c r="BY27" s="33"/>
      <c r="BZ27" s="34" t="str">
        <f t="shared" si="6"/>
        <v>A</v>
      </c>
      <c r="CA27" s="33"/>
      <c r="CB27" s="34"/>
      <c r="CC27" s="34" t="str">
        <f t="shared" si="30"/>
        <v>A</v>
      </c>
      <c r="CD27" s="34"/>
      <c r="CE27" s="34"/>
      <c r="CF27" s="34" t="str">
        <f t="shared" si="31"/>
        <v>A</v>
      </c>
      <c r="CG27" s="34"/>
      <c r="CH27" s="34"/>
      <c r="CI27" s="34" t="str">
        <f t="shared" si="7"/>
        <v>A</v>
      </c>
      <c r="CJ27" s="34"/>
      <c r="CK27" s="34"/>
      <c r="CL27" s="34" t="str">
        <f t="shared" si="8"/>
        <v>A</v>
      </c>
      <c r="CM27" s="34"/>
      <c r="CN27" s="34"/>
      <c r="CO27" s="34" t="s">
        <v>63</v>
      </c>
      <c r="CP27" s="35">
        <f t="shared" si="9"/>
        <v>0</v>
      </c>
      <c r="CQ27" s="35">
        <f t="shared" si="10"/>
        <v>0</v>
      </c>
      <c r="CR27" s="35">
        <f t="shared" si="11"/>
        <v>0</v>
      </c>
      <c r="CS27" s="35">
        <f t="shared" si="12"/>
        <v>0</v>
      </c>
      <c r="CT27" s="35">
        <f t="shared" si="13"/>
        <v>0</v>
      </c>
      <c r="CU27" s="35">
        <f t="shared" si="14"/>
        <v>0</v>
      </c>
      <c r="CV27" s="35">
        <f t="shared" si="15"/>
        <v>0</v>
      </c>
      <c r="CW27" s="35">
        <f t="shared" si="16"/>
        <v>0</v>
      </c>
      <c r="CX27" s="35">
        <f t="shared" si="17"/>
        <v>11</v>
      </c>
      <c r="CY27" s="35">
        <f t="shared" si="18"/>
        <v>0</v>
      </c>
      <c r="CZ27" s="35">
        <f t="shared" si="19"/>
        <v>19</v>
      </c>
      <c r="DA27" s="36">
        <f t="shared" si="20"/>
        <v>19</v>
      </c>
      <c r="DB27" s="37">
        <v>31</v>
      </c>
      <c r="DC27" s="35">
        <f t="shared" si="21"/>
        <v>12</v>
      </c>
      <c r="DD27" s="38"/>
      <c r="DE27" s="38"/>
    </row>
    <row r="28" spans="1:109" ht="30.75" customHeight="1" x14ac:dyDescent="0.4">
      <c r="A28" s="30" t="s">
        <v>74</v>
      </c>
      <c r="B28" s="31"/>
      <c r="C28" s="32"/>
      <c r="D28" s="33"/>
      <c r="E28" s="33"/>
      <c r="F28" s="34" t="s">
        <v>62</v>
      </c>
      <c r="G28" s="33"/>
      <c r="H28" s="33"/>
      <c r="I28" s="34" t="s">
        <v>63</v>
      </c>
      <c r="J28" s="33"/>
      <c r="K28" s="33"/>
      <c r="L28" s="34" t="s">
        <v>63</v>
      </c>
      <c r="M28" s="33"/>
      <c r="N28" s="33"/>
      <c r="O28" s="34" t="str">
        <f t="shared" si="0"/>
        <v>A</v>
      </c>
      <c r="P28" s="33"/>
      <c r="Q28" s="33"/>
      <c r="R28" s="34" t="str">
        <f t="shared" si="22"/>
        <v>A</v>
      </c>
      <c r="S28" s="33"/>
      <c r="T28" s="33"/>
      <c r="U28" s="34" t="str">
        <f t="shared" si="23"/>
        <v>A</v>
      </c>
      <c r="V28" s="33"/>
      <c r="W28" s="33"/>
      <c r="X28" s="34" t="s">
        <v>62</v>
      </c>
      <c r="Y28" s="33"/>
      <c r="Z28" s="33"/>
      <c r="AA28" s="34" t="str">
        <f t="shared" si="24"/>
        <v>A</v>
      </c>
      <c r="AB28" s="33"/>
      <c r="AC28" s="33"/>
      <c r="AD28" s="34" t="s">
        <v>63</v>
      </c>
      <c r="AE28" s="33"/>
      <c r="AF28" s="33"/>
      <c r="AG28" s="34" t="s">
        <v>63</v>
      </c>
      <c r="AH28" s="33"/>
      <c r="AI28" s="33"/>
      <c r="AJ28" s="34" t="str">
        <f t="shared" si="1"/>
        <v>A</v>
      </c>
      <c r="AK28" s="33"/>
      <c r="AL28" s="33"/>
      <c r="AM28" s="34" t="str">
        <f t="shared" si="25"/>
        <v>A</v>
      </c>
      <c r="AN28" s="33"/>
      <c r="AO28" s="33"/>
      <c r="AP28" s="34" t="str">
        <f t="shared" si="26"/>
        <v>A</v>
      </c>
      <c r="AQ28" s="33"/>
      <c r="AR28" s="33"/>
      <c r="AS28" s="34" t="str">
        <f t="shared" si="27"/>
        <v>A</v>
      </c>
      <c r="AT28" s="33"/>
      <c r="AU28" s="33"/>
      <c r="AV28" s="34" t="str">
        <f t="shared" si="2"/>
        <v>A</v>
      </c>
      <c r="AW28" s="33"/>
      <c r="AX28" s="33"/>
      <c r="AY28" s="34" t="s">
        <v>63</v>
      </c>
      <c r="AZ28" s="33"/>
      <c r="BA28" s="33"/>
      <c r="BB28" s="34" t="s">
        <v>63</v>
      </c>
      <c r="BC28" s="33"/>
      <c r="BD28" s="33"/>
      <c r="BE28" s="34" t="str">
        <f t="shared" si="3"/>
        <v>A</v>
      </c>
      <c r="BF28" s="33"/>
      <c r="BG28" s="33"/>
      <c r="BH28" s="34" t="str">
        <f t="shared" si="28"/>
        <v>A</v>
      </c>
      <c r="BI28" s="33"/>
      <c r="BJ28" s="33"/>
      <c r="BK28" s="34" t="str">
        <f t="shared" si="29"/>
        <v>A</v>
      </c>
      <c r="BL28" s="33"/>
      <c r="BM28" s="33"/>
      <c r="BN28" s="34" t="str">
        <f t="shared" si="4"/>
        <v>A</v>
      </c>
      <c r="BO28" s="33"/>
      <c r="BP28" s="33"/>
      <c r="BQ28" s="34" t="str">
        <f t="shared" si="5"/>
        <v>A</v>
      </c>
      <c r="BR28" s="33"/>
      <c r="BS28" s="33"/>
      <c r="BT28" s="34" t="s">
        <v>63</v>
      </c>
      <c r="BU28" s="33"/>
      <c r="BV28" s="33"/>
      <c r="BW28" s="34" t="s">
        <v>63</v>
      </c>
      <c r="BX28" s="33"/>
      <c r="BY28" s="33"/>
      <c r="BZ28" s="34" t="str">
        <f t="shared" si="6"/>
        <v>A</v>
      </c>
      <c r="CA28" s="33"/>
      <c r="CB28" s="34"/>
      <c r="CC28" s="34" t="str">
        <f t="shared" si="30"/>
        <v>A</v>
      </c>
      <c r="CD28" s="34"/>
      <c r="CE28" s="34"/>
      <c r="CF28" s="34" t="str">
        <f t="shared" si="31"/>
        <v>A</v>
      </c>
      <c r="CG28" s="34"/>
      <c r="CH28" s="34"/>
      <c r="CI28" s="34" t="str">
        <f t="shared" si="7"/>
        <v>A</v>
      </c>
      <c r="CJ28" s="34"/>
      <c r="CK28" s="34"/>
      <c r="CL28" s="34" t="str">
        <f t="shared" si="8"/>
        <v>A</v>
      </c>
      <c r="CM28" s="34"/>
      <c r="CN28" s="34"/>
      <c r="CO28" s="34" t="s">
        <v>63</v>
      </c>
      <c r="CP28" s="35">
        <f t="shared" si="9"/>
        <v>0</v>
      </c>
      <c r="CQ28" s="35">
        <f t="shared" si="10"/>
        <v>0</v>
      </c>
      <c r="CR28" s="35">
        <f t="shared" si="11"/>
        <v>0</v>
      </c>
      <c r="CS28" s="35">
        <f t="shared" si="12"/>
        <v>0</v>
      </c>
      <c r="CT28" s="35">
        <f t="shared" si="13"/>
        <v>0</v>
      </c>
      <c r="CU28" s="35">
        <f t="shared" si="14"/>
        <v>0</v>
      </c>
      <c r="CV28" s="35">
        <f t="shared" si="15"/>
        <v>0</v>
      </c>
      <c r="CW28" s="35">
        <f t="shared" si="16"/>
        <v>0</v>
      </c>
      <c r="CX28" s="35">
        <f t="shared" si="17"/>
        <v>11</v>
      </c>
      <c r="CY28" s="35">
        <f t="shared" si="18"/>
        <v>0</v>
      </c>
      <c r="CZ28" s="35">
        <f t="shared" si="19"/>
        <v>19</v>
      </c>
      <c r="DA28" s="36">
        <f t="shared" si="20"/>
        <v>19</v>
      </c>
      <c r="DB28" s="37">
        <v>31</v>
      </c>
      <c r="DC28" s="35">
        <f t="shared" si="21"/>
        <v>12</v>
      </c>
      <c r="DD28" s="38"/>
      <c r="DE28" s="38"/>
    </row>
    <row r="29" spans="1:109" ht="30.75" customHeight="1" x14ac:dyDescent="0.4">
      <c r="A29" s="30" t="s">
        <v>75</v>
      </c>
      <c r="B29" s="31"/>
      <c r="C29" s="32"/>
      <c r="D29" s="33"/>
      <c r="E29" s="33"/>
      <c r="F29" s="34" t="s">
        <v>62</v>
      </c>
      <c r="G29" s="33"/>
      <c r="H29" s="33"/>
      <c r="I29" s="34" t="s">
        <v>63</v>
      </c>
      <c r="J29" s="33"/>
      <c r="K29" s="33"/>
      <c r="L29" s="34" t="s">
        <v>63</v>
      </c>
      <c r="M29" s="33"/>
      <c r="N29" s="33"/>
      <c r="O29" s="34" t="str">
        <f t="shared" si="0"/>
        <v>A</v>
      </c>
      <c r="P29" s="33"/>
      <c r="Q29" s="33"/>
      <c r="R29" s="34" t="str">
        <f t="shared" si="22"/>
        <v>A</v>
      </c>
      <c r="S29" s="33"/>
      <c r="T29" s="33"/>
      <c r="U29" s="34" t="str">
        <f t="shared" si="23"/>
        <v>A</v>
      </c>
      <c r="V29" s="33"/>
      <c r="W29" s="33"/>
      <c r="X29" s="34" t="s">
        <v>62</v>
      </c>
      <c r="Y29" s="33"/>
      <c r="Z29" s="33"/>
      <c r="AA29" s="34" t="str">
        <f t="shared" si="24"/>
        <v>A</v>
      </c>
      <c r="AB29" s="33"/>
      <c r="AC29" s="33"/>
      <c r="AD29" s="34" t="s">
        <v>63</v>
      </c>
      <c r="AE29" s="33"/>
      <c r="AF29" s="33"/>
      <c r="AG29" s="34" t="s">
        <v>63</v>
      </c>
      <c r="AH29" s="33"/>
      <c r="AI29" s="33"/>
      <c r="AJ29" s="34" t="str">
        <f t="shared" si="1"/>
        <v>A</v>
      </c>
      <c r="AK29" s="33"/>
      <c r="AL29" s="33"/>
      <c r="AM29" s="34" t="str">
        <f t="shared" si="25"/>
        <v>A</v>
      </c>
      <c r="AN29" s="33"/>
      <c r="AO29" s="33"/>
      <c r="AP29" s="34" t="str">
        <f t="shared" si="26"/>
        <v>A</v>
      </c>
      <c r="AQ29" s="33"/>
      <c r="AR29" s="33"/>
      <c r="AS29" s="34" t="str">
        <f t="shared" si="27"/>
        <v>A</v>
      </c>
      <c r="AT29" s="33"/>
      <c r="AU29" s="33"/>
      <c r="AV29" s="34" t="str">
        <f t="shared" si="2"/>
        <v>A</v>
      </c>
      <c r="AW29" s="33"/>
      <c r="AX29" s="33"/>
      <c r="AY29" s="34" t="s">
        <v>63</v>
      </c>
      <c r="AZ29" s="33"/>
      <c r="BA29" s="33"/>
      <c r="BB29" s="34" t="s">
        <v>63</v>
      </c>
      <c r="BC29" s="33"/>
      <c r="BD29" s="33"/>
      <c r="BE29" s="34" t="str">
        <f t="shared" si="3"/>
        <v>A</v>
      </c>
      <c r="BF29" s="33"/>
      <c r="BG29" s="33"/>
      <c r="BH29" s="34" t="str">
        <f t="shared" si="28"/>
        <v>A</v>
      </c>
      <c r="BI29" s="33"/>
      <c r="BJ29" s="33"/>
      <c r="BK29" s="34" t="str">
        <f t="shared" si="29"/>
        <v>A</v>
      </c>
      <c r="BL29" s="33"/>
      <c r="BM29" s="33"/>
      <c r="BN29" s="34" t="str">
        <f t="shared" si="4"/>
        <v>A</v>
      </c>
      <c r="BO29" s="33"/>
      <c r="BP29" s="33"/>
      <c r="BQ29" s="34" t="str">
        <f t="shared" si="5"/>
        <v>A</v>
      </c>
      <c r="BR29" s="33"/>
      <c r="BS29" s="33"/>
      <c r="BT29" s="34" t="s">
        <v>63</v>
      </c>
      <c r="BU29" s="33"/>
      <c r="BV29" s="33"/>
      <c r="BW29" s="34" t="s">
        <v>63</v>
      </c>
      <c r="BX29" s="33"/>
      <c r="BY29" s="33"/>
      <c r="BZ29" s="34" t="str">
        <f t="shared" si="6"/>
        <v>A</v>
      </c>
      <c r="CA29" s="33"/>
      <c r="CB29" s="34"/>
      <c r="CC29" s="34" t="str">
        <f t="shared" si="30"/>
        <v>A</v>
      </c>
      <c r="CD29" s="34"/>
      <c r="CE29" s="34"/>
      <c r="CF29" s="34" t="str">
        <f t="shared" si="31"/>
        <v>A</v>
      </c>
      <c r="CG29" s="34"/>
      <c r="CH29" s="34"/>
      <c r="CI29" s="34" t="str">
        <f t="shared" si="7"/>
        <v>A</v>
      </c>
      <c r="CJ29" s="34"/>
      <c r="CK29" s="34"/>
      <c r="CL29" s="34" t="str">
        <f t="shared" si="8"/>
        <v>A</v>
      </c>
      <c r="CM29" s="34"/>
      <c r="CN29" s="34"/>
      <c r="CO29" s="34" t="s">
        <v>63</v>
      </c>
      <c r="CP29" s="35">
        <f t="shared" si="9"/>
        <v>0</v>
      </c>
      <c r="CQ29" s="35">
        <f t="shared" si="10"/>
        <v>0</v>
      </c>
      <c r="CR29" s="35">
        <f t="shared" si="11"/>
        <v>0</v>
      </c>
      <c r="CS29" s="35">
        <f t="shared" si="12"/>
        <v>0</v>
      </c>
      <c r="CT29" s="35">
        <f t="shared" si="13"/>
        <v>0</v>
      </c>
      <c r="CU29" s="35">
        <f t="shared" si="14"/>
        <v>0</v>
      </c>
      <c r="CV29" s="35">
        <f t="shared" si="15"/>
        <v>0</v>
      </c>
      <c r="CW29" s="35">
        <f t="shared" si="16"/>
        <v>0</v>
      </c>
      <c r="CX29" s="35">
        <f t="shared" si="17"/>
        <v>11</v>
      </c>
      <c r="CY29" s="35">
        <f t="shared" si="18"/>
        <v>0</v>
      </c>
      <c r="CZ29" s="35">
        <f t="shared" si="19"/>
        <v>19</v>
      </c>
      <c r="DA29" s="36">
        <f t="shared" si="20"/>
        <v>19</v>
      </c>
      <c r="DB29" s="37">
        <v>31</v>
      </c>
      <c r="DC29" s="35">
        <f t="shared" si="21"/>
        <v>12</v>
      </c>
      <c r="DD29" s="38"/>
      <c r="DE29" s="38"/>
    </row>
    <row r="30" spans="1:109" ht="30.75" customHeight="1" x14ac:dyDescent="0.4">
      <c r="A30" s="30" t="s">
        <v>76</v>
      </c>
      <c r="B30" s="31"/>
      <c r="C30" s="32"/>
      <c r="D30" s="33"/>
      <c r="E30" s="33"/>
      <c r="F30" s="34" t="s">
        <v>62</v>
      </c>
      <c r="G30" s="33"/>
      <c r="H30" s="33"/>
      <c r="I30" s="34" t="s">
        <v>63</v>
      </c>
      <c r="J30" s="33"/>
      <c r="K30" s="33"/>
      <c r="L30" s="34" t="s">
        <v>63</v>
      </c>
      <c r="M30" s="33"/>
      <c r="N30" s="33"/>
      <c r="O30" s="34" t="str">
        <f t="shared" si="0"/>
        <v>A</v>
      </c>
      <c r="P30" s="33"/>
      <c r="Q30" s="33"/>
      <c r="R30" s="34" t="str">
        <f t="shared" si="22"/>
        <v>A</v>
      </c>
      <c r="S30" s="33"/>
      <c r="T30" s="33"/>
      <c r="U30" s="34" t="str">
        <f t="shared" si="23"/>
        <v>A</v>
      </c>
      <c r="V30" s="33"/>
      <c r="W30" s="33"/>
      <c r="X30" s="34" t="s">
        <v>62</v>
      </c>
      <c r="Y30" s="33"/>
      <c r="Z30" s="33"/>
      <c r="AA30" s="34" t="str">
        <f t="shared" si="24"/>
        <v>A</v>
      </c>
      <c r="AB30" s="33"/>
      <c r="AC30" s="33"/>
      <c r="AD30" s="34" t="s">
        <v>63</v>
      </c>
      <c r="AE30" s="33"/>
      <c r="AF30" s="33"/>
      <c r="AG30" s="34" t="s">
        <v>63</v>
      </c>
      <c r="AH30" s="33"/>
      <c r="AI30" s="33"/>
      <c r="AJ30" s="34" t="str">
        <f t="shared" si="1"/>
        <v>A</v>
      </c>
      <c r="AK30" s="33"/>
      <c r="AL30" s="33"/>
      <c r="AM30" s="34" t="str">
        <f t="shared" si="25"/>
        <v>A</v>
      </c>
      <c r="AN30" s="33"/>
      <c r="AO30" s="33"/>
      <c r="AP30" s="34" t="str">
        <f t="shared" si="26"/>
        <v>A</v>
      </c>
      <c r="AQ30" s="33"/>
      <c r="AR30" s="33"/>
      <c r="AS30" s="34" t="str">
        <f t="shared" si="27"/>
        <v>A</v>
      </c>
      <c r="AT30" s="33"/>
      <c r="AU30" s="33"/>
      <c r="AV30" s="34" t="str">
        <f t="shared" si="2"/>
        <v>A</v>
      </c>
      <c r="AW30" s="33"/>
      <c r="AX30" s="33"/>
      <c r="AY30" s="34" t="s">
        <v>63</v>
      </c>
      <c r="AZ30" s="33"/>
      <c r="BA30" s="33"/>
      <c r="BB30" s="34" t="s">
        <v>63</v>
      </c>
      <c r="BC30" s="33"/>
      <c r="BD30" s="33"/>
      <c r="BE30" s="34" t="str">
        <f t="shared" si="3"/>
        <v>A</v>
      </c>
      <c r="BF30" s="33"/>
      <c r="BG30" s="33"/>
      <c r="BH30" s="34" t="str">
        <f t="shared" si="28"/>
        <v>A</v>
      </c>
      <c r="BI30" s="33"/>
      <c r="BJ30" s="33"/>
      <c r="BK30" s="34" t="str">
        <f t="shared" si="29"/>
        <v>A</v>
      </c>
      <c r="BL30" s="33"/>
      <c r="BM30" s="33"/>
      <c r="BN30" s="34" t="str">
        <f t="shared" si="4"/>
        <v>A</v>
      </c>
      <c r="BO30" s="33"/>
      <c r="BP30" s="33"/>
      <c r="BQ30" s="34" t="str">
        <f t="shared" si="5"/>
        <v>A</v>
      </c>
      <c r="BR30" s="33"/>
      <c r="BS30" s="33"/>
      <c r="BT30" s="34" t="s">
        <v>63</v>
      </c>
      <c r="BU30" s="33"/>
      <c r="BV30" s="33"/>
      <c r="BW30" s="34" t="s">
        <v>63</v>
      </c>
      <c r="BX30" s="33"/>
      <c r="BY30" s="33"/>
      <c r="BZ30" s="34" t="str">
        <f t="shared" si="6"/>
        <v>A</v>
      </c>
      <c r="CA30" s="33"/>
      <c r="CB30" s="34"/>
      <c r="CC30" s="34" t="str">
        <f t="shared" si="30"/>
        <v>A</v>
      </c>
      <c r="CD30" s="34"/>
      <c r="CE30" s="34"/>
      <c r="CF30" s="34" t="str">
        <f t="shared" si="31"/>
        <v>A</v>
      </c>
      <c r="CG30" s="34"/>
      <c r="CH30" s="34"/>
      <c r="CI30" s="34" t="str">
        <f t="shared" si="7"/>
        <v>A</v>
      </c>
      <c r="CJ30" s="34"/>
      <c r="CK30" s="34"/>
      <c r="CL30" s="34" t="str">
        <f t="shared" si="8"/>
        <v>A</v>
      </c>
      <c r="CM30" s="34"/>
      <c r="CN30" s="34"/>
      <c r="CO30" s="34" t="s">
        <v>63</v>
      </c>
      <c r="CP30" s="35">
        <f t="shared" si="9"/>
        <v>0</v>
      </c>
      <c r="CQ30" s="35">
        <f t="shared" si="10"/>
        <v>0</v>
      </c>
      <c r="CR30" s="35">
        <f t="shared" si="11"/>
        <v>0</v>
      </c>
      <c r="CS30" s="35">
        <f t="shared" si="12"/>
        <v>0</v>
      </c>
      <c r="CT30" s="35">
        <f t="shared" si="13"/>
        <v>0</v>
      </c>
      <c r="CU30" s="35">
        <f t="shared" si="14"/>
        <v>0</v>
      </c>
      <c r="CV30" s="35">
        <f t="shared" si="15"/>
        <v>0</v>
      </c>
      <c r="CW30" s="35">
        <f t="shared" si="16"/>
        <v>0</v>
      </c>
      <c r="CX30" s="35">
        <f t="shared" si="17"/>
        <v>11</v>
      </c>
      <c r="CY30" s="35">
        <f t="shared" si="18"/>
        <v>0</v>
      </c>
      <c r="CZ30" s="35">
        <f t="shared" si="19"/>
        <v>19</v>
      </c>
      <c r="DA30" s="36">
        <f t="shared" si="20"/>
        <v>19</v>
      </c>
      <c r="DB30" s="37">
        <v>31</v>
      </c>
      <c r="DC30" s="35">
        <f t="shared" si="21"/>
        <v>12</v>
      </c>
      <c r="DD30" s="38"/>
      <c r="DE30" s="38"/>
    </row>
    <row r="31" spans="1:109" ht="30.75" customHeight="1" x14ac:dyDescent="0.4">
      <c r="A31" s="30" t="s">
        <v>77</v>
      </c>
      <c r="B31" s="31"/>
      <c r="C31" s="32"/>
      <c r="D31" s="33"/>
      <c r="E31" s="33"/>
      <c r="F31" s="34" t="s">
        <v>62</v>
      </c>
      <c r="G31" s="33"/>
      <c r="H31" s="33"/>
      <c r="I31" s="34" t="s">
        <v>63</v>
      </c>
      <c r="J31" s="33"/>
      <c r="K31" s="33"/>
      <c r="L31" s="34" t="s">
        <v>63</v>
      </c>
      <c r="M31" s="33"/>
      <c r="N31" s="33"/>
      <c r="O31" s="34" t="str">
        <f t="shared" si="0"/>
        <v>A</v>
      </c>
      <c r="P31" s="33"/>
      <c r="Q31" s="33"/>
      <c r="R31" s="34" t="str">
        <f t="shared" si="22"/>
        <v>A</v>
      </c>
      <c r="S31" s="33"/>
      <c r="T31" s="33"/>
      <c r="U31" s="34" t="str">
        <f t="shared" si="23"/>
        <v>A</v>
      </c>
      <c r="V31" s="33"/>
      <c r="W31" s="33"/>
      <c r="X31" s="34" t="s">
        <v>62</v>
      </c>
      <c r="Y31" s="33"/>
      <c r="Z31" s="33"/>
      <c r="AA31" s="34" t="str">
        <f t="shared" si="24"/>
        <v>A</v>
      </c>
      <c r="AB31" s="33"/>
      <c r="AC31" s="33"/>
      <c r="AD31" s="34" t="s">
        <v>63</v>
      </c>
      <c r="AE31" s="33"/>
      <c r="AF31" s="33"/>
      <c r="AG31" s="34" t="s">
        <v>63</v>
      </c>
      <c r="AH31" s="33"/>
      <c r="AI31" s="33"/>
      <c r="AJ31" s="34" t="str">
        <f t="shared" si="1"/>
        <v>A</v>
      </c>
      <c r="AK31" s="33"/>
      <c r="AL31" s="33"/>
      <c r="AM31" s="34" t="str">
        <f t="shared" si="25"/>
        <v>A</v>
      </c>
      <c r="AN31" s="33"/>
      <c r="AO31" s="33"/>
      <c r="AP31" s="34" t="str">
        <f t="shared" si="26"/>
        <v>A</v>
      </c>
      <c r="AQ31" s="33"/>
      <c r="AR31" s="33"/>
      <c r="AS31" s="34" t="str">
        <f t="shared" si="27"/>
        <v>A</v>
      </c>
      <c r="AT31" s="33"/>
      <c r="AU31" s="33"/>
      <c r="AV31" s="34" t="str">
        <f t="shared" si="2"/>
        <v>A</v>
      </c>
      <c r="AW31" s="33"/>
      <c r="AX31" s="33"/>
      <c r="AY31" s="34" t="s">
        <v>63</v>
      </c>
      <c r="AZ31" s="33"/>
      <c r="BA31" s="33"/>
      <c r="BB31" s="34" t="s">
        <v>63</v>
      </c>
      <c r="BC31" s="33"/>
      <c r="BD31" s="33"/>
      <c r="BE31" s="34" t="str">
        <f t="shared" si="3"/>
        <v>A</v>
      </c>
      <c r="BF31" s="33"/>
      <c r="BG31" s="33"/>
      <c r="BH31" s="34" t="str">
        <f t="shared" si="28"/>
        <v>A</v>
      </c>
      <c r="BI31" s="33"/>
      <c r="BJ31" s="33"/>
      <c r="BK31" s="34" t="str">
        <f t="shared" si="29"/>
        <v>A</v>
      </c>
      <c r="BL31" s="33"/>
      <c r="BM31" s="33"/>
      <c r="BN31" s="34" t="str">
        <f t="shared" si="4"/>
        <v>A</v>
      </c>
      <c r="BO31" s="33"/>
      <c r="BP31" s="33"/>
      <c r="BQ31" s="34" t="str">
        <f t="shared" si="5"/>
        <v>A</v>
      </c>
      <c r="BR31" s="33"/>
      <c r="BS31" s="33"/>
      <c r="BT31" s="34" t="s">
        <v>63</v>
      </c>
      <c r="BU31" s="33"/>
      <c r="BV31" s="33"/>
      <c r="BW31" s="34" t="s">
        <v>63</v>
      </c>
      <c r="BX31" s="33"/>
      <c r="BY31" s="33"/>
      <c r="BZ31" s="34" t="str">
        <f t="shared" si="6"/>
        <v>A</v>
      </c>
      <c r="CA31" s="33"/>
      <c r="CB31" s="34"/>
      <c r="CC31" s="34" t="str">
        <f t="shared" si="30"/>
        <v>A</v>
      </c>
      <c r="CD31" s="34"/>
      <c r="CE31" s="34"/>
      <c r="CF31" s="34" t="str">
        <f t="shared" si="31"/>
        <v>A</v>
      </c>
      <c r="CG31" s="34"/>
      <c r="CH31" s="34"/>
      <c r="CI31" s="34" t="str">
        <f t="shared" si="7"/>
        <v>A</v>
      </c>
      <c r="CJ31" s="34"/>
      <c r="CK31" s="34"/>
      <c r="CL31" s="34" t="str">
        <f t="shared" si="8"/>
        <v>A</v>
      </c>
      <c r="CM31" s="34"/>
      <c r="CN31" s="34"/>
      <c r="CO31" s="34" t="s">
        <v>63</v>
      </c>
      <c r="CP31" s="35">
        <f t="shared" si="9"/>
        <v>0</v>
      </c>
      <c r="CQ31" s="35">
        <f t="shared" si="10"/>
        <v>0</v>
      </c>
      <c r="CR31" s="35">
        <f t="shared" si="11"/>
        <v>0</v>
      </c>
      <c r="CS31" s="35">
        <f t="shared" si="12"/>
        <v>0</v>
      </c>
      <c r="CT31" s="35">
        <f t="shared" si="13"/>
        <v>0</v>
      </c>
      <c r="CU31" s="35">
        <f t="shared" si="14"/>
        <v>0</v>
      </c>
      <c r="CV31" s="35">
        <f t="shared" si="15"/>
        <v>0</v>
      </c>
      <c r="CW31" s="35">
        <f t="shared" si="16"/>
        <v>0</v>
      </c>
      <c r="CX31" s="35">
        <f t="shared" si="17"/>
        <v>11</v>
      </c>
      <c r="CY31" s="35">
        <f t="shared" si="18"/>
        <v>0</v>
      </c>
      <c r="CZ31" s="35">
        <f t="shared" si="19"/>
        <v>19</v>
      </c>
      <c r="DA31" s="36">
        <f t="shared" si="20"/>
        <v>19</v>
      </c>
      <c r="DB31" s="37">
        <v>31</v>
      </c>
      <c r="DC31" s="35">
        <f t="shared" si="21"/>
        <v>12</v>
      </c>
      <c r="DD31" s="38"/>
      <c r="DE31" s="38"/>
    </row>
    <row r="32" spans="1:109" ht="30.75" customHeight="1" x14ac:dyDescent="0.4">
      <c r="A32" s="30" t="s">
        <v>78</v>
      </c>
      <c r="B32" s="31"/>
      <c r="C32" s="32"/>
      <c r="D32" s="33"/>
      <c r="E32" s="33"/>
      <c r="F32" s="34" t="s">
        <v>62</v>
      </c>
      <c r="G32" s="33"/>
      <c r="H32" s="33"/>
      <c r="I32" s="34" t="s">
        <v>63</v>
      </c>
      <c r="J32" s="33"/>
      <c r="K32" s="33"/>
      <c r="L32" s="34" t="s">
        <v>63</v>
      </c>
      <c r="M32" s="33"/>
      <c r="N32" s="33"/>
      <c r="O32" s="34" t="str">
        <f t="shared" si="0"/>
        <v>A</v>
      </c>
      <c r="P32" s="33"/>
      <c r="Q32" s="33"/>
      <c r="R32" s="34" t="str">
        <f t="shared" si="22"/>
        <v>A</v>
      </c>
      <c r="S32" s="33"/>
      <c r="T32" s="33"/>
      <c r="U32" s="34" t="str">
        <f t="shared" si="23"/>
        <v>A</v>
      </c>
      <c r="V32" s="33"/>
      <c r="W32" s="33"/>
      <c r="X32" s="34" t="s">
        <v>62</v>
      </c>
      <c r="Y32" s="33"/>
      <c r="Z32" s="33"/>
      <c r="AA32" s="34" t="str">
        <f t="shared" si="24"/>
        <v>A</v>
      </c>
      <c r="AB32" s="33"/>
      <c r="AC32" s="33"/>
      <c r="AD32" s="34" t="s">
        <v>63</v>
      </c>
      <c r="AE32" s="33"/>
      <c r="AF32" s="33"/>
      <c r="AG32" s="34" t="s">
        <v>63</v>
      </c>
      <c r="AH32" s="33"/>
      <c r="AI32" s="33"/>
      <c r="AJ32" s="34" t="str">
        <f t="shared" si="1"/>
        <v>A</v>
      </c>
      <c r="AK32" s="33"/>
      <c r="AL32" s="33"/>
      <c r="AM32" s="34" t="str">
        <f t="shared" si="25"/>
        <v>A</v>
      </c>
      <c r="AN32" s="33"/>
      <c r="AO32" s="33"/>
      <c r="AP32" s="34" t="str">
        <f t="shared" si="26"/>
        <v>A</v>
      </c>
      <c r="AQ32" s="33"/>
      <c r="AR32" s="33"/>
      <c r="AS32" s="34" t="str">
        <f t="shared" si="27"/>
        <v>A</v>
      </c>
      <c r="AT32" s="33"/>
      <c r="AU32" s="33"/>
      <c r="AV32" s="34" t="str">
        <f t="shared" si="2"/>
        <v>A</v>
      </c>
      <c r="AW32" s="33"/>
      <c r="AX32" s="33"/>
      <c r="AY32" s="34" t="s">
        <v>63</v>
      </c>
      <c r="AZ32" s="33"/>
      <c r="BA32" s="33"/>
      <c r="BB32" s="34" t="s">
        <v>63</v>
      </c>
      <c r="BC32" s="33"/>
      <c r="BD32" s="33"/>
      <c r="BE32" s="34" t="str">
        <f t="shared" si="3"/>
        <v>A</v>
      </c>
      <c r="BF32" s="33"/>
      <c r="BG32" s="33"/>
      <c r="BH32" s="34" t="str">
        <f t="shared" si="28"/>
        <v>A</v>
      </c>
      <c r="BI32" s="33"/>
      <c r="BJ32" s="33"/>
      <c r="BK32" s="34" t="str">
        <f t="shared" si="29"/>
        <v>A</v>
      </c>
      <c r="BL32" s="33"/>
      <c r="BM32" s="33"/>
      <c r="BN32" s="34" t="str">
        <f t="shared" si="4"/>
        <v>A</v>
      </c>
      <c r="BO32" s="33"/>
      <c r="BP32" s="33"/>
      <c r="BQ32" s="34" t="str">
        <f t="shared" si="5"/>
        <v>A</v>
      </c>
      <c r="BR32" s="33"/>
      <c r="BS32" s="33"/>
      <c r="BT32" s="34" t="s">
        <v>63</v>
      </c>
      <c r="BU32" s="33"/>
      <c r="BV32" s="33"/>
      <c r="BW32" s="34" t="s">
        <v>63</v>
      </c>
      <c r="BX32" s="33"/>
      <c r="BY32" s="33"/>
      <c r="BZ32" s="34" t="str">
        <f t="shared" si="6"/>
        <v>A</v>
      </c>
      <c r="CA32" s="33"/>
      <c r="CB32" s="34"/>
      <c r="CC32" s="34" t="str">
        <f t="shared" si="30"/>
        <v>A</v>
      </c>
      <c r="CD32" s="34"/>
      <c r="CE32" s="34"/>
      <c r="CF32" s="34" t="str">
        <f t="shared" si="31"/>
        <v>A</v>
      </c>
      <c r="CG32" s="34"/>
      <c r="CH32" s="34"/>
      <c r="CI32" s="34" t="str">
        <f t="shared" si="7"/>
        <v>A</v>
      </c>
      <c r="CJ32" s="34"/>
      <c r="CK32" s="34"/>
      <c r="CL32" s="34" t="str">
        <f t="shared" si="8"/>
        <v>A</v>
      </c>
      <c r="CM32" s="34"/>
      <c r="CN32" s="34"/>
      <c r="CO32" s="34" t="s">
        <v>63</v>
      </c>
      <c r="CP32" s="35">
        <f t="shared" si="9"/>
        <v>0</v>
      </c>
      <c r="CQ32" s="35">
        <f t="shared" si="10"/>
        <v>0</v>
      </c>
      <c r="CR32" s="35">
        <f t="shared" si="11"/>
        <v>0</v>
      </c>
      <c r="CS32" s="35">
        <f t="shared" si="12"/>
        <v>0</v>
      </c>
      <c r="CT32" s="35">
        <f t="shared" si="13"/>
        <v>0</v>
      </c>
      <c r="CU32" s="35">
        <f t="shared" si="14"/>
        <v>0</v>
      </c>
      <c r="CV32" s="35">
        <f t="shared" si="15"/>
        <v>0</v>
      </c>
      <c r="CW32" s="35">
        <f t="shared" si="16"/>
        <v>0</v>
      </c>
      <c r="CX32" s="35">
        <f t="shared" si="17"/>
        <v>11</v>
      </c>
      <c r="CY32" s="35">
        <f t="shared" si="18"/>
        <v>0</v>
      </c>
      <c r="CZ32" s="35">
        <f t="shared" si="19"/>
        <v>19</v>
      </c>
      <c r="DA32" s="36">
        <f t="shared" si="20"/>
        <v>19</v>
      </c>
      <c r="DB32" s="37">
        <v>31</v>
      </c>
      <c r="DC32" s="35">
        <f t="shared" si="21"/>
        <v>12</v>
      </c>
      <c r="DD32" s="38"/>
      <c r="DE32" s="38"/>
    </row>
    <row r="33" spans="2:10" ht="21" customHeight="1" x14ac:dyDescent="0.4">
      <c r="G33" s="43"/>
    </row>
    <row r="34" spans="2:10" ht="21" customHeight="1" x14ac:dyDescent="0.4">
      <c r="B34" s="41" t="s">
        <v>80</v>
      </c>
      <c r="C34" s="42" t="s">
        <v>55</v>
      </c>
    </row>
    <row r="35" spans="2:10" ht="21" customHeight="1" x14ac:dyDescent="0.4">
      <c r="B35" s="41" t="s">
        <v>81</v>
      </c>
      <c r="C35" s="42" t="s">
        <v>58</v>
      </c>
      <c r="J35" s="43"/>
    </row>
    <row r="36" spans="2:10" ht="21" customHeight="1" x14ac:dyDescent="0.4">
      <c r="B36" s="41" t="s">
        <v>82</v>
      </c>
      <c r="C36" s="42" t="s">
        <v>83</v>
      </c>
    </row>
    <row r="37" spans="2:10" ht="21" customHeight="1" x14ac:dyDescent="0.4">
      <c r="B37" s="41" t="s">
        <v>63</v>
      </c>
      <c r="C37" s="42" t="s">
        <v>84</v>
      </c>
    </row>
    <row r="38" spans="2:10" ht="21" customHeight="1" x14ac:dyDescent="0.4">
      <c r="B38" s="41" t="s">
        <v>62</v>
      </c>
      <c r="C38" s="42" t="s">
        <v>85</v>
      </c>
    </row>
    <row r="39" spans="2:10" ht="21" customHeight="1" x14ac:dyDescent="0.4">
      <c r="B39" s="41" t="s">
        <v>48</v>
      </c>
      <c r="C39" s="42" t="s">
        <v>86</v>
      </c>
    </row>
    <row r="40" spans="2:10" ht="21" customHeight="1" x14ac:dyDescent="0.4">
      <c r="B40" s="41" t="s">
        <v>49</v>
      </c>
      <c r="C40" s="42" t="s">
        <v>87</v>
      </c>
    </row>
    <row r="41" spans="2:10" ht="21" customHeight="1" x14ac:dyDescent="0.4">
      <c r="B41" s="41" t="s">
        <v>50</v>
      </c>
      <c r="C41" s="42" t="s">
        <v>88</v>
      </c>
    </row>
    <row r="42" spans="2:10" ht="21" customHeight="1" x14ac:dyDescent="0.4">
      <c r="B42" s="41" t="s">
        <v>51</v>
      </c>
      <c r="C42" s="42" t="s">
        <v>89</v>
      </c>
    </row>
    <row r="43" spans="2:10" ht="21" customHeight="1" x14ac:dyDescent="0.4">
      <c r="B43" s="41" t="s">
        <v>90</v>
      </c>
      <c r="C43" s="42" t="s">
        <v>91</v>
      </c>
    </row>
    <row r="44" spans="2:10" ht="21" customHeight="1" x14ac:dyDescent="0.4">
      <c r="B44" s="41" t="s">
        <v>92</v>
      </c>
      <c r="C44" s="42" t="s">
        <v>93</v>
      </c>
    </row>
  </sheetData>
  <sheetProtection formatCells="0" formatColumns="0" formatRows="0" insertColumns="0" insertRows="0" insertHyperlinks="0" deleteColumns="0" deleteRows="0" sort="0" autoFilter="0" pivotTables="0"/>
  <dataConsolidate/>
  <mergeCells count="36">
    <mergeCell ref="DD1:DD2"/>
    <mergeCell ref="DE1:DE2"/>
    <mergeCell ref="D2:F2"/>
    <mergeCell ref="G2:I2"/>
    <mergeCell ref="J2:L2"/>
    <mergeCell ref="M2:O2"/>
    <mergeCell ref="AE2:AG2"/>
    <mergeCell ref="A1:CO1"/>
    <mergeCell ref="CP1:CV1"/>
    <mergeCell ref="CW1:DA1"/>
    <mergeCell ref="DB1:DC1"/>
    <mergeCell ref="P2:R2"/>
    <mergeCell ref="S2:U2"/>
    <mergeCell ref="V2:X2"/>
    <mergeCell ref="Y2:AA2"/>
    <mergeCell ref="AB2:AD2"/>
    <mergeCell ref="BO2:BQ2"/>
    <mergeCell ref="AH2:AJ2"/>
    <mergeCell ref="AK2:AM2"/>
    <mergeCell ref="AN2:AP2"/>
    <mergeCell ref="AQ2:AS2"/>
    <mergeCell ref="AT2:AV2"/>
    <mergeCell ref="AW2:AY2"/>
    <mergeCell ref="AZ2:BB2"/>
    <mergeCell ref="BC2:BE2"/>
    <mergeCell ref="BF2:BH2"/>
    <mergeCell ref="BI2:BK2"/>
    <mergeCell ref="BL2:BN2"/>
    <mergeCell ref="CJ2:CL2"/>
    <mergeCell ref="CM2:CO2"/>
    <mergeCell ref="BR2:BT2"/>
    <mergeCell ref="BU2:BW2"/>
    <mergeCell ref="BX2:BZ2"/>
    <mergeCell ref="CA2:CC2"/>
    <mergeCell ref="CD2:CF2"/>
    <mergeCell ref="CG2:CI2"/>
  </mergeCells>
  <conditionalFormatting sqref="B2:D2 BR4:BS4 BI4 DC4:DD4 CP4:CW4 CM4:CN4 CJ4:CK4 CG4:CH4 P4:Q4 M4:N4 AE4 CD4:CE4 BX4:BY4 BU4:BV4 BL4:BM4 BF4:BG4 BC4:BD4 AZ4:BA4 AW4:AX4 AQ4:AR4 AN4:AO4 AK4:AL4 AH4:AI4 AB4:AC4 V4:W4 S4:T4 CX3:CX4 CX31:CX32 CD31:CE31 M31:N31 CG31:CH31 CJ31:CK31 CM31:CN31 CP31:CW31 DC31 G2 J2 M2 P2 S2 V2 Y2 AB2 AE2 AH2 AK2 AN2 AQ2 AT2 AW2 AZ2 BC2 BF2 BI2 BL2 BO2 BR2 BU2 BX2 CA2 CD2 CG2 CJ2 CM2">
    <cfRule type="cellIs" dxfId="3499" priority="3495" operator="equal">
      <formula>"C-Off-H"</formula>
    </cfRule>
    <cfRule type="cellIs" dxfId="3498" priority="3496" operator="equal">
      <formula>"C-Off"</formula>
    </cfRule>
    <cfRule type="cellIs" dxfId="3497" priority="3497" operator="equal">
      <formula>"CL-H"</formula>
    </cfRule>
    <cfRule type="cellIs" dxfId="3496" priority="3498" operator="equal">
      <formula>"EL-H"</formula>
    </cfRule>
    <cfRule type="cellIs" dxfId="3495" priority="3499" operator="equal">
      <formula>"CL"</formula>
    </cfRule>
    <cfRule type="cellIs" dxfId="3494" priority="3500" operator="equal">
      <formula>"EL"</formula>
    </cfRule>
  </conditionalFormatting>
  <conditionalFormatting sqref="A1 BR4:BS4 BI4 A48:CL1048576 M33:CL47 CP4:CW4 CM4:CN4 CJ4:CK4 CG4:CH4 P4:Q4 M4:N4 CD4:CE4 BX4:BY4 BU4:BV4 BL4:BM4 BF4:BG4 BC4:BD4 AZ4:BA4 AW4:AX4 AQ4:AR4 AN4:AO4 AK4:AL4 AH4:AI4 AE4 AB4:AC4 V4:W4 S4:T4 A33:A47 CY4:DA4 CX3:CX4 DC4:DD4 DC31 CX31:CX32 CY31:DA31 CD31:CE31 M31:N31 CG31:CH31 CJ31:CK31 CM31:CN31 CP31:CW31 A2:CO2 CM33:XFD1048576">
    <cfRule type="containsText" dxfId="3493" priority="3494" operator="containsText" text="A-H">
      <formula>NOT(ISERROR(SEARCH("A-H",A1)))</formula>
    </cfRule>
  </conditionalFormatting>
  <conditionalFormatting sqref="A2">
    <cfRule type="cellIs" dxfId="3492" priority="3488" operator="equal">
      <formula>"C-Off-H"</formula>
    </cfRule>
    <cfRule type="cellIs" dxfId="3491" priority="3489" operator="equal">
      <formula>"C-Off"</formula>
    </cfRule>
    <cfRule type="cellIs" dxfId="3490" priority="3490" operator="equal">
      <formula>"CL-H"</formula>
    </cfRule>
    <cfRule type="cellIs" dxfId="3489" priority="3491" operator="equal">
      <formula>"EL-H"</formula>
    </cfRule>
    <cfRule type="cellIs" dxfId="3488" priority="3492" operator="equal">
      <formula>"CL"</formula>
    </cfRule>
    <cfRule type="cellIs" dxfId="3487" priority="3493" operator="equal">
      <formula>"EL"</formula>
    </cfRule>
  </conditionalFormatting>
  <conditionalFormatting sqref="CP4:CW4 CM4:CN4 CJ4:CK4 CG4:CH4 CD4:CE4 CY4:DA4 CX3:CX4 DC4:DD4 DC31 CX31:CX32 CY31:DA31 CD31:CE31 CG31:CH31 CJ31:CK31 CM31:CN31 CP31:CW31">
    <cfRule type="containsText" dxfId="3486" priority="3487" operator="containsText" text="A">
      <formula>NOT(ISERROR(SEARCH("A",CD3)))</formula>
    </cfRule>
  </conditionalFormatting>
  <conditionalFormatting sqref="DA4 CY4 CY31 DA31">
    <cfRule type="cellIs" dxfId="3485" priority="3481" stopIfTrue="1" operator="equal">
      <formula>"C-Off-H"</formula>
    </cfRule>
    <cfRule type="cellIs" dxfId="3484" priority="3482" stopIfTrue="1" operator="equal">
      <formula>"C-Off"</formula>
    </cfRule>
    <cfRule type="cellIs" dxfId="3483" priority="3483" stopIfTrue="1" operator="equal">
      <formula>"CL-H"</formula>
    </cfRule>
    <cfRule type="cellIs" dxfId="3482" priority="3484" stopIfTrue="1" operator="equal">
      <formula>"EL-H"</formula>
    </cfRule>
    <cfRule type="cellIs" dxfId="3481" priority="3485" stopIfTrue="1" operator="equal">
      <formula>"CL"</formula>
    </cfRule>
    <cfRule type="cellIs" dxfId="3480" priority="3486" stopIfTrue="1" operator="equal">
      <formula>"EL"</formula>
    </cfRule>
  </conditionalFormatting>
  <conditionalFormatting sqref="CZ4 CZ31">
    <cfRule type="cellIs" dxfId="3479" priority="3475" stopIfTrue="1" operator="equal">
      <formula>"C-Off-H"</formula>
    </cfRule>
    <cfRule type="cellIs" dxfId="3478" priority="3476" stopIfTrue="1" operator="equal">
      <formula>"C-Off"</formula>
    </cfRule>
    <cfRule type="cellIs" dxfId="3477" priority="3477" stopIfTrue="1" operator="equal">
      <formula>"CL-H"</formula>
    </cfRule>
    <cfRule type="cellIs" dxfId="3476" priority="3478" stopIfTrue="1" operator="equal">
      <formula>"EL-H"</formula>
    </cfRule>
    <cfRule type="cellIs" dxfId="3475" priority="3479" stopIfTrue="1" operator="equal">
      <formula>"CL"</formula>
    </cfRule>
    <cfRule type="cellIs" dxfId="3474" priority="3480" stopIfTrue="1" operator="equal">
      <formula>"EL"</formula>
    </cfRule>
  </conditionalFormatting>
  <conditionalFormatting sqref="CP1 DD1 DB1 CW1 CP2:DC2">
    <cfRule type="containsText" dxfId="3473" priority="3474" operator="containsText" text="A-H">
      <formula>NOT(ISERROR(SEARCH("A-H",CP1)))</formula>
    </cfRule>
  </conditionalFormatting>
  <conditionalFormatting sqref="B4">
    <cfRule type="cellIs" dxfId="3472" priority="3468" operator="equal">
      <formula>"C-Off-H"</formula>
    </cfRule>
    <cfRule type="cellIs" dxfId="3471" priority="3469" operator="equal">
      <formula>"C-Off"</formula>
    </cfRule>
    <cfRule type="cellIs" dxfId="3470" priority="3470" operator="equal">
      <formula>"CL-H"</formula>
    </cfRule>
    <cfRule type="cellIs" dxfId="3469" priority="3471" operator="equal">
      <formula>"EL-H"</formula>
    </cfRule>
    <cfRule type="cellIs" dxfId="3468" priority="3472" operator="equal">
      <formula>"CL"</formula>
    </cfRule>
    <cfRule type="cellIs" dxfId="3467" priority="3473" operator="equal">
      <formula>"EL"</formula>
    </cfRule>
  </conditionalFormatting>
  <conditionalFormatting sqref="B4:C4">
    <cfRule type="containsText" dxfId="3466" priority="3467" operator="containsText" text="A-H">
      <formula>NOT(ISERROR(SEARCH("A-H",B4)))</formula>
    </cfRule>
  </conditionalFormatting>
  <conditionalFormatting sqref="BR4:BS4 BI4 CM4:CN4 CJ4:CK4 CG4:CH4 P4:Q4 M4:N4 CD4:CE4 BX4:BY4 BU4:BV4 BL4:BM4 BF4:BG4 BC4:BD4 AZ4:BA4 AW4:AX4 AQ4:AR4 AN4:AO4 AK4:AL4 AH4:AI4 AE4 AB4:AC4 V4:W4 S4:T4 CD31:CE31 M31:N31 CG31:CH31 CJ31:CK31 CM31:CN31">
    <cfRule type="containsText" dxfId="3465" priority="3462" operator="containsText" text="S">
      <formula>NOT(ISERROR(SEARCH("S",M4)))</formula>
    </cfRule>
    <cfRule type="containsText" dxfId="3464" priority="3463" operator="containsText" text="P">
      <formula>NOT(ISERROR(SEARCH("P",M4)))</formula>
    </cfRule>
    <cfRule type="containsText" dxfId="3463" priority="3464" operator="containsText" text="H">
      <formula>NOT(ISERROR(SEARCH("H",M4)))</formula>
    </cfRule>
    <cfRule type="containsText" dxfId="3462" priority="3465" operator="containsText" text="&quot;H&quot;">
      <formula>NOT(ISERROR(SEARCH("""H""",M4)))</formula>
    </cfRule>
    <cfRule type="containsText" dxfId="3461" priority="3466" operator="containsText" text="&quot;A&quot;">
      <formula>NOT(ISERROR(SEARCH("""A""",M4)))</formula>
    </cfRule>
  </conditionalFormatting>
  <conditionalFormatting sqref="AU4">
    <cfRule type="cellIs" dxfId="3460" priority="3456" operator="equal">
      <formula>"C-Off-H"</formula>
    </cfRule>
    <cfRule type="cellIs" dxfId="3459" priority="3457" operator="equal">
      <formula>"C-Off"</formula>
    </cfRule>
    <cfRule type="cellIs" dxfId="3458" priority="3458" operator="equal">
      <formula>"CL-H"</formula>
    </cfRule>
    <cfRule type="cellIs" dxfId="3457" priority="3459" operator="equal">
      <formula>"EL-H"</formula>
    </cfRule>
    <cfRule type="cellIs" dxfId="3456" priority="3460" operator="equal">
      <formula>"CL"</formula>
    </cfRule>
    <cfRule type="cellIs" dxfId="3455" priority="3461" operator="equal">
      <formula>"EL"</formula>
    </cfRule>
  </conditionalFormatting>
  <conditionalFormatting sqref="AT4:AU4">
    <cfRule type="cellIs" dxfId="3454" priority="3450" operator="equal">
      <formula>"C-Off-H"</formula>
    </cfRule>
    <cfRule type="cellIs" dxfId="3453" priority="3451" operator="equal">
      <formula>"C-Off"</formula>
    </cfRule>
    <cfRule type="cellIs" dxfId="3452" priority="3452" operator="equal">
      <formula>"CL-H"</formula>
    </cfRule>
    <cfRule type="cellIs" dxfId="3451" priority="3453" operator="equal">
      <formula>"EL-H"</formula>
    </cfRule>
    <cfRule type="cellIs" dxfId="3450" priority="3454" operator="equal">
      <formula>"CL"</formula>
    </cfRule>
    <cfRule type="cellIs" dxfId="3449" priority="3455" operator="equal">
      <formula>"EL"</formula>
    </cfRule>
  </conditionalFormatting>
  <conditionalFormatting sqref="AT4:AU4">
    <cfRule type="containsText" dxfId="3448" priority="3444" operator="containsText" text="S">
      <formula>NOT(ISERROR(SEARCH("S",AT4)))</formula>
    </cfRule>
    <cfRule type="containsText" dxfId="3447" priority="3445" operator="containsText" text="P">
      <formula>NOT(ISERROR(SEARCH("P",AT4)))</formula>
    </cfRule>
    <cfRule type="containsText" dxfId="3446" priority="3446" operator="containsText" text="H">
      <formula>NOT(ISERROR(SEARCH("H",AT4)))</formula>
    </cfRule>
    <cfRule type="containsText" dxfId="3445" priority="3448" operator="containsText" text="&quot;H&quot;">
      <formula>NOT(ISERROR(SEARCH("""H""",AT4)))</formula>
    </cfRule>
    <cfRule type="containsText" dxfId="3444" priority="3449" operator="containsText" text="&quot;A&quot;">
      <formula>NOT(ISERROR(SEARCH("""A""",AT4)))</formula>
    </cfRule>
  </conditionalFormatting>
  <conditionalFormatting sqref="AT4:AU4">
    <cfRule type="containsText" dxfId="3443" priority="3447" operator="containsText" text="A-H">
      <formula>NOT(ISERROR(SEARCH("A-H",AT4)))</formula>
    </cfRule>
  </conditionalFormatting>
  <conditionalFormatting sqref="E4">
    <cfRule type="cellIs" dxfId="3442" priority="3438" operator="equal">
      <formula>"C-Off-H"</formula>
    </cfRule>
    <cfRule type="cellIs" dxfId="3441" priority="3439" operator="equal">
      <formula>"C-Off"</formula>
    </cfRule>
    <cfRule type="cellIs" dxfId="3440" priority="3440" operator="equal">
      <formula>"CL-H"</formula>
    </cfRule>
    <cfRule type="cellIs" dxfId="3439" priority="3441" operator="equal">
      <formula>"EL-H"</formula>
    </cfRule>
    <cfRule type="cellIs" dxfId="3438" priority="3442" operator="equal">
      <formula>"CL"</formula>
    </cfRule>
    <cfRule type="cellIs" dxfId="3437" priority="3443" operator="equal">
      <formula>"EL"</formula>
    </cfRule>
  </conditionalFormatting>
  <conditionalFormatting sqref="D4:E4">
    <cfRule type="cellIs" dxfId="3436" priority="3432" operator="equal">
      <formula>"C-Off-H"</formula>
    </cfRule>
    <cfRule type="cellIs" dxfId="3435" priority="3433" operator="equal">
      <formula>"C-Off"</formula>
    </cfRule>
    <cfRule type="cellIs" dxfId="3434" priority="3434" operator="equal">
      <formula>"CL-H"</formula>
    </cfRule>
    <cfRule type="cellIs" dxfId="3433" priority="3435" operator="equal">
      <formula>"EL-H"</formula>
    </cfRule>
    <cfRule type="cellIs" dxfId="3432" priority="3436" operator="equal">
      <formula>"CL"</formula>
    </cfRule>
    <cfRule type="cellIs" dxfId="3431" priority="3437" operator="equal">
      <formula>"EL"</formula>
    </cfRule>
  </conditionalFormatting>
  <conditionalFormatting sqref="D4:E4">
    <cfRule type="containsText" dxfId="3430" priority="3426" operator="containsText" text="S">
      <formula>NOT(ISERROR(SEARCH("S",D4)))</formula>
    </cfRule>
    <cfRule type="containsText" dxfId="3429" priority="3427" operator="containsText" text="P">
      <formula>NOT(ISERROR(SEARCH("P",D4)))</formula>
    </cfRule>
    <cfRule type="containsText" dxfId="3428" priority="3428" operator="containsText" text="H">
      <formula>NOT(ISERROR(SEARCH("H",D4)))</formula>
    </cfRule>
    <cfRule type="containsText" dxfId="3427" priority="3430" operator="containsText" text="&quot;H&quot;">
      <formula>NOT(ISERROR(SEARCH("""H""",D4)))</formula>
    </cfRule>
    <cfRule type="containsText" dxfId="3426" priority="3431" operator="containsText" text="&quot;A&quot;">
      <formula>NOT(ISERROR(SEARCH("""A""",D4)))</formula>
    </cfRule>
  </conditionalFormatting>
  <conditionalFormatting sqref="D4:E4">
    <cfRule type="containsText" dxfId="3425" priority="3429" operator="containsText" text="A-H">
      <formula>NOT(ISERROR(SEARCH("A-H",D4)))</formula>
    </cfRule>
  </conditionalFormatting>
  <conditionalFormatting sqref="Y4">
    <cfRule type="cellIs" dxfId="3424" priority="3420" operator="equal">
      <formula>"C-Off-H"</formula>
    </cfRule>
    <cfRule type="cellIs" dxfId="3423" priority="3421" operator="equal">
      <formula>"C-Off"</formula>
    </cfRule>
    <cfRule type="cellIs" dxfId="3422" priority="3422" operator="equal">
      <formula>"CL-H"</formula>
    </cfRule>
    <cfRule type="cellIs" dxfId="3421" priority="3423" operator="equal">
      <formula>"EL-H"</formula>
    </cfRule>
    <cfRule type="cellIs" dxfId="3420" priority="3424" operator="equal">
      <formula>"CL"</formula>
    </cfRule>
    <cfRule type="cellIs" dxfId="3419" priority="3425" operator="equal">
      <formula>"EL"</formula>
    </cfRule>
  </conditionalFormatting>
  <conditionalFormatting sqref="Y4">
    <cfRule type="containsText" dxfId="3418" priority="3414" operator="containsText" text="S">
      <formula>NOT(ISERROR(SEARCH("S",Y4)))</formula>
    </cfRule>
    <cfRule type="containsText" dxfId="3417" priority="3415" operator="containsText" text="P">
      <formula>NOT(ISERROR(SEARCH("P",Y4)))</formula>
    </cfRule>
    <cfRule type="containsText" dxfId="3416" priority="3416" operator="containsText" text="H">
      <formula>NOT(ISERROR(SEARCH("H",Y4)))</formula>
    </cfRule>
    <cfRule type="containsText" dxfId="3415" priority="3418" operator="containsText" text="&quot;H&quot;">
      <formula>NOT(ISERROR(SEARCH("""H""",Y4)))</formula>
    </cfRule>
    <cfRule type="containsText" dxfId="3414" priority="3419" operator="containsText" text="&quot;A&quot;">
      <formula>NOT(ISERROR(SEARCH("""A""",Y4)))</formula>
    </cfRule>
  </conditionalFormatting>
  <conditionalFormatting sqref="Y4">
    <cfRule type="containsText" dxfId="3413" priority="3417" operator="containsText" text="A-H">
      <formula>NOT(ISERROR(SEARCH("A-H",Y4)))</formula>
    </cfRule>
  </conditionalFormatting>
  <conditionalFormatting sqref="Z4">
    <cfRule type="cellIs" dxfId="3412" priority="3408" operator="equal">
      <formula>"C-Off-H"</formula>
    </cfRule>
    <cfRule type="cellIs" dxfId="3411" priority="3409" operator="equal">
      <formula>"C-Off"</formula>
    </cfRule>
    <cfRule type="cellIs" dxfId="3410" priority="3410" operator="equal">
      <formula>"CL-H"</formula>
    </cfRule>
    <cfRule type="cellIs" dxfId="3409" priority="3411" operator="equal">
      <formula>"EL-H"</formula>
    </cfRule>
    <cfRule type="cellIs" dxfId="3408" priority="3412" operator="equal">
      <formula>"CL"</formula>
    </cfRule>
    <cfRule type="cellIs" dxfId="3407" priority="3413" operator="equal">
      <formula>"EL"</formula>
    </cfRule>
  </conditionalFormatting>
  <conditionalFormatting sqref="Z4">
    <cfRule type="containsText" dxfId="3406" priority="3402" operator="containsText" text="S">
      <formula>NOT(ISERROR(SEARCH("S",Z4)))</formula>
    </cfRule>
    <cfRule type="containsText" dxfId="3405" priority="3403" operator="containsText" text="P">
      <formula>NOT(ISERROR(SEARCH("P",Z4)))</formula>
    </cfRule>
    <cfRule type="containsText" dxfId="3404" priority="3404" operator="containsText" text="H">
      <formula>NOT(ISERROR(SEARCH("H",Z4)))</formula>
    </cfRule>
    <cfRule type="containsText" dxfId="3403" priority="3406" operator="containsText" text="&quot;H&quot;">
      <formula>NOT(ISERROR(SEARCH("""H""",Z4)))</formula>
    </cfRule>
    <cfRule type="containsText" dxfId="3402" priority="3407" operator="containsText" text="&quot;A&quot;">
      <formula>NOT(ISERROR(SEARCH("""A""",Z4)))</formula>
    </cfRule>
  </conditionalFormatting>
  <conditionalFormatting sqref="Z4">
    <cfRule type="containsText" dxfId="3401" priority="3405" operator="containsText" text="A-H">
      <formula>NOT(ISERROR(SEARCH("A-H",Z4)))</formula>
    </cfRule>
  </conditionalFormatting>
  <conditionalFormatting sqref="AF4">
    <cfRule type="cellIs" dxfId="3400" priority="3396" operator="equal">
      <formula>"C-Off-H"</formula>
    </cfRule>
    <cfRule type="cellIs" dxfId="3399" priority="3397" operator="equal">
      <formula>"C-Off"</formula>
    </cfRule>
    <cfRule type="cellIs" dxfId="3398" priority="3398" operator="equal">
      <formula>"CL-H"</formula>
    </cfRule>
    <cfRule type="cellIs" dxfId="3397" priority="3399" operator="equal">
      <formula>"EL-H"</formula>
    </cfRule>
    <cfRule type="cellIs" dxfId="3396" priority="3400" operator="equal">
      <formula>"CL"</formula>
    </cfRule>
    <cfRule type="cellIs" dxfId="3395" priority="3401" operator="equal">
      <formula>"EL"</formula>
    </cfRule>
  </conditionalFormatting>
  <conditionalFormatting sqref="AF4">
    <cfRule type="containsText" dxfId="3394" priority="3390" operator="containsText" text="S">
      <formula>NOT(ISERROR(SEARCH("S",AF4)))</formula>
    </cfRule>
    <cfRule type="containsText" dxfId="3393" priority="3391" operator="containsText" text="P">
      <formula>NOT(ISERROR(SEARCH("P",AF4)))</formula>
    </cfRule>
    <cfRule type="containsText" dxfId="3392" priority="3392" operator="containsText" text="H">
      <formula>NOT(ISERROR(SEARCH("H",AF4)))</formula>
    </cfRule>
    <cfRule type="containsText" dxfId="3391" priority="3394" operator="containsText" text="&quot;H&quot;">
      <formula>NOT(ISERROR(SEARCH("""H""",AF4)))</formula>
    </cfRule>
    <cfRule type="containsText" dxfId="3390" priority="3395" operator="containsText" text="&quot;A&quot;">
      <formula>NOT(ISERROR(SEARCH("""A""",AF4)))</formula>
    </cfRule>
  </conditionalFormatting>
  <conditionalFormatting sqref="AF4">
    <cfRule type="containsText" dxfId="3389" priority="3393" operator="containsText" text="A-H">
      <formula>NOT(ISERROR(SEARCH("A-H",AF4)))</formula>
    </cfRule>
  </conditionalFormatting>
  <conditionalFormatting sqref="BO4:BP4">
    <cfRule type="cellIs" dxfId="3388" priority="3384" operator="equal">
      <formula>"C-Off-H"</formula>
    </cfRule>
    <cfRule type="cellIs" dxfId="3387" priority="3385" operator="equal">
      <formula>"C-Off"</formula>
    </cfRule>
    <cfRule type="cellIs" dxfId="3386" priority="3386" operator="equal">
      <formula>"CL-H"</formula>
    </cfRule>
    <cfRule type="cellIs" dxfId="3385" priority="3387" operator="equal">
      <formula>"EL-H"</formula>
    </cfRule>
    <cfRule type="cellIs" dxfId="3384" priority="3388" operator="equal">
      <formula>"CL"</formula>
    </cfRule>
    <cfRule type="cellIs" dxfId="3383" priority="3389" operator="equal">
      <formula>"EL"</formula>
    </cfRule>
  </conditionalFormatting>
  <conditionalFormatting sqref="BO4:BP4">
    <cfRule type="cellIs" dxfId="3382" priority="3378" operator="equal">
      <formula>"C-Off-H"</formula>
    </cfRule>
    <cfRule type="cellIs" dxfId="3381" priority="3379" operator="equal">
      <formula>"C-Off"</formula>
    </cfRule>
    <cfRule type="cellIs" dxfId="3380" priority="3380" operator="equal">
      <formula>"CL-H"</formula>
    </cfRule>
    <cfRule type="cellIs" dxfId="3379" priority="3381" operator="equal">
      <formula>"EL-H"</formula>
    </cfRule>
    <cfRule type="cellIs" dxfId="3378" priority="3382" operator="equal">
      <formula>"CL"</formula>
    </cfRule>
    <cfRule type="cellIs" dxfId="3377" priority="3383" operator="equal">
      <formula>"EL"</formula>
    </cfRule>
  </conditionalFormatting>
  <conditionalFormatting sqref="BO4:BP4">
    <cfRule type="containsText" dxfId="3376" priority="3372" operator="containsText" text="S">
      <formula>NOT(ISERROR(SEARCH("S",BO4)))</formula>
    </cfRule>
    <cfRule type="containsText" dxfId="3375" priority="3373" operator="containsText" text="P">
      <formula>NOT(ISERROR(SEARCH("P",BO4)))</formula>
    </cfRule>
    <cfRule type="containsText" dxfId="3374" priority="3374" operator="containsText" text="H">
      <formula>NOT(ISERROR(SEARCH("H",BO4)))</formula>
    </cfRule>
    <cfRule type="containsText" dxfId="3373" priority="3376" operator="containsText" text="&quot;H&quot;">
      <formula>NOT(ISERROR(SEARCH("""H""",BO4)))</formula>
    </cfRule>
    <cfRule type="containsText" dxfId="3372" priority="3377" operator="containsText" text="&quot;A&quot;">
      <formula>NOT(ISERROR(SEARCH("""A""",BO4)))</formula>
    </cfRule>
  </conditionalFormatting>
  <conditionalFormatting sqref="BO4:BP4">
    <cfRule type="containsText" dxfId="3371" priority="3375" operator="containsText" text="A-H">
      <formula>NOT(ISERROR(SEARCH("A-H",BO4)))</formula>
    </cfRule>
  </conditionalFormatting>
  <conditionalFormatting sqref="CA4">
    <cfRule type="cellIs" dxfId="3370" priority="3366" operator="equal">
      <formula>"C-Off-H"</formula>
    </cfRule>
    <cfRule type="cellIs" dxfId="3369" priority="3367" operator="equal">
      <formula>"C-Off"</formula>
    </cfRule>
    <cfRule type="cellIs" dxfId="3368" priority="3368" operator="equal">
      <formula>"CL-H"</formula>
    </cfRule>
    <cfRule type="cellIs" dxfId="3367" priority="3369" operator="equal">
      <formula>"EL-H"</formula>
    </cfRule>
    <cfRule type="cellIs" dxfId="3366" priority="3370" operator="equal">
      <formula>"CL"</formula>
    </cfRule>
    <cfRule type="cellIs" dxfId="3365" priority="3371" operator="equal">
      <formula>"EL"</formula>
    </cfRule>
  </conditionalFormatting>
  <conditionalFormatting sqref="CA4">
    <cfRule type="cellIs" dxfId="3364" priority="3360" operator="equal">
      <formula>"C-Off-H"</formula>
    </cfRule>
    <cfRule type="cellIs" dxfId="3363" priority="3361" operator="equal">
      <formula>"C-Off"</formula>
    </cfRule>
    <cfRule type="cellIs" dxfId="3362" priority="3362" operator="equal">
      <formula>"CL-H"</formula>
    </cfRule>
    <cfRule type="cellIs" dxfId="3361" priority="3363" operator="equal">
      <formula>"EL-H"</formula>
    </cfRule>
    <cfRule type="cellIs" dxfId="3360" priority="3364" operator="equal">
      <formula>"CL"</formula>
    </cfRule>
    <cfRule type="cellIs" dxfId="3359" priority="3365" operator="equal">
      <formula>"EL"</formula>
    </cfRule>
  </conditionalFormatting>
  <conditionalFormatting sqref="CA4">
    <cfRule type="containsText" dxfId="3358" priority="3354" operator="containsText" text="S">
      <formula>NOT(ISERROR(SEARCH("S",CA4)))</formula>
    </cfRule>
    <cfRule type="containsText" dxfId="3357" priority="3355" operator="containsText" text="P">
      <formula>NOT(ISERROR(SEARCH("P",CA4)))</formula>
    </cfRule>
    <cfRule type="containsText" dxfId="3356" priority="3356" operator="containsText" text="H">
      <formula>NOT(ISERROR(SEARCH("H",CA4)))</formula>
    </cfRule>
    <cfRule type="containsText" dxfId="3355" priority="3358" operator="containsText" text="&quot;H&quot;">
      <formula>NOT(ISERROR(SEARCH("""H""",CA4)))</formula>
    </cfRule>
    <cfRule type="containsText" dxfId="3354" priority="3359" operator="containsText" text="&quot;A&quot;">
      <formula>NOT(ISERROR(SEARCH("""A""",CA4)))</formula>
    </cfRule>
  </conditionalFormatting>
  <conditionalFormatting sqref="CA4">
    <cfRule type="containsText" dxfId="3353" priority="3357" operator="containsText" text="A-H">
      <formula>NOT(ISERROR(SEARCH("A-H",CA4)))</formula>
    </cfRule>
  </conditionalFormatting>
  <conditionalFormatting sqref="DD31">
    <cfRule type="cellIs" dxfId="3352" priority="3348" operator="equal">
      <formula>"C-Off-H"</formula>
    </cfRule>
    <cfRule type="cellIs" dxfId="3351" priority="3349" operator="equal">
      <formula>"C-Off"</formula>
    </cfRule>
    <cfRule type="cellIs" dxfId="3350" priority="3350" operator="equal">
      <formula>"CL-H"</formula>
    </cfRule>
    <cfRule type="cellIs" dxfId="3349" priority="3351" operator="equal">
      <formula>"EL-H"</formula>
    </cfRule>
    <cfRule type="cellIs" dxfId="3348" priority="3352" operator="equal">
      <formula>"CL"</formula>
    </cfRule>
    <cfRule type="cellIs" dxfId="3347" priority="3353" operator="equal">
      <formula>"EL"</formula>
    </cfRule>
  </conditionalFormatting>
  <conditionalFormatting sqref="DD31">
    <cfRule type="containsText" dxfId="3346" priority="3347" operator="containsText" text="A">
      <formula>NOT(ISERROR(SEARCH("A",DD31)))</formula>
    </cfRule>
  </conditionalFormatting>
  <conditionalFormatting sqref="DD31">
    <cfRule type="containsText" dxfId="3345" priority="3346" operator="containsText" text="A-H">
      <formula>NOT(ISERROR(SEARCH("A-H",DD31)))</formula>
    </cfRule>
  </conditionalFormatting>
  <conditionalFormatting sqref="AI31">
    <cfRule type="cellIs" dxfId="3344" priority="3340" operator="equal">
      <formula>"C-Off-H"</formula>
    </cfRule>
    <cfRule type="cellIs" dxfId="3343" priority="3341" operator="equal">
      <formula>"C-Off"</formula>
    </cfRule>
    <cfRule type="cellIs" dxfId="3342" priority="3342" operator="equal">
      <formula>"CL-H"</formula>
    </cfRule>
    <cfRule type="cellIs" dxfId="3341" priority="3343" operator="equal">
      <formula>"EL-H"</formula>
    </cfRule>
    <cfRule type="cellIs" dxfId="3340" priority="3344" operator="equal">
      <formula>"CL"</formula>
    </cfRule>
    <cfRule type="cellIs" dxfId="3339" priority="3345" operator="equal">
      <formula>"EL"</formula>
    </cfRule>
  </conditionalFormatting>
  <conditionalFormatting sqref="AH31:AI31">
    <cfRule type="cellIs" dxfId="3338" priority="3334" operator="equal">
      <formula>"C-Off-H"</formula>
    </cfRule>
    <cfRule type="cellIs" dxfId="3337" priority="3335" operator="equal">
      <formula>"C-Off"</formula>
    </cfRule>
    <cfRule type="cellIs" dxfId="3336" priority="3336" operator="equal">
      <formula>"CL-H"</formula>
    </cfRule>
    <cfRule type="cellIs" dxfId="3335" priority="3337" operator="equal">
      <formula>"EL-H"</formula>
    </cfRule>
    <cfRule type="cellIs" dxfId="3334" priority="3338" operator="equal">
      <formula>"CL"</formula>
    </cfRule>
    <cfRule type="cellIs" dxfId="3333" priority="3339" operator="equal">
      <formula>"EL"</formula>
    </cfRule>
  </conditionalFormatting>
  <conditionalFormatting sqref="AH31:AI31">
    <cfRule type="containsText" dxfId="3332" priority="3328" operator="containsText" text="S">
      <formula>NOT(ISERROR(SEARCH("S",AH31)))</formula>
    </cfRule>
    <cfRule type="containsText" dxfId="3331" priority="3329" operator="containsText" text="P">
      <formula>NOT(ISERROR(SEARCH("P",AH31)))</formula>
    </cfRule>
    <cfRule type="containsText" dxfId="3330" priority="3330" operator="containsText" text="H">
      <formula>NOT(ISERROR(SEARCH("H",AH31)))</formula>
    </cfRule>
    <cfRule type="containsText" dxfId="3329" priority="3332" operator="containsText" text="&quot;H&quot;">
      <formula>NOT(ISERROR(SEARCH("""H""",AH31)))</formula>
    </cfRule>
    <cfRule type="containsText" dxfId="3328" priority="3333" operator="containsText" text="&quot;A&quot;">
      <formula>NOT(ISERROR(SEARCH("""A""",AH31)))</formula>
    </cfRule>
  </conditionalFormatting>
  <conditionalFormatting sqref="AH31:AI31">
    <cfRule type="containsText" dxfId="3327" priority="3331" operator="containsText" text="A-H">
      <formula>NOT(ISERROR(SEARCH("A-H",AH31)))</formula>
    </cfRule>
  </conditionalFormatting>
  <conditionalFormatting sqref="AU31">
    <cfRule type="cellIs" dxfId="3326" priority="3322" operator="equal">
      <formula>"C-Off-H"</formula>
    </cfRule>
    <cfRule type="cellIs" dxfId="3325" priority="3323" operator="equal">
      <formula>"C-Off"</formula>
    </cfRule>
    <cfRule type="cellIs" dxfId="3324" priority="3324" operator="equal">
      <formula>"CL-H"</formula>
    </cfRule>
    <cfRule type="cellIs" dxfId="3323" priority="3325" operator="equal">
      <formula>"EL-H"</formula>
    </cfRule>
    <cfRule type="cellIs" dxfId="3322" priority="3326" operator="equal">
      <formula>"CL"</formula>
    </cfRule>
    <cfRule type="cellIs" dxfId="3321" priority="3327" operator="equal">
      <formula>"EL"</formula>
    </cfRule>
  </conditionalFormatting>
  <conditionalFormatting sqref="AT31:AU31">
    <cfRule type="cellIs" dxfId="3320" priority="3316" operator="equal">
      <formula>"C-Off-H"</formula>
    </cfRule>
    <cfRule type="cellIs" dxfId="3319" priority="3317" operator="equal">
      <formula>"C-Off"</formula>
    </cfRule>
    <cfRule type="cellIs" dxfId="3318" priority="3318" operator="equal">
      <formula>"CL-H"</formula>
    </cfRule>
    <cfRule type="cellIs" dxfId="3317" priority="3319" operator="equal">
      <formula>"EL-H"</formula>
    </cfRule>
    <cfRule type="cellIs" dxfId="3316" priority="3320" operator="equal">
      <formula>"CL"</formula>
    </cfRule>
    <cfRule type="cellIs" dxfId="3315" priority="3321" operator="equal">
      <formula>"EL"</formula>
    </cfRule>
  </conditionalFormatting>
  <conditionalFormatting sqref="AT31:AU31">
    <cfRule type="containsText" dxfId="3314" priority="3310" operator="containsText" text="S">
      <formula>NOT(ISERROR(SEARCH("S",AT31)))</formula>
    </cfRule>
    <cfRule type="containsText" dxfId="3313" priority="3311" operator="containsText" text="P">
      <formula>NOT(ISERROR(SEARCH("P",AT31)))</formula>
    </cfRule>
    <cfRule type="containsText" dxfId="3312" priority="3312" operator="containsText" text="H">
      <formula>NOT(ISERROR(SEARCH("H",AT31)))</formula>
    </cfRule>
    <cfRule type="containsText" dxfId="3311" priority="3314" operator="containsText" text="&quot;H&quot;">
      <formula>NOT(ISERROR(SEARCH("""H""",AT31)))</formula>
    </cfRule>
    <cfRule type="containsText" dxfId="3310" priority="3315" operator="containsText" text="&quot;A&quot;">
      <formula>NOT(ISERROR(SEARCH("""A""",AT31)))</formula>
    </cfRule>
  </conditionalFormatting>
  <conditionalFormatting sqref="AT31:AU31">
    <cfRule type="containsText" dxfId="3309" priority="3313" operator="containsText" text="A-H">
      <formula>NOT(ISERROR(SEARCH("A-H",AT31)))</formula>
    </cfRule>
  </conditionalFormatting>
  <conditionalFormatting sqref="E31">
    <cfRule type="cellIs" dxfId="3308" priority="3304" operator="equal">
      <formula>"C-Off-H"</formula>
    </cfRule>
    <cfRule type="cellIs" dxfId="3307" priority="3305" operator="equal">
      <formula>"C-Off"</formula>
    </cfRule>
    <cfRule type="cellIs" dxfId="3306" priority="3306" operator="equal">
      <formula>"CL-H"</formula>
    </cfRule>
    <cfRule type="cellIs" dxfId="3305" priority="3307" operator="equal">
      <formula>"EL-H"</formula>
    </cfRule>
    <cfRule type="cellIs" dxfId="3304" priority="3308" operator="equal">
      <formula>"CL"</formula>
    </cfRule>
    <cfRule type="cellIs" dxfId="3303" priority="3309" operator="equal">
      <formula>"EL"</formula>
    </cfRule>
  </conditionalFormatting>
  <conditionalFormatting sqref="D31:E31">
    <cfRule type="cellIs" dxfId="3302" priority="3298" operator="equal">
      <formula>"C-Off-H"</formula>
    </cfRule>
    <cfRule type="cellIs" dxfId="3301" priority="3299" operator="equal">
      <formula>"C-Off"</formula>
    </cfRule>
    <cfRule type="cellIs" dxfId="3300" priority="3300" operator="equal">
      <formula>"CL-H"</formula>
    </cfRule>
    <cfRule type="cellIs" dxfId="3299" priority="3301" operator="equal">
      <formula>"EL-H"</formula>
    </cfRule>
    <cfRule type="cellIs" dxfId="3298" priority="3302" operator="equal">
      <formula>"CL"</formula>
    </cfRule>
    <cfRule type="cellIs" dxfId="3297" priority="3303" operator="equal">
      <formula>"EL"</formula>
    </cfRule>
  </conditionalFormatting>
  <conditionalFormatting sqref="D31:E31">
    <cfRule type="containsText" dxfId="3296" priority="3292" operator="containsText" text="S">
      <formula>NOT(ISERROR(SEARCH("S",D31)))</formula>
    </cfRule>
    <cfRule type="containsText" dxfId="3295" priority="3293" operator="containsText" text="P">
      <formula>NOT(ISERROR(SEARCH("P",D31)))</formula>
    </cfRule>
    <cfRule type="containsText" dxfId="3294" priority="3294" operator="containsText" text="H">
      <formula>NOT(ISERROR(SEARCH("H",D31)))</formula>
    </cfRule>
    <cfRule type="containsText" dxfId="3293" priority="3296" operator="containsText" text="&quot;H&quot;">
      <formula>NOT(ISERROR(SEARCH("""H""",D31)))</formula>
    </cfRule>
    <cfRule type="containsText" dxfId="3292" priority="3297" operator="containsText" text="&quot;A&quot;">
      <formula>NOT(ISERROR(SEARCH("""A""",D31)))</formula>
    </cfRule>
  </conditionalFormatting>
  <conditionalFormatting sqref="D31:E31">
    <cfRule type="containsText" dxfId="3291" priority="3295" operator="containsText" text="A-H">
      <formula>NOT(ISERROR(SEARCH("A-H",D31)))</formula>
    </cfRule>
  </conditionalFormatting>
  <conditionalFormatting sqref="Z31">
    <cfRule type="cellIs" dxfId="3290" priority="3286" operator="equal">
      <formula>"C-Off-H"</formula>
    </cfRule>
    <cfRule type="cellIs" dxfId="3289" priority="3287" operator="equal">
      <formula>"C-Off"</formula>
    </cfRule>
    <cfRule type="cellIs" dxfId="3288" priority="3288" operator="equal">
      <formula>"CL-H"</formula>
    </cfRule>
    <cfRule type="cellIs" dxfId="3287" priority="3289" operator="equal">
      <formula>"EL-H"</formula>
    </cfRule>
    <cfRule type="cellIs" dxfId="3286" priority="3290" operator="equal">
      <formula>"CL"</formula>
    </cfRule>
    <cfRule type="cellIs" dxfId="3285" priority="3291" operator="equal">
      <formula>"EL"</formula>
    </cfRule>
  </conditionalFormatting>
  <conditionalFormatting sqref="Z31">
    <cfRule type="containsText" dxfId="3284" priority="3280" operator="containsText" text="S">
      <formula>NOT(ISERROR(SEARCH("S",Z31)))</formula>
    </cfRule>
    <cfRule type="containsText" dxfId="3283" priority="3281" operator="containsText" text="P">
      <formula>NOT(ISERROR(SEARCH("P",Z31)))</formula>
    </cfRule>
    <cfRule type="containsText" dxfId="3282" priority="3282" operator="containsText" text="H">
      <formula>NOT(ISERROR(SEARCH("H",Z31)))</formula>
    </cfRule>
    <cfRule type="containsText" dxfId="3281" priority="3284" operator="containsText" text="&quot;H&quot;">
      <formula>NOT(ISERROR(SEARCH("""H""",Z31)))</formula>
    </cfRule>
    <cfRule type="containsText" dxfId="3280" priority="3285" operator="containsText" text="&quot;A&quot;">
      <formula>NOT(ISERROR(SEARCH("""A""",Z31)))</formula>
    </cfRule>
  </conditionalFormatting>
  <conditionalFormatting sqref="Z31">
    <cfRule type="containsText" dxfId="3279" priority="3283" operator="containsText" text="A-H">
      <formula>NOT(ISERROR(SEARCH("A-H",Z31)))</formula>
    </cfRule>
  </conditionalFormatting>
  <conditionalFormatting sqref="Y31">
    <cfRule type="cellIs" dxfId="3278" priority="3274" operator="equal">
      <formula>"C-Off-H"</formula>
    </cfRule>
    <cfRule type="cellIs" dxfId="3277" priority="3275" operator="equal">
      <formula>"C-Off"</formula>
    </cfRule>
    <cfRule type="cellIs" dxfId="3276" priority="3276" operator="equal">
      <formula>"CL-H"</formula>
    </cfRule>
    <cfRule type="cellIs" dxfId="3275" priority="3277" operator="equal">
      <formula>"EL-H"</formula>
    </cfRule>
    <cfRule type="cellIs" dxfId="3274" priority="3278" operator="equal">
      <formula>"CL"</formula>
    </cfRule>
    <cfRule type="cellIs" dxfId="3273" priority="3279" operator="equal">
      <formula>"EL"</formula>
    </cfRule>
  </conditionalFormatting>
  <conditionalFormatting sqref="Y31">
    <cfRule type="containsText" dxfId="3272" priority="3268" operator="containsText" text="S">
      <formula>NOT(ISERROR(SEARCH("S",Y31)))</formula>
    </cfRule>
    <cfRule type="containsText" dxfId="3271" priority="3269" operator="containsText" text="P">
      <formula>NOT(ISERROR(SEARCH("P",Y31)))</formula>
    </cfRule>
    <cfRule type="containsText" dxfId="3270" priority="3270" operator="containsText" text="H">
      <formula>NOT(ISERROR(SEARCH("H",Y31)))</formula>
    </cfRule>
    <cfRule type="containsText" dxfId="3269" priority="3272" operator="containsText" text="&quot;H&quot;">
      <formula>NOT(ISERROR(SEARCH("""H""",Y31)))</formula>
    </cfRule>
    <cfRule type="containsText" dxfId="3268" priority="3273" operator="containsText" text="&quot;A&quot;">
      <formula>NOT(ISERROR(SEARCH("""A""",Y31)))</formula>
    </cfRule>
  </conditionalFormatting>
  <conditionalFormatting sqref="Y31">
    <cfRule type="containsText" dxfId="3267" priority="3271" operator="containsText" text="A-H">
      <formula>NOT(ISERROR(SEARCH("A-H",Y31)))</formula>
    </cfRule>
  </conditionalFormatting>
  <conditionalFormatting sqref="AF31">
    <cfRule type="cellIs" dxfId="3266" priority="3262" operator="equal">
      <formula>"C-Off-H"</formula>
    </cfRule>
    <cfRule type="cellIs" dxfId="3265" priority="3263" operator="equal">
      <formula>"C-Off"</formula>
    </cfRule>
    <cfRule type="cellIs" dxfId="3264" priority="3264" operator="equal">
      <formula>"CL-H"</formula>
    </cfRule>
    <cfRule type="cellIs" dxfId="3263" priority="3265" operator="equal">
      <formula>"EL-H"</formula>
    </cfRule>
    <cfRule type="cellIs" dxfId="3262" priority="3266" operator="equal">
      <formula>"CL"</formula>
    </cfRule>
    <cfRule type="cellIs" dxfId="3261" priority="3267" operator="equal">
      <formula>"EL"</formula>
    </cfRule>
  </conditionalFormatting>
  <conditionalFormatting sqref="AF31">
    <cfRule type="containsText" dxfId="3260" priority="3256" operator="containsText" text="S">
      <formula>NOT(ISERROR(SEARCH("S",AF31)))</formula>
    </cfRule>
    <cfRule type="containsText" dxfId="3259" priority="3257" operator="containsText" text="P">
      <formula>NOT(ISERROR(SEARCH("P",AF31)))</formula>
    </cfRule>
    <cfRule type="containsText" dxfId="3258" priority="3258" operator="containsText" text="H">
      <formula>NOT(ISERROR(SEARCH("H",AF31)))</formula>
    </cfRule>
    <cfRule type="containsText" dxfId="3257" priority="3260" operator="containsText" text="&quot;H&quot;">
      <formula>NOT(ISERROR(SEARCH("""H""",AF31)))</formula>
    </cfRule>
    <cfRule type="containsText" dxfId="3256" priority="3261" operator="containsText" text="&quot;A&quot;">
      <formula>NOT(ISERROR(SEARCH("""A""",AF31)))</formula>
    </cfRule>
  </conditionalFormatting>
  <conditionalFormatting sqref="AF31">
    <cfRule type="containsText" dxfId="3255" priority="3259" operator="containsText" text="A-H">
      <formula>NOT(ISERROR(SEARCH("A-H",AF31)))</formula>
    </cfRule>
  </conditionalFormatting>
  <conditionalFormatting sqref="BO31:BP31">
    <cfRule type="cellIs" dxfId="3254" priority="3250" operator="equal">
      <formula>"C-Off-H"</formula>
    </cfRule>
    <cfRule type="cellIs" dxfId="3253" priority="3251" operator="equal">
      <formula>"C-Off"</formula>
    </cfRule>
    <cfRule type="cellIs" dxfId="3252" priority="3252" operator="equal">
      <formula>"CL-H"</formula>
    </cfRule>
    <cfRule type="cellIs" dxfId="3251" priority="3253" operator="equal">
      <formula>"EL-H"</formula>
    </cfRule>
    <cfRule type="cellIs" dxfId="3250" priority="3254" operator="equal">
      <formula>"CL"</formula>
    </cfRule>
    <cfRule type="cellIs" dxfId="3249" priority="3255" operator="equal">
      <formula>"EL"</formula>
    </cfRule>
  </conditionalFormatting>
  <conditionalFormatting sqref="BO31:BP31">
    <cfRule type="cellIs" dxfId="3248" priority="3244" operator="equal">
      <formula>"C-Off-H"</formula>
    </cfRule>
    <cfRule type="cellIs" dxfId="3247" priority="3245" operator="equal">
      <formula>"C-Off"</formula>
    </cfRule>
    <cfRule type="cellIs" dxfId="3246" priority="3246" operator="equal">
      <formula>"CL-H"</formula>
    </cfRule>
    <cfRule type="cellIs" dxfId="3245" priority="3247" operator="equal">
      <formula>"EL-H"</formula>
    </cfRule>
    <cfRule type="cellIs" dxfId="3244" priority="3248" operator="equal">
      <formula>"CL"</formula>
    </cfRule>
    <cfRule type="cellIs" dxfId="3243" priority="3249" operator="equal">
      <formula>"EL"</formula>
    </cfRule>
  </conditionalFormatting>
  <conditionalFormatting sqref="BO31:BP31">
    <cfRule type="containsText" dxfId="3242" priority="3238" operator="containsText" text="S">
      <formula>NOT(ISERROR(SEARCH("S",BO31)))</formula>
    </cfRule>
    <cfRule type="containsText" dxfId="3241" priority="3239" operator="containsText" text="P">
      <formula>NOT(ISERROR(SEARCH("P",BO31)))</formula>
    </cfRule>
    <cfRule type="containsText" dxfId="3240" priority="3240" operator="containsText" text="H">
      <formula>NOT(ISERROR(SEARCH("H",BO31)))</formula>
    </cfRule>
    <cfRule type="containsText" dxfId="3239" priority="3242" operator="containsText" text="&quot;H&quot;">
      <formula>NOT(ISERROR(SEARCH("""H""",BO31)))</formula>
    </cfRule>
    <cfRule type="containsText" dxfId="3238" priority="3243" operator="containsText" text="&quot;A&quot;">
      <formula>NOT(ISERROR(SEARCH("""A""",BO31)))</formula>
    </cfRule>
  </conditionalFormatting>
  <conditionalFormatting sqref="BO31:BP31">
    <cfRule type="containsText" dxfId="3237" priority="3241" operator="containsText" text="A-H">
      <formula>NOT(ISERROR(SEARCH("A-H",BO31)))</formula>
    </cfRule>
  </conditionalFormatting>
  <conditionalFormatting sqref="CA31">
    <cfRule type="cellIs" dxfId="3236" priority="3232" operator="equal">
      <formula>"C-Off-H"</formula>
    </cfRule>
    <cfRule type="cellIs" dxfId="3235" priority="3233" operator="equal">
      <formula>"C-Off"</formula>
    </cfRule>
    <cfRule type="cellIs" dxfId="3234" priority="3234" operator="equal">
      <formula>"CL-H"</formula>
    </cfRule>
    <cfRule type="cellIs" dxfId="3233" priority="3235" operator="equal">
      <formula>"EL-H"</formula>
    </cfRule>
    <cfRule type="cellIs" dxfId="3232" priority="3236" operator="equal">
      <formula>"CL"</formula>
    </cfRule>
    <cfRule type="cellIs" dxfId="3231" priority="3237" operator="equal">
      <formula>"EL"</formula>
    </cfRule>
  </conditionalFormatting>
  <conditionalFormatting sqref="CA31">
    <cfRule type="cellIs" dxfId="3230" priority="3226" operator="equal">
      <formula>"C-Off-H"</formula>
    </cfRule>
    <cfRule type="cellIs" dxfId="3229" priority="3227" operator="equal">
      <formula>"C-Off"</formula>
    </cfRule>
    <cfRule type="cellIs" dxfId="3228" priority="3228" operator="equal">
      <formula>"CL-H"</formula>
    </cfRule>
    <cfRule type="cellIs" dxfId="3227" priority="3229" operator="equal">
      <formula>"EL-H"</formula>
    </cfRule>
    <cfRule type="cellIs" dxfId="3226" priority="3230" operator="equal">
      <formula>"CL"</formula>
    </cfRule>
    <cfRule type="cellIs" dxfId="3225" priority="3231" operator="equal">
      <formula>"EL"</formula>
    </cfRule>
  </conditionalFormatting>
  <conditionalFormatting sqref="CA31">
    <cfRule type="containsText" dxfId="3224" priority="3220" operator="containsText" text="S">
      <formula>NOT(ISERROR(SEARCH("S",CA31)))</formula>
    </cfRule>
    <cfRule type="containsText" dxfId="3223" priority="3221" operator="containsText" text="P">
      <formula>NOT(ISERROR(SEARCH("P",CA31)))</formula>
    </cfRule>
    <cfRule type="containsText" dxfId="3222" priority="3222" operator="containsText" text="H">
      <formula>NOT(ISERROR(SEARCH("H",CA31)))</formula>
    </cfRule>
    <cfRule type="containsText" dxfId="3221" priority="3224" operator="containsText" text="&quot;H&quot;">
      <formula>NOT(ISERROR(SEARCH("""H""",CA31)))</formula>
    </cfRule>
    <cfRule type="containsText" dxfId="3220" priority="3225" operator="containsText" text="&quot;A&quot;">
      <formula>NOT(ISERROR(SEARCH("""A""",CA31)))</formula>
    </cfRule>
  </conditionalFormatting>
  <conditionalFormatting sqref="CA31">
    <cfRule type="containsText" dxfId="3219" priority="3223" operator="containsText" text="A-H">
      <formula>NOT(ISERROR(SEARCH("A-H",CA31)))</formula>
    </cfRule>
  </conditionalFormatting>
  <conditionalFormatting sqref="V31:W31">
    <cfRule type="cellIs" dxfId="3218" priority="3190" operator="equal">
      <formula>"C-Off-H"</formula>
    </cfRule>
    <cfRule type="cellIs" dxfId="3217" priority="3191" operator="equal">
      <formula>"C-Off"</formula>
    </cfRule>
    <cfRule type="cellIs" dxfId="3216" priority="3192" operator="equal">
      <formula>"CL-H"</formula>
    </cfRule>
    <cfRule type="cellIs" dxfId="3215" priority="3193" operator="equal">
      <formula>"EL-H"</formula>
    </cfRule>
    <cfRule type="cellIs" dxfId="3214" priority="3194" operator="equal">
      <formula>"CL"</formula>
    </cfRule>
    <cfRule type="cellIs" dxfId="3213" priority="3195" operator="equal">
      <formula>"EL"</formula>
    </cfRule>
  </conditionalFormatting>
  <conditionalFormatting sqref="V31:W31">
    <cfRule type="containsText" dxfId="3212" priority="3184" operator="containsText" text="S">
      <formula>NOT(ISERROR(SEARCH("S",V31)))</formula>
    </cfRule>
    <cfRule type="containsText" dxfId="3211" priority="3185" operator="containsText" text="P">
      <formula>NOT(ISERROR(SEARCH("P",V31)))</formula>
    </cfRule>
    <cfRule type="containsText" dxfId="3210" priority="3186" operator="containsText" text="H">
      <formula>NOT(ISERROR(SEARCH("H",V31)))</formula>
    </cfRule>
    <cfRule type="containsText" dxfId="3209" priority="3188" operator="containsText" text="&quot;H&quot;">
      <formula>NOT(ISERROR(SEARCH("""H""",V31)))</formula>
    </cfRule>
    <cfRule type="containsText" dxfId="3208" priority="3189" operator="containsText" text="&quot;A&quot;">
      <formula>NOT(ISERROR(SEARCH("""A""",V31)))</formula>
    </cfRule>
  </conditionalFormatting>
  <conditionalFormatting sqref="V31:W31">
    <cfRule type="containsText" dxfId="3207" priority="3187" operator="containsText" text="A-H">
      <formula>NOT(ISERROR(SEARCH("A-H",V31)))</formula>
    </cfRule>
  </conditionalFormatting>
  <conditionalFormatting sqref="P31:Q31">
    <cfRule type="cellIs" dxfId="3206" priority="3214" operator="equal">
      <formula>"C-Off-H"</formula>
    </cfRule>
    <cfRule type="cellIs" dxfId="3205" priority="3215" operator="equal">
      <formula>"C-Off"</formula>
    </cfRule>
    <cfRule type="cellIs" dxfId="3204" priority="3216" operator="equal">
      <formula>"CL-H"</formula>
    </cfRule>
    <cfRule type="cellIs" dxfId="3203" priority="3217" operator="equal">
      <formula>"EL-H"</formula>
    </cfRule>
    <cfRule type="cellIs" dxfId="3202" priority="3218" operator="equal">
      <formula>"CL"</formula>
    </cfRule>
    <cfRule type="cellIs" dxfId="3201" priority="3219" operator="equal">
      <formula>"EL"</formula>
    </cfRule>
  </conditionalFormatting>
  <conditionalFormatting sqref="P31:Q31">
    <cfRule type="containsText" dxfId="3200" priority="3208" operator="containsText" text="S">
      <formula>NOT(ISERROR(SEARCH("S",P31)))</formula>
    </cfRule>
    <cfRule type="containsText" dxfId="3199" priority="3209" operator="containsText" text="P">
      <formula>NOT(ISERROR(SEARCH("P",P31)))</formula>
    </cfRule>
    <cfRule type="containsText" dxfId="3198" priority="3210" operator="containsText" text="H">
      <formula>NOT(ISERROR(SEARCH("H",P31)))</formula>
    </cfRule>
    <cfRule type="containsText" dxfId="3197" priority="3212" operator="containsText" text="&quot;H&quot;">
      <formula>NOT(ISERROR(SEARCH("""H""",P31)))</formula>
    </cfRule>
    <cfRule type="containsText" dxfId="3196" priority="3213" operator="containsText" text="&quot;A&quot;">
      <formula>NOT(ISERROR(SEARCH("""A""",P31)))</formula>
    </cfRule>
  </conditionalFormatting>
  <conditionalFormatting sqref="P31:Q31">
    <cfRule type="containsText" dxfId="3195" priority="3211" operator="containsText" text="A-H">
      <formula>NOT(ISERROR(SEARCH("A-H",P31)))</formula>
    </cfRule>
  </conditionalFormatting>
  <conditionalFormatting sqref="S31:T31">
    <cfRule type="cellIs" dxfId="3194" priority="3202" operator="equal">
      <formula>"C-Off-H"</formula>
    </cfRule>
    <cfRule type="cellIs" dxfId="3193" priority="3203" operator="equal">
      <formula>"C-Off"</formula>
    </cfRule>
    <cfRule type="cellIs" dxfId="3192" priority="3204" operator="equal">
      <formula>"CL-H"</formula>
    </cfRule>
    <cfRule type="cellIs" dxfId="3191" priority="3205" operator="equal">
      <formula>"EL-H"</formula>
    </cfRule>
    <cfRule type="cellIs" dxfId="3190" priority="3206" operator="equal">
      <formula>"CL"</formula>
    </cfRule>
    <cfRule type="cellIs" dxfId="3189" priority="3207" operator="equal">
      <formula>"EL"</formula>
    </cfRule>
  </conditionalFormatting>
  <conditionalFormatting sqref="S31:T31">
    <cfRule type="containsText" dxfId="3188" priority="3196" operator="containsText" text="S">
      <formula>NOT(ISERROR(SEARCH("S",S31)))</formula>
    </cfRule>
    <cfRule type="containsText" dxfId="3187" priority="3197" operator="containsText" text="P">
      <formula>NOT(ISERROR(SEARCH("P",S31)))</formula>
    </cfRule>
    <cfRule type="containsText" dxfId="3186" priority="3198" operator="containsText" text="H">
      <formula>NOT(ISERROR(SEARCH("H",S31)))</formula>
    </cfRule>
    <cfRule type="containsText" dxfId="3185" priority="3200" operator="containsText" text="&quot;H&quot;">
      <formula>NOT(ISERROR(SEARCH("""H""",S31)))</formula>
    </cfRule>
    <cfRule type="containsText" dxfId="3184" priority="3201" operator="containsText" text="&quot;A&quot;">
      <formula>NOT(ISERROR(SEARCH("""A""",S31)))</formula>
    </cfRule>
  </conditionalFormatting>
  <conditionalFormatting sqref="S31:T31">
    <cfRule type="containsText" dxfId="3183" priority="3199" operator="containsText" text="A-H">
      <formula>NOT(ISERROR(SEARCH("A-H",S31)))</formula>
    </cfRule>
  </conditionalFormatting>
  <conditionalFormatting sqref="AB31:AC31">
    <cfRule type="cellIs" dxfId="3182" priority="3178" operator="equal">
      <formula>"C-Off-H"</formula>
    </cfRule>
    <cfRule type="cellIs" dxfId="3181" priority="3179" operator="equal">
      <formula>"C-Off"</formula>
    </cfRule>
    <cfRule type="cellIs" dxfId="3180" priority="3180" operator="equal">
      <formula>"CL-H"</formula>
    </cfRule>
    <cfRule type="cellIs" dxfId="3179" priority="3181" operator="equal">
      <formula>"EL-H"</formula>
    </cfRule>
    <cfRule type="cellIs" dxfId="3178" priority="3182" operator="equal">
      <formula>"CL"</formula>
    </cfRule>
    <cfRule type="cellIs" dxfId="3177" priority="3183" operator="equal">
      <formula>"EL"</formula>
    </cfRule>
  </conditionalFormatting>
  <conditionalFormatting sqref="AB31:AC31">
    <cfRule type="containsText" dxfId="3176" priority="3172" operator="containsText" text="S">
      <formula>NOT(ISERROR(SEARCH("S",AB31)))</formula>
    </cfRule>
    <cfRule type="containsText" dxfId="3175" priority="3173" operator="containsText" text="P">
      <formula>NOT(ISERROR(SEARCH("P",AB31)))</formula>
    </cfRule>
    <cfRule type="containsText" dxfId="3174" priority="3174" operator="containsText" text="H">
      <formula>NOT(ISERROR(SEARCH("H",AB31)))</formula>
    </cfRule>
    <cfRule type="containsText" dxfId="3173" priority="3176" operator="containsText" text="&quot;H&quot;">
      <formula>NOT(ISERROR(SEARCH("""H""",AB31)))</formula>
    </cfRule>
    <cfRule type="containsText" dxfId="3172" priority="3177" operator="containsText" text="&quot;A&quot;">
      <formula>NOT(ISERROR(SEARCH("""A""",AB31)))</formula>
    </cfRule>
  </conditionalFormatting>
  <conditionalFormatting sqref="AB31:AC31">
    <cfRule type="containsText" dxfId="3171" priority="3175" operator="containsText" text="A-H">
      <formula>NOT(ISERROR(SEARCH("A-H",AB31)))</formula>
    </cfRule>
  </conditionalFormatting>
  <conditionalFormatting sqref="AE31">
    <cfRule type="cellIs" dxfId="3170" priority="3166" operator="equal">
      <formula>"C-Off-H"</formula>
    </cfRule>
    <cfRule type="cellIs" dxfId="3169" priority="3167" operator="equal">
      <formula>"C-Off"</formula>
    </cfRule>
    <cfRule type="cellIs" dxfId="3168" priority="3168" operator="equal">
      <formula>"CL-H"</formula>
    </cfRule>
    <cfRule type="cellIs" dxfId="3167" priority="3169" operator="equal">
      <formula>"EL-H"</formula>
    </cfRule>
    <cfRule type="cellIs" dxfId="3166" priority="3170" operator="equal">
      <formula>"CL"</formula>
    </cfRule>
    <cfRule type="cellIs" dxfId="3165" priority="3171" operator="equal">
      <formula>"EL"</formula>
    </cfRule>
  </conditionalFormatting>
  <conditionalFormatting sqref="AE31">
    <cfRule type="containsText" dxfId="3164" priority="3160" operator="containsText" text="S">
      <formula>NOT(ISERROR(SEARCH("S",AE31)))</formula>
    </cfRule>
    <cfRule type="containsText" dxfId="3163" priority="3161" operator="containsText" text="P">
      <formula>NOT(ISERROR(SEARCH("P",AE31)))</formula>
    </cfRule>
    <cfRule type="containsText" dxfId="3162" priority="3162" operator="containsText" text="H">
      <formula>NOT(ISERROR(SEARCH("H",AE31)))</formula>
    </cfRule>
    <cfRule type="containsText" dxfId="3161" priority="3164" operator="containsText" text="&quot;H&quot;">
      <formula>NOT(ISERROR(SEARCH("""H""",AE31)))</formula>
    </cfRule>
    <cfRule type="containsText" dxfId="3160" priority="3165" operator="containsText" text="&quot;A&quot;">
      <formula>NOT(ISERROR(SEARCH("""A""",AE31)))</formula>
    </cfRule>
  </conditionalFormatting>
  <conditionalFormatting sqref="AE31">
    <cfRule type="containsText" dxfId="3159" priority="3163" operator="containsText" text="A-H">
      <formula>NOT(ISERROR(SEARCH("A-H",AE31)))</formula>
    </cfRule>
  </conditionalFormatting>
  <conditionalFormatting sqref="AK31:AL31">
    <cfRule type="cellIs" dxfId="3158" priority="3154" operator="equal">
      <formula>"C-Off-H"</formula>
    </cfRule>
    <cfRule type="cellIs" dxfId="3157" priority="3155" operator="equal">
      <formula>"C-Off"</formula>
    </cfRule>
    <cfRule type="cellIs" dxfId="3156" priority="3156" operator="equal">
      <formula>"CL-H"</formula>
    </cfRule>
    <cfRule type="cellIs" dxfId="3155" priority="3157" operator="equal">
      <formula>"EL-H"</formula>
    </cfRule>
    <cfRule type="cellIs" dxfId="3154" priority="3158" operator="equal">
      <formula>"CL"</formula>
    </cfRule>
    <cfRule type="cellIs" dxfId="3153" priority="3159" operator="equal">
      <formula>"EL"</formula>
    </cfRule>
  </conditionalFormatting>
  <conditionalFormatting sqref="AK31:AL31">
    <cfRule type="containsText" dxfId="3152" priority="3148" operator="containsText" text="S">
      <formula>NOT(ISERROR(SEARCH("S",AK31)))</formula>
    </cfRule>
    <cfRule type="containsText" dxfId="3151" priority="3149" operator="containsText" text="P">
      <formula>NOT(ISERROR(SEARCH("P",AK31)))</formula>
    </cfRule>
    <cfRule type="containsText" dxfId="3150" priority="3150" operator="containsText" text="H">
      <formula>NOT(ISERROR(SEARCH("H",AK31)))</formula>
    </cfRule>
    <cfRule type="containsText" dxfId="3149" priority="3152" operator="containsText" text="&quot;H&quot;">
      <formula>NOT(ISERROR(SEARCH("""H""",AK31)))</formula>
    </cfRule>
    <cfRule type="containsText" dxfId="3148" priority="3153" operator="containsText" text="&quot;A&quot;">
      <formula>NOT(ISERROR(SEARCH("""A""",AK31)))</formula>
    </cfRule>
  </conditionalFormatting>
  <conditionalFormatting sqref="AK31:AL31">
    <cfRule type="containsText" dxfId="3147" priority="3151" operator="containsText" text="A-H">
      <formula>NOT(ISERROR(SEARCH("A-H",AK31)))</formula>
    </cfRule>
  </conditionalFormatting>
  <conditionalFormatting sqref="AN31:AO31">
    <cfRule type="cellIs" dxfId="3146" priority="3142" operator="equal">
      <formula>"C-Off-H"</formula>
    </cfRule>
    <cfRule type="cellIs" dxfId="3145" priority="3143" operator="equal">
      <formula>"C-Off"</formula>
    </cfRule>
    <cfRule type="cellIs" dxfId="3144" priority="3144" operator="equal">
      <formula>"CL-H"</formula>
    </cfRule>
    <cfRule type="cellIs" dxfId="3143" priority="3145" operator="equal">
      <formula>"EL-H"</formula>
    </cfRule>
    <cfRule type="cellIs" dxfId="3142" priority="3146" operator="equal">
      <formula>"CL"</formula>
    </cfRule>
    <cfRule type="cellIs" dxfId="3141" priority="3147" operator="equal">
      <formula>"EL"</formula>
    </cfRule>
  </conditionalFormatting>
  <conditionalFormatting sqref="AN31:AO31">
    <cfRule type="containsText" dxfId="3140" priority="3136" operator="containsText" text="S">
      <formula>NOT(ISERROR(SEARCH("S",AN31)))</formula>
    </cfRule>
    <cfRule type="containsText" dxfId="3139" priority="3137" operator="containsText" text="P">
      <formula>NOT(ISERROR(SEARCH("P",AN31)))</formula>
    </cfRule>
    <cfRule type="containsText" dxfId="3138" priority="3138" operator="containsText" text="H">
      <formula>NOT(ISERROR(SEARCH("H",AN31)))</formula>
    </cfRule>
    <cfRule type="containsText" dxfId="3137" priority="3140" operator="containsText" text="&quot;H&quot;">
      <formula>NOT(ISERROR(SEARCH("""H""",AN31)))</formula>
    </cfRule>
    <cfRule type="containsText" dxfId="3136" priority="3141" operator="containsText" text="&quot;A&quot;">
      <formula>NOT(ISERROR(SEARCH("""A""",AN31)))</formula>
    </cfRule>
  </conditionalFormatting>
  <conditionalFormatting sqref="AN31:AO31">
    <cfRule type="containsText" dxfId="3135" priority="3139" operator="containsText" text="A-H">
      <formula>NOT(ISERROR(SEARCH("A-H",AN31)))</formula>
    </cfRule>
  </conditionalFormatting>
  <conditionalFormatting sqref="AQ31:AR31">
    <cfRule type="cellIs" dxfId="3134" priority="3130" operator="equal">
      <formula>"C-Off-H"</formula>
    </cfRule>
    <cfRule type="cellIs" dxfId="3133" priority="3131" operator="equal">
      <formula>"C-Off"</formula>
    </cfRule>
    <cfRule type="cellIs" dxfId="3132" priority="3132" operator="equal">
      <formula>"CL-H"</formula>
    </cfRule>
    <cfRule type="cellIs" dxfId="3131" priority="3133" operator="equal">
      <formula>"EL-H"</formula>
    </cfRule>
    <cfRule type="cellIs" dxfId="3130" priority="3134" operator="equal">
      <formula>"CL"</formula>
    </cfRule>
    <cfRule type="cellIs" dxfId="3129" priority="3135" operator="equal">
      <formula>"EL"</formula>
    </cfRule>
  </conditionalFormatting>
  <conditionalFormatting sqref="AQ31:AR31">
    <cfRule type="containsText" dxfId="3128" priority="3124" operator="containsText" text="S">
      <formula>NOT(ISERROR(SEARCH("S",AQ31)))</formula>
    </cfRule>
    <cfRule type="containsText" dxfId="3127" priority="3125" operator="containsText" text="P">
      <formula>NOT(ISERROR(SEARCH("P",AQ31)))</formula>
    </cfRule>
    <cfRule type="containsText" dxfId="3126" priority="3126" operator="containsText" text="H">
      <formula>NOT(ISERROR(SEARCH("H",AQ31)))</formula>
    </cfRule>
    <cfRule type="containsText" dxfId="3125" priority="3128" operator="containsText" text="&quot;H&quot;">
      <formula>NOT(ISERROR(SEARCH("""H""",AQ31)))</formula>
    </cfRule>
    <cfRule type="containsText" dxfId="3124" priority="3129" operator="containsText" text="&quot;A&quot;">
      <formula>NOT(ISERROR(SEARCH("""A""",AQ31)))</formula>
    </cfRule>
  </conditionalFormatting>
  <conditionalFormatting sqref="AQ31:AR31">
    <cfRule type="containsText" dxfId="3123" priority="3127" operator="containsText" text="A-H">
      <formula>NOT(ISERROR(SEARCH("A-H",AQ31)))</formula>
    </cfRule>
  </conditionalFormatting>
  <conditionalFormatting sqref="AW31:AX31">
    <cfRule type="cellIs" dxfId="3122" priority="3118" operator="equal">
      <formula>"C-Off-H"</formula>
    </cfRule>
    <cfRule type="cellIs" dxfId="3121" priority="3119" operator="equal">
      <formula>"C-Off"</formula>
    </cfRule>
    <cfRule type="cellIs" dxfId="3120" priority="3120" operator="equal">
      <formula>"CL-H"</formula>
    </cfRule>
    <cfRule type="cellIs" dxfId="3119" priority="3121" operator="equal">
      <formula>"EL-H"</formula>
    </cfRule>
    <cfRule type="cellIs" dxfId="3118" priority="3122" operator="equal">
      <formula>"CL"</formula>
    </cfRule>
    <cfRule type="cellIs" dxfId="3117" priority="3123" operator="equal">
      <formula>"EL"</formula>
    </cfRule>
  </conditionalFormatting>
  <conditionalFormatting sqref="AW31:AX31">
    <cfRule type="containsText" dxfId="3116" priority="3112" operator="containsText" text="S">
      <formula>NOT(ISERROR(SEARCH("S",AW31)))</formula>
    </cfRule>
    <cfRule type="containsText" dxfId="3115" priority="3113" operator="containsText" text="P">
      <formula>NOT(ISERROR(SEARCH("P",AW31)))</formula>
    </cfRule>
    <cfRule type="containsText" dxfId="3114" priority="3114" operator="containsText" text="H">
      <formula>NOT(ISERROR(SEARCH("H",AW31)))</formula>
    </cfRule>
    <cfRule type="containsText" dxfId="3113" priority="3116" operator="containsText" text="&quot;H&quot;">
      <formula>NOT(ISERROR(SEARCH("""H""",AW31)))</formula>
    </cfRule>
    <cfRule type="containsText" dxfId="3112" priority="3117" operator="containsText" text="&quot;A&quot;">
      <formula>NOT(ISERROR(SEARCH("""A""",AW31)))</formula>
    </cfRule>
  </conditionalFormatting>
  <conditionalFormatting sqref="AW31:AX31">
    <cfRule type="containsText" dxfId="3111" priority="3115" operator="containsText" text="A-H">
      <formula>NOT(ISERROR(SEARCH("A-H",AW31)))</formula>
    </cfRule>
  </conditionalFormatting>
  <conditionalFormatting sqref="AZ31:BA31">
    <cfRule type="cellIs" dxfId="3110" priority="3106" operator="equal">
      <formula>"C-Off-H"</formula>
    </cfRule>
    <cfRule type="cellIs" dxfId="3109" priority="3107" operator="equal">
      <formula>"C-Off"</formula>
    </cfRule>
    <cfRule type="cellIs" dxfId="3108" priority="3108" operator="equal">
      <formula>"CL-H"</formula>
    </cfRule>
    <cfRule type="cellIs" dxfId="3107" priority="3109" operator="equal">
      <formula>"EL-H"</formula>
    </cfRule>
    <cfRule type="cellIs" dxfId="3106" priority="3110" operator="equal">
      <formula>"CL"</formula>
    </cfRule>
    <cfRule type="cellIs" dxfId="3105" priority="3111" operator="equal">
      <formula>"EL"</formula>
    </cfRule>
  </conditionalFormatting>
  <conditionalFormatting sqref="AZ31:BA31">
    <cfRule type="containsText" dxfId="3104" priority="3100" operator="containsText" text="S">
      <formula>NOT(ISERROR(SEARCH("S",AZ31)))</formula>
    </cfRule>
    <cfRule type="containsText" dxfId="3103" priority="3101" operator="containsText" text="P">
      <formula>NOT(ISERROR(SEARCH("P",AZ31)))</formula>
    </cfRule>
    <cfRule type="containsText" dxfId="3102" priority="3102" operator="containsText" text="H">
      <formula>NOT(ISERROR(SEARCH("H",AZ31)))</formula>
    </cfRule>
    <cfRule type="containsText" dxfId="3101" priority="3104" operator="containsText" text="&quot;H&quot;">
      <formula>NOT(ISERROR(SEARCH("""H""",AZ31)))</formula>
    </cfRule>
    <cfRule type="containsText" dxfId="3100" priority="3105" operator="containsText" text="&quot;A&quot;">
      <formula>NOT(ISERROR(SEARCH("""A""",AZ31)))</formula>
    </cfRule>
  </conditionalFormatting>
  <conditionalFormatting sqref="AZ31:BA31">
    <cfRule type="containsText" dxfId="3099" priority="3103" operator="containsText" text="A-H">
      <formula>NOT(ISERROR(SEARCH("A-H",AZ31)))</formula>
    </cfRule>
  </conditionalFormatting>
  <conditionalFormatting sqref="BC31:BD31">
    <cfRule type="cellIs" dxfId="3098" priority="3094" operator="equal">
      <formula>"C-Off-H"</formula>
    </cfRule>
    <cfRule type="cellIs" dxfId="3097" priority="3095" operator="equal">
      <formula>"C-Off"</formula>
    </cfRule>
    <cfRule type="cellIs" dxfId="3096" priority="3096" operator="equal">
      <formula>"CL-H"</formula>
    </cfRule>
    <cfRule type="cellIs" dxfId="3095" priority="3097" operator="equal">
      <formula>"EL-H"</formula>
    </cfRule>
    <cfRule type="cellIs" dxfId="3094" priority="3098" operator="equal">
      <formula>"CL"</formula>
    </cfRule>
    <cfRule type="cellIs" dxfId="3093" priority="3099" operator="equal">
      <formula>"EL"</formula>
    </cfRule>
  </conditionalFormatting>
  <conditionalFormatting sqref="BC31:BD31">
    <cfRule type="containsText" dxfId="3092" priority="3088" operator="containsText" text="S">
      <formula>NOT(ISERROR(SEARCH("S",BC31)))</formula>
    </cfRule>
    <cfRule type="containsText" dxfId="3091" priority="3089" operator="containsText" text="P">
      <formula>NOT(ISERROR(SEARCH("P",BC31)))</formula>
    </cfRule>
    <cfRule type="containsText" dxfId="3090" priority="3090" operator="containsText" text="H">
      <formula>NOT(ISERROR(SEARCH("H",BC31)))</formula>
    </cfRule>
    <cfRule type="containsText" dxfId="3089" priority="3092" operator="containsText" text="&quot;H&quot;">
      <formula>NOT(ISERROR(SEARCH("""H""",BC31)))</formula>
    </cfRule>
    <cfRule type="containsText" dxfId="3088" priority="3093" operator="containsText" text="&quot;A&quot;">
      <formula>NOT(ISERROR(SEARCH("""A""",BC31)))</formula>
    </cfRule>
  </conditionalFormatting>
  <conditionalFormatting sqref="BC31:BD31">
    <cfRule type="containsText" dxfId="3087" priority="3091" operator="containsText" text="A-H">
      <formula>NOT(ISERROR(SEARCH("A-H",BC31)))</formula>
    </cfRule>
  </conditionalFormatting>
  <conditionalFormatting sqref="BF31:BG31">
    <cfRule type="cellIs" dxfId="3086" priority="3082" operator="equal">
      <formula>"C-Off-H"</formula>
    </cfRule>
    <cfRule type="cellIs" dxfId="3085" priority="3083" operator="equal">
      <formula>"C-Off"</formula>
    </cfRule>
    <cfRule type="cellIs" dxfId="3084" priority="3084" operator="equal">
      <formula>"CL-H"</formula>
    </cfRule>
    <cfRule type="cellIs" dxfId="3083" priority="3085" operator="equal">
      <formula>"EL-H"</formula>
    </cfRule>
    <cfRule type="cellIs" dxfId="3082" priority="3086" operator="equal">
      <formula>"CL"</formula>
    </cfRule>
    <cfRule type="cellIs" dxfId="3081" priority="3087" operator="equal">
      <formula>"EL"</formula>
    </cfRule>
  </conditionalFormatting>
  <conditionalFormatting sqref="BF31:BG31">
    <cfRule type="containsText" dxfId="3080" priority="3076" operator="containsText" text="S">
      <formula>NOT(ISERROR(SEARCH("S",BF31)))</formula>
    </cfRule>
    <cfRule type="containsText" dxfId="3079" priority="3077" operator="containsText" text="P">
      <formula>NOT(ISERROR(SEARCH("P",BF31)))</formula>
    </cfRule>
    <cfRule type="containsText" dxfId="3078" priority="3078" operator="containsText" text="H">
      <formula>NOT(ISERROR(SEARCH("H",BF31)))</formula>
    </cfRule>
    <cfRule type="containsText" dxfId="3077" priority="3080" operator="containsText" text="&quot;H&quot;">
      <formula>NOT(ISERROR(SEARCH("""H""",BF31)))</formula>
    </cfRule>
    <cfRule type="containsText" dxfId="3076" priority="3081" operator="containsText" text="&quot;A&quot;">
      <formula>NOT(ISERROR(SEARCH("""A""",BF31)))</formula>
    </cfRule>
  </conditionalFormatting>
  <conditionalFormatting sqref="BF31:BG31">
    <cfRule type="containsText" dxfId="3075" priority="3079" operator="containsText" text="A-H">
      <formula>NOT(ISERROR(SEARCH("A-H",BF31)))</formula>
    </cfRule>
  </conditionalFormatting>
  <conditionalFormatting sqref="BI31:BJ31">
    <cfRule type="cellIs" dxfId="3074" priority="3070" operator="equal">
      <formula>"C-Off-H"</formula>
    </cfRule>
    <cfRule type="cellIs" dxfId="3073" priority="3071" operator="equal">
      <formula>"C-Off"</formula>
    </cfRule>
    <cfRule type="cellIs" dxfId="3072" priority="3072" operator="equal">
      <formula>"CL-H"</formula>
    </cfRule>
    <cfRule type="cellIs" dxfId="3071" priority="3073" operator="equal">
      <formula>"EL-H"</formula>
    </cfRule>
    <cfRule type="cellIs" dxfId="3070" priority="3074" operator="equal">
      <formula>"CL"</formula>
    </cfRule>
    <cfRule type="cellIs" dxfId="3069" priority="3075" operator="equal">
      <formula>"EL"</formula>
    </cfRule>
  </conditionalFormatting>
  <conditionalFormatting sqref="BI31:BJ31">
    <cfRule type="containsText" dxfId="3068" priority="3064" operator="containsText" text="S">
      <formula>NOT(ISERROR(SEARCH("S",BI31)))</formula>
    </cfRule>
    <cfRule type="containsText" dxfId="3067" priority="3065" operator="containsText" text="P">
      <formula>NOT(ISERROR(SEARCH("P",BI31)))</formula>
    </cfRule>
    <cfRule type="containsText" dxfId="3066" priority="3066" operator="containsText" text="H">
      <formula>NOT(ISERROR(SEARCH("H",BI31)))</formula>
    </cfRule>
    <cfRule type="containsText" dxfId="3065" priority="3068" operator="containsText" text="&quot;H&quot;">
      <formula>NOT(ISERROR(SEARCH("""H""",BI31)))</formula>
    </cfRule>
    <cfRule type="containsText" dxfId="3064" priority="3069" operator="containsText" text="&quot;A&quot;">
      <formula>NOT(ISERROR(SEARCH("""A""",BI31)))</formula>
    </cfRule>
  </conditionalFormatting>
  <conditionalFormatting sqref="BI31:BJ31">
    <cfRule type="containsText" dxfId="3063" priority="3067" operator="containsText" text="A-H">
      <formula>NOT(ISERROR(SEARCH("A-H",BI31)))</formula>
    </cfRule>
  </conditionalFormatting>
  <conditionalFormatting sqref="BL31:BM31">
    <cfRule type="cellIs" dxfId="3062" priority="3058" operator="equal">
      <formula>"C-Off-H"</formula>
    </cfRule>
    <cfRule type="cellIs" dxfId="3061" priority="3059" operator="equal">
      <formula>"C-Off"</formula>
    </cfRule>
    <cfRule type="cellIs" dxfId="3060" priority="3060" operator="equal">
      <formula>"CL-H"</formula>
    </cfRule>
    <cfRule type="cellIs" dxfId="3059" priority="3061" operator="equal">
      <formula>"EL-H"</formula>
    </cfRule>
    <cfRule type="cellIs" dxfId="3058" priority="3062" operator="equal">
      <formula>"CL"</formula>
    </cfRule>
    <cfRule type="cellIs" dxfId="3057" priority="3063" operator="equal">
      <formula>"EL"</formula>
    </cfRule>
  </conditionalFormatting>
  <conditionalFormatting sqref="BL31:BM31">
    <cfRule type="containsText" dxfId="3056" priority="3052" operator="containsText" text="S">
      <formula>NOT(ISERROR(SEARCH("S",BL31)))</formula>
    </cfRule>
    <cfRule type="containsText" dxfId="3055" priority="3053" operator="containsText" text="P">
      <formula>NOT(ISERROR(SEARCH("P",BL31)))</formula>
    </cfRule>
    <cfRule type="containsText" dxfId="3054" priority="3054" operator="containsText" text="H">
      <formula>NOT(ISERROR(SEARCH("H",BL31)))</formula>
    </cfRule>
    <cfRule type="containsText" dxfId="3053" priority="3056" operator="containsText" text="&quot;H&quot;">
      <formula>NOT(ISERROR(SEARCH("""H""",BL31)))</formula>
    </cfRule>
    <cfRule type="containsText" dxfId="3052" priority="3057" operator="containsText" text="&quot;A&quot;">
      <formula>NOT(ISERROR(SEARCH("""A""",BL31)))</formula>
    </cfRule>
  </conditionalFormatting>
  <conditionalFormatting sqref="BL31:BM31">
    <cfRule type="containsText" dxfId="3051" priority="3055" operator="containsText" text="A-H">
      <formula>NOT(ISERROR(SEARCH("A-H",BL31)))</formula>
    </cfRule>
  </conditionalFormatting>
  <conditionalFormatting sqref="BR31:BS31">
    <cfRule type="cellIs" dxfId="3050" priority="3046" operator="equal">
      <formula>"C-Off-H"</formula>
    </cfRule>
    <cfRule type="cellIs" dxfId="3049" priority="3047" operator="equal">
      <formula>"C-Off"</formula>
    </cfRule>
    <cfRule type="cellIs" dxfId="3048" priority="3048" operator="equal">
      <formula>"CL-H"</formula>
    </cfRule>
    <cfRule type="cellIs" dxfId="3047" priority="3049" operator="equal">
      <formula>"EL-H"</formula>
    </cfRule>
    <cfRule type="cellIs" dxfId="3046" priority="3050" operator="equal">
      <formula>"CL"</formula>
    </cfRule>
    <cfRule type="cellIs" dxfId="3045" priority="3051" operator="equal">
      <formula>"EL"</formula>
    </cfRule>
  </conditionalFormatting>
  <conditionalFormatting sqref="BR31:BS31">
    <cfRule type="containsText" dxfId="3044" priority="3040" operator="containsText" text="S">
      <formula>NOT(ISERROR(SEARCH("S",BR31)))</formula>
    </cfRule>
    <cfRule type="containsText" dxfId="3043" priority="3041" operator="containsText" text="P">
      <formula>NOT(ISERROR(SEARCH("P",BR31)))</formula>
    </cfRule>
    <cfRule type="containsText" dxfId="3042" priority="3042" operator="containsText" text="H">
      <formula>NOT(ISERROR(SEARCH("H",BR31)))</formula>
    </cfRule>
    <cfRule type="containsText" dxfId="3041" priority="3044" operator="containsText" text="&quot;H&quot;">
      <formula>NOT(ISERROR(SEARCH("""H""",BR31)))</formula>
    </cfRule>
    <cfRule type="containsText" dxfId="3040" priority="3045" operator="containsText" text="&quot;A&quot;">
      <formula>NOT(ISERROR(SEARCH("""A""",BR31)))</formula>
    </cfRule>
  </conditionalFormatting>
  <conditionalFormatting sqref="BR31:BS31">
    <cfRule type="containsText" dxfId="3039" priority="3043" operator="containsText" text="A-H">
      <formula>NOT(ISERROR(SEARCH("A-H",BR31)))</formula>
    </cfRule>
  </conditionalFormatting>
  <conditionalFormatting sqref="BU31:BV31">
    <cfRule type="cellIs" dxfId="3038" priority="3034" operator="equal">
      <formula>"C-Off-H"</formula>
    </cfRule>
    <cfRule type="cellIs" dxfId="3037" priority="3035" operator="equal">
      <formula>"C-Off"</formula>
    </cfRule>
    <cfRule type="cellIs" dxfId="3036" priority="3036" operator="equal">
      <formula>"CL-H"</formula>
    </cfRule>
    <cfRule type="cellIs" dxfId="3035" priority="3037" operator="equal">
      <formula>"EL-H"</formula>
    </cfRule>
    <cfRule type="cellIs" dxfId="3034" priority="3038" operator="equal">
      <formula>"CL"</formula>
    </cfRule>
    <cfRule type="cellIs" dxfId="3033" priority="3039" operator="equal">
      <formula>"EL"</formula>
    </cfRule>
  </conditionalFormatting>
  <conditionalFormatting sqref="BU31:BV31">
    <cfRule type="containsText" dxfId="3032" priority="3028" operator="containsText" text="S">
      <formula>NOT(ISERROR(SEARCH("S",BU31)))</formula>
    </cfRule>
    <cfRule type="containsText" dxfId="3031" priority="3029" operator="containsText" text="P">
      <formula>NOT(ISERROR(SEARCH("P",BU31)))</formula>
    </cfRule>
    <cfRule type="containsText" dxfId="3030" priority="3030" operator="containsText" text="H">
      <formula>NOT(ISERROR(SEARCH("H",BU31)))</formula>
    </cfRule>
    <cfRule type="containsText" dxfId="3029" priority="3032" operator="containsText" text="&quot;H&quot;">
      <formula>NOT(ISERROR(SEARCH("""H""",BU31)))</formula>
    </cfRule>
    <cfRule type="containsText" dxfId="3028" priority="3033" operator="containsText" text="&quot;A&quot;">
      <formula>NOT(ISERROR(SEARCH("""A""",BU31)))</formula>
    </cfRule>
  </conditionalFormatting>
  <conditionalFormatting sqref="BU31:BV31">
    <cfRule type="containsText" dxfId="3027" priority="3031" operator="containsText" text="A-H">
      <formula>NOT(ISERROR(SEARCH("A-H",BU31)))</formula>
    </cfRule>
  </conditionalFormatting>
  <conditionalFormatting sqref="BY31">
    <cfRule type="cellIs" dxfId="3026" priority="3022" operator="equal">
      <formula>"C-Off-H"</formula>
    </cfRule>
    <cfRule type="cellIs" dxfId="3025" priority="3023" operator="equal">
      <formula>"C-Off"</formula>
    </cfRule>
    <cfRule type="cellIs" dxfId="3024" priority="3024" operator="equal">
      <formula>"CL-H"</formula>
    </cfRule>
    <cfRule type="cellIs" dxfId="3023" priority="3025" operator="equal">
      <formula>"EL-H"</formula>
    </cfRule>
    <cfRule type="cellIs" dxfId="3022" priority="3026" operator="equal">
      <formula>"CL"</formula>
    </cfRule>
    <cfRule type="cellIs" dxfId="3021" priority="3027" operator="equal">
      <formula>"EL"</formula>
    </cfRule>
  </conditionalFormatting>
  <conditionalFormatting sqref="BY31">
    <cfRule type="containsText" dxfId="3020" priority="3016" operator="containsText" text="S">
      <formula>NOT(ISERROR(SEARCH("S",BY31)))</formula>
    </cfRule>
    <cfRule type="containsText" dxfId="3019" priority="3017" operator="containsText" text="P">
      <formula>NOT(ISERROR(SEARCH("P",BY31)))</formula>
    </cfRule>
    <cfRule type="containsText" dxfId="3018" priority="3018" operator="containsText" text="H">
      <formula>NOT(ISERROR(SEARCH("H",BY31)))</formula>
    </cfRule>
    <cfRule type="containsText" dxfId="3017" priority="3020" operator="containsText" text="&quot;H&quot;">
      <formula>NOT(ISERROR(SEARCH("""H""",BY31)))</formula>
    </cfRule>
    <cfRule type="containsText" dxfId="3016" priority="3021" operator="containsText" text="&quot;A&quot;">
      <formula>NOT(ISERROR(SEARCH("""A""",BY31)))</formula>
    </cfRule>
  </conditionalFormatting>
  <conditionalFormatting sqref="BY31">
    <cfRule type="containsText" dxfId="3015" priority="3019" operator="containsText" text="A-H">
      <formula>NOT(ISERROR(SEARCH("A-H",BY31)))</formula>
    </cfRule>
  </conditionalFormatting>
  <conditionalFormatting sqref="BX31">
    <cfRule type="cellIs" dxfId="3014" priority="3010" operator="equal">
      <formula>"C-Off-H"</formula>
    </cfRule>
    <cfRule type="cellIs" dxfId="3013" priority="3011" operator="equal">
      <formula>"C-Off"</formula>
    </cfRule>
    <cfRule type="cellIs" dxfId="3012" priority="3012" operator="equal">
      <formula>"CL-H"</formula>
    </cfRule>
    <cfRule type="cellIs" dxfId="3011" priority="3013" operator="equal">
      <formula>"EL-H"</formula>
    </cfRule>
    <cfRule type="cellIs" dxfId="3010" priority="3014" operator="equal">
      <formula>"CL"</formula>
    </cfRule>
    <cfRule type="cellIs" dxfId="3009" priority="3015" operator="equal">
      <formula>"EL"</formula>
    </cfRule>
  </conditionalFormatting>
  <conditionalFormatting sqref="BX31">
    <cfRule type="containsText" dxfId="3008" priority="3004" operator="containsText" text="S">
      <formula>NOT(ISERROR(SEARCH("S",BX31)))</formula>
    </cfRule>
    <cfRule type="containsText" dxfId="3007" priority="3005" operator="containsText" text="P">
      <formula>NOT(ISERROR(SEARCH("P",BX31)))</formula>
    </cfRule>
    <cfRule type="containsText" dxfId="3006" priority="3006" operator="containsText" text="H">
      <formula>NOT(ISERROR(SEARCH("H",BX31)))</formula>
    </cfRule>
    <cfRule type="containsText" dxfId="3005" priority="3008" operator="containsText" text="&quot;H&quot;">
      <formula>NOT(ISERROR(SEARCH("""H""",BX31)))</formula>
    </cfRule>
    <cfRule type="containsText" dxfId="3004" priority="3009" operator="containsText" text="&quot;A&quot;">
      <formula>NOT(ISERROR(SEARCH("""A""",BX31)))</formula>
    </cfRule>
  </conditionalFormatting>
  <conditionalFormatting sqref="BX31">
    <cfRule type="containsText" dxfId="3003" priority="3007" operator="containsText" text="A-H">
      <formula>NOT(ISERROR(SEARCH("A-H",BX31)))</formula>
    </cfRule>
  </conditionalFormatting>
  <conditionalFormatting sqref="BJ4">
    <cfRule type="containsText" dxfId="3002" priority="2991" operator="containsText" text="S">
      <formula>NOT(ISERROR(SEARCH("S",BJ4)))</formula>
    </cfRule>
    <cfRule type="containsText" dxfId="3001" priority="2992" operator="containsText" text="P">
      <formula>NOT(ISERROR(SEARCH("P",BJ4)))</formula>
    </cfRule>
    <cfRule type="containsText" dxfId="3000" priority="2993" operator="containsText" text="H">
      <formula>NOT(ISERROR(SEARCH("H",BJ4)))</formula>
    </cfRule>
    <cfRule type="containsText" dxfId="2999" priority="2994" operator="containsText" text="&quot;H&quot;">
      <formula>NOT(ISERROR(SEARCH("""H""",BJ4)))</formula>
    </cfRule>
    <cfRule type="containsText" dxfId="2998" priority="2995" operator="containsText" text="&quot;A&quot;">
      <formula>NOT(ISERROR(SEARCH("""A""",BJ4)))</formula>
    </cfRule>
  </conditionalFormatting>
  <conditionalFormatting sqref="BJ4">
    <cfRule type="cellIs" dxfId="2997" priority="2998" operator="equal">
      <formula>"C-Off-H"</formula>
    </cfRule>
    <cfRule type="cellIs" dxfId="2996" priority="2999" operator="equal">
      <formula>"C-Off"</formula>
    </cfRule>
    <cfRule type="cellIs" dxfId="2995" priority="3000" operator="equal">
      <formula>"CL-H"</formula>
    </cfRule>
    <cfRule type="cellIs" dxfId="2994" priority="3001" operator="equal">
      <formula>"EL-H"</formula>
    </cfRule>
    <cfRule type="cellIs" dxfId="2993" priority="3002" operator="equal">
      <formula>"CL"</formula>
    </cfRule>
    <cfRule type="cellIs" dxfId="2992" priority="3003" operator="equal">
      <formula>"EL"</formula>
    </cfRule>
  </conditionalFormatting>
  <conditionalFormatting sqref="BJ4">
    <cfRule type="containsText" dxfId="2991" priority="2997" operator="containsText" text="A-H">
      <formula>NOT(ISERROR(SEARCH("A-H",BJ4)))</formula>
    </cfRule>
  </conditionalFormatting>
  <conditionalFormatting sqref="BJ4">
    <cfRule type="containsText" dxfId="2990" priority="2996" operator="containsText" text="A">
      <formula>NOT(ISERROR(SEARCH("A",BJ4)))</formula>
    </cfRule>
  </conditionalFormatting>
  <conditionalFormatting sqref="J4:K4">
    <cfRule type="cellIs" dxfId="2989" priority="2985" operator="equal">
      <formula>"C-Off-H"</formula>
    </cfRule>
    <cfRule type="cellIs" dxfId="2988" priority="2986" operator="equal">
      <formula>"C-Off"</formula>
    </cfRule>
    <cfRule type="cellIs" dxfId="2987" priority="2987" operator="equal">
      <formula>"CL-H"</formula>
    </cfRule>
    <cfRule type="cellIs" dxfId="2986" priority="2988" operator="equal">
      <formula>"EL-H"</formula>
    </cfRule>
    <cfRule type="cellIs" dxfId="2985" priority="2989" operator="equal">
      <formula>"CL"</formula>
    </cfRule>
    <cfRule type="cellIs" dxfId="2984" priority="2990" operator="equal">
      <formula>"EL"</formula>
    </cfRule>
  </conditionalFormatting>
  <conditionalFormatting sqref="J4:K4">
    <cfRule type="containsText" dxfId="2983" priority="2984" operator="containsText" text="A-H">
      <formula>NOT(ISERROR(SEARCH("A-H",J4)))</formula>
    </cfRule>
  </conditionalFormatting>
  <conditionalFormatting sqref="J4:K4">
    <cfRule type="containsText" dxfId="2982" priority="2979" operator="containsText" text="S">
      <formula>NOT(ISERROR(SEARCH("S",J4)))</formula>
    </cfRule>
    <cfRule type="containsText" dxfId="2981" priority="2980" operator="containsText" text="P">
      <formula>NOT(ISERROR(SEARCH("P",J4)))</formula>
    </cfRule>
    <cfRule type="containsText" dxfId="2980" priority="2981" operator="containsText" text="H">
      <formula>NOT(ISERROR(SEARCH("H",J4)))</formula>
    </cfRule>
    <cfRule type="containsText" dxfId="2979" priority="2982" operator="containsText" text="&quot;H&quot;">
      <formula>NOT(ISERROR(SEARCH("""H""",J4)))</formula>
    </cfRule>
    <cfRule type="containsText" dxfId="2978" priority="2983" operator="containsText" text="&quot;A&quot;">
      <formula>NOT(ISERROR(SEARCH("""A""",J4)))</formula>
    </cfRule>
  </conditionalFormatting>
  <conditionalFormatting sqref="J31:K31">
    <cfRule type="cellIs" dxfId="2977" priority="2973" operator="equal">
      <formula>"C-Off-H"</formula>
    </cfRule>
    <cfRule type="cellIs" dxfId="2976" priority="2974" operator="equal">
      <formula>"C-Off"</formula>
    </cfRule>
    <cfRule type="cellIs" dxfId="2975" priority="2975" operator="equal">
      <formula>"CL-H"</formula>
    </cfRule>
    <cfRule type="cellIs" dxfId="2974" priority="2976" operator="equal">
      <formula>"EL-H"</formula>
    </cfRule>
    <cfRule type="cellIs" dxfId="2973" priority="2977" operator="equal">
      <formula>"CL"</formula>
    </cfRule>
    <cfRule type="cellIs" dxfId="2972" priority="2978" operator="equal">
      <formula>"EL"</formula>
    </cfRule>
  </conditionalFormatting>
  <conditionalFormatting sqref="J31:K31">
    <cfRule type="containsText" dxfId="2971" priority="2967" operator="containsText" text="S">
      <formula>NOT(ISERROR(SEARCH("S",J31)))</formula>
    </cfRule>
    <cfRule type="containsText" dxfId="2970" priority="2968" operator="containsText" text="P">
      <formula>NOT(ISERROR(SEARCH("P",J31)))</formula>
    </cfRule>
    <cfRule type="containsText" dxfId="2969" priority="2969" operator="containsText" text="H">
      <formula>NOT(ISERROR(SEARCH("H",J31)))</formula>
    </cfRule>
    <cfRule type="containsText" dxfId="2968" priority="2971" operator="containsText" text="&quot;H&quot;">
      <formula>NOT(ISERROR(SEARCH("""H""",J31)))</formula>
    </cfRule>
    <cfRule type="containsText" dxfId="2967" priority="2972" operator="containsText" text="&quot;A&quot;">
      <formula>NOT(ISERROR(SEARCH("""A""",J31)))</formula>
    </cfRule>
  </conditionalFormatting>
  <conditionalFormatting sqref="J31:K31">
    <cfRule type="containsText" dxfId="2966" priority="2970" operator="containsText" text="A-H">
      <formula>NOT(ISERROR(SEARCH("A-H",J31)))</formula>
    </cfRule>
  </conditionalFormatting>
  <conditionalFormatting sqref="DC32 CD32:CE32 M32:N32 CG32:CH32 CJ32:CK32 CM32:CN32 CP32:CW32">
    <cfRule type="cellIs" dxfId="2965" priority="2961" operator="equal">
      <formula>"C-Off-H"</formula>
    </cfRule>
    <cfRule type="cellIs" dxfId="2964" priority="2962" operator="equal">
      <formula>"C-Off"</formula>
    </cfRule>
    <cfRule type="cellIs" dxfId="2963" priority="2963" operator="equal">
      <formula>"CL-H"</formula>
    </cfRule>
    <cfRule type="cellIs" dxfId="2962" priority="2964" operator="equal">
      <formula>"EL-H"</formula>
    </cfRule>
    <cfRule type="cellIs" dxfId="2961" priority="2965" operator="equal">
      <formula>"CL"</formula>
    </cfRule>
    <cfRule type="cellIs" dxfId="2960" priority="2966" operator="equal">
      <formula>"EL"</formula>
    </cfRule>
  </conditionalFormatting>
  <conditionalFormatting sqref="CD32:CE32 M32:N32 CG32:CH32 CJ32:CK32 CM32:CN32 CP32:CW32 CY32:DA32 DC32">
    <cfRule type="containsText" dxfId="2959" priority="2960" operator="containsText" text="A-H">
      <formula>NOT(ISERROR(SEARCH("A-H",M32)))</formula>
    </cfRule>
  </conditionalFormatting>
  <conditionalFormatting sqref="CD32:CE32 CG32:CH32 CJ32:CK32 CM32:CN32 CP32:CW32 CY32:DA32 DC32">
    <cfRule type="containsText" dxfId="2958" priority="2959" operator="containsText" text="A">
      <formula>NOT(ISERROR(SEARCH("A",CD32)))</formula>
    </cfRule>
  </conditionalFormatting>
  <conditionalFormatting sqref="CY32 DA32">
    <cfRule type="cellIs" dxfId="2957" priority="2953" stopIfTrue="1" operator="equal">
      <formula>"C-Off-H"</formula>
    </cfRule>
    <cfRule type="cellIs" dxfId="2956" priority="2954" stopIfTrue="1" operator="equal">
      <formula>"C-Off"</formula>
    </cfRule>
    <cfRule type="cellIs" dxfId="2955" priority="2955" stopIfTrue="1" operator="equal">
      <formula>"CL-H"</formula>
    </cfRule>
    <cfRule type="cellIs" dxfId="2954" priority="2956" stopIfTrue="1" operator="equal">
      <formula>"EL-H"</formula>
    </cfRule>
    <cfRule type="cellIs" dxfId="2953" priority="2957" stopIfTrue="1" operator="equal">
      <formula>"CL"</formula>
    </cfRule>
    <cfRule type="cellIs" dxfId="2952" priority="2958" stopIfTrue="1" operator="equal">
      <formula>"EL"</formula>
    </cfRule>
  </conditionalFormatting>
  <conditionalFormatting sqref="CZ32">
    <cfRule type="cellIs" dxfId="2951" priority="2947" stopIfTrue="1" operator="equal">
      <formula>"C-Off-H"</formula>
    </cfRule>
    <cfRule type="cellIs" dxfId="2950" priority="2948" stopIfTrue="1" operator="equal">
      <formula>"C-Off"</formula>
    </cfRule>
    <cfRule type="cellIs" dxfId="2949" priority="2949" stopIfTrue="1" operator="equal">
      <formula>"CL-H"</formula>
    </cfRule>
    <cfRule type="cellIs" dxfId="2948" priority="2950" stopIfTrue="1" operator="equal">
      <formula>"EL-H"</formula>
    </cfRule>
    <cfRule type="cellIs" dxfId="2947" priority="2951" stopIfTrue="1" operator="equal">
      <formula>"CL"</formula>
    </cfRule>
    <cfRule type="cellIs" dxfId="2946" priority="2952" stopIfTrue="1" operator="equal">
      <formula>"EL"</formula>
    </cfRule>
  </conditionalFormatting>
  <conditionalFormatting sqref="CD32:CE32 M32:N32 CG32:CH32 CJ32:CK32 CM32:CN32">
    <cfRule type="containsText" dxfId="2945" priority="2942" operator="containsText" text="S">
      <formula>NOT(ISERROR(SEARCH("S",M32)))</formula>
    </cfRule>
    <cfRule type="containsText" dxfId="2944" priority="2943" operator="containsText" text="P">
      <formula>NOT(ISERROR(SEARCH("P",M32)))</formula>
    </cfRule>
    <cfRule type="containsText" dxfId="2943" priority="2944" operator="containsText" text="H">
      <formula>NOT(ISERROR(SEARCH("H",M32)))</formula>
    </cfRule>
    <cfRule type="containsText" dxfId="2942" priority="2945" operator="containsText" text="&quot;H&quot;">
      <formula>NOT(ISERROR(SEARCH("""H""",M32)))</formula>
    </cfRule>
    <cfRule type="containsText" dxfId="2941" priority="2946" operator="containsText" text="&quot;A&quot;">
      <formula>NOT(ISERROR(SEARCH("""A""",M32)))</formula>
    </cfRule>
  </conditionalFormatting>
  <conditionalFormatting sqref="DD32">
    <cfRule type="cellIs" dxfId="2940" priority="2936" operator="equal">
      <formula>"C-Off-H"</formula>
    </cfRule>
    <cfRule type="cellIs" dxfId="2939" priority="2937" operator="equal">
      <formula>"C-Off"</formula>
    </cfRule>
    <cfRule type="cellIs" dxfId="2938" priority="2938" operator="equal">
      <formula>"CL-H"</formula>
    </cfRule>
    <cfRule type="cellIs" dxfId="2937" priority="2939" operator="equal">
      <formula>"EL-H"</formula>
    </cfRule>
    <cfRule type="cellIs" dxfId="2936" priority="2940" operator="equal">
      <formula>"CL"</formula>
    </cfRule>
    <cfRule type="cellIs" dxfId="2935" priority="2941" operator="equal">
      <formula>"EL"</formula>
    </cfRule>
  </conditionalFormatting>
  <conditionalFormatting sqref="DD32">
    <cfRule type="containsText" dxfId="2934" priority="2935" operator="containsText" text="A">
      <formula>NOT(ISERROR(SEARCH("A",DD32)))</formula>
    </cfRule>
  </conditionalFormatting>
  <conditionalFormatting sqref="DD32">
    <cfRule type="containsText" dxfId="2933" priority="2934" operator="containsText" text="A-H">
      <formula>NOT(ISERROR(SEARCH("A-H",DD32)))</formula>
    </cfRule>
  </conditionalFormatting>
  <conditionalFormatting sqref="AI32">
    <cfRule type="cellIs" dxfId="2932" priority="2928" operator="equal">
      <formula>"C-Off-H"</formula>
    </cfRule>
    <cfRule type="cellIs" dxfId="2931" priority="2929" operator="equal">
      <formula>"C-Off"</formula>
    </cfRule>
    <cfRule type="cellIs" dxfId="2930" priority="2930" operator="equal">
      <formula>"CL-H"</formula>
    </cfRule>
    <cfRule type="cellIs" dxfId="2929" priority="2931" operator="equal">
      <formula>"EL-H"</formula>
    </cfRule>
    <cfRule type="cellIs" dxfId="2928" priority="2932" operator="equal">
      <formula>"CL"</formula>
    </cfRule>
    <cfRule type="cellIs" dxfId="2927" priority="2933" operator="equal">
      <formula>"EL"</formula>
    </cfRule>
  </conditionalFormatting>
  <conditionalFormatting sqref="AH32:AI32">
    <cfRule type="cellIs" dxfId="2926" priority="2922" operator="equal">
      <formula>"C-Off-H"</formula>
    </cfRule>
    <cfRule type="cellIs" dxfId="2925" priority="2923" operator="equal">
      <formula>"C-Off"</formula>
    </cfRule>
    <cfRule type="cellIs" dxfId="2924" priority="2924" operator="equal">
      <formula>"CL-H"</formula>
    </cfRule>
    <cfRule type="cellIs" dxfId="2923" priority="2925" operator="equal">
      <formula>"EL-H"</formula>
    </cfRule>
    <cfRule type="cellIs" dxfId="2922" priority="2926" operator="equal">
      <formula>"CL"</formula>
    </cfRule>
    <cfRule type="cellIs" dxfId="2921" priority="2927" operator="equal">
      <formula>"EL"</formula>
    </cfRule>
  </conditionalFormatting>
  <conditionalFormatting sqref="AH32:AI32">
    <cfRule type="containsText" dxfId="2920" priority="2916" operator="containsText" text="S">
      <formula>NOT(ISERROR(SEARCH("S",AH32)))</formula>
    </cfRule>
    <cfRule type="containsText" dxfId="2919" priority="2917" operator="containsText" text="P">
      <formula>NOT(ISERROR(SEARCH("P",AH32)))</formula>
    </cfRule>
    <cfRule type="containsText" dxfId="2918" priority="2918" operator="containsText" text="H">
      <formula>NOT(ISERROR(SEARCH("H",AH32)))</formula>
    </cfRule>
    <cfRule type="containsText" dxfId="2917" priority="2920" operator="containsText" text="&quot;H&quot;">
      <formula>NOT(ISERROR(SEARCH("""H""",AH32)))</formula>
    </cfRule>
    <cfRule type="containsText" dxfId="2916" priority="2921" operator="containsText" text="&quot;A&quot;">
      <formula>NOT(ISERROR(SEARCH("""A""",AH32)))</formula>
    </cfRule>
  </conditionalFormatting>
  <conditionalFormatting sqref="AH32:AI32">
    <cfRule type="containsText" dxfId="2915" priority="2919" operator="containsText" text="A-H">
      <formula>NOT(ISERROR(SEARCH("A-H",AH32)))</formula>
    </cfRule>
  </conditionalFormatting>
  <conditionalFormatting sqref="AU32">
    <cfRule type="cellIs" dxfId="2914" priority="2910" operator="equal">
      <formula>"C-Off-H"</formula>
    </cfRule>
    <cfRule type="cellIs" dxfId="2913" priority="2911" operator="equal">
      <formula>"C-Off"</formula>
    </cfRule>
    <cfRule type="cellIs" dxfId="2912" priority="2912" operator="equal">
      <formula>"CL-H"</formula>
    </cfRule>
    <cfRule type="cellIs" dxfId="2911" priority="2913" operator="equal">
      <formula>"EL-H"</formula>
    </cfRule>
    <cfRule type="cellIs" dxfId="2910" priority="2914" operator="equal">
      <formula>"CL"</formula>
    </cfRule>
    <cfRule type="cellIs" dxfId="2909" priority="2915" operator="equal">
      <formula>"EL"</formula>
    </cfRule>
  </conditionalFormatting>
  <conditionalFormatting sqref="AT32:AU32">
    <cfRule type="cellIs" dxfId="2908" priority="2904" operator="equal">
      <formula>"C-Off-H"</formula>
    </cfRule>
    <cfRule type="cellIs" dxfId="2907" priority="2905" operator="equal">
      <formula>"C-Off"</formula>
    </cfRule>
    <cfRule type="cellIs" dxfId="2906" priority="2906" operator="equal">
      <formula>"CL-H"</formula>
    </cfRule>
    <cfRule type="cellIs" dxfId="2905" priority="2907" operator="equal">
      <formula>"EL-H"</formula>
    </cfRule>
    <cfRule type="cellIs" dxfId="2904" priority="2908" operator="equal">
      <formula>"CL"</formula>
    </cfRule>
    <cfRule type="cellIs" dxfId="2903" priority="2909" operator="equal">
      <formula>"EL"</formula>
    </cfRule>
  </conditionalFormatting>
  <conditionalFormatting sqref="AT32:AU32">
    <cfRule type="containsText" dxfId="2902" priority="2898" operator="containsText" text="S">
      <formula>NOT(ISERROR(SEARCH("S",AT32)))</formula>
    </cfRule>
    <cfRule type="containsText" dxfId="2901" priority="2899" operator="containsText" text="P">
      <formula>NOT(ISERROR(SEARCH("P",AT32)))</formula>
    </cfRule>
    <cfRule type="containsText" dxfId="2900" priority="2900" operator="containsText" text="H">
      <formula>NOT(ISERROR(SEARCH("H",AT32)))</formula>
    </cfRule>
    <cfRule type="containsText" dxfId="2899" priority="2902" operator="containsText" text="&quot;H&quot;">
      <formula>NOT(ISERROR(SEARCH("""H""",AT32)))</formula>
    </cfRule>
    <cfRule type="containsText" dxfId="2898" priority="2903" operator="containsText" text="&quot;A&quot;">
      <formula>NOT(ISERROR(SEARCH("""A""",AT32)))</formula>
    </cfRule>
  </conditionalFormatting>
  <conditionalFormatting sqref="AT32:AU32">
    <cfRule type="containsText" dxfId="2897" priority="2901" operator="containsText" text="A-H">
      <formula>NOT(ISERROR(SEARCH("A-H",AT32)))</formula>
    </cfRule>
  </conditionalFormatting>
  <conditionalFormatting sqref="E32">
    <cfRule type="cellIs" dxfId="2896" priority="2892" operator="equal">
      <formula>"C-Off-H"</formula>
    </cfRule>
    <cfRule type="cellIs" dxfId="2895" priority="2893" operator="equal">
      <formula>"C-Off"</formula>
    </cfRule>
    <cfRule type="cellIs" dxfId="2894" priority="2894" operator="equal">
      <formula>"CL-H"</formula>
    </cfRule>
    <cfRule type="cellIs" dxfId="2893" priority="2895" operator="equal">
      <formula>"EL-H"</formula>
    </cfRule>
    <cfRule type="cellIs" dxfId="2892" priority="2896" operator="equal">
      <formula>"CL"</formula>
    </cfRule>
    <cfRule type="cellIs" dxfId="2891" priority="2897" operator="equal">
      <formula>"EL"</formula>
    </cfRule>
  </conditionalFormatting>
  <conditionalFormatting sqref="D32:E32">
    <cfRule type="cellIs" dxfId="2890" priority="2886" operator="equal">
      <formula>"C-Off-H"</formula>
    </cfRule>
    <cfRule type="cellIs" dxfId="2889" priority="2887" operator="equal">
      <formula>"C-Off"</formula>
    </cfRule>
    <cfRule type="cellIs" dxfId="2888" priority="2888" operator="equal">
      <formula>"CL-H"</formula>
    </cfRule>
    <cfRule type="cellIs" dxfId="2887" priority="2889" operator="equal">
      <formula>"EL-H"</formula>
    </cfRule>
    <cfRule type="cellIs" dxfId="2886" priority="2890" operator="equal">
      <formula>"CL"</formula>
    </cfRule>
    <cfRule type="cellIs" dxfId="2885" priority="2891" operator="equal">
      <formula>"EL"</formula>
    </cfRule>
  </conditionalFormatting>
  <conditionalFormatting sqref="D32:E32">
    <cfRule type="containsText" dxfId="2884" priority="2880" operator="containsText" text="S">
      <formula>NOT(ISERROR(SEARCH("S",D32)))</formula>
    </cfRule>
    <cfRule type="containsText" dxfId="2883" priority="2881" operator="containsText" text="P">
      <formula>NOT(ISERROR(SEARCH("P",D32)))</formula>
    </cfRule>
    <cfRule type="containsText" dxfId="2882" priority="2882" operator="containsText" text="H">
      <formula>NOT(ISERROR(SEARCH("H",D32)))</formula>
    </cfRule>
    <cfRule type="containsText" dxfId="2881" priority="2884" operator="containsText" text="&quot;H&quot;">
      <formula>NOT(ISERROR(SEARCH("""H""",D32)))</formula>
    </cfRule>
    <cfRule type="containsText" dxfId="2880" priority="2885" operator="containsText" text="&quot;A&quot;">
      <formula>NOT(ISERROR(SEARCH("""A""",D32)))</formula>
    </cfRule>
  </conditionalFormatting>
  <conditionalFormatting sqref="D32:E32">
    <cfRule type="containsText" dxfId="2879" priority="2883" operator="containsText" text="A-H">
      <formula>NOT(ISERROR(SEARCH("A-H",D32)))</formula>
    </cfRule>
  </conditionalFormatting>
  <conditionalFormatting sqref="Z32">
    <cfRule type="cellIs" dxfId="2878" priority="2874" operator="equal">
      <formula>"C-Off-H"</formula>
    </cfRule>
    <cfRule type="cellIs" dxfId="2877" priority="2875" operator="equal">
      <formula>"C-Off"</formula>
    </cfRule>
    <cfRule type="cellIs" dxfId="2876" priority="2876" operator="equal">
      <formula>"CL-H"</formula>
    </cfRule>
    <cfRule type="cellIs" dxfId="2875" priority="2877" operator="equal">
      <formula>"EL-H"</formula>
    </cfRule>
    <cfRule type="cellIs" dxfId="2874" priority="2878" operator="equal">
      <formula>"CL"</formula>
    </cfRule>
    <cfRule type="cellIs" dxfId="2873" priority="2879" operator="equal">
      <formula>"EL"</formula>
    </cfRule>
  </conditionalFormatting>
  <conditionalFormatting sqref="Z32">
    <cfRule type="containsText" dxfId="2872" priority="2868" operator="containsText" text="S">
      <formula>NOT(ISERROR(SEARCH("S",Z32)))</formula>
    </cfRule>
    <cfRule type="containsText" dxfId="2871" priority="2869" operator="containsText" text="P">
      <formula>NOT(ISERROR(SEARCH("P",Z32)))</formula>
    </cfRule>
    <cfRule type="containsText" dxfId="2870" priority="2870" operator="containsText" text="H">
      <formula>NOT(ISERROR(SEARCH("H",Z32)))</formula>
    </cfRule>
    <cfRule type="containsText" dxfId="2869" priority="2872" operator="containsText" text="&quot;H&quot;">
      <formula>NOT(ISERROR(SEARCH("""H""",Z32)))</formula>
    </cfRule>
    <cfRule type="containsText" dxfId="2868" priority="2873" operator="containsText" text="&quot;A&quot;">
      <formula>NOT(ISERROR(SEARCH("""A""",Z32)))</formula>
    </cfRule>
  </conditionalFormatting>
  <conditionalFormatting sqref="Z32">
    <cfRule type="containsText" dxfId="2867" priority="2871" operator="containsText" text="A-H">
      <formula>NOT(ISERROR(SEARCH("A-H",Z32)))</formula>
    </cfRule>
  </conditionalFormatting>
  <conditionalFormatting sqref="Y32">
    <cfRule type="cellIs" dxfId="2866" priority="2862" operator="equal">
      <formula>"C-Off-H"</formula>
    </cfRule>
    <cfRule type="cellIs" dxfId="2865" priority="2863" operator="equal">
      <formula>"C-Off"</formula>
    </cfRule>
    <cfRule type="cellIs" dxfId="2864" priority="2864" operator="equal">
      <formula>"CL-H"</formula>
    </cfRule>
    <cfRule type="cellIs" dxfId="2863" priority="2865" operator="equal">
      <formula>"EL-H"</formula>
    </cfRule>
    <cfRule type="cellIs" dxfId="2862" priority="2866" operator="equal">
      <formula>"CL"</formula>
    </cfRule>
    <cfRule type="cellIs" dxfId="2861" priority="2867" operator="equal">
      <formula>"EL"</formula>
    </cfRule>
  </conditionalFormatting>
  <conditionalFormatting sqref="Y32">
    <cfRule type="containsText" dxfId="2860" priority="2856" operator="containsText" text="S">
      <formula>NOT(ISERROR(SEARCH("S",Y32)))</formula>
    </cfRule>
    <cfRule type="containsText" dxfId="2859" priority="2857" operator="containsText" text="P">
      <formula>NOT(ISERROR(SEARCH("P",Y32)))</formula>
    </cfRule>
    <cfRule type="containsText" dxfId="2858" priority="2858" operator="containsText" text="H">
      <formula>NOT(ISERROR(SEARCH("H",Y32)))</formula>
    </cfRule>
    <cfRule type="containsText" dxfId="2857" priority="2860" operator="containsText" text="&quot;H&quot;">
      <formula>NOT(ISERROR(SEARCH("""H""",Y32)))</formula>
    </cfRule>
    <cfRule type="containsText" dxfId="2856" priority="2861" operator="containsText" text="&quot;A&quot;">
      <formula>NOT(ISERROR(SEARCH("""A""",Y32)))</formula>
    </cfRule>
  </conditionalFormatting>
  <conditionalFormatting sqref="Y32">
    <cfRule type="containsText" dxfId="2855" priority="2859" operator="containsText" text="A-H">
      <formula>NOT(ISERROR(SEARCH("A-H",Y32)))</formula>
    </cfRule>
  </conditionalFormatting>
  <conditionalFormatting sqref="AF32">
    <cfRule type="cellIs" dxfId="2854" priority="2850" operator="equal">
      <formula>"C-Off-H"</formula>
    </cfRule>
    <cfRule type="cellIs" dxfId="2853" priority="2851" operator="equal">
      <formula>"C-Off"</formula>
    </cfRule>
    <cfRule type="cellIs" dxfId="2852" priority="2852" operator="equal">
      <formula>"CL-H"</formula>
    </cfRule>
    <cfRule type="cellIs" dxfId="2851" priority="2853" operator="equal">
      <formula>"EL-H"</formula>
    </cfRule>
    <cfRule type="cellIs" dxfId="2850" priority="2854" operator="equal">
      <formula>"CL"</formula>
    </cfRule>
    <cfRule type="cellIs" dxfId="2849" priority="2855" operator="equal">
      <formula>"EL"</formula>
    </cfRule>
  </conditionalFormatting>
  <conditionalFormatting sqref="AF32">
    <cfRule type="containsText" dxfId="2848" priority="2844" operator="containsText" text="S">
      <formula>NOT(ISERROR(SEARCH("S",AF32)))</formula>
    </cfRule>
    <cfRule type="containsText" dxfId="2847" priority="2845" operator="containsText" text="P">
      <formula>NOT(ISERROR(SEARCH("P",AF32)))</formula>
    </cfRule>
    <cfRule type="containsText" dxfId="2846" priority="2846" operator="containsText" text="H">
      <formula>NOT(ISERROR(SEARCH("H",AF32)))</formula>
    </cfRule>
    <cfRule type="containsText" dxfId="2845" priority="2848" operator="containsText" text="&quot;H&quot;">
      <formula>NOT(ISERROR(SEARCH("""H""",AF32)))</formula>
    </cfRule>
    <cfRule type="containsText" dxfId="2844" priority="2849" operator="containsText" text="&quot;A&quot;">
      <formula>NOT(ISERROR(SEARCH("""A""",AF32)))</formula>
    </cfRule>
  </conditionalFormatting>
  <conditionalFormatting sqref="AF32">
    <cfRule type="containsText" dxfId="2843" priority="2847" operator="containsText" text="A-H">
      <formula>NOT(ISERROR(SEARCH("A-H",AF32)))</formula>
    </cfRule>
  </conditionalFormatting>
  <conditionalFormatting sqref="BO32:BP32">
    <cfRule type="cellIs" dxfId="2842" priority="2838" operator="equal">
      <formula>"C-Off-H"</formula>
    </cfRule>
    <cfRule type="cellIs" dxfId="2841" priority="2839" operator="equal">
      <formula>"C-Off"</formula>
    </cfRule>
    <cfRule type="cellIs" dxfId="2840" priority="2840" operator="equal">
      <formula>"CL-H"</formula>
    </cfRule>
    <cfRule type="cellIs" dxfId="2839" priority="2841" operator="equal">
      <formula>"EL-H"</formula>
    </cfRule>
    <cfRule type="cellIs" dxfId="2838" priority="2842" operator="equal">
      <formula>"CL"</formula>
    </cfRule>
    <cfRule type="cellIs" dxfId="2837" priority="2843" operator="equal">
      <formula>"EL"</formula>
    </cfRule>
  </conditionalFormatting>
  <conditionalFormatting sqref="BO32:BP32">
    <cfRule type="cellIs" dxfId="2836" priority="2832" operator="equal">
      <formula>"C-Off-H"</formula>
    </cfRule>
    <cfRule type="cellIs" dxfId="2835" priority="2833" operator="equal">
      <formula>"C-Off"</formula>
    </cfRule>
    <cfRule type="cellIs" dxfId="2834" priority="2834" operator="equal">
      <formula>"CL-H"</formula>
    </cfRule>
    <cfRule type="cellIs" dxfId="2833" priority="2835" operator="equal">
      <formula>"EL-H"</formula>
    </cfRule>
    <cfRule type="cellIs" dxfId="2832" priority="2836" operator="equal">
      <formula>"CL"</formula>
    </cfRule>
    <cfRule type="cellIs" dxfId="2831" priority="2837" operator="equal">
      <formula>"EL"</formula>
    </cfRule>
  </conditionalFormatting>
  <conditionalFormatting sqref="BO32:BP32">
    <cfRule type="containsText" dxfId="2830" priority="2826" operator="containsText" text="S">
      <formula>NOT(ISERROR(SEARCH("S",BO32)))</formula>
    </cfRule>
    <cfRule type="containsText" dxfId="2829" priority="2827" operator="containsText" text="P">
      <formula>NOT(ISERROR(SEARCH("P",BO32)))</formula>
    </cfRule>
    <cfRule type="containsText" dxfId="2828" priority="2828" operator="containsText" text="H">
      <formula>NOT(ISERROR(SEARCH("H",BO32)))</formula>
    </cfRule>
    <cfRule type="containsText" dxfId="2827" priority="2830" operator="containsText" text="&quot;H&quot;">
      <formula>NOT(ISERROR(SEARCH("""H""",BO32)))</formula>
    </cfRule>
    <cfRule type="containsText" dxfId="2826" priority="2831" operator="containsText" text="&quot;A&quot;">
      <formula>NOT(ISERROR(SEARCH("""A""",BO32)))</formula>
    </cfRule>
  </conditionalFormatting>
  <conditionalFormatting sqref="BO32:BP32">
    <cfRule type="containsText" dxfId="2825" priority="2829" operator="containsText" text="A-H">
      <formula>NOT(ISERROR(SEARCH("A-H",BO32)))</formula>
    </cfRule>
  </conditionalFormatting>
  <conditionalFormatting sqref="CA32">
    <cfRule type="cellIs" dxfId="2824" priority="2820" operator="equal">
      <formula>"C-Off-H"</formula>
    </cfRule>
    <cfRule type="cellIs" dxfId="2823" priority="2821" operator="equal">
      <formula>"C-Off"</formula>
    </cfRule>
    <cfRule type="cellIs" dxfId="2822" priority="2822" operator="equal">
      <formula>"CL-H"</formula>
    </cfRule>
    <cfRule type="cellIs" dxfId="2821" priority="2823" operator="equal">
      <formula>"EL-H"</formula>
    </cfRule>
    <cfRule type="cellIs" dxfId="2820" priority="2824" operator="equal">
      <formula>"CL"</formula>
    </cfRule>
    <cfRule type="cellIs" dxfId="2819" priority="2825" operator="equal">
      <formula>"EL"</formula>
    </cfRule>
  </conditionalFormatting>
  <conditionalFormatting sqref="CA32">
    <cfRule type="cellIs" dxfId="2818" priority="2814" operator="equal">
      <formula>"C-Off-H"</formula>
    </cfRule>
    <cfRule type="cellIs" dxfId="2817" priority="2815" operator="equal">
      <formula>"C-Off"</formula>
    </cfRule>
    <cfRule type="cellIs" dxfId="2816" priority="2816" operator="equal">
      <formula>"CL-H"</formula>
    </cfRule>
    <cfRule type="cellIs" dxfId="2815" priority="2817" operator="equal">
      <formula>"EL-H"</formula>
    </cfRule>
    <cfRule type="cellIs" dxfId="2814" priority="2818" operator="equal">
      <formula>"CL"</formula>
    </cfRule>
    <cfRule type="cellIs" dxfId="2813" priority="2819" operator="equal">
      <formula>"EL"</formula>
    </cfRule>
  </conditionalFormatting>
  <conditionalFormatting sqref="CA32">
    <cfRule type="containsText" dxfId="2812" priority="2808" operator="containsText" text="S">
      <formula>NOT(ISERROR(SEARCH("S",CA32)))</formula>
    </cfRule>
    <cfRule type="containsText" dxfId="2811" priority="2809" operator="containsText" text="P">
      <formula>NOT(ISERROR(SEARCH("P",CA32)))</formula>
    </cfRule>
    <cfRule type="containsText" dxfId="2810" priority="2810" operator="containsText" text="H">
      <formula>NOT(ISERROR(SEARCH("H",CA32)))</formula>
    </cfRule>
    <cfRule type="containsText" dxfId="2809" priority="2812" operator="containsText" text="&quot;H&quot;">
      <formula>NOT(ISERROR(SEARCH("""H""",CA32)))</formula>
    </cfRule>
    <cfRule type="containsText" dxfId="2808" priority="2813" operator="containsText" text="&quot;A&quot;">
      <formula>NOT(ISERROR(SEARCH("""A""",CA32)))</formula>
    </cfRule>
  </conditionalFormatting>
  <conditionalFormatting sqref="CA32">
    <cfRule type="containsText" dxfId="2807" priority="2811" operator="containsText" text="A-H">
      <formula>NOT(ISERROR(SEARCH("A-H",CA32)))</formula>
    </cfRule>
  </conditionalFormatting>
  <conditionalFormatting sqref="V32:W32">
    <cfRule type="cellIs" dxfId="2806" priority="2778" operator="equal">
      <formula>"C-Off-H"</formula>
    </cfRule>
    <cfRule type="cellIs" dxfId="2805" priority="2779" operator="equal">
      <formula>"C-Off"</formula>
    </cfRule>
    <cfRule type="cellIs" dxfId="2804" priority="2780" operator="equal">
      <formula>"CL-H"</formula>
    </cfRule>
    <cfRule type="cellIs" dxfId="2803" priority="2781" operator="equal">
      <formula>"EL-H"</formula>
    </cfRule>
    <cfRule type="cellIs" dxfId="2802" priority="2782" operator="equal">
      <formula>"CL"</formula>
    </cfRule>
    <cfRule type="cellIs" dxfId="2801" priority="2783" operator="equal">
      <formula>"EL"</formula>
    </cfRule>
  </conditionalFormatting>
  <conditionalFormatting sqref="V32:W32">
    <cfRule type="containsText" dxfId="2800" priority="2772" operator="containsText" text="S">
      <formula>NOT(ISERROR(SEARCH("S",V32)))</formula>
    </cfRule>
    <cfRule type="containsText" dxfId="2799" priority="2773" operator="containsText" text="P">
      <formula>NOT(ISERROR(SEARCH("P",V32)))</formula>
    </cfRule>
    <cfRule type="containsText" dxfId="2798" priority="2774" operator="containsText" text="H">
      <formula>NOT(ISERROR(SEARCH("H",V32)))</formula>
    </cfRule>
    <cfRule type="containsText" dxfId="2797" priority="2776" operator="containsText" text="&quot;H&quot;">
      <formula>NOT(ISERROR(SEARCH("""H""",V32)))</formula>
    </cfRule>
    <cfRule type="containsText" dxfId="2796" priority="2777" operator="containsText" text="&quot;A&quot;">
      <formula>NOT(ISERROR(SEARCH("""A""",V32)))</formula>
    </cfRule>
  </conditionalFormatting>
  <conditionalFormatting sqref="V32:W32">
    <cfRule type="containsText" dxfId="2795" priority="2775" operator="containsText" text="A-H">
      <formula>NOT(ISERROR(SEARCH("A-H",V32)))</formula>
    </cfRule>
  </conditionalFormatting>
  <conditionalFormatting sqref="P32:Q32">
    <cfRule type="cellIs" dxfId="2794" priority="2802" operator="equal">
      <formula>"C-Off-H"</formula>
    </cfRule>
    <cfRule type="cellIs" dxfId="2793" priority="2803" operator="equal">
      <formula>"C-Off"</formula>
    </cfRule>
    <cfRule type="cellIs" dxfId="2792" priority="2804" operator="equal">
      <formula>"CL-H"</formula>
    </cfRule>
    <cfRule type="cellIs" dxfId="2791" priority="2805" operator="equal">
      <formula>"EL-H"</formula>
    </cfRule>
    <cfRule type="cellIs" dxfId="2790" priority="2806" operator="equal">
      <formula>"CL"</formula>
    </cfRule>
    <cfRule type="cellIs" dxfId="2789" priority="2807" operator="equal">
      <formula>"EL"</formula>
    </cfRule>
  </conditionalFormatting>
  <conditionalFormatting sqref="P32:Q32">
    <cfRule type="containsText" dxfId="2788" priority="2796" operator="containsText" text="S">
      <formula>NOT(ISERROR(SEARCH("S",P32)))</formula>
    </cfRule>
    <cfRule type="containsText" dxfId="2787" priority="2797" operator="containsText" text="P">
      <formula>NOT(ISERROR(SEARCH("P",P32)))</formula>
    </cfRule>
    <cfRule type="containsText" dxfId="2786" priority="2798" operator="containsText" text="H">
      <formula>NOT(ISERROR(SEARCH("H",P32)))</formula>
    </cfRule>
    <cfRule type="containsText" dxfId="2785" priority="2800" operator="containsText" text="&quot;H&quot;">
      <formula>NOT(ISERROR(SEARCH("""H""",P32)))</formula>
    </cfRule>
    <cfRule type="containsText" dxfId="2784" priority="2801" operator="containsText" text="&quot;A&quot;">
      <formula>NOT(ISERROR(SEARCH("""A""",P32)))</formula>
    </cfRule>
  </conditionalFormatting>
  <conditionalFormatting sqref="P32:Q32">
    <cfRule type="containsText" dxfId="2783" priority="2799" operator="containsText" text="A-H">
      <formula>NOT(ISERROR(SEARCH("A-H",P32)))</formula>
    </cfRule>
  </conditionalFormatting>
  <conditionalFormatting sqref="S32:T32">
    <cfRule type="cellIs" dxfId="2782" priority="2790" operator="equal">
      <formula>"C-Off-H"</formula>
    </cfRule>
    <cfRule type="cellIs" dxfId="2781" priority="2791" operator="equal">
      <formula>"C-Off"</formula>
    </cfRule>
    <cfRule type="cellIs" dxfId="2780" priority="2792" operator="equal">
      <formula>"CL-H"</formula>
    </cfRule>
    <cfRule type="cellIs" dxfId="2779" priority="2793" operator="equal">
      <formula>"EL-H"</formula>
    </cfRule>
    <cfRule type="cellIs" dxfId="2778" priority="2794" operator="equal">
      <formula>"CL"</formula>
    </cfRule>
    <cfRule type="cellIs" dxfId="2777" priority="2795" operator="equal">
      <formula>"EL"</formula>
    </cfRule>
  </conditionalFormatting>
  <conditionalFormatting sqref="S32:T32">
    <cfRule type="containsText" dxfId="2776" priority="2784" operator="containsText" text="S">
      <formula>NOT(ISERROR(SEARCH("S",S32)))</formula>
    </cfRule>
    <cfRule type="containsText" dxfId="2775" priority="2785" operator="containsText" text="P">
      <formula>NOT(ISERROR(SEARCH("P",S32)))</formula>
    </cfRule>
    <cfRule type="containsText" dxfId="2774" priority="2786" operator="containsText" text="H">
      <formula>NOT(ISERROR(SEARCH("H",S32)))</formula>
    </cfRule>
    <cfRule type="containsText" dxfId="2773" priority="2788" operator="containsText" text="&quot;H&quot;">
      <formula>NOT(ISERROR(SEARCH("""H""",S32)))</formula>
    </cfRule>
    <cfRule type="containsText" dxfId="2772" priority="2789" operator="containsText" text="&quot;A&quot;">
      <formula>NOT(ISERROR(SEARCH("""A""",S32)))</formula>
    </cfRule>
  </conditionalFormatting>
  <conditionalFormatting sqref="S32:T32">
    <cfRule type="containsText" dxfId="2771" priority="2787" operator="containsText" text="A-H">
      <formula>NOT(ISERROR(SEARCH("A-H",S32)))</formula>
    </cfRule>
  </conditionalFormatting>
  <conditionalFormatting sqref="AB32:AC32">
    <cfRule type="cellIs" dxfId="2770" priority="2766" operator="equal">
      <formula>"C-Off-H"</formula>
    </cfRule>
    <cfRule type="cellIs" dxfId="2769" priority="2767" operator="equal">
      <formula>"C-Off"</formula>
    </cfRule>
    <cfRule type="cellIs" dxfId="2768" priority="2768" operator="equal">
      <formula>"CL-H"</formula>
    </cfRule>
    <cfRule type="cellIs" dxfId="2767" priority="2769" operator="equal">
      <formula>"EL-H"</formula>
    </cfRule>
    <cfRule type="cellIs" dxfId="2766" priority="2770" operator="equal">
      <formula>"CL"</formula>
    </cfRule>
    <cfRule type="cellIs" dxfId="2765" priority="2771" operator="equal">
      <formula>"EL"</formula>
    </cfRule>
  </conditionalFormatting>
  <conditionalFormatting sqref="AB32:AC32">
    <cfRule type="containsText" dxfId="2764" priority="2760" operator="containsText" text="S">
      <formula>NOT(ISERROR(SEARCH("S",AB32)))</formula>
    </cfRule>
    <cfRule type="containsText" dxfId="2763" priority="2761" operator="containsText" text="P">
      <formula>NOT(ISERROR(SEARCH("P",AB32)))</formula>
    </cfRule>
    <cfRule type="containsText" dxfId="2762" priority="2762" operator="containsText" text="H">
      <formula>NOT(ISERROR(SEARCH("H",AB32)))</formula>
    </cfRule>
    <cfRule type="containsText" dxfId="2761" priority="2764" operator="containsText" text="&quot;H&quot;">
      <formula>NOT(ISERROR(SEARCH("""H""",AB32)))</formula>
    </cfRule>
    <cfRule type="containsText" dxfId="2760" priority="2765" operator="containsText" text="&quot;A&quot;">
      <formula>NOT(ISERROR(SEARCH("""A""",AB32)))</formula>
    </cfRule>
  </conditionalFormatting>
  <conditionalFormatting sqref="AB32:AC32">
    <cfRule type="containsText" dxfId="2759" priority="2763" operator="containsText" text="A-H">
      <formula>NOT(ISERROR(SEARCH("A-H",AB32)))</formula>
    </cfRule>
  </conditionalFormatting>
  <conditionalFormatting sqref="AE32">
    <cfRule type="cellIs" dxfId="2758" priority="2754" operator="equal">
      <formula>"C-Off-H"</formula>
    </cfRule>
    <cfRule type="cellIs" dxfId="2757" priority="2755" operator="equal">
      <formula>"C-Off"</formula>
    </cfRule>
    <cfRule type="cellIs" dxfId="2756" priority="2756" operator="equal">
      <formula>"CL-H"</formula>
    </cfRule>
    <cfRule type="cellIs" dxfId="2755" priority="2757" operator="equal">
      <formula>"EL-H"</formula>
    </cfRule>
    <cfRule type="cellIs" dxfId="2754" priority="2758" operator="equal">
      <formula>"CL"</formula>
    </cfRule>
    <cfRule type="cellIs" dxfId="2753" priority="2759" operator="equal">
      <formula>"EL"</formula>
    </cfRule>
  </conditionalFormatting>
  <conditionalFormatting sqref="AE32">
    <cfRule type="containsText" dxfId="2752" priority="2748" operator="containsText" text="S">
      <formula>NOT(ISERROR(SEARCH("S",AE32)))</formula>
    </cfRule>
    <cfRule type="containsText" dxfId="2751" priority="2749" operator="containsText" text="P">
      <formula>NOT(ISERROR(SEARCH("P",AE32)))</formula>
    </cfRule>
    <cfRule type="containsText" dxfId="2750" priority="2750" operator="containsText" text="H">
      <formula>NOT(ISERROR(SEARCH("H",AE32)))</formula>
    </cfRule>
    <cfRule type="containsText" dxfId="2749" priority="2752" operator="containsText" text="&quot;H&quot;">
      <formula>NOT(ISERROR(SEARCH("""H""",AE32)))</formula>
    </cfRule>
    <cfRule type="containsText" dxfId="2748" priority="2753" operator="containsText" text="&quot;A&quot;">
      <formula>NOT(ISERROR(SEARCH("""A""",AE32)))</formula>
    </cfRule>
  </conditionalFormatting>
  <conditionalFormatting sqref="AE32">
    <cfRule type="containsText" dxfId="2747" priority="2751" operator="containsText" text="A-H">
      <formula>NOT(ISERROR(SEARCH("A-H",AE32)))</formula>
    </cfRule>
  </conditionalFormatting>
  <conditionalFormatting sqref="AK32:AL32">
    <cfRule type="cellIs" dxfId="2746" priority="2742" operator="equal">
      <formula>"C-Off-H"</formula>
    </cfRule>
    <cfRule type="cellIs" dxfId="2745" priority="2743" operator="equal">
      <formula>"C-Off"</formula>
    </cfRule>
    <cfRule type="cellIs" dxfId="2744" priority="2744" operator="equal">
      <formula>"CL-H"</formula>
    </cfRule>
    <cfRule type="cellIs" dxfId="2743" priority="2745" operator="equal">
      <formula>"EL-H"</formula>
    </cfRule>
    <cfRule type="cellIs" dxfId="2742" priority="2746" operator="equal">
      <formula>"CL"</formula>
    </cfRule>
    <cfRule type="cellIs" dxfId="2741" priority="2747" operator="equal">
      <formula>"EL"</formula>
    </cfRule>
  </conditionalFormatting>
  <conditionalFormatting sqref="AK32:AL32">
    <cfRule type="containsText" dxfId="2740" priority="2736" operator="containsText" text="S">
      <formula>NOT(ISERROR(SEARCH("S",AK32)))</formula>
    </cfRule>
    <cfRule type="containsText" dxfId="2739" priority="2737" operator="containsText" text="P">
      <formula>NOT(ISERROR(SEARCH("P",AK32)))</formula>
    </cfRule>
    <cfRule type="containsText" dxfId="2738" priority="2738" operator="containsText" text="H">
      <formula>NOT(ISERROR(SEARCH("H",AK32)))</formula>
    </cfRule>
    <cfRule type="containsText" dxfId="2737" priority="2740" operator="containsText" text="&quot;H&quot;">
      <formula>NOT(ISERROR(SEARCH("""H""",AK32)))</formula>
    </cfRule>
    <cfRule type="containsText" dxfId="2736" priority="2741" operator="containsText" text="&quot;A&quot;">
      <formula>NOT(ISERROR(SEARCH("""A""",AK32)))</formula>
    </cfRule>
  </conditionalFormatting>
  <conditionalFormatting sqref="AK32:AL32">
    <cfRule type="containsText" dxfId="2735" priority="2739" operator="containsText" text="A-H">
      <formula>NOT(ISERROR(SEARCH("A-H",AK32)))</formula>
    </cfRule>
  </conditionalFormatting>
  <conditionalFormatting sqref="AN32:AO32">
    <cfRule type="cellIs" dxfId="2734" priority="2730" operator="equal">
      <formula>"C-Off-H"</formula>
    </cfRule>
    <cfRule type="cellIs" dxfId="2733" priority="2731" operator="equal">
      <formula>"C-Off"</formula>
    </cfRule>
    <cfRule type="cellIs" dxfId="2732" priority="2732" operator="equal">
      <formula>"CL-H"</formula>
    </cfRule>
    <cfRule type="cellIs" dxfId="2731" priority="2733" operator="equal">
      <formula>"EL-H"</formula>
    </cfRule>
    <cfRule type="cellIs" dxfId="2730" priority="2734" operator="equal">
      <formula>"CL"</formula>
    </cfRule>
    <cfRule type="cellIs" dxfId="2729" priority="2735" operator="equal">
      <formula>"EL"</formula>
    </cfRule>
  </conditionalFormatting>
  <conditionalFormatting sqref="AN32:AO32">
    <cfRule type="containsText" dxfId="2728" priority="2724" operator="containsText" text="S">
      <formula>NOT(ISERROR(SEARCH("S",AN32)))</formula>
    </cfRule>
    <cfRule type="containsText" dxfId="2727" priority="2725" operator="containsText" text="P">
      <formula>NOT(ISERROR(SEARCH("P",AN32)))</formula>
    </cfRule>
    <cfRule type="containsText" dxfId="2726" priority="2726" operator="containsText" text="H">
      <formula>NOT(ISERROR(SEARCH("H",AN32)))</formula>
    </cfRule>
    <cfRule type="containsText" dxfId="2725" priority="2728" operator="containsText" text="&quot;H&quot;">
      <formula>NOT(ISERROR(SEARCH("""H""",AN32)))</formula>
    </cfRule>
    <cfRule type="containsText" dxfId="2724" priority="2729" operator="containsText" text="&quot;A&quot;">
      <formula>NOT(ISERROR(SEARCH("""A""",AN32)))</formula>
    </cfRule>
  </conditionalFormatting>
  <conditionalFormatting sqref="AN32:AO32">
    <cfRule type="containsText" dxfId="2723" priority="2727" operator="containsText" text="A-H">
      <formula>NOT(ISERROR(SEARCH("A-H",AN32)))</formula>
    </cfRule>
  </conditionalFormatting>
  <conditionalFormatting sqref="AQ32:AR32">
    <cfRule type="cellIs" dxfId="2722" priority="2718" operator="equal">
      <formula>"C-Off-H"</formula>
    </cfRule>
    <cfRule type="cellIs" dxfId="2721" priority="2719" operator="equal">
      <formula>"C-Off"</formula>
    </cfRule>
    <cfRule type="cellIs" dxfId="2720" priority="2720" operator="equal">
      <formula>"CL-H"</formula>
    </cfRule>
    <cfRule type="cellIs" dxfId="2719" priority="2721" operator="equal">
      <formula>"EL-H"</formula>
    </cfRule>
    <cfRule type="cellIs" dxfId="2718" priority="2722" operator="equal">
      <formula>"CL"</formula>
    </cfRule>
    <cfRule type="cellIs" dxfId="2717" priority="2723" operator="equal">
      <formula>"EL"</formula>
    </cfRule>
  </conditionalFormatting>
  <conditionalFormatting sqref="AQ32:AR32">
    <cfRule type="containsText" dxfId="2716" priority="2712" operator="containsText" text="S">
      <formula>NOT(ISERROR(SEARCH("S",AQ32)))</formula>
    </cfRule>
    <cfRule type="containsText" dxfId="2715" priority="2713" operator="containsText" text="P">
      <formula>NOT(ISERROR(SEARCH("P",AQ32)))</formula>
    </cfRule>
    <cfRule type="containsText" dxfId="2714" priority="2714" operator="containsText" text="H">
      <formula>NOT(ISERROR(SEARCH("H",AQ32)))</formula>
    </cfRule>
    <cfRule type="containsText" dxfId="2713" priority="2716" operator="containsText" text="&quot;H&quot;">
      <formula>NOT(ISERROR(SEARCH("""H""",AQ32)))</formula>
    </cfRule>
    <cfRule type="containsText" dxfId="2712" priority="2717" operator="containsText" text="&quot;A&quot;">
      <formula>NOT(ISERROR(SEARCH("""A""",AQ32)))</formula>
    </cfRule>
  </conditionalFormatting>
  <conditionalFormatting sqref="AQ32:AR32">
    <cfRule type="containsText" dxfId="2711" priority="2715" operator="containsText" text="A-H">
      <formula>NOT(ISERROR(SEARCH("A-H",AQ32)))</formula>
    </cfRule>
  </conditionalFormatting>
  <conditionalFormatting sqref="AW32:AX32">
    <cfRule type="cellIs" dxfId="2710" priority="2706" operator="equal">
      <formula>"C-Off-H"</formula>
    </cfRule>
    <cfRule type="cellIs" dxfId="2709" priority="2707" operator="equal">
      <formula>"C-Off"</formula>
    </cfRule>
    <cfRule type="cellIs" dxfId="2708" priority="2708" operator="equal">
      <formula>"CL-H"</formula>
    </cfRule>
    <cfRule type="cellIs" dxfId="2707" priority="2709" operator="equal">
      <formula>"EL-H"</formula>
    </cfRule>
    <cfRule type="cellIs" dxfId="2706" priority="2710" operator="equal">
      <formula>"CL"</formula>
    </cfRule>
    <cfRule type="cellIs" dxfId="2705" priority="2711" operator="equal">
      <formula>"EL"</formula>
    </cfRule>
  </conditionalFormatting>
  <conditionalFormatting sqref="AW32:AX32">
    <cfRule type="containsText" dxfId="2704" priority="2700" operator="containsText" text="S">
      <formula>NOT(ISERROR(SEARCH("S",AW32)))</formula>
    </cfRule>
    <cfRule type="containsText" dxfId="2703" priority="2701" operator="containsText" text="P">
      <formula>NOT(ISERROR(SEARCH("P",AW32)))</formula>
    </cfRule>
    <cfRule type="containsText" dxfId="2702" priority="2702" operator="containsText" text="H">
      <formula>NOT(ISERROR(SEARCH("H",AW32)))</formula>
    </cfRule>
    <cfRule type="containsText" dxfId="2701" priority="2704" operator="containsText" text="&quot;H&quot;">
      <formula>NOT(ISERROR(SEARCH("""H""",AW32)))</formula>
    </cfRule>
    <cfRule type="containsText" dxfId="2700" priority="2705" operator="containsText" text="&quot;A&quot;">
      <formula>NOT(ISERROR(SEARCH("""A""",AW32)))</formula>
    </cfRule>
  </conditionalFormatting>
  <conditionalFormatting sqref="AW32:AX32">
    <cfRule type="containsText" dxfId="2699" priority="2703" operator="containsText" text="A-H">
      <formula>NOT(ISERROR(SEARCH("A-H",AW32)))</formula>
    </cfRule>
  </conditionalFormatting>
  <conditionalFormatting sqref="AZ32:BA32">
    <cfRule type="cellIs" dxfId="2698" priority="2694" operator="equal">
      <formula>"C-Off-H"</formula>
    </cfRule>
    <cfRule type="cellIs" dxfId="2697" priority="2695" operator="equal">
      <formula>"C-Off"</formula>
    </cfRule>
    <cfRule type="cellIs" dxfId="2696" priority="2696" operator="equal">
      <formula>"CL-H"</formula>
    </cfRule>
    <cfRule type="cellIs" dxfId="2695" priority="2697" operator="equal">
      <formula>"EL-H"</formula>
    </cfRule>
    <cfRule type="cellIs" dxfId="2694" priority="2698" operator="equal">
      <formula>"CL"</formula>
    </cfRule>
    <cfRule type="cellIs" dxfId="2693" priority="2699" operator="equal">
      <formula>"EL"</formula>
    </cfRule>
  </conditionalFormatting>
  <conditionalFormatting sqref="AZ32:BA32">
    <cfRule type="containsText" dxfId="2692" priority="2688" operator="containsText" text="S">
      <formula>NOT(ISERROR(SEARCH("S",AZ32)))</formula>
    </cfRule>
    <cfRule type="containsText" dxfId="2691" priority="2689" operator="containsText" text="P">
      <formula>NOT(ISERROR(SEARCH("P",AZ32)))</formula>
    </cfRule>
    <cfRule type="containsText" dxfId="2690" priority="2690" operator="containsText" text="H">
      <formula>NOT(ISERROR(SEARCH("H",AZ32)))</formula>
    </cfRule>
    <cfRule type="containsText" dxfId="2689" priority="2692" operator="containsText" text="&quot;H&quot;">
      <formula>NOT(ISERROR(SEARCH("""H""",AZ32)))</formula>
    </cfRule>
    <cfRule type="containsText" dxfId="2688" priority="2693" operator="containsText" text="&quot;A&quot;">
      <formula>NOT(ISERROR(SEARCH("""A""",AZ32)))</formula>
    </cfRule>
  </conditionalFormatting>
  <conditionalFormatting sqref="AZ32:BA32">
    <cfRule type="containsText" dxfId="2687" priority="2691" operator="containsText" text="A-H">
      <formula>NOT(ISERROR(SEARCH("A-H",AZ32)))</formula>
    </cfRule>
  </conditionalFormatting>
  <conditionalFormatting sqref="BC32:BD32">
    <cfRule type="cellIs" dxfId="2686" priority="2682" operator="equal">
      <formula>"C-Off-H"</formula>
    </cfRule>
    <cfRule type="cellIs" dxfId="2685" priority="2683" operator="equal">
      <formula>"C-Off"</formula>
    </cfRule>
    <cfRule type="cellIs" dxfId="2684" priority="2684" operator="equal">
      <formula>"CL-H"</formula>
    </cfRule>
    <cfRule type="cellIs" dxfId="2683" priority="2685" operator="equal">
      <formula>"EL-H"</formula>
    </cfRule>
    <cfRule type="cellIs" dxfId="2682" priority="2686" operator="equal">
      <formula>"CL"</formula>
    </cfRule>
    <cfRule type="cellIs" dxfId="2681" priority="2687" operator="equal">
      <formula>"EL"</formula>
    </cfRule>
  </conditionalFormatting>
  <conditionalFormatting sqref="BC32:BD32">
    <cfRule type="containsText" dxfId="2680" priority="2676" operator="containsText" text="S">
      <formula>NOT(ISERROR(SEARCH("S",BC32)))</formula>
    </cfRule>
    <cfRule type="containsText" dxfId="2679" priority="2677" operator="containsText" text="P">
      <formula>NOT(ISERROR(SEARCH("P",BC32)))</formula>
    </cfRule>
    <cfRule type="containsText" dxfId="2678" priority="2678" operator="containsText" text="H">
      <formula>NOT(ISERROR(SEARCH("H",BC32)))</formula>
    </cfRule>
    <cfRule type="containsText" dxfId="2677" priority="2680" operator="containsText" text="&quot;H&quot;">
      <formula>NOT(ISERROR(SEARCH("""H""",BC32)))</formula>
    </cfRule>
    <cfRule type="containsText" dxfId="2676" priority="2681" operator="containsText" text="&quot;A&quot;">
      <formula>NOT(ISERROR(SEARCH("""A""",BC32)))</formula>
    </cfRule>
  </conditionalFormatting>
  <conditionalFormatting sqref="BC32:BD32">
    <cfRule type="containsText" dxfId="2675" priority="2679" operator="containsText" text="A-H">
      <formula>NOT(ISERROR(SEARCH("A-H",BC32)))</formula>
    </cfRule>
  </conditionalFormatting>
  <conditionalFormatting sqref="BF32:BG32">
    <cfRule type="cellIs" dxfId="2674" priority="2670" operator="equal">
      <formula>"C-Off-H"</formula>
    </cfRule>
    <cfRule type="cellIs" dxfId="2673" priority="2671" operator="equal">
      <formula>"C-Off"</formula>
    </cfRule>
    <cfRule type="cellIs" dxfId="2672" priority="2672" operator="equal">
      <formula>"CL-H"</formula>
    </cfRule>
    <cfRule type="cellIs" dxfId="2671" priority="2673" operator="equal">
      <formula>"EL-H"</formula>
    </cfRule>
    <cfRule type="cellIs" dxfId="2670" priority="2674" operator="equal">
      <formula>"CL"</formula>
    </cfRule>
    <cfRule type="cellIs" dxfId="2669" priority="2675" operator="equal">
      <formula>"EL"</formula>
    </cfRule>
  </conditionalFormatting>
  <conditionalFormatting sqref="BF32:BG32">
    <cfRule type="containsText" dxfId="2668" priority="2664" operator="containsText" text="S">
      <formula>NOT(ISERROR(SEARCH("S",BF32)))</formula>
    </cfRule>
    <cfRule type="containsText" dxfId="2667" priority="2665" operator="containsText" text="P">
      <formula>NOT(ISERROR(SEARCH("P",BF32)))</formula>
    </cfRule>
    <cfRule type="containsText" dxfId="2666" priority="2666" operator="containsText" text="H">
      <formula>NOT(ISERROR(SEARCH("H",BF32)))</formula>
    </cfRule>
    <cfRule type="containsText" dxfId="2665" priority="2668" operator="containsText" text="&quot;H&quot;">
      <formula>NOT(ISERROR(SEARCH("""H""",BF32)))</formula>
    </cfRule>
    <cfRule type="containsText" dxfId="2664" priority="2669" operator="containsText" text="&quot;A&quot;">
      <formula>NOT(ISERROR(SEARCH("""A""",BF32)))</formula>
    </cfRule>
  </conditionalFormatting>
  <conditionalFormatting sqref="BF32:BG32">
    <cfRule type="containsText" dxfId="2663" priority="2667" operator="containsText" text="A-H">
      <formula>NOT(ISERROR(SEARCH("A-H",BF32)))</formula>
    </cfRule>
  </conditionalFormatting>
  <conditionalFormatting sqref="BI32:BJ32">
    <cfRule type="cellIs" dxfId="2662" priority="2658" operator="equal">
      <formula>"C-Off-H"</formula>
    </cfRule>
    <cfRule type="cellIs" dxfId="2661" priority="2659" operator="equal">
      <formula>"C-Off"</formula>
    </cfRule>
    <cfRule type="cellIs" dxfId="2660" priority="2660" operator="equal">
      <formula>"CL-H"</formula>
    </cfRule>
    <cfRule type="cellIs" dxfId="2659" priority="2661" operator="equal">
      <formula>"EL-H"</formula>
    </cfRule>
    <cfRule type="cellIs" dxfId="2658" priority="2662" operator="equal">
      <formula>"CL"</formula>
    </cfRule>
    <cfRule type="cellIs" dxfId="2657" priority="2663" operator="equal">
      <formula>"EL"</formula>
    </cfRule>
  </conditionalFormatting>
  <conditionalFormatting sqref="BI32:BJ32">
    <cfRule type="containsText" dxfId="2656" priority="2652" operator="containsText" text="S">
      <formula>NOT(ISERROR(SEARCH("S",BI32)))</formula>
    </cfRule>
    <cfRule type="containsText" dxfId="2655" priority="2653" operator="containsText" text="P">
      <formula>NOT(ISERROR(SEARCH("P",BI32)))</formula>
    </cfRule>
    <cfRule type="containsText" dxfId="2654" priority="2654" operator="containsText" text="H">
      <formula>NOT(ISERROR(SEARCH("H",BI32)))</formula>
    </cfRule>
    <cfRule type="containsText" dxfId="2653" priority="2656" operator="containsText" text="&quot;H&quot;">
      <formula>NOT(ISERROR(SEARCH("""H""",BI32)))</formula>
    </cfRule>
    <cfRule type="containsText" dxfId="2652" priority="2657" operator="containsText" text="&quot;A&quot;">
      <formula>NOT(ISERROR(SEARCH("""A""",BI32)))</formula>
    </cfRule>
  </conditionalFormatting>
  <conditionalFormatting sqref="BI32:BJ32">
    <cfRule type="containsText" dxfId="2651" priority="2655" operator="containsText" text="A-H">
      <formula>NOT(ISERROR(SEARCH("A-H",BI32)))</formula>
    </cfRule>
  </conditionalFormatting>
  <conditionalFormatting sqref="BL32:BM32">
    <cfRule type="cellIs" dxfId="2650" priority="2646" operator="equal">
      <formula>"C-Off-H"</formula>
    </cfRule>
    <cfRule type="cellIs" dxfId="2649" priority="2647" operator="equal">
      <formula>"C-Off"</formula>
    </cfRule>
    <cfRule type="cellIs" dxfId="2648" priority="2648" operator="equal">
      <formula>"CL-H"</formula>
    </cfRule>
    <cfRule type="cellIs" dxfId="2647" priority="2649" operator="equal">
      <formula>"EL-H"</formula>
    </cfRule>
    <cfRule type="cellIs" dxfId="2646" priority="2650" operator="equal">
      <formula>"CL"</formula>
    </cfRule>
    <cfRule type="cellIs" dxfId="2645" priority="2651" operator="equal">
      <formula>"EL"</formula>
    </cfRule>
  </conditionalFormatting>
  <conditionalFormatting sqref="BL32:BM32">
    <cfRule type="containsText" dxfId="2644" priority="2640" operator="containsText" text="S">
      <formula>NOT(ISERROR(SEARCH("S",BL32)))</formula>
    </cfRule>
    <cfRule type="containsText" dxfId="2643" priority="2641" operator="containsText" text="P">
      <formula>NOT(ISERROR(SEARCH("P",BL32)))</formula>
    </cfRule>
    <cfRule type="containsText" dxfId="2642" priority="2642" operator="containsText" text="H">
      <formula>NOT(ISERROR(SEARCH("H",BL32)))</formula>
    </cfRule>
    <cfRule type="containsText" dxfId="2641" priority="2644" operator="containsText" text="&quot;H&quot;">
      <formula>NOT(ISERROR(SEARCH("""H""",BL32)))</formula>
    </cfRule>
    <cfRule type="containsText" dxfId="2640" priority="2645" operator="containsText" text="&quot;A&quot;">
      <formula>NOT(ISERROR(SEARCH("""A""",BL32)))</formula>
    </cfRule>
  </conditionalFormatting>
  <conditionalFormatting sqref="BL32:BM32">
    <cfRule type="containsText" dxfId="2639" priority="2643" operator="containsText" text="A-H">
      <formula>NOT(ISERROR(SEARCH("A-H",BL32)))</formula>
    </cfRule>
  </conditionalFormatting>
  <conditionalFormatting sqref="BR32:BS32">
    <cfRule type="cellIs" dxfId="2638" priority="2634" operator="equal">
      <formula>"C-Off-H"</formula>
    </cfRule>
    <cfRule type="cellIs" dxfId="2637" priority="2635" operator="equal">
      <formula>"C-Off"</formula>
    </cfRule>
    <cfRule type="cellIs" dxfId="2636" priority="2636" operator="equal">
      <formula>"CL-H"</formula>
    </cfRule>
    <cfRule type="cellIs" dxfId="2635" priority="2637" operator="equal">
      <formula>"EL-H"</formula>
    </cfRule>
    <cfRule type="cellIs" dxfId="2634" priority="2638" operator="equal">
      <formula>"CL"</formula>
    </cfRule>
    <cfRule type="cellIs" dxfId="2633" priority="2639" operator="equal">
      <formula>"EL"</formula>
    </cfRule>
  </conditionalFormatting>
  <conditionalFormatting sqref="BR32:BS32">
    <cfRule type="containsText" dxfId="2632" priority="2628" operator="containsText" text="S">
      <formula>NOT(ISERROR(SEARCH("S",BR32)))</formula>
    </cfRule>
    <cfRule type="containsText" dxfId="2631" priority="2629" operator="containsText" text="P">
      <formula>NOT(ISERROR(SEARCH("P",BR32)))</formula>
    </cfRule>
    <cfRule type="containsText" dxfId="2630" priority="2630" operator="containsText" text="H">
      <formula>NOT(ISERROR(SEARCH("H",BR32)))</formula>
    </cfRule>
    <cfRule type="containsText" dxfId="2629" priority="2632" operator="containsText" text="&quot;H&quot;">
      <formula>NOT(ISERROR(SEARCH("""H""",BR32)))</formula>
    </cfRule>
    <cfRule type="containsText" dxfId="2628" priority="2633" operator="containsText" text="&quot;A&quot;">
      <formula>NOT(ISERROR(SEARCH("""A""",BR32)))</formula>
    </cfRule>
  </conditionalFormatting>
  <conditionalFormatting sqref="BR32:BS32">
    <cfRule type="containsText" dxfId="2627" priority="2631" operator="containsText" text="A-H">
      <formula>NOT(ISERROR(SEARCH("A-H",BR32)))</formula>
    </cfRule>
  </conditionalFormatting>
  <conditionalFormatting sqref="BU32:BV32">
    <cfRule type="cellIs" dxfId="2626" priority="2622" operator="equal">
      <formula>"C-Off-H"</formula>
    </cfRule>
    <cfRule type="cellIs" dxfId="2625" priority="2623" operator="equal">
      <formula>"C-Off"</formula>
    </cfRule>
    <cfRule type="cellIs" dxfId="2624" priority="2624" operator="equal">
      <formula>"CL-H"</formula>
    </cfRule>
    <cfRule type="cellIs" dxfId="2623" priority="2625" operator="equal">
      <formula>"EL-H"</formula>
    </cfRule>
    <cfRule type="cellIs" dxfId="2622" priority="2626" operator="equal">
      <formula>"CL"</formula>
    </cfRule>
    <cfRule type="cellIs" dxfId="2621" priority="2627" operator="equal">
      <formula>"EL"</formula>
    </cfRule>
  </conditionalFormatting>
  <conditionalFormatting sqref="BU32:BV32">
    <cfRule type="containsText" dxfId="2620" priority="2616" operator="containsText" text="S">
      <formula>NOT(ISERROR(SEARCH("S",BU32)))</formula>
    </cfRule>
    <cfRule type="containsText" dxfId="2619" priority="2617" operator="containsText" text="P">
      <formula>NOT(ISERROR(SEARCH("P",BU32)))</formula>
    </cfRule>
    <cfRule type="containsText" dxfId="2618" priority="2618" operator="containsText" text="H">
      <formula>NOT(ISERROR(SEARCH("H",BU32)))</formula>
    </cfRule>
    <cfRule type="containsText" dxfId="2617" priority="2620" operator="containsText" text="&quot;H&quot;">
      <formula>NOT(ISERROR(SEARCH("""H""",BU32)))</formula>
    </cfRule>
    <cfRule type="containsText" dxfId="2616" priority="2621" operator="containsText" text="&quot;A&quot;">
      <formula>NOT(ISERROR(SEARCH("""A""",BU32)))</formula>
    </cfRule>
  </conditionalFormatting>
  <conditionalFormatting sqref="BU32:BV32">
    <cfRule type="containsText" dxfId="2615" priority="2619" operator="containsText" text="A-H">
      <formula>NOT(ISERROR(SEARCH("A-H",BU32)))</formula>
    </cfRule>
  </conditionalFormatting>
  <conditionalFormatting sqref="BY32">
    <cfRule type="cellIs" dxfId="2614" priority="2610" operator="equal">
      <formula>"C-Off-H"</formula>
    </cfRule>
    <cfRule type="cellIs" dxfId="2613" priority="2611" operator="equal">
      <formula>"C-Off"</formula>
    </cfRule>
    <cfRule type="cellIs" dxfId="2612" priority="2612" operator="equal">
      <formula>"CL-H"</formula>
    </cfRule>
    <cfRule type="cellIs" dxfId="2611" priority="2613" operator="equal">
      <formula>"EL-H"</formula>
    </cfRule>
    <cfRule type="cellIs" dxfId="2610" priority="2614" operator="equal">
      <formula>"CL"</formula>
    </cfRule>
    <cfRule type="cellIs" dxfId="2609" priority="2615" operator="equal">
      <formula>"EL"</formula>
    </cfRule>
  </conditionalFormatting>
  <conditionalFormatting sqref="BY32">
    <cfRule type="containsText" dxfId="2608" priority="2604" operator="containsText" text="S">
      <formula>NOT(ISERROR(SEARCH("S",BY32)))</formula>
    </cfRule>
    <cfRule type="containsText" dxfId="2607" priority="2605" operator="containsText" text="P">
      <formula>NOT(ISERROR(SEARCH("P",BY32)))</formula>
    </cfRule>
    <cfRule type="containsText" dxfId="2606" priority="2606" operator="containsText" text="H">
      <formula>NOT(ISERROR(SEARCH("H",BY32)))</formula>
    </cfRule>
    <cfRule type="containsText" dxfId="2605" priority="2608" operator="containsText" text="&quot;H&quot;">
      <formula>NOT(ISERROR(SEARCH("""H""",BY32)))</formula>
    </cfRule>
    <cfRule type="containsText" dxfId="2604" priority="2609" operator="containsText" text="&quot;A&quot;">
      <formula>NOT(ISERROR(SEARCH("""A""",BY32)))</formula>
    </cfRule>
  </conditionalFormatting>
  <conditionalFormatting sqref="BY32">
    <cfRule type="containsText" dxfId="2603" priority="2607" operator="containsText" text="A-H">
      <formula>NOT(ISERROR(SEARCH("A-H",BY32)))</formula>
    </cfRule>
  </conditionalFormatting>
  <conditionalFormatting sqref="BX32">
    <cfRule type="cellIs" dxfId="2602" priority="2598" operator="equal">
      <formula>"C-Off-H"</formula>
    </cfRule>
    <cfRule type="cellIs" dxfId="2601" priority="2599" operator="equal">
      <formula>"C-Off"</formula>
    </cfRule>
    <cfRule type="cellIs" dxfId="2600" priority="2600" operator="equal">
      <formula>"CL-H"</formula>
    </cfRule>
    <cfRule type="cellIs" dxfId="2599" priority="2601" operator="equal">
      <formula>"EL-H"</formula>
    </cfRule>
    <cfRule type="cellIs" dxfId="2598" priority="2602" operator="equal">
      <formula>"CL"</formula>
    </cfRule>
    <cfRule type="cellIs" dxfId="2597" priority="2603" operator="equal">
      <formula>"EL"</formula>
    </cfRule>
  </conditionalFormatting>
  <conditionalFormatting sqref="BX32">
    <cfRule type="containsText" dxfId="2596" priority="2592" operator="containsText" text="S">
      <formula>NOT(ISERROR(SEARCH("S",BX32)))</formula>
    </cfRule>
    <cfRule type="containsText" dxfId="2595" priority="2593" operator="containsText" text="P">
      <formula>NOT(ISERROR(SEARCH("P",BX32)))</formula>
    </cfRule>
    <cfRule type="containsText" dxfId="2594" priority="2594" operator="containsText" text="H">
      <formula>NOT(ISERROR(SEARCH("H",BX32)))</formula>
    </cfRule>
    <cfRule type="containsText" dxfId="2593" priority="2596" operator="containsText" text="&quot;H&quot;">
      <formula>NOT(ISERROR(SEARCH("""H""",BX32)))</formula>
    </cfRule>
    <cfRule type="containsText" dxfId="2592" priority="2597" operator="containsText" text="&quot;A&quot;">
      <formula>NOT(ISERROR(SEARCH("""A""",BX32)))</formula>
    </cfRule>
  </conditionalFormatting>
  <conditionalFormatting sqref="BX32">
    <cfRule type="containsText" dxfId="2591" priority="2595" operator="containsText" text="A-H">
      <formula>NOT(ISERROR(SEARCH("A-H",BX32)))</formula>
    </cfRule>
  </conditionalFormatting>
  <conditionalFormatting sqref="J32:K32">
    <cfRule type="cellIs" dxfId="2590" priority="2586" operator="equal">
      <formula>"C-Off-H"</formula>
    </cfRule>
    <cfRule type="cellIs" dxfId="2589" priority="2587" operator="equal">
      <formula>"C-Off"</formula>
    </cfRule>
    <cfRule type="cellIs" dxfId="2588" priority="2588" operator="equal">
      <formula>"CL-H"</formula>
    </cfRule>
    <cfRule type="cellIs" dxfId="2587" priority="2589" operator="equal">
      <formula>"EL-H"</formula>
    </cfRule>
    <cfRule type="cellIs" dxfId="2586" priority="2590" operator="equal">
      <formula>"CL"</formula>
    </cfRule>
    <cfRule type="cellIs" dxfId="2585" priority="2591" operator="equal">
      <formula>"EL"</formula>
    </cfRule>
  </conditionalFormatting>
  <conditionalFormatting sqref="J32:K32">
    <cfRule type="containsText" dxfId="2584" priority="2580" operator="containsText" text="S">
      <formula>NOT(ISERROR(SEARCH("S",J32)))</formula>
    </cfRule>
    <cfRule type="containsText" dxfId="2583" priority="2581" operator="containsText" text="P">
      <formula>NOT(ISERROR(SEARCH("P",J32)))</formula>
    </cfRule>
    <cfRule type="containsText" dxfId="2582" priority="2582" operator="containsText" text="H">
      <formula>NOT(ISERROR(SEARCH("H",J32)))</formula>
    </cfRule>
    <cfRule type="containsText" dxfId="2581" priority="2584" operator="containsText" text="&quot;H&quot;">
      <formula>NOT(ISERROR(SEARCH("""H""",J32)))</formula>
    </cfRule>
    <cfRule type="containsText" dxfId="2580" priority="2585" operator="containsText" text="&quot;A&quot;">
      <formula>NOT(ISERROR(SEARCH("""A""",J32)))</formula>
    </cfRule>
  </conditionalFormatting>
  <conditionalFormatting sqref="J32:K32">
    <cfRule type="containsText" dxfId="2579" priority="2583" operator="containsText" text="A-H">
      <formula>NOT(ISERROR(SEARCH("A-H",J32)))</formula>
    </cfRule>
  </conditionalFormatting>
  <conditionalFormatting sqref="DB3:DB4 DB31:DB32 A3:A32">
    <cfRule type="containsText" dxfId="2578" priority="2579" operator="containsText" text="A-H">
      <formula>NOT(ISERROR(SEARCH("A-H",A3)))</formula>
    </cfRule>
  </conditionalFormatting>
  <conditionalFormatting sqref="DB3:DB4 DB31:DB32">
    <cfRule type="containsText" dxfId="2577" priority="2578" operator="containsText" text="A">
      <formula>NOT(ISERROR(SEARCH("A",DB3)))</formula>
    </cfRule>
  </conditionalFormatting>
  <conditionalFormatting sqref="DB3:DB4 DB31:DB32">
    <cfRule type="cellIs" dxfId="2576" priority="2572" stopIfTrue="1" operator="equal">
      <formula>"C-Off-H"</formula>
    </cfRule>
    <cfRule type="cellIs" dxfId="2575" priority="2573" stopIfTrue="1" operator="equal">
      <formula>"C-Off"</formula>
    </cfRule>
    <cfRule type="cellIs" dxfId="2574" priority="2574" stopIfTrue="1" operator="equal">
      <formula>"CL-H"</formula>
    </cfRule>
    <cfRule type="cellIs" dxfId="2573" priority="2575" stopIfTrue="1" operator="equal">
      <formula>"EL-H"</formula>
    </cfRule>
    <cfRule type="cellIs" dxfId="2572" priority="2576" stopIfTrue="1" operator="equal">
      <formula>"CL"</formula>
    </cfRule>
    <cfRule type="cellIs" dxfId="2571" priority="2577" stopIfTrue="1" operator="equal">
      <formula>"EL"</formula>
    </cfRule>
  </conditionalFormatting>
  <conditionalFormatting sqref="M3:N3 DC3 CD3:CE3 CG3:CH3 CJ3:CK3 CM3:CN3 CP3:CW3">
    <cfRule type="cellIs" dxfId="2570" priority="2566" operator="equal">
      <formula>"C-Off-H"</formula>
    </cfRule>
    <cfRule type="cellIs" dxfId="2569" priority="2567" operator="equal">
      <formula>"C-Off"</formula>
    </cfRule>
    <cfRule type="cellIs" dxfId="2568" priority="2568" operator="equal">
      <formula>"CL-H"</formula>
    </cfRule>
    <cfRule type="cellIs" dxfId="2567" priority="2569" operator="equal">
      <formula>"EL-H"</formula>
    </cfRule>
    <cfRule type="cellIs" dxfId="2566" priority="2570" operator="equal">
      <formula>"CL"</formula>
    </cfRule>
    <cfRule type="cellIs" dxfId="2565" priority="2571" operator="equal">
      <formula>"EL"</formula>
    </cfRule>
  </conditionalFormatting>
  <conditionalFormatting sqref="M3:N3 CD3:CE3 DC3 CG3:CH3 CJ3:CK3 CM3:CN3 CP3:CW3 CY3:DA3">
    <cfRule type="containsText" dxfId="2564" priority="2565" operator="containsText" text="A-H">
      <formula>NOT(ISERROR(SEARCH("A-H",M3)))</formula>
    </cfRule>
  </conditionalFormatting>
  <conditionalFormatting sqref="CD3:CE3 DC3 CG3:CH3 CJ3:CK3 CM3:CN3 CP3:CW3 CY3:DA3">
    <cfRule type="containsText" dxfId="2563" priority="2564" operator="containsText" text="A">
      <formula>NOT(ISERROR(SEARCH("A",CD3)))</formula>
    </cfRule>
  </conditionalFormatting>
  <conditionalFormatting sqref="CY3 DA3">
    <cfRule type="cellIs" dxfId="2562" priority="2558" stopIfTrue="1" operator="equal">
      <formula>"C-Off-H"</formula>
    </cfRule>
    <cfRule type="cellIs" dxfId="2561" priority="2559" stopIfTrue="1" operator="equal">
      <formula>"C-Off"</formula>
    </cfRule>
    <cfRule type="cellIs" dxfId="2560" priority="2560" stopIfTrue="1" operator="equal">
      <formula>"CL-H"</formula>
    </cfRule>
    <cfRule type="cellIs" dxfId="2559" priority="2561" stopIfTrue="1" operator="equal">
      <formula>"EL-H"</formula>
    </cfRule>
    <cfRule type="cellIs" dxfId="2558" priority="2562" stopIfTrue="1" operator="equal">
      <formula>"CL"</formula>
    </cfRule>
    <cfRule type="cellIs" dxfId="2557" priority="2563" stopIfTrue="1" operator="equal">
      <formula>"EL"</formula>
    </cfRule>
  </conditionalFormatting>
  <conditionalFormatting sqref="CZ3">
    <cfRule type="cellIs" dxfId="2556" priority="2552" stopIfTrue="1" operator="equal">
      <formula>"C-Off-H"</formula>
    </cfRule>
    <cfRule type="cellIs" dxfId="2555" priority="2553" stopIfTrue="1" operator="equal">
      <formula>"C-Off"</formula>
    </cfRule>
    <cfRule type="cellIs" dxfId="2554" priority="2554" stopIfTrue="1" operator="equal">
      <formula>"CL-H"</formula>
    </cfRule>
    <cfRule type="cellIs" dxfId="2553" priority="2555" stopIfTrue="1" operator="equal">
      <formula>"EL-H"</formula>
    </cfRule>
    <cfRule type="cellIs" dxfId="2552" priority="2556" stopIfTrue="1" operator="equal">
      <formula>"CL"</formula>
    </cfRule>
    <cfRule type="cellIs" dxfId="2551" priority="2557" stopIfTrue="1" operator="equal">
      <formula>"EL"</formula>
    </cfRule>
  </conditionalFormatting>
  <conditionalFormatting sqref="M3:N3 CD3:CE3 CG3:CH3 CJ3:CK3 CM3:CN3">
    <cfRule type="containsText" dxfId="2550" priority="2547" operator="containsText" text="S">
      <formula>NOT(ISERROR(SEARCH("S",M3)))</formula>
    </cfRule>
    <cfRule type="containsText" dxfId="2549" priority="2548" operator="containsText" text="P">
      <formula>NOT(ISERROR(SEARCH("P",M3)))</formula>
    </cfRule>
    <cfRule type="containsText" dxfId="2548" priority="2549" operator="containsText" text="H">
      <formula>NOT(ISERROR(SEARCH("H",M3)))</formula>
    </cfRule>
    <cfRule type="containsText" dxfId="2547" priority="2550" operator="containsText" text="&quot;H&quot;">
      <formula>NOT(ISERROR(SEARCH("""H""",M3)))</formula>
    </cfRule>
    <cfRule type="containsText" dxfId="2546" priority="2551" operator="containsText" text="&quot;A&quot;">
      <formula>NOT(ISERROR(SEARCH("""A""",M3)))</formula>
    </cfRule>
  </conditionalFormatting>
  <conditionalFormatting sqref="DD3">
    <cfRule type="cellIs" dxfId="2545" priority="2541" operator="equal">
      <formula>"C-Off-H"</formula>
    </cfRule>
    <cfRule type="cellIs" dxfId="2544" priority="2542" operator="equal">
      <formula>"C-Off"</formula>
    </cfRule>
    <cfRule type="cellIs" dxfId="2543" priority="2543" operator="equal">
      <formula>"CL-H"</formula>
    </cfRule>
    <cfRule type="cellIs" dxfId="2542" priority="2544" operator="equal">
      <formula>"EL-H"</formula>
    </cfRule>
    <cfRule type="cellIs" dxfId="2541" priority="2545" operator="equal">
      <formula>"CL"</formula>
    </cfRule>
    <cfRule type="cellIs" dxfId="2540" priority="2546" operator="equal">
      <formula>"EL"</formula>
    </cfRule>
  </conditionalFormatting>
  <conditionalFormatting sqref="DD3">
    <cfRule type="containsText" dxfId="2539" priority="2540" operator="containsText" text="A">
      <formula>NOT(ISERROR(SEARCH("A",DD3)))</formula>
    </cfRule>
  </conditionalFormatting>
  <conditionalFormatting sqref="DD3">
    <cfRule type="containsText" dxfId="2538" priority="2539" operator="containsText" text="A-H">
      <formula>NOT(ISERROR(SEARCH("A-H",DD3)))</formula>
    </cfRule>
  </conditionalFormatting>
  <conditionalFormatting sqref="AI3">
    <cfRule type="cellIs" dxfId="2537" priority="2533" operator="equal">
      <formula>"C-Off-H"</formula>
    </cfRule>
    <cfRule type="cellIs" dxfId="2536" priority="2534" operator="equal">
      <formula>"C-Off"</formula>
    </cfRule>
    <cfRule type="cellIs" dxfId="2535" priority="2535" operator="equal">
      <formula>"CL-H"</formula>
    </cfRule>
    <cfRule type="cellIs" dxfId="2534" priority="2536" operator="equal">
      <formula>"EL-H"</formula>
    </cfRule>
    <cfRule type="cellIs" dxfId="2533" priority="2537" operator="equal">
      <formula>"CL"</formula>
    </cfRule>
    <cfRule type="cellIs" dxfId="2532" priority="2538" operator="equal">
      <formula>"EL"</formula>
    </cfRule>
  </conditionalFormatting>
  <conditionalFormatting sqref="AH3:AI3">
    <cfRule type="cellIs" dxfId="2531" priority="2527" operator="equal">
      <formula>"C-Off-H"</formula>
    </cfRule>
    <cfRule type="cellIs" dxfId="2530" priority="2528" operator="equal">
      <formula>"C-Off"</formula>
    </cfRule>
    <cfRule type="cellIs" dxfId="2529" priority="2529" operator="equal">
      <formula>"CL-H"</formula>
    </cfRule>
    <cfRule type="cellIs" dxfId="2528" priority="2530" operator="equal">
      <formula>"EL-H"</formula>
    </cfRule>
    <cfRule type="cellIs" dxfId="2527" priority="2531" operator="equal">
      <formula>"CL"</formula>
    </cfRule>
    <cfRule type="cellIs" dxfId="2526" priority="2532" operator="equal">
      <formula>"EL"</formula>
    </cfRule>
  </conditionalFormatting>
  <conditionalFormatting sqref="AH3:AI3">
    <cfRule type="containsText" dxfId="2525" priority="2521" operator="containsText" text="S">
      <formula>NOT(ISERROR(SEARCH("S",AH3)))</formula>
    </cfRule>
    <cfRule type="containsText" dxfId="2524" priority="2522" operator="containsText" text="P">
      <formula>NOT(ISERROR(SEARCH("P",AH3)))</formula>
    </cfRule>
    <cfRule type="containsText" dxfId="2523" priority="2523" operator="containsText" text="H">
      <formula>NOT(ISERROR(SEARCH("H",AH3)))</formula>
    </cfRule>
    <cfRule type="containsText" dxfId="2522" priority="2525" operator="containsText" text="&quot;H&quot;">
      <formula>NOT(ISERROR(SEARCH("""H""",AH3)))</formula>
    </cfRule>
    <cfRule type="containsText" dxfId="2521" priority="2526" operator="containsText" text="&quot;A&quot;">
      <formula>NOT(ISERROR(SEARCH("""A""",AH3)))</formula>
    </cfRule>
  </conditionalFormatting>
  <conditionalFormatting sqref="AH3:AI3">
    <cfRule type="containsText" dxfId="2520" priority="2524" operator="containsText" text="A-H">
      <formula>NOT(ISERROR(SEARCH("A-H",AH3)))</formula>
    </cfRule>
  </conditionalFormatting>
  <conditionalFormatting sqref="AU3">
    <cfRule type="cellIs" dxfId="2519" priority="2515" operator="equal">
      <formula>"C-Off-H"</formula>
    </cfRule>
    <cfRule type="cellIs" dxfId="2518" priority="2516" operator="equal">
      <formula>"C-Off"</formula>
    </cfRule>
    <cfRule type="cellIs" dxfId="2517" priority="2517" operator="equal">
      <formula>"CL-H"</formula>
    </cfRule>
    <cfRule type="cellIs" dxfId="2516" priority="2518" operator="equal">
      <formula>"EL-H"</formula>
    </cfRule>
    <cfRule type="cellIs" dxfId="2515" priority="2519" operator="equal">
      <formula>"CL"</formula>
    </cfRule>
    <cfRule type="cellIs" dxfId="2514" priority="2520" operator="equal">
      <formula>"EL"</formula>
    </cfRule>
  </conditionalFormatting>
  <conditionalFormatting sqref="AT3:AU3">
    <cfRule type="cellIs" dxfId="2513" priority="2509" operator="equal">
      <formula>"C-Off-H"</formula>
    </cfRule>
    <cfRule type="cellIs" dxfId="2512" priority="2510" operator="equal">
      <formula>"C-Off"</formula>
    </cfRule>
    <cfRule type="cellIs" dxfId="2511" priority="2511" operator="equal">
      <formula>"CL-H"</formula>
    </cfRule>
    <cfRule type="cellIs" dxfId="2510" priority="2512" operator="equal">
      <formula>"EL-H"</formula>
    </cfRule>
    <cfRule type="cellIs" dxfId="2509" priority="2513" operator="equal">
      <formula>"CL"</formula>
    </cfRule>
    <cfRule type="cellIs" dxfId="2508" priority="2514" operator="equal">
      <formula>"EL"</formula>
    </cfRule>
  </conditionalFormatting>
  <conditionalFormatting sqref="AT3:AU3">
    <cfRule type="containsText" dxfId="2507" priority="2503" operator="containsText" text="S">
      <formula>NOT(ISERROR(SEARCH("S",AT3)))</formula>
    </cfRule>
    <cfRule type="containsText" dxfId="2506" priority="2504" operator="containsText" text="P">
      <formula>NOT(ISERROR(SEARCH("P",AT3)))</formula>
    </cfRule>
    <cfRule type="containsText" dxfId="2505" priority="2505" operator="containsText" text="H">
      <formula>NOT(ISERROR(SEARCH("H",AT3)))</formula>
    </cfRule>
    <cfRule type="containsText" dxfId="2504" priority="2507" operator="containsText" text="&quot;H&quot;">
      <formula>NOT(ISERROR(SEARCH("""H""",AT3)))</formula>
    </cfRule>
    <cfRule type="containsText" dxfId="2503" priority="2508" operator="containsText" text="&quot;A&quot;">
      <formula>NOT(ISERROR(SEARCH("""A""",AT3)))</formula>
    </cfRule>
  </conditionalFormatting>
  <conditionalFormatting sqref="AT3:AU3">
    <cfRule type="containsText" dxfId="2502" priority="2506" operator="containsText" text="A-H">
      <formula>NOT(ISERROR(SEARCH("A-H",AT3)))</formula>
    </cfRule>
  </conditionalFormatting>
  <conditionalFormatting sqref="E3">
    <cfRule type="cellIs" dxfId="2501" priority="2497" operator="equal">
      <formula>"C-Off-H"</formula>
    </cfRule>
    <cfRule type="cellIs" dxfId="2500" priority="2498" operator="equal">
      <formula>"C-Off"</formula>
    </cfRule>
    <cfRule type="cellIs" dxfId="2499" priority="2499" operator="equal">
      <formula>"CL-H"</formula>
    </cfRule>
    <cfRule type="cellIs" dxfId="2498" priority="2500" operator="equal">
      <formula>"EL-H"</formula>
    </cfRule>
    <cfRule type="cellIs" dxfId="2497" priority="2501" operator="equal">
      <formula>"CL"</formula>
    </cfRule>
    <cfRule type="cellIs" dxfId="2496" priority="2502" operator="equal">
      <formula>"EL"</formula>
    </cfRule>
  </conditionalFormatting>
  <conditionalFormatting sqref="D3:E3">
    <cfRule type="cellIs" dxfId="2495" priority="2491" operator="equal">
      <formula>"C-Off-H"</formula>
    </cfRule>
    <cfRule type="cellIs" dxfId="2494" priority="2492" operator="equal">
      <formula>"C-Off"</formula>
    </cfRule>
    <cfRule type="cellIs" dxfId="2493" priority="2493" operator="equal">
      <formula>"CL-H"</formula>
    </cfRule>
    <cfRule type="cellIs" dxfId="2492" priority="2494" operator="equal">
      <formula>"EL-H"</formula>
    </cfRule>
    <cfRule type="cellIs" dxfId="2491" priority="2495" operator="equal">
      <formula>"CL"</formula>
    </cfRule>
    <cfRule type="cellIs" dxfId="2490" priority="2496" operator="equal">
      <formula>"EL"</formula>
    </cfRule>
  </conditionalFormatting>
  <conditionalFormatting sqref="D3:E3">
    <cfRule type="containsText" dxfId="2489" priority="2485" operator="containsText" text="S">
      <formula>NOT(ISERROR(SEARCH("S",D3)))</formula>
    </cfRule>
    <cfRule type="containsText" dxfId="2488" priority="2486" operator="containsText" text="P">
      <formula>NOT(ISERROR(SEARCH("P",D3)))</formula>
    </cfRule>
    <cfRule type="containsText" dxfId="2487" priority="2487" operator="containsText" text="H">
      <formula>NOT(ISERROR(SEARCH("H",D3)))</formula>
    </cfRule>
    <cfRule type="containsText" dxfId="2486" priority="2489" operator="containsText" text="&quot;H&quot;">
      <formula>NOT(ISERROR(SEARCH("""H""",D3)))</formula>
    </cfRule>
    <cfRule type="containsText" dxfId="2485" priority="2490" operator="containsText" text="&quot;A&quot;">
      <formula>NOT(ISERROR(SEARCH("""A""",D3)))</formula>
    </cfRule>
  </conditionalFormatting>
  <conditionalFormatting sqref="D3:E3">
    <cfRule type="containsText" dxfId="2484" priority="2488" operator="containsText" text="A-H">
      <formula>NOT(ISERROR(SEARCH("A-H",D3)))</formula>
    </cfRule>
  </conditionalFormatting>
  <conditionalFormatting sqref="Z3">
    <cfRule type="cellIs" dxfId="2483" priority="2479" operator="equal">
      <formula>"C-Off-H"</formula>
    </cfRule>
    <cfRule type="cellIs" dxfId="2482" priority="2480" operator="equal">
      <formula>"C-Off"</formula>
    </cfRule>
    <cfRule type="cellIs" dxfId="2481" priority="2481" operator="equal">
      <formula>"CL-H"</formula>
    </cfRule>
    <cfRule type="cellIs" dxfId="2480" priority="2482" operator="equal">
      <formula>"EL-H"</formula>
    </cfRule>
    <cfRule type="cellIs" dxfId="2479" priority="2483" operator="equal">
      <formula>"CL"</formula>
    </cfRule>
    <cfRule type="cellIs" dxfId="2478" priority="2484" operator="equal">
      <formula>"EL"</formula>
    </cfRule>
  </conditionalFormatting>
  <conditionalFormatting sqref="Z3">
    <cfRule type="containsText" dxfId="2477" priority="2473" operator="containsText" text="S">
      <formula>NOT(ISERROR(SEARCH("S",Z3)))</formula>
    </cfRule>
    <cfRule type="containsText" dxfId="2476" priority="2474" operator="containsText" text="P">
      <formula>NOT(ISERROR(SEARCH("P",Z3)))</formula>
    </cfRule>
    <cfRule type="containsText" dxfId="2475" priority="2475" operator="containsText" text="H">
      <formula>NOT(ISERROR(SEARCH("H",Z3)))</formula>
    </cfRule>
    <cfRule type="containsText" dxfId="2474" priority="2477" operator="containsText" text="&quot;H&quot;">
      <formula>NOT(ISERROR(SEARCH("""H""",Z3)))</formula>
    </cfRule>
    <cfRule type="containsText" dxfId="2473" priority="2478" operator="containsText" text="&quot;A&quot;">
      <formula>NOT(ISERROR(SEARCH("""A""",Z3)))</formula>
    </cfRule>
  </conditionalFormatting>
  <conditionalFormatting sqref="Z3">
    <cfRule type="containsText" dxfId="2472" priority="2476" operator="containsText" text="A-H">
      <formula>NOT(ISERROR(SEARCH("A-H",Z3)))</formula>
    </cfRule>
  </conditionalFormatting>
  <conditionalFormatting sqref="Y3">
    <cfRule type="cellIs" dxfId="2471" priority="2467" operator="equal">
      <formula>"C-Off-H"</formula>
    </cfRule>
    <cfRule type="cellIs" dxfId="2470" priority="2468" operator="equal">
      <formula>"C-Off"</formula>
    </cfRule>
    <cfRule type="cellIs" dxfId="2469" priority="2469" operator="equal">
      <formula>"CL-H"</formula>
    </cfRule>
    <cfRule type="cellIs" dxfId="2468" priority="2470" operator="equal">
      <formula>"EL-H"</formula>
    </cfRule>
    <cfRule type="cellIs" dxfId="2467" priority="2471" operator="equal">
      <formula>"CL"</formula>
    </cfRule>
    <cfRule type="cellIs" dxfId="2466" priority="2472" operator="equal">
      <formula>"EL"</formula>
    </cfRule>
  </conditionalFormatting>
  <conditionalFormatting sqref="Y3">
    <cfRule type="containsText" dxfId="2465" priority="2461" operator="containsText" text="S">
      <formula>NOT(ISERROR(SEARCH("S",Y3)))</formula>
    </cfRule>
    <cfRule type="containsText" dxfId="2464" priority="2462" operator="containsText" text="P">
      <formula>NOT(ISERROR(SEARCH("P",Y3)))</formula>
    </cfRule>
    <cfRule type="containsText" dxfId="2463" priority="2463" operator="containsText" text="H">
      <formula>NOT(ISERROR(SEARCH("H",Y3)))</formula>
    </cfRule>
    <cfRule type="containsText" dxfId="2462" priority="2465" operator="containsText" text="&quot;H&quot;">
      <formula>NOT(ISERROR(SEARCH("""H""",Y3)))</formula>
    </cfRule>
    <cfRule type="containsText" dxfId="2461" priority="2466" operator="containsText" text="&quot;A&quot;">
      <formula>NOT(ISERROR(SEARCH("""A""",Y3)))</formula>
    </cfRule>
  </conditionalFormatting>
  <conditionalFormatting sqref="Y3">
    <cfRule type="containsText" dxfId="2460" priority="2464" operator="containsText" text="A-H">
      <formula>NOT(ISERROR(SEARCH("A-H",Y3)))</formula>
    </cfRule>
  </conditionalFormatting>
  <conditionalFormatting sqref="AF3">
    <cfRule type="cellIs" dxfId="2459" priority="2455" operator="equal">
      <formula>"C-Off-H"</formula>
    </cfRule>
    <cfRule type="cellIs" dxfId="2458" priority="2456" operator="equal">
      <formula>"C-Off"</formula>
    </cfRule>
    <cfRule type="cellIs" dxfId="2457" priority="2457" operator="equal">
      <formula>"CL-H"</formula>
    </cfRule>
    <cfRule type="cellIs" dxfId="2456" priority="2458" operator="equal">
      <formula>"EL-H"</formula>
    </cfRule>
    <cfRule type="cellIs" dxfId="2455" priority="2459" operator="equal">
      <formula>"CL"</formula>
    </cfRule>
    <cfRule type="cellIs" dxfId="2454" priority="2460" operator="equal">
      <formula>"EL"</formula>
    </cfRule>
  </conditionalFormatting>
  <conditionalFormatting sqref="AF3">
    <cfRule type="containsText" dxfId="2453" priority="2449" operator="containsText" text="S">
      <formula>NOT(ISERROR(SEARCH("S",AF3)))</formula>
    </cfRule>
    <cfRule type="containsText" dxfId="2452" priority="2450" operator="containsText" text="P">
      <formula>NOT(ISERROR(SEARCH("P",AF3)))</formula>
    </cfRule>
    <cfRule type="containsText" dxfId="2451" priority="2451" operator="containsText" text="H">
      <formula>NOT(ISERROR(SEARCH("H",AF3)))</formula>
    </cfRule>
    <cfRule type="containsText" dxfId="2450" priority="2453" operator="containsText" text="&quot;H&quot;">
      <formula>NOT(ISERROR(SEARCH("""H""",AF3)))</formula>
    </cfRule>
    <cfRule type="containsText" dxfId="2449" priority="2454" operator="containsText" text="&quot;A&quot;">
      <formula>NOT(ISERROR(SEARCH("""A""",AF3)))</formula>
    </cfRule>
  </conditionalFormatting>
  <conditionalFormatting sqref="AF3">
    <cfRule type="containsText" dxfId="2448" priority="2452" operator="containsText" text="A-H">
      <formula>NOT(ISERROR(SEARCH("A-H",AF3)))</formula>
    </cfRule>
  </conditionalFormatting>
  <conditionalFormatting sqref="BO3:BP3">
    <cfRule type="cellIs" dxfId="2447" priority="2443" operator="equal">
      <formula>"C-Off-H"</formula>
    </cfRule>
    <cfRule type="cellIs" dxfId="2446" priority="2444" operator="equal">
      <formula>"C-Off"</formula>
    </cfRule>
    <cfRule type="cellIs" dxfId="2445" priority="2445" operator="equal">
      <formula>"CL-H"</formula>
    </cfRule>
    <cfRule type="cellIs" dxfId="2444" priority="2446" operator="equal">
      <formula>"EL-H"</formula>
    </cfRule>
    <cfRule type="cellIs" dxfId="2443" priority="2447" operator="equal">
      <formula>"CL"</formula>
    </cfRule>
    <cfRule type="cellIs" dxfId="2442" priority="2448" operator="equal">
      <formula>"EL"</formula>
    </cfRule>
  </conditionalFormatting>
  <conditionalFormatting sqref="BO3:BP3">
    <cfRule type="cellIs" dxfId="2441" priority="2437" operator="equal">
      <formula>"C-Off-H"</formula>
    </cfRule>
    <cfRule type="cellIs" dxfId="2440" priority="2438" operator="equal">
      <formula>"C-Off"</formula>
    </cfRule>
    <cfRule type="cellIs" dxfId="2439" priority="2439" operator="equal">
      <formula>"CL-H"</formula>
    </cfRule>
    <cfRule type="cellIs" dxfId="2438" priority="2440" operator="equal">
      <formula>"EL-H"</formula>
    </cfRule>
    <cfRule type="cellIs" dxfId="2437" priority="2441" operator="equal">
      <formula>"CL"</formula>
    </cfRule>
    <cfRule type="cellIs" dxfId="2436" priority="2442" operator="equal">
      <formula>"EL"</formula>
    </cfRule>
  </conditionalFormatting>
  <conditionalFormatting sqref="BO3:BP3">
    <cfRule type="containsText" dxfId="2435" priority="2431" operator="containsText" text="S">
      <formula>NOT(ISERROR(SEARCH("S",BO3)))</formula>
    </cfRule>
    <cfRule type="containsText" dxfId="2434" priority="2432" operator="containsText" text="P">
      <formula>NOT(ISERROR(SEARCH("P",BO3)))</formula>
    </cfRule>
    <cfRule type="containsText" dxfId="2433" priority="2433" operator="containsText" text="H">
      <formula>NOT(ISERROR(SEARCH("H",BO3)))</formula>
    </cfRule>
    <cfRule type="containsText" dxfId="2432" priority="2435" operator="containsText" text="&quot;H&quot;">
      <formula>NOT(ISERROR(SEARCH("""H""",BO3)))</formula>
    </cfRule>
    <cfRule type="containsText" dxfId="2431" priority="2436" operator="containsText" text="&quot;A&quot;">
      <formula>NOT(ISERROR(SEARCH("""A""",BO3)))</formula>
    </cfRule>
  </conditionalFormatting>
  <conditionalFormatting sqref="BO3:BP3">
    <cfRule type="containsText" dxfId="2430" priority="2434" operator="containsText" text="A-H">
      <formula>NOT(ISERROR(SEARCH("A-H",BO3)))</formula>
    </cfRule>
  </conditionalFormatting>
  <conditionalFormatting sqref="CA3">
    <cfRule type="cellIs" dxfId="2429" priority="2425" operator="equal">
      <formula>"C-Off-H"</formula>
    </cfRule>
    <cfRule type="cellIs" dxfId="2428" priority="2426" operator="equal">
      <formula>"C-Off"</formula>
    </cfRule>
    <cfRule type="cellIs" dxfId="2427" priority="2427" operator="equal">
      <formula>"CL-H"</formula>
    </cfRule>
    <cfRule type="cellIs" dxfId="2426" priority="2428" operator="equal">
      <formula>"EL-H"</formula>
    </cfRule>
    <cfRule type="cellIs" dxfId="2425" priority="2429" operator="equal">
      <formula>"CL"</formula>
    </cfRule>
    <cfRule type="cellIs" dxfId="2424" priority="2430" operator="equal">
      <formula>"EL"</formula>
    </cfRule>
  </conditionalFormatting>
  <conditionalFormatting sqref="CA3">
    <cfRule type="cellIs" dxfId="2423" priority="2419" operator="equal">
      <formula>"C-Off-H"</formula>
    </cfRule>
    <cfRule type="cellIs" dxfId="2422" priority="2420" operator="equal">
      <formula>"C-Off"</formula>
    </cfRule>
    <cfRule type="cellIs" dxfId="2421" priority="2421" operator="equal">
      <formula>"CL-H"</formula>
    </cfRule>
    <cfRule type="cellIs" dxfId="2420" priority="2422" operator="equal">
      <formula>"EL-H"</formula>
    </cfRule>
    <cfRule type="cellIs" dxfId="2419" priority="2423" operator="equal">
      <formula>"CL"</formula>
    </cfRule>
    <cfRule type="cellIs" dxfId="2418" priority="2424" operator="equal">
      <formula>"EL"</formula>
    </cfRule>
  </conditionalFormatting>
  <conditionalFormatting sqref="CA3">
    <cfRule type="containsText" dxfId="2417" priority="2413" operator="containsText" text="S">
      <formula>NOT(ISERROR(SEARCH("S",CA3)))</formula>
    </cfRule>
    <cfRule type="containsText" dxfId="2416" priority="2414" operator="containsText" text="P">
      <formula>NOT(ISERROR(SEARCH("P",CA3)))</formula>
    </cfRule>
    <cfRule type="containsText" dxfId="2415" priority="2415" operator="containsText" text="H">
      <formula>NOT(ISERROR(SEARCH("H",CA3)))</formula>
    </cfRule>
    <cfRule type="containsText" dxfId="2414" priority="2417" operator="containsText" text="&quot;H&quot;">
      <formula>NOT(ISERROR(SEARCH("""H""",CA3)))</formula>
    </cfRule>
    <cfRule type="containsText" dxfId="2413" priority="2418" operator="containsText" text="&quot;A&quot;">
      <formula>NOT(ISERROR(SEARCH("""A""",CA3)))</formula>
    </cfRule>
  </conditionalFormatting>
  <conditionalFormatting sqref="CA3">
    <cfRule type="containsText" dxfId="2412" priority="2416" operator="containsText" text="A-H">
      <formula>NOT(ISERROR(SEARCH("A-H",CA3)))</formula>
    </cfRule>
  </conditionalFormatting>
  <conditionalFormatting sqref="V3:W3">
    <cfRule type="cellIs" dxfId="2411" priority="2383" operator="equal">
      <formula>"C-Off-H"</formula>
    </cfRule>
    <cfRule type="cellIs" dxfId="2410" priority="2384" operator="equal">
      <formula>"C-Off"</formula>
    </cfRule>
    <cfRule type="cellIs" dxfId="2409" priority="2385" operator="equal">
      <formula>"CL-H"</formula>
    </cfRule>
    <cfRule type="cellIs" dxfId="2408" priority="2386" operator="equal">
      <formula>"EL-H"</formula>
    </cfRule>
    <cfRule type="cellIs" dxfId="2407" priority="2387" operator="equal">
      <formula>"CL"</formula>
    </cfRule>
    <cfRule type="cellIs" dxfId="2406" priority="2388" operator="equal">
      <formula>"EL"</formula>
    </cfRule>
  </conditionalFormatting>
  <conditionalFormatting sqref="V3:W3">
    <cfRule type="containsText" dxfId="2405" priority="2377" operator="containsText" text="S">
      <formula>NOT(ISERROR(SEARCH("S",V3)))</formula>
    </cfRule>
    <cfRule type="containsText" dxfId="2404" priority="2378" operator="containsText" text="P">
      <formula>NOT(ISERROR(SEARCH("P",V3)))</formula>
    </cfRule>
    <cfRule type="containsText" dxfId="2403" priority="2379" operator="containsText" text="H">
      <formula>NOT(ISERROR(SEARCH("H",V3)))</formula>
    </cfRule>
    <cfRule type="containsText" dxfId="2402" priority="2381" operator="containsText" text="&quot;H&quot;">
      <formula>NOT(ISERROR(SEARCH("""H""",V3)))</formula>
    </cfRule>
    <cfRule type="containsText" dxfId="2401" priority="2382" operator="containsText" text="&quot;A&quot;">
      <formula>NOT(ISERROR(SEARCH("""A""",V3)))</formula>
    </cfRule>
  </conditionalFormatting>
  <conditionalFormatting sqref="V3:W3">
    <cfRule type="containsText" dxfId="2400" priority="2380" operator="containsText" text="A-H">
      <formula>NOT(ISERROR(SEARCH("A-H",V3)))</formula>
    </cfRule>
  </conditionalFormatting>
  <conditionalFormatting sqref="P3:Q3">
    <cfRule type="cellIs" dxfId="2399" priority="2407" operator="equal">
      <formula>"C-Off-H"</formula>
    </cfRule>
    <cfRule type="cellIs" dxfId="2398" priority="2408" operator="equal">
      <formula>"C-Off"</formula>
    </cfRule>
    <cfRule type="cellIs" dxfId="2397" priority="2409" operator="equal">
      <formula>"CL-H"</formula>
    </cfRule>
    <cfRule type="cellIs" dxfId="2396" priority="2410" operator="equal">
      <formula>"EL-H"</formula>
    </cfRule>
    <cfRule type="cellIs" dxfId="2395" priority="2411" operator="equal">
      <formula>"CL"</formula>
    </cfRule>
    <cfRule type="cellIs" dxfId="2394" priority="2412" operator="equal">
      <formula>"EL"</formula>
    </cfRule>
  </conditionalFormatting>
  <conditionalFormatting sqref="P3:Q3">
    <cfRule type="containsText" dxfId="2393" priority="2401" operator="containsText" text="S">
      <formula>NOT(ISERROR(SEARCH("S",P3)))</formula>
    </cfRule>
    <cfRule type="containsText" dxfId="2392" priority="2402" operator="containsText" text="P">
      <formula>NOT(ISERROR(SEARCH("P",P3)))</formula>
    </cfRule>
    <cfRule type="containsText" dxfId="2391" priority="2403" operator="containsText" text="H">
      <formula>NOT(ISERROR(SEARCH("H",P3)))</formula>
    </cfRule>
    <cfRule type="containsText" dxfId="2390" priority="2405" operator="containsText" text="&quot;H&quot;">
      <formula>NOT(ISERROR(SEARCH("""H""",P3)))</formula>
    </cfRule>
    <cfRule type="containsText" dxfId="2389" priority="2406" operator="containsText" text="&quot;A&quot;">
      <formula>NOT(ISERROR(SEARCH("""A""",P3)))</formula>
    </cfRule>
  </conditionalFormatting>
  <conditionalFormatting sqref="P3:Q3">
    <cfRule type="containsText" dxfId="2388" priority="2404" operator="containsText" text="A-H">
      <formula>NOT(ISERROR(SEARCH("A-H",P3)))</formula>
    </cfRule>
  </conditionalFormatting>
  <conditionalFormatting sqref="S3:T3">
    <cfRule type="cellIs" dxfId="2387" priority="2395" operator="equal">
      <formula>"C-Off-H"</formula>
    </cfRule>
    <cfRule type="cellIs" dxfId="2386" priority="2396" operator="equal">
      <formula>"C-Off"</formula>
    </cfRule>
    <cfRule type="cellIs" dxfId="2385" priority="2397" operator="equal">
      <formula>"CL-H"</formula>
    </cfRule>
    <cfRule type="cellIs" dxfId="2384" priority="2398" operator="equal">
      <formula>"EL-H"</formula>
    </cfRule>
    <cfRule type="cellIs" dxfId="2383" priority="2399" operator="equal">
      <formula>"CL"</formula>
    </cfRule>
    <cfRule type="cellIs" dxfId="2382" priority="2400" operator="equal">
      <formula>"EL"</formula>
    </cfRule>
  </conditionalFormatting>
  <conditionalFormatting sqref="S3:T3">
    <cfRule type="containsText" dxfId="2381" priority="2389" operator="containsText" text="S">
      <formula>NOT(ISERROR(SEARCH("S",S3)))</formula>
    </cfRule>
    <cfRule type="containsText" dxfId="2380" priority="2390" operator="containsText" text="P">
      <formula>NOT(ISERROR(SEARCH("P",S3)))</formula>
    </cfRule>
    <cfRule type="containsText" dxfId="2379" priority="2391" operator="containsText" text="H">
      <formula>NOT(ISERROR(SEARCH("H",S3)))</formula>
    </cfRule>
    <cfRule type="containsText" dxfId="2378" priority="2393" operator="containsText" text="&quot;H&quot;">
      <formula>NOT(ISERROR(SEARCH("""H""",S3)))</formula>
    </cfRule>
    <cfRule type="containsText" dxfId="2377" priority="2394" operator="containsText" text="&quot;A&quot;">
      <formula>NOT(ISERROR(SEARCH("""A""",S3)))</formula>
    </cfRule>
  </conditionalFormatting>
  <conditionalFormatting sqref="S3:T3">
    <cfRule type="containsText" dxfId="2376" priority="2392" operator="containsText" text="A-H">
      <formula>NOT(ISERROR(SEARCH("A-H",S3)))</formula>
    </cfRule>
  </conditionalFormatting>
  <conditionalFormatting sqref="AB3:AC3">
    <cfRule type="cellIs" dxfId="2375" priority="2371" operator="equal">
      <formula>"C-Off-H"</formula>
    </cfRule>
    <cfRule type="cellIs" dxfId="2374" priority="2372" operator="equal">
      <formula>"C-Off"</formula>
    </cfRule>
    <cfRule type="cellIs" dxfId="2373" priority="2373" operator="equal">
      <formula>"CL-H"</formula>
    </cfRule>
    <cfRule type="cellIs" dxfId="2372" priority="2374" operator="equal">
      <formula>"EL-H"</formula>
    </cfRule>
    <cfRule type="cellIs" dxfId="2371" priority="2375" operator="equal">
      <formula>"CL"</formula>
    </cfRule>
    <cfRule type="cellIs" dxfId="2370" priority="2376" operator="equal">
      <formula>"EL"</formula>
    </cfRule>
  </conditionalFormatting>
  <conditionalFormatting sqref="AB3:AC3">
    <cfRule type="containsText" dxfId="2369" priority="2365" operator="containsText" text="S">
      <formula>NOT(ISERROR(SEARCH("S",AB3)))</formula>
    </cfRule>
    <cfRule type="containsText" dxfId="2368" priority="2366" operator="containsText" text="P">
      <formula>NOT(ISERROR(SEARCH("P",AB3)))</formula>
    </cfRule>
    <cfRule type="containsText" dxfId="2367" priority="2367" operator="containsText" text="H">
      <formula>NOT(ISERROR(SEARCH("H",AB3)))</formula>
    </cfRule>
    <cfRule type="containsText" dxfId="2366" priority="2369" operator="containsText" text="&quot;H&quot;">
      <formula>NOT(ISERROR(SEARCH("""H""",AB3)))</formula>
    </cfRule>
    <cfRule type="containsText" dxfId="2365" priority="2370" operator="containsText" text="&quot;A&quot;">
      <formula>NOT(ISERROR(SEARCH("""A""",AB3)))</formula>
    </cfRule>
  </conditionalFormatting>
  <conditionalFormatting sqref="AB3:AC3">
    <cfRule type="containsText" dxfId="2364" priority="2368" operator="containsText" text="A-H">
      <formula>NOT(ISERROR(SEARCH("A-H",AB3)))</formula>
    </cfRule>
  </conditionalFormatting>
  <conditionalFormatting sqref="AE3">
    <cfRule type="cellIs" dxfId="2363" priority="2359" operator="equal">
      <formula>"C-Off-H"</formula>
    </cfRule>
    <cfRule type="cellIs" dxfId="2362" priority="2360" operator="equal">
      <formula>"C-Off"</formula>
    </cfRule>
    <cfRule type="cellIs" dxfId="2361" priority="2361" operator="equal">
      <formula>"CL-H"</formula>
    </cfRule>
    <cfRule type="cellIs" dxfId="2360" priority="2362" operator="equal">
      <formula>"EL-H"</formula>
    </cfRule>
    <cfRule type="cellIs" dxfId="2359" priority="2363" operator="equal">
      <formula>"CL"</formula>
    </cfRule>
    <cfRule type="cellIs" dxfId="2358" priority="2364" operator="equal">
      <formula>"EL"</formula>
    </cfRule>
  </conditionalFormatting>
  <conditionalFormatting sqref="AE3">
    <cfRule type="containsText" dxfId="2357" priority="2353" operator="containsText" text="S">
      <formula>NOT(ISERROR(SEARCH("S",AE3)))</formula>
    </cfRule>
    <cfRule type="containsText" dxfId="2356" priority="2354" operator="containsText" text="P">
      <formula>NOT(ISERROR(SEARCH("P",AE3)))</formula>
    </cfRule>
    <cfRule type="containsText" dxfId="2355" priority="2355" operator="containsText" text="H">
      <formula>NOT(ISERROR(SEARCH("H",AE3)))</formula>
    </cfRule>
    <cfRule type="containsText" dxfId="2354" priority="2357" operator="containsText" text="&quot;H&quot;">
      <formula>NOT(ISERROR(SEARCH("""H""",AE3)))</formula>
    </cfRule>
    <cfRule type="containsText" dxfId="2353" priority="2358" operator="containsText" text="&quot;A&quot;">
      <formula>NOT(ISERROR(SEARCH("""A""",AE3)))</formula>
    </cfRule>
  </conditionalFormatting>
  <conditionalFormatting sqref="AE3">
    <cfRule type="containsText" dxfId="2352" priority="2356" operator="containsText" text="A-H">
      <formula>NOT(ISERROR(SEARCH("A-H",AE3)))</formula>
    </cfRule>
  </conditionalFormatting>
  <conditionalFormatting sqref="AK3:AL3">
    <cfRule type="cellIs" dxfId="2351" priority="2347" operator="equal">
      <formula>"C-Off-H"</formula>
    </cfRule>
    <cfRule type="cellIs" dxfId="2350" priority="2348" operator="equal">
      <formula>"C-Off"</formula>
    </cfRule>
    <cfRule type="cellIs" dxfId="2349" priority="2349" operator="equal">
      <formula>"CL-H"</formula>
    </cfRule>
    <cfRule type="cellIs" dxfId="2348" priority="2350" operator="equal">
      <formula>"EL-H"</formula>
    </cfRule>
    <cfRule type="cellIs" dxfId="2347" priority="2351" operator="equal">
      <formula>"CL"</formula>
    </cfRule>
    <cfRule type="cellIs" dxfId="2346" priority="2352" operator="equal">
      <formula>"EL"</formula>
    </cfRule>
  </conditionalFormatting>
  <conditionalFormatting sqref="AK3:AL3">
    <cfRule type="containsText" dxfId="2345" priority="2341" operator="containsText" text="S">
      <formula>NOT(ISERROR(SEARCH("S",AK3)))</formula>
    </cfRule>
    <cfRule type="containsText" dxfId="2344" priority="2342" operator="containsText" text="P">
      <formula>NOT(ISERROR(SEARCH("P",AK3)))</formula>
    </cfRule>
    <cfRule type="containsText" dxfId="2343" priority="2343" operator="containsText" text="H">
      <formula>NOT(ISERROR(SEARCH("H",AK3)))</formula>
    </cfRule>
    <cfRule type="containsText" dxfId="2342" priority="2345" operator="containsText" text="&quot;H&quot;">
      <formula>NOT(ISERROR(SEARCH("""H""",AK3)))</formula>
    </cfRule>
    <cfRule type="containsText" dxfId="2341" priority="2346" operator="containsText" text="&quot;A&quot;">
      <formula>NOT(ISERROR(SEARCH("""A""",AK3)))</formula>
    </cfRule>
  </conditionalFormatting>
  <conditionalFormatting sqref="AK3:AL3">
    <cfRule type="containsText" dxfId="2340" priority="2344" operator="containsText" text="A-H">
      <formula>NOT(ISERROR(SEARCH("A-H",AK3)))</formula>
    </cfRule>
  </conditionalFormatting>
  <conditionalFormatting sqref="AN3:AO3">
    <cfRule type="cellIs" dxfId="2339" priority="2335" operator="equal">
      <formula>"C-Off-H"</formula>
    </cfRule>
    <cfRule type="cellIs" dxfId="2338" priority="2336" operator="equal">
      <formula>"C-Off"</formula>
    </cfRule>
    <cfRule type="cellIs" dxfId="2337" priority="2337" operator="equal">
      <formula>"CL-H"</formula>
    </cfRule>
    <cfRule type="cellIs" dxfId="2336" priority="2338" operator="equal">
      <formula>"EL-H"</formula>
    </cfRule>
    <cfRule type="cellIs" dxfId="2335" priority="2339" operator="equal">
      <formula>"CL"</formula>
    </cfRule>
    <cfRule type="cellIs" dxfId="2334" priority="2340" operator="equal">
      <formula>"EL"</formula>
    </cfRule>
  </conditionalFormatting>
  <conditionalFormatting sqref="AN3:AO3">
    <cfRule type="containsText" dxfId="2333" priority="2329" operator="containsText" text="S">
      <formula>NOT(ISERROR(SEARCH("S",AN3)))</formula>
    </cfRule>
    <cfRule type="containsText" dxfId="2332" priority="2330" operator="containsText" text="P">
      <formula>NOT(ISERROR(SEARCH("P",AN3)))</formula>
    </cfRule>
    <cfRule type="containsText" dxfId="2331" priority="2331" operator="containsText" text="H">
      <formula>NOT(ISERROR(SEARCH("H",AN3)))</formula>
    </cfRule>
    <cfRule type="containsText" dxfId="2330" priority="2333" operator="containsText" text="&quot;H&quot;">
      <formula>NOT(ISERROR(SEARCH("""H""",AN3)))</formula>
    </cfRule>
    <cfRule type="containsText" dxfId="2329" priority="2334" operator="containsText" text="&quot;A&quot;">
      <formula>NOT(ISERROR(SEARCH("""A""",AN3)))</formula>
    </cfRule>
  </conditionalFormatting>
  <conditionalFormatting sqref="AN3:AO3">
    <cfRule type="containsText" dxfId="2328" priority="2332" operator="containsText" text="A-H">
      <formula>NOT(ISERROR(SEARCH("A-H",AN3)))</formula>
    </cfRule>
  </conditionalFormatting>
  <conditionalFormatting sqref="AQ3:AR3">
    <cfRule type="cellIs" dxfId="2327" priority="2323" operator="equal">
      <formula>"C-Off-H"</formula>
    </cfRule>
    <cfRule type="cellIs" dxfId="2326" priority="2324" operator="equal">
      <formula>"C-Off"</formula>
    </cfRule>
    <cfRule type="cellIs" dxfId="2325" priority="2325" operator="equal">
      <formula>"CL-H"</formula>
    </cfRule>
    <cfRule type="cellIs" dxfId="2324" priority="2326" operator="equal">
      <formula>"EL-H"</formula>
    </cfRule>
    <cfRule type="cellIs" dxfId="2323" priority="2327" operator="equal">
      <formula>"CL"</formula>
    </cfRule>
    <cfRule type="cellIs" dxfId="2322" priority="2328" operator="equal">
      <formula>"EL"</formula>
    </cfRule>
  </conditionalFormatting>
  <conditionalFormatting sqref="AQ3:AR3">
    <cfRule type="containsText" dxfId="2321" priority="2317" operator="containsText" text="S">
      <formula>NOT(ISERROR(SEARCH("S",AQ3)))</formula>
    </cfRule>
    <cfRule type="containsText" dxfId="2320" priority="2318" operator="containsText" text="P">
      <formula>NOT(ISERROR(SEARCH("P",AQ3)))</formula>
    </cfRule>
    <cfRule type="containsText" dxfId="2319" priority="2319" operator="containsText" text="H">
      <formula>NOT(ISERROR(SEARCH("H",AQ3)))</formula>
    </cfRule>
    <cfRule type="containsText" dxfId="2318" priority="2321" operator="containsText" text="&quot;H&quot;">
      <formula>NOT(ISERROR(SEARCH("""H""",AQ3)))</formula>
    </cfRule>
    <cfRule type="containsText" dxfId="2317" priority="2322" operator="containsText" text="&quot;A&quot;">
      <formula>NOT(ISERROR(SEARCH("""A""",AQ3)))</formula>
    </cfRule>
  </conditionalFormatting>
  <conditionalFormatting sqref="AQ3:AR3">
    <cfRule type="containsText" dxfId="2316" priority="2320" operator="containsText" text="A-H">
      <formula>NOT(ISERROR(SEARCH("A-H",AQ3)))</formula>
    </cfRule>
  </conditionalFormatting>
  <conditionalFormatting sqref="AW3:AX3">
    <cfRule type="cellIs" dxfId="2315" priority="2311" operator="equal">
      <formula>"C-Off-H"</formula>
    </cfRule>
    <cfRule type="cellIs" dxfId="2314" priority="2312" operator="equal">
      <formula>"C-Off"</formula>
    </cfRule>
    <cfRule type="cellIs" dxfId="2313" priority="2313" operator="equal">
      <formula>"CL-H"</formula>
    </cfRule>
    <cfRule type="cellIs" dxfId="2312" priority="2314" operator="equal">
      <formula>"EL-H"</formula>
    </cfRule>
    <cfRule type="cellIs" dxfId="2311" priority="2315" operator="equal">
      <formula>"CL"</formula>
    </cfRule>
    <cfRule type="cellIs" dxfId="2310" priority="2316" operator="equal">
      <formula>"EL"</formula>
    </cfRule>
  </conditionalFormatting>
  <conditionalFormatting sqref="AW3:AX3">
    <cfRule type="containsText" dxfId="2309" priority="2305" operator="containsText" text="S">
      <formula>NOT(ISERROR(SEARCH("S",AW3)))</formula>
    </cfRule>
    <cfRule type="containsText" dxfId="2308" priority="2306" operator="containsText" text="P">
      <formula>NOT(ISERROR(SEARCH("P",AW3)))</formula>
    </cfRule>
    <cfRule type="containsText" dxfId="2307" priority="2307" operator="containsText" text="H">
      <formula>NOT(ISERROR(SEARCH("H",AW3)))</formula>
    </cfRule>
    <cfRule type="containsText" dxfId="2306" priority="2309" operator="containsText" text="&quot;H&quot;">
      <formula>NOT(ISERROR(SEARCH("""H""",AW3)))</formula>
    </cfRule>
    <cfRule type="containsText" dxfId="2305" priority="2310" operator="containsText" text="&quot;A&quot;">
      <formula>NOT(ISERROR(SEARCH("""A""",AW3)))</formula>
    </cfRule>
  </conditionalFormatting>
  <conditionalFormatting sqref="AW3:AX3">
    <cfRule type="containsText" dxfId="2304" priority="2308" operator="containsText" text="A-H">
      <formula>NOT(ISERROR(SEARCH("A-H",AW3)))</formula>
    </cfRule>
  </conditionalFormatting>
  <conditionalFormatting sqref="AZ3:BA3">
    <cfRule type="cellIs" dxfId="2303" priority="2299" operator="equal">
      <formula>"C-Off-H"</formula>
    </cfRule>
    <cfRule type="cellIs" dxfId="2302" priority="2300" operator="equal">
      <formula>"C-Off"</formula>
    </cfRule>
    <cfRule type="cellIs" dxfId="2301" priority="2301" operator="equal">
      <formula>"CL-H"</formula>
    </cfRule>
    <cfRule type="cellIs" dxfId="2300" priority="2302" operator="equal">
      <formula>"EL-H"</formula>
    </cfRule>
    <cfRule type="cellIs" dxfId="2299" priority="2303" operator="equal">
      <formula>"CL"</formula>
    </cfRule>
    <cfRule type="cellIs" dxfId="2298" priority="2304" operator="equal">
      <formula>"EL"</formula>
    </cfRule>
  </conditionalFormatting>
  <conditionalFormatting sqref="AZ3:BA3">
    <cfRule type="containsText" dxfId="2297" priority="2293" operator="containsText" text="S">
      <formula>NOT(ISERROR(SEARCH("S",AZ3)))</formula>
    </cfRule>
    <cfRule type="containsText" dxfId="2296" priority="2294" operator="containsText" text="P">
      <formula>NOT(ISERROR(SEARCH("P",AZ3)))</formula>
    </cfRule>
    <cfRule type="containsText" dxfId="2295" priority="2295" operator="containsText" text="H">
      <formula>NOT(ISERROR(SEARCH("H",AZ3)))</formula>
    </cfRule>
    <cfRule type="containsText" dxfId="2294" priority="2297" operator="containsText" text="&quot;H&quot;">
      <formula>NOT(ISERROR(SEARCH("""H""",AZ3)))</formula>
    </cfRule>
    <cfRule type="containsText" dxfId="2293" priority="2298" operator="containsText" text="&quot;A&quot;">
      <formula>NOT(ISERROR(SEARCH("""A""",AZ3)))</formula>
    </cfRule>
  </conditionalFormatting>
  <conditionalFormatting sqref="AZ3:BA3">
    <cfRule type="containsText" dxfId="2292" priority="2296" operator="containsText" text="A-H">
      <formula>NOT(ISERROR(SEARCH("A-H",AZ3)))</formula>
    </cfRule>
  </conditionalFormatting>
  <conditionalFormatting sqref="BC3:BD3">
    <cfRule type="cellIs" dxfId="2291" priority="2287" operator="equal">
      <formula>"C-Off-H"</formula>
    </cfRule>
    <cfRule type="cellIs" dxfId="2290" priority="2288" operator="equal">
      <formula>"C-Off"</formula>
    </cfRule>
    <cfRule type="cellIs" dxfId="2289" priority="2289" operator="equal">
      <formula>"CL-H"</formula>
    </cfRule>
    <cfRule type="cellIs" dxfId="2288" priority="2290" operator="equal">
      <formula>"EL-H"</formula>
    </cfRule>
    <cfRule type="cellIs" dxfId="2287" priority="2291" operator="equal">
      <formula>"CL"</formula>
    </cfRule>
    <cfRule type="cellIs" dxfId="2286" priority="2292" operator="equal">
      <formula>"EL"</formula>
    </cfRule>
  </conditionalFormatting>
  <conditionalFormatting sqref="BC3:BD3">
    <cfRule type="containsText" dxfId="2285" priority="2281" operator="containsText" text="S">
      <formula>NOT(ISERROR(SEARCH("S",BC3)))</formula>
    </cfRule>
    <cfRule type="containsText" dxfId="2284" priority="2282" operator="containsText" text="P">
      <formula>NOT(ISERROR(SEARCH("P",BC3)))</formula>
    </cfRule>
    <cfRule type="containsText" dxfId="2283" priority="2283" operator="containsText" text="H">
      <formula>NOT(ISERROR(SEARCH("H",BC3)))</formula>
    </cfRule>
    <cfRule type="containsText" dxfId="2282" priority="2285" operator="containsText" text="&quot;H&quot;">
      <formula>NOT(ISERROR(SEARCH("""H""",BC3)))</formula>
    </cfRule>
    <cfRule type="containsText" dxfId="2281" priority="2286" operator="containsText" text="&quot;A&quot;">
      <formula>NOT(ISERROR(SEARCH("""A""",BC3)))</formula>
    </cfRule>
  </conditionalFormatting>
  <conditionalFormatting sqref="BC3:BD3">
    <cfRule type="containsText" dxfId="2280" priority="2284" operator="containsText" text="A-H">
      <formula>NOT(ISERROR(SEARCH("A-H",BC3)))</formula>
    </cfRule>
  </conditionalFormatting>
  <conditionalFormatting sqref="BF3:BG3">
    <cfRule type="cellIs" dxfId="2279" priority="2275" operator="equal">
      <formula>"C-Off-H"</formula>
    </cfRule>
    <cfRule type="cellIs" dxfId="2278" priority="2276" operator="equal">
      <formula>"C-Off"</formula>
    </cfRule>
    <cfRule type="cellIs" dxfId="2277" priority="2277" operator="equal">
      <formula>"CL-H"</formula>
    </cfRule>
    <cfRule type="cellIs" dxfId="2276" priority="2278" operator="equal">
      <formula>"EL-H"</formula>
    </cfRule>
    <cfRule type="cellIs" dxfId="2275" priority="2279" operator="equal">
      <formula>"CL"</formula>
    </cfRule>
    <cfRule type="cellIs" dxfId="2274" priority="2280" operator="equal">
      <formula>"EL"</formula>
    </cfRule>
  </conditionalFormatting>
  <conditionalFormatting sqref="BF3:BG3">
    <cfRule type="containsText" dxfId="2273" priority="2269" operator="containsText" text="S">
      <formula>NOT(ISERROR(SEARCH("S",BF3)))</formula>
    </cfRule>
    <cfRule type="containsText" dxfId="2272" priority="2270" operator="containsText" text="P">
      <formula>NOT(ISERROR(SEARCH("P",BF3)))</formula>
    </cfRule>
    <cfRule type="containsText" dxfId="2271" priority="2271" operator="containsText" text="H">
      <formula>NOT(ISERROR(SEARCH("H",BF3)))</formula>
    </cfRule>
    <cfRule type="containsText" dxfId="2270" priority="2273" operator="containsText" text="&quot;H&quot;">
      <formula>NOT(ISERROR(SEARCH("""H""",BF3)))</formula>
    </cfRule>
    <cfRule type="containsText" dxfId="2269" priority="2274" operator="containsText" text="&quot;A&quot;">
      <formula>NOT(ISERROR(SEARCH("""A""",BF3)))</formula>
    </cfRule>
  </conditionalFormatting>
  <conditionalFormatting sqref="BF3:BG3">
    <cfRule type="containsText" dxfId="2268" priority="2272" operator="containsText" text="A-H">
      <formula>NOT(ISERROR(SEARCH("A-H",BF3)))</formula>
    </cfRule>
  </conditionalFormatting>
  <conditionalFormatting sqref="BI3:BJ3">
    <cfRule type="cellIs" dxfId="2267" priority="2263" operator="equal">
      <formula>"C-Off-H"</formula>
    </cfRule>
    <cfRule type="cellIs" dxfId="2266" priority="2264" operator="equal">
      <formula>"C-Off"</formula>
    </cfRule>
    <cfRule type="cellIs" dxfId="2265" priority="2265" operator="equal">
      <formula>"CL-H"</formula>
    </cfRule>
    <cfRule type="cellIs" dxfId="2264" priority="2266" operator="equal">
      <formula>"EL-H"</formula>
    </cfRule>
    <cfRule type="cellIs" dxfId="2263" priority="2267" operator="equal">
      <formula>"CL"</formula>
    </cfRule>
    <cfRule type="cellIs" dxfId="2262" priority="2268" operator="equal">
      <formula>"EL"</formula>
    </cfRule>
  </conditionalFormatting>
  <conditionalFormatting sqref="BI3:BJ3">
    <cfRule type="containsText" dxfId="2261" priority="2257" operator="containsText" text="S">
      <formula>NOT(ISERROR(SEARCH("S",BI3)))</formula>
    </cfRule>
    <cfRule type="containsText" dxfId="2260" priority="2258" operator="containsText" text="P">
      <formula>NOT(ISERROR(SEARCH("P",BI3)))</formula>
    </cfRule>
    <cfRule type="containsText" dxfId="2259" priority="2259" operator="containsText" text="H">
      <formula>NOT(ISERROR(SEARCH("H",BI3)))</formula>
    </cfRule>
    <cfRule type="containsText" dxfId="2258" priority="2261" operator="containsText" text="&quot;H&quot;">
      <formula>NOT(ISERROR(SEARCH("""H""",BI3)))</formula>
    </cfRule>
    <cfRule type="containsText" dxfId="2257" priority="2262" operator="containsText" text="&quot;A&quot;">
      <formula>NOT(ISERROR(SEARCH("""A""",BI3)))</formula>
    </cfRule>
  </conditionalFormatting>
  <conditionalFormatting sqref="BI3:BJ3">
    <cfRule type="containsText" dxfId="2256" priority="2260" operator="containsText" text="A-H">
      <formula>NOT(ISERROR(SEARCH("A-H",BI3)))</formula>
    </cfRule>
  </conditionalFormatting>
  <conditionalFormatting sqref="BL3:BM3">
    <cfRule type="cellIs" dxfId="2255" priority="2251" operator="equal">
      <formula>"C-Off-H"</formula>
    </cfRule>
    <cfRule type="cellIs" dxfId="2254" priority="2252" operator="equal">
      <formula>"C-Off"</formula>
    </cfRule>
    <cfRule type="cellIs" dxfId="2253" priority="2253" operator="equal">
      <formula>"CL-H"</formula>
    </cfRule>
    <cfRule type="cellIs" dxfId="2252" priority="2254" operator="equal">
      <formula>"EL-H"</formula>
    </cfRule>
    <cfRule type="cellIs" dxfId="2251" priority="2255" operator="equal">
      <formula>"CL"</formula>
    </cfRule>
    <cfRule type="cellIs" dxfId="2250" priority="2256" operator="equal">
      <formula>"EL"</formula>
    </cfRule>
  </conditionalFormatting>
  <conditionalFormatting sqref="BL3:BM3">
    <cfRule type="containsText" dxfId="2249" priority="2245" operator="containsText" text="S">
      <formula>NOT(ISERROR(SEARCH("S",BL3)))</formula>
    </cfRule>
    <cfRule type="containsText" dxfId="2248" priority="2246" operator="containsText" text="P">
      <formula>NOT(ISERROR(SEARCH("P",BL3)))</formula>
    </cfRule>
    <cfRule type="containsText" dxfId="2247" priority="2247" operator="containsText" text="H">
      <formula>NOT(ISERROR(SEARCH("H",BL3)))</formula>
    </cfRule>
    <cfRule type="containsText" dxfId="2246" priority="2249" operator="containsText" text="&quot;H&quot;">
      <formula>NOT(ISERROR(SEARCH("""H""",BL3)))</formula>
    </cfRule>
    <cfRule type="containsText" dxfId="2245" priority="2250" operator="containsText" text="&quot;A&quot;">
      <formula>NOT(ISERROR(SEARCH("""A""",BL3)))</formula>
    </cfRule>
  </conditionalFormatting>
  <conditionalFormatting sqref="BL3:BM3">
    <cfRule type="containsText" dxfId="2244" priority="2248" operator="containsText" text="A-H">
      <formula>NOT(ISERROR(SEARCH("A-H",BL3)))</formula>
    </cfRule>
  </conditionalFormatting>
  <conditionalFormatting sqref="BR3:BS3">
    <cfRule type="cellIs" dxfId="2243" priority="2239" operator="equal">
      <formula>"C-Off-H"</formula>
    </cfRule>
    <cfRule type="cellIs" dxfId="2242" priority="2240" operator="equal">
      <formula>"C-Off"</formula>
    </cfRule>
    <cfRule type="cellIs" dxfId="2241" priority="2241" operator="equal">
      <formula>"CL-H"</formula>
    </cfRule>
    <cfRule type="cellIs" dxfId="2240" priority="2242" operator="equal">
      <formula>"EL-H"</formula>
    </cfRule>
    <cfRule type="cellIs" dxfId="2239" priority="2243" operator="equal">
      <formula>"CL"</formula>
    </cfRule>
    <cfRule type="cellIs" dxfId="2238" priority="2244" operator="equal">
      <formula>"EL"</formula>
    </cfRule>
  </conditionalFormatting>
  <conditionalFormatting sqref="BR3:BS3">
    <cfRule type="containsText" dxfId="2237" priority="2233" operator="containsText" text="S">
      <formula>NOT(ISERROR(SEARCH("S",BR3)))</formula>
    </cfRule>
    <cfRule type="containsText" dxfId="2236" priority="2234" operator="containsText" text="P">
      <formula>NOT(ISERROR(SEARCH("P",BR3)))</formula>
    </cfRule>
    <cfRule type="containsText" dxfId="2235" priority="2235" operator="containsText" text="H">
      <formula>NOT(ISERROR(SEARCH("H",BR3)))</formula>
    </cfRule>
    <cfRule type="containsText" dxfId="2234" priority="2237" operator="containsText" text="&quot;H&quot;">
      <formula>NOT(ISERROR(SEARCH("""H""",BR3)))</formula>
    </cfRule>
    <cfRule type="containsText" dxfId="2233" priority="2238" operator="containsText" text="&quot;A&quot;">
      <formula>NOT(ISERROR(SEARCH("""A""",BR3)))</formula>
    </cfRule>
  </conditionalFormatting>
  <conditionalFormatting sqref="BR3:BS3">
    <cfRule type="containsText" dxfId="2232" priority="2236" operator="containsText" text="A-H">
      <formula>NOT(ISERROR(SEARCH("A-H",BR3)))</formula>
    </cfRule>
  </conditionalFormatting>
  <conditionalFormatting sqref="BU3:BV3">
    <cfRule type="cellIs" dxfId="2231" priority="2227" operator="equal">
      <formula>"C-Off-H"</formula>
    </cfRule>
    <cfRule type="cellIs" dxfId="2230" priority="2228" operator="equal">
      <formula>"C-Off"</formula>
    </cfRule>
    <cfRule type="cellIs" dxfId="2229" priority="2229" operator="equal">
      <formula>"CL-H"</formula>
    </cfRule>
    <cfRule type="cellIs" dxfId="2228" priority="2230" operator="equal">
      <formula>"EL-H"</formula>
    </cfRule>
    <cfRule type="cellIs" dxfId="2227" priority="2231" operator="equal">
      <formula>"CL"</formula>
    </cfRule>
    <cfRule type="cellIs" dxfId="2226" priority="2232" operator="equal">
      <formula>"EL"</formula>
    </cfRule>
  </conditionalFormatting>
  <conditionalFormatting sqref="BU3:BV3">
    <cfRule type="containsText" dxfId="2225" priority="2221" operator="containsText" text="S">
      <formula>NOT(ISERROR(SEARCH("S",BU3)))</formula>
    </cfRule>
    <cfRule type="containsText" dxfId="2224" priority="2222" operator="containsText" text="P">
      <formula>NOT(ISERROR(SEARCH("P",BU3)))</formula>
    </cfRule>
    <cfRule type="containsText" dxfId="2223" priority="2223" operator="containsText" text="H">
      <formula>NOT(ISERROR(SEARCH("H",BU3)))</formula>
    </cfRule>
    <cfRule type="containsText" dxfId="2222" priority="2225" operator="containsText" text="&quot;H&quot;">
      <formula>NOT(ISERROR(SEARCH("""H""",BU3)))</formula>
    </cfRule>
    <cfRule type="containsText" dxfId="2221" priority="2226" operator="containsText" text="&quot;A&quot;">
      <formula>NOT(ISERROR(SEARCH("""A""",BU3)))</formula>
    </cfRule>
  </conditionalFormatting>
  <conditionalFormatting sqref="BU3:BV3">
    <cfRule type="containsText" dxfId="2220" priority="2224" operator="containsText" text="A-H">
      <formula>NOT(ISERROR(SEARCH("A-H",BU3)))</formula>
    </cfRule>
  </conditionalFormatting>
  <conditionalFormatting sqref="BY3">
    <cfRule type="cellIs" dxfId="2219" priority="2215" operator="equal">
      <formula>"C-Off-H"</formula>
    </cfRule>
    <cfRule type="cellIs" dxfId="2218" priority="2216" operator="equal">
      <formula>"C-Off"</formula>
    </cfRule>
    <cfRule type="cellIs" dxfId="2217" priority="2217" operator="equal">
      <formula>"CL-H"</formula>
    </cfRule>
    <cfRule type="cellIs" dxfId="2216" priority="2218" operator="equal">
      <formula>"EL-H"</formula>
    </cfRule>
    <cfRule type="cellIs" dxfId="2215" priority="2219" operator="equal">
      <formula>"CL"</formula>
    </cfRule>
    <cfRule type="cellIs" dxfId="2214" priority="2220" operator="equal">
      <formula>"EL"</formula>
    </cfRule>
  </conditionalFormatting>
  <conditionalFormatting sqref="BY3">
    <cfRule type="containsText" dxfId="2213" priority="2209" operator="containsText" text="S">
      <formula>NOT(ISERROR(SEARCH("S",BY3)))</formula>
    </cfRule>
    <cfRule type="containsText" dxfId="2212" priority="2210" operator="containsText" text="P">
      <formula>NOT(ISERROR(SEARCH("P",BY3)))</formula>
    </cfRule>
    <cfRule type="containsText" dxfId="2211" priority="2211" operator="containsText" text="H">
      <formula>NOT(ISERROR(SEARCH("H",BY3)))</formula>
    </cfRule>
    <cfRule type="containsText" dxfId="2210" priority="2213" operator="containsText" text="&quot;H&quot;">
      <formula>NOT(ISERROR(SEARCH("""H""",BY3)))</formula>
    </cfRule>
    <cfRule type="containsText" dxfId="2209" priority="2214" operator="containsText" text="&quot;A&quot;">
      <formula>NOT(ISERROR(SEARCH("""A""",BY3)))</formula>
    </cfRule>
  </conditionalFormatting>
  <conditionalFormatting sqref="BY3">
    <cfRule type="containsText" dxfId="2208" priority="2212" operator="containsText" text="A-H">
      <formula>NOT(ISERROR(SEARCH("A-H",BY3)))</formula>
    </cfRule>
  </conditionalFormatting>
  <conditionalFormatting sqref="BX3">
    <cfRule type="cellIs" dxfId="2207" priority="2203" operator="equal">
      <formula>"C-Off-H"</formula>
    </cfRule>
    <cfRule type="cellIs" dxfId="2206" priority="2204" operator="equal">
      <formula>"C-Off"</formula>
    </cfRule>
    <cfRule type="cellIs" dxfId="2205" priority="2205" operator="equal">
      <formula>"CL-H"</formula>
    </cfRule>
    <cfRule type="cellIs" dxfId="2204" priority="2206" operator="equal">
      <formula>"EL-H"</formula>
    </cfRule>
    <cfRule type="cellIs" dxfId="2203" priority="2207" operator="equal">
      <formula>"CL"</formula>
    </cfRule>
    <cfRule type="cellIs" dxfId="2202" priority="2208" operator="equal">
      <formula>"EL"</formula>
    </cfRule>
  </conditionalFormatting>
  <conditionalFormatting sqref="BX3">
    <cfRule type="containsText" dxfId="2201" priority="2197" operator="containsText" text="S">
      <formula>NOT(ISERROR(SEARCH("S",BX3)))</formula>
    </cfRule>
    <cfRule type="containsText" dxfId="2200" priority="2198" operator="containsText" text="P">
      <formula>NOT(ISERROR(SEARCH("P",BX3)))</formula>
    </cfRule>
    <cfRule type="containsText" dxfId="2199" priority="2199" operator="containsText" text="H">
      <formula>NOT(ISERROR(SEARCH("H",BX3)))</formula>
    </cfRule>
    <cfRule type="containsText" dxfId="2198" priority="2201" operator="containsText" text="&quot;H&quot;">
      <formula>NOT(ISERROR(SEARCH("""H""",BX3)))</formula>
    </cfRule>
    <cfRule type="containsText" dxfId="2197" priority="2202" operator="containsText" text="&quot;A&quot;">
      <formula>NOT(ISERROR(SEARCH("""A""",BX3)))</formula>
    </cfRule>
  </conditionalFormatting>
  <conditionalFormatting sqref="BX3">
    <cfRule type="containsText" dxfId="2196" priority="2200" operator="containsText" text="A-H">
      <formula>NOT(ISERROR(SEARCH("A-H",BX3)))</formula>
    </cfRule>
  </conditionalFormatting>
  <conditionalFormatting sqref="J3:K3">
    <cfRule type="cellIs" dxfId="2195" priority="2191" operator="equal">
      <formula>"C-Off-H"</formula>
    </cfRule>
    <cfRule type="cellIs" dxfId="2194" priority="2192" operator="equal">
      <formula>"C-Off"</formula>
    </cfRule>
    <cfRule type="cellIs" dxfId="2193" priority="2193" operator="equal">
      <formula>"CL-H"</formula>
    </cfRule>
    <cfRule type="cellIs" dxfId="2192" priority="2194" operator="equal">
      <formula>"EL-H"</formula>
    </cfRule>
    <cfRule type="cellIs" dxfId="2191" priority="2195" operator="equal">
      <formula>"CL"</formula>
    </cfRule>
    <cfRule type="cellIs" dxfId="2190" priority="2196" operator="equal">
      <formula>"EL"</formula>
    </cfRule>
  </conditionalFormatting>
  <conditionalFormatting sqref="J3:K3">
    <cfRule type="containsText" dxfId="2189" priority="2185" operator="containsText" text="S">
      <formula>NOT(ISERROR(SEARCH("S",J3)))</formula>
    </cfRule>
    <cfRule type="containsText" dxfId="2188" priority="2186" operator="containsText" text="P">
      <formula>NOT(ISERROR(SEARCH("P",J3)))</formula>
    </cfRule>
    <cfRule type="containsText" dxfId="2187" priority="2187" operator="containsText" text="H">
      <formula>NOT(ISERROR(SEARCH("H",J3)))</formula>
    </cfRule>
    <cfRule type="containsText" dxfId="2186" priority="2189" operator="containsText" text="&quot;H&quot;">
      <formula>NOT(ISERROR(SEARCH("""H""",J3)))</formula>
    </cfRule>
    <cfRule type="containsText" dxfId="2185" priority="2190" operator="containsText" text="&quot;A&quot;">
      <formula>NOT(ISERROR(SEARCH("""A""",J3)))</formula>
    </cfRule>
  </conditionalFormatting>
  <conditionalFormatting sqref="J3:K3">
    <cfRule type="containsText" dxfId="2184" priority="2188" operator="containsText" text="A-H">
      <formula>NOT(ISERROR(SEARCH("A-H",J3)))</formula>
    </cfRule>
  </conditionalFormatting>
  <conditionalFormatting sqref="G4:H4">
    <cfRule type="cellIs" dxfId="2183" priority="2179" operator="equal">
      <formula>"C-Off-H"</formula>
    </cfRule>
    <cfRule type="cellIs" dxfId="2182" priority="2180" operator="equal">
      <formula>"C-Off"</formula>
    </cfRule>
    <cfRule type="cellIs" dxfId="2181" priority="2181" operator="equal">
      <formula>"CL-H"</formula>
    </cfRule>
    <cfRule type="cellIs" dxfId="2180" priority="2182" operator="equal">
      <formula>"EL-H"</formula>
    </cfRule>
    <cfRule type="cellIs" dxfId="2179" priority="2183" operator="equal">
      <formula>"CL"</formula>
    </cfRule>
    <cfRule type="cellIs" dxfId="2178" priority="2184" operator="equal">
      <formula>"EL"</formula>
    </cfRule>
  </conditionalFormatting>
  <conditionalFormatting sqref="G4:H4">
    <cfRule type="containsText" dxfId="2177" priority="2178" operator="containsText" text="A-H">
      <formula>NOT(ISERROR(SEARCH("A-H",G4)))</formula>
    </cfRule>
  </conditionalFormatting>
  <conditionalFormatting sqref="G4:H4">
    <cfRule type="containsText" dxfId="2176" priority="2173" operator="containsText" text="S">
      <formula>NOT(ISERROR(SEARCH("S",G4)))</formula>
    </cfRule>
    <cfRule type="containsText" dxfId="2175" priority="2174" operator="containsText" text="P">
      <formula>NOT(ISERROR(SEARCH("P",G4)))</formula>
    </cfRule>
    <cfRule type="containsText" dxfId="2174" priority="2175" operator="containsText" text="H">
      <formula>NOT(ISERROR(SEARCH("H",G4)))</formula>
    </cfRule>
    <cfRule type="containsText" dxfId="2173" priority="2176" operator="containsText" text="&quot;H&quot;">
      <formula>NOT(ISERROR(SEARCH("""H""",G4)))</formula>
    </cfRule>
    <cfRule type="containsText" dxfId="2172" priority="2177" operator="containsText" text="&quot;A&quot;">
      <formula>NOT(ISERROR(SEARCH("""A""",G4)))</formula>
    </cfRule>
  </conditionalFormatting>
  <conditionalFormatting sqref="G31:H31">
    <cfRule type="cellIs" dxfId="2171" priority="2167" operator="equal">
      <formula>"C-Off-H"</formula>
    </cfRule>
    <cfRule type="cellIs" dxfId="2170" priority="2168" operator="equal">
      <formula>"C-Off"</formula>
    </cfRule>
    <cfRule type="cellIs" dxfId="2169" priority="2169" operator="equal">
      <formula>"CL-H"</formula>
    </cfRule>
    <cfRule type="cellIs" dxfId="2168" priority="2170" operator="equal">
      <formula>"EL-H"</formula>
    </cfRule>
    <cfRule type="cellIs" dxfId="2167" priority="2171" operator="equal">
      <formula>"CL"</formula>
    </cfRule>
    <cfRule type="cellIs" dxfId="2166" priority="2172" operator="equal">
      <formula>"EL"</formula>
    </cfRule>
  </conditionalFormatting>
  <conditionalFormatting sqref="G31:H31">
    <cfRule type="containsText" dxfId="2165" priority="2161" operator="containsText" text="S">
      <formula>NOT(ISERROR(SEARCH("S",G31)))</formula>
    </cfRule>
    <cfRule type="containsText" dxfId="2164" priority="2162" operator="containsText" text="P">
      <formula>NOT(ISERROR(SEARCH("P",G31)))</formula>
    </cfRule>
    <cfRule type="containsText" dxfId="2163" priority="2163" operator="containsText" text="H">
      <formula>NOT(ISERROR(SEARCH("H",G31)))</formula>
    </cfRule>
    <cfRule type="containsText" dxfId="2162" priority="2165" operator="containsText" text="&quot;H&quot;">
      <formula>NOT(ISERROR(SEARCH("""H""",G31)))</formula>
    </cfRule>
    <cfRule type="containsText" dxfId="2161" priority="2166" operator="containsText" text="&quot;A&quot;">
      <formula>NOT(ISERROR(SEARCH("""A""",G31)))</formula>
    </cfRule>
  </conditionalFormatting>
  <conditionalFormatting sqref="G31:H31">
    <cfRule type="containsText" dxfId="2160" priority="2164" operator="containsText" text="A-H">
      <formula>NOT(ISERROR(SEARCH("A-H",G31)))</formula>
    </cfRule>
  </conditionalFormatting>
  <conditionalFormatting sqref="G32:H32">
    <cfRule type="cellIs" dxfId="2159" priority="2155" operator="equal">
      <formula>"C-Off-H"</formula>
    </cfRule>
    <cfRule type="cellIs" dxfId="2158" priority="2156" operator="equal">
      <formula>"C-Off"</formula>
    </cfRule>
    <cfRule type="cellIs" dxfId="2157" priority="2157" operator="equal">
      <formula>"CL-H"</formula>
    </cfRule>
    <cfRule type="cellIs" dxfId="2156" priority="2158" operator="equal">
      <formula>"EL-H"</formula>
    </cfRule>
    <cfRule type="cellIs" dxfId="2155" priority="2159" operator="equal">
      <formula>"CL"</formula>
    </cfRule>
    <cfRule type="cellIs" dxfId="2154" priority="2160" operator="equal">
      <formula>"EL"</formula>
    </cfRule>
  </conditionalFormatting>
  <conditionalFormatting sqref="G32:H32">
    <cfRule type="containsText" dxfId="2153" priority="2149" operator="containsText" text="S">
      <formula>NOT(ISERROR(SEARCH("S",G32)))</formula>
    </cfRule>
    <cfRule type="containsText" dxfId="2152" priority="2150" operator="containsText" text="P">
      <formula>NOT(ISERROR(SEARCH("P",G32)))</formula>
    </cfRule>
    <cfRule type="containsText" dxfId="2151" priority="2151" operator="containsText" text="H">
      <formula>NOT(ISERROR(SEARCH("H",G32)))</formula>
    </cfRule>
    <cfRule type="containsText" dxfId="2150" priority="2153" operator="containsText" text="&quot;H&quot;">
      <formula>NOT(ISERROR(SEARCH("""H""",G32)))</formula>
    </cfRule>
    <cfRule type="containsText" dxfId="2149" priority="2154" operator="containsText" text="&quot;A&quot;">
      <formula>NOT(ISERROR(SEARCH("""A""",G32)))</formula>
    </cfRule>
  </conditionalFormatting>
  <conditionalFormatting sqref="G32:H32">
    <cfRule type="containsText" dxfId="2148" priority="2152" operator="containsText" text="A-H">
      <formula>NOT(ISERROR(SEARCH("A-H",G32)))</formula>
    </cfRule>
  </conditionalFormatting>
  <conditionalFormatting sqref="G3:H3">
    <cfRule type="cellIs" dxfId="2147" priority="2143" operator="equal">
      <formula>"C-Off-H"</formula>
    </cfRule>
    <cfRule type="cellIs" dxfId="2146" priority="2144" operator="equal">
      <formula>"C-Off"</formula>
    </cfRule>
    <cfRule type="cellIs" dxfId="2145" priority="2145" operator="equal">
      <formula>"CL-H"</formula>
    </cfRule>
    <cfRule type="cellIs" dxfId="2144" priority="2146" operator="equal">
      <formula>"EL-H"</formula>
    </cfRule>
    <cfRule type="cellIs" dxfId="2143" priority="2147" operator="equal">
      <formula>"CL"</formula>
    </cfRule>
    <cfRule type="cellIs" dxfId="2142" priority="2148" operator="equal">
      <formula>"EL"</formula>
    </cfRule>
  </conditionalFormatting>
  <conditionalFormatting sqref="G3:H3">
    <cfRule type="containsText" dxfId="2141" priority="2137" operator="containsText" text="S">
      <formula>NOT(ISERROR(SEARCH("S",G3)))</formula>
    </cfRule>
    <cfRule type="containsText" dxfId="2140" priority="2138" operator="containsText" text="P">
      <formula>NOT(ISERROR(SEARCH("P",G3)))</formula>
    </cfRule>
    <cfRule type="containsText" dxfId="2139" priority="2139" operator="containsText" text="H">
      <formula>NOT(ISERROR(SEARCH("H",G3)))</formula>
    </cfRule>
    <cfRule type="containsText" dxfId="2138" priority="2141" operator="containsText" text="&quot;H&quot;">
      <formula>NOT(ISERROR(SEARCH("""H""",G3)))</formula>
    </cfRule>
    <cfRule type="containsText" dxfId="2137" priority="2142" operator="containsText" text="&quot;A&quot;">
      <formula>NOT(ISERROR(SEARCH("""A""",G3)))</formula>
    </cfRule>
  </conditionalFormatting>
  <conditionalFormatting sqref="G3:H3">
    <cfRule type="containsText" dxfId="2136" priority="2140" operator="containsText" text="A-H">
      <formula>NOT(ISERROR(SEARCH("A-H",G3)))</formula>
    </cfRule>
  </conditionalFormatting>
  <conditionalFormatting sqref="F3:F32">
    <cfRule type="cellIs" dxfId="2135" priority="2131" operator="equal">
      <formula>"C-Off-H"</formula>
    </cfRule>
    <cfRule type="cellIs" dxfId="2134" priority="2132" operator="equal">
      <formula>"C-Off"</formula>
    </cfRule>
    <cfRule type="cellIs" dxfId="2133" priority="2133" operator="equal">
      <formula>"CL-H"</formula>
    </cfRule>
    <cfRule type="cellIs" dxfId="2132" priority="2134" operator="equal">
      <formula>"EL-H"</formula>
    </cfRule>
    <cfRule type="cellIs" dxfId="2131" priority="2135" operator="equal">
      <formula>"CL"</formula>
    </cfRule>
    <cfRule type="cellIs" dxfId="2130" priority="2136" operator="equal">
      <formula>"EL"</formula>
    </cfRule>
  </conditionalFormatting>
  <conditionalFormatting sqref="F3:F32">
    <cfRule type="containsText" dxfId="2129" priority="2130" operator="containsText" text="A-H">
      <formula>NOT(ISERROR(SEARCH("A-H",F3)))</formula>
    </cfRule>
  </conditionalFormatting>
  <conditionalFormatting sqref="F3:F32">
    <cfRule type="containsText" dxfId="2128" priority="2129" operator="containsText" text="A">
      <formula>NOT(ISERROR(SEARCH("A",F3)))</formula>
    </cfRule>
  </conditionalFormatting>
  <conditionalFormatting sqref="F3:F32">
    <cfRule type="containsText" dxfId="2127" priority="2124" operator="containsText" text="S">
      <formula>NOT(ISERROR(SEARCH("S",F3)))</formula>
    </cfRule>
    <cfRule type="containsText" dxfId="2126" priority="2125" operator="containsText" text="P">
      <formula>NOT(ISERROR(SEARCH("P",F3)))</formula>
    </cfRule>
    <cfRule type="containsText" dxfId="2125" priority="2126" operator="containsText" text="H">
      <formula>NOT(ISERROR(SEARCH("H",F3)))</formula>
    </cfRule>
    <cfRule type="containsText" dxfId="2124" priority="2127" operator="containsText" text="&quot;H&quot;">
      <formula>NOT(ISERROR(SEARCH("""H""",F3)))</formula>
    </cfRule>
    <cfRule type="containsText" dxfId="2123" priority="2128" operator="containsText" text="&quot;A&quot;">
      <formula>NOT(ISERROR(SEARCH("""A""",F3)))</formula>
    </cfRule>
  </conditionalFormatting>
  <conditionalFormatting sqref="I3:I32">
    <cfRule type="cellIs" dxfId="2122" priority="2118" operator="equal">
      <formula>"C-Off-H"</formula>
    </cfRule>
    <cfRule type="cellIs" dxfId="2121" priority="2119" operator="equal">
      <formula>"C-Off"</formula>
    </cfRule>
    <cfRule type="cellIs" dxfId="2120" priority="2120" operator="equal">
      <formula>"CL-H"</formula>
    </cfRule>
    <cfRule type="cellIs" dxfId="2119" priority="2121" operator="equal">
      <formula>"EL-H"</formula>
    </cfRule>
    <cfRule type="cellIs" dxfId="2118" priority="2122" operator="equal">
      <formula>"CL"</formula>
    </cfRule>
    <cfRule type="cellIs" dxfId="2117" priority="2123" operator="equal">
      <formula>"EL"</formula>
    </cfRule>
  </conditionalFormatting>
  <conditionalFormatting sqref="I3:I32">
    <cfRule type="containsText" dxfId="2116" priority="2117" operator="containsText" text="A-H">
      <formula>NOT(ISERROR(SEARCH("A-H",I3)))</formula>
    </cfRule>
  </conditionalFormatting>
  <conditionalFormatting sqref="I3:I32">
    <cfRule type="containsText" dxfId="2115" priority="2116" operator="containsText" text="A">
      <formula>NOT(ISERROR(SEARCH("A",I3)))</formula>
    </cfRule>
  </conditionalFormatting>
  <conditionalFormatting sqref="I3:I32">
    <cfRule type="containsText" dxfId="2114" priority="2111" operator="containsText" text="S">
      <formula>NOT(ISERROR(SEARCH("S",I3)))</formula>
    </cfRule>
    <cfRule type="containsText" dxfId="2113" priority="2112" operator="containsText" text="P">
      <formula>NOT(ISERROR(SEARCH("P",I3)))</formula>
    </cfRule>
    <cfRule type="containsText" dxfId="2112" priority="2113" operator="containsText" text="H">
      <formula>NOT(ISERROR(SEARCH("H",I3)))</formula>
    </cfRule>
    <cfRule type="containsText" dxfId="2111" priority="2114" operator="containsText" text="&quot;H&quot;">
      <formula>NOT(ISERROR(SEARCH("""H""",I3)))</formula>
    </cfRule>
    <cfRule type="containsText" dxfId="2110" priority="2115" operator="containsText" text="&quot;A&quot;">
      <formula>NOT(ISERROR(SEARCH("""A""",I3)))</formula>
    </cfRule>
  </conditionalFormatting>
  <conditionalFormatting sqref="O3:O4 O31">
    <cfRule type="cellIs" dxfId="2109" priority="2105" operator="equal">
      <formula>"C-Off-H"</formula>
    </cfRule>
    <cfRule type="cellIs" dxfId="2108" priority="2106" operator="equal">
      <formula>"C-Off"</formula>
    </cfRule>
    <cfRule type="cellIs" dxfId="2107" priority="2107" operator="equal">
      <formula>"CL-H"</formula>
    </cfRule>
    <cfRule type="cellIs" dxfId="2106" priority="2108" operator="equal">
      <formula>"EL-H"</formula>
    </cfRule>
    <cfRule type="cellIs" dxfId="2105" priority="2109" operator="equal">
      <formula>"CL"</formula>
    </cfRule>
    <cfRule type="cellIs" dxfId="2104" priority="2110" operator="equal">
      <formula>"EL"</formula>
    </cfRule>
  </conditionalFormatting>
  <conditionalFormatting sqref="O3:O4 O31">
    <cfRule type="containsText" dxfId="2103" priority="2104" operator="containsText" text="A-H">
      <formula>NOT(ISERROR(SEARCH("A-H",O3)))</formula>
    </cfRule>
  </conditionalFormatting>
  <conditionalFormatting sqref="O3:O4 O31">
    <cfRule type="containsText" dxfId="2102" priority="2103" operator="containsText" text="A">
      <formula>NOT(ISERROR(SEARCH("A",O3)))</formula>
    </cfRule>
  </conditionalFormatting>
  <conditionalFormatting sqref="O3:O4 O31">
    <cfRule type="containsText" dxfId="2101" priority="2098" operator="containsText" text="S">
      <formula>NOT(ISERROR(SEARCH("S",O3)))</formula>
    </cfRule>
    <cfRule type="containsText" dxfId="2100" priority="2099" operator="containsText" text="P">
      <formula>NOT(ISERROR(SEARCH("P",O3)))</formula>
    </cfRule>
    <cfRule type="containsText" dxfId="2099" priority="2100" operator="containsText" text="H">
      <formula>NOT(ISERROR(SEARCH("H",O3)))</formula>
    </cfRule>
    <cfRule type="containsText" dxfId="2098" priority="2101" operator="containsText" text="&quot;H&quot;">
      <formula>NOT(ISERROR(SEARCH("""H""",O3)))</formula>
    </cfRule>
    <cfRule type="containsText" dxfId="2097" priority="2102" operator="containsText" text="&quot;A&quot;">
      <formula>NOT(ISERROR(SEARCH("""A""",O3)))</formula>
    </cfRule>
  </conditionalFormatting>
  <conditionalFormatting sqref="O32">
    <cfRule type="cellIs" dxfId="2096" priority="2092" operator="equal">
      <formula>"C-Off-H"</formula>
    </cfRule>
    <cfRule type="cellIs" dxfId="2095" priority="2093" operator="equal">
      <formula>"C-Off"</formula>
    </cfRule>
    <cfRule type="cellIs" dxfId="2094" priority="2094" operator="equal">
      <formula>"CL-H"</formula>
    </cfRule>
    <cfRule type="cellIs" dxfId="2093" priority="2095" operator="equal">
      <formula>"EL-H"</formula>
    </cfRule>
    <cfRule type="cellIs" dxfId="2092" priority="2096" operator="equal">
      <formula>"CL"</formula>
    </cfRule>
    <cfRule type="cellIs" dxfId="2091" priority="2097" operator="equal">
      <formula>"EL"</formula>
    </cfRule>
  </conditionalFormatting>
  <conditionalFormatting sqref="O32">
    <cfRule type="containsText" dxfId="2090" priority="2091" operator="containsText" text="A-H">
      <formula>NOT(ISERROR(SEARCH("A-H",O32)))</formula>
    </cfRule>
  </conditionalFormatting>
  <conditionalFormatting sqref="O32">
    <cfRule type="containsText" dxfId="2089" priority="2090" operator="containsText" text="A">
      <formula>NOT(ISERROR(SEARCH("A",O32)))</formula>
    </cfRule>
  </conditionalFormatting>
  <conditionalFormatting sqref="O32">
    <cfRule type="containsText" dxfId="2088" priority="2085" operator="containsText" text="S">
      <formula>NOT(ISERROR(SEARCH("S",O32)))</formula>
    </cfRule>
    <cfRule type="containsText" dxfId="2087" priority="2086" operator="containsText" text="P">
      <formula>NOT(ISERROR(SEARCH("P",O32)))</formula>
    </cfRule>
    <cfRule type="containsText" dxfId="2086" priority="2087" operator="containsText" text="H">
      <formula>NOT(ISERROR(SEARCH("H",O32)))</formula>
    </cfRule>
    <cfRule type="containsText" dxfId="2085" priority="2088" operator="containsText" text="&quot;H&quot;">
      <formula>NOT(ISERROR(SEARCH("""H""",O32)))</formula>
    </cfRule>
    <cfRule type="containsText" dxfId="2084" priority="2089" operator="containsText" text="&quot;A&quot;">
      <formula>NOT(ISERROR(SEARCH("""A""",O32)))</formula>
    </cfRule>
  </conditionalFormatting>
  <conditionalFormatting sqref="BU6:BV6">
    <cfRule type="containsText" dxfId="2083" priority="1116" operator="containsText" text="A-H">
      <formula>NOT(ISERROR(SEARCH("A-H",BU6)))</formula>
    </cfRule>
  </conditionalFormatting>
  <conditionalFormatting sqref="AJ3:AJ4 AJ31">
    <cfRule type="cellIs" dxfId="2082" priority="2079" operator="equal">
      <formula>"C-Off-H"</formula>
    </cfRule>
    <cfRule type="cellIs" dxfId="2081" priority="2080" operator="equal">
      <formula>"C-Off"</formula>
    </cfRule>
    <cfRule type="cellIs" dxfId="2080" priority="2081" operator="equal">
      <formula>"CL-H"</formula>
    </cfRule>
    <cfRule type="cellIs" dxfId="2079" priority="2082" operator="equal">
      <formula>"EL-H"</formula>
    </cfRule>
    <cfRule type="cellIs" dxfId="2078" priority="2083" operator="equal">
      <formula>"CL"</formula>
    </cfRule>
    <cfRule type="cellIs" dxfId="2077" priority="2084" operator="equal">
      <formula>"EL"</formula>
    </cfRule>
  </conditionalFormatting>
  <conditionalFormatting sqref="AJ3:AJ4 AJ31">
    <cfRule type="containsText" dxfId="2076" priority="2078" operator="containsText" text="A-H">
      <formula>NOT(ISERROR(SEARCH("A-H",AJ3)))</formula>
    </cfRule>
  </conditionalFormatting>
  <conditionalFormatting sqref="AJ3:AJ4 AJ31">
    <cfRule type="containsText" dxfId="2075" priority="2077" operator="containsText" text="A">
      <formula>NOT(ISERROR(SEARCH("A",AJ3)))</formula>
    </cfRule>
  </conditionalFormatting>
  <conditionalFormatting sqref="AJ3:AJ4 AJ31">
    <cfRule type="containsText" dxfId="2074" priority="2072" operator="containsText" text="S">
      <formula>NOT(ISERROR(SEARCH("S",AJ3)))</formula>
    </cfRule>
    <cfRule type="containsText" dxfId="2073" priority="2073" operator="containsText" text="P">
      <formula>NOT(ISERROR(SEARCH("P",AJ3)))</formula>
    </cfRule>
    <cfRule type="containsText" dxfId="2072" priority="2074" operator="containsText" text="H">
      <formula>NOT(ISERROR(SEARCH("H",AJ3)))</formula>
    </cfRule>
    <cfRule type="containsText" dxfId="2071" priority="2075" operator="containsText" text="&quot;H&quot;">
      <formula>NOT(ISERROR(SEARCH("""H""",AJ3)))</formula>
    </cfRule>
    <cfRule type="containsText" dxfId="2070" priority="2076" operator="containsText" text="&quot;A&quot;">
      <formula>NOT(ISERROR(SEARCH("""A""",AJ3)))</formula>
    </cfRule>
  </conditionalFormatting>
  <conditionalFormatting sqref="AJ32">
    <cfRule type="cellIs" dxfId="2069" priority="2066" operator="equal">
      <formula>"C-Off-H"</formula>
    </cfRule>
    <cfRule type="cellIs" dxfId="2068" priority="2067" operator="equal">
      <formula>"C-Off"</formula>
    </cfRule>
    <cfRule type="cellIs" dxfId="2067" priority="2068" operator="equal">
      <formula>"CL-H"</formula>
    </cfRule>
    <cfRule type="cellIs" dxfId="2066" priority="2069" operator="equal">
      <formula>"EL-H"</formula>
    </cfRule>
    <cfRule type="cellIs" dxfId="2065" priority="2070" operator="equal">
      <formula>"CL"</formula>
    </cfRule>
    <cfRule type="cellIs" dxfId="2064" priority="2071" operator="equal">
      <formula>"EL"</formula>
    </cfRule>
  </conditionalFormatting>
  <conditionalFormatting sqref="AJ32">
    <cfRule type="containsText" dxfId="2063" priority="2065" operator="containsText" text="A-H">
      <formula>NOT(ISERROR(SEARCH("A-H",AJ32)))</formula>
    </cfRule>
  </conditionalFormatting>
  <conditionalFormatting sqref="AJ32">
    <cfRule type="containsText" dxfId="2062" priority="2064" operator="containsText" text="A">
      <formula>NOT(ISERROR(SEARCH("A",AJ32)))</formula>
    </cfRule>
  </conditionalFormatting>
  <conditionalFormatting sqref="AJ32">
    <cfRule type="containsText" dxfId="2061" priority="2059" operator="containsText" text="S">
      <formula>NOT(ISERROR(SEARCH("S",AJ32)))</formula>
    </cfRule>
    <cfRule type="containsText" dxfId="2060" priority="2060" operator="containsText" text="P">
      <formula>NOT(ISERROR(SEARCH("P",AJ32)))</formula>
    </cfRule>
    <cfRule type="containsText" dxfId="2059" priority="2061" operator="containsText" text="H">
      <formula>NOT(ISERROR(SEARCH("H",AJ32)))</formula>
    </cfRule>
    <cfRule type="containsText" dxfId="2058" priority="2062" operator="containsText" text="&quot;H&quot;">
      <formula>NOT(ISERROR(SEARCH("""H""",AJ32)))</formula>
    </cfRule>
    <cfRule type="containsText" dxfId="2057" priority="2063" operator="containsText" text="&quot;A&quot;">
      <formula>NOT(ISERROR(SEARCH("""A""",AJ32)))</formula>
    </cfRule>
  </conditionalFormatting>
  <conditionalFormatting sqref="O5">
    <cfRule type="cellIs" dxfId="2056" priority="1039" operator="equal">
      <formula>"C-Off-H"</formula>
    </cfRule>
    <cfRule type="cellIs" dxfId="2055" priority="1040" operator="equal">
      <formula>"C-Off"</formula>
    </cfRule>
    <cfRule type="cellIs" dxfId="2054" priority="1041" operator="equal">
      <formula>"CL-H"</formula>
    </cfRule>
    <cfRule type="cellIs" dxfId="2053" priority="1042" operator="equal">
      <formula>"EL-H"</formula>
    </cfRule>
    <cfRule type="cellIs" dxfId="2052" priority="1043" operator="equal">
      <formula>"CL"</formula>
    </cfRule>
    <cfRule type="cellIs" dxfId="2051" priority="1044" operator="equal">
      <formula>"EL"</formula>
    </cfRule>
  </conditionalFormatting>
  <conditionalFormatting sqref="O5">
    <cfRule type="containsText" dxfId="2050" priority="1038" operator="containsText" text="A-H">
      <formula>NOT(ISERROR(SEARCH("A-H",O5)))</formula>
    </cfRule>
  </conditionalFormatting>
  <conditionalFormatting sqref="O5">
    <cfRule type="containsText" dxfId="2049" priority="1037" operator="containsText" text="A">
      <formula>NOT(ISERROR(SEARCH("A",O5)))</formula>
    </cfRule>
  </conditionalFormatting>
  <conditionalFormatting sqref="O5">
    <cfRule type="containsText" dxfId="2048" priority="1032" operator="containsText" text="S">
      <formula>NOT(ISERROR(SEARCH("S",O5)))</formula>
    </cfRule>
    <cfRule type="containsText" dxfId="2047" priority="1033" operator="containsText" text="P">
      <formula>NOT(ISERROR(SEARCH("P",O5)))</formula>
    </cfRule>
    <cfRule type="containsText" dxfId="2046" priority="1034" operator="containsText" text="H">
      <formula>NOT(ISERROR(SEARCH("H",O5)))</formula>
    </cfRule>
    <cfRule type="containsText" dxfId="2045" priority="1035" operator="containsText" text="&quot;H&quot;">
      <formula>NOT(ISERROR(SEARCH("""H""",O5)))</formula>
    </cfRule>
    <cfRule type="containsText" dxfId="2044" priority="1036" operator="containsText" text="&quot;A&quot;">
      <formula>NOT(ISERROR(SEARCH("""A""",O5)))</formula>
    </cfRule>
  </conditionalFormatting>
  <conditionalFormatting sqref="O6">
    <cfRule type="cellIs" dxfId="2043" priority="1026" operator="equal">
      <formula>"C-Off-H"</formula>
    </cfRule>
    <cfRule type="cellIs" dxfId="2042" priority="1027" operator="equal">
      <formula>"C-Off"</formula>
    </cfRule>
    <cfRule type="cellIs" dxfId="2041" priority="1028" operator="equal">
      <formula>"CL-H"</formula>
    </cfRule>
    <cfRule type="cellIs" dxfId="2040" priority="1029" operator="equal">
      <formula>"EL-H"</formula>
    </cfRule>
    <cfRule type="cellIs" dxfId="2039" priority="1030" operator="equal">
      <formula>"CL"</formula>
    </cfRule>
    <cfRule type="cellIs" dxfId="2038" priority="1031" operator="equal">
      <formula>"EL"</formula>
    </cfRule>
  </conditionalFormatting>
  <conditionalFormatting sqref="O6">
    <cfRule type="containsText" dxfId="2037" priority="1025" operator="containsText" text="A-H">
      <formula>NOT(ISERROR(SEARCH("A-H",O6)))</formula>
    </cfRule>
  </conditionalFormatting>
  <conditionalFormatting sqref="O6">
    <cfRule type="containsText" dxfId="2036" priority="1024" operator="containsText" text="A">
      <formula>NOT(ISERROR(SEARCH("A",O6)))</formula>
    </cfRule>
  </conditionalFormatting>
  <conditionalFormatting sqref="O6">
    <cfRule type="containsText" dxfId="2035" priority="1019" operator="containsText" text="S">
      <formula>NOT(ISERROR(SEARCH("S",O6)))</formula>
    </cfRule>
    <cfRule type="containsText" dxfId="2034" priority="1020" operator="containsText" text="P">
      <formula>NOT(ISERROR(SEARCH("P",O6)))</formula>
    </cfRule>
    <cfRule type="containsText" dxfId="2033" priority="1021" operator="containsText" text="H">
      <formula>NOT(ISERROR(SEARCH("H",O6)))</formula>
    </cfRule>
    <cfRule type="containsText" dxfId="2032" priority="1022" operator="containsText" text="&quot;H&quot;">
      <formula>NOT(ISERROR(SEARCH("""H""",O6)))</formula>
    </cfRule>
    <cfRule type="containsText" dxfId="2031" priority="1023" operator="containsText" text="&quot;A&quot;">
      <formula>NOT(ISERROR(SEARCH("""A""",O6)))</formula>
    </cfRule>
  </conditionalFormatting>
  <conditionalFormatting sqref="AV3:AV4 AV31">
    <cfRule type="cellIs" dxfId="2030" priority="2053" operator="equal">
      <formula>"C-Off-H"</formula>
    </cfRule>
    <cfRule type="cellIs" dxfId="2029" priority="2054" operator="equal">
      <formula>"C-Off"</formula>
    </cfRule>
    <cfRule type="cellIs" dxfId="2028" priority="2055" operator="equal">
      <formula>"CL-H"</formula>
    </cfRule>
    <cfRule type="cellIs" dxfId="2027" priority="2056" operator="equal">
      <formula>"EL-H"</formula>
    </cfRule>
    <cfRule type="cellIs" dxfId="2026" priority="2057" operator="equal">
      <formula>"CL"</formula>
    </cfRule>
    <cfRule type="cellIs" dxfId="2025" priority="2058" operator="equal">
      <formula>"EL"</formula>
    </cfRule>
  </conditionalFormatting>
  <conditionalFormatting sqref="AV3:AV4 AV31">
    <cfRule type="containsText" dxfId="2024" priority="2052" operator="containsText" text="A-H">
      <formula>NOT(ISERROR(SEARCH("A-H",AV3)))</formula>
    </cfRule>
  </conditionalFormatting>
  <conditionalFormatting sqref="AV3:AV4 AV31">
    <cfRule type="containsText" dxfId="2023" priority="2051" operator="containsText" text="A">
      <formula>NOT(ISERROR(SEARCH("A",AV3)))</formula>
    </cfRule>
  </conditionalFormatting>
  <conditionalFormatting sqref="AV3:AV4 AV31">
    <cfRule type="containsText" dxfId="2022" priority="2046" operator="containsText" text="S">
      <formula>NOT(ISERROR(SEARCH("S",AV3)))</formula>
    </cfRule>
    <cfRule type="containsText" dxfId="2021" priority="2047" operator="containsText" text="P">
      <formula>NOT(ISERROR(SEARCH("P",AV3)))</formula>
    </cfRule>
    <cfRule type="containsText" dxfId="2020" priority="2048" operator="containsText" text="H">
      <formula>NOT(ISERROR(SEARCH("H",AV3)))</formula>
    </cfRule>
    <cfRule type="containsText" dxfId="2019" priority="2049" operator="containsText" text="&quot;H&quot;">
      <formula>NOT(ISERROR(SEARCH("""H""",AV3)))</formula>
    </cfRule>
    <cfRule type="containsText" dxfId="2018" priority="2050" operator="containsText" text="&quot;A&quot;">
      <formula>NOT(ISERROR(SEARCH("""A""",AV3)))</formula>
    </cfRule>
  </conditionalFormatting>
  <conditionalFormatting sqref="AV32">
    <cfRule type="cellIs" dxfId="2017" priority="2040" operator="equal">
      <formula>"C-Off-H"</formula>
    </cfRule>
    <cfRule type="cellIs" dxfId="2016" priority="2041" operator="equal">
      <formula>"C-Off"</formula>
    </cfRule>
    <cfRule type="cellIs" dxfId="2015" priority="2042" operator="equal">
      <formula>"CL-H"</formula>
    </cfRule>
    <cfRule type="cellIs" dxfId="2014" priority="2043" operator="equal">
      <formula>"EL-H"</formula>
    </cfRule>
    <cfRule type="cellIs" dxfId="2013" priority="2044" operator="equal">
      <formula>"CL"</formula>
    </cfRule>
    <cfRule type="cellIs" dxfId="2012" priority="2045" operator="equal">
      <formula>"EL"</formula>
    </cfRule>
  </conditionalFormatting>
  <conditionalFormatting sqref="AV32">
    <cfRule type="containsText" dxfId="2011" priority="2039" operator="containsText" text="A-H">
      <formula>NOT(ISERROR(SEARCH("A-H",AV32)))</formula>
    </cfRule>
  </conditionalFormatting>
  <conditionalFormatting sqref="AV32">
    <cfRule type="containsText" dxfId="2010" priority="2038" operator="containsText" text="A">
      <formula>NOT(ISERROR(SEARCH("A",AV32)))</formula>
    </cfRule>
  </conditionalFormatting>
  <conditionalFormatting sqref="AV32">
    <cfRule type="containsText" dxfId="2009" priority="2033" operator="containsText" text="S">
      <formula>NOT(ISERROR(SEARCH("S",AV32)))</formula>
    </cfRule>
    <cfRule type="containsText" dxfId="2008" priority="2034" operator="containsText" text="P">
      <formula>NOT(ISERROR(SEARCH("P",AV32)))</formula>
    </cfRule>
    <cfRule type="containsText" dxfId="2007" priority="2035" operator="containsText" text="H">
      <formula>NOT(ISERROR(SEARCH("H",AV32)))</formula>
    </cfRule>
    <cfRule type="containsText" dxfId="2006" priority="2036" operator="containsText" text="&quot;H&quot;">
      <formula>NOT(ISERROR(SEARCH("""H""",AV32)))</formula>
    </cfRule>
    <cfRule type="containsText" dxfId="2005" priority="2037" operator="containsText" text="&quot;A&quot;">
      <formula>NOT(ISERROR(SEARCH("""A""",AV32)))</formula>
    </cfRule>
  </conditionalFormatting>
  <conditionalFormatting sqref="BE3:BE4 BE31">
    <cfRule type="cellIs" dxfId="2004" priority="2027" operator="equal">
      <formula>"C-Off-H"</formula>
    </cfRule>
    <cfRule type="cellIs" dxfId="2003" priority="2028" operator="equal">
      <formula>"C-Off"</formula>
    </cfRule>
    <cfRule type="cellIs" dxfId="2002" priority="2029" operator="equal">
      <formula>"CL-H"</formula>
    </cfRule>
    <cfRule type="cellIs" dxfId="2001" priority="2030" operator="equal">
      <formula>"EL-H"</formula>
    </cfRule>
    <cfRule type="cellIs" dxfId="2000" priority="2031" operator="equal">
      <formula>"CL"</formula>
    </cfRule>
    <cfRule type="cellIs" dxfId="1999" priority="2032" operator="equal">
      <formula>"EL"</formula>
    </cfRule>
  </conditionalFormatting>
  <conditionalFormatting sqref="BE3:BE4 BE31">
    <cfRule type="containsText" dxfId="1998" priority="2026" operator="containsText" text="A-H">
      <formula>NOT(ISERROR(SEARCH("A-H",BE3)))</formula>
    </cfRule>
  </conditionalFormatting>
  <conditionalFormatting sqref="BE3:BE4 BE31">
    <cfRule type="containsText" dxfId="1997" priority="2025" operator="containsText" text="A">
      <formula>NOT(ISERROR(SEARCH("A",BE3)))</formula>
    </cfRule>
  </conditionalFormatting>
  <conditionalFormatting sqref="BE3:BE4 BE31">
    <cfRule type="containsText" dxfId="1996" priority="2020" operator="containsText" text="S">
      <formula>NOT(ISERROR(SEARCH("S",BE3)))</formula>
    </cfRule>
    <cfRule type="containsText" dxfId="1995" priority="2021" operator="containsText" text="P">
      <formula>NOT(ISERROR(SEARCH("P",BE3)))</formula>
    </cfRule>
    <cfRule type="containsText" dxfId="1994" priority="2022" operator="containsText" text="H">
      <formula>NOT(ISERROR(SEARCH("H",BE3)))</formula>
    </cfRule>
    <cfRule type="containsText" dxfId="1993" priority="2023" operator="containsText" text="&quot;H&quot;">
      <formula>NOT(ISERROR(SEARCH("""H""",BE3)))</formula>
    </cfRule>
    <cfRule type="containsText" dxfId="1992" priority="2024" operator="containsText" text="&quot;A&quot;">
      <formula>NOT(ISERROR(SEARCH("""A""",BE3)))</formula>
    </cfRule>
  </conditionalFormatting>
  <conditionalFormatting sqref="BE32">
    <cfRule type="cellIs" dxfId="1991" priority="2014" operator="equal">
      <formula>"C-Off-H"</formula>
    </cfRule>
    <cfRule type="cellIs" dxfId="1990" priority="2015" operator="equal">
      <formula>"C-Off"</formula>
    </cfRule>
    <cfRule type="cellIs" dxfId="1989" priority="2016" operator="equal">
      <formula>"CL-H"</formula>
    </cfRule>
    <cfRule type="cellIs" dxfId="1988" priority="2017" operator="equal">
      <formula>"EL-H"</formula>
    </cfRule>
    <cfRule type="cellIs" dxfId="1987" priority="2018" operator="equal">
      <formula>"CL"</formula>
    </cfRule>
    <cfRule type="cellIs" dxfId="1986" priority="2019" operator="equal">
      <formula>"EL"</formula>
    </cfRule>
  </conditionalFormatting>
  <conditionalFormatting sqref="BE32">
    <cfRule type="containsText" dxfId="1985" priority="2013" operator="containsText" text="A-H">
      <formula>NOT(ISERROR(SEARCH("A-H",BE32)))</formula>
    </cfRule>
  </conditionalFormatting>
  <conditionalFormatting sqref="BE32">
    <cfRule type="containsText" dxfId="1984" priority="2012" operator="containsText" text="A">
      <formula>NOT(ISERROR(SEARCH("A",BE32)))</formula>
    </cfRule>
  </conditionalFormatting>
  <conditionalFormatting sqref="BE32">
    <cfRule type="containsText" dxfId="1983" priority="2007" operator="containsText" text="S">
      <formula>NOT(ISERROR(SEARCH("S",BE32)))</formula>
    </cfRule>
    <cfRule type="containsText" dxfId="1982" priority="2008" operator="containsText" text="P">
      <formula>NOT(ISERROR(SEARCH("P",BE32)))</formula>
    </cfRule>
    <cfRule type="containsText" dxfId="1981" priority="2009" operator="containsText" text="H">
      <formula>NOT(ISERROR(SEARCH("H",BE32)))</formula>
    </cfRule>
    <cfRule type="containsText" dxfId="1980" priority="2010" operator="containsText" text="&quot;H&quot;">
      <formula>NOT(ISERROR(SEARCH("""H""",BE32)))</formula>
    </cfRule>
    <cfRule type="containsText" dxfId="1979" priority="2011" operator="containsText" text="&quot;A&quot;">
      <formula>NOT(ISERROR(SEARCH("""A""",BE32)))</formula>
    </cfRule>
  </conditionalFormatting>
  <conditionalFormatting sqref="AV6">
    <cfRule type="cellIs" dxfId="1978" priority="974" operator="equal">
      <formula>"C-Off-H"</formula>
    </cfRule>
    <cfRule type="cellIs" dxfId="1977" priority="975" operator="equal">
      <formula>"C-Off"</formula>
    </cfRule>
    <cfRule type="cellIs" dxfId="1976" priority="976" operator="equal">
      <formula>"CL-H"</formula>
    </cfRule>
    <cfRule type="cellIs" dxfId="1975" priority="977" operator="equal">
      <formula>"EL-H"</formula>
    </cfRule>
    <cfRule type="cellIs" dxfId="1974" priority="978" operator="equal">
      <formula>"CL"</formula>
    </cfRule>
    <cfRule type="cellIs" dxfId="1973" priority="979" operator="equal">
      <formula>"EL"</formula>
    </cfRule>
  </conditionalFormatting>
  <conditionalFormatting sqref="AV6">
    <cfRule type="containsText" dxfId="1972" priority="973" operator="containsText" text="A-H">
      <formula>NOT(ISERROR(SEARCH("A-H",AV6)))</formula>
    </cfRule>
  </conditionalFormatting>
  <conditionalFormatting sqref="AV6">
    <cfRule type="containsText" dxfId="1971" priority="972" operator="containsText" text="A">
      <formula>NOT(ISERROR(SEARCH("A",AV6)))</formula>
    </cfRule>
  </conditionalFormatting>
  <conditionalFormatting sqref="AV6">
    <cfRule type="containsText" dxfId="1970" priority="967" operator="containsText" text="S">
      <formula>NOT(ISERROR(SEARCH("S",AV6)))</formula>
    </cfRule>
    <cfRule type="containsText" dxfId="1969" priority="968" operator="containsText" text="P">
      <formula>NOT(ISERROR(SEARCH("P",AV6)))</formula>
    </cfRule>
    <cfRule type="containsText" dxfId="1968" priority="969" operator="containsText" text="H">
      <formula>NOT(ISERROR(SEARCH("H",AV6)))</formula>
    </cfRule>
    <cfRule type="containsText" dxfId="1967" priority="970" operator="containsText" text="&quot;H&quot;">
      <formula>NOT(ISERROR(SEARCH("""H""",AV6)))</formula>
    </cfRule>
    <cfRule type="containsText" dxfId="1966" priority="971" operator="containsText" text="&quot;A&quot;">
      <formula>NOT(ISERROR(SEARCH("""A""",AV6)))</formula>
    </cfRule>
  </conditionalFormatting>
  <conditionalFormatting sqref="BN3:BN4 BN31">
    <cfRule type="cellIs" dxfId="1965" priority="2001" operator="equal">
      <formula>"C-Off-H"</formula>
    </cfRule>
    <cfRule type="cellIs" dxfId="1964" priority="2002" operator="equal">
      <formula>"C-Off"</formula>
    </cfRule>
    <cfRule type="cellIs" dxfId="1963" priority="2003" operator="equal">
      <formula>"CL-H"</formula>
    </cfRule>
    <cfRule type="cellIs" dxfId="1962" priority="2004" operator="equal">
      <formula>"EL-H"</formula>
    </cfRule>
    <cfRule type="cellIs" dxfId="1961" priority="2005" operator="equal">
      <formula>"CL"</formula>
    </cfRule>
    <cfRule type="cellIs" dxfId="1960" priority="2006" operator="equal">
      <formula>"EL"</formula>
    </cfRule>
  </conditionalFormatting>
  <conditionalFormatting sqref="BN3:BN4 BN31">
    <cfRule type="containsText" dxfId="1959" priority="2000" operator="containsText" text="A-H">
      <formula>NOT(ISERROR(SEARCH("A-H",BN3)))</formula>
    </cfRule>
  </conditionalFormatting>
  <conditionalFormatting sqref="BN3:BN4 BN31">
    <cfRule type="containsText" dxfId="1958" priority="1999" operator="containsText" text="A">
      <formula>NOT(ISERROR(SEARCH("A",BN3)))</formula>
    </cfRule>
  </conditionalFormatting>
  <conditionalFormatting sqref="BN3:BN4 BN31">
    <cfRule type="containsText" dxfId="1957" priority="1994" operator="containsText" text="S">
      <formula>NOT(ISERROR(SEARCH("S",BN3)))</formula>
    </cfRule>
    <cfRule type="containsText" dxfId="1956" priority="1995" operator="containsText" text="P">
      <formula>NOT(ISERROR(SEARCH("P",BN3)))</formula>
    </cfRule>
    <cfRule type="containsText" dxfId="1955" priority="1996" operator="containsText" text="H">
      <formula>NOT(ISERROR(SEARCH("H",BN3)))</formula>
    </cfRule>
    <cfRule type="containsText" dxfId="1954" priority="1997" operator="containsText" text="&quot;H&quot;">
      <formula>NOT(ISERROR(SEARCH("""H""",BN3)))</formula>
    </cfRule>
    <cfRule type="containsText" dxfId="1953" priority="1998" operator="containsText" text="&quot;A&quot;">
      <formula>NOT(ISERROR(SEARCH("""A""",BN3)))</formula>
    </cfRule>
  </conditionalFormatting>
  <conditionalFormatting sqref="BN32">
    <cfRule type="cellIs" dxfId="1952" priority="1988" operator="equal">
      <formula>"C-Off-H"</formula>
    </cfRule>
    <cfRule type="cellIs" dxfId="1951" priority="1989" operator="equal">
      <formula>"C-Off"</formula>
    </cfRule>
    <cfRule type="cellIs" dxfId="1950" priority="1990" operator="equal">
      <formula>"CL-H"</formula>
    </cfRule>
    <cfRule type="cellIs" dxfId="1949" priority="1991" operator="equal">
      <formula>"EL-H"</formula>
    </cfRule>
    <cfRule type="cellIs" dxfId="1948" priority="1992" operator="equal">
      <formula>"CL"</formula>
    </cfRule>
    <cfRule type="cellIs" dxfId="1947" priority="1993" operator="equal">
      <formula>"EL"</formula>
    </cfRule>
  </conditionalFormatting>
  <conditionalFormatting sqref="BN32">
    <cfRule type="containsText" dxfId="1946" priority="1987" operator="containsText" text="A-H">
      <formula>NOT(ISERROR(SEARCH("A-H",BN32)))</formula>
    </cfRule>
  </conditionalFormatting>
  <conditionalFormatting sqref="BN32">
    <cfRule type="containsText" dxfId="1945" priority="1986" operator="containsText" text="A">
      <formula>NOT(ISERROR(SEARCH("A",BN32)))</formula>
    </cfRule>
  </conditionalFormatting>
  <conditionalFormatting sqref="BN32">
    <cfRule type="containsText" dxfId="1944" priority="1981" operator="containsText" text="S">
      <formula>NOT(ISERROR(SEARCH("S",BN32)))</formula>
    </cfRule>
    <cfRule type="containsText" dxfId="1943" priority="1982" operator="containsText" text="P">
      <formula>NOT(ISERROR(SEARCH("P",BN32)))</formula>
    </cfRule>
    <cfRule type="containsText" dxfId="1942" priority="1983" operator="containsText" text="H">
      <formula>NOT(ISERROR(SEARCH("H",BN32)))</formula>
    </cfRule>
    <cfRule type="containsText" dxfId="1941" priority="1984" operator="containsText" text="&quot;H&quot;">
      <formula>NOT(ISERROR(SEARCH("""H""",BN32)))</formula>
    </cfRule>
    <cfRule type="containsText" dxfId="1940" priority="1985" operator="containsText" text="&quot;A&quot;">
      <formula>NOT(ISERROR(SEARCH("""A""",BN32)))</formula>
    </cfRule>
  </conditionalFormatting>
  <conditionalFormatting sqref="BQ3:BQ4 BQ31">
    <cfRule type="cellIs" dxfId="1939" priority="1975" operator="equal">
      <formula>"C-Off-H"</formula>
    </cfRule>
    <cfRule type="cellIs" dxfId="1938" priority="1976" operator="equal">
      <formula>"C-Off"</formula>
    </cfRule>
    <cfRule type="cellIs" dxfId="1937" priority="1977" operator="equal">
      <formula>"CL-H"</formula>
    </cfRule>
    <cfRule type="cellIs" dxfId="1936" priority="1978" operator="equal">
      <formula>"EL-H"</formula>
    </cfRule>
    <cfRule type="cellIs" dxfId="1935" priority="1979" operator="equal">
      <formula>"CL"</formula>
    </cfRule>
    <cfRule type="cellIs" dxfId="1934" priority="1980" operator="equal">
      <formula>"EL"</formula>
    </cfRule>
  </conditionalFormatting>
  <conditionalFormatting sqref="BQ3:BQ4 BQ31">
    <cfRule type="containsText" dxfId="1933" priority="1974" operator="containsText" text="A-H">
      <formula>NOT(ISERROR(SEARCH("A-H",BQ3)))</formula>
    </cfRule>
  </conditionalFormatting>
  <conditionalFormatting sqref="BQ3:BQ4 BQ31">
    <cfRule type="containsText" dxfId="1932" priority="1973" operator="containsText" text="A">
      <formula>NOT(ISERROR(SEARCH("A",BQ3)))</formula>
    </cfRule>
  </conditionalFormatting>
  <conditionalFormatting sqref="BQ3:BQ4 BQ31">
    <cfRule type="containsText" dxfId="1931" priority="1968" operator="containsText" text="S">
      <formula>NOT(ISERROR(SEARCH("S",BQ3)))</formula>
    </cfRule>
    <cfRule type="containsText" dxfId="1930" priority="1969" operator="containsText" text="P">
      <formula>NOT(ISERROR(SEARCH("P",BQ3)))</formula>
    </cfRule>
    <cfRule type="containsText" dxfId="1929" priority="1970" operator="containsText" text="H">
      <formula>NOT(ISERROR(SEARCH("H",BQ3)))</formula>
    </cfRule>
    <cfRule type="containsText" dxfId="1928" priority="1971" operator="containsText" text="&quot;H&quot;">
      <formula>NOT(ISERROR(SEARCH("""H""",BQ3)))</formula>
    </cfRule>
    <cfRule type="containsText" dxfId="1927" priority="1972" operator="containsText" text="&quot;A&quot;">
      <formula>NOT(ISERROR(SEARCH("""A""",BQ3)))</formula>
    </cfRule>
  </conditionalFormatting>
  <conditionalFormatting sqref="BQ32">
    <cfRule type="cellIs" dxfId="1926" priority="1962" operator="equal">
      <formula>"C-Off-H"</formula>
    </cfRule>
    <cfRule type="cellIs" dxfId="1925" priority="1963" operator="equal">
      <formula>"C-Off"</formula>
    </cfRule>
    <cfRule type="cellIs" dxfId="1924" priority="1964" operator="equal">
      <formula>"CL-H"</formula>
    </cfRule>
    <cfRule type="cellIs" dxfId="1923" priority="1965" operator="equal">
      <formula>"EL-H"</formula>
    </cfRule>
    <cfRule type="cellIs" dxfId="1922" priority="1966" operator="equal">
      <formula>"CL"</formula>
    </cfRule>
    <cfRule type="cellIs" dxfId="1921" priority="1967" operator="equal">
      <formula>"EL"</formula>
    </cfRule>
  </conditionalFormatting>
  <conditionalFormatting sqref="BQ32">
    <cfRule type="containsText" dxfId="1920" priority="1961" operator="containsText" text="A-H">
      <formula>NOT(ISERROR(SEARCH("A-H",BQ32)))</formula>
    </cfRule>
  </conditionalFormatting>
  <conditionalFormatting sqref="BQ32">
    <cfRule type="containsText" dxfId="1919" priority="1960" operator="containsText" text="A">
      <formula>NOT(ISERROR(SEARCH("A",BQ32)))</formula>
    </cfRule>
  </conditionalFormatting>
  <conditionalFormatting sqref="BQ32">
    <cfRule type="containsText" dxfId="1918" priority="1955" operator="containsText" text="S">
      <formula>NOT(ISERROR(SEARCH("S",BQ32)))</formula>
    </cfRule>
    <cfRule type="containsText" dxfId="1917" priority="1956" operator="containsText" text="P">
      <formula>NOT(ISERROR(SEARCH("P",BQ32)))</formula>
    </cfRule>
    <cfRule type="containsText" dxfId="1916" priority="1957" operator="containsText" text="H">
      <formula>NOT(ISERROR(SEARCH("H",BQ32)))</formula>
    </cfRule>
    <cfRule type="containsText" dxfId="1915" priority="1958" operator="containsText" text="&quot;H&quot;">
      <formula>NOT(ISERROR(SEARCH("""H""",BQ32)))</formula>
    </cfRule>
    <cfRule type="containsText" dxfId="1914" priority="1959" operator="containsText" text="&quot;A&quot;">
      <formula>NOT(ISERROR(SEARCH("""A""",BQ32)))</formula>
    </cfRule>
  </conditionalFormatting>
  <conditionalFormatting sqref="BZ3:BZ4 BZ31">
    <cfRule type="cellIs" dxfId="1913" priority="1949" operator="equal">
      <formula>"C-Off-H"</formula>
    </cfRule>
    <cfRule type="cellIs" dxfId="1912" priority="1950" operator="equal">
      <formula>"C-Off"</formula>
    </cfRule>
    <cfRule type="cellIs" dxfId="1911" priority="1951" operator="equal">
      <formula>"CL-H"</formula>
    </cfRule>
    <cfRule type="cellIs" dxfId="1910" priority="1952" operator="equal">
      <formula>"EL-H"</formula>
    </cfRule>
    <cfRule type="cellIs" dxfId="1909" priority="1953" operator="equal">
      <formula>"CL"</formula>
    </cfRule>
    <cfRule type="cellIs" dxfId="1908" priority="1954" operator="equal">
      <formula>"EL"</formula>
    </cfRule>
  </conditionalFormatting>
  <conditionalFormatting sqref="BZ3:BZ4 BZ31">
    <cfRule type="containsText" dxfId="1907" priority="1948" operator="containsText" text="A-H">
      <formula>NOT(ISERROR(SEARCH("A-H",BZ3)))</formula>
    </cfRule>
  </conditionalFormatting>
  <conditionalFormatting sqref="BZ3:BZ4 BZ31">
    <cfRule type="containsText" dxfId="1906" priority="1947" operator="containsText" text="A">
      <formula>NOT(ISERROR(SEARCH("A",BZ3)))</formula>
    </cfRule>
  </conditionalFormatting>
  <conditionalFormatting sqref="BZ3:BZ4 BZ31">
    <cfRule type="containsText" dxfId="1905" priority="1942" operator="containsText" text="S">
      <formula>NOT(ISERROR(SEARCH("S",BZ3)))</formula>
    </cfRule>
    <cfRule type="containsText" dxfId="1904" priority="1943" operator="containsText" text="P">
      <formula>NOT(ISERROR(SEARCH("P",BZ3)))</formula>
    </cfRule>
    <cfRule type="containsText" dxfId="1903" priority="1944" operator="containsText" text="H">
      <formula>NOT(ISERROR(SEARCH("H",BZ3)))</formula>
    </cfRule>
    <cfRule type="containsText" dxfId="1902" priority="1945" operator="containsText" text="&quot;H&quot;">
      <formula>NOT(ISERROR(SEARCH("""H""",BZ3)))</formula>
    </cfRule>
    <cfRule type="containsText" dxfId="1901" priority="1946" operator="containsText" text="&quot;A&quot;">
      <formula>NOT(ISERROR(SEARCH("""A""",BZ3)))</formula>
    </cfRule>
  </conditionalFormatting>
  <conditionalFormatting sqref="BZ32">
    <cfRule type="cellIs" dxfId="1900" priority="1936" operator="equal">
      <formula>"C-Off-H"</formula>
    </cfRule>
    <cfRule type="cellIs" dxfId="1899" priority="1937" operator="equal">
      <formula>"C-Off"</formula>
    </cfRule>
    <cfRule type="cellIs" dxfId="1898" priority="1938" operator="equal">
      <formula>"CL-H"</formula>
    </cfRule>
    <cfRule type="cellIs" dxfId="1897" priority="1939" operator="equal">
      <formula>"EL-H"</formula>
    </cfRule>
    <cfRule type="cellIs" dxfId="1896" priority="1940" operator="equal">
      <formula>"CL"</formula>
    </cfRule>
    <cfRule type="cellIs" dxfId="1895" priority="1941" operator="equal">
      <formula>"EL"</formula>
    </cfRule>
  </conditionalFormatting>
  <conditionalFormatting sqref="BZ32">
    <cfRule type="containsText" dxfId="1894" priority="1935" operator="containsText" text="A-H">
      <formula>NOT(ISERROR(SEARCH("A-H",BZ32)))</formula>
    </cfRule>
  </conditionalFormatting>
  <conditionalFormatting sqref="BZ32">
    <cfRule type="containsText" dxfId="1893" priority="1934" operator="containsText" text="A">
      <formula>NOT(ISERROR(SEARCH("A",BZ32)))</formula>
    </cfRule>
  </conditionalFormatting>
  <conditionalFormatting sqref="BZ32">
    <cfRule type="containsText" dxfId="1892" priority="1929" operator="containsText" text="S">
      <formula>NOT(ISERROR(SEARCH("S",BZ32)))</formula>
    </cfRule>
    <cfRule type="containsText" dxfId="1891" priority="1930" operator="containsText" text="P">
      <formula>NOT(ISERROR(SEARCH("P",BZ32)))</formula>
    </cfRule>
    <cfRule type="containsText" dxfId="1890" priority="1931" operator="containsText" text="H">
      <formula>NOT(ISERROR(SEARCH("H",BZ32)))</formula>
    </cfRule>
    <cfRule type="containsText" dxfId="1889" priority="1932" operator="containsText" text="&quot;H&quot;">
      <formula>NOT(ISERROR(SEARCH("""H""",BZ32)))</formula>
    </cfRule>
    <cfRule type="containsText" dxfId="1888" priority="1933" operator="containsText" text="&quot;A&quot;">
      <formula>NOT(ISERROR(SEARCH("""A""",BZ32)))</formula>
    </cfRule>
  </conditionalFormatting>
  <conditionalFormatting sqref="CB3:CB4 CB31">
    <cfRule type="cellIs" dxfId="1887" priority="1923" operator="equal">
      <formula>"C-Off-H"</formula>
    </cfRule>
    <cfRule type="cellIs" dxfId="1886" priority="1924" operator="equal">
      <formula>"C-Off"</formula>
    </cfRule>
    <cfRule type="cellIs" dxfId="1885" priority="1925" operator="equal">
      <formula>"CL-H"</formula>
    </cfRule>
    <cfRule type="cellIs" dxfId="1884" priority="1926" operator="equal">
      <formula>"EL-H"</formula>
    </cfRule>
    <cfRule type="cellIs" dxfId="1883" priority="1927" operator="equal">
      <formula>"CL"</formula>
    </cfRule>
    <cfRule type="cellIs" dxfId="1882" priority="1928" operator="equal">
      <formula>"EL"</formula>
    </cfRule>
  </conditionalFormatting>
  <conditionalFormatting sqref="CB3:CB4 CB31">
    <cfRule type="containsText" dxfId="1881" priority="1922" operator="containsText" text="A-H">
      <formula>NOT(ISERROR(SEARCH("A-H",CB3)))</formula>
    </cfRule>
  </conditionalFormatting>
  <conditionalFormatting sqref="CB3:CB4 CB31">
    <cfRule type="containsText" dxfId="1880" priority="1921" operator="containsText" text="A">
      <formula>NOT(ISERROR(SEARCH("A",CB3)))</formula>
    </cfRule>
  </conditionalFormatting>
  <conditionalFormatting sqref="CB3:CB4 CB31">
    <cfRule type="containsText" dxfId="1879" priority="1916" operator="containsText" text="S">
      <formula>NOT(ISERROR(SEARCH("S",CB3)))</formula>
    </cfRule>
    <cfRule type="containsText" dxfId="1878" priority="1917" operator="containsText" text="P">
      <formula>NOT(ISERROR(SEARCH("P",CB3)))</formula>
    </cfRule>
    <cfRule type="containsText" dxfId="1877" priority="1918" operator="containsText" text="H">
      <formula>NOT(ISERROR(SEARCH("H",CB3)))</formula>
    </cfRule>
    <cfRule type="containsText" dxfId="1876" priority="1919" operator="containsText" text="&quot;H&quot;">
      <formula>NOT(ISERROR(SEARCH("""H""",CB3)))</formula>
    </cfRule>
    <cfRule type="containsText" dxfId="1875" priority="1920" operator="containsText" text="&quot;A&quot;">
      <formula>NOT(ISERROR(SEARCH("""A""",CB3)))</formula>
    </cfRule>
  </conditionalFormatting>
  <conditionalFormatting sqref="CB32">
    <cfRule type="cellIs" dxfId="1874" priority="1910" operator="equal">
      <formula>"C-Off-H"</formula>
    </cfRule>
    <cfRule type="cellIs" dxfId="1873" priority="1911" operator="equal">
      <formula>"C-Off"</formula>
    </cfRule>
    <cfRule type="cellIs" dxfId="1872" priority="1912" operator="equal">
      <formula>"CL-H"</formula>
    </cfRule>
    <cfRule type="cellIs" dxfId="1871" priority="1913" operator="equal">
      <formula>"EL-H"</formula>
    </cfRule>
    <cfRule type="cellIs" dxfId="1870" priority="1914" operator="equal">
      <formula>"CL"</formula>
    </cfRule>
    <cfRule type="cellIs" dxfId="1869" priority="1915" operator="equal">
      <formula>"EL"</formula>
    </cfRule>
  </conditionalFormatting>
  <conditionalFormatting sqref="CB32">
    <cfRule type="containsText" dxfId="1868" priority="1909" operator="containsText" text="A-H">
      <formula>NOT(ISERROR(SEARCH("A-H",CB32)))</formula>
    </cfRule>
  </conditionalFormatting>
  <conditionalFormatting sqref="CB32">
    <cfRule type="containsText" dxfId="1867" priority="1908" operator="containsText" text="A">
      <formula>NOT(ISERROR(SEARCH("A",CB32)))</formula>
    </cfRule>
  </conditionalFormatting>
  <conditionalFormatting sqref="CB32">
    <cfRule type="containsText" dxfId="1866" priority="1903" operator="containsText" text="S">
      <formula>NOT(ISERROR(SEARCH("S",CB32)))</formula>
    </cfRule>
    <cfRule type="containsText" dxfId="1865" priority="1904" operator="containsText" text="P">
      <formula>NOT(ISERROR(SEARCH("P",CB32)))</formula>
    </cfRule>
    <cfRule type="containsText" dxfId="1864" priority="1905" operator="containsText" text="H">
      <formula>NOT(ISERROR(SEARCH("H",CB32)))</formula>
    </cfRule>
    <cfRule type="containsText" dxfId="1863" priority="1906" operator="containsText" text="&quot;H&quot;">
      <formula>NOT(ISERROR(SEARCH("""H""",CB32)))</formula>
    </cfRule>
    <cfRule type="containsText" dxfId="1862" priority="1907" operator="containsText" text="&quot;A&quot;">
      <formula>NOT(ISERROR(SEARCH("""A""",CB32)))</formula>
    </cfRule>
  </conditionalFormatting>
  <conditionalFormatting sqref="CI3:CI4 CI31">
    <cfRule type="cellIs" dxfId="1861" priority="1897" operator="equal">
      <formula>"C-Off-H"</formula>
    </cfRule>
    <cfRule type="cellIs" dxfId="1860" priority="1898" operator="equal">
      <formula>"C-Off"</formula>
    </cfRule>
    <cfRule type="cellIs" dxfId="1859" priority="1899" operator="equal">
      <formula>"CL-H"</formula>
    </cfRule>
    <cfRule type="cellIs" dxfId="1858" priority="1900" operator="equal">
      <formula>"EL-H"</formula>
    </cfRule>
    <cfRule type="cellIs" dxfId="1857" priority="1901" operator="equal">
      <formula>"CL"</formula>
    </cfRule>
    <cfRule type="cellIs" dxfId="1856" priority="1902" operator="equal">
      <formula>"EL"</formula>
    </cfRule>
  </conditionalFormatting>
  <conditionalFormatting sqref="CI3:CI4 CI31">
    <cfRule type="containsText" dxfId="1855" priority="1896" operator="containsText" text="A-H">
      <formula>NOT(ISERROR(SEARCH("A-H",CI3)))</formula>
    </cfRule>
  </conditionalFormatting>
  <conditionalFormatting sqref="CI3:CI4 CI31">
    <cfRule type="containsText" dxfId="1854" priority="1895" operator="containsText" text="A">
      <formula>NOT(ISERROR(SEARCH("A",CI3)))</formula>
    </cfRule>
  </conditionalFormatting>
  <conditionalFormatting sqref="CI3:CI4 CI31">
    <cfRule type="containsText" dxfId="1853" priority="1890" operator="containsText" text="S">
      <formula>NOT(ISERROR(SEARCH("S",CI3)))</formula>
    </cfRule>
    <cfRule type="containsText" dxfId="1852" priority="1891" operator="containsText" text="P">
      <formula>NOT(ISERROR(SEARCH("P",CI3)))</formula>
    </cfRule>
    <cfRule type="containsText" dxfId="1851" priority="1892" operator="containsText" text="H">
      <formula>NOT(ISERROR(SEARCH("H",CI3)))</formula>
    </cfRule>
    <cfRule type="containsText" dxfId="1850" priority="1893" operator="containsText" text="&quot;H&quot;">
      <formula>NOT(ISERROR(SEARCH("""H""",CI3)))</formula>
    </cfRule>
    <cfRule type="containsText" dxfId="1849" priority="1894" operator="containsText" text="&quot;A&quot;">
      <formula>NOT(ISERROR(SEARCH("""A""",CI3)))</formula>
    </cfRule>
  </conditionalFormatting>
  <conditionalFormatting sqref="CI32">
    <cfRule type="cellIs" dxfId="1848" priority="1884" operator="equal">
      <formula>"C-Off-H"</formula>
    </cfRule>
    <cfRule type="cellIs" dxfId="1847" priority="1885" operator="equal">
      <formula>"C-Off"</formula>
    </cfRule>
    <cfRule type="cellIs" dxfId="1846" priority="1886" operator="equal">
      <formula>"CL-H"</formula>
    </cfRule>
    <cfRule type="cellIs" dxfId="1845" priority="1887" operator="equal">
      <formula>"EL-H"</formula>
    </cfRule>
    <cfRule type="cellIs" dxfId="1844" priority="1888" operator="equal">
      <formula>"CL"</formula>
    </cfRule>
    <cfRule type="cellIs" dxfId="1843" priority="1889" operator="equal">
      <formula>"EL"</formula>
    </cfRule>
  </conditionalFormatting>
  <conditionalFormatting sqref="CI32">
    <cfRule type="containsText" dxfId="1842" priority="1883" operator="containsText" text="A-H">
      <formula>NOT(ISERROR(SEARCH("A-H",CI32)))</formula>
    </cfRule>
  </conditionalFormatting>
  <conditionalFormatting sqref="CI32">
    <cfRule type="containsText" dxfId="1841" priority="1882" operator="containsText" text="A">
      <formula>NOT(ISERROR(SEARCH("A",CI32)))</formula>
    </cfRule>
  </conditionalFormatting>
  <conditionalFormatting sqref="CI32">
    <cfRule type="containsText" dxfId="1840" priority="1877" operator="containsText" text="S">
      <formula>NOT(ISERROR(SEARCH("S",CI32)))</formula>
    </cfRule>
    <cfRule type="containsText" dxfId="1839" priority="1878" operator="containsText" text="P">
      <formula>NOT(ISERROR(SEARCH("P",CI32)))</formula>
    </cfRule>
    <cfRule type="containsText" dxfId="1838" priority="1879" operator="containsText" text="H">
      <formula>NOT(ISERROR(SEARCH("H",CI32)))</formula>
    </cfRule>
    <cfRule type="containsText" dxfId="1837" priority="1880" operator="containsText" text="&quot;H&quot;">
      <formula>NOT(ISERROR(SEARCH("""H""",CI32)))</formula>
    </cfRule>
    <cfRule type="containsText" dxfId="1836" priority="1881" operator="containsText" text="&quot;A&quot;">
      <formula>NOT(ISERROR(SEARCH("""A""",CI32)))</formula>
    </cfRule>
  </conditionalFormatting>
  <conditionalFormatting sqref="CL3:CL4 CL31">
    <cfRule type="cellIs" dxfId="1835" priority="1871" operator="equal">
      <formula>"C-Off-H"</formula>
    </cfRule>
    <cfRule type="cellIs" dxfId="1834" priority="1872" operator="equal">
      <formula>"C-Off"</formula>
    </cfRule>
    <cfRule type="cellIs" dxfId="1833" priority="1873" operator="equal">
      <formula>"CL-H"</formula>
    </cfRule>
    <cfRule type="cellIs" dxfId="1832" priority="1874" operator="equal">
      <formula>"EL-H"</formula>
    </cfRule>
    <cfRule type="cellIs" dxfId="1831" priority="1875" operator="equal">
      <formula>"CL"</formula>
    </cfRule>
    <cfRule type="cellIs" dxfId="1830" priority="1876" operator="equal">
      <formula>"EL"</formula>
    </cfRule>
  </conditionalFormatting>
  <conditionalFormatting sqref="CL3:CL4 CL31">
    <cfRule type="containsText" dxfId="1829" priority="1870" operator="containsText" text="A-H">
      <formula>NOT(ISERROR(SEARCH("A-H",CL3)))</formula>
    </cfRule>
  </conditionalFormatting>
  <conditionalFormatting sqref="CL3:CL4 CL31">
    <cfRule type="containsText" dxfId="1828" priority="1869" operator="containsText" text="A">
      <formula>NOT(ISERROR(SEARCH("A",CL3)))</formula>
    </cfRule>
  </conditionalFormatting>
  <conditionalFormatting sqref="CL3:CL4 CL31">
    <cfRule type="containsText" dxfId="1827" priority="1864" operator="containsText" text="S">
      <formula>NOT(ISERROR(SEARCH("S",CL3)))</formula>
    </cfRule>
    <cfRule type="containsText" dxfId="1826" priority="1865" operator="containsText" text="P">
      <formula>NOT(ISERROR(SEARCH("P",CL3)))</formula>
    </cfRule>
    <cfRule type="containsText" dxfId="1825" priority="1866" operator="containsText" text="H">
      <formula>NOT(ISERROR(SEARCH("H",CL3)))</formula>
    </cfRule>
    <cfRule type="containsText" dxfId="1824" priority="1867" operator="containsText" text="&quot;H&quot;">
      <formula>NOT(ISERROR(SEARCH("""H""",CL3)))</formula>
    </cfRule>
    <cfRule type="containsText" dxfId="1823" priority="1868" operator="containsText" text="&quot;A&quot;">
      <formula>NOT(ISERROR(SEARCH("""A""",CL3)))</formula>
    </cfRule>
  </conditionalFormatting>
  <conditionalFormatting sqref="CL32">
    <cfRule type="cellIs" dxfId="1822" priority="1858" operator="equal">
      <formula>"C-Off-H"</formula>
    </cfRule>
    <cfRule type="cellIs" dxfId="1821" priority="1859" operator="equal">
      <formula>"C-Off"</formula>
    </cfRule>
    <cfRule type="cellIs" dxfId="1820" priority="1860" operator="equal">
      <formula>"CL-H"</formula>
    </cfRule>
    <cfRule type="cellIs" dxfId="1819" priority="1861" operator="equal">
      <formula>"EL-H"</formula>
    </cfRule>
    <cfRule type="cellIs" dxfId="1818" priority="1862" operator="equal">
      <formula>"CL"</formula>
    </cfRule>
    <cfRule type="cellIs" dxfId="1817" priority="1863" operator="equal">
      <formula>"EL"</formula>
    </cfRule>
  </conditionalFormatting>
  <conditionalFormatting sqref="CL32">
    <cfRule type="containsText" dxfId="1816" priority="1857" operator="containsText" text="A-H">
      <formula>NOT(ISERROR(SEARCH("A-H",CL32)))</formula>
    </cfRule>
  </conditionalFormatting>
  <conditionalFormatting sqref="CL32">
    <cfRule type="containsText" dxfId="1815" priority="1856" operator="containsText" text="A">
      <formula>NOT(ISERROR(SEARCH("A",CL32)))</formula>
    </cfRule>
  </conditionalFormatting>
  <conditionalFormatting sqref="CL32">
    <cfRule type="containsText" dxfId="1814" priority="1851" operator="containsText" text="S">
      <formula>NOT(ISERROR(SEARCH("S",CL32)))</formula>
    </cfRule>
    <cfRule type="containsText" dxfId="1813" priority="1852" operator="containsText" text="P">
      <formula>NOT(ISERROR(SEARCH("P",CL32)))</formula>
    </cfRule>
    <cfRule type="containsText" dxfId="1812" priority="1853" operator="containsText" text="H">
      <formula>NOT(ISERROR(SEARCH("H",CL32)))</formula>
    </cfRule>
    <cfRule type="containsText" dxfId="1811" priority="1854" operator="containsText" text="&quot;H&quot;">
      <formula>NOT(ISERROR(SEARCH("""H""",CL32)))</formula>
    </cfRule>
    <cfRule type="containsText" dxfId="1810" priority="1855" operator="containsText" text="&quot;A&quot;">
      <formula>NOT(ISERROR(SEARCH("""A""",CL32)))</formula>
    </cfRule>
  </conditionalFormatting>
  <conditionalFormatting sqref="CX5:CX6 CD5:CE5 M5:N5 CG5:CH5 CJ5:CK5 CM5:CN5 CP5:CW5 DC5">
    <cfRule type="cellIs" dxfId="1809" priority="1845" operator="equal">
      <formula>"C-Off-H"</formula>
    </cfRule>
    <cfRule type="cellIs" dxfId="1808" priority="1846" operator="equal">
      <formula>"C-Off"</formula>
    </cfRule>
    <cfRule type="cellIs" dxfId="1807" priority="1847" operator="equal">
      <formula>"CL-H"</formula>
    </cfRule>
    <cfRule type="cellIs" dxfId="1806" priority="1848" operator="equal">
      <formula>"EL-H"</formula>
    </cfRule>
    <cfRule type="cellIs" dxfId="1805" priority="1849" operator="equal">
      <formula>"CL"</formula>
    </cfRule>
    <cfRule type="cellIs" dxfId="1804" priority="1850" operator="equal">
      <formula>"EL"</formula>
    </cfRule>
  </conditionalFormatting>
  <conditionalFormatting sqref="DC5 CX5:CX6 CY5:DA5 CD5:CE5 M5:N5 CG5:CH5 CJ5:CK5 CM5:CN5 CP5:CW5">
    <cfRule type="containsText" dxfId="1803" priority="1844" operator="containsText" text="A-H">
      <formula>NOT(ISERROR(SEARCH("A-H",M5)))</formula>
    </cfRule>
  </conditionalFormatting>
  <conditionalFormatting sqref="DC5 CX5:CX6 CY5:DA5 CD5:CE5 CG5:CH5 CJ5:CK5 CM5:CN5 CP5:CW5">
    <cfRule type="containsText" dxfId="1802" priority="1843" operator="containsText" text="A">
      <formula>NOT(ISERROR(SEARCH("A",CD5)))</formula>
    </cfRule>
  </conditionalFormatting>
  <conditionalFormatting sqref="CY5 DA5">
    <cfRule type="cellIs" dxfId="1801" priority="1837" stopIfTrue="1" operator="equal">
      <formula>"C-Off-H"</formula>
    </cfRule>
    <cfRule type="cellIs" dxfId="1800" priority="1838" stopIfTrue="1" operator="equal">
      <formula>"C-Off"</formula>
    </cfRule>
    <cfRule type="cellIs" dxfId="1799" priority="1839" stopIfTrue="1" operator="equal">
      <formula>"CL-H"</formula>
    </cfRule>
    <cfRule type="cellIs" dxfId="1798" priority="1840" stopIfTrue="1" operator="equal">
      <formula>"EL-H"</formula>
    </cfRule>
    <cfRule type="cellIs" dxfId="1797" priority="1841" stopIfTrue="1" operator="equal">
      <formula>"CL"</formula>
    </cfRule>
    <cfRule type="cellIs" dxfId="1796" priority="1842" stopIfTrue="1" operator="equal">
      <formula>"EL"</formula>
    </cfRule>
  </conditionalFormatting>
  <conditionalFormatting sqref="CZ5">
    <cfRule type="cellIs" dxfId="1795" priority="1831" stopIfTrue="1" operator="equal">
      <formula>"C-Off-H"</formula>
    </cfRule>
    <cfRule type="cellIs" dxfId="1794" priority="1832" stopIfTrue="1" operator="equal">
      <formula>"C-Off"</formula>
    </cfRule>
    <cfRule type="cellIs" dxfId="1793" priority="1833" stopIfTrue="1" operator="equal">
      <formula>"CL-H"</formula>
    </cfRule>
    <cfRule type="cellIs" dxfId="1792" priority="1834" stopIfTrue="1" operator="equal">
      <formula>"EL-H"</formula>
    </cfRule>
    <cfRule type="cellIs" dxfId="1791" priority="1835" stopIfTrue="1" operator="equal">
      <formula>"CL"</formula>
    </cfRule>
    <cfRule type="cellIs" dxfId="1790" priority="1836" stopIfTrue="1" operator="equal">
      <formula>"EL"</formula>
    </cfRule>
  </conditionalFormatting>
  <conditionalFormatting sqref="CD5:CE5 M5:N5 CG5:CH5 CJ5:CK5 CM5:CN5">
    <cfRule type="containsText" dxfId="1789" priority="1826" operator="containsText" text="S">
      <formula>NOT(ISERROR(SEARCH("S",M5)))</formula>
    </cfRule>
    <cfRule type="containsText" dxfId="1788" priority="1827" operator="containsText" text="P">
      <formula>NOT(ISERROR(SEARCH("P",M5)))</formula>
    </cfRule>
    <cfRule type="containsText" dxfId="1787" priority="1828" operator="containsText" text="H">
      <formula>NOT(ISERROR(SEARCH("H",M5)))</formula>
    </cfRule>
    <cfRule type="containsText" dxfId="1786" priority="1829" operator="containsText" text="&quot;H&quot;">
      <formula>NOT(ISERROR(SEARCH("""H""",M5)))</formula>
    </cfRule>
    <cfRule type="containsText" dxfId="1785" priority="1830" operator="containsText" text="&quot;A&quot;">
      <formula>NOT(ISERROR(SEARCH("""A""",M5)))</formula>
    </cfRule>
  </conditionalFormatting>
  <conditionalFormatting sqref="DD5">
    <cfRule type="cellIs" dxfId="1784" priority="1820" operator="equal">
      <formula>"C-Off-H"</formula>
    </cfRule>
    <cfRule type="cellIs" dxfId="1783" priority="1821" operator="equal">
      <formula>"C-Off"</formula>
    </cfRule>
    <cfRule type="cellIs" dxfId="1782" priority="1822" operator="equal">
      <formula>"CL-H"</formula>
    </cfRule>
    <cfRule type="cellIs" dxfId="1781" priority="1823" operator="equal">
      <formula>"EL-H"</formula>
    </cfRule>
    <cfRule type="cellIs" dxfId="1780" priority="1824" operator="equal">
      <formula>"CL"</formula>
    </cfRule>
    <cfRule type="cellIs" dxfId="1779" priority="1825" operator="equal">
      <formula>"EL"</formula>
    </cfRule>
  </conditionalFormatting>
  <conditionalFormatting sqref="DD5">
    <cfRule type="containsText" dxfId="1778" priority="1819" operator="containsText" text="A">
      <formula>NOT(ISERROR(SEARCH("A",DD5)))</formula>
    </cfRule>
  </conditionalFormatting>
  <conditionalFormatting sqref="DD5">
    <cfRule type="containsText" dxfId="1777" priority="1818" operator="containsText" text="A-H">
      <formula>NOT(ISERROR(SEARCH("A-H",DD5)))</formula>
    </cfRule>
  </conditionalFormatting>
  <conditionalFormatting sqref="AI5">
    <cfRule type="cellIs" dxfId="1776" priority="1812" operator="equal">
      <formula>"C-Off-H"</formula>
    </cfRule>
    <cfRule type="cellIs" dxfId="1775" priority="1813" operator="equal">
      <formula>"C-Off"</formula>
    </cfRule>
    <cfRule type="cellIs" dxfId="1774" priority="1814" operator="equal">
      <formula>"CL-H"</formula>
    </cfRule>
    <cfRule type="cellIs" dxfId="1773" priority="1815" operator="equal">
      <formula>"EL-H"</formula>
    </cfRule>
    <cfRule type="cellIs" dxfId="1772" priority="1816" operator="equal">
      <formula>"CL"</formula>
    </cfRule>
    <cfRule type="cellIs" dxfId="1771" priority="1817" operator="equal">
      <formula>"EL"</formula>
    </cfRule>
  </conditionalFormatting>
  <conditionalFormatting sqref="AH5:AI5">
    <cfRule type="cellIs" dxfId="1770" priority="1806" operator="equal">
      <formula>"C-Off-H"</formula>
    </cfRule>
    <cfRule type="cellIs" dxfId="1769" priority="1807" operator="equal">
      <formula>"C-Off"</formula>
    </cfRule>
    <cfRule type="cellIs" dxfId="1768" priority="1808" operator="equal">
      <formula>"CL-H"</formula>
    </cfRule>
    <cfRule type="cellIs" dxfId="1767" priority="1809" operator="equal">
      <formula>"EL-H"</formula>
    </cfRule>
    <cfRule type="cellIs" dxfId="1766" priority="1810" operator="equal">
      <formula>"CL"</formula>
    </cfRule>
    <cfRule type="cellIs" dxfId="1765" priority="1811" operator="equal">
      <formula>"EL"</formula>
    </cfRule>
  </conditionalFormatting>
  <conditionalFormatting sqref="AH5:AI5">
    <cfRule type="containsText" dxfId="1764" priority="1800" operator="containsText" text="S">
      <formula>NOT(ISERROR(SEARCH("S",AH5)))</formula>
    </cfRule>
    <cfRule type="containsText" dxfId="1763" priority="1801" operator="containsText" text="P">
      <formula>NOT(ISERROR(SEARCH("P",AH5)))</formula>
    </cfRule>
    <cfRule type="containsText" dxfId="1762" priority="1802" operator="containsText" text="H">
      <formula>NOT(ISERROR(SEARCH("H",AH5)))</formula>
    </cfRule>
    <cfRule type="containsText" dxfId="1761" priority="1804" operator="containsText" text="&quot;H&quot;">
      <formula>NOT(ISERROR(SEARCH("""H""",AH5)))</formula>
    </cfRule>
    <cfRule type="containsText" dxfId="1760" priority="1805" operator="containsText" text="&quot;A&quot;">
      <formula>NOT(ISERROR(SEARCH("""A""",AH5)))</formula>
    </cfRule>
  </conditionalFormatting>
  <conditionalFormatting sqref="AH5:AI5">
    <cfRule type="containsText" dxfId="1759" priority="1803" operator="containsText" text="A-H">
      <formula>NOT(ISERROR(SEARCH("A-H",AH5)))</formula>
    </cfRule>
  </conditionalFormatting>
  <conditionalFormatting sqref="AU5">
    <cfRule type="cellIs" dxfId="1758" priority="1794" operator="equal">
      <formula>"C-Off-H"</formula>
    </cfRule>
    <cfRule type="cellIs" dxfId="1757" priority="1795" operator="equal">
      <formula>"C-Off"</formula>
    </cfRule>
    <cfRule type="cellIs" dxfId="1756" priority="1796" operator="equal">
      <formula>"CL-H"</formula>
    </cfRule>
    <cfRule type="cellIs" dxfId="1755" priority="1797" operator="equal">
      <formula>"EL-H"</formula>
    </cfRule>
    <cfRule type="cellIs" dxfId="1754" priority="1798" operator="equal">
      <formula>"CL"</formula>
    </cfRule>
    <cfRule type="cellIs" dxfId="1753" priority="1799" operator="equal">
      <formula>"EL"</formula>
    </cfRule>
  </conditionalFormatting>
  <conditionalFormatting sqref="AT5:AU5">
    <cfRule type="cellIs" dxfId="1752" priority="1788" operator="equal">
      <formula>"C-Off-H"</formula>
    </cfRule>
    <cfRule type="cellIs" dxfId="1751" priority="1789" operator="equal">
      <formula>"C-Off"</formula>
    </cfRule>
    <cfRule type="cellIs" dxfId="1750" priority="1790" operator="equal">
      <formula>"CL-H"</formula>
    </cfRule>
    <cfRule type="cellIs" dxfId="1749" priority="1791" operator="equal">
      <formula>"EL-H"</formula>
    </cfRule>
    <cfRule type="cellIs" dxfId="1748" priority="1792" operator="equal">
      <formula>"CL"</formula>
    </cfRule>
    <cfRule type="cellIs" dxfId="1747" priority="1793" operator="equal">
      <formula>"EL"</formula>
    </cfRule>
  </conditionalFormatting>
  <conditionalFormatting sqref="AT5:AU5">
    <cfRule type="containsText" dxfId="1746" priority="1782" operator="containsText" text="S">
      <formula>NOT(ISERROR(SEARCH("S",AT5)))</formula>
    </cfRule>
    <cfRule type="containsText" dxfId="1745" priority="1783" operator="containsText" text="P">
      <formula>NOT(ISERROR(SEARCH("P",AT5)))</formula>
    </cfRule>
    <cfRule type="containsText" dxfId="1744" priority="1784" operator="containsText" text="H">
      <formula>NOT(ISERROR(SEARCH("H",AT5)))</formula>
    </cfRule>
    <cfRule type="containsText" dxfId="1743" priority="1786" operator="containsText" text="&quot;H&quot;">
      <formula>NOT(ISERROR(SEARCH("""H""",AT5)))</formula>
    </cfRule>
    <cfRule type="containsText" dxfId="1742" priority="1787" operator="containsText" text="&quot;A&quot;">
      <formula>NOT(ISERROR(SEARCH("""A""",AT5)))</formula>
    </cfRule>
  </conditionalFormatting>
  <conditionalFormatting sqref="AT5:AU5">
    <cfRule type="containsText" dxfId="1741" priority="1785" operator="containsText" text="A-H">
      <formula>NOT(ISERROR(SEARCH("A-H",AT5)))</formula>
    </cfRule>
  </conditionalFormatting>
  <conditionalFormatting sqref="E5">
    <cfRule type="cellIs" dxfId="1740" priority="1776" operator="equal">
      <formula>"C-Off-H"</formula>
    </cfRule>
    <cfRule type="cellIs" dxfId="1739" priority="1777" operator="equal">
      <formula>"C-Off"</formula>
    </cfRule>
    <cfRule type="cellIs" dxfId="1738" priority="1778" operator="equal">
      <formula>"CL-H"</formula>
    </cfRule>
    <cfRule type="cellIs" dxfId="1737" priority="1779" operator="equal">
      <formula>"EL-H"</formula>
    </cfRule>
    <cfRule type="cellIs" dxfId="1736" priority="1780" operator="equal">
      <formula>"CL"</formula>
    </cfRule>
    <cfRule type="cellIs" dxfId="1735" priority="1781" operator="equal">
      <formula>"EL"</formula>
    </cfRule>
  </conditionalFormatting>
  <conditionalFormatting sqref="D5:E5">
    <cfRule type="cellIs" dxfId="1734" priority="1770" operator="equal">
      <formula>"C-Off-H"</formula>
    </cfRule>
    <cfRule type="cellIs" dxfId="1733" priority="1771" operator="equal">
      <formula>"C-Off"</formula>
    </cfRule>
    <cfRule type="cellIs" dxfId="1732" priority="1772" operator="equal">
      <formula>"CL-H"</formula>
    </cfRule>
    <cfRule type="cellIs" dxfId="1731" priority="1773" operator="equal">
      <formula>"EL-H"</formula>
    </cfRule>
    <cfRule type="cellIs" dxfId="1730" priority="1774" operator="equal">
      <formula>"CL"</formula>
    </cfRule>
    <cfRule type="cellIs" dxfId="1729" priority="1775" operator="equal">
      <formula>"EL"</formula>
    </cfRule>
  </conditionalFormatting>
  <conditionalFormatting sqref="D5:E5">
    <cfRule type="containsText" dxfId="1728" priority="1764" operator="containsText" text="S">
      <formula>NOT(ISERROR(SEARCH("S",D5)))</formula>
    </cfRule>
    <cfRule type="containsText" dxfId="1727" priority="1765" operator="containsText" text="P">
      <formula>NOT(ISERROR(SEARCH("P",D5)))</formula>
    </cfRule>
    <cfRule type="containsText" dxfId="1726" priority="1766" operator="containsText" text="H">
      <formula>NOT(ISERROR(SEARCH("H",D5)))</formula>
    </cfRule>
    <cfRule type="containsText" dxfId="1725" priority="1768" operator="containsText" text="&quot;H&quot;">
      <formula>NOT(ISERROR(SEARCH("""H""",D5)))</formula>
    </cfRule>
    <cfRule type="containsText" dxfId="1724" priority="1769" operator="containsText" text="&quot;A&quot;">
      <formula>NOT(ISERROR(SEARCH("""A""",D5)))</formula>
    </cfRule>
  </conditionalFormatting>
  <conditionalFormatting sqref="D5:E5">
    <cfRule type="containsText" dxfId="1723" priority="1767" operator="containsText" text="A-H">
      <formula>NOT(ISERROR(SEARCH("A-H",D5)))</formula>
    </cfRule>
  </conditionalFormatting>
  <conditionalFormatting sqref="Z5">
    <cfRule type="cellIs" dxfId="1722" priority="1758" operator="equal">
      <formula>"C-Off-H"</formula>
    </cfRule>
    <cfRule type="cellIs" dxfId="1721" priority="1759" operator="equal">
      <formula>"C-Off"</formula>
    </cfRule>
    <cfRule type="cellIs" dxfId="1720" priority="1760" operator="equal">
      <formula>"CL-H"</formula>
    </cfRule>
    <cfRule type="cellIs" dxfId="1719" priority="1761" operator="equal">
      <formula>"EL-H"</formula>
    </cfRule>
    <cfRule type="cellIs" dxfId="1718" priority="1762" operator="equal">
      <formula>"CL"</formula>
    </cfRule>
    <cfRule type="cellIs" dxfId="1717" priority="1763" operator="equal">
      <formula>"EL"</formula>
    </cfRule>
  </conditionalFormatting>
  <conditionalFormatting sqref="Z5">
    <cfRule type="containsText" dxfId="1716" priority="1752" operator="containsText" text="S">
      <formula>NOT(ISERROR(SEARCH("S",Z5)))</formula>
    </cfRule>
    <cfRule type="containsText" dxfId="1715" priority="1753" operator="containsText" text="P">
      <formula>NOT(ISERROR(SEARCH("P",Z5)))</formula>
    </cfRule>
    <cfRule type="containsText" dxfId="1714" priority="1754" operator="containsText" text="H">
      <formula>NOT(ISERROR(SEARCH("H",Z5)))</formula>
    </cfRule>
    <cfRule type="containsText" dxfId="1713" priority="1756" operator="containsText" text="&quot;H&quot;">
      <formula>NOT(ISERROR(SEARCH("""H""",Z5)))</formula>
    </cfRule>
    <cfRule type="containsText" dxfId="1712" priority="1757" operator="containsText" text="&quot;A&quot;">
      <formula>NOT(ISERROR(SEARCH("""A""",Z5)))</formula>
    </cfRule>
  </conditionalFormatting>
  <conditionalFormatting sqref="Z5">
    <cfRule type="containsText" dxfId="1711" priority="1755" operator="containsText" text="A-H">
      <formula>NOT(ISERROR(SEARCH("A-H",Z5)))</formula>
    </cfRule>
  </conditionalFormatting>
  <conditionalFormatting sqref="Y5">
    <cfRule type="cellIs" dxfId="1710" priority="1746" operator="equal">
      <formula>"C-Off-H"</formula>
    </cfRule>
    <cfRule type="cellIs" dxfId="1709" priority="1747" operator="equal">
      <formula>"C-Off"</formula>
    </cfRule>
    <cfRule type="cellIs" dxfId="1708" priority="1748" operator="equal">
      <formula>"CL-H"</formula>
    </cfRule>
    <cfRule type="cellIs" dxfId="1707" priority="1749" operator="equal">
      <formula>"EL-H"</formula>
    </cfRule>
    <cfRule type="cellIs" dxfId="1706" priority="1750" operator="equal">
      <formula>"CL"</formula>
    </cfRule>
    <cfRule type="cellIs" dxfId="1705" priority="1751" operator="equal">
      <formula>"EL"</formula>
    </cfRule>
  </conditionalFormatting>
  <conditionalFormatting sqref="Y5">
    <cfRule type="containsText" dxfId="1704" priority="1740" operator="containsText" text="S">
      <formula>NOT(ISERROR(SEARCH("S",Y5)))</formula>
    </cfRule>
    <cfRule type="containsText" dxfId="1703" priority="1741" operator="containsText" text="P">
      <formula>NOT(ISERROR(SEARCH("P",Y5)))</formula>
    </cfRule>
    <cfRule type="containsText" dxfId="1702" priority="1742" operator="containsText" text="H">
      <formula>NOT(ISERROR(SEARCH("H",Y5)))</formula>
    </cfRule>
    <cfRule type="containsText" dxfId="1701" priority="1744" operator="containsText" text="&quot;H&quot;">
      <formula>NOT(ISERROR(SEARCH("""H""",Y5)))</formula>
    </cfRule>
    <cfRule type="containsText" dxfId="1700" priority="1745" operator="containsText" text="&quot;A&quot;">
      <formula>NOT(ISERROR(SEARCH("""A""",Y5)))</formula>
    </cfRule>
  </conditionalFormatting>
  <conditionalFormatting sqref="Y5">
    <cfRule type="containsText" dxfId="1699" priority="1743" operator="containsText" text="A-H">
      <formula>NOT(ISERROR(SEARCH("A-H",Y5)))</formula>
    </cfRule>
  </conditionalFormatting>
  <conditionalFormatting sqref="AF5">
    <cfRule type="cellIs" dxfId="1698" priority="1734" operator="equal">
      <formula>"C-Off-H"</formula>
    </cfRule>
    <cfRule type="cellIs" dxfId="1697" priority="1735" operator="equal">
      <formula>"C-Off"</formula>
    </cfRule>
    <cfRule type="cellIs" dxfId="1696" priority="1736" operator="equal">
      <formula>"CL-H"</formula>
    </cfRule>
    <cfRule type="cellIs" dxfId="1695" priority="1737" operator="equal">
      <formula>"EL-H"</formula>
    </cfRule>
    <cfRule type="cellIs" dxfId="1694" priority="1738" operator="equal">
      <formula>"CL"</formula>
    </cfRule>
    <cfRule type="cellIs" dxfId="1693" priority="1739" operator="equal">
      <formula>"EL"</formula>
    </cfRule>
  </conditionalFormatting>
  <conditionalFormatting sqref="AF5">
    <cfRule type="containsText" dxfId="1692" priority="1728" operator="containsText" text="S">
      <formula>NOT(ISERROR(SEARCH("S",AF5)))</formula>
    </cfRule>
    <cfRule type="containsText" dxfId="1691" priority="1729" operator="containsText" text="P">
      <formula>NOT(ISERROR(SEARCH("P",AF5)))</formula>
    </cfRule>
    <cfRule type="containsText" dxfId="1690" priority="1730" operator="containsText" text="H">
      <formula>NOT(ISERROR(SEARCH("H",AF5)))</formula>
    </cfRule>
    <cfRule type="containsText" dxfId="1689" priority="1732" operator="containsText" text="&quot;H&quot;">
      <formula>NOT(ISERROR(SEARCH("""H""",AF5)))</formula>
    </cfRule>
    <cfRule type="containsText" dxfId="1688" priority="1733" operator="containsText" text="&quot;A&quot;">
      <formula>NOT(ISERROR(SEARCH("""A""",AF5)))</formula>
    </cfRule>
  </conditionalFormatting>
  <conditionalFormatting sqref="AF5">
    <cfRule type="containsText" dxfId="1687" priority="1731" operator="containsText" text="A-H">
      <formula>NOT(ISERROR(SEARCH("A-H",AF5)))</formula>
    </cfRule>
  </conditionalFormatting>
  <conditionalFormatting sqref="BO5:BP5">
    <cfRule type="cellIs" dxfId="1686" priority="1722" operator="equal">
      <formula>"C-Off-H"</formula>
    </cfRule>
    <cfRule type="cellIs" dxfId="1685" priority="1723" operator="equal">
      <formula>"C-Off"</formula>
    </cfRule>
    <cfRule type="cellIs" dxfId="1684" priority="1724" operator="equal">
      <formula>"CL-H"</formula>
    </cfRule>
    <cfRule type="cellIs" dxfId="1683" priority="1725" operator="equal">
      <formula>"EL-H"</formula>
    </cfRule>
    <cfRule type="cellIs" dxfId="1682" priority="1726" operator="equal">
      <formula>"CL"</formula>
    </cfRule>
    <cfRule type="cellIs" dxfId="1681" priority="1727" operator="equal">
      <formula>"EL"</formula>
    </cfRule>
  </conditionalFormatting>
  <conditionalFormatting sqref="BO5:BP5">
    <cfRule type="cellIs" dxfId="1680" priority="1716" operator="equal">
      <formula>"C-Off-H"</formula>
    </cfRule>
    <cfRule type="cellIs" dxfId="1679" priority="1717" operator="equal">
      <formula>"C-Off"</formula>
    </cfRule>
    <cfRule type="cellIs" dxfId="1678" priority="1718" operator="equal">
      <formula>"CL-H"</formula>
    </cfRule>
    <cfRule type="cellIs" dxfId="1677" priority="1719" operator="equal">
      <formula>"EL-H"</formula>
    </cfRule>
    <cfRule type="cellIs" dxfId="1676" priority="1720" operator="equal">
      <formula>"CL"</formula>
    </cfRule>
    <cfRule type="cellIs" dxfId="1675" priority="1721" operator="equal">
      <formula>"EL"</formula>
    </cfRule>
  </conditionalFormatting>
  <conditionalFormatting sqref="BO5:BP5">
    <cfRule type="containsText" dxfId="1674" priority="1710" operator="containsText" text="S">
      <formula>NOT(ISERROR(SEARCH("S",BO5)))</formula>
    </cfRule>
    <cfRule type="containsText" dxfId="1673" priority="1711" operator="containsText" text="P">
      <formula>NOT(ISERROR(SEARCH("P",BO5)))</formula>
    </cfRule>
    <cfRule type="containsText" dxfId="1672" priority="1712" operator="containsText" text="H">
      <formula>NOT(ISERROR(SEARCH("H",BO5)))</formula>
    </cfRule>
    <cfRule type="containsText" dxfId="1671" priority="1714" operator="containsText" text="&quot;H&quot;">
      <formula>NOT(ISERROR(SEARCH("""H""",BO5)))</formula>
    </cfRule>
    <cfRule type="containsText" dxfId="1670" priority="1715" operator="containsText" text="&quot;A&quot;">
      <formula>NOT(ISERROR(SEARCH("""A""",BO5)))</formula>
    </cfRule>
  </conditionalFormatting>
  <conditionalFormatting sqref="BO5:BP5">
    <cfRule type="containsText" dxfId="1669" priority="1713" operator="containsText" text="A-H">
      <formula>NOT(ISERROR(SEARCH("A-H",BO5)))</formula>
    </cfRule>
  </conditionalFormatting>
  <conditionalFormatting sqref="CA5">
    <cfRule type="cellIs" dxfId="1668" priority="1704" operator="equal">
      <formula>"C-Off-H"</formula>
    </cfRule>
    <cfRule type="cellIs" dxfId="1667" priority="1705" operator="equal">
      <formula>"C-Off"</formula>
    </cfRule>
    <cfRule type="cellIs" dxfId="1666" priority="1706" operator="equal">
      <formula>"CL-H"</formula>
    </cfRule>
    <cfRule type="cellIs" dxfId="1665" priority="1707" operator="equal">
      <formula>"EL-H"</formula>
    </cfRule>
    <cfRule type="cellIs" dxfId="1664" priority="1708" operator="equal">
      <formula>"CL"</formula>
    </cfRule>
    <cfRule type="cellIs" dxfId="1663" priority="1709" operator="equal">
      <formula>"EL"</formula>
    </cfRule>
  </conditionalFormatting>
  <conditionalFormatting sqref="CA5">
    <cfRule type="cellIs" dxfId="1662" priority="1698" operator="equal">
      <formula>"C-Off-H"</formula>
    </cfRule>
    <cfRule type="cellIs" dxfId="1661" priority="1699" operator="equal">
      <formula>"C-Off"</formula>
    </cfRule>
    <cfRule type="cellIs" dxfId="1660" priority="1700" operator="equal">
      <formula>"CL-H"</formula>
    </cfRule>
    <cfRule type="cellIs" dxfId="1659" priority="1701" operator="equal">
      <formula>"EL-H"</formula>
    </cfRule>
    <cfRule type="cellIs" dxfId="1658" priority="1702" operator="equal">
      <formula>"CL"</formula>
    </cfRule>
    <cfRule type="cellIs" dxfId="1657" priority="1703" operator="equal">
      <formula>"EL"</formula>
    </cfRule>
  </conditionalFormatting>
  <conditionalFormatting sqref="CA5">
    <cfRule type="containsText" dxfId="1656" priority="1692" operator="containsText" text="S">
      <formula>NOT(ISERROR(SEARCH("S",CA5)))</formula>
    </cfRule>
    <cfRule type="containsText" dxfId="1655" priority="1693" operator="containsText" text="P">
      <formula>NOT(ISERROR(SEARCH("P",CA5)))</formula>
    </cfRule>
    <cfRule type="containsText" dxfId="1654" priority="1694" operator="containsText" text="H">
      <formula>NOT(ISERROR(SEARCH("H",CA5)))</formula>
    </cfRule>
    <cfRule type="containsText" dxfId="1653" priority="1696" operator="containsText" text="&quot;H&quot;">
      <formula>NOT(ISERROR(SEARCH("""H""",CA5)))</formula>
    </cfRule>
    <cfRule type="containsText" dxfId="1652" priority="1697" operator="containsText" text="&quot;A&quot;">
      <formula>NOT(ISERROR(SEARCH("""A""",CA5)))</formula>
    </cfRule>
  </conditionalFormatting>
  <conditionalFormatting sqref="CA5">
    <cfRule type="containsText" dxfId="1651" priority="1695" operator="containsText" text="A-H">
      <formula>NOT(ISERROR(SEARCH("A-H",CA5)))</formula>
    </cfRule>
  </conditionalFormatting>
  <conditionalFormatting sqref="V5:W5">
    <cfRule type="cellIs" dxfId="1650" priority="1662" operator="equal">
      <formula>"C-Off-H"</formula>
    </cfRule>
    <cfRule type="cellIs" dxfId="1649" priority="1663" operator="equal">
      <formula>"C-Off"</formula>
    </cfRule>
    <cfRule type="cellIs" dxfId="1648" priority="1664" operator="equal">
      <formula>"CL-H"</formula>
    </cfRule>
    <cfRule type="cellIs" dxfId="1647" priority="1665" operator="equal">
      <formula>"EL-H"</formula>
    </cfRule>
    <cfRule type="cellIs" dxfId="1646" priority="1666" operator="equal">
      <formula>"CL"</formula>
    </cfRule>
    <cfRule type="cellIs" dxfId="1645" priority="1667" operator="equal">
      <formula>"EL"</formula>
    </cfRule>
  </conditionalFormatting>
  <conditionalFormatting sqref="V5:W5">
    <cfRule type="containsText" dxfId="1644" priority="1656" operator="containsText" text="S">
      <formula>NOT(ISERROR(SEARCH("S",V5)))</formula>
    </cfRule>
    <cfRule type="containsText" dxfId="1643" priority="1657" operator="containsText" text="P">
      <formula>NOT(ISERROR(SEARCH("P",V5)))</formula>
    </cfRule>
    <cfRule type="containsText" dxfId="1642" priority="1658" operator="containsText" text="H">
      <formula>NOT(ISERROR(SEARCH("H",V5)))</formula>
    </cfRule>
    <cfRule type="containsText" dxfId="1641" priority="1660" operator="containsText" text="&quot;H&quot;">
      <formula>NOT(ISERROR(SEARCH("""H""",V5)))</formula>
    </cfRule>
    <cfRule type="containsText" dxfId="1640" priority="1661" operator="containsText" text="&quot;A&quot;">
      <formula>NOT(ISERROR(SEARCH("""A""",V5)))</formula>
    </cfRule>
  </conditionalFormatting>
  <conditionalFormatting sqref="V5:W5">
    <cfRule type="containsText" dxfId="1639" priority="1659" operator="containsText" text="A-H">
      <formula>NOT(ISERROR(SEARCH("A-H",V5)))</formula>
    </cfRule>
  </conditionalFormatting>
  <conditionalFormatting sqref="P5:Q5">
    <cfRule type="cellIs" dxfId="1638" priority="1686" operator="equal">
      <formula>"C-Off-H"</formula>
    </cfRule>
    <cfRule type="cellIs" dxfId="1637" priority="1687" operator="equal">
      <formula>"C-Off"</formula>
    </cfRule>
    <cfRule type="cellIs" dxfId="1636" priority="1688" operator="equal">
      <formula>"CL-H"</formula>
    </cfRule>
    <cfRule type="cellIs" dxfId="1635" priority="1689" operator="equal">
      <formula>"EL-H"</formula>
    </cfRule>
    <cfRule type="cellIs" dxfId="1634" priority="1690" operator="equal">
      <formula>"CL"</formula>
    </cfRule>
    <cfRule type="cellIs" dxfId="1633" priority="1691" operator="equal">
      <formula>"EL"</formula>
    </cfRule>
  </conditionalFormatting>
  <conditionalFormatting sqref="P5:Q5">
    <cfRule type="containsText" dxfId="1632" priority="1680" operator="containsText" text="S">
      <formula>NOT(ISERROR(SEARCH("S",P5)))</formula>
    </cfRule>
    <cfRule type="containsText" dxfId="1631" priority="1681" operator="containsText" text="P">
      <formula>NOT(ISERROR(SEARCH("P",P5)))</formula>
    </cfRule>
    <cfRule type="containsText" dxfId="1630" priority="1682" operator="containsText" text="H">
      <formula>NOT(ISERROR(SEARCH("H",P5)))</formula>
    </cfRule>
    <cfRule type="containsText" dxfId="1629" priority="1684" operator="containsText" text="&quot;H&quot;">
      <formula>NOT(ISERROR(SEARCH("""H""",P5)))</formula>
    </cfRule>
    <cfRule type="containsText" dxfId="1628" priority="1685" operator="containsText" text="&quot;A&quot;">
      <formula>NOT(ISERROR(SEARCH("""A""",P5)))</formula>
    </cfRule>
  </conditionalFormatting>
  <conditionalFormatting sqref="P5:Q5">
    <cfRule type="containsText" dxfId="1627" priority="1683" operator="containsText" text="A-H">
      <formula>NOT(ISERROR(SEARCH("A-H",P5)))</formula>
    </cfRule>
  </conditionalFormatting>
  <conditionalFormatting sqref="S5:T5">
    <cfRule type="cellIs" dxfId="1626" priority="1674" operator="equal">
      <formula>"C-Off-H"</formula>
    </cfRule>
    <cfRule type="cellIs" dxfId="1625" priority="1675" operator="equal">
      <formula>"C-Off"</formula>
    </cfRule>
    <cfRule type="cellIs" dxfId="1624" priority="1676" operator="equal">
      <formula>"CL-H"</formula>
    </cfRule>
    <cfRule type="cellIs" dxfId="1623" priority="1677" operator="equal">
      <formula>"EL-H"</formula>
    </cfRule>
    <cfRule type="cellIs" dxfId="1622" priority="1678" operator="equal">
      <formula>"CL"</formula>
    </cfRule>
    <cfRule type="cellIs" dxfId="1621" priority="1679" operator="equal">
      <formula>"EL"</formula>
    </cfRule>
  </conditionalFormatting>
  <conditionalFormatting sqref="S5:T5">
    <cfRule type="containsText" dxfId="1620" priority="1668" operator="containsText" text="S">
      <formula>NOT(ISERROR(SEARCH("S",S5)))</formula>
    </cfRule>
    <cfRule type="containsText" dxfId="1619" priority="1669" operator="containsText" text="P">
      <formula>NOT(ISERROR(SEARCH("P",S5)))</formula>
    </cfRule>
    <cfRule type="containsText" dxfId="1618" priority="1670" operator="containsText" text="H">
      <formula>NOT(ISERROR(SEARCH("H",S5)))</formula>
    </cfRule>
    <cfRule type="containsText" dxfId="1617" priority="1672" operator="containsText" text="&quot;H&quot;">
      <formula>NOT(ISERROR(SEARCH("""H""",S5)))</formula>
    </cfRule>
    <cfRule type="containsText" dxfId="1616" priority="1673" operator="containsText" text="&quot;A&quot;">
      <formula>NOT(ISERROR(SEARCH("""A""",S5)))</formula>
    </cfRule>
  </conditionalFormatting>
  <conditionalFormatting sqref="S5:T5">
    <cfRule type="containsText" dxfId="1615" priority="1671" operator="containsText" text="A-H">
      <formula>NOT(ISERROR(SEARCH("A-H",S5)))</formula>
    </cfRule>
  </conditionalFormatting>
  <conditionalFormatting sqref="AB5:AC5">
    <cfRule type="cellIs" dxfId="1614" priority="1650" operator="equal">
      <formula>"C-Off-H"</formula>
    </cfRule>
    <cfRule type="cellIs" dxfId="1613" priority="1651" operator="equal">
      <formula>"C-Off"</formula>
    </cfRule>
    <cfRule type="cellIs" dxfId="1612" priority="1652" operator="equal">
      <formula>"CL-H"</formula>
    </cfRule>
    <cfRule type="cellIs" dxfId="1611" priority="1653" operator="equal">
      <formula>"EL-H"</formula>
    </cfRule>
    <cfRule type="cellIs" dxfId="1610" priority="1654" operator="equal">
      <formula>"CL"</formula>
    </cfRule>
    <cfRule type="cellIs" dxfId="1609" priority="1655" operator="equal">
      <formula>"EL"</formula>
    </cfRule>
  </conditionalFormatting>
  <conditionalFormatting sqref="AB5:AC5">
    <cfRule type="containsText" dxfId="1608" priority="1644" operator="containsText" text="S">
      <formula>NOT(ISERROR(SEARCH("S",AB5)))</formula>
    </cfRule>
    <cfRule type="containsText" dxfId="1607" priority="1645" operator="containsText" text="P">
      <formula>NOT(ISERROR(SEARCH("P",AB5)))</formula>
    </cfRule>
    <cfRule type="containsText" dxfId="1606" priority="1646" operator="containsText" text="H">
      <formula>NOT(ISERROR(SEARCH("H",AB5)))</formula>
    </cfRule>
    <cfRule type="containsText" dxfId="1605" priority="1648" operator="containsText" text="&quot;H&quot;">
      <formula>NOT(ISERROR(SEARCH("""H""",AB5)))</formula>
    </cfRule>
    <cfRule type="containsText" dxfId="1604" priority="1649" operator="containsText" text="&quot;A&quot;">
      <formula>NOT(ISERROR(SEARCH("""A""",AB5)))</formula>
    </cfRule>
  </conditionalFormatting>
  <conditionalFormatting sqref="AB5:AC5">
    <cfRule type="containsText" dxfId="1603" priority="1647" operator="containsText" text="A-H">
      <formula>NOT(ISERROR(SEARCH("A-H",AB5)))</formula>
    </cfRule>
  </conditionalFormatting>
  <conditionalFormatting sqref="AE5">
    <cfRule type="cellIs" dxfId="1602" priority="1638" operator="equal">
      <formula>"C-Off-H"</formula>
    </cfRule>
    <cfRule type="cellIs" dxfId="1601" priority="1639" operator="equal">
      <formula>"C-Off"</formula>
    </cfRule>
    <cfRule type="cellIs" dxfId="1600" priority="1640" operator="equal">
      <formula>"CL-H"</formula>
    </cfRule>
    <cfRule type="cellIs" dxfId="1599" priority="1641" operator="equal">
      <formula>"EL-H"</formula>
    </cfRule>
    <cfRule type="cellIs" dxfId="1598" priority="1642" operator="equal">
      <formula>"CL"</formula>
    </cfRule>
    <cfRule type="cellIs" dxfId="1597" priority="1643" operator="equal">
      <formula>"EL"</formula>
    </cfRule>
  </conditionalFormatting>
  <conditionalFormatting sqref="AE5">
    <cfRule type="containsText" dxfId="1596" priority="1632" operator="containsText" text="S">
      <formula>NOT(ISERROR(SEARCH("S",AE5)))</formula>
    </cfRule>
    <cfRule type="containsText" dxfId="1595" priority="1633" operator="containsText" text="P">
      <formula>NOT(ISERROR(SEARCH("P",AE5)))</formula>
    </cfRule>
    <cfRule type="containsText" dxfId="1594" priority="1634" operator="containsText" text="H">
      <formula>NOT(ISERROR(SEARCH("H",AE5)))</formula>
    </cfRule>
    <cfRule type="containsText" dxfId="1593" priority="1636" operator="containsText" text="&quot;H&quot;">
      <formula>NOT(ISERROR(SEARCH("""H""",AE5)))</formula>
    </cfRule>
    <cfRule type="containsText" dxfId="1592" priority="1637" operator="containsText" text="&quot;A&quot;">
      <formula>NOT(ISERROR(SEARCH("""A""",AE5)))</formula>
    </cfRule>
  </conditionalFormatting>
  <conditionalFormatting sqref="AE5">
    <cfRule type="containsText" dxfId="1591" priority="1635" operator="containsText" text="A-H">
      <formula>NOT(ISERROR(SEARCH("A-H",AE5)))</formula>
    </cfRule>
  </conditionalFormatting>
  <conditionalFormatting sqref="AK5:AL5">
    <cfRule type="cellIs" dxfId="1590" priority="1626" operator="equal">
      <formula>"C-Off-H"</formula>
    </cfRule>
    <cfRule type="cellIs" dxfId="1589" priority="1627" operator="equal">
      <formula>"C-Off"</formula>
    </cfRule>
    <cfRule type="cellIs" dxfId="1588" priority="1628" operator="equal">
      <formula>"CL-H"</formula>
    </cfRule>
    <cfRule type="cellIs" dxfId="1587" priority="1629" operator="equal">
      <formula>"EL-H"</formula>
    </cfRule>
    <cfRule type="cellIs" dxfId="1586" priority="1630" operator="equal">
      <formula>"CL"</formula>
    </cfRule>
    <cfRule type="cellIs" dxfId="1585" priority="1631" operator="equal">
      <formula>"EL"</formula>
    </cfRule>
  </conditionalFormatting>
  <conditionalFormatting sqref="AK5:AL5">
    <cfRule type="containsText" dxfId="1584" priority="1620" operator="containsText" text="S">
      <formula>NOT(ISERROR(SEARCH("S",AK5)))</formula>
    </cfRule>
    <cfRule type="containsText" dxfId="1583" priority="1621" operator="containsText" text="P">
      <formula>NOT(ISERROR(SEARCH("P",AK5)))</formula>
    </cfRule>
    <cfRule type="containsText" dxfId="1582" priority="1622" operator="containsText" text="H">
      <formula>NOT(ISERROR(SEARCH("H",AK5)))</formula>
    </cfRule>
    <cfRule type="containsText" dxfId="1581" priority="1624" operator="containsText" text="&quot;H&quot;">
      <formula>NOT(ISERROR(SEARCH("""H""",AK5)))</formula>
    </cfRule>
    <cfRule type="containsText" dxfId="1580" priority="1625" operator="containsText" text="&quot;A&quot;">
      <formula>NOT(ISERROR(SEARCH("""A""",AK5)))</formula>
    </cfRule>
  </conditionalFormatting>
  <conditionalFormatting sqref="AK5:AL5">
    <cfRule type="containsText" dxfId="1579" priority="1623" operator="containsText" text="A-H">
      <formula>NOT(ISERROR(SEARCH("A-H",AK5)))</formula>
    </cfRule>
  </conditionalFormatting>
  <conditionalFormatting sqref="AN5:AO5">
    <cfRule type="cellIs" dxfId="1578" priority="1614" operator="equal">
      <formula>"C-Off-H"</formula>
    </cfRule>
    <cfRule type="cellIs" dxfId="1577" priority="1615" operator="equal">
      <formula>"C-Off"</formula>
    </cfRule>
    <cfRule type="cellIs" dxfId="1576" priority="1616" operator="equal">
      <formula>"CL-H"</formula>
    </cfRule>
    <cfRule type="cellIs" dxfId="1575" priority="1617" operator="equal">
      <formula>"EL-H"</formula>
    </cfRule>
    <cfRule type="cellIs" dxfId="1574" priority="1618" operator="equal">
      <formula>"CL"</formula>
    </cfRule>
    <cfRule type="cellIs" dxfId="1573" priority="1619" operator="equal">
      <formula>"EL"</formula>
    </cfRule>
  </conditionalFormatting>
  <conditionalFormatting sqref="AN5:AO5">
    <cfRule type="containsText" dxfId="1572" priority="1608" operator="containsText" text="S">
      <formula>NOT(ISERROR(SEARCH("S",AN5)))</formula>
    </cfRule>
    <cfRule type="containsText" dxfId="1571" priority="1609" operator="containsText" text="P">
      <formula>NOT(ISERROR(SEARCH("P",AN5)))</formula>
    </cfRule>
    <cfRule type="containsText" dxfId="1570" priority="1610" operator="containsText" text="H">
      <formula>NOT(ISERROR(SEARCH("H",AN5)))</formula>
    </cfRule>
    <cfRule type="containsText" dxfId="1569" priority="1612" operator="containsText" text="&quot;H&quot;">
      <formula>NOT(ISERROR(SEARCH("""H""",AN5)))</formula>
    </cfRule>
    <cfRule type="containsText" dxfId="1568" priority="1613" operator="containsText" text="&quot;A&quot;">
      <formula>NOT(ISERROR(SEARCH("""A""",AN5)))</formula>
    </cfRule>
  </conditionalFormatting>
  <conditionalFormatting sqref="AN5:AO5">
    <cfRule type="containsText" dxfId="1567" priority="1611" operator="containsText" text="A-H">
      <formula>NOT(ISERROR(SEARCH("A-H",AN5)))</formula>
    </cfRule>
  </conditionalFormatting>
  <conditionalFormatting sqref="AQ5:AR5">
    <cfRule type="cellIs" dxfId="1566" priority="1602" operator="equal">
      <formula>"C-Off-H"</formula>
    </cfRule>
    <cfRule type="cellIs" dxfId="1565" priority="1603" operator="equal">
      <formula>"C-Off"</formula>
    </cfRule>
    <cfRule type="cellIs" dxfId="1564" priority="1604" operator="equal">
      <formula>"CL-H"</formula>
    </cfRule>
    <cfRule type="cellIs" dxfId="1563" priority="1605" operator="equal">
      <formula>"EL-H"</formula>
    </cfRule>
    <cfRule type="cellIs" dxfId="1562" priority="1606" operator="equal">
      <formula>"CL"</formula>
    </cfRule>
    <cfRule type="cellIs" dxfId="1561" priority="1607" operator="equal">
      <formula>"EL"</formula>
    </cfRule>
  </conditionalFormatting>
  <conditionalFormatting sqref="AQ5:AR5">
    <cfRule type="containsText" dxfId="1560" priority="1596" operator="containsText" text="S">
      <formula>NOT(ISERROR(SEARCH("S",AQ5)))</formula>
    </cfRule>
    <cfRule type="containsText" dxfId="1559" priority="1597" operator="containsText" text="P">
      <formula>NOT(ISERROR(SEARCH("P",AQ5)))</formula>
    </cfRule>
    <cfRule type="containsText" dxfId="1558" priority="1598" operator="containsText" text="H">
      <formula>NOT(ISERROR(SEARCH("H",AQ5)))</formula>
    </cfRule>
    <cfRule type="containsText" dxfId="1557" priority="1600" operator="containsText" text="&quot;H&quot;">
      <formula>NOT(ISERROR(SEARCH("""H""",AQ5)))</formula>
    </cfRule>
    <cfRule type="containsText" dxfId="1556" priority="1601" operator="containsText" text="&quot;A&quot;">
      <formula>NOT(ISERROR(SEARCH("""A""",AQ5)))</formula>
    </cfRule>
  </conditionalFormatting>
  <conditionalFormatting sqref="AQ5:AR5">
    <cfRule type="containsText" dxfId="1555" priority="1599" operator="containsText" text="A-H">
      <formula>NOT(ISERROR(SEARCH("A-H",AQ5)))</formula>
    </cfRule>
  </conditionalFormatting>
  <conditionalFormatting sqref="AW5:AX5">
    <cfRule type="cellIs" dxfId="1554" priority="1590" operator="equal">
      <formula>"C-Off-H"</formula>
    </cfRule>
    <cfRule type="cellIs" dxfId="1553" priority="1591" operator="equal">
      <formula>"C-Off"</formula>
    </cfRule>
    <cfRule type="cellIs" dxfId="1552" priority="1592" operator="equal">
      <formula>"CL-H"</formula>
    </cfRule>
    <cfRule type="cellIs" dxfId="1551" priority="1593" operator="equal">
      <formula>"EL-H"</formula>
    </cfRule>
    <cfRule type="cellIs" dxfId="1550" priority="1594" operator="equal">
      <formula>"CL"</formula>
    </cfRule>
    <cfRule type="cellIs" dxfId="1549" priority="1595" operator="equal">
      <formula>"EL"</formula>
    </cfRule>
  </conditionalFormatting>
  <conditionalFormatting sqref="AW5:AX5">
    <cfRule type="containsText" dxfId="1548" priority="1584" operator="containsText" text="S">
      <formula>NOT(ISERROR(SEARCH("S",AW5)))</formula>
    </cfRule>
    <cfRule type="containsText" dxfId="1547" priority="1585" operator="containsText" text="P">
      <formula>NOT(ISERROR(SEARCH("P",AW5)))</formula>
    </cfRule>
    <cfRule type="containsText" dxfId="1546" priority="1586" operator="containsText" text="H">
      <formula>NOT(ISERROR(SEARCH("H",AW5)))</formula>
    </cfRule>
    <cfRule type="containsText" dxfId="1545" priority="1588" operator="containsText" text="&quot;H&quot;">
      <formula>NOT(ISERROR(SEARCH("""H""",AW5)))</formula>
    </cfRule>
    <cfRule type="containsText" dxfId="1544" priority="1589" operator="containsText" text="&quot;A&quot;">
      <formula>NOT(ISERROR(SEARCH("""A""",AW5)))</formula>
    </cfRule>
  </conditionalFormatting>
  <conditionalFormatting sqref="AW5:AX5">
    <cfRule type="containsText" dxfId="1543" priority="1587" operator="containsText" text="A-H">
      <formula>NOT(ISERROR(SEARCH("A-H",AW5)))</formula>
    </cfRule>
  </conditionalFormatting>
  <conditionalFormatting sqref="AZ5:BA5">
    <cfRule type="cellIs" dxfId="1542" priority="1578" operator="equal">
      <formula>"C-Off-H"</formula>
    </cfRule>
    <cfRule type="cellIs" dxfId="1541" priority="1579" operator="equal">
      <formula>"C-Off"</formula>
    </cfRule>
    <cfRule type="cellIs" dxfId="1540" priority="1580" operator="equal">
      <formula>"CL-H"</formula>
    </cfRule>
    <cfRule type="cellIs" dxfId="1539" priority="1581" operator="equal">
      <formula>"EL-H"</formula>
    </cfRule>
    <cfRule type="cellIs" dxfId="1538" priority="1582" operator="equal">
      <formula>"CL"</formula>
    </cfRule>
    <cfRule type="cellIs" dxfId="1537" priority="1583" operator="equal">
      <formula>"EL"</formula>
    </cfRule>
  </conditionalFormatting>
  <conditionalFormatting sqref="AZ5:BA5">
    <cfRule type="containsText" dxfId="1536" priority="1572" operator="containsText" text="S">
      <formula>NOT(ISERROR(SEARCH("S",AZ5)))</formula>
    </cfRule>
    <cfRule type="containsText" dxfId="1535" priority="1573" operator="containsText" text="P">
      <formula>NOT(ISERROR(SEARCH("P",AZ5)))</formula>
    </cfRule>
    <cfRule type="containsText" dxfId="1534" priority="1574" operator="containsText" text="H">
      <formula>NOT(ISERROR(SEARCH("H",AZ5)))</formula>
    </cfRule>
    <cfRule type="containsText" dxfId="1533" priority="1576" operator="containsText" text="&quot;H&quot;">
      <formula>NOT(ISERROR(SEARCH("""H""",AZ5)))</formula>
    </cfRule>
    <cfRule type="containsText" dxfId="1532" priority="1577" operator="containsText" text="&quot;A&quot;">
      <formula>NOT(ISERROR(SEARCH("""A""",AZ5)))</formula>
    </cfRule>
  </conditionalFormatting>
  <conditionalFormatting sqref="AZ5:BA5">
    <cfRule type="containsText" dxfId="1531" priority="1575" operator="containsText" text="A-H">
      <formula>NOT(ISERROR(SEARCH("A-H",AZ5)))</formula>
    </cfRule>
  </conditionalFormatting>
  <conditionalFormatting sqref="BC5:BD5">
    <cfRule type="cellIs" dxfId="1530" priority="1566" operator="equal">
      <formula>"C-Off-H"</formula>
    </cfRule>
    <cfRule type="cellIs" dxfId="1529" priority="1567" operator="equal">
      <formula>"C-Off"</formula>
    </cfRule>
    <cfRule type="cellIs" dxfId="1528" priority="1568" operator="equal">
      <formula>"CL-H"</formula>
    </cfRule>
    <cfRule type="cellIs" dxfId="1527" priority="1569" operator="equal">
      <formula>"EL-H"</formula>
    </cfRule>
    <cfRule type="cellIs" dxfId="1526" priority="1570" operator="equal">
      <formula>"CL"</formula>
    </cfRule>
    <cfRule type="cellIs" dxfId="1525" priority="1571" operator="equal">
      <formula>"EL"</formula>
    </cfRule>
  </conditionalFormatting>
  <conditionalFormatting sqref="BC5:BD5">
    <cfRule type="containsText" dxfId="1524" priority="1560" operator="containsText" text="S">
      <formula>NOT(ISERROR(SEARCH("S",BC5)))</formula>
    </cfRule>
    <cfRule type="containsText" dxfId="1523" priority="1561" operator="containsText" text="P">
      <formula>NOT(ISERROR(SEARCH("P",BC5)))</formula>
    </cfRule>
    <cfRule type="containsText" dxfId="1522" priority="1562" operator="containsText" text="H">
      <formula>NOT(ISERROR(SEARCH("H",BC5)))</formula>
    </cfRule>
    <cfRule type="containsText" dxfId="1521" priority="1564" operator="containsText" text="&quot;H&quot;">
      <formula>NOT(ISERROR(SEARCH("""H""",BC5)))</formula>
    </cfRule>
    <cfRule type="containsText" dxfId="1520" priority="1565" operator="containsText" text="&quot;A&quot;">
      <formula>NOT(ISERROR(SEARCH("""A""",BC5)))</formula>
    </cfRule>
  </conditionalFormatting>
  <conditionalFormatting sqref="BC5:BD5">
    <cfRule type="containsText" dxfId="1519" priority="1563" operator="containsText" text="A-H">
      <formula>NOT(ISERROR(SEARCH("A-H",BC5)))</formula>
    </cfRule>
  </conditionalFormatting>
  <conditionalFormatting sqref="BF5:BG5">
    <cfRule type="cellIs" dxfId="1518" priority="1554" operator="equal">
      <formula>"C-Off-H"</formula>
    </cfRule>
    <cfRule type="cellIs" dxfId="1517" priority="1555" operator="equal">
      <formula>"C-Off"</formula>
    </cfRule>
    <cfRule type="cellIs" dxfId="1516" priority="1556" operator="equal">
      <formula>"CL-H"</formula>
    </cfRule>
    <cfRule type="cellIs" dxfId="1515" priority="1557" operator="equal">
      <formula>"EL-H"</formula>
    </cfRule>
    <cfRule type="cellIs" dxfId="1514" priority="1558" operator="equal">
      <formula>"CL"</formula>
    </cfRule>
    <cfRule type="cellIs" dxfId="1513" priority="1559" operator="equal">
      <formula>"EL"</formula>
    </cfRule>
  </conditionalFormatting>
  <conditionalFormatting sqref="BF5:BG5">
    <cfRule type="containsText" dxfId="1512" priority="1548" operator="containsText" text="S">
      <formula>NOT(ISERROR(SEARCH("S",BF5)))</formula>
    </cfRule>
    <cfRule type="containsText" dxfId="1511" priority="1549" operator="containsText" text="P">
      <formula>NOT(ISERROR(SEARCH("P",BF5)))</formula>
    </cfRule>
    <cfRule type="containsText" dxfId="1510" priority="1550" operator="containsText" text="H">
      <formula>NOT(ISERROR(SEARCH("H",BF5)))</formula>
    </cfRule>
    <cfRule type="containsText" dxfId="1509" priority="1552" operator="containsText" text="&quot;H&quot;">
      <formula>NOT(ISERROR(SEARCH("""H""",BF5)))</formula>
    </cfRule>
    <cfRule type="containsText" dxfId="1508" priority="1553" operator="containsText" text="&quot;A&quot;">
      <formula>NOT(ISERROR(SEARCH("""A""",BF5)))</formula>
    </cfRule>
  </conditionalFormatting>
  <conditionalFormatting sqref="BF5:BG5">
    <cfRule type="containsText" dxfId="1507" priority="1551" operator="containsText" text="A-H">
      <formula>NOT(ISERROR(SEARCH("A-H",BF5)))</formula>
    </cfRule>
  </conditionalFormatting>
  <conditionalFormatting sqref="BI5:BJ5">
    <cfRule type="cellIs" dxfId="1506" priority="1542" operator="equal">
      <formula>"C-Off-H"</formula>
    </cfRule>
    <cfRule type="cellIs" dxfId="1505" priority="1543" operator="equal">
      <formula>"C-Off"</formula>
    </cfRule>
    <cfRule type="cellIs" dxfId="1504" priority="1544" operator="equal">
      <formula>"CL-H"</formula>
    </cfRule>
    <cfRule type="cellIs" dxfId="1503" priority="1545" operator="equal">
      <formula>"EL-H"</formula>
    </cfRule>
    <cfRule type="cellIs" dxfId="1502" priority="1546" operator="equal">
      <formula>"CL"</formula>
    </cfRule>
    <cfRule type="cellIs" dxfId="1501" priority="1547" operator="equal">
      <formula>"EL"</formula>
    </cfRule>
  </conditionalFormatting>
  <conditionalFormatting sqref="BI5:BJ5">
    <cfRule type="containsText" dxfId="1500" priority="1536" operator="containsText" text="S">
      <formula>NOT(ISERROR(SEARCH("S",BI5)))</formula>
    </cfRule>
    <cfRule type="containsText" dxfId="1499" priority="1537" operator="containsText" text="P">
      <formula>NOT(ISERROR(SEARCH("P",BI5)))</formula>
    </cfRule>
    <cfRule type="containsText" dxfId="1498" priority="1538" operator="containsText" text="H">
      <formula>NOT(ISERROR(SEARCH("H",BI5)))</formula>
    </cfRule>
    <cfRule type="containsText" dxfId="1497" priority="1540" operator="containsText" text="&quot;H&quot;">
      <formula>NOT(ISERROR(SEARCH("""H""",BI5)))</formula>
    </cfRule>
    <cfRule type="containsText" dxfId="1496" priority="1541" operator="containsText" text="&quot;A&quot;">
      <formula>NOT(ISERROR(SEARCH("""A""",BI5)))</formula>
    </cfRule>
  </conditionalFormatting>
  <conditionalFormatting sqref="BI5:BJ5">
    <cfRule type="containsText" dxfId="1495" priority="1539" operator="containsText" text="A-H">
      <formula>NOT(ISERROR(SEARCH("A-H",BI5)))</formula>
    </cfRule>
  </conditionalFormatting>
  <conditionalFormatting sqref="BL5:BM5">
    <cfRule type="cellIs" dxfId="1494" priority="1530" operator="equal">
      <formula>"C-Off-H"</formula>
    </cfRule>
    <cfRule type="cellIs" dxfId="1493" priority="1531" operator="equal">
      <formula>"C-Off"</formula>
    </cfRule>
    <cfRule type="cellIs" dxfId="1492" priority="1532" operator="equal">
      <formula>"CL-H"</formula>
    </cfRule>
    <cfRule type="cellIs" dxfId="1491" priority="1533" operator="equal">
      <formula>"EL-H"</formula>
    </cfRule>
    <cfRule type="cellIs" dxfId="1490" priority="1534" operator="equal">
      <formula>"CL"</formula>
    </cfRule>
    <cfRule type="cellIs" dxfId="1489" priority="1535" operator="equal">
      <formula>"EL"</formula>
    </cfRule>
  </conditionalFormatting>
  <conditionalFormatting sqref="BL5:BM5">
    <cfRule type="containsText" dxfId="1488" priority="1524" operator="containsText" text="S">
      <formula>NOT(ISERROR(SEARCH("S",BL5)))</formula>
    </cfRule>
    <cfRule type="containsText" dxfId="1487" priority="1525" operator="containsText" text="P">
      <formula>NOT(ISERROR(SEARCH("P",BL5)))</formula>
    </cfRule>
    <cfRule type="containsText" dxfId="1486" priority="1526" operator="containsText" text="H">
      <formula>NOT(ISERROR(SEARCH("H",BL5)))</formula>
    </cfRule>
    <cfRule type="containsText" dxfId="1485" priority="1528" operator="containsText" text="&quot;H&quot;">
      <formula>NOT(ISERROR(SEARCH("""H""",BL5)))</formula>
    </cfRule>
    <cfRule type="containsText" dxfId="1484" priority="1529" operator="containsText" text="&quot;A&quot;">
      <formula>NOT(ISERROR(SEARCH("""A""",BL5)))</formula>
    </cfRule>
  </conditionalFormatting>
  <conditionalFormatting sqref="BL5:BM5">
    <cfRule type="containsText" dxfId="1483" priority="1527" operator="containsText" text="A-H">
      <formula>NOT(ISERROR(SEARCH("A-H",BL5)))</formula>
    </cfRule>
  </conditionalFormatting>
  <conditionalFormatting sqref="BR5:BS5">
    <cfRule type="cellIs" dxfId="1482" priority="1518" operator="equal">
      <formula>"C-Off-H"</formula>
    </cfRule>
    <cfRule type="cellIs" dxfId="1481" priority="1519" operator="equal">
      <formula>"C-Off"</formula>
    </cfRule>
    <cfRule type="cellIs" dxfId="1480" priority="1520" operator="equal">
      <formula>"CL-H"</formula>
    </cfRule>
    <cfRule type="cellIs" dxfId="1479" priority="1521" operator="equal">
      <formula>"EL-H"</formula>
    </cfRule>
    <cfRule type="cellIs" dxfId="1478" priority="1522" operator="equal">
      <formula>"CL"</formula>
    </cfRule>
    <cfRule type="cellIs" dxfId="1477" priority="1523" operator="equal">
      <formula>"EL"</formula>
    </cfRule>
  </conditionalFormatting>
  <conditionalFormatting sqref="BR5:BS5">
    <cfRule type="containsText" dxfId="1476" priority="1512" operator="containsText" text="S">
      <formula>NOT(ISERROR(SEARCH("S",BR5)))</formula>
    </cfRule>
    <cfRule type="containsText" dxfId="1475" priority="1513" operator="containsText" text="P">
      <formula>NOT(ISERROR(SEARCH("P",BR5)))</formula>
    </cfRule>
    <cfRule type="containsText" dxfId="1474" priority="1514" operator="containsText" text="H">
      <formula>NOT(ISERROR(SEARCH("H",BR5)))</formula>
    </cfRule>
    <cfRule type="containsText" dxfId="1473" priority="1516" operator="containsText" text="&quot;H&quot;">
      <formula>NOT(ISERROR(SEARCH("""H""",BR5)))</formula>
    </cfRule>
    <cfRule type="containsText" dxfId="1472" priority="1517" operator="containsText" text="&quot;A&quot;">
      <formula>NOT(ISERROR(SEARCH("""A""",BR5)))</formula>
    </cfRule>
  </conditionalFormatting>
  <conditionalFormatting sqref="BR5:BS5">
    <cfRule type="containsText" dxfId="1471" priority="1515" operator="containsText" text="A-H">
      <formula>NOT(ISERROR(SEARCH("A-H",BR5)))</formula>
    </cfRule>
  </conditionalFormatting>
  <conditionalFormatting sqref="BU5:BV5">
    <cfRule type="cellIs" dxfId="1470" priority="1506" operator="equal">
      <formula>"C-Off-H"</formula>
    </cfRule>
    <cfRule type="cellIs" dxfId="1469" priority="1507" operator="equal">
      <formula>"C-Off"</formula>
    </cfRule>
    <cfRule type="cellIs" dxfId="1468" priority="1508" operator="equal">
      <formula>"CL-H"</formula>
    </cfRule>
    <cfRule type="cellIs" dxfId="1467" priority="1509" operator="equal">
      <formula>"EL-H"</formula>
    </cfRule>
    <cfRule type="cellIs" dxfId="1466" priority="1510" operator="equal">
      <formula>"CL"</formula>
    </cfRule>
    <cfRule type="cellIs" dxfId="1465" priority="1511" operator="equal">
      <formula>"EL"</formula>
    </cfRule>
  </conditionalFormatting>
  <conditionalFormatting sqref="BU5:BV5">
    <cfRule type="containsText" dxfId="1464" priority="1500" operator="containsText" text="S">
      <formula>NOT(ISERROR(SEARCH("S",BU5)))</formula>
    </cfRule>
    <cfRule type="containsText" dxfId="1463" priority="1501" operator="containsText" text="P">
      <formula>NOT(ISERROR(SEARCH("P",BU5)))</formula>
    </cfRule>
    <cfRule type="containsText" dxfId="1462" priority="1502" operator="containsText" text="H">
      <formula>NOT(ISERROR(SEARCH("H",BU5)))</formula>
    </cfRule>
    <cfRule type="containsText" dxfId="1461" priority="1504" operator="containsText" text="&quot;H&quot;">
      <formula>NOT(ISERROR(SEARCH("""H""",BU5)))</formula>
    </cfRule>
    <cfRule type="containsText" dxfId="1460" priority="1505" operator="containsText" text="&quot;A&quot;">
      <formula>NOT(ISERROR(SEARCH("""A""",BU5)))</formula>
    </cfRule>
  </conditionalFormatting>
  <conditionalFormatting sqref="BU5:BV5">
    <cfRule type="containsText" dxfId="1459" priority="1503" operator="containsText" text="A-H">
      <formula>NOT(ISERROR(SEARCH("A-H",BU5)))</formula>
    </cfRule>
  </conditionalFormatting>
  <conditionalFormatting sqref="BY5">
    <cfRule type="cellIs" dxfId="1458" priority="1494" operator="equal">
      <formula>"C-Off-H"</formula>
    </cfRule>
    <cfRule type="cellIs" dxfId="1457" priority="1495" operator="equal">
      <formula>"C-Off"</formula>
    </cfRule>
    <cfRule type="cellIs" dxfId="1456" priority="1496" operator="equal">
      <formula>"CL-H"</formula>
    </cfRule>
    <cfRule type="cellIs" dxfId="1455" priority="1497" operator="equal">
      <formula>"EL-H"</formula>
    </cfRule>
    <cfRule type="cellIs" dxfId="1454" priority="1498" operator="equal">
      <formula>"CL"</formula>
    </cfRule>
    <cfRule type="cellIs" dxfId="1453" priority="1499" operator="equal">
      <formula>"EL"</formula>
    </cfRule>
  </conditionalFormatting>
  <conditionalFormatting sqref="BY5">
    <cfRule type="containsText" dxfId="1452" priority="1488" operator="containsText" text="S">
      <formula>NOT(ISERROR(SEARCH("S",BY5)))</formula>
    </cfRule>
    <cfRule type="containsText" dxfId="1451" priority="1489" operator="containsText" text="P">
      <formula>NOT(ISERROR(SEARCH("P",BY5)))</formula>
    </cfRule>
    <cfRule type="containsText" dxfId="1450" priority="1490" operator="containsText" text="H">
      <formula>NOT(ISERROR(SEARCH("H",BY5)))</formula>
    </cfRule>
    <cfRule type="containsText" dxfId="1449" priority="1492" operator="containsText" text="&quot;H&quot;">
      <formula>NOT(ISERROR(SEARCH("""H""",BY5)))</formula>
    </cfRule>
    <cfRule type="containsText" dxfId="1448" priority="1493" operator="containsText" text="&quot;A&quot;">
      <formula>NOT(ISERROR(SEARCH("""A""",BY5)))</formula>
    </cfRule>
  </conditionalFormatting>
  <conditionalFormatting sqref="BY5">
    <cfRule type="containsText" dxfId="1447" priority="1491" operator="containsText" text="A-H">
      <formula>NOT(ISERROR(SEARCH("A-H",BY5)))</formula>
    </cfRule>
  </conditionalFormatting>
  <conditionalFormatting sqref="BX5">
    <cfRule type="cellIs" dxfId="1446" priority="1482" operator="equal">
      <formula>"C-Off-H"</formula>
    </cfRule>
    <cfRule type="cellIs" dxfId="1445" priority="1483" operator="equal">
      <formula>"C-Off"</formula>
    </cfRule>
    <cfRule type="cellIs" dxfId="1444" priority="1484" operator="equal">
      <formula>"CL-H"</formula>
    </cfRule>
    <cfRule type="cellIs" dxfId="1443" priority="1485" operator="equal">
      <formula>"EL-H"</formula>
    </cfRule>
    <cfRule type="cellIs" dxfId="1442" priority="1486" operator="equal">
      <formula>"CL"</formula>
    </cfRule>
    <cfRule type="cellIs" dxfId="1441" priority="1487" operator="equal">
      <formula>"EL"</formula>
    </cfRule>
  </conditionalFormatting>
  <conditionalFormatting sqref="BX5">
    <cfRule type="containsText" dxfId="1440" priority="1476" operator="containsText" text="S">
      <formula>NOT(ISERROR(SEARCH("S",BX5)))</formula>
    </cfRule>
    <cfRule type="containsText" dxfId="1439" priority="1477" operator="containsText" text="P">
      <formula>NOT(ISERROR(SEARCH("P",BX5)))</formula>
    </cfRule>
    <cfRule type="containsText" dxfId="1438" priority="1478" operator="containsText" text="H">
      <formula>NOT(ISERROR(SEARCH("H",BX5)))</formula>
    </cfRule>
    <cfRule type="containsText" dxfId="1437" priority="1480" operator="containsText" text="&quot;H&quot;">
      <formula>NOT(ISERROR(SEARCH("""H""",BX5)))</formula>
    </cfRule>
    <cfRule type="containsText" dxfId="1436" priority="1481" operator="containsText" text="&quot;A&quot;">
      <formula>NOT(ISERROR(SEARCH("""A""",BX5)))</formula>
    </cfRule>
  </conditionalFormatting>
  <conditionalFormatting sqref="BX5">
    <cfRule type="containsText" dxfId="1435" priority="1479" operator="containsText" text="A-H">
      <formula>NOT(ISERROR(SEARCH("A-H",BX5)))</formula>
    </cfRule>
  </conditionalFormatting>
  <conditionalFormatting sqref="J5:K5">
    <cfRule type="cellIs" dxfId="1434" priority="1470" operator="equal">
      <formula>"C-Off-H"</formula>
    </cfRule>
    <cfRule type="cellIs" dxfId="1433" priority="1471" operator="equal">
      <formula>"C-Off"</formula>
    </cfRule>
    <cfRule type="cellIs" dxfId="1432" priority="1472" operator="equal">
      <formula>"CL-H"</formula>
    </cfRule>
    <cfRule type="cellIs" dxfId="1431" priority="1473" operator="equal">
      <formula>"EL-H"</formula>
    </cfRule>
    <cfRule type="cellIs" dxfId="1430" priority="1474" operator="equal">
      <formula>"CL"</formula>
    </cfRule>
    <cfRule type="cellIs" dxfId="1429" priority="1475" operator="equal">
      <formula>"EL"</formula>
    </cfRule>
  </conditionalFormatting>
  <conditionalFormatting sqref="J5:K5">
    <cfRule type="containsText" dxfId="1428" priority="1464" operator="containsText" text="S">
      <formula>NOT(ISERROR(SEARCH("S",J5)))</formula>
    </cfRule>
    <cfRule type="containsText" dxfId="1427" priority="1465" operator="containsText" text="P">
      <formula>NOT(ISERROR(SEARCH("P",J5)))</formula>
    </cfRule>
    <cfRule type="containsText" dxfId="1426" priority="1466" operator="containsText" text="H">
      <formula>NOT(ISERROR(SEARCH("H",J5)))</formula>
    </cfRule>
    <cfRule type="containsText" dxfId="1425" priority="1468" operator="containsText" text="&quot;H&quot;">
      <formula>NOT(ISERROR(SEARCH("""H""",J5)))</formula>
    </cfRule>
    <cfRule type="containsText" dxfId="1424" priority="1469" operator="containsText" text="&quot;A&quot;">
      <formula>NOT(ISERROR(SEARCH("""A""",J5)))</formula>
    </cfRule>
  </conditionalFormatting>
  <conditionalFormatting sqref="J5:K5">
    <cfRule type="containsText" dxfId="1423" priority="1467" operator="containsText" text="A-H">
      <formula>NOT(ISERROR(SEARCH("A-H",J5)))</formula>
    </cfRule>
  </conditionalFormatting>
  <conditionalFormatting sqref="DC6 CD6:CE6 M6:N6 CG6:CH6 CJ6:CK6 CM6:CN6 CP6:CW6">
    <cfRule type="cellIs" dxfId="1422" priority="1458" operator="equal">
      <formula>"C-Off-H"</formula>
    </cfRule>
    <cfRule type="cellIs" dxfId="1421" priority="1459" operator="equal">
      <formula>"C-Off"</formula>
    </cfRule>
    <cfRule type="cellIs" dxfId="1420" priority="1460" operator="equal">
      <formula>"CL-H"</formula>
    </cfRule>
    <cfRule type="cellIs" dxfId="1419" priority="1461" operator="equal">
      <formula>"EL-H"</formula>
    </cfRule>
    <cfRule type="cellIs" dxfId="1418" priority="1462" operator="equal">
      <formula>"CL"</formula>
    </cfRule>
    <cfRule type="cellIs" dxfId="1417" priority="1463" operator="equal">
      <formula>"EL"</formula>
    </cfRule>
  </conditionalFormatting>
  <conditionalFormatting sqref="CD6:CE6 M6:N6 CG6:CH6 CJ6:CK6 CM6:CN6 CP6:CW6 CY6:DA6 DC6">
    <cfRule type="containsText" dxfId="1416" priority="1457" operator="containsText" text="A-H">
      <formula>NOT(ISERROR(SEARCH("A-H",M6)))</formula>
    </cfRule>
  </conditionalFormatting>
  <conditionalFormatting sqref="CD6:CE6 CG6:CH6 CJ6:CK6 CM6:CN6 CP6:CW6 CY6:DA6 DC6">
    <cfRule type="containsText" dxfId="1415" priority="1456" operator="containsText" text="A">
      <formula>NOT(ISERROR(SEARCH("A",CD6)))</formula>
    </cfRule>
  </conditionalFormatting>
  <conditionalFormatting sqref="CY6 DA6">
    <cfRule type="cellIs" dxfId="1414" priority="1450" stopIfTrue="1" operator="equal">
      <formula>"C-Off-H"</formula>
    </cfRule>
    <cfRule type="cellIs" dxfId="1413" priority="1451" stopIfTrue="1" operator="equal">
      <formula>"C-Off"</formula>
    </cfRule>
    <cfRule type="cellIs" dxfId="1412" priority="1452" stopIfTrue="1" operator="equal">
      <formula>"CL-H"</formula>
    </cfRule>
    <cfRule type="cellIs" dxfId="1411" priority="1453" stopIfTrue="1" operator="equal">
      <formula>"EL-H"</formula>
    </cfRule>
    <cfRule type="cellIs" dxfId="1410" priority="1454" stopIfTrue="1" operator="equal">
      <formula>"CL"</formula>
    </cfRule>
    <cfRule type="cellIs" dxfId="1409" priority="1455" stopIfTrue="1" operator="equal">
      <formula>"EL"</formula>
    </cfRule>
  </conditionalFormatting>
  <conditionalFormatting sqref="CZ6">
    <cfRule type="cellIs" dxfId="1408" priority="1444" stopIfTrue="1" operator="equal">
      <formula>"C-Off-H"</formula>
    </cfRule>
    <cfRule type="cellIs" dxfId="1407" priority="1445" stopIfTrue="1" operator="equal">
      <formula>"C-Off"</formula>
    </cfRule>
    <cfRule type="cellIs" dxfId="1406" priority="1446" stopIfTrue="1" operator="equal">
      <formula>"CL-H"</formula>
    </cfRule>
    <cfRule type="cellIs" dxfId="1405" priority="1447" stopIfTrue="1" operator="equal">
      <formula>"EL-H"</formula>
    </cfRule>
    <cfRule type="cellIs" dxfId="1404" priority="1448" stopIfTrue="1" operator="equal">
      <formula>"CL"</formula>
    </cfRule>
    <cfRule type="cellIs" dxfId="1403" priority="1449" stopIfTrue="1" operator="equal">
      <formula>"EL"</formula>
    </cfRule>
  </conditionalFormatting>
  <conditionalFormatting sqref="CD6:CE6 M6:N6 CG6:CH6 CJ6:CK6 CM6:CN6">
    <cfRule type="containsText" dxfId="1402" priority="1439" operator="containsText" text="S">
      <formula>NOT(ISERROR(SEARCH("S",M6)))</formula>
    </cfRule>
    <cfRule type="containsText" dxfId="1401" priority="1440" operator="containsText" text="P">
      <formula>NOT(ISERROR(SEARCH("P",M6)))</formula>
    </cfRule>
    <cfRule type="containsText" dxfId="1400" priority="1441" operator="containsText" text="H">
      <formula>NOT(ISERROR(SEARCH("H",M6)))</formula>
    </cfRule>
    <cfRule type="containsText" dxfId="1399" priority="1442" operator="containsText" text="&quot;H&quot;">
      <formula>NOT(ISERROR(SEARCH("""H""",M6)))</formula>
    </cfRule>
    <cfRule type="containsText" dxfId="1398" priority="1443" operator="containsText" text="&quot;A&quot;">
      <formula>NOT(ISERROR(SEARCH("""A""",M6)))</formula>
    </cfRule>
  </conditionalFormatting>
  <conditionalFormatting sqref="DD6">
    <cfRule type="cellIs" dxfId="1397" priority="1433" operator="equal">
      <formula>"C-Off-H"</formula>
    </cfRule>
    <cfRule type="cellIs" dxfId="1396" priority="1434" operator="equal">
      <formula>"C-Off"</formula>
    </cfRule>
    <cfRule type="cellIs" dxfId="1395" priority="1435" operator="equal">
      <formula>"CL-H"</formula>
    </cfRule>
    <cfRule type="cellIs" dxfId="1394" priority="1436" operator="equal">
      <formula>"EL-H"</formula>
    </cfRule>
    <cfRule type="cellIs" dxfId="1393" priority="1437" operator="equal">
      <formula>"CL"</formula>
    </cfRule>
    <cfRule type="cellIs" dxfId="1392" priority="1438" operator="equal">
      <formula>"EL"</formula>
    </cfRule>
  </conditionalFormatting>
  <conditionalFormatting sqref="DD6">
    <cfRule type="containsText" dxfId="1391" priority="1432" operator="containsText" text="A">
      <formula>NOT(ISERROR(SEARCH("A",DD6)))</formula>
    </cfRule>
  </conditionalFormatting>
  <conditionalFormatting sqref="DD6">
    <cfRule type="containsText" dxfId="1390" priority="1431" operator="containsText" text="A-H">
      <formula>NOT(ISERROR(SEARCH("A-H",DD6)))</formula>
    </cfRule>
  </conditionalFormatting>
  <conditionalFormatting sqref="AI6">
    <cfRule type="cellIs" dxfId="1389" priority="1425" operator="equal">
      <formula>"C-Off-H"</formula>
    </cfRule>
    <cfRule type="cellIs" dxfId="1388" priority="1426" operator="equal">
      <formula>"C-Off"</formula>
    </cfRule>
    <cfRule type="cellIs" dxfId="1387" priority="1427" operator="equal">
      <formula>"CL-H"</formula>
    </cfRule>
    <cfRule type="cellIs" dxfId="1386" priority="1428" operator="equal">
      <formula>"EL-H"</formula>
    </cfRule>
    <cfRule type="cellIs" dxfId="1385" priority="1429" operator="equal">
      <formula>"CL"</formula>
    </cfRule>
    <cfRule type="cellIs" dxfId="1384" priority="1430" operator="equal">
      <formula>"EL"</formula>
    </cfRule>
  </conditionalFormatting>
  <conditionalFormatting sqref="AH6:AI6">
    <cfRule type="cellIs" dxfId="1383" priority="1419" operator="equal">
      <formula>"C-Off-H"</formula>
    </cfRule>
    <cfRule type="cellIs" dxfId="1382" priority="1420" operator="equal">
      <formula>"C-Off"</formula>
    </cfRule>
    <cfRule type="cellIs" dxfId="1381" priority="1421" operator="equal">
      <formula>"CL-H"</formula>
    </cfRule>
    <cfRule type="cellIs" dxfId="1380" priority="1422" operator="equal">
      <formula>"EL-H"</formula>
    </cfRule>
    <cfRule type="cellIs" dxfId="1379" priority="1423" operator="equal">
      <formula>"CL"</formula>
    </cfRule>
    <cfRule type="cellIs" dxfId="1378" priority="1424" operator="equal">
      <formula>"EL"</formula>
    </cfRule>
  </conditionalFormatting>
  <conditionalFormatting sqref="AH6:AI6">
    <cfRule type="containsText" dxfId="1377" priority="1413" operator="containsText" text="S">
      <formula>NOT(ISERROR(SEARCH("S",AH6)))</formula>
    </cfRule>
    <cfRule type="containsText" dxfId="1376" priority="1414" operator="containsText" text="P">
      <formula>NOT(ISERROR(SEARCH("P",AH6)))</formula>
    </cfRule>
    <cfRule type="containsText" dxfId="1375" priority="1415" operator="containsText" text="H">
      <formula>NOT(ISERROR(SEARCH("H",AH6)))</formula>
    </cfRule>
    <cfRule type="containsText" dxfId="1374" priority="1417" operator="containsText" text="&quot;H&quot;">
      <formula>NOT(ISERROR(SEARCH("""H""",AH6)))</formula>
    </cfRule>
    <cfRule type="containsText" dxfId="1373" priority="1418" operator="containsText" text="&quot;A&quot;">
      <formula>NOT(ISERROR(SEARCH("""A""",AH6)))</formula>
    </cfRule>
  </conditionalFormatting>
  <conditionalFormatting sqref="AH6:AI6">
    <cfRule type="containsText" dxfId="1372" priority="1416" operator="containsText" text="A-H">
      <formula>NOT(ISERROR(SEARCH("A-H",AH6)))</formula>
    </cfRule>
  </conditionalFormatting>
  <conditionalFormatting sqref="AU6">
    <cfRule type="cellIs" dxfId="1371" priority="1407" operator="equal">
      <formula>"C-Off-H"</formula>
    </cfRule>
    <cfRule type="cellIs" dxfId="1370" priority="1408" operator="equal">
      <formula>"C-Off"</formula>
    </cfRule>
    <cfRule type="cellIs" dxfId="1369" priority="1409" operator="equal">
      <formula>"CL-H"</formula>
    </cfRule>
    <cfRule type="cellIs" dxfId="1368" priority="1410" operator="equal">
      <formula>"EL-H"</formula>
    </cfRule>
    <cfRule type="cellIs" dxfId="1367" priority="1411" operator="equal">
      <formula>"CL"</formula>
    </cfRule>
    <cfRule type="cellIs" dxfId="1366" priority="1412" operator="equal">
      <formula>"EL"</formula>
    </cfRule>
  </conditionalFormatting>
  <conditionalFormatting sqref="AT6:AU6">
    <cfRule type="cellIs" dxfId="1365" priority="1401" operator="equal">
      <formula>"C-Off-H"</formula>
    </cfRule>
    <cfRule type="cellIs" dxfId="1364" priority="1402" operator="equal">
      <formula>"C-Off"</formula>
    </cfRule>
    <cfRule type="cellIs" dxfId="1363" priority="1403" operator="equal">
      <formula>"CL-H"</formula>
    </cfRule>
    <cfRule type="cellIs" dxfId="1362" priority="1404" operator="equal">
      <formula>"EL-H"</formula>
    </cfRule>
    <cfRule type="cellIs" dxfId="1361" priority="1405" operator="equal">
      <formula>"CL"</formula>
    </cfRule>
    <cfRule type="cellIs" dxfId="1360" priority="1406" operator="equal">
      <formula>"EL"</formula>
    </cfRule>
  </conditionalFormatting>
  <conditionalFormatting sqref="AT6:AU6">
    <cfRule type="containsText" dxfId="1359" priority="1395" operator="containsText" text="S">
      <formula>NOT(ISERROR(SEARCH("S",AT6)))</formula>
    </cfRule>
    <cfRule type="containsText" dxfId="1358" priority="1396" operator="containsText" text="P">
      <formula>NOT(ISERROR(SEARCH("P",AT6)))</formula>
    </cfRule>
    <cfRule type="containsText" dxfId="1357" priority="1397" operator="containsText" text="H">
      <formula>NOT(ISERROR(SEARCH("H",AT6)))</formula>
    </cfRule>
    <cfRule type="containsText" dxfId="1356" priority="1399" operator="containsText" text="&quot;H&quot;">
      <formula>NOT(ISERROR(SEARCH("""H""",AT6)))</formula>
    </cfRule>
    <cfRule type="containsText" dxfId="1355" priority="1400" operator="containsText" text="&quot;A&quot;">
      <formula>NOT(ISERROR(SEARCH("""A""",AT6)))</formula>
    </cfRule>
  </conditionalFormatting>
  <conditionalFormatting sqref="AT6:AU6">
    <cfRule type="containsText" dxfId="1354" priority="1398" operator="containsText" text="A-H">
      <formula>NOT(ISERROR(SEARCH("A-H",AT6)))</formula>
    </cfRule>
  </conditionalFormatting>
  <conditionalFormatting sqref="E6">
    <cfRule type="cellIs" dxfId="1353" priority="1389" operator="equal">
      <formula>"C-Off-H"</formula>
    </cfRule>
    <cfRule type="cellIs" dxfId="1352" priority="1390" operator="equal">
      <formula>"C-Off"</formula>
    </cfRule>
    <cfRule type="cellIs" dxfId="1351" priority="1391" operator="equal">
      <formula>"CL-H"</formula>
    </cfRule>
    <cfRule type="cellIs" dxfId="1350" priority="1392" operator="equal">
      <formula>"EL-H"</formula>
    </cfRule>
    <cfRule type="cellIs" dxfId="1349" priority="1393" operator="equal">
      <formula>"CL"</formula>
    </cfRule>
    <cfRule type="cellIs" dxfId="1348" priority="1394" operator="equal">
      <formula>"EL"</formula>
    </cfRule>
  </conditionalFormatting>
  <conditionalFormatting sqref="D6:E6">
    <cfRule type="cellIs" dxfId="1347" priority="1383" operator="equal">
      <formula>"C-Off-H"</formula>
    </cfRule>
    <cfRule type="cellIs" dxfId="1346" priority="1384" operator="equal">
      <formula>"C-Off"</formula>
    </cfRule>
    <cfRule type="cellIs" dxfId="1345" priority="1385" operator="equal">
      <formula>"CL-H"</formula>
    </cfRule>
    <cfRule type="cellIs" dxfId="1344" priority="1386" operator="equal">
      <formula>"EL-H"</formula>
    </cfRule>
    <cfRule type="cellIs" dxfId="1343" priority="1387" operator="equal">
      <formula>"CL"</formula>
    </cfRule>
    <cfRule type="cellIs" dxfId="1342" priority="1388" operator="equal">
      <formula>"EL"</formula>
    </cfRule>
  </conditionalFormatting>
  <conditionalFormatting sqref="D6:E6">
    <cfRule type="containsText" dxfId="1341" priority="1377" operator="containsText" text="S">
      <formula>NOT(ISERROR(SEARCH("S",D6)))</formula>
    </cfRule>
    <cfRule type="containsText" dxfId="1340" priority="1378" operator="containsText" text="P">
      <formula>NOT(ISERROR(SEARCH("P",D6)))</formula>
    </cfRule>
    <cfRule type="containsText" dxfId="1339" priority="1379" operator="containsText" text="H">
      <formula>NOT(ISERROR(SEARCH("H",D6)))</formula>
    </cfRule>
    <cfRule type="containsText" dxfId="1338" priority="1381" operator="containsText" text="&quot;H&quot;">
      <formula>NOT(ISERROR(SEARCH("""H""",D6)))</formula>
    </cfRule>
    <cfRule type="containsText" dxfId="1337" priority="1382" operator="containsText" text="&quot;A&quot;">
      <formula>NOT(ISERROR(SEARCH("""A""",D6)))</formula>
    </cfRule>
  </conditionalFormatting>
  <conditionalFormatting sqref="D6:E6">
    <cfRule type="containsText" dxfId="1336" priority="1380" operator="containsText" text="A-H">
      <formula>NOT(ISERROR(SEARCH("A-H",D6)))</formula>
    </cfRule>
  </conditionalFormatting>
  <conditionalFormatting sqref="Z6">
    <cfRule type="cellIs" dxfId="1335" priority="1371" operator="equal">
      <formula>"C-Off-H"</formula>
    </cfRule>
    <cfRule type="cellIs" dxfId="1334" priority="1372" operator="equal">
      <formula>"C-Off"</formula>
    </cfRule>
    <cfRule type="cellIs" dxfId="1333" priority="1373" operator="equal">
      <formula>"CL-H"</formula>
    </cfRule>
    <cfRule type="cellIs" dxfId="1332" priority="1374" operator="equal">
      <formula>"EL-H"</formula>
    </cfRule>
    <cfRule type="cellIs" dxfId="1331" priority="1375" operator="equal">
      <formula>"CL"</formula>
    </cfRule>
    <cfRule type="cellIs" dxfId="1330" priority="1376" operator="equal">
      <formula>"EL"</formula>
    </cfRule>
  </conditionalFormatting>
  <conditionalFormatting sqref="Z6">
    <cfRule type="containsText" dxfId="1329" priority="1365" operator="containsText" text="S">
      <formula>NOT(ISERROR(SEARCH("S",Z6)))</formula>
    </cfRule>
    <cfRule type="containsText" dxfId="1328" priority="1366" operator="containsText" text="P">
      <formula>NOT(ISERROR(SEARCH("P",Z6)))</formula>
    </cfRule>
    <cfRule type="containsText" dxfId="1327" priority="1367" operator="containsText" text="H">
      <formula>NOT(ISERROR(SEARCH("H",Z6)))</formula>
    </cfRule>
    <cfRule type="containsText" dxfId="1326" priority="1369" operator="containsText" text="&quot;H&quot;">
      <formula>NOT(ISERROR(SEARCH("""H""",Z6)))</formula>
    </cfRule>
    <cfRule type="containsText" dxfId="1325" priority="1370" operator="containsText" text="&quot;A&quot;">
      <formula>NOT(ISERROR(SEARCH("""A""",Z6)))</formula>
    </cfRule>
  </conditionalFormatting>
  <conditionalFormatting sqref="Z6">
    <cfRule type="containsText" dxfId="1324" priority="1368" operator="containsText" text="A-H">
      <formula>NOT(ISERROR(SEARCH("A-H",Z6)))</formula>
    </cfRule>
  </conditionalFormatting>
  <conditionalFormatting sqref="Y6">
    <cfRule type="cellIs" dxfId="1323" priority="1359" operator="equal">
      <formula>"C-Off-H"</formula>
    </cfRule>
    <cfRule type="cellIs" dxfId="1322" priority="1360" operator="equal">
      <formula>"C-Off"</formula>
    </cfRule>
    <cfRule type="cellIs" dxfId="1321" priority="1361" operator="equal">
      <formula>"CL-H"</formula>
    </cfRule>
    <cfRule type="cellIs" dxfId="1320" priority="1362" operator="equal">
      <formula>"EL-H"</formula>
    </cfRule>
    <cfRule type="cellIs" dxfId="1319" priority="1363" operator="equal">
      <formula>"CL"</formula>
    </cfRule>
    <cfRule type="cellIs" dxfId="1318" priority="1364" operator="equal">
      <formula>"EL"</formula>
    </cfRule>
  </conditionalFormatting>
  <conditionalFormatting sqref="Y6">
    <cfRule type="containsText" dxfId="1317" priority="1353" operator="containsText" text="S">
      <formula>NOT(ISERROR(SEARCH("S",Y6)))</formula>
    </cfRule>
    <cfRule type="containsText" dxfId="1316" priority="1354" operator="containsText" text="P">
      <formula>NOT(ISERROR(SEARCH("P",Y6)))</formula>
    </cfRule>
    <cfRule type="containsText" dxfId="1315" priority="1355" operator="containsText" text="H">
      <formula>NOT(ISERROR(SEARCH("H",Y6)))</formula>
    </cfRule>
    <cfRule type="containsText" dxfId="1314" priority="1357" operator="containsText" text="&quot;H&quot;">
      <formula>NOT(ISERROR(SEARCH("""H""",Y6)))</formula>
    </cfRule>
    <cfRule type="containsText" dxfId="1313" priority="1358" operator="containsText" text="&quot;A&quot;">
      <formula>NOT(ISERROR(SEARCH("""A""",Y6)))</formula>
    </cfRule>
  </conditionalFormatting>
  <conditionalFormatting sqref="Y6">
    <cfRule type="containsText" dxfId="1312" priority="1356" operator="containsText" text="A-H">
      <formula>NOT(ISERROR(SEARCH("A-H",Y6)))</formula>
    </cfRule>
  </conditionalFormatting>
  <conditionalFormatting sqref="AF6">
    <cfRule type="cellIs" dxfId="1311" priority="1347" operator="equal">
      <formula>"C-Off-H"</formula>
    </cfRule>
    <cfRule type="cellIs" dxfId="1310" priority="1348" operator="equal">
      <formula>"C-Off"</formula>
    </cfRule>
    <cfRule type="cellIs" dxfId="1309" priority="1349" operator="equal">
      <formula>"CL-H"</formula>
    </cfRule>
    <cfRule type="cellIs" dxfId="1308" priority="1350" operator="equal">
      <formula>"EL-H"</formula>
    </cfRule>
    <cfRule type="cellIs" dxfId="1307" priority="1351" operator="equal">
      <formula>"CL"</formula>
    </cfRule>
    <cfRule type="cellIs" dxfId="1306" priority="1352" operator="equal">
      <formula>"EL"</formula>
    </cfRule>
  </conditionalFormatting>
  <conditionalFormatting sqref="AF6">
    <cfRule type="containsText" dxfId="1305" priority="1341" operator="containsText" text="S">
      <formula>NOT(ISERROR(SEARCH("S",AF6)))</formula>
    </cfRule>
    <cfRule type="containsText" dxfId="1304" priority="1342" operator="containsText" text="P">
      <formula>NOT(ISERROR(SEARCH("P",AF6)))</formula>
    </cfRule>
    <cfRule type="containsText" dxfId="1303" priority="1343" operator="containsText" text="H">
      <formula>NOT(ISERROR(SEARCH("H",AF6)))</formula>
    </cfRule>
    <cfRule type="containsText" dxfId="1302" priority="1345" operator="containsText" text="&quot;H&quot;">
      <formula>NOT(ISERROR(SEARCH("""H""",AF6)))</formula>
    </cfRule>
    <cfRule type="containsText" dxfId="1301" priority="1346" operator="containsText" text="&quot;A&quot;">
      <formula>NOT(ISERROR(SEARCH("""A""",AF6)))</formula>
    </cfRule>
  </conditionalFormatting>
  <conditionalFormatting sqref="AF6">
    <cfRule type="containsText" dxfId="1300" priority="1344" operator="containsText" text="A-H">
      <formula>NOT(ISERROR(SEARCH("A-H",AF6)))</formula>
    </cfRule>
  </conditionalFormatting>
  <conditionalFormatting sqref="BO6:BP6">
    <cfRule type="cellIs" dxfId="1299" priority="1335" operator="equal">
      <formula>"C-Off-H"</formula>
    </cfRule>
    <cfRule type="cellIs" dxfId="1298" priority="1336" operator="equal">
      <formula>"C-Off"</formula>
    </cfRule>
    <cfRule type="cellIs" dxfId="1297" priority="1337" operator="equal">
      <formula>"CL-H"</formula>
    </cfRule>
    <cfRule type="cellIs" dxfId="1296" priority="1338" operator="equal">
      <formula>"EL-H"</formula>
    </cfRule>
    <cfRule type="cellIs" dxfId="1295" priority="1339" operator="equal">
      <formula>"CL"</formula>
    </cfRule>
    <cfRule type="cellIs" dxfId="1294" priority="1340" operator="equal">
      <formula>"EL"</formula>
    </cfRule>
  </conditionalFormatting>
  <conditionalFormatting sqref="BO6:BP6">
    <cfRule type="cellIs" dxfId="1293" priority="1329" operator="equal">
      <formula>"C-Off-H"</formula>
    </cfRule>
    <cfRule type="cellIs" dxfId="1292" priority="1330" operator="equal">
      <formula>"C-Off"</formula>
    </cfRule>
    <cfRule type="cellIs" dxfId="1291" priority="1331" operator="equal">
      <formula>"CL-H"</formula>
    </cfRule>
    <cfRule type="cellIs" dxfId="1290" priority="1332" operator="equal">
      <formula>"EL-H"</formula>
    </cfRule>
    <cfRule type="cellIs" dxfId="1289" priority="1333" operator="equal">
      <formula>"CL"</formula>
    </cfRule>
    <cfRule type="cellIs" dxfId="1288" priority="1334" operator="equal">
      <formula>"EL"</formula>
    </cfRule>
  </conditionalFormatting>
  <conditionalFormatting sqref="BO6:BP6">
    <cfRule type="containsText" dxfId="1287" priority="1323" operator="containsText" text="S">
      <formula>NOT(ISERROR(SEARCH("S",BO6)))</formula>
    </cfRule>
    <cfRule type="containsText" dxfId="1286" priority="1324" operator="containsText" text="P">
      <formula>NOT(ISERROR(SEARCH("P",BO6)))</formula>
    </cfRule>
    <cfRule type="containsText" dxfId="1285" priority="1325" operator="containsText" text="H">
      <formula>NOT(ISERROR(SEARCH("H",BO6)))</formula>
    </cfRule>
    <cfRule type="containsText" dxfId="1284" priority="1327" operator="containsText" text="&quot;H&quot;">
      <formula>NOT(ISERROR(SEARCH("""H""",BO6)))</formula>
    </cfRule>
    <cfRule type="containsText" dxfId="1283" priority="1328" operator="containsText" text="&quot;A&quot;">
      <formula>NOT(ISERROR(SEARCH("""A""",BO6)))</formula>
    </cfRule>
  </conditionalFormatting>
  <conditionalFormatting sqref="BO6:BP6">
    <cfRule type="containsText" dxfId="1282" priority="1326" operator="containsText" text="A-H">
      <formula>NOT(ISERROR(SEARCH("A-H",BO6)))</formula>
    </cfRule>
  </conditionalFormatting>
  <conditionalFormatting sqref="CA6">
    <cfRule type="cellIs" dxfId="1281" priority="1317" operator="equal">
      <formula>"C-Off-H"</formula>
    </cfRule>
    <cfRule type="cellIs" dxfId="1280" priority="1318" operator="equal">
      <formula>"C-Off"</formula>
    </cfRule>
    <cfRule type="cellIs" dxfId="1279" priority="1319" operator="equal">
      <formula>"CL-H"</formula>
    </cfRule>
    <cfRule type="cellIs" dxfId="1278" priority="1320" operator="equal">
      <formula>"EL-H"</formula>
    </cfRule>
    <cfRule type="cellIs" dxfId="1277" priority="1321" operator="equal">
      <formula>"CL"</formula>
    </cfRule>
    <cfRule type="cellIs" dxfId="1276" priority="1322" operator="equal">
      <formula>"EL"</formula>
    </cfRule>
  </conditionalFormatting>
  <conditionalFormatting sqref="CA6">
    <cfRule type="cellIs" dxfId="1275" priority="1311" operator="equal">
      <formula>"C-Off-H"</formula>
    </cfRule>
    <cfRule type="cellIs" dxfId="1274" priority="1312" operator="equal">
      <formula>"C-Off"</formula>
    </cfRule>
    <cfRule type="cellIs" dxfId="1273" priority="1313" operator="equal">
      <formula>"CL-H"</formula>
    </cfRule>
    <cfRule type="cellIs" dxfId="1272" priority="1314" operator="equal">
      <formula>"EL-H"</formula>
    </cfRule>
    <cfRule type="cellIs" dxfId="1271" priority="1315" operator="equal">
      <formula>"CL"</formula>
    </cfRule>
    <cfRule type="cellIs" dxfId="1270" priority="1316" operator="equal">
      <formula>"EL"</formula>
    </cfRule>
  </conditionalFormatting>
  <conditionalFormatting sqref="CA6">
    <cfRule type="containsText" dxfId="1269" priority="1305" operator="containsText" text="S">
      <formula>NOT(ISERROR(SEARCH("S",CA6)))</formula>
    </cfRule>
    <cfRule type="containsText" dxfId="1268" priority="1306" operator="containsText" text="P">
      <formula>NOT(ISERROR(SEARCH("P",CA6)))</formula>
    </cfRule>
    <cfRule type="containsText" dxfId="1267" priority="1307" operator="containsText" text="H">
      <formula>NOT(ISERROR(SEARCH("H",CA6)))</formula>
    </cfRule>
    <cfRule type="containsText" dxfId="1266" priority="1309" operator="containsText" text="&quot;H&quot;">
      <formula>NOT(ISERROR(SEARCH("""H""",CA6)))</formula>
    </cfRule>
    <cfRule type="containsText" dxfId="1265" priority="1310" operator="containsText" text="&quot;A&quot;">
      <formula>NOT(ISERROR(SEARCH("""A""",CA6)))</formula>
    </cfRule>
  </conditionalFormatting>
  <conditionalFormatting sqref="CA6">
    <cfRule type="containsText" dxfId="1264" priority="1308" operator="containsText" text="A-H">
      <formula>NOT(ISERROR(SEARCH("A-H",CA6)))</formula>
    </cfRule>
  </conditionalFormatting>
  <conditionalFormatting sqref="V6:W6">
    <cfRule type="cellIs" dxfId="1263" priority="1275" operator="equal">
      <formula>"C-Off-H"</formula>
    </cfRule>
    <cfRule type="cellIs" dxfId="1262" priority="1276" operator="equal">
      <formula>"C-Off"</formula>
    </cfRule>
    <cfRule type="cellIs" dxfId="1261" priority="1277" operator="equal">
      <formula>"CL-H"</formula>
    </cfRule>
    <cfRule type="cellIs" dxfId="1260" priority="1278" operator="equal">
      <formula>"EL-H"</formula>
    </cfRule>
    <cfRule type="cellIs" dxfId="1259" priority="1279" operator="equal">
      <formula>"CL"</formula>
    </cfRule>
    <cfRule type="cellIs" dxfId="1258" priority="1280" operator="equal">
      <formula>"EL"</formula>
    </cfRule>
  </conditionalFormatting>
  <conditionalFormatting sqref="V6:W6">
    <cfRule type="containsText" dxfId="1257" priority="1269" operator="containsText" text="S">
      <formula>NOT(ISERROR(SEARCH("S",V6)))</formula>
    </cfRule>
    <cfRule type="containsText" dxfId="1256" priority="1270" operator="containsText" text="P">
      <formula>NOT(ISERROR(SEARCH("P",V6)))</formula>
    </cfRule>
    <cfRule type="containsText" dxfId="1255" priority="1271" operator="containsText" text="H">
      <formula>NOT(ISERROR(SEARCH("H",V6)))</formula>
    </cfRule>
    <cfRule type="containsText" dxfId="1254" priority="1273" operator="containsText" text="&quot;H&quot;">
      <formula>NOT(ISERROR(SEARCH("""H""",V6)))</formula>
    </cfRule>
    <cfRule type="containsText" dxfId="1253" priority="1274" operator="containsText" text="&quot;A&quot;">
      <formula>NOT(ISERROR(SEARCH("""A""",V6)))</formula>
    </cfRule>
  </conditionalFormatting>
  <conditionalFormatting sqref="V6:W6">
    <cfRule type="containsText" dxfId="1252" priority="1272" operator="containsText" text="A-H">
      <formula>NOT(ISERROR(SEARCH("A-H",V6)))</formula>
    </cfRule>
  </conditionalFormatting>
  <conditionalFormatting sqref="P6:Q6">
    <cfRule type="cellIs" dxfId="1251" priority="1299" operator="equal">
      <formula>"C-Off-H"</formula>
    </cfRule>
    <cfRule type="cellIs" dxfId="1250" priority="1300" operator="equal">
      <formula>"C-Off"</formula>
    </cfRule>
    <cfRule type="cellIs" dxfId="1249" priority="1301" operator="equal">
      <formula>"CL-H"</formula>
    </cfRule>
    <cfRule type="cellIs" dxfId="1248" priority="1302" operator="equal">
      <formula>"EL-H"</formula>
    </cfRule>
    <cfRule type="cellIs" dxfId="1247" priority="1303" operator="equal">
      <formula>"CL"</formula>
    </cfRule>
    <cfRule type="cellIs" dxfId="1246" priority="1304" operator="equal">
      <formula>"EL"</formula>
    </cfRule>
  </conditionalFormatting>
  <conditionalFormatting sqref="P6:Q6">
    <cfRule type="containsText" dxfId="1245" priority="1293" operator="containsText" text="S">
      <formula>NOT(ISERROR(SEARCH("S",P6)))</formula>
    </cfRule>
    <cfRule type="containsText" dxfId="1244" priority="1294" operator="containsText" text="P">
      <formula>NOT(ISERROR(SEARCH("P",P6)))</formula>
    </cfRule>
    <cfRule type="containsText" dxfId="1243" priority="1295" operator="containsText" text="H">
      <formula>NOT(ISERROR(SEARCH("H",P6)))</formula>
    </cfRule>
    <cfRule type="containsText" dxfId="1242" priority="1297" operator="containsText" text="&quot;H&quot;">
      <formula>NOT(ISERROR(SEARCH("""H""",P6)))</formula>
    </cfRule>
    <cfRule type="containsText" dxfId="1241" priority="1298" operator="containsText" text="&quot;A&quot;">
      <formula>NOT(ISERROR(SEARCH("""A""",P6)))</formula>
    </cfRule>
  </conditionalFormatting>
  <conditionalFormatting sqref="P6:Q6">
    <cfRule type="containsText" dxfId="1240" priority="1296" operator="containsText" text="A-H">
      <formula>NOT(ISERROR(SEARCH("A-H",P6)))</formula>
    </cfRule>
  </conditionalFormatting>
  <conditionalFormatting sqref="S6:T6">
    <cfRule type="cellIs" dxfId="1239" priority="1287" operator="equal">
      <formula>"C-Off-H"</formula>
    </cfRule>
    <cfRule type="cellIs" dxfId="1238" priority="1288" operator="equal">
      <formula>"C-Off"</formula>
    </cfRule>
    <cfRule type="cellIs" dxfId="1237" priority="1289" operator="equal">
      <formula>"CL-H"</formula>
    </cfRule>
    <cfRule type="cellIs" dxfId="1236" priority="1290" operator="equal">
      <formula>"EL-H"</formula>
    </cfRule>
    <cfRule type="cellIs" dxfId="1235" priority="1291" operator="equal">
      <formula>"CL"</formula>
    </cfRule>
    <cfRule type="cellIs" dxfId="1234" priority="1292" operator="equal">
      <formula>"EL"</formula>
    </cfRule>
  </conditionalFormatting>
  <conditionalFormatting sqref="S6:T6">
    <cfRule type="containsText" dxfId="1233" priority="1281" operator="containsText" text="S">
      <formula>NOT(ISERROR(SEARCH("S",S6)))</formula>
    </cfRule>
    <cfRule type="containsText" dxfId="1232" priority="1282" operator="containsText" text="P">
      <formula>NOT(ISERROR(SEARCH("P",S6)))</formula>
    </cfRule>
    <cfRule type="containsText" dxfId="1231" priority="1283" operator="containsText" text="H">
      <formula>NOT(ISERROR(SEARCH("H",S6)))</formula>
    </cfRule>
    <cfRule type="containsText" dxfId="1230" priority="1285" operator="containsText" text="&quot;H&quot;">
      <formula>NOT(ISERROR(SEARCH("""H""",S6)))</formula>
    </cfRule>
    <cfRule type="containsText" dxfId="1229" priority="1286" operator="containsText" text="&quot;A&quot;">
      <formula>NOT(ISERROR(SEARCH("""A""",S6)))</formula>
    </cfRule>
  </conditionalFormatting>
  <conditionalFormatting sqref="S6:T6">
    <cfRule type="containsText" dxfId="1228" priority="1284" operator="containsText" text="A-H">
      <formula>NOT(ISERROR(SEARCH("A-H",S6)))</formula>
    </cfRule>
  </conditionalFormatting>
  <conditionalFormatting sqref="AB6:AC6">
    <cfRule type="cellIs" dxfId="1227" priority="1263" operator="equal">
      <formula>"C-Off-H"</formula>
    </cfRule>
    <cfRule type="cellIs" dxfId="1226" priority="1264" operator="equal">
      <formula>"C-Off"</formula>
    </cfRule>
    <cfRule type="cellIs" dxfId="1225" priority="1265" operator="equal">
      <formula>"CL-H"</formula>
    </cfRule>
    <cfRule type="cellIs" dxfId="1224" priority="1266" operator="equal">
      <formula>"EL-H"</formula>
    </cfRule>
    <cfRule type="cellIs" dxfId="1223" priority="1267" operator="equal">
      <formula>"CL"</formula>
    </cfRule>
    <cfRule type="cellIs" dxfId="1222" priority="1268" operator="equal">
      <formula>"EL"</formula>
    </cfRule>
  </conditionalFormatting>
  <conditionalFormatting sqref="AB6:AC6">
    <cfRule type="containsText" dxfId="1221" priority="1257" operator="containsText" text="S">
      <formula>NOT(ISERROR(SEARCH("S",AB6)))</formula>
    </cfRule>
    <cfRule type="containsText" dxfId="1220" priority="1258" operator="containsText" text="P">
      <formula>NOT(ISERROR(SEARCH("P",AB6)))</formula>
    </cfRule>
    <cfRule type="containsText" dxfId="1219" priority="1259" operator="containsText" text="H">
      <formula>NOT(ISERROR(SEARCH("H",AB6)))</formula>
    </cfRule>
    <cfRule type="containsText" dxfId="1218" priority="1261" operator="containsText" text="&quot;H&quot;">
      <formula>NOT(ISERROR(SEARCH("""H""",AB6)))</formula>
    </cfRule>
    <cfRule type="containsText" dxfId="1217" priority="1262" operator="containsText" text="&quot;A&quot;">
      <formula>NOT(ISERROR(SEARCH("""A""",AB6)))</formula>
    </cfRule>
  </conditionalFormatting>
  <conditionalFormatting sqref="AB6:AC6">
    <cfRule type="containsText" dxfId="1216" priority="1260" operator="containsText" text="A-H">
      <formula>NOT(ISERROR(SEARCH("A-H",AB6)))</formula>
    </cfRule>
  </conditionalFormatting>
  <conditionalFormatting sqref="AE6">
    <cfRule type="cellIs" dxfId="1215" priority="1251" operator="equal">
      <formula>"C-Off-H"</formula>
    </cfRule>
    <cfRule type="cellIs" dxfId="1214" priority="1252" operator="equal">
      <formula>"C-Off"</formula>
    </cfRule>
    <cfRule type="cellIs" dxfId="1213" priority="1253" operator="equal">
      <formula>"CL-H"</formula>
    </cfRule>
    <cfRule type="cellIs" dxfId="1212" priority="1254" operator="equal">
      <formula>"EL-H"</formula>
    </cfRule>
    <cfRule type="cellIs" dxfId="1211" priority="1255" operator="equal">
      <formula>"CL"</formula>
    </cfRule>
    <cfRule type="cellIs" dxfId="1210" priority="1256" operator="equal">
      <formula>"EL"</formula>
    </cfRule>
  </conditionalFormatting>
  <conditionalFormatting sqref="AE6">
    <cfRule type="containsText" dxfId="1209" priority="1245" operator="containsText" text="S">
      <formula>NOT(ISERROR(SEARCH("S",AE6)))</formula>
    </cfRule>
    <cfRule type="containsText" dxfId="1208" priority="1246" operator="containsText" text="P">
      <formula>NOT(ISERROR(SEARCH("P",AE6)))</formula>
    </cfRule>
    <cfRule type="containsText" dxfId="1207" priority="1247" operator="containsText" text="H">
      <formula>NOT(ISERROR(SEARCH("H",AE6)))</formula>
    </cfRule>
    <cfRule type="containsText" dxfId="1206" priority="1249" operator="containsText" text="&quot;H&quot;">
      <formula>NOT(ISERROR(SEARCH("""H""",AE6)))</formula>
    </cfRule>
    <cfRule type="containsText" dxfId="1205" priority="1250" operator="containsText" text="&quot;A&quot;">
      <formula>NOT(ISERROR(SEARCH("""A""",AE6)))</formula>
    </cfRule>
  </conditionalFormatting>
  <conditionalFormatting sqref="AE6">
    <cfRule type="containsText" dxfId="1204" priority="1248" operator="containsText" text="A-H">
      <formula>NOT(ISERROR(SEARCH("A-H",AE6)))</formula>
    </cfRule>
  </conditionalFormatting>
  <conditionalFormatting sqref="AK6:AL6">
    <cfRule type="cellIs" dxfId="1203" priority="1239" operator="equal">
      <formula>"C-Off-H"</formula>
    </cfRule>
    <cfRule type="cellIs" dxfId="1202" priority="1240" operator="equal">
      <formula>"C-Off"</formula>
    </cfRule>
    <cfRule type="cellIs" dxfId="1201" priority="1241" operator="equal">
      <formula>"CL-H"</formula>
    </cfRule>
    <cfRule type="cellIs" dxfId="1200" priority="1242" operator="equal">
      <formula>"EL-H"</formula>
    </cfRule>
    <cfRule type="cellIs" dxfId="1199" priority="1243" operator="equal">
      <formula>"CL"</formula>
    </cfRule>
    <cfRule type="cellIs" dxfId="1198" priority="1244" operator="equal">
      <formula>"EL"</formula>
    </cfRule>
  </conditionalFormatting>
  <conditionalFormatting sqref="AK6:AL6">
    <cfRule type="containsText" dxfId="1197" priority="1233" operator="containsText" text="S">
      <formula>NOT(ISERROR(SEARCH("S",AK6)))</formula>
    </cfRule>
    <cfRule type="containsText" dxfId="1196" priority="1234" operator="containsText" text="P">
      <formula>NOT(ISERROR(SEARCH("P",AK6)))</formula>
    </cfRule>
    <cfRule type="containsText" dxfId="1195" priority="1235" operator="containsText" text="H">
      <formula>NOT(ISERROR(SEARCH("H",AK6)))</formula>
    </cfRule>
    <cfRule type="containsText" dxfId="1194" priority="1237" operator="containsText" text="&quot;H&quot;">
      <formula>NOT(ISERROR(SEARCH("""H""",AK6)))</formula>
    </cfRule>
    <cfRule type="containsText" dxfId="1193" priority="1238" operator="containsText" text="&quot;A&quot;">
      <formula>NOT(ISERROR(SEARCH("""A""",AK6)))</formula>
    </cfRule>
  </conditionalFormatting>
  <conditionalFormatting sqref="AK6:AL6">
    <cfRule type="containsText" dxfId="1192" priority="1236" operator="containsText" text="A-H">
      <formula>NOT(ISERROR(SEARCH("A-H",AK6)))</formula>
    </cfRule>
  </conditionalFormatting>
  <conditionalFormatting sqref="AN6:AO6">
    <cfRule type="cellIs" dxfId="1191" priority="1227" operator="equal">
      <formula>"C-Off-H"</formula>
    </cfRule>
    <cfRule type="cellIs" dxfId="1190" priority="1228" operator="equal">
      <formula>"C-Off"</formula>
    </cfRule>
    <cfRule type="cellIs" dxfId="1189" priority="1229" operator="equal">
      <formula>"CL-H"</formula>
    </cfRule>
    <cfRule type="cellIs" dxfId="1188" priority="1230" operator="equal">
      <formula>"EL-H"</formula>
    </cfRule>
    <cfRule type="cellIs" dxfId="1187" priority="1231" operator="equal">
      <formula>"CL"</formula>
    </cfRule>
    <cfRule type="cellIs" dxfId="1186" priority="1232" operator="equal">
      <formula>"EL"</formula>
    </cfRule>
  </conditionalFormatting>
  <conditionalFormatting sqref="AN6:AO6">
    <cfRule type="containsText" dxfId="1185" priority="1221" operator="containsText" text="S">
      <formula>NOT(ISERROR(SEARCH("S",AN6)))</formula>
    </cfRule>
    <cfRule type="containsText" dxfId="1184" priority="1222" operator="containsText" text="P">
      <formula>NOT(ISERROR(SEARCH("P",AN6)))</formula>
    </cfRule>
    <cfRule type="containsText" dxfId="1183" priority="1223" operator="containsText" text="H">
      <formula>NOT(ISERROR(SEARCH("H",AN6)))</formula>
    </cfRule>
    <cfRule type="containsText" dxfId="1182" priority="1225" operator="containsText" text="&quot;H&quot;">
      <formula>NOT(ISERROR(SEARCH("""H""",AN6)))</formula>
    </cfRule>
    <cfRule type="containsText" dxfId="1181" priority="1226" operator="containsText" text="&quot;A&quot;">
      <formula>NOT(ISERROR(SEARCH("""A""",AN6)))</formula>
    </cfRule>
  </conditionalFormatting>
  <conditionalFormatting sqref="AN6:AO6">
    <cfRule type="containsText" dxfId="1180" priority="1224" operator="containsText" text="A-H">
      <formula>NOT(ISERROR(SEARCH("A-H",AN6)))</formula>
    </cfRule>
  </conditionalFormatting>
  <conditionalFormatting sqref="AQ6:AR6">
    <cfRule type="cellIs" dxfId="1179" priority="1215" operator="equal">
      <formula>"C-Off-H"</formula>
    </cfRule>
    <cfRule type="cellIs" dxfId="1178" priority="1216" operator="equal">
      <formula>"C-Off"</formula>
    </cfRule>
    <cfRule type="cellIs" dxfId="1177" priority="1217" operator="equal">
      <formula>"CL-H"</formula>
    </cfRule>
    <cfRule type="cellIs" dxfId="1176" priority="1218" operator="equal">
      <formula>"EL-H"</formula>
    </cfRule>
    <cfRule type="cellIs" dxfId="1175" priority="1219" operator="equal">
      <formula>"CL"</formula>
    </cfRule>
    <cfRule type="cellIs" dxfId="1174" priority="1220" operator="equal">
      <formula>"EL"</formula>
    </cfRule>
  </conditionalFormatting>
  <conditionalFormatting sqref="AQ6:AR6">
    <cfRule type="containsText" dxfId="1173" priority="1209" operator="containsText" text="S">
      <formula>NOT(ISERROR(SEARCH("S",AQ6)))</formula>
    </cfRule>
    <cfRule type="containsText" dxfId="1172" priority="1210" operator="containsText" text="P">
      <formula>NOT(ISERROR(SEARCH("P",AQ6)))</formula>
    </cfRule>
    <cfRule type="containsText" dxfId="1171" priority="1211" operator="containsText" text="H">
      <formula>NOT(ISERROR(SEARCH("H",AQ6)))</formula>
    </cfRule>
    <cfRule type="containsText" dxfId="1170" priority="1213" operator="containsText" text="&quot;H&quot;">
      <formula>NOT(ISERROR(SEARCH("""H""",AQ6)))</formula>
    </cfRule>
    <cfRule type="containsText" dxfId="1169" priority="1214" operator="containsText" text="&quot;A&quot;">
      <formula>NOT(ISERROR(SEARCH("""A""",AQ6)))</formula>
    </cfRule>
  </conditionalFormatting>
  <conditionalFormatting sqref="AQ6:AR6">
    <cfRule type="containsText" dxfId="1168" priority="1212" operator="containsText" text="A-H">
      <formula>NOT(ISERROR(SEARCH("A-H",AQ6)))</formula>
    </cfRule>
  </conditionalFormatting>
  <conditionalFormatting sqref="AW6:AX6">
    <cfRule type="cellIs" dxfId="1167" priority="1203" operator="equal">
      <formula>"C-Off-H"</formula>
    </cfRule>
    <cfRule type="cellIs" dxfId="1166" priority="1204" operator="equal">
      <formula>"C-Off"</formula>
    </cfRule>
    <cfRule type="cellIs" dxfId="1165" priority="1205" operator="equal">
      <formula>"CL-H"</formula>
    </cfRule>
    <cfRule type="cellIs" dxfId="1164" priority="1206" operator="equal">
      <formula>"EL-H"</formula>
    </cfRule>
    <cfRule type="cellIs" dxfId="1163" priority="1207" operator="equal">
      <formula>"CL"</formula>
    </cfRule>
    <cfRule type="cellIs" dxfId="1162" priority="1208" operator="equal">
      <formula>"EL"</formula>
    </cfRule>
  </conditionalFormatting>
  <conditionalFormatting sqref="AW6:AX6">
    <cfRule type="containsText" dxfId="1161" priority="1197" operator="containsText" text="S">
      <formula>NOT(ISERROR(SEARCH("S",AW6)))</formula>
    </cfRule>
    <cfRule type="containsText" dxfId="1160" priority="1198" operator="containsText" text="P">
      <formula>NOT(ISERROR(SEARCH("P",AW6)))</formula>
    </cfRule>
    <cfRule type="containsText" dxfId="1159" priority="1199" operator="containsText" text="H">
      <formula>NOT(ISERROR(SEARCH("H",AW6)))</formula>
    </cfRule>
    <cfRule type="containsText" dxfId="1158" priority="1201" operator="containsText" text="&quot;H&quot;">
      <formula>NOT(ISERROR(SEARCH("""H""",AW6)))</formula>
    </cfRule>
    <cfRule type="containsText" dxfId="1157" priority="1202" operator="containsText" text="&quot;A&quot;">
      <formula>NOT(ISERROR(SEARCH("""A""",AW6)))</formula>
    </cfRule>
  </conditionalFormatting>
  <conditionalFormatting sqref="AW6:AX6">
    <cfRule type="containsText" dxfId="1156" priority="1200" operator="containsText" text="A-H">
      <formula>NOT(ISERROR(SEARCH("A-H",AW6)))</formula>
    </cfRule>
  </conditionalFormatting>
  <conditionalFormatting sqref="AZ6:BA6">
    <cfRule type="cellIs" dxfId="1155" priority="1191" operator="equal">
      <formula>"C-Off-H"</formula>
    </cfRule>
    <cfRule type="cellIs" dxfId="1154" priority="1192" operator="equal">
      <formula>"C-Off"</formula>
    </cfRule>
    <cfRule type="cellIs" dxfId="1153" priority="1193" operator="equal">
      <formula>"CL-H"</formula>
    </cfRule>
    <cfRule type="cellIs" dxfId="1152" priority="1194" operator="equal">
      <formula>"EL-H"</formula>
    </cfRule>
    <cfRule type="cellIs" dxfId="1151" priority="1195" operator="equal">
      <formula>"CL"</formula>
    </cfRule>
    <cfRule type="cellIs" dxfId="1150" priority="1196" operator="equal">
      <formula>"EL"</formula>
    </cfRule>
  </conditionalFormatting>
  <conditionalFormatting sqref="AZ6:BA6">
    <cfRule type="containsText" dxfId="1149" priority="1185" operator="containsText" text="S">
      <formula>NOT(ISERROR(SEARCH("S",AZ6)))</formula>
    </cfRule>
    <cfRule type="containsText" dxfId="1148" priority="1186" operator="containsText" text="P">
      <formula>NOT(ISERROR(SEARCH("P",AZ6)))</formula>
    </cfRule>
    <cfRule type="containsText" dxfId="1147" priority="1187" operator="containsText" text="H">
      <formula>NOT(ISERROR(SEARCH("H",AZ6)))</formula>
    </cfRule>
    <cfRule type="containsText" dxfId="1146" priority="1189" operator="containsText" text="&quot;H&quot;">
      <formula>NOT(ISERROR(SEARCH("""H""",AZ6)))</formula>
    </cfRule>
    <cfRule type="containsText" dxfId="1145" priority="1190" operator="containsText" text="&quot;A&quot;">
      <formula>NOT(ISERROR(SEARCH("""A""",AZ6)))</formula>
    </cfRule>
  </conditionalFormatting>
  <conditionalFormatting sqref="AZ6:BA6">
    <cfRule type="containsText" dxfId="1144" priority="1188" operator="containsText" text="A-H">
      <formula>NOT(ISERROR(SEARCH("A-H",AZ6)))</formula>
    </cfRule>
  </conditionalFormatting>
  <conditionalFormatting sqref="BC6:BD6">
    <cfRule type="cellIs" dxfId="1143" priority="1179" operator="equal">
      <formula>"C-Off-H"</formula>
    </cfRule>
    <cfRule type="cellIs" dxfId="1142" priority="1180" operator="equal">
      <formula>"C-Off"</formula>
    </cfRule>
    <cfRule type="cellIs" dxfId="1141" priority="1181" operator="equal">
      <formula>"CL-H"</formula>
    </cfRule>
    <cfRule type="cellIs" dxfId="1140" priority="1182" operator="equal">
      <formula>"EL-H"</formula>
    </cfRule>
    <cfRule type="cellIs" dxfId="1139" priority="1183" operator="equal">
      <formula>"CL"</formula>
    </cfRule>
    <cfRule type="cellIs" dxfId="1138" priority="1184" operator="equal">
      <formula>"EL"</formula>
    </cfRule>
  </conditionalFormatting>
  <conditionalFormatting sqref="BC6:BD6">
    <cfRule type="containsText" dxfId="1137" priority="1173" operator="containsText" text="S">
      <formula>NOT(ISERROR(SEARCH("S",BC6)))</formula>
    </cfRule>
    <cfRule type="containsText" dxfId="1136" priority="1174" operator="containsText" text="P">
      <formula>NOT(ISERROR(SEARCH("P",BC6)))</formula>
    </cfRule>
    <cfRule type="containsText" dxfId="1135" priority="1175" operator="containsText" text="H">
      <formula>NOT(ISERROR(SEARCH("H",BC6)))</formula>
    </cfRule>
    <cfRule type="containsText" dxfId="1134" priority="1177" operator="containsText" text="&quot;H&quot;">
      <formula>NOT(ISERROR(SEARCH("""H""",BC6)))</formula>
    </cfRule>
    <cfRule type="containsText" dxfId="1133" priority="1178" operator="containsText" text="&quot;A&quot;">
      <formula>NOT(ISERROR(SEARCH("""A""",BC6)))</formula>
    </cfRule>
  </conditionalFormatting>
  <conditionalFormatting sqref="BC6:BD6">
    <cfRule type="containsText" dxfId="1132" priority="1176" operator="containsText" text="A-H">
      <formula>NOT(ISERROR(SEARCH("A-H",BC6)))</formula>
    </cfRule>
  </conditionalFormatting>
  <conditionalFormatting sqref="BF6:BG6">
    <cfRule type="cellIs" dxfId="1131" priority="1167" operator="equal">
      <formula>"C-Off-H"</formula>
    </cfRule>
    <cfRule type="cellIs" dxfId="1130" priority="1168" operator="equal">
      <formula>"C-Off"</formula>
    </cfRule>
    <cfRule type="cellIs" dxfId="1129" priority="1169" operator="equal">
      <formula>"CL-H"</formula>
    </cfRule>
    <cfRule type="cellIs" dxfId="1128" priority="1170" operator="equal">
      <formula>"EL-H"</formula>
    </cfRule>
    <cfRule type="cellIs" dxfId="1127" priority="1171" operator="equal">
      <formula>"CL"</formula>
    </cfRule>
    <cfRule type="cellIs" dxfId="1126" priority="1172" operator="equal">
      <formula>"EL"</formula>
    </cfRule>
  </conditionalFormatting>
  <conditionalFormatting sqref="BF6:BG6">
    <cfRule type="containsText" dxfId="1125" priority="1161" operator="containsText" text="S">
      <formula>NOT(ISERROR(SEARCH("S",BF6)))</formula>
    </cfRule>
    <cfRule type="containsText" dxfId="1124" priority="1162" operator="containsText" text="P">
      <formula>NOT(ISERROR(SEARCH("P",BF6)))</formula>
    </cfRule>
    <cfRule type="containsText" dxfId="1123" priority="1163" operator="containsText" text="H">
      <formula>NOT(ISERROR(SEARCH("H",BF6)))</formula>
    </cfRule>
    <cfRule type="containsText" dxfId="1122" priority="1165" operator="containsText" text="&quot;H&quot;">
      <formula>NOT(ISERROR(SEARCH("""H""",BF6)))</formula>
    </cfRule>
    <cfRule type="containsText" dxfId="1121" priority="1166" operator="containsText" text="&quot;A&quot;">
      <formula>NOT(ISERROR(SEARCH("""A""",BF6)))</formula>
    </cfRule>
  </conditionalFormatting>
  <conditionalFormatting sqref="BF6:BG6">
    <cfRule type="containsText" dxfId="1120" priority="1164" operator="containsText" text="A-H">
      <formula>NOT(ISERROR(SEARCH("A-H",BF6)))</formula>
    </cfRule>
  </conditionalFormatting>
  <conditionalFormatting sqref="BI6:BJ6">
    <cfRule type="cellIs" dxfId="1119" priority="1155" operator="equal">
      <formula>"C-Off-H"</formula>
    </cfRule>
    <cfRule type="cellIs" dxfId="1118" priority="1156" operator="equal">
      <formula>"C-Off"</formula>
    </cfRule>
    <cfRule type="cellIs" dxfId="1117" priority="1157" operator="equal">
      <formula>"CL-H"</formula>
    </cfRule>
    <cfRule type="cellIs" dxfId="1116" priority="1158" operator="equal">
      <formula>"EL-H"</formula>
    </cfRule>
    <cfRule type="cellIs" dxfId="1115" priority="1159" operator="equal">
      <formula>"CL"</formula>
    </cfRule>
    <cfRule type="cellIs" dxfId="1114" priority="1160" operator="equal">
      <formula>"EL"</formula>
    </cfRule>
  </conditionalFormatting>
  <conditionalFormatting sqref="BI6:BJ6">
    <cfRule type="containsText" dxfId="1113" priority="1149" operator="containsText" text="S">
      <formula>NOT(ISERROR(SEARCH("S",BI6)))</formula>
    </cfRule>
    <cfRule type="containsText" dxfId="1112" priority="1150" operator="containsText" text="P">
      <formula>NOT(ISERROR(SEARCH("P",BI6)))</formula>
    </cfRule>
    <cfRule type="containsText" dxfId="1111" priority="1151" operator="containsText" text="H">
      <formula>NOT(ISERROR(SEARCH("H",BI6)))</formula>
    </cfRule>
    <cfRule type="containsText" dxfId="1110" priority="1153" operator="containsText" text="&quot;H&quot;">
      <formula>NOT(ISERROR(SEARCH("""H""",BI6)))</formula>
    </cfRule>
    <cfRule type="containsText" dxfId="1109" priority="1154" operator="containsText" text="&quot;A&quot;">
      <formula>NOT(ISERROR(SEARCH("""A""",BI6)))</formula>
    </cfRule>
  </conditionalFormatting>
  <conditionalFormatting sqref="BI6:BJ6">
    <cfRule type="containsText" dxfId="1108" priority="1152" operator="containsText" text="A-H">
      <formula>NOT(ISERROR(SEARCH("A-H",BI6)))</formula>
    </cfRule>
  </conditionalFormatting>
  <conditionalFormatting sqref="BL6:BM6">
    <cfRule type="cellIs" dxfId="1107" priority="1143" operator="equal">
      <formula>"C-Off-H"</formula>
    </cfRule>
    <cfRule type="cellIs" dxfId="1106" priority="1144" operator="equal">
      <formula>"C-Off"</formula>
    </cfRule>
    <cfRule type="cellIs" dxfId="1105" priority="1145" operator="equal">
      <formula>"CL-H"</formula>
    </cfRule>
    <cfRule type="cellIs" dxfId="1104" priority="1146" operator="equal">
      <formula>"EL-H"</formula>
    </cfRule>
    <cfRule type="cellIs" dxfId="1103" priority="1147" operator="equal">
      <formula>"CL"</formula>
    </cfRule>
    <cfRule type="cellIs" dxfId="1102" priority="1148" operator="equal">
      <formula>"EL"</formula>
    </cfRule>
  </conditionalFormatting>
  <conditionalFormatting sqref="BL6:BM6">
    <cfRule type="containsText" dxfId="1101" priority="1137" operator="containsText" text="S">
      <formula>NOT(ISERROR(SEARCH("S",BL6)))</formula>
    </cfRule>
    <cfRule type="containsText" dxfId="1100" priority="1138" operator="containsText" text="P">
      <formula>NOT(ISERROR(SEARCH("P",BL6)))</formula>
    </cfRule>
    <cfRule type="containsText" dxfId="1099" priority="1139" operator="containsText" text="H">
      <formula>NOT(ISERROR(SEARCH("H",BL6)))</formula>
    </cfRule>
    <cfRule type="containsText" dxfId="1098" priority="1141" operator="containsText" text="&quot;H&quot;">
      <formula>NOT(ISERROR(SEARCH("""H""",BL6)))</formula>
    </cfRule>
    <cfRule type="containsText" dxfId="1097" priority="1142" operator="containsText" text="&quot;A&quot;">
      <formula>NOT(ISERROR(SEARCH("""A""",BL6)))</formula>
    </cfRule>
  </conditionalFormatting>
  <conditionalFormatting sqref="BL6:BM6">
    <cfRule type="containsText" dxfId="1096" priority="1140" operator="containsText" text="A-H">
      <formula>NOT(ISERROR(SEARCH("A-H",BL6)))</formula>
    </cfRule>
  </conditionalFormatting>
  <conditionalFormatting sqref="BR6:BS6">
    <cfRule type="cellIs" dxfId="1095" priority="1131" operator="equal">
      <formula>"C-Off-H"</formula>
    </cfRule>
    <cfRule type="cellIs" dxfId="1094" priority="1132" operator="equal">
      <formula>"C-Off"</formula>
    </cfRule>
    <cfRule type="cellIs" dxfId="1093" priority="1133" operator="equal">
      <formula>"CL-H"</formula>
    </cfRule>
    <cfRule type="cellIs" dxfId="1092" priority="1134" operator="equal">
      <formula>"EL-H"</formula>
    </cfRule>
    <cfRule type="cellIs" dxfId="1091" priority="1135" operator="equal">
      <formula>"CL"</formula>
    </cfRule>
    <cfRule type="cellIs" dxfId="1090" priority="1136" operator="equal">
      <formula>"EL"</formula>
    </cfRule>
  </conditionalFormatting>
  <conditionalFormatting sqref="BR6:BS6">
    <cfRule type="containsText" dxfId="1089" priority="1125" operator="containsText" text="S">
      <formula>NOT(ISERROR(SEARCH("S",BR6)))</formula>
    </cfRule>
    <cfRule type="containsText" dxfId="1088" priority="1126" operator="containsText" text="P">
      <formula>NOT(ISERROR(SEARCH("P",BR6)))</formula>
    </cfRule>
    <cfRule type="containsText" dxfId="1087" priority="1127" operator="containsText" text="H">
      <formula>NOT(ISERROR(SEARCH("H",BR6)))</formula>
    </cfRule>
    <cfRule type="containsText" dxfId="1086" priority="1129" operator="containsText" text="&quot;H&quot;">
      <formula>NOT(ISERROR(SEARCH("""H""",BR6)))</formula>
    </cfRule>
    <cfRule type="containsText" dxfId="1085" priority="1130" operator="containsText" text="&quot;A&quot;">
      <formula>NOT(ISERROR(SEARCH("""A""",BR6)))</formula>
    </cfRule>
  </conditionalFormatting>
  <conditionalFormatting sqref="BR6:BS6">
    <cfRule type="containsText" dxfId="1084" priority="1128" operator="containsText" text="A-H">
      <formula>NOT(ISERROR(SEARCH("A-H",BR6)))</formula>
    </cfRule>
  </conditionalFormatting>
  <conditionalFormatting sqref="BU6:BV6">
    <cfRule type="cellIs" dxfId="1083" priority="1119" operator="equal">
      <formula>"C-Off-H"</formula>
    </cfRule>
    <cfRule type="cellIs" dxfId="1082" priority="1120" operator="equal">
      <formula>"C-Off"</formula>
    </cfRule>
    <cfRule type="cellIs" dxfId="1081" priority="1121" operator="equal">
      <formula>"CL-H"</formula>
    </cfRule>
    <cfRule type="cellIs" dxfId="1080" priority="1122" operator="equal">
      <formula>"EL-H"</formula>
    </cfRule>
    <cfRule type="cellIs" dxfId="1079" priority="1123" operator="equal">
      <formula>"CL"</formula>
    </cfRule>
    <cfRule type="cellIs" dxfId="1078" priority="1124" operator="equal">
      <formula>"EL"</formula>
    </cfRule>
  </conditionalFormatting>
  <conditionalFormatting sqref="BU6:BV6">
    <cfRule type="containsText" dxfId="1077" priority="1113" operator="containsText" text="S">
      <formula>NOT(ISERROR(SEARCH("S",BU6)))</formula>
    </cfRule>
    <cfRule type="containsText" dxfId="1076" priority="1114" operator="containsText" text="P">
      <formula>NOT(ISERROR(SEARCH("P",BU6)))</formula>
    </cfRule>
    <cfRule type="containsText" dxfId="1075" priority="1115" operator="containsText" text="H">
      <formula>NOT(ISERROR(SEARCH("H",BU6)))</formula>
    </cfRule>
    <cfRule type="containsText" dxfId="1074" priority="1117" operator="containsText" text="&quot;H&quot;">
      <formula>NOT(ISERROR(SEARCH("""H""",BU6)))</formula>
    </cfRule>
    <cfRule type="containsText" dxfId="1073" priority="1118" operator="containsText" text="&quot;A&quot;">
      <formula>NOT(ISERROR(SEARCH("""A""",BU6)))</formula>
    </cfRule>
  </conditionalFormatting>
  <conditionalFormatting sqref="BY6">
    <cfRule type="cellIs" dxfId="1072" priority="1107" operator="equal">
      <formula>"C-Off-H"</formula>
    </cfRule>
    <cfRule type="cellIs" dxfId="1071" priority="1108" operator="equal">
      <formula>"C-Off"</formula>
    </cfRule>
    <cfRule type="cellIs" dxfId="1070" priority="1109" operator="equal">
      <formula>"CL-H"</formula>
    </cfRule>
    <cfRule type="cellIs" dxfId="1069" priority="1110" operator="equal">
      <formula>"EL-H"</formula>
    </cfRule>
    <cfRule type="cellIs" dxfId="1068" priority="1111" operator="equal">
      <formula>"CL"</formula>
    </cfRule>
    <cfRule type="cellIs" dxfId="1067" priority="1112" operator="equal">
      <formula>"EL"</formula>
    </cfRule>
  </conditionalFormatting>
  <conditionalFormatting sqref="BY6">
    <cfRule type="containsText" dxfId="1066" priority="1101" operator="containsText" text="S">
      <formula>NOT(ISERROR(SEARCH("S",BY6)))</formula>
    </cfRule>
    <cfRule type="containsText" dxfId="1065" priority="1102" operator="containsText" text="P">
      <formula>NOT(ISERROR(SEARCH("P",BY6)))</formula>
    </cfRule>
    <cfRule type="containsText" dxfId="1064" priority="1103" operator="containsText" text="H">
      <formula>NOT(ISERROR(SEARCH("H",BY6)))</formula>
    </cfRule>
    <cfRule type="containsText" dxfId="1063" priority="1105" operator="containsText" text="&quot;H&quot;">
      <formula>NOT(ISERROR(SEARCH("""H""",BY6)))</formula>
    </cfRule>
    <cfRule type="containsText" dxfId="1062" priority="1106" operator="containsText" text="&quot;A&quot;">
      <formula>NOT(ISERROR(SEARCH("""A""",BY6)))</formula>
    </cfRule>
  </conditionalFormatting>
  <conditionalFormatting sqref="BY6">
    <cfRule type="containsText" dxfId="1061" priority="1104" operator="containsText" text="A-H">
      <formula>NOT(ISERROR(SEARCH("A-H",BY6)))</formula>
    </cfRule>
  </conditionalFormatting>
  <conditionalFormatting sqref="BX6">
    <cfRule type="cellIs" dxfId="1060" priority="1095" operator="equal">
      <formula>"C-Off-H"</formula>
    </cfRule>
    <cfRule type="cellIs" dxfId="1059" priority="1096" operator="equal">
      <formula>"C-Off"</formula>
    </cfRule>
    <cfRule type="cellIs" dxfId="1058" priority="1097" operator="equal">
      <formula>"CL-H"</formula>
    </cfRule>
    <cfRule type="cellIs" dxfId="1057" priority="1098" operator="equal">
      <formula>"EL-H"</formula>
    </cfRule>
    <cfRule type="cellIs" dxfId="1056" priority="1099" operator="equal">
      <formula>"CL"</formula>
    </cfRule>
    <cfRule type="cellIs" dxfId="1055" priority="1100" operator="equal">
      <formula>"EL"</formula>
    </cfRule>
  </conditionalFormatting>
  <conditionalFormatting sqref="BX6">
    <cfRule type="containsText" dxfId="1054" priority="1089" operator="containsText" text="S">
      <formula>NOT(ISERROR(SEARCH("S",BX6)))</formula>
    </cfRule>
    <cfRule type="containsText" dxfId="1053" priority="1090" operator="containsText" text="P">
      <formula>NOT(ISERROR(SEARCH("P",BX6)))</formula>
    </cfRule>
    <cfRule type="containsText" dxfId="1052" priority="1091" operator="containsText" text="H">
      <formula>NOT(ISERROR(SEARCH("H",BX6)))</formula>
    </cfRule>
    <cfRule type="containsText" dxfId="1051" priority="1093" operator="containsText" text="&quot;H&quot;">
      <formula>NOT(ISERROR(SEARCH("""H""",BX6)))</formula>
    </cfRule>
    <cfRule type="containsText" dxfId="1050" priority="1094" operator="containsText" text="&quot;A&quot;">
      <formula>NOT(ISERROR(SEARCH("""A""",BX6)))</formula>
    </cfRule>
  </conditionalFormatting>
  <conditionalFormatting sqref="BX6">
    <cfRule type="containsText" dxfId="1049" priority="1092" operator="containsText" text="A-H">
      <formula>NOT(ISERROR(SEARCH("A-H",BX6)))</formula>
    </cfRule>
  </conditionalFormatting>
  <conditionalFormatting sqref="J6:K6">
    <cfRule type="cellIs" dxfId="1048" priority="1083" operator="equal">
      <formula>"C-Off-H"</formula>
    </cfRule>
    <cfRule type="cellIs" dxfId="1047" priority="1084" operator="equal">
      <formula>"C-Off"</formula>
    </cfRule>
    <cfRule type="cellIs" dxfId="1046" priority="1085" operator="equal">
      <formula>"CL-H"</formula>
    </cfRule>
    <cfRule type="cellIs" dxfId="1045" priority="1086" operator="equal">
      <formula>"EL-H"</formula>
    </cfRule>
    <cfRule type="cellIs" dxfId="1044" priority="1087" operator="equal">
      <formula>"CL"</formula>
    </cfRule>
    <cfRule type="cellIs" dxfId="1043" priority="1088" operator="equal">
      <formula>"EL"</formula>
    </cfRule>
  </conditionalFormatting>
  <conditionalFormatting sqref="J6:K6">
    <cfRule type="containsText" dxfId="1042" priority="1077" operator="containsText" text="S">
      <formula>NOT(ISERROR(SEARCH("S",J6)))</formula>
    </cfRule>
    <cfRule type="containsText" dxfId="1041" priority="1078" operator="containsText" text="P">
      <formula>NOT(ISERROR(SEARCH("P",J6)))</formula>
    </cfRule>
    <cfRule type="containsText" dxfId="1040" priority="1079" operator="containsText" text="H">
      <formula>NOT(ISERROR(SEARCH("H",J6)))</formula>
    </cfRule>
    <cfRule type="containsText" dxfId="1039" priority="1081" operator="containsText" text="&quot;H&quot;">
      <formula>NOT(ISERROR(SEARCH("""H""",J6)))</formula>
    </cfRule>
    <cfRule type="containsText" dxfId="1038" priority="1082" operator="containsText" text="&quot;A&quot;">
      <formula>NOT(ISERROR(SEARCH("""A""",J6)))</formula>
    </cfRule>
  </conditionalFormatting>
  <conditionalFormatting sqref="J6:K6">
    <cfRule type="containsText" dxfId="1037" priority="1080" operator="containsText" text="A-H">
      <formula>NOT(ISERROR(SEARCH("A-H",J6)))</formula>
    </cfRule>
  </conditionalFormatting>
  <conditionalFormatting sqref="DB5:DB6">
    <cfRule type="containsText" dxfId="1036" priority="1076" operator="containsText" text="A-H">
      <formula>NOT(ISERROR(SEARCH("A-H",DB5)))</formula>
    </cfRule>
  </conditionalFormatting>
  <conditionalFormatting sqref="DB5:DB6">
    <cfRule type="containsText" dxfId="1035" priority="1075" operator="containsText" text="A">
      <formula>NOT(ISERROR(SEARCH("A",DB5)))</formula>
    </cfRule>
  </conditionalFormatting>
  <conditionalFormatting sqref="DB5:DB6">
    <cfRule type="cellIs" dxfId="1034" priority="1069" stopIfTrue="1" operator="equal">
      <formula>"C-Off-H"</formula>
    </cfRule>
    <cfRule type="cellIs" dxfId="1033" priority="1070" stopIfTrue="1" operator="equal">
      <formula>"C-Off"</formula>
    </cfRule>
    <cfRule type="cellIs" dxfId="1032" priority="1071" stopIfTrue="1" operator="equal">
      <formula>"CL-H"</formula>
    </cfRule>
    <cfRule type="cellIs" dxfId="1031" priority="1072" stopIfTrue="1" operator="equal">
      <formula>"EL-H"</formula>
    </cfRule>
    <cfRule type="cellIs" dxfId="1030" priority="1073" stopIfTrue="1" operator="equal">
      <formula>"CL"</formula>
    </cfRule>
    <cfRule type="cellIs" dxfId="1029" priority="1074" stopIfTrue="1" operator="equal">
      <formula>"EL"</formula>
    </cfRule>
  </conditionalFormatting>
  <conditionalFormatting sqref="G5:H5">
    <cfRule type="cellIs" dxfId="1028" priority="1063" operator="equal">
      <formula>"C-Off-H"</formula>
    </cfRule>
    <cfRule type="cellIs" dxfId="1027" priority="1064" operator="equal">
      <formula>"C-Off"</formula>
    </cfRule>
    <cfRule type="cellIs" dxfId="1026" priority="1065" operator="equal">
      <formula>"CL-H"</formula>
    </cfRule>
    <cfRule type="cellIs" dxfId="1025" priority="1066" operator="equal">
      <formula>"EL-H"</formula>
    </cfRule>
    <cfRule type="cellIs" dxfId="1024" priority="1067" operator="equal">
      <formula>"CL"</formula>
    </cfRule>
    <cfRule type="cellIs" dxfId="1023" priority="1068" operator="equal">
      <formula>"EL"</formula>
    </cfRule>
  </conditionalFormatting>
  <conditionalFormatting sqref="G5:H5">
    <cfRule type="containsText" dxfId="1022" priority="1057" operator="containsText" text="S">
      <formula>NOT(ISERROR(SEARCH("S",G5)))</formula>
    </cfRule>
    <cfRule type="containsText" dxfId="1021" priority="1058" operator="containsText" text="P">
      <formula>NOT(ISERROR(SEARCH("P",G5)))</formula>
    </cfRule>
    <cfRule type="containsText" dxfId="1020" priority="1059" operator="containsText" text="H">
      <formula>NOT(ISERROR(SEARCH("H",G5)))</formula>
    </cfRule>
    <cfRule type="containsText" dxfId="1019" priority="1061" operator="containsText" text="&quot;H&quot;">
      <formula>NOT(ISERROR(SEARCH("""H""",G5)))</formula>
    </cfRule>
    <cfRule type="containsText" dxfId="1018" priority="1062" operator="containsText" text="&quot;A&quot;">
      <formula>NOT(ISERROR(SEARCH("""A""",G5)))</formula>
    </cfRule>
  </conditionalFormatting>
  <conditionalFormatting sqref="G5:H5">
    <cfRule type="containsText" dxfId="1017" priority="1060" operator="containsText" text="A-H">
      <formula>NOT(ISERROR(SEARCH("A-H",G5)))</formula>
    </cfRule>
  </conditionalFormatting>
  <conditionalFormatting sqref="G6:H6">
    <cfRule type="cellIs" dxfId="1016" priority="1051" operator="equal">
      <formula>"C-Off-H"</formula>
    </cfRule>
    <cfRule type="cellIs" dxfId="1015" priority="1052" operator="equal">
      <formula>"C-Off"</formula>
    </cfRule>
    <cfRule type="cellIs" dxfId="1014" priority="1053" operator="equal">
      <formula>"CL-H"</formula>
    </cfRule>
    <cfRule type="cellIs" dxfId="1013" priority="1054" operator="equal">
      <formula>"EL-H"</formula>
    </cfRule>
    <cfRule type="cellIs" dxfId="1012" priority="1055" operator="equal">
      <formula>"CL"</formula>
    </cfRule>
    <cfRule type="cellIs" dxfId="1011" priority="1056" operator="equal">
      <formula>"EL"</formula>
    </cfRule>
  </conditionalFormatting>
  <conditionalFormatting sqref="G6:H6">
    <cfRule type="containsText" dxfId="1010" priority="1045" operator="containsText" text="S">
      <formula>NOT(ISERROR(SEARCH("S",G6)))</formula>
    </cfRule>
    <cfRule type="containsText" dxfId="1009" priority="1046" operator="containsText" text="P">
      <formula>NOT(ISERROR(SEARCH("P",G6)))</formula>
    </cfRule>
    <cfRule type="containsText" dxfId="1008" priority="1047" operator="containsText" text="H">
      <formula>NOT(ISERROR(SEARCH("H",G6)))</formula>
    </cfRule>
    <cfRule type="containsText" dxfId="1007" priority="1049" operator="containsText" text="&quot;H&quot;">
      <formula>NOT(ISERROR(SEARCH("""H""",G6)))</formula>
    </cfRule>
    <cfRule type="containsText" dxfId="1006" priority="1050" operator="containsText" text="&quot;A&quot;">
      <formula>NOT(ISERROR(SEARCH("""A""",G6)))</formula>
    </cfRule>
  </conditionalFormatting>
  <conditionalFormatting sqref="G6:H6">
    <cfRule type="containsText" dxfId="1005" priority="1048" operator="containsText" text="A-H">
      <formula>NOT(ISERROR(SEARCH("A-H",G6)))</formula>
    </cfRule>
  </conditionalFormatting>
  <conditionalFormatting sqref="AJ5">
    <cfRule type="cellIs" dxfId="1004" priority="1013" operator="equal">
      <formula>"C-Off-H"</formula>
    </cfRule>
    <cfRule type="cellIs" dxfId="1003" priority="1014" operator="equal">
      <formula>"C-Off"</formula>
    </cfRule>
    <cfRule type="cellIs" dxfId="1002" priority="1015" operator="equal">
      <formula>"CL-H"</formula>
    </cfRule>
    <cfRule type="cellIs" dxfId="1001" priority="1016" operator="equal">
      <formula>"EL-H"</formula>
    </cfRule>
    <cfRule type="cellIs" dxfId="1000" priority="1017" operator="equal">
      <formula>"CL"</formula>
    </cfRule>
    <cfRule type="cellIs" dxfId="999" priority="1018" operator="equal">
      <formula>"EL"</formula>
    </cfRule>
  </conditionalFormatting>
  <conditionalFormatting sqref="AJ5">
    <cfRule type="containsText" dxfId="998" priority="1012" operator="containsText" text="A-H">
      <formula>NOT(ISERROR(SEARCH("A-H",AJ5)))</formula>
    </cfRule>
  </conditionalFormatting>
  <conditionalFormatting sqref="AJ5">
    <cfRule type="containsText" dxfId="997" priority="1011" operator="containsText" text="A">
      <formula>NOT(ISERROR(SEARCH("A",AJ5)))</formula>
    </cfRule>
  </conditionalFormatting>
  <conditionalFormatting sqref="AJ5">
    <cfRule type="containsText" dxfId="996" priority="1006" operator="containsText" text="S">
      <formula>NOT(ISERROR(SEARCH("S",AJ5)))</formula>
    </cfRule>
    <cfRule type="containsText" dxfId="995" priority="1007" operator="containsText" text="P">
      <formula>NOT(ISERROR(SEARCH("P",AJ5)))</formula>
    </cfRule>
    <cfRule type="containsText" dxfId="994" priority="1008" operator="containsText" text="H">
      <formula>NOT(ISERROR(SEARCH("H",AJ5)))</formula>
    </cfRule>
    <cfRule type="containsText" dxfId="993" priority="1009" operator="containsText" text="&quot;H&quot;">
      <formula>NOT(ISERROR(SEARCH("""H""",AJ5)))</formula>
    </cfRule>
    <cfRule type="containsText" dxfId="992" priority="1010" operator="containsText" text="&quot;A&quot;">
      <formula>NOT(ISERROR(SEARCH("""A""",AJ5)))</formula>
    </cfRule>
  </conditionalFormatting>
  <conditionalFormatting sqref="AJ6">
    <cfRule type="cellIs" dxfId="991" priority="1000" operator="equal">
      <formula>"C-Off-H"</formula>
    </cfRule>
    <cfRule type="cellIs" dxfId="990" priority="1001" operator="equal">
      <formula>"C-Off"</formula>
    </cfRule>
    <cfRule type="cellIs" dxfId="989" priority="1002" operator="equal">
      <formula>"CL-H"</formula>
    </cfRule>
    <cfRule type="cellIs" dxfId="988" priority="1003" operator="equal">
      <formula>"EL-H"</formula>
    </cfRule>
    <cfRule type="cellIs" dxfId="987" priority="1004" operator="equal">
      <formula>"CL"</formula>
    </cfRule>
    <cfRule type="cellIs" dxfId="986" priority="1005" operator="equal">
      <formula>"EL"</formula>
    </cfRule>
  </conditionalFormatting>
  <conditionalFormatting sqref="AJ6">
    <cfRule type="containsText" dxfId="985" priority="999" operator="containsText" text="A-H">
      <formula>NOT(ISERROR(SEARCH("A-H",AJ6)))</formula>
    </cfRule>
  </conditionalFormatting>
  <conditionalFormatting sqref="AJ6">
    <cfRule type="containsText" dxfId="984" priority="998" operator="containsText" text="A">
      <formula>NOT(ISERROR(SEARCH("A",AJ6)))</formula>
    </cfRule>
  </conditionalFormatting>
  <conditionalFormatting sqref="AJ6">
    <cfRule type="containsText" dxfId="983" priority="993" operator="containsText" text="S">
      <formula>NOT(ISERROR(SEARCH("S",AJ6)))</formula>
    </cfRule>
    <cfRule type="containsText" dxfId="982" priority="994" operator="containsText" text="P">
      <formula>NOT(ISERROR(SEARCH("P",AJ6)))</formula>
    </cfRule>
    <cfRule type="containsText" dxfId="981" priority="995" operator="containsText" text="H">
      <formula>NOT(ISERROR(SEARCH("H",AJ6)))</formula>
    </cfRule>
    <cfRule type="containsText" dxfId="980" priority="996" operator="containsText" text="&quot;H&quot;">
      <formula>NOT(ISERROR(SEARCH("""H""",AJ6)))</formula>
    </cfRule>
    <cfRule type="containsText" dxfId="979" priority="997" operator="containsText" text="&quot;A&quot;">
      <formula>NOT(ISERROR(SEARCH("""A""",AJ6)))</formula>
    </cfRule>
  </conditionalFormatting>
  <conditionalFormatting sqref="AV5">
    <cfRule type="cellIs" dxfId="978" priority="987" operator="equal">
      <formula>"C-Off-H"</formula>
    </cfRule>
    <cfRule type="cellIs" dxfId="977" priority="988" operator="equal">
      <formula>"C-Off"</formula>
    </cfRule>
    <cfRule type="cellIs" dxfId="976" priority="989" operator="equal">
      <formula>"CL-H"</formula>
    </cfRule>
    <cfRule type="cellIs" dxfId="975" priority="990" operator="equal">
      <formula>"EL-H"</formula>
    </cfRule>
    <cfRule type="cellIs" dxfId="974" priority="991" operator="equal">
      <formula>"CL"</formula>
    </cfRule>
    <cfRule type="cellIs" dxfId="973" priority="992" operator="equal">
      <formula>"EL"</formula>
    </cfRule>
  </conditionalFormatting>
  <conditionalFormatting sqref="AV5">
    <cfRule type="containsText" dxfId="972" priority="986" operator="containsText" text="A-H">
      <formula>NOT(ISERROR(SEARCH("A-H",AV5)))</formula>
    </cfRule>
  </conditionalFormatting>
  <conditionalFormatting sqref="AV5">
    <cfRule type="containsText" dxfId="971" priority="985" operator="containsText" text="A">
      <formula>NOT(ISERROR(SEARCH("A",AV5)))</formula>
    </cfRule>
  </conditionalFormatting>
  <conditionalFormatting sqref="AV5">
    <cfRule type="containsText" dxfId="970" priority="980" operator="containsText" text="S">
      <formula>NOT(ISERROR(SEARCH("S",AV5)))</formula>
    </cfRule>
    <cfRule type="containsText" dxfId="969" priority="981" operator="containsText" text="P">
      <formula>NOT(ISERROR(SEARCH("P",AV5)))</formula>
    </cfRule>
    <cfRule type="containsText" dxfId="968" priority="982" operator="containsText" text="H">
      <formula>NOT(ISERROR(SEARCH("H",AV5)))</formula>
    </cfRule>
    <cfRule type="containsText" dxfId="967" priority="983" operator="containsText" text="&quot;H&quot;">
      <formula>NOT(ISERROR(SEARCH("""H""",AV5)))</formula>
    </cfRule>
    <cfRule type="containsText" dxfId="966" priority="984" operator="containsText" text="&quot;A&quot;">
      <formula>NOT(ISERROR(SEARCH("""A""",AV5)))</formula>
    </cfRule>
  </conditionalFormatting>
  <conditionalFormatting sqref="BE5">
    <cfRule type="cellIs" dxfId="965" priority="961" operator="equal">
      <formula>"C-Off-H"</formula>
    </cfRule>
    <cfRule type="cellIs" dxfId="964" priority="962" operator="equal">
      <formula>"C-Off"</formula>
    </cfRule>
    <cfRule type="cellIs" dxfId="963" priority="963" operator="equal">
      <formula>"CL-H"</formula>
    </cfRule>
    <cfRule type="cellIs" dxfId="962" priority="964" operator="equal">
      <formula>"EL-H"</formula>
    </cfRule>
    <cfRule type="cellIs" dxfId="961" priority="965" operator="equal">
      <formula>"CL"</formula>
    </cfRule>
    <cfRule type="cellIs" dxfId="960" priority="966" operator="equal">
      <formula>"EL"</formula>
    </cfRule>
  </conditionalFormatting>
  <conditionalFormatting sqref="BE5">
    <cfRule type="containsText" dxfId="959" priority="960" operator="containsText" text="A-H">
      <formula>NOT(ISERROR(SEARCH("A-H",BE5)))</formula>
    </cfRule>
  </conditionalFormatting>
  <conditionalFormatting sqref="BE5">
    <cfRule type="containsText" dxfId="958" priority="959" operator="containsText" text="A">
      <formula>NOT(ISERROR(SEARCH("A",BE5)))</formula>
    </cfRule>
  </conditionalFormatting>
  <conditionalFormatting sqref="BE5">
    <cfRule type="containsText" dxfId="957" priority="954" operator="containsText" text="S">
      <formula>NOT(ISERROR(SEARCH("S",BE5)))</formula>
    </cfRule>
    <cfRule type="containsText" dxfId="956" priority="955" operator="containsText" text="P">
      <formula>NOT(ISERROR(SEARCH("P",BE5)))</formula>
    </cfRule>
    <cfRule type="containsText" dxfId="955" priority="956" operator="containsText" text="H">
      <formula>NOT(ISERROR(SEARCH("H",BE5)))</formula>
    </cfRule>
    <cfRule type="containsText" dxfId="954" priority="957" operator="containsText" text="&quot;H&quot;">
      <formula>NOT(ISERROR(SEARCH("""H""",BE5)))</formula>
    </cfRule>
    <cfRule type="containsText" dxfId="953" priority="958" operator="containsText" text="&quot;A&quot;">
      <formula>NOT(ISERROR(SEARCH("""A""",BE5)))</formula>
    </cfRule>
  </conditionalFormatting>
  <conditionalFormatting sqref="BE6">
    <cfRule type="cellIs" dxfId="952" priority="948" operator="equal">
      <formula>"C-Off-H"</formula>
    </cfRule>
    <cfRule type="cellIs" dxfId="951" priority="949" operator="equal">
      <formula>"C-Off"</formula>
    </cfRule>
    <cfRule type="cellIs" dxfId="950" priority="950" operator="equal">
      <formula>"CL-H"</formula>
    </cfRule>
    <cfRule type="cellIs" dxfId="949" priority="951" operator="equal">
      <formula>"EL-H"</formula>
    </cfRule>
    <cfRule type="cellIs" dxfId="948" priority="952" operator="equal">
      <formula>"CL"</formula>
    </cfRule>
    <cfRule type="cellIs" dxfId="947" priority="953" operator="equal">
      <formula>"EL"</formula>
    </cfRule>
  </conditionalFormatting>
  <conditionalFormatting sqref="BE6">
    <cfRule type="containsText" dxfId="946" priority="947" operator="containsText" text="A-H">
      <formula>NOT(ISERROR(SEARCH("A-H",BE6)))</formula>
    </cfRule>
  </conditionalFormatting>
  <conditionalFormatting sqref="BE6">
    <cfRule type="containsText" dxfId="945" priority="946" operator="containsText" text="A">
      <formula>NOT(ISERROR(SEARCH("A",BE6)))</formula>
    </cfRule>
  </conditionalFormatting>
  <conditionalFormatting sqref="BE6">
    <cfRule type="containsText" dxfId="944" priority="941" operator="containsText" text="S">
      <formula>NOT(ISERROR(SEARCH("S",BE6)))</formula>
    </cfRule>
    <cfRule type="containsText" dxfId="943" priority="942" operator="containsText" text="P">
      <formula>NOT(ISERROR(SEARCH("P",BE6)))</formula>
    </cfRule>
    <cfRule type="containsText" dxfId="942" priority="943" operator="containsText" text="H">
      <formula>NOT(ISERROR(SEARCH("H",BE6)))</formula>
    </cfRule>
    <cfRule type="containsText" dxfId="941" priority="944" operator="containsText" text="&quot;H&quot;">
      <formula>NOT(ISERROR(SEARCH("""H""",BE6)))</formula>
    </cfRule>
    <cfRule type="containsText" dxfId="940" priority="945" operator="containsText" text="&quot;A&quot;">
      <formula>NOT(ISERROR(SEARCH("""A""",BE6)))</formula>
    </cfRule>
  </conditionalFormatting>
  <conditionalFormatting sqref="BN5">
    <cfRule type="cellIs" dxfId="939" priority="935" operator="equal">
      <formula>"C-Off-H"</formula>
    </cfRule>
    <cfRule type="cellIs" dxfId="938" priority="936" operator="equal">
      <formula>"C-Off"</formula>
    </cfRule>
    <cfRule type="cellIs" dxfId="937" priority="937" operator="equal">
      <formula>"CL-H"</formula>
    </cfRule>
    <cfRule type="cellIs" dxfId="936" priority="938" operator="equal">
      <formula>"EL-H"</formula>
    </cfRule>
    <cfRule type="cellIs" dxfId="935" priority="939" operator="equal">
      <formula>"CL"</formula>
    </cfRule>
    <cfRule type="cellIs" dxfId="934" priority="940" operator="equal">
      <formula>"EL"</formula>
    </cfRule>
  </conditionalFormatting>
  <conditionalFormatting sqref="BN5">
    <cfRule type="containsText" dxfId="933" priority="934" operator="containsText" text="A-H">
      <formula>NOT(ISERROR(SEARCH("A-H",BN5)))</formula>
    </cfRule>
  </conditionalFormatting>
  <conditionalFormatting sqref="BN5">
    <cfRule type="containsText" dxfId="932" priority="933" operator="containsText" text="A">
      <formula>NOT(ISERROR(SEARCH("A",BN5)))</formula>
    </cfRule>
  </conditionalFormatting>
  <conditionalFormatting sqref="BN5">
    <cfRule type="containsText" dxfId="931" priority="928" operator="containsText" text="S">
      <formula>NOT(ISERROR(SEARCH("S",BN5)))</formula>
    </cfRule>
    <cfRule type="containsText" dxfId="930" priority="929" operator="containsText" text="P">
      <formula>NOT(ISERROR(SEARCH("P",BN5)))</formula>
    </cfRule>
    <cfRule type="containsText" dxfId="929" priority="930" operator="containsText" text="H">
      <formula>NOT(ISERROR(SEARCH("H",BN5)))</formula>
    </cfRule>
    <cfRule type="containsText" dxfId="928" priority="931" operator="containsText" text="&quot;H&quot;">
      <formula>NOT(ISERROR(SEARCH("""H""",BN5)))</formula>
    </cfRule>
    <cfRule type="containsText" dxfId="927" priority="932" operator="containsText" text="&quot;A&quot;">
      <formula>NOT(ISERROR(SEARCH("""A""",BN5)))</formula>
    </cfRule>
  </conditionalFormatting>
  <conditionalFormatting sqref="BN6">
    <cfRule type="cellIs" dxfId="926" priority="922" operator="equal">
      <formula>"C-Off-H"</formula>
    </cfRule>
    <cfRule type="cellIs" dxfId="925" priority="923" operator="equal">
      <formula>"C-Off"</formula>
    </cfRule>
    <cfRule type="cellIs" dxfId="924" priority="924" operator="equal">
      <formula>"CL-H"</formula>
    </cfRule>
    <cfRule type="cellIs" dxfId="923" priority="925" operator="equal">
      <formula>"EL-H"</formula>
    </cfRule>
    <cfRule type="cellIs" dxfId="922" priority="926" operator="equal">
      <formula>"CL"</formula>
    </cfRule>
    <cfRule type="cellIs" dxfId="921" priority="927" operator="equal">
      <formula>"EL"</formula>
    </cfRule>
  </conditionalFormatting>
  <conditionalFormatting sqref="BN6">
    <cfRule type="containsText" dxfId="920" priority="921" operator="containsText" text="A-H">
      <formula>NOT(ISERROR(SEARCH("A-H",BN6)))</formula>
    </cfRule>
  </conditionalFormatting>
  <conditionalFormatting sqref="BN6">
    <cfRule type="containsText" dxfId="919" priority="920" operator="containsText" text="A">
      <formula>NOT(ISERROR(SEARCH("A",BN6)))</formula>
    </cfRule>
  </conditionalFormatting>
  <conditionalFormatting sqref="BN6">
    <cfRule type="containsText" dxfId="918" priority="915" operator="containsText" text="S">
      <formula>NOT(ISERROR(SEARCH("S",BN6)))</formula>
    </cfRule>
    <cfRule type="containsText" dxfId="917" priority="916" operator="containsText" text="P">
      <formula>NOT(ISERROR(SEARCH("P",BN6)))</formula>
    </cfRule>
    <cfRule type="containsText" dxfId="916" priority="917" operator="containsText" text="H">
      <formula>NOT(ISERROR(SEARCH("H",BN6)))</formula>
    </cfRule>
    <cfRule type="containsText" dxfId="915" priority="918" operator="containsText" text="&quot;H&quot;">
      <formula>NOT(ISERROR(SEARCH("""H""",BN6)))</formula>
    </cfRule>
    <cfRule type="containsText" dxfId="914" priority="919" operator="containsText" text="&quot;A&quot;">
      <formula>NOT(ISERROR(SEARCH("""A""",BN6)))</formula>
    </cfRule>
  </conditionalFormatting>
  <conditionalFormatting sqref="BQ5">
    <cfRule type="cellIs" dxfId="913" priority="909" operator="equal">
      <formula>"C-Off-H"</formula>
    </cfRule>
    <cfRule type="cellIs" dxfId="912" priority="910" operator="equal">
      <formula>"C-Off"</formula>
    </cfRule>
    <cfRule type="cellIs" dxfId="911" priority="911" operator="equal">
      <formula>"CL-H"</formula>
    </cfRule>
    <cfRule type="cellIs" dxfId="910" priority="912" operator="equal">
      <formula>"EL-H"</formula>
    </cfRule>
    <cfRule type="cellIs" dxfId="909" priority="913" operator="equal">
      <formula>"CL"</formula>
    </cfRule>
    <cfRule type="cellIs" dxfId="908" priority="914" operator="equal">
      <formula>"EL"</formula>
    </cfRule>
  </conditionalFormatting>
  <conditionalFormatting sqref="BQ5">
    <cfRule type="containsText" dxfId="907" priority="908" operator="containsText" text="A-H">
      <formula>NOT(ISERROR(SEARCH("A-H",BQ5)))</formula>
    </cfRule>
  </conditionalFormatting>
  <conditionalFormatting sqref="BQ5">
    <cfRule type="containsText" dxfId="906" priority="907" operator="containsText" text="A">
      <formula>NOT(ISERROR(SEARCH("A",BQ5)))</formula>
    </cfRule>
  </conditionalFormatting>
  <conditionalFormatting sqref="BQ5">
    <cfRule type="containsText" dxfId="905" priority="902" operator="containsText" text="S">
      <formula>NOT(ISERROR(SEARCH("S",BQ5)))</formula>
    </cfRule>
    <cfRule type="containsText" dxfId="904" priority="903" operator="containsText" text="P">
      <formula>NOT(ISERROR(SEARCH("P",BQ5)))</formula>
    </cfRule>
    <cfRule type="containsText" dxfId="903" priority="904" operator="containsText" text="H">
      <formula>NOT(ISERROR(SEARCH("H",BQ5)))</formula>
    </cfRule>
    <cfRule type="containsText" dxfId="902" priority="905" operator="containsText" text="&quot;H&quot;">
      <formula>NOT(ISERROR(SEARCH("""H""",BQ5)))</formula>
    </cfRule>
    <cfRule type="containsText" dxfId="901" priority="906" operator="containsText" text="&quot;A&quot;">
      <formula>NOT(ISERROR(SEARCH("""A""",BQ5)))</formula>
    </cfRule>
  </conditionalFormatting>
  <conditionalFormatting sqref="BQ6">
    <cfRule type="cellIs" dxfId="900" priority="896" operator="equal">
      <formula>"C-Off-H"</formula>
    </cfRule>
    <cfRule type="cellIs" dxfId="899" priority="897" operator="equal">
      <formula>"C-Off"</formula>
    </cfRule>
    <cfRule type="cellIs" dxfId="898" priority="898" operator="equal">
      <formula>"CL-H"</formula>
    </cfRule>
    <cfRule type="cellIs" dxfId="897" priority="899" operator="equal">
      <formula>"EL-H"</formula>
    </cfRule>
    <cfRule type="cellIs" dxfId="896" priority="900" operator="equal">
      <formula>"CL"</formula>
    </cfRule>
    <cfRule type="cellIs" dxfId="895" priority="901" operator="equal">
      <formula>"EL"</formula>
    </cfRule>
  </conditionalFormatting>
  <conditionalFormatting sqref="BQ6">
    <cfRule type="containsText" dxfId="894" priority="895" operator="containsText" text="A-H">
      <formula>NOT(ISERROR(SEARCH("A-H",BQ6)))</formula>
    </cfRule>
  </conditionalFormatting>
  <conditionalFormatting sqref="BQ6">
    <cfRule type="containsText" dxfId="893" priority="894" operator="containsText" text="A">
      <formula>NOT(ISERROR(SEARCH("A",BQ6)))</formula>
    </cfRule>
  </conditionalFormatting>
  <conditionalFormatting sqref="BQ6">
    <cfRule type="containsText" dxfId="892" priority="889" operator="containsText" text="S">
      <formula>NOT(ISERROR(SEARCH("S",BQ6)))</formula>
    </cfRule>
    <cfRule type="containsText" dxfId="891" priority="890" operator="containsText" text="P">
      <formula>NOT(ISERROR(SEARCH("P",BQ6)))</formula>
    </cfRule>
    <cfRule type="containsText" dxfId="890" priority="891" operator="containsText" text="H">
      <formula>NOT(ISERROR(SEARCH("H",BQ6)))</formula>
    </cfRule>
    <cfRule type="containsText" dxfId="889" priority="892" operator="containsText" text="&quot;H&quot;">
      <formula>NOT(ISERROR(SEARCH("""H""",BQ6)))</formula>
    </cfRule>
    <cfRule type="containsText" dxfId="888" priority="893" operator="containsText" text="&quot;A&quot;">
      <formula>NOT(ISERROR(SEARCH("""A""",BQ6)))</formula>
    </cfRule>
  </conditionalFormatting>
  <conditionalFormatting sqref="BZ5">
    <cfRule type="cellIs" dxfId="887" priority="883" operator="equal">
      <formula>"C-Off-H"</formula>
    </cfRule>
    <cfRule type="cellIs" dxfId="886" priority="884" operator="equal">
      <formula>"C-Off"</formula>
    </cfRule>
    <cfRule type="cellIs" dxfId="885" priority="885" operator="equal">
      <formula>"CL-H"</formula>
    </cfRule>
    <cfRule type="cellIs" dxfId="884" priority="886" operator="equal">
      <formula>"EL-H"</formula>
    </cfRule>
    <cfRule type="cellIs" dxfId="883" priority="887" operator="equal">
      <formula>"CL"</formula>
    </cfRule>
    <cfRule type="cellIs" dxfId="882" priority="888" operator="equal">
      <formula>"EL"</formula>
    </cfRule>
  </conditionalFormatting>
  <conditionalFormatting sqref="BZ5">
    <cfRule type="containsText" dxfId="881" priority="882" operator="containsText" text="A-H">
      <formula>NOT(ISERROR(SEARCH("A-H",BZ5)))</formula>
    </cfRule>
  </conditionalFormatting>
  <conditionalFormatting sqref="BZ5">
    <cfRule type="containsText" dxfId="880" priority="881" operator="containsText" text="A">
      <formula>NOT(ISERROR(SEARCH("A",BZ5)))</formula>
    </cfRule>
  </conditionalFormatting>
  <conditionalFormatting sqref="BZ5">
    <cfRule type="containsText" dxfId="879" priority="876" operator="containsText" text="S">
      <formula>NOT(ISERROR(SEARCH("S",BZ5)))</formula>
    </cfRule>
    <cfRule type="containsText" dxfId="878" priority="877" operator="containsText" text="P">
      <formula>NOT(ISERROR(SEARCH("P",BZ5)))</formula>
    </cfRule>
    <cfRule type="containsText" dxfId="877" priority="878" operator="containsText" text="H">
      <formula>NOT(ISERROR(SEARCH("H",BZ5)))</formula>
    </cfRule>
    <cfRule type="containsText" dxfId="876" priority="879" operator="containsText" text="&quot;H&quot;">
      <formula>NOT(ISERROR(SEARCH("""H""",BZ5)))</formula>
    </cfRule>
    <cfRule type="containsText" dxfId="875" priority="880" operator="containsText" text="&quot;A&quot;">
      <formula>NOT(ISERROR(SEARCH("""A""",BZ5)))</formula>
    </cfRule>
  </conditionalFormatting>
  <conditionalFormatting sqref="BZ6">
    <cfRule type="cellIs" dxfId="874" priority="870" operator="equal">
      <formula>"C-Off-H"</formula>
    </cfRule>
    <cfRule type="cellIs" dxfId="873" priority="871" operator="equal">
      <formula>"C-Off"</formula>
    </cfRule>
    <cfRule type="cellIs" dxfId="872" priority="872" operator="equal">
      <formula>"CL-H"</formula>
    </cfRule>
    <cfRule type="cellIs" dxfId="871" priority="873" operator="equal">
      <formula>"EL-H"</formula>
    </cfRule>
    <cfRule type="cellIs" dxfId="870" priority="874" operator="equal">
      <formula>"CL"</formula>
    </cfRule>
    <cfRule type="cellIs" dxfId="869" priority="875" operator="equal">
      <formula>"EL"</formula>
    </cfRule>
  </conditionalFormatting>
  <conditionalFormatting sqref="BZ6">
    <cfRule type="containsText" dxfId="868" priority="869" operator="containsText" text="A-H">
      <formula>NOT(ISERROR(SEARCH("A-H",BZ6)))</formula>
    </cfRule>
  </conditionalFormatting>
  <conditionalFormatting sqref="BZ6">
    <cfRule type="containsText" dxfId="867" priority="868" operator="containsText" text="A">
      <formula>NOT(ISERROR(SEARCH("A",BZ6)))</formula>
    </cfRule>
  </conditionalFormatting>
  <conditionalFormatting sqref="BZ6">
    <cfRule type="containsText" dxfId="866" priority="863" operator="containsText" text="S">
      <formula>NOT(ISERROR(SEARCH("S",BZ6)))</formula>
    </cfRule>
    <cfRule type="containsText" dxfId="865" priority="864" operator="containsText" text="P">
      <formula>NOT(ISERROR(SEARCH("P",BZ6)))</formula>
    </cfRule>
    <cfRule type="containsText" dxfId="864" priority="865" operator="containsText" text="H">
      <formula>NOT(ISERROR(SEARCH("H",BZ6)))</formula>
    </cfRule>
    <cfRule type="containsText" dxfId="863" priority="866" operator="containsText" text="&quot;H&quot;">
      <formula>NOT(ISERROR(SEARCH("""H""",BZ6)))</formula>
    </cfRule>
    <cfRule type="containsText" dxfId="862" priority="867" operator="containsText" text="&quot;A&quot;">
      <formula>NOT(ISERROR(SEARCH("""A""",BZ6)))</formula>
    </cfRule>
  </conditionalFormatting>
  <conditionalFormatting sqref="CB5">
    <cfRule type="cellIs" dxfId="861" priority="857" operator="equal">
      <formula>"C-Off-H"</formula>
    </cfRule>
    <cfRule type="cellIs" dxfId="860" priority="858" operator="equal">
      <formula>"C-Off"</formula>
    </cfRule>
    <cfRule type="cellIs" dxfId="859" priority="859" operator="equal">
      <formula>"CL-H"</formula>
    </cfRule>
    <cfRule type="cellIs" dxfId="858" priority="860" operator="equal">
      <formula>"EL-H"</formula>
    </cfRule>
    <cfRule type="cellIs" dxfId="857" priority="861" operator="equal">
      <formula>"CL"</formula>
    </cfRule>
    <cfRule type="cellIs" dxfId="856" priority="862" operator="equal">
      <formula>"EL"</formula>
    </cfRule>
  </conditionalFormatting>
  <conditionalFormatting sqref="CB5">
    <cfRule type="containsText" dxfId="855" priority="856" operator="containsText" text="A-H">
      <formula>NOT(ISERROR(SEARCH("A-H",CB5)))</formula>
    </cfRule>
  </conditionalFormatting>
  <conditionalFormatting sqref="CB5">
    <cfRule type="containsText" dxfId="854" priority="855" operator="containsText" text="A">
      <formula>NOT(ISERROR(SEARCH("A",CB5)))</formula>
    </cfRule>
  </conditionalFormatting>
  <conditionalFormatting sqref="CB5">
    <cfRule type="containsText" dxfId="853" priority="850" operator="containsText" text="S">
      <formula>NOT(ISERROR(SEARCH("S",CB5)))</formula>
    </cfRule>
    <cfRule type="containsText" dxfId="852" priority="851" operator="containsText" text="P">
      <formula>NOT(ISERROR(SEARCH("P",CB5)))</formula>
    </cfRule>
    <cfRule type="containsText" dxfId="851" priority="852" operator="containsText" text="H">
      <formula>NOT(ISERROR(SEARCH("H",CB5)))</formula>
    </cfRule>
    <cfRule type="containsText" dxfId="850" priority="853" operator="containsText" text="&quot;H&quot;">
      <formula>NOT(ISERROR(SEARCH("""H""",CB5)))</formula>
    </cfRule>
    <cfRule type="containsText" dxfId="849" priority="854" operator="containsText" text="&quot;A&quot;">
      <formula>NOT(ISERROR(SEARCH("""A""",CB5)))</formula>
    </cfRule>
  </conditionalFormatting>
  <conditionalFormatting sqref="CB6">
    <cfRule type="cellIs" dxfId="848" priority="844" operator="equal">
      <formula>"C-Off-H"</formula>
    </cfRule>
    <cfRule type="cellIs" dxfId="847" priority="845" operator="equal">
      <formula>"C-Off"</formula>
    </cfRule>
    <cfRule type="cellIs" dxfId="846" priority="846" operator="equal">
      <formula>"CL-H"</formula>
    </cfRule>
    <cfRule type="cellIs" dxfId="845" priority="847" operator="equal">
      <formula>"EL-H"</formula>
    </cfRule>
    <cfRule type="cellIs" dxfId="844" priority="848" operator="equal">
      <formula>"CL"</formula>
    </cfRule>
    <cfRule type="cellIs" dxfId="843" priority="849" operator="equal">
      <formula>"EL"</formula>
    </cfRule>
  </conditionalFormatting>
  <conditionalFormatting sqref="CB6">
    <cfRule type="containsText" dxfId="842" priority="843" operator="containsText" text="A-H">
      <formula>NOT(ISERROR(SEARCH("A-H",CB6)))</formula>
    </cfRule>
  </conditionalFormatting>
  <conditionalFormatting sqref="CB6">
    <cfRule type="containsText" dxfId="841" priority="842" operator="containsText" text="A">
      <formula>NOT(ISERROR(SEARCH("A",CB6)))</formula>
    </cfRule>
  </conditionalFormatting>
  <conditionalFormatting sqref="CB6">
    <cfRule type="containsText" dxfId="840" priority="837" operator="containsText" text="S">
      <formula>NOT(ISERROR(SEARCH("S",CB6)))</formula>
    </cfRule>
    <cfRule type="containsText" dxfId="839" priority="838" operator="containsText" text="P">
      <formula>NOT(ISERROR(SEARCH("P",CB6)))</formula>
    </cfRule>
    <cfRule type="containsText" dxfId="838" priority="839" operator="containsText" text="H">
      <formula>NOT(ISERROR(SEARCH("H",CB6)))</formula>
    </cfRule>
    <cfRule type="containsText" dxfId="837" priority="840" operator="containsText" text="&quot;H&quot;">
      <formula>NOT(ISERROR(SEARCH("""H""",CB6)))</formula>
    </cfRule>
    <cfRule type="containsText" dxfId="836" priority="841" operator="containsText" text="&quot;A&quot;">
      <formula>NOT(ISERROR(SEARCH("""A""",CB6)))</formula>
    </cfRule>
  </conditionalFormatting>
  <conditionalFormatting sqref="CI5">
    <cfRule type="cellIs" dxfId="835" priority="831" operator="equal">
      <formula>"C-Off-H"</formula>
    </cfRule>
    <cfRule type="cellIs" dxfId="834" priority="832" operator="equal">
      <formula>"C-Off"</formula>
    </cfRule>
    <cfRule type="cellIs" dxfId="833" priority="833" operator="equal">
      <formula>"CL-H"</formula>
    </cfRule>
    <cfRule type="cellIs" dxfId="832" priority="834" operator="equal">
      <formula>"EL-H"</formula>
    </cfRule>
    <cfRule type="cellIs" dxfId="831" priority="835" operator="equal">
      <formula>"CL"</formula>
    </cfRule>
    <cfRule type="cellIs" dxfId="830" priority="836" operator="equal">
      <formula>"EL"</formula>
    </cfRule>
  </conditionalFormatting>
  <conditionalFormatting sqref="CI5">
    <cfRule type="containsText" dxfId="829" priority="830" operator="containsText" text="A-H">
      <formula>NOT(ISERROR(SEARCH("A-H",CI5)))</formula>
    </cfRule>
  </conditionalFormatting>
  <conditionalFormatting sqref="CI5">
    <cfRule type="containsText" dxfId="828" priority="829" operator="containsText" text="A">
      <formula>NOT(ISERROR(SEARCH("A",CI5)))</formula>
    </cfRule>
  </conditionalFormatting>
  <conditionalFormatting sqref="CI5">
    <cfRule type="containsText" dxfId="827" priority="824" operator="containsText" text="S">
      <formula>NOT(ISERROR(SEARCH("S",CI5)))</formula>
    </cfRule>
    <cfRule type="containsText" dxfId="826" priority="825" operator="containsText" text="P">
      <formula>NOT(ISERROR(SEARCH("P",CI5)))</formula>
    </cfRule>
    <cfRule type="containsText" dxfId="825" priority="826" operator="containsText" text="H">
      <formula>NOT(ISERROR(SEARCH("H",CI5)))</formula>
    </cfRule>
    <cfRule type="containsText" dxfId="824" priority="827" operator="containsText" text="&quot;H&quot;">
      <formula>NOT(ISERROR(SEARCH("""H""",CI5)))</formula>
    </cfRule>
    <cfRule type="containsText" dxfId="823" priority="828" operator="containsText" text="&quot;A&quot;">
      <formula>NOT(ISERROR(SEARCH("""A""",CI5)))</formula>
    </cfRule>
  </conditionalFormatting>
  <conditionalFormatting sqref="CI6">
    <cfRule type="cellIs" dxfId="822" priority="818" operator="equal">
      <formula>"C-Off-H"</formula>
    </cfRule>
    <cfRule type="cellIs" dxfId="821" priority="819" operator="equal">
      <formula>"C-Off"</formula>
    </cfRule>
    <cfRule type="cellIs" dxfId="820" priority="820" operator="equal">
      <formula>"CL-H"</formula>
    </cfRule>
    <cfRule type="cellIs" dxfId="819" priority="821" operator="equal">
      <formula>"EL-H"</formula>
    </cfRule>
    <cfRule type="cellIs" dxfId="818" priority="822" operator="equal">
      <formula>"CL"</formula>
    </cfRule>
    <cfRule type="cellIs" dxfId="817" priority="823" operator="equal">
      <formula>"EL"</formula>
    </cfRule>
  </conditionalFormatting>
  <conditionalFormatting sqref="CI6">
    <cfRule type="containsText" dxfId="816" priority="817" operator="containsText" text="A-H">
      <formula>NOT(ISERROR(SEARCH("A-H",CI6)))</formula>
    </cfRule>
  </conditionalFormatting>
  <conditionalFormatting sqref="CI6">
    <cfRule type="containsText" dxfId="815" priority="816" operator="containsText" text="A">
      <formula>NOT(ISERROR(SEARCH("A",CI6)))</formula>
    </cfRule>
  </conditionalFormatting>
  <conditionalFormatting sqref="CI6">
    <cfRule type="containsText" dxfId="814" priority="811" operator="containsText" text="S">
      <formula>NOT(ISERROR(SEARCH("S",CI6)))</formula>
    </cfRule>
    <cfRule type="containsText" dxfId="813" priority="812" operator="containsText" text="P">
      <formula>NOT(ISERROR(SEARCH("P",CI6)))</formula>
    </cfRule>
    <cfRule type="containsText" dxfId="812" priority="813" operator="containsText" text="H">
      <formula>NOT(ISERROR(SEARCH("H",CI6)))</formula>
    </cfRule>
    <cfRule type="containsText" dxfId="811" priority="814" operator="containsText" text="&quot;H&quot;">
      <formula>NOT(ISERROR(SEARCH("""H""",CI6)))</formula>
    </cfRule>
    <cfRule type="containsText" dxfId="810" priority="815" operator="containsText" text="&quot;A&quot;">
      <formula>NOT(ISERROR(SEARCH("""A""",CI6)))</formula>
    </cfRule>
  </conditionalFormatting>
  <conditionalFormatting sqref="CL5">
    <cfRule type="cellIs" dxfId="809" priority="805" operator="equal">
      <formula>"C-Off-H"</formula>
    </cfRule>
    <cfRule type="cellIs" dxfId="808" priority="806" operator="equal">
      <formula>"C-Off"</formula>
    </cfRule>
    <cfRule type="cellIs" dxfId="807" priority="807" operator="equal">
      <formula>"CL-H"</formula>
    </cfRule>
    <cfRule type="cellIs" dxfId="806" priority="808" operator="equal">
      <formula>"EL-H"</formula>
    </cfRule>
    <cfRule type="cellIs" dxfId="805" priority="809" operator="equal">
      <formula>"CL"</formula>
    </cfRule>
    <cfRule type="cellIs" dxfId="804" priority="810" operator="equal">
      <formula>"EL"</formula>
    </cfRule>
  </conditionalFormatting>
  <conditionalFormatting sqref="CL5">
    <cfRule type="containsText" dxfId="803" priority="804" operator="containsText" text="A-H">
      <formula>NOT(ISERROR(SEARCH("A-H",CL5)))</formula>
    </cfRule>
  </conditionalFormatting>
  <conditionalFormatting sqref="CL5">
    <cfRule type="containsText" dxfId="802" priority="803" operator="containsText" text="A">
      <formula>NOT(ISERROR(SEARCH("A",CL5)))</formula>
    </cfRule>
  </conditionalFormatting>
  <conditionalFormatting sqref="CL5">
    <cfRule type="containsText" dxfId="801" priority="798" operator="containsText" text="S">
      <formula>NOT(ISERROR(SEARCH("S",CL5)))</formula>
    </cfRule>
    <cfRule type="containsText" dxfId="800" priority="799" operator="containsText" text="P">
      <formula>NOT(ISERROR(SEARCH("P",CL5)))</formula>
    </cfRule>
    <cfRule type="containsText" dxfId="799" priority="800" operator="containsText" text="H">
      <formula>NOT(ISERROR(SEARCH("H",CL5)))</formula>
    </cfRule>
    <cfRule type="containsText" dxfId="798" priority="801" operator="containsText" text="&quot;H&quot;">
      <formula>NOT(ISERROR(SEARCH("""H""",CL5)))</formula>
    </cfRule>
    <cfRule type="containsText" dxfId="797" priority="802" operator="containsText" text="&quot;A&quot;">
      <formula>NOT(ISERROR(SEARCH("""A""",CL5)))</formula>
    </cfRule>
  </conditionalFormatting>
  <conditionalFormatting sqref="CL6">
    <cfRule type="cellIs" dxfId="796" priority="792" operator="equal">
      <formula>"C-Off-H"</formula>
    </cfRule>
    <cfRule type="cellIs" dxfId="795" priority="793" operator="equal">
      <formula>"C-Off"</formula>
    </cfRule>
    <cfRule type="cellIs" dxfId="794" priority="794" operator="equal">
      <formula>"CL-H"</formula>
    </cfRule>
    <cfRule type="cellIs" dxfId="793" priority="795" operator="equal">
      <formula>"EL-H"</formula>
    </cfRule>
    <cfRule type="cellIs" dxfId="792" priority="796" operator="equal">
      <formula>"CL"</formula>
    </cfRule>
    <cfRule type="cellIs" dxfId="791" priority="797" operator="equal">
      <formula>"EL"</formula>
    </cfRule>
  </conditionalFormatting>
  <conditionalFormatting sqref="CL6">
    <cfRule type="containsText" dxfId="790" priority="791" operator="containsText" text="A-H">
      <formula>NOT(ISERROR(SEARCH("A-H",CL6)))</formula>
    </cfRule>
  </conditionalFormatting>
  <conditionalFormatting sqref="CL6">
    <cfRule type="containsText" dxfId="789" priority="790" operator="containsText" text="A">
      <formula>NOT(ISERROR(SEARCH("A",CL6)))</formula>
    </cfRule>
  </conditionalFormatting>
  <conditionalFormatting sqref="CL6">
    <cfRule type="containsText" dxfId="788" priority="785" operator="containsText" text="S">
      <formula>NOT(ISERROR(SEARCH("S",CL6)))</formula>
    </cfRule>
    <cfRule type="containsText" dxfId="787" priority="786" operator="containsText" text="P">
      <formula>NOT(ISERROR(SEARCH("P",CL6)))</formula>
    </cfRule>
    <cfRule type="containsText" dxfId="786" priority="787" operator="containsText" text="H">
      <formula>NOT(ISERROR(SEARCH("H",CL6)))</formula>
    </cfRule>
    <cfRule type="containsText" dxfId="785" priority="788" operator="containsText" text="&quot;H&quot;">
      <formula>NOT(ISERROR(SEARCH("""H""",CL6)))</formula>
    </cfRule>
    <cfRule type="containsText" dxfId="784" priority="789" operator="containsText" text="&quot;A&quot;">
      <formula>NOT(ISERROR(SEARCH("""A""",CL6)))</formula>
    </cfRule>
  </conditionalFormatting>
  <conditionalFormatting sqref="CP7:CX30 CD7:CE30 M7:N30 CG7:CH30 CJ7:CK30 CM7:CN30 DC7:DC30">
    <cfRule type="cellIs" dxfId="783" priority="779" operator="equal">
      <formula>"C-Off-H"</formula>
    </cfRule>
    <cfRule type="cellIs" dxfId="782" priority="780" operator="equal">
      <formula>"C-Off"</formula>
    </cfRule>
    <cfRule type="cellIs" dxfId="781" priority="781" operator="equal">
      <formula>"CL-H"</formula>
    </cfRule>
    <cfRule type="cellIs" dxfId="780" priority="782" operator="equal">
      <formula>"EL-H"</formula>
    </cfRule>
    <cfRule type="cellIs" dxfId="779" priority="783" operator="equal">
      <formula>"CL"</formula>
    </cfRule>
    <cfRule type="cellIs" dxfId="778" priority="784" operator="equal">
      <formula>"EL"</formula>
    </cfRule>
  </conditionalFormatting>
  <conditionalFormatting sqref="DC7:DC30 CP7:DA30 CD7:CE30 M7:N30 CG7:CH30 CJ7:CK30 CM7:CN30">
    <cfRule type="containsText" dxfId="777" priority="778" operator="containsText" text="A-H">
      <formula>NOT(ISERROR(SEARCH("A-H",M7)))</formula>
    </cfRule>
  </conditionalFormatting>
  <conditionalFormatting sqref="DC7:DC30 CP7:DA30 CD7:CE30 CG7:CH30 CJ7:CK30 CM7:CN30">
    <cfRule type="containsText" dxfId="776" priority="777" operator="containsText" text="A">
      <formula>NOT(ISERROR(SEARCH("A",CD7)))</formula>
    </cfRule>
  </conditionalFormatting>
  <conditionalFormatting sqref="CY7:CY30 DA7:DA30">
    <cfRule type="cellIs" dxfId="775" priority="771" stopIfTrue="1" operator="equal">
      <formula>"C-Off-H"</formula>
    </cfRule>
    <cfRule type="cellIs" dxfId="774" priority="772" stopIfTrue="1" operator="equal">
      <formula>"C-Off"</formula>
    </cfRule>
    <cfRule type="cellIs" dxfId="773" priority="773" stopIfTrue="1" operator="equal">
      <formula>"CL-H"</formula>
    </cfRule>
    <cfRule type="cellIs" dxfId="772" priority="774" stopIfTrue="1" operator="equal">
      <formula>"EL-H"</formula>
    </cfRule>
    <cfRule type="cellIs" dxfId="771" priority="775" stopIfTrue="1" operator="equal">
      <formula>"CL"</formula>
    </cfRule>
    <cfRule type="cellIs" dxfId="770" priority="776" stopIfTrue="1" operator="equal">
      <formula>"EL"</formula>
    </cfRule>
  </conditionalFormatting>
  <conditionalFormatting sqref="CZ7:CZ30">
    <cfRule type="cellIs" dxfId="769" priority="765" stopIfTrue="1" operator="equal">
      <formula>"C-Off-H"</formula>
    </cfRule>
    <cfRule type="cellIs" dxfId="768" priority="766" stopIfTrue="1" operator="equal">
      <formula>"C-Off"</formula>
    </cfRule>
    <cfRule type="cellIs" dxfId="767" priority="767" stopIfTrue="1" operator="equal">
      <formula>"CL-H"</formula>
    </cfRule>
    <cfRule type="cellIs" dxfId="766" priority="768" stopIfTrue="1" operator="equal">
      <formula>"EL-H"</formula>
    </cfRule>
    <cfRule type="cellIs" dxfId="765" priority="769" stopIfTrue="1" operator="equal">
      <formula>"CL"</formula>
    </cfRule>
    <cfRule type="cellIs" dxfId="764" priority="770" stopIfTrue="1" operator="equal">
      <formula>"EL"</formula>
    </cfRule>
  </conditionalFormatting>
  <conditionalFormatting sqref="CD7:CE30 M7:N30 CG7:CH30 CJ7:CK30 CM7:CN30">
    <cfRule type="containsText" dxfId="763" priority="760" operator="containsText" text="S">
      <formula>NOT(ISERROR(SEARCH("S",M7)))</formula>
    </cfRule>
    <cfRule type="containsText" dxfId="762" priority="761" operator="containsText" text="P">
      <formula>NOT(ISERROR(SEARCH("P",M7)))</formula>
    </cfRule>
    <cfRule type="containsText" dxfId="761" priority="762" operator="containsText" text="H">
      <formula>NOT(ISERROR(SEARCH("H",M7)))</formula>
    </cfRule>
    <cfRule type="containsText" dxfId="760" priority="763" operator="containsText" text="&quot;H&quot;">
      <formula>NOT(ISERROR(SEARCH("""H""",M7)))</formula>
    </cfRule>
    <cfRule type="containsText" dxfId="759" priority="764" operator="containsText" text="&quot;A&quot;">
      <formula>NOT(ISERROR(SEARCH("""A""",M7)))</formula>
    </cfRule>
  </conditionalFormatting>
  <conditionalFormatting sqref="DD7:DD30">
    <cfRule type="cellIs" dxfId="758" priority="754" operator="equal">
      <formula>"C-Off-H"</formula>
    </cfRule>
    <cfRule type="cellIs" dxfId="757" priority="755" operator="equal">
      <formula>"C-Off"</formula>
    </cfRule>
    <cfRule type="cellIs" dxfId="756" priority="756" operator="equal">
      <formula>"CL-H"</formula>
    </cfRule>
    <cfRule type="cellIs" dxfId="755" priority="757" operator="equal">
      <formula>"EL-H"</formula>
    </cfRule>
    <cfRule type="cellIs" dxfId="754" priority="758" operator="equal">
      <formula>"CL"</formula>
    </cfRule>
    <cfRule type="cellIs" dxfId="753" priority="759" operator="equal">
      <formula>"EL"</formula>
    </cfRule>
  </conditionalFormatting>
  <conditionalFormatting sqref="DD7:DD30">
    <cfRule type="containsText" dxfId="752" priority="753" operator="containsText" text="A">
      <formula>NOT(ISERROR(SEARCH("A",DD7)))</formula>
    </cfRule>
  </conditionalFormatting>
  <conditionalFormatting sqref="DD7:DD30">
    <cfRule type="containsText" dxfId="751" priority="752" operator="containsText" text="A-H">
      <formula>NOT(ISERROR(SEARCH("A-H",DD7)))</formula>
    </cfRule>
  </conditionalFormatting>
  <conditionalFormatting sqref="AI7:AI30">
    <cfRule type="cellIs" dxfId="750" priority="746" operator="equal">
      <formula>"C-Off-H"</formula>
    </cfRule>
    <cfRule type="cellIs" dxfId="749" priority="747" operator="equal">
      <formula>"C-Off"</formula>
    </cfRule>
    <cfRule type="cellIs" dxfId="748" priority="748" operator="equal">
      <formula>"CL-H"</formula>
    </cfRule>
    <cfRule type="cellIs" dxfId="747" priority="749" operator="equal">
      <formula>"EL-H"</formula>
    </cfRule>
    <cfRule type="cellIs" dxfId="746" priority="750" operator="equal">
      <formula>"CL"</formula>
    </cfRule>
    <cfRule type="cellIs" dxfId="745" priority="751" operator="equal">
      <formula>"EL"</formula>
    </cfRule>
  </conditionalFormatting>
  <conditionalFormatting sqref="AH7:AI30">
    <cfRule type="cellIs" dxfId="744" priority="740" operator="equal">
      <formula>"C-Off-H"</formula>
    </cfRule>
    <cfRule type="cellIs" dxfId="743" priority="741" operator="equal">
      <formula>"C-Off"</formula>
    </cfRule>
    <cfRule type="cellIs" dxfId="742" priority="742" operator="equal">
      <formula>"CL-H"</formula>
    </cfRule>
    <cfRule type="cellIs" dxfId="741" priority="743" operator="equal">
      <formula>"EL-H"</formula>
    </cfRule>
    <cfRule type="cellIs" dxfId="740" priority="744" operator="equal">
      <formula>"CL"</formula>
    </cfRule>
    <cfRule type="cellIs" dxfId="739" priority="745" operator="equal">
      <formula>"EL"</formula>
    </cfRule>
  </conditionalFormatting>
  <conditionalFormatting sqref="AH7:AI30">
    <cfRule type="containsText" dxfId="738" priority="734" operator="containsText" text="S">
      <formula>NOT(ISERROR(SEARCH("S",AH7)))</formula>
    </cfRule>
    <cfRule type="containsText" dxfId="737" priority="735" operator="containsText" text="P">
      <formula>NOT(ISERROR(SEARCH("P",AH7)))</formula>
    </cfRule>
    <cfRule type="containsText" dxfId="736" priority="736" operator="containsText" text="H">
      <formula>NOT(ISERROR(SEARCH("H",AH7)))</formula>
    </cfRule>
    <cfRule type="containsText" dxfId="735" priority="738" operator="containsText" text="&quot;H&quot;">
      <formula>NOT(ISERROR(SEARCH("""H""",AH7)))</formula>
    </cfRule>
    <cfRule type="containsText" dxfId="734" priority="739" operator="containsText" text="&quot;A&quot;">
      <formula>NOT(ISERROR(SEARCH("""A""",AH7)))</formula>
    </cfRule>
  </conditionalFormatting>
  <conditionalFormatting sqref="AH7:AI30">
    <cfRule type="containsText" dxfId="733" priority="737" operator="containsText" text="A-H">
      <formula>NOT(ISERROR(SEARCH("A-H",AH7)))</formula>
    </cfRule>
  </conditionalFormatting>
  <conditionalFormatting sqref="AU7:AU30">
    <cfRule type="cellIs" dxfId="732" priority="728" operator="equal">
      <formula>"C-Off-H"</formula>
    </cfRule>
    <cfRule type="cellIs" dxfId="731" priority="729" operator="equal">
      <formula>"C-Off"</formula>
    </cfRule>
    <cfRule type="cellIs" dxfId="730" priority="730" operator="equal">
      <formula>"CL-H"</formula>
    </cfRule>
    <cfRule type="cellIs" dxfId="729" priority="731" operator="equal">
      <formula>"EL-H"</formula>
    </cfRule>
    <cfRule type="cellIs" dxfId="728" priority="732" operator="equal">
      <formula>"CL"</formula>
    </cfRule>
    <cfRule type="cellIs" dxfId="727" priority="733" operator="equal">
      <formula>"EL"</formula>
    </cfRule>
  </conditionalFormatting>
  <conditionalFormatting sqref="AT7:AU30">
    <cfRule type="cellIs" dxfId="726" priority="722" operator="equal">
      <formula>"C-Off-H"</formula>
    </cfRule>
    <cfRule type="cellIs" dxfId="725" priority="723" operator="equal">
      <formula>"C-Off"</formula>
    </cfRule>
    <cfRule type="cellIs" dxfId="724" priority="724" operator="equal">
      <formula>"CL-H"</formula>
    </cfRule>
    <cfRule type="cellIs" dxfId="723" priority="725" operator="equal">
      <formula>"EL-H"</formula>
    </cfRule>
    <cfRule type="cellIs" dxfId="722" priority="726" operator="equal">
      <formula>"CL"</formula>
    </cfRule>
    <cfRule type="cellIs" dxfId="721" priority="727" operator="equal">
      <formula>"EL"</formula>
    </cfRule>
  </conditionalFormatting>
  <conditionalFormatting sqref="AT7:AU30">
    <cfRule type="containsText" dxfId="720" priority="716" operator="containsText" text="S">
      <formula>NOT(ISERROR(SEARCH("S",AT7)))</formula>
    </cfRule>
    <cfRule type="containsText" dxfId="719" priority="717" operator="containsText" text="P">
      <formula>NOT(ISERROR(SEARCH("P",AT7)))</formula>
    </cfRule>
    <cfRule type="containsText" dxfId="718" priority="718" operator="containsText" text="H">
      <formula>NOT(ISERROR(SEARCH("H",AT7)))</formula>
    </cfRule>
    <cfRule type="containsText" dxfId="717" priority="720" operator="containsText" text="&quot;H&quot;">
      <formula>NOT(ISERROR(SEARCH("""H""",AT7)))</formula>
    </cfRule>
    <cfRule type="containsText" dxfId="716" priority="721" operator="containsText" text="&quot;A&quot;">
      <formula>NOT(ISERROR(SEARCH("""A""",AT7)))</formula>
    </cfRule>
  </conditionalFormatting>
  <conditionalFormatting sqref="AT7:AU30">
    <cfRule type="containsText" dxfId="715" priority="719" operator="containsText" text="A-H">
      <formula>NOT(ISERROR(SEARCH("A-H",AT7)))</formula>
    </cfRule>
  </conditionalFormatting>
  <conditionalFormatting sqref="E7:E30">
    <cfRule type="cellIs" dxfId="714" priority="710" operator="equal">
      <formula>"C-Off-H"</formula>
    </cfRule>
    <cfRule type="cellIs" dxfId="713" priority="711" operator="equal">
      <formula>"C-Off"</formula>
    </cfRule>
    <cfRule type="cellIs" dxfId="712" priority="712" operator="equal">
      <formula>"CL-H"</formula>
    </cfRule>
    <cfRule type="cellIs" dxfId="711" priority="713" operator="equal">
      <formula>"EL-H"</formula>
    </cfRule>
    <cfRule type="cellIs" dxfId="710" priority="714" operator="equal">
      <formula>"CL"</formula>
    </cfRule>
    <cfRule type="cellIs" dxfId="709" priority="715" operator="equal">
      <formula>"EL"</formula>
    </cfRule>
  </conditionalFormatting>
  <conditionalFormatting sqref="D7:E30">
    <cfRule type="cellIs" dxfId="708" priority="704" operator="equal">
      <formula>"C-Off-H"</formula>
    </cfRule>
    <cfRule type="cellIs" dxfId="707" priority="705" operator="equal">
      <formula>"C-Off"</formula>
    </cfRule>
    <cfRule type="cellIs" dxfId="706" priority="706" operator="equal">
      <formula>"CL-H"</formula>
    </cfRule>
    <cfRule type="cellIs" dxfId="705" priority="707" operator="equal">
      <formula>"EL-H"</formula>
    </cfRule>
    <cfRule type="cellIs" dxfId="704" priority="708" operator="equal">
      <formula>"CL"</formula>
    </cfRule>
    <cfRule type="cellIs" dxfId="703" priority="709" operator="equal">
      <formula>"EL"</formula>
    </cfRule>
  </conditionalFormatting>
  <conditionalFormatting sqref="D7:E30">
    <cfRule type="containsText" dxfId="702" priority="698" operator="containsText" text="S">
      <formula>NOT(ISERROR(SEARCH("S",D7)))</formula>
    </cfRule>
    <cfRule type="containsText" dxfId="701" priority="699" operator="containsText" text="P">
      <formula>NOT(ISERROR(SEARCH("P",D7)))</formula>
    </cfRule>
    <cfRule type="containsText" dxfId="700" priority="700" operator="containsText" text="H">
      <formula>NOT(ISERROR(SEARCH("H",D7)))</formula>
    </cfRule>
    <cfRule type="containsText" dxfId="699" priority="702" operator="containsText" text="&quot;H&quot;">
      <formula>NOT(ISERROR(SEARCH("""H""",D7)))</formula>
    </cfRule>
    <cfRule type="containsText" dxfId="698" priority="703" operator="containsText" text="&quot;A&quot;">
      <formula>NOT(ISERROR(SEARCH("""A""",D7)))</formula>
    </cfRule>
  </conditionalFormatting>
  <conditionalFormatting sqref="D7:E30">
    <cfRule type="containsText" dxfId="697" priority="701" operator="containsText" text="A-H">
      <formula>NOT(ISERROR(SEARCH("A-H",D7)))</formula>
    </cfRule>
  </conditionalFormatting>
  <conditionalFormatting sqref="Z7:Z30">
    <cfRule type="cellIs" dxfId="696" priority="692" operator="equal">
      <formula>"C-Off-H"</formula>
    </cfRule>
    <cfRule type="cellIs" dxfId="695" priority="693" operator="equal">
      <formula>"C-Off"</formula>
    </cfRule>
    <cfRule type="cellIs" dxfId="694" priority="694" operator="equal">
      <formula>"CL-H"</formula>
    </cfRule>
    <cfRule type="cellIs" dxfId="693" priority="695" operator="equal">
      <formula>"EL-H"</formula>
    </cfRule>
    <cfRule type="cellIs" dxfId="692" priority="696" operator="equal">
      <formula>"CL"</formula>
    </cfRule>
    <cfRule type="cellIs" dxfId="691" priority="697" operator="equal">
      <formula>"EL"</formula>
    </cfRule>
  </conditionalFormatting>
  <conditionalFormatting sqref="Z7:Z30">
    <cfRule type="containsText" dxfId="690" priority="686" operator="containsText" text="S">
      <formula>NOT(ISERROR(SEARCH("S",Z7)))</formula>
    </cfRule>
    <cfRule type="containsText" dxfId="689" priority="687" operator="containsText" text="P">
      <formula>NOT(ISERROR(SEARCH("P",Z7)))</formula>
    </cfRule>
    <cfRule type="containsText" dxfId="688" priority="688" operator="containsText" text="H">
      <formula>NOT(ISERROR(SEARCH("H",Z7)))</formula>
    </cfRule>
    <cfRule type="containsText" dxfId="687" priority="690" operator="containsText" text="&quot;H&quot;">
      <formula>NOT(ISERROR(SEARCH("""H""",Z7)))</formula>
    </cfRule>
    <cfRule type="containsText" dxfId="686" priority="691" operator="containsText" text="&quot;A&quot;">
      <formula>NOT(ISERROR(SEARCH("""A""",Z7)))</formula>
    </cfRule>
  </conditionalFormatting>
  <conditionalFormatting sqref="Z7:Z30">
    <cfRule type="containsText" dxfId="685" priority="689" operator="containsText" text="A-H">
      <formula>NOT(ISERROR(SEARCH("A-H",Z7)))</formula>
    </cfRule>
  </conditionalFormatting>
  <conditionalFormatting sqref="Y7:Y30">
    <cfRule type="cellIs" dxfId="684" priority="680" operator="equal">
      <formula>"C-Off-H"</formula>
    </cfRule>
    <cfRule type="cellIs" dxfId="683" priority="681" operator="equal">
      <formula>"C-Off"</formula>
    </cfRule>
    <cfRule type="cellIs" dxfId="682" priority="682" operator="equal">
      <formula>"CL-H"</formula>
    </cfRule>
    <cfRule type="cellIs" dxfId="681" priority="683" operator="equal">
      <formula>"EL-H"</formula>
    </cfRule>
    <cfRule type="cellIs" dxfId="680" priority="684" operator="equal">
      <formula>"CL"</formula>
    </cfRule>
    <cfRule type="cellIs" dxfId="679" priority="685" operator="equal">
      <formula>"EL"</formula>
    </cfRule>
  </conditionalFormatting>
  <conditionalFormatting sqref="Y7:Y30">
    <cfRule type="containsText" dxfId="678" priority="674" operator="containsText" text="S">
      <formula>NOT(ISERROR(SEARCH("S",Y7)))</formula>
    </cfRule>
    <cfRule type="containsText" dxfId="677" priority="675" operator="containsText" text="P">
      <formula>NOT(ISERROR(SEARCH("P",Y7)))</formula>
    </cfRule>
    <cfRule type="containsText" dxfId="676" priority="676" operator="containsText" text="H">
      <formula>NOT(ISERROR(SEARCH("H",Y7)))</formula>
    </cfRule>
    <cfRule type="containsText" dxfId="675" priority="678" operator="containsText" text="&quot;H&quot;">
      <formula>NOT(ISERROR(SEARCH("""H""",Y7)))</formula>
    </cfRule>
    <cfRule type="containsText" dxfId="674" priority="679" operator="containsText" text="&quot;A&quot;">
      <formula>NOT(ISERROR(SEARCH("""A""",Y7)))</formula>
    </cfRule>
  </conditionalFormatting>
  <conditionalFormatting sqref="Y7:Y30">
    <cfRule type="containsText" dxfId="673" priority="677" operator="containsText" text="A-H">
      <formula>NOT(ISERROR(SEARCH("A-H",Y7)))</formula>
    </cfRule>
  </conditionalFormatting>
  <conditionalFormatting sqref="AF7:AF30">
    <cfRule type="cellIs" dxfId="672" priority="668" operator="equal">
      <formula>"C-Off-H"</formula>
    </cfRule>
    <cfRule type="cellIs" dxfId="671" priority="669" operator="equal">
      <formula>"C-Off"</formula>
    </cfRule>
    <cfRule type="cellIs" dxfId="670" priority="670" operator="equal">
      <formula>"CL-H"</formula>
    </cfRule>
    <cfRule type="cellIs" dxfId="669" priority="671" operator="equal">
      <formula>"EL-H"</formula>
    </cfRule>
    <cfRule type="cellIs" dxfId="668" priority="672" operator="equal">
      <formula>"CL"</formula>
    </cfRule>
    <cfRule type="cellIs" dxfId="667" priority="673" operator="equal">
      <formula>"EL"</formula>
    </cfRule>
  </conditionalFormatting>
  <conditionalFormatting sqref="AF7:AF30">
    <cfRule type="containsText" dxfId="666" priority="662" operator="containsText" text="S">
      <formula>NOT(ISERROR(SEARCH("S",AF7)))</formula>
    </cfRule>
    <cfRule type="containsText" dxfId="665" priority="663" operator="containsText" text="P">
      <formula>NOT(ISERROR(SEARCH("P",AF7)))</formula>
    </cfRule>
    <cfRule type="containsText" dxfId="664" priority="664" operator="containsText" text="H">
      <formula>NOT(ISERROR(SEARCH("H",AF7)))</formula>
    </cfRule>
    <cfRule type="containsText" dxfId="663" priority="666" operator="containsText" text="&quot;H&quot;">
      <formula>NOT(ISERROR(SEARCH("""H""",AF7)))</formula>
    </cfRule>
    <cfRule type="containsText" dxfId="662" priority="667" operator="containsText" text="&quot;A&quot;">
      <formula>NOT(ISERROR(SEARCH("""A""",AF7)))</formula>
    </cfRule>
  </conditionalFormatting>
  <conditionalFormatting sqref="AF7:AF30">
    <cfRule type="containsText" dxfId="661" priority="665" operator="containsText" text="A-H">
      <formula>NOT(ISERROR(SEARCH("A-H",AF7)))</formula>
    </cfRule>
  </conditionalFormatting>
  <conditionalFormatting sqref="BO7:BP30">
    <cfRule type="cellIs" dxfId="660" priority="656" operator="equal">
      <formula>"C-Off-H"</formula>
    </cfRule>
    <cfRule type="cellIs" dxfId="659" priority="657" operator="equal">
      <formula>"C-Off"</formula>
    </cfRule>
    <cfRule type="cellIs" dxfId="658" priority="658" operator="equal">
      <formula>"CL-H"</formula>
    </cfRule>
    <cfRule type="cellIs" dxfId="657" priority="659" operator="equal">
      <formula>"EL-H"</formula>
    </cfRule>
    <cfRule type="cellIs" dxfId="656" priority="660" operator="equal">
      <formula>"CL"</formula>
    </cfRule>
    <cfRule type="cellIs" dxfId="655" priority="661" operator="equal">
      <formula>"EL"</formula>
    </cfRule>
  </conditionalFormatting>
  <conditionalFormatting sqref="BO7:BP30">
    <cfRule type="cellIs" dxfId="654" priority="650" operator="equal">
      <formula>"C-Off-H"</formula>
    </cfRule>
    <cfRule type="cellIs" dxfId="653" priority="651" operator="equal">
      <formula>"C-Off"</formula>
    </cfRule>
    <cfRule type="cellIs" dxfId="652" priority="652" operator="equal">
      <formula>"CL-H"</formula>
    </cfRule>
    <cfRule type="cellIs" dxfId="651" priority="653" operator="equal">
      <formula>"EL-H"</formula>
    </cfRule>
    <cfRule type="cellIs" dxfId="650" priority="654" operator="equal">
      <formula>"CL"</formula>
    </cfRule>
    <cfRule type="cellIs" dxfId="649" priority="655" operator="equal">
      <formula>"EL"</formula>
    </cfRule>
  </conditionalFormatting>
  <conditionalFormatting sqref="BO7:BP30">
    <cfRule type="containsText" dxfId="648" priority="644" operator="containsText" text="S">
      <formula>NOT(ISERROR(SEARCH("S",BO7)))</formula>
    </cfRule>
    <cfRule type="containsText" dxfId="647" priority="645" operator="containsText" text="P">
      <formula>NOT(ISERROR(SEARCH("P",BO7)))</formula>
    </cfRule>
    <cfRule type="containsText" dxfId="646" priority="646" operator="containsText" text="H">
      <formula>NOT(ISERROR(SEARCH("H",BO7)))</formula>
    </cfRule>
    <cfRule type="containsText" dxfId="645" priority="648" operator="containsText" text="&quot;H&quot;">
      <formula>NOT(ISERROR(SEARCH("""H""",BO7)))</formula>
    </cfRule>
    <cfRule type="containsText" dxfId="644" priority="649" operator="containsText" text="&quot;A&quot;">
      <formula>NOT(ISERROR(SEARCH("""A""",BO7)))</formula>
    </cfRule>
  </conditionalFormatting>
  <conditionalFormatting sqref="BO7:BP30">
    <cfRule type="containsText" dxfId="643" priority="647" operator="containsText" text="A-H">
      <formula>NOT(ISERROR(SEARCH("A-H",BO7)))</formula>
    </cfRule>
  </conditionalFormatting>
  <conditionalFormatting sqref="CA7:CA30">
    <cfRule type="cellIs" dxfId="642" priority="638" operator="equal">
      <formula>"C-Off-H"</formula>
    </cfRule>
    <cfRule type="cellIs" dxfId="641" priority="639" operator="equal">
      <formula>"C-Off"</formula>
    </cfRule>
    <cfRule type="cellIs" dxfId="640" priority="640" operator="equal">
      <formula>"CL-H"</formula>
    </cfRule>
    <cfRule type="cellIs" dxfId="639" priority="641" operator="equal">
      <formula>"EL-H"</formula>
    </cfRule>
    <cfRule type="cellIs" dxfId="638" priority="642" operator="equal">
      <formula>"CL"</formula>
    </cfRule>
    <cfRule type="cellIs" dxfId="637" priority="643" operator="equal">
      <formula>"EL"</formula>
    </cfRule>
  </conditionalFormatting>
  <conditionalFormatting sqref="CA7:CA30">
    <cfRule type="cellIs" dxfId="636" priority="632" operator="equal">
      <formula>"C-Off-H"</formula>
    </cfRule>
    <cfRule type="cellIs" dxfId="635" priority="633" operator="equal">
      <formula>"C-Off"</formula>
    </cfRule>
    <cfRule type="cellIs" dxfId="634" priority="634" operator="equal">
      <formula>"CL-H"</formula>
    </cfRule>
    <cfRule type="cellIs" dxfId="633" priority="635" operator="equal">
      <formula>"EL-H"</formula>
    </cfRule>
    <cfRule type="cellIs" dxfId="632" priority="636" operator="equal">
      <formula>"CL"</formula>
    </cfRule>
    <cfRule type="cellIs" dxfId="631" priority="637" operator="equal">
      <formula>"EL"</formula>
    </cfRule>
  </conditionalFormatting>
  <conditionalFormatting sqref="CA7:CA30">
    <cfRule type="containsText" dxfId="630" priority="626" operator="containsText" text="S">
      <formula>NOT(ISERROR(SEARCH("S",CA7)))</formula>
    </cfRule>
    <cfRule type="containsText" dxfId="629" priority="627" operator="containsText" text="P">
      <formula>NOT(ISERROR(SEARCH("P",CA7)))</formula>
    </cfRule>
    <cfRule type="containsText" dxfId="628" priority="628" operator="containsText" text="H">
      <formula>NOT(ISERROR(SEARCH("H",CA7)))</formula>
    </cfRule>
    <cfRule type="containsText" dxfId="627" priority="630" operator="containsText" text="&quot;H&quot;">
      <formula>NOT(ISERROR(SEARCH("""H""",CA7)))</formula>
    </cfRule>
    <cfRule type="containsText" dxfId="626" priority="631" operator="containsText" text="&quot;A&quot;">
      <formula>NOT(ISERROR(SEARCH("""A""",CA7)))</formula>
    </cfRule>
  </conditionalFormatting>
  <conditionalFormatting sqref="CA7:CA30">
    <cfRule type="containsText" dxfId="625" priority="629" operator="containsText" text="A-H">
      <formula>NOT(ISERROR(SEARCH("A-H",CA7)))</formula>
    </cfRule>
  </conditionalFormatting>
  <conditionalFormatting sqref="V7:W30">
    <cfRule type="cellIs" dxfId="624" priority="596" operator="equal">
      <formula>"C-Off-H"</formula>
    </cfRule>
    <cfRule type="cellIs" dxfId="623" priority="597" operator="equal">
      <formula>"C-Off"</formula>
    </cfRule>
    <cfRule type="cellIs" dxfId="622" priority="598" operator="equal">
      <formula>"CL-H"</formula>
    </cfRule>
    <cfRule type="cellIs" dxfId="621" priority="599" operator="equal">
      <formula>"EL-H"</formula>
    </cfRule>
    <cfRule type="cellIs" dxfId="620" priority="600" operator="equal">
      <formula>"CL"</formula>
    </cfRule>
    <cfRule type="cellIs" dxfId="619" priority="601" operator="equal">
      <formula>"EL"</formula>
    </cfRule>
  </conditionalFormatting>
  <conditionalFormatting sqref="V7:W30">
    <cfRule type="containsText" dxfId="618" priority="590" operator="containsText" text="S">
      <formula>NOT(ISERROR(SEARCH("S",V7)))</formula>
    </cfRule>
    <cfRule type="containsText" dxfId="617" priority="591" operator="containsText" text="P">
      <formula>NOT(ISERROR(SEARCH("P",V7)))</formula>
    </cfRule>
    <cfRule type="containsText" dxfId="616" priority="592" operator="containsText" text="H">
      <formula>NOT(ISERROR(SEARCH("H",V7)))</formula>
    </cfRule>
    <cfRule type="containsText" dxfId="615" priority="594" operator="containsText" text="&quot;H&quot;">
      <formula>NOT(ISERROR(SEARCH("""H""",V7)))</formula>
    </cfRule>
    <cfRule type="containsText" dxfId="614" priority="595" operator="containsText" text="&quot;A&quot;">
      <formula>NOT(ISERROR(SEARCH("""A""",V7)))</formula>
    </cfRule>
  </conditionalFormatting>
  <conditionalFormatting sqref="V7:W30">
    <cfRule type="containsText" dxfId="613" priority="593" operator="containsText" text="A-H">
      <formula>NOT(ISERROR(SEARCH("A-H",V7)))</formula>
    </cfRule>
  </conditionalFormatting>
  <conditionalFormatting sqref="P7:Q30">
    <cfRule type="cellIs" dxfId="612" priority="620" operator="equal">
      <formula>"C-Off-H"</formula>
    </cfRule>
    <cfRule type="cellIs" dxfId="611" priority="621" operator="equal">
      <formula>"C-Off"</formula>
    </cfRule>
    <cfRule type="cellIs" dxfId="610" priority="622" operator="equal">
      <formula>"CL-H"</formula>
    </cfRule>
    <cfRule type="cellIs" dxfId="609" priority="623" operator="equal">
      <formula>"EL-H"</formula>
    </cfRule>
    <cfRule type="cellIs" dxfId="608" priority="624" operator="equal">
      <formula>"CL"</formula>
    </cfRule>
    <cfRule type="cellIs" dxfId="607" priority="625" operator="equal">
      <formula>"EL"</formula>
    </cfRule>
  </conditionalFormatting>
  <conditionalFormatting sqref="P7:Q30">
    <cfRule type="containsText" dxfId="606" priority="614" operator="containsText" text="S">
      <formula>NOT(ISERROR(SEARCH("S",P7)))</formula>
    </cfRule>
    <cfRule type="containsText" dxfId="605" priority="615" operator="containsText" text="P">
      <formula>NOT(ISERROR(SEARCH("P",P7)))</formula>
    </cfRule>
    <cfRule type="containsText" dxfId="604" priority="616" operator="containsText" text="H">
      <formula>NOT(ISERROR(SEARCH("H",P7)))</formula>
    </cfRule>
    <cfRule type="containsText" dxfId="603" priority="618" operator="containsText" text="&quot;H&quot;">
      <formula>NOT(ISERROR(SEARCH("""H""",P7)))</formula>
    </cfRule>
    <cfRule type="containsText" dxfId="602" priority="619" operator="containsText" text="&quot;A&quot;">
      <formula>NOT(ISERROR(SEARCH("""A""",P7)))</formula>
    </cfRule>
  </conditionalFormatting>
  <conditionalFormatting sqref="P7:Q30">
    <cfRule type="containsText" dxfId="601" priority="617" operator="containsText" text="A-H">
      <formula>NOT(ISERROR(SEARCH("A-H",P7)))</formula>
    </cfRule>
  </conditionalFormatting>
  <conditionalFormatting sqref="S7:T30">
    <cfRule type="cellIs" dxfId="600" priority="608" operator="equal">
      <formula>"C-Off-H"</formula>
    </cfRule>
    <cfRule type="cellIs" dxfId="599" priority="609" operator="equal">
      <formula>"C-Off"</formula>
    </cfRule>
    <cfRule type="cellIs" dxfId="598" priority="610" operator="equal">
      <formula>"CL-H"</formula>
    </cfRule>
    <cfRule type="cellIs" dxfId="597" priority="611" operator="equal">
      <formula>"EL-H"</formula>
    </cfRule>
    <cfRule type="cellIs" dxfId="596" priority="612" operator="equal">
      <formula>"CL"</formula>
    </cfRule>
    <cfRule type="cellIs" dxfId="595" priority="613" operator="equal">
      <formula>"EL"</formula>
    </cfRule>
  </conditionalFormatting>
  <conditionalFormatting sqref="S7:T30">
    <cfRule type="containsText" dxfId="594" priority="602" operator="containsText" text="S">
      <formula>NOT(ISERROR(SEARCH("S",S7)))</formula>
    </cfRule>
    <cfRule type="containsText" dxfId="593" priority="603" operator="containsText" text="P">
      <formula>NOT(ISERROR(SEARCH("P",S7)))</formula>
    </cfRule>
    <cfRule type="containsText" dxfId="592" priority="604" operator="containsText" text="H">
      <formula>NOT(ISERROR(SEARCH("H",S7)))</formula>
    </cfRule>
    <cfRule type="containsText" dxfId="591" priority="606" operator="containsText" text="&quot;H&quot;">
      <formula>NOT(ISERROR(SEARCH("""H""",S7)))</formula>
    </cfRule>
    <cfRule type="containsText" dxfId="590" priority="607" operator="containsText" text="&quot;A&quot;">
      <formula>NOT(ISERROR(SEARCH("""A""",S7)))</formula>
    </cfRule>
  </conditionalFormatting>
  <conditionalFormatting sqref="S7:T30">
    <cfRule type="containsText" dxfId="589" priority="605" operator="containsText" text="A-H">
      <formula>NOT(ISERROR(SEARCH("A-H",S7)))</formula>
    </cfRule>
  </conditionalFormatting>
  <conditionalFormatting sqref="AB7:AC30">
    <cfRule type="cellIs" dxfId="588" priority="584" operator="equal">
      <formula>"C-Off-H"</formula>
    </cfRule>
    <cfRule type="cellIs" dxfId="587" priority="585" operator="equal">
      <formula>"C-Off"</formula>
    </cfRule>
    <cfRule type="cellIs" dxfId="586" priority="586" operator="equal">
      <formula>"CL-H"</formula>
    </cfRule>
    <cfRule type="cellIs" dxfId="585" priority="587" operator="equal">
      <formula>"EL-H"</formula>
    </cfRule>
    <cfRule type="cellIs" dxfId="584" priority="588" operator="equal">
      <formula>"CL"</formula>
    </cfRule>
    <cfRule type="cellIs" dxfId="583" priority="589" operator="equal">
      <formula>"EL"</formula>
    </cfRule>
  </conditionalFormatting>
  <conditionalFormatting sqref="AB7:AC30">
    <cfRule type="containsText" dxfId="582" priority="578" operator="containsText" text="S">
      <formula>NOT(ISERROR(SEARCH("S",AB7)))</formula>
    </cfRule>
    <cfRule type="containsText" dxfId="581" priority="579" operator="containsText" text="P">
      <formula>NOT(ISERROR(SEARCH("P",AB7)))</formula>
    </cfRule>
    <cfRule type="containsText" dxfId="580" priority="580" operator="containsText" text="H">
      <formula>NOT(ISERROR(SEARCH("H",AB7)))</formula>
    </cfRule>
    <cfRule type="containsText" dxfId="579" priority="582" operator="containsText" text="&quot;H&quot;">
      <formula>NOT(ISERROR(SEARCH("""H""",AB7)))</formula>
    </cfRule>
    <cfRule type="containsText" dxfId="578" priority="583" operator="containsText" text="&quot;A&quot;">
      <formula>NOT(ISERROR(SEARCH("""A""",AB7)))</formula>
    </cfRule>
  </conditionalFormatting>
  <conditionalFormatting sqref="AB7:AC30">
    <cfRule type="containsText" dxfId="577" priority="581" operator="containsText" text="A-H">
      <formula>NOT(ISERROR(SEARCH("A-H",AB7)))</formula>
    </cfRule>
  </conditionalFormatting>
  <conditionalFormatting sqref="AE7:AE30">
    <cfRule type="cellIs" dxfId="576" priority="572" operator="equal">
      <formula>"C-Off-H"</formula>
    </cfRule>
    <cfRule type="cellIs" dxfId="575" priority="573" operator="equal">
      <formula>"C-Off"</formula>
    </cfRule>
    <cfRule type="cellIs" dxfId="574" priority="574" operator="equal">
      <formula>"CL-H"</formula>
    </cfRule>
    <cfRule type="cellIs" dxfId="573" priority="575" operator="equal">
      <formula>"EL-H"</formula>
    </cfRule>
    <cfRule type="cellIs" dxfId="572" priority="576" operator="equal">
      <formula>"CL"</formula>
    </cfRule>
    <cfRule type="cellIs" dxfId="571" priority="577" operator="equal">
      <formula>"EL"</formula>
    </cfRule>
  </conditionalFormatting>
  <conditionalFormatting sqref="AE7:AE30">
    <cfRule type="containsText" dxfId="570" priority="566" operator="containsText" text="S">
      <formula>NOT(ISERROR(SEARCH("S",AE7)))</formula>
    </cfRule>
    <cfRule type="containsText" dxfId="569" priority="567" operator="containsText" text="P">
      <formula>NOT(ISERROR(SEARCH("P",AE7)))</formula>
    </cfRule>
    <cfRule type="containsText" dxfId="568" priority="568" operator="containsText" text="H">
      <formula>NOT(ISERROR(SEARCH("H",AE7)))</formula>
    </cfRule>
    <cfRule type="containsText" dxfId="567" priority="570" operator="containsText" text="&quot;H&quot;">
      <formula>NOT(ISERROR(SEARCH("""H""",AE7)))</formula>
    </cfRule>
    <cfRule type="containsText" dxfId="566" priority="571" operator="containsText" text="&quot;A&quot;">
      <formula>NOT(ISERROR(SEARCH("""A""",AE7)))</formula>
    </cfRule>
  </conditionalFormatting>
  <conditionalFormatting sqref="AE7:AE30">
    <cfRule type="containsText" dxfId="565" priority="569" operator="containsText" text="A-H">
      <formula>NOT(ISERROR(SEARCH("A-H",AE7)))</formula>
    </cfRule>
  </conditionalFormatting>
  <conditionalFormatting sqref="AK7:AL30">
    <cfRule type="cellIs" dxfId="564" priority="560" operator="equal">
      <formula>"C-Off-H"</formula>
    </cfRule>
    <cfRule type="cellIs" dxfId="563" priority="561" operator="equal">
      <formula>"C-Off"</formula>
    </cfRule>
    <cfRule type="cellIs" dxfId="562" priority="562" operator="equal">
      <formula>"CL-H"</formula>
    </cfRule>
    <cfRule type="cellIs" dxfId="561" priority="563" operator="equal">
      <formula>"EL-H"</formula>
    </cfRule>
    <cfRule type="cellIs" dxfId="560" priority="564" operator="equal">
      <formula>"CL"</formula>
    </cfRule>
    <cfRule type="cellIs" dxfId="559" priority="565" operator="equal">
      <formula>"EL"</formula>
    </cfRule>
  </conditionalFormatting>
  <conditionalFormatting sqref="AK7:AL30">
    <cfRule type="containsText" dxfId="558" priority="554" operator="containsText" text="S">
      <formula>NOT(ISERROR(SEARCH("S",AK7)))</formula>
    </cfRule>
    <cfRule type="containsText" dxfId="557" priority="555" operator="containsText" text="P">
      <formula>NOT(ISERROR(SEARCH("P",AK7)))</formula>
    </cfRule>
    <cfRule type="containsText" dxfId="556" priority="556" operator="containsText" text="H">
      <formula>NOT(ISERROR(SEARCH("H",AK7)))</formula>
    </cfRule>
    <cfRule type="containsText" dxfId="555" priority="558" operator="containsText" text="&quot;H&quot;">
      <formula>NOT(ISERROR(SEARCH("""H""",AK7)))</formula>
    </cfRule>
    <cfRule type="containsText" dxfId="554" priority="559" operator="containsText" text="&quot;A&quot;">
      <formula>NOT(ISERROR(SEARCH("""A""",AK7)))</formula>
    </cfRule>
  </conditionalFormatting>
  <conditionalFormatting sqref="AK7:AL30">
    <cfRule type="containsText" dxfId="553" priority="557" operator="containsText" text="A-H">
      <formula>NOT(ISERROR(SEARCH("A-H",AK7)))</formula>
    </cfRule>
  </conditionalFormatting>
  <conditionalFormatting sqref="AN7:AO30">
    <cfRule type="cellIs" dxfId="552" priority="548" operator="equal">
      <formula>"C-Off-H"</formula>
    </cfRule>
    <cfRule type="cellIs" dxfId="551" priority="549" operator="equal">
      <formula>"C-Off"</formula>
    </cfRule>
    <cfRule type="cellIs" dxfId="550" priority="550" operator="equal">
      <formula>"CL-H"</formula>
    </cfRule>
    <cfRule type="cellIs" dxfId="549" priority="551" operator="equal">
      <formula>"EL-H"</formula>
    </cfRule>
    <cfRule type="cellIs" dxfId="548" priority="552" operator="equal">
      <formula>"CL"</formula>
    </cfRule>
    <cfRule type="cellIs" dxfId="547" priority="553" operator="equal">
      <formula>"EL"</formula>
    </cfRule>
  </conditionalFormatting>
  <conditionalFormatting sqref="AN7:AO30">
    <cfRule type="containsText" dxfId="546" priority="542" operator="containsText" text="S">
      <formula>NOT(ISERROR(SEARCH("S",AN7)))</formula>
    </cfRule>
    <cfRule type="containsText" dxfId="545" priority="543" operator="containsText" text="P">
      <formula>NOT(ISERROR(SEARCH("P",AN7)))</formula>
    </cfRule>
    <cfRule type="containsText" dxfId="544" priority="544" operator="containsText" text="H">
      <formula>NOT(ISERROR(SEARCH("H",AN7)))</formula>
    </cfRule>
    <cfRule type="containsText" dxfId="543" priority="546" operator="containsText" text="&quot;H&quot;">
      <formula>NOT(ISERROR(SEARCH("""H""",AN7)))</formula>
    </cfRule>
    <cfRule type="containsText" dxfId="542" priority="547" operator="containsText" text="&quot;A&quot;">
      <formula>NOT(ISERROR(SEARCH("""A""",AN7)))</formula>
    </cfRule>
  </conditionalFormatting>
  <conditionalFormatting sqref="AN7:AO30">
    <cfRule type="containsText" dxfId="541" priority="545" operator="containsText" text="A-H">
      <formula>NOT(ISERROR(SEARCH("A-H",AN7)))</formula>
    </cfRule>
  </conditionalFormatting>
  <conditionalFormatting sqref="AQ7:AR30">
    <cfRule type="cellIs" dxfId="540" priority="536" operator="equal">
      <formula>"C-Off-H"</formula>
    </cfRule>
    <cfRule type="cellIs" dxfId="539" priority="537" operator="equal">
      <formula>"C-Off"</formula>
    </cfRule>
    <cfRule type="cellIs" dxfId="538" priority="538" operator="equal">
      <formula>"CL-H"</formula>
    </cfRule>
    <cfRule type="cellIs" dxfId="537" priority="539" operator="equal">
      <formula>"EL-H"</formula>
    </cfRule>
    <cfRule type="cellIs" dxfId="536" priority="540" operator="equal">
      <formula>"CL"</formula>
    </cfRule>
    <cfRule type="cellIs" dxfId="535" priority="541" operator="equal">
      <formula>"EL"</formula>
    </cfRule>
  </conditionalFormatting>
  <conditionalFormatting sqref="AQ7:AR30">
    <cfRule type="containsText" dxfId="534" priority="530" operator="containsText" text="S">
      <formula>NOT(ISERROR(SEARCH("S",AQ7)))</formula>
    </cfRule>
    <cfRule type="containsText" dxfId="533" priority="531" operator="containsText" text="P">
      <formula>NOT(ISERROR(SEARCH("P",AQ7)))</formula>
    </cfRule>
    <cfRule type="containsText" dxfId="532" priority="532" operator="containsText" text="H">
      <formula>NOT(ISERROR(SEARCH("H",AQ7)))</formula>
    </cfRule>
    <cfRule type="containsText" dxfId="531" priority="534" operator="containsText" text="&quot;H&quot;">
      <formula>NOT(ISERROR(SEARCH("""H""",AQ7)))</formula>
    </cfRule>
    <cfRule type="containsText" dxfId="530" priority="535" operator="containsText" text="&quot;A&quot;">
      <formula>NOT(ISERROR(SEARCH("""A""",AQ7)))</formula>
    </cfRule>
  </conditionalFormatting>
  <conditionalFormatting sqref="AQ7:AR30">
    <cfRule type="containsText" dxfId="529" priority="533" operator="containsText" text="A-H">
      <formula>NOT(ISERROR(SEARCH("A-H",AQ7)))</formula>
    </cfRule>
  </conditionalFormatting>
  <conditionalFormatting sqref="AW7:AX30">
    <cfRule type="cellIs" dxfId="528" priority="524" operator="equal">
      <formula>"C-Off-H"</formula>
    </cfRule>
    <cfRule type="cellIs" dxfId="527" priority="525" operator="equal">
      <formula>"C-Off"</formula>
    </cfRule>
    <cfRule type="cellIs" dxfId="526" priority="526" operator="equal">
      <formula>"CL-H"</formula>
    </cfRule>
    <cfRule type="cellIs" dxfId="525" priority="527" operator="equal">
      <formula>"EL-H"</formula>
    </cfRule>
    <cfRule type="cellIs" dxfId="524" priority="528" operator="equal">
      <formula>"CL"</formula>
    </cfRule>
    <cfRule type="cellIs" dxfId="523" priority="529" operator="equal">
      <formula>"EL"</formula>
    </cfRule>
  </conditionalFormatting>
  <conditionalFormatting sqref="AW7:AX30">
    <cfRule type="containsText" dxfId="522" priority="518" operator="containsText" text="S">
      <formula>NOT(ISERROR(SEARCH("S",AW7)))</formula>
    </cfRule>
    <cfRule type="containsText" dxfId="521" priority="519" operator="containsText" text="P">
      <formula>NOT(ISERROR(SEARCH("P",AW7)))</formula>
    </cfRule>
    <cfRule type="containsText" dxfId="520" priority="520" operator="containsText" text="H">
      <formula>NOT(ISERROR(SEARCH("H",AW7)))</formula>
    </cfRule>
    <cfRule type="containsText" dxfId="519" priority="522" operator="containsText" text="&quot;H&quot;">
      <formula>NOT(ISERROR(SEARCH("""H""",AW7)))</formula>
    </cfRule>
    <cfRule type="containsText" dxfId="518" priority="523" operator="containsText" text="&quot;A&quot;">
      <formula>NOT(ISERROR(SEARCH("""A""",AW7)))</formula>
    </cfRule>
  </conditionalFormatting>
  <conditionalFormatting sqref="AW7:AX30">
    <cfRule type="containsText" dxfId="517" priority="521" operator="containsText" text="A-H">
      <formula>NOT(ISERROR(SEARCH("A-H",AW7)))</formula>
    </cfRule>
  </conditionalFormatting>
  <conditionalFormatting sqref="AZ7:BA30">
    <cfRule type="cellIs" dxfId="516" priority="512" operator="equal">
      <formula>"C-Off-H"</formula>
    </cfRule>
    <cfRule type="cellIs" dxfId="515" priority="513" operator="equal">
      <formula>"C-Off"</formula>
    </cfRule>
    <cfRule type="cellIs" dxfId="514" priority="514" operator="equal">
      <formula>"CL-H"</formula>
    </cfRule>
    <cfRule type="cellIs" dxfId="513" priority="515" operator="equal">
      <formula>"EL-H"</formula>
    </cfRule>
    <cfRule type="cellIs" dxfId="512" priority="516" operator="equal">
      <formula>"CL"</formula>
    </cfRule>
    <cfRule type="cellIs" dxfId="511" priority="517" operator="equal">
      <formula>"EL"</formula>
    </cfRule>
  </conditionalFormatting>
  <conditionalFormatting sqref="AZ7:BA30">
    <cfRule type="containsText" dxfId="510" priority="506" operator="containsText" text="S">
      <formula>NOT(ISERROR(SEARCH("S",AZ7)))</formula>
    </cfRule>
    <cfRule type="containsText" dxfId="509" priority="507" operator="containsText" text="P">
      <formula>NOT(ISERROR(SEARCH("P",AZ7)))</formula>
    </cfRule>
    <cfRule type="containsText" dxfId="508" priority="508" operator="containsText" text="H">
      <formula>NOT(ISERROR(SEARCH("H",AZ7)))</formula>
    </cfRule>
    <cfRule type="containsText" dxfId="507" priority="510" operator="containsText" text="&quot;H&quot;">
      <formula>NOT(ISERROR(SEARCH("""H""",AZ7)))</formula>
    </cfRule>
    <cfRule type="containsText" dxfId="506" priority="511" operator="containsText" text="&quot;A&quot;">
      <formula>NOT(ISERROR(SEARCH("""A""",AZ7)))</formula>
    </cfRule>
  </conditionalFormatting>
  <conditionalFormatting sqref="AZ7:BA30">
    <cfRule type="containsText" dxfId="505" priority="509" operator="containsText" text="A-H">
      <formula>NOT(ISERROR(SEARCH("A-H",AZ7)))</formula>
    </cfRule>
  </conditionalFormatting>
  <conditionalFormatting sqref="BC7:BD30">
    <cfRule type="cellIs" dxfId="504" priority="500" operator="equal">
      <formula>"C-Off-H"</formula>
    </cfRule>
    <cfRule type="cellIs" dxfId="503" priority="501" operator="equal">
      <formula>"C-Off"</formula>
    </cfRule>
    <cfRule type="cellIs" dxfId="502" priority="502" operator="equal">
      <formula>"CL-H"</formula>
    </cfRule>
    <cfRule type="cellIs" dxfId="501" priority="503" operator="equal">
      <formula>"EL-H"</formula>
    </cfRule>
    <cfRule type="cellIs" dxfId="500" priority="504" operator="equal">
      <formula>"CL"</formula>
    </cfRule>
    <cfRule type="cellIs" dxfId="499" priority="505" operator="equal">
      <formula>"EL"</formula>
    </cfRule>
  </conditionalFormatting>
  <conditionalFormatting sqref="BC7:BD30">
    <cfRule type="containsText" dxfId="498" priority="494" operator="containsText" text="S">
      <formula>NOT(ISERROR(SEARCH("S",BC7)))</formula>
    </cfRule>
    <cfRule type="containsText" dxfId="497" priority="495" operator="containsText" text="P">
      <formula>NOT(ISERROR(SEARCH("P",BC7)))</formula>
    </cfRule>
    <cfRule type="containsText" dxfId="496" priority="496" operator="containsText" text="H">
      <formula>NOT(ISERROR(SEARCH("H",BC7)))</formula>
    </cfRule>
    <cfRule type="containsText" dxfId="495" priority="498" operator="containsText" text="&quot;H&quot;">
      <formula>NOT(ISERROR(SEARCH("""H""",BC7)))</formula>
    </cfRule>
    <cfRule type="containsText" dxfId="494" priority="499" operator="containsText" text="&quot;A&quot;">
      <formula>NOT(ISERROR(SEARCH("""A""",BC7)))</formula>
    </cfRule>
  </conditionalFormatting>
  <conditionalFormatting sqref="BC7:BD30">
    <cfRule type="containsText" dxfId="493" priority="497" operator="containsText" text="A-H">
      <formula>NOT(ISERROR(SEARCH("A-H",BC7)))</formula>
    </cfRule>
  </conditionalFormatting>
  <conditionalFormatting sqref="BF7:BG30">
    <cfRule type="cellIs" dxfId="492" priority="488" operator="equal">
      <formula>"C-Off-H"</formula>
    </cfRule>
    <cfRule type="cellIs" dxfId="491" priority="489" operator="equal">
      <formula>"C-Off"</formula>
    </cfRule>
    <cfRule type="cellIs" dxfId="490" priority="490" operator="equal">
      <formula>"CL-H"</formula>
    </cfRule>
    <cfRule type="cellIs" dxfId="489" priority="491" operator="equal">
      <formula>"EL-H"</formula>
    </cfRule>
    <cfRule type="cellIs" dxfId="488" priority="492" operator="equal">
      <formula>"CL"</formula>
    </cfRule>
    <cfRule type="cellIs" dxfId="487" priority="493" operator="equal">
      <formula>"EL"</formula>
    </cfRule>
  </conditionalFormatting>
  <conditionalFormatting sqref="BF7:BG30">
    <cfRule type="containsText" dxfId="486" priority="482" operator="containsText" text="S">
      <formula>NOT(ISERROR(SEARCH("S",BF7)))</formula>
    </cfRule>
    <cfRule type="containsText" dxfId="485" priority="483" operator="containsText" text="P">
      <formula>NOT(ISERROR(SEARCH("P",BF7)))</formula>
    </cfRule>
    <cfRule type="containsText" dxfId="484" priority="484" operator="containsText" text="H">
      <formula>NOT(ISERROR(SEARCH("H",BF7)))</formula>
    </cfRule>
    <cfRule type="containsText" dxfId="483" priority="486" operator="containsText" text="&quot;H&quot;">
      <formula>NOT(ISERROR(SEARCH("""H""",BF7)))</formula>
    </cfRule>
    <cfRule type="containsText" dxfId="482" priority="487" operator="containsText" text="&quot;A&quot;">
      <formula>NOT(ISERROR(SEARCH("""A""",BF7)))</formula>
    </cfRule>
  </conditionalFormatting>
  <conditionalFormatting sqref="BF7:BG30">
    <cfRule type="containsText" dxfId="481" priority="485" operator="containsText" text="A-H">
      <formula>NOT(ISERROR(SEARCH("A-H",BF7)))</formula>
    </cfRule>
  </conditionalFormatting>
  <conditionalFormatting sqref="BI7:BJ30">
    <cfRule type="cellIs" dxfId="480" priority="476" operator="equal">
      <formula>"C-Off-H"</formula>
    </cfRule>
    <cfRule type="cellIs" dxfId="479" priority="477" operator="equal">
      <formula>"C-Off"</formula>
    </cfRule>
    <cfRule type="cellIs" dxfId="478" priority="478" operator="equal">
      <formula>"CL-H"</formula>
    </cfRule>
    <cfRule type="cellIs" dxfId="477" priority="479" operator="equal">
      <formula>"EL-H"</formula>
    </cfRule>
    <cfRule type="cellIs" dxfId="476" priority="480" operator="equal">
      <formula>"CL"</formula>
    </cfRule>
    <cfRule type="cellIs" dxfId="475" priority="481" operator="equal">
      <formula>"EL"</formula>
    </cfRule>
  </conditionalFormatting>
  <conditionalFormatting sqref="BI7:BJ30">
    <cfRule type="containsText" dxfId="474" priority="470" operator="containsText" text="S">
      <formula>NOT(ISERROR(SEARCH("S",BI7)))</formula>
    </cfRule>
    <cfRule type="containsText" dxfId="473" priority="471" operator="containsText" text="P">
      <formula>NOT(ISERROR(SEARCH("P",BI7)))</formula>
    </cfRule>
    <cfRule type="containsText" dxfId="472" priority="472" operator="containsText" text="H">
      <formula>NOT(ISERROR(SEARCH("H",BI7)))</formula>
    </cfRule>
    <cfRule type="containsText" dxfId="471" priority="474" operator="containsText" text="&quot;H&quot;">
      <formula>NOT(ISERROR(SEARCH("""H""",BI7)))</formula>
    </cfRule>
    <cfRule type="containsText" dxfId="470" priority="475" operator="containsText" text="&quot;A&quot;">
      <formula>NOT(ISERROR(SEARCH("""A""",BI7)))</formula>
    </cfRule>
  </conditionalFormatting>
  <conditionalFormatting sqref="BI7:BJ30">
    <cfRule type="containsText" dxfId="469" priority="473" operator="containsText" text="A-H">
      <formula>NOT(ISERROR(SEARCH("A-H",BI7)))</formula>
    </cfRule>
  </conditionalFormatting>
  <conditionalFormatting sqref="BL7:BM30">
    <cfRule type="cellIs" dxfId="468" priority="464" operator="equal">
      <formula>"C-Off-H"</formula>
    </cfRule>
    <cfRule type="cellIs" dxfId="467" priority="465" operator="equal">
      <formula>"C-Off"</formula>
    </cfRule>
    <cfRule type="cellIs" dxfId="466" priority="466" operator="equal">
      <formula>"CL-H"</formula>
    </cfRule>
    <cfRule type="cellIs" dxfId="465" priority="467" operator="equal">
      <formula>"EL-H"</formula>
    </cfRule>
    <cfRule type="cellIs" dxfId="464" priority="468" operator="equal">
      <formula>"CL"</formula>
    </cfRule>
    <cfRule type="cellIs" dxfId="463" priority="469" operator="equal">
      <formula>"EL"</formula>
    </cfRule>
  </conditionalFormatting>
  <conditionalFormatting sqref="BL7:BM30">
    <cfRule type="containsText" dxfId="462" priority="458" operator="containsText" text="S">
      <formula>NOT(ISERROR(SEARCH("S",BL7)))</formula>
    </cfRule>
    <cfRule type="containsText" dxfId="461" priority="459" operator="containsText" text="P">
      <formula>NOT(ISERROR(SEARCH("P",BL7)))</formula>
    </cfRule>
    <cfRule type="containsText" dxfId="460" priority="460" operator="containsText" text="H">
      <formula>NOT(ISERROR(SEARCH("H",BL7)))</formula>
    </cfRule>
    <cfRule type="containsText" dxfId="459" priority="462" operator="containsText" text="&quot;H&quot;">
      <formula>NOT(ISERROR(SEARCH("""H""",BL7)))</formula>
    </cfRule>
    <cfRule type="containsText" dxfId="458" priority="463" operator="containsText" text="&quot;A&quot;">
      <formula>NOT(ISERROR(SEARCH("""A""",BL7)))</formula>
    </cfRule>
  </conditionalFormatting>
  <conditionalFormatting sqref="BL7:BM30">
    <cfRule type="containsText" dxfId="457" priority="461" operator="containsText" text="A-H">
      <formula>NOT(ISERROR(SEARCH("A-H",BL7)))</formula>
    </cfRule>
  </conditionalFormatting>
  <conditionalFormatting sqref="BR7:BS30">
    <cfRule type="cellIs" dxfId="456" priority="452" operator="equal">
      <formula>"C-Off-H"</formula>
    </cfRule>
    <cfRule type="cellIs" dxfId="455" priority="453" operator="equal">
      <formula>"C-Off"</formula>
    </cfRule>
    <cfRule type="cellIs" dxfId="454" priority="454" operator="equal">
      <formula>"CL-H"</formula>
    </cfRule>
    <cfRule type="cellIs" dxfId="453" priority="455" operator="equal">
      <formula>"EL-H"</formula>
    </cfRule>
    <cfRule type="cellIs" dxfId="452" priority="456" operator="equal">
      <formula>"CL"</formula>
    </cfRule>
    <cfRule type="cellIs" dxfId="451" priority="457" operator="equal">
      <formula>"EL"</formula>
    </cfRule>
  </conditionalFormatting>
  <conditionalFormatting sqref="BR7:BS30">
    <cfRule type="containsText" dxfId="450" priority="446" operator="containsText" text="S">
      <formula>NOT(ISERROR(SEARCH("S",BR7)))</formula>
    </cfRule>
    <cfRule type="containsText" dxfId="449" priority="447" operator="containsText" text="P">
      <formula>NOT(ISERROR(SEARCH("P",BR7)))</formula>
    </cfRule>
    <cfRule type="containsText" dxfId="448" priority="448" operator="containsText" text="H">
      <formula>NOT(ISERROR(SEARCH("H",BR7)))</formula>
    </cfRule>
    <cfRule type="containsText" dxfId="447" priority="450" operator="containsText" text="&quot;H&quot;">
      <formula>NOT(ISERROR(SEARCH("""H""",BR7)))</formula>
    </cfRule>
    <cfRule type="containsText" dxfId="446" priority="451" operator="containsText" text="&quot;A&quot;">
      <formula>NOT(ISERROR(SEARCH("""A""",BR7)))</formula>
    </cfRule>
  </conditionalFormatting>
  <conditionalFormatting sqref="BR7:BS30">
    <cfRule type="containsText" dxfId="445" priority="449" operator="containsText" text="A-H">
      <formula>NOT(ISERROR(SEARCH("A-H",BR7)))</formula>
    </cfRule>
  </conditionalFormatting>
  <conditionalFormatting sqref="BU7:BV30">
    <cfRule type="cellIs" dxfId="444" priority="440" operator="equal">
      <formula>"C-Off-H"</formula>
    </cfRule>
    <cfRule type="cellIs" dxfId="443" priority="441" operator="equal">
      <formula>"C-Off"</formula>
    </cfRule>
    <cfRule type="cellIs" dxfId="442" priority="442" operator="equal">
      <formula>"CL-H"</formula>
    </cfRule>
    <cfRule type="cellIs" dxfId="441" priority="443" operator="equal">
      <formula>"EL-H"</formula>
    </cfRule>
    <cfRule type="cellIs" dxfId="440" priority="444" operator="equal">
      <formula>"CL"</formula>
    </cfRule>
    <cfRule type="cellIs" dxfId="439" priority="445" operator="equal">
      <formula>"EL"</formula>
    </cfRule>
  </conditionalFormatting>
  <conditionalFormatting sqref="BU7:BV30">
    <cfRule type="containsText" dxfId="438" priority="434" operator="containsText" text="S">
      <formula>NOT(ISERROR(SEARCH("S",BU7)))</formula>
    </cfRule>
    <cfRule type="containsText" dxfId="437" priority="435" operator="containsText" text="P">
      <formula>NOT(ISERROR(SEARCH("P",BU7)))</formula>
    </cfRule>
    <cfRule type="containsText" dxfId="436" priority="436" operator="containsText" text="H">
      <formula>NOT(ISERROR(SEARCH("H",BU7)))</formula>
    </cfRule>
    <cfRule type="containsText" dxfId="435" priority="438" operator="containsText" text="&quot;H&quot;">
      <formula>NOT(ISERROR(SEARCH("""H""",BU7)))</formula>
    </cfRule>
    <cfRule type="containsText" dxfId="434" priority="439" operator="containsText" text="&quot;A&quot;">
      <formula>NOT(ISERROR(SEARCH("""A""",BU7)))</formula>
    </cfRule>
  </conditionalFormatting>
  <conditionalFormatting sqref="BU7:BV30">
    <cfRule type="containsText" dxfId="433" priority="437" operator="containsText" text="A-H">
      <formula>NOT(ISERROR(SEARCH("A-H",BU7)))</formula>
    </cfRule>
  </conditionalFormatting>
  <conditionalFormatting sqref="BY7:BY30">
    <cfRule type="cellIs" dxfId="432" priority="428" operator="equal">
      <formula>"C-Off-H"</formula>
    </cfRule>
    <cfRule type="cellIs" dxfId="431" priority="429" operator="equal">
      <formula>"C-Off"</formula>
    </cfRule>
    <cfRule type="cellIs" dxfId="430" priority="430" operator="equal">
      <formula>"CL-H"</formula>
    </cfRule>
    <cfRule type="cellIs" dxfId="429" priority="431" operator="equal">
      <formula>"EL-H"</formula>
    </cfRule>
    <cfRule type="cellIs" dxfId="428" priority="432" operator="equal">
      <formula>"CL"</formula>
    </cfRule>
    <cfRule type="cellIs" dxfId="427" priority="433" operator="equal">
      <formula>"EL"</formula>
    </cfRule>
  </conditionalFormatting>
  <conditionalFormatting sqref="BY7:BY30">
    <cfRule type="containsText" dxfId="426" priority="422" operator="containsText" text="S">
      <formula>NOT(ISERROR(SEARCH("S",BY7)))</formula>
    </cfRule>
    <cfRule type="containsText" dxfId="425" priority="423" operator="containsText" text="P">
      <formula>NOT(ISERROR(SEARCH("P",BY7)))</formula>
    </cfRule>
    <cfRule type="containsText" dxfId="424" priority="424" operator="containsText" text="H">
      <formula>NOT(ISERROR(SEARCH("H",BY7)))</formula>
    </cfRule>
    <cfRule type="containsText" dxfId="423" priority="426" operator="containsText" text="&quot;H&quot;">
      <formula>NOT(ISERROR(SEARCH("""H""",BY7)))</formula>
    </cfRule>
    <cfRule type="containsText" dxfId="422" priority="427" operator="containsText" text="&quot;A&quot;">
      <formula>NOT(ISERROR(SEARCH("""A""",BY7)))</formula>
    </cfRule>
  </conditionalFormatting>
  <conditionalFormatting sqref="BY7:BY30">
    <cfRule type="containsText" dxfId="421" priority="425" operator="containsText" text="A-H">
      <formula>NOT(ISERROR(SEARCH("A-H",BY7)))</formula>
    </cfRule>
  </conditionalFormatting>
  <conditionalFormatting sqref="BX7:BX30">
    <cfRule type="cellIs" dxfId="420" priority="416" operator="equal">
      <formula>"C-Off-H"</formula>
    </cfRule>
    <cfRule type="cellIs" dxfId="419" priority="417" operator="equal">
      <formula>"C-Off"</formula>
    </cfRule>
    <cfRule type="cellIs" dxfId="418" priority="418" operator="equal">
      <formula>"CL-H"</formula>
    </cfRule>
    <cfRule type="cellIs" dxfId="417" priority="419" operator="equal">
      <formula>"EL-H"</formula>
    </cfRule>
    <cfRule type="cellIs" dxfId="416" priority="420" operator="equal">
      <formula>"CL"</formula>
    </cfRule>
    <cfRule type="cellIs" dxfId="415" priority="421" operator="equal">
      <formula>"EL"</formula>
    </cfRule>
  </conditionalFormatting>
  <conditionalFormatting sqref="BX7:BX30">
    <cfRule type="containsText" dxfId="414" priority="410" operator="containsText" text="S">
      <formula>NOT(ISERROR(SEARCH("S",BX7)))</formula>
    </cfRule>
    <cfRule type="containsText" dxfId="413" priority="411" operator="containsText" text="P">
      <formula>NOT(ISERROR(SEARCH("P",BX7)))</formula>
    </cfRule>
    <cfRule type="containsText" dxfId="412" priority="412" operator="containsText" text="H">
      <formula>NOT(ISERROR(SEARCH("H",BX7)))</formula>
    </cfRule>
    <cfRule type="containsText" dxfId="411" priority="414" operator="containsText" text="&quot;H&quot;">
      <formula>NOT(ISERROR(SEARCH("""H""",BX7)))</formula>
    </cfRule>
    <cfRule type="containsText" dxfId="410" priority="415" operator="containsText" text="&quot;A&quot;">
      <formula>NOT(ISERROR(SEARCH("""A""",BX7)))</formula>
    </cfRule>
  </conditionalFormatting>
  <conditionalFormatting sqref="BX7:BX30">
    <cfRule type="containsText" dxfId="409" priority="413" operator="containsText" text="A-H">
      <formula>NOT(ISERROR(SEARCH("A-H",BX7)))</formula>
    </cfRule>
  </conditionalFormatting>
  <conditionalFormatting sqref="J7:K30">
    <cfRule type="cellIs" dxfId="408" priority="404" operator="equal">
      <formula>"C-Off-H"</formula>
    </cfRule>
    <cfRule type="cellIs" dxfId="407" priority="405" operator="equal">
      <formula>"C-Off"</formula>
    </cfRule>
    <cfRule type="cellIs" dxfId="406" priority="406" operator="equal">
      <formula>"CL-H"</formula>
    </cfRule>
    <cfRule type="cellIs" dxfId="405" priority="407" operator="equal">
      <formula>"EL-H"</formula>
    </cfRule>
    <cfRule type="cellIs" dxfId="404" priority="408" operator="equal">
      <formula>"CL"</formula>
    </cfRule>
    <cfRule type="cellIs" dxfId="403" priority="409" operator="equal">
      <formula>"EL"</formula>
    </cfRule>
  </conditionalFormatting>
  <conditionalFormatting sqref="J7:K30">
    <cfRule type="containsText" dxfId="402" priority="398" operator="containsText" text="S">
      <formula>NOT(ISERROR(SEARCH("S",J7)))</formula>
    </cfRule>
    <cfRule type="containsText" dxfId="401" priority="399" operator="containsText" text="P">
      <formula>NOT(ISERROR(SEARCH("P",J7)))</formula>
    </cfRule>
    <cfRule type="containsText" dxfId="400" priority="400" operator="containsText" text="H">
      <formula>NOT(ISERROR(SEARCH("H",J7)))</formula>
    </cfRule>
    <cfRule type="containsText" dxfId="399" priority="402" operator="containsText" text="&quot;H&quot;">
      <formula>NOT(ISERROR(SEARCH("""H""",J7)))</formula>
    </cfRule>
    <cfRule type="containsText" dxfId="398" priority="403" operator="containsText" text="&quot;A&quot;">
      <formula>NOT(ISERROR(SEARCH("""A""",J7)))</formula>
    </cfRule>
  </conditionalFormatting>
  <conditionalFormatting sqref="J7:K30">
    <cfRule type="containsText" dxfId="397" priority="401" operator="containsText" text="A-H">
      <formula>NOT(ISERROR(SEARCH("A-H",J7)))</formula>
    </cfRule>
  </conditionalFormatting>
  <conditionalFormatting sqref="DB7:DB30">
    <cfRule type="containsText" dxfId="396" priority="397" operator="containsText" text="A-H">
      <formula>NOT(ISERROR(SEARCH("A-H",DB7)))</formula>
    </cfRule>
  </conditionalFormatting>
  <conditionalFormatting sqref="DB7:DB30">
    <cfRule type="containsText" dxfId="395" priority="396" operator="containsText" text="A">
      <formula>NOT(ISERROR(SEARCH("A",DB7)))</formula>
    </cfRule>
  </conditionalFormatting>
  <conditionalFormatting sqref="DB7:DB30">
    <cfRule type="cellIs" dxfId="394" priority="390" stopIfTrue="1" operator="equal">
      <formula>"C-Off-H"</formula>
    </cfRule>
    <cfRule type="cellIs" dxfId="393" priority="391" stopIfTrue="1" operator="equal">
      <formula>"C-Off"</formula>
    </cfRule>
    <cfRule type="cellIs" dxfId="392" priority="392" stopIfTrue="1" operator="equal">
      <formula>"CL-H"</formula>
    </cfRule>
    <cfRule type="cellIs" dxfId="391" priority="393" stopIfTrue="1" operator="equal">
      <formula>"EL-H"</formula>
    </cfRule>
    <cfRule type="cellIs" dxfId="390" priority="394" stopIfTrue="1" operator="equal">
      <formula>"CL"</formula>
    </cfRule>
    <cfRule type="cellIs" dxfId="389" priority="395" stopIfTrue="1" operator="equal">
      <formula>"EL"</formula>
    </cfRule>
  </conditionalFormatting>
  <conditionalFormatting sqref="G7:H30">
    <cfRule type="cellIs" dxfId="388" priority="384" operator="equal">
      <formula>"C-Off-H"</formula>
    </cfRule>
    <cfRule type="cellIs" dxfId="387" priority="385" operator="equal">
      <formula>"C-Off"</formula>
    </cfRule>
    <cfRule type="cellIs" dxfId="386" priority="386" operator="equal">
      <formula>"CL-H"</formula>
    </cfRule>
    <cfRule type="cellIs" dxfId="385" priority="387" operator="equal">
      <formula>"EL-H"</formula>
    </cfRule>
    <cfRule type="cellIs" dxfId="384" priority="388" operator="equal">
      <formula>"CL"</formula>
    </cfRule>
    <cfRule type="cellIs" dxfId="383" priority="389" operator="equal">
      <formula>"EL"</formula>
    </cfRule>
  </conditionalFormatting>
  <conditionalFormatting sqref="G7:H30">
    <cfRule type="containsText" dxfId="382" priority="378" operator="containsText" text="S">
      <formula>NOT(ISERROR(SEARCH("S",G7)))</formula>
    </cfRule>
    <cfRule type="containsText" dxfId="381" priority="379" operator="containsText" text="P">
      <formula>NOT(ISERROR(SEARCH("P",G7)))</formula>
    </cfRule>
    <cfRule type="containsText" dxfId="380" priority="380" operator="containsText" text="H">
      <formula>NOT(ISERROR(SEARCH("H",G7)))</formula>
    </cfRule>
    <cfRule type="containsText" dxfId="379" priority="382" operator="containsText" text="&quot;H&quot;">
      <formula>NOT(ISERROR(SEARCH("""H""",G7)))</formula>
    </cfRule>
    <cfRule type="containsText" dxfId="378" priority="383" operator="containsText" text="&quot;A&quot;">
      <formula>NOT(ISERROR(SEARCH("""A""",G7)))</formula>
    </cfRule>
  </conditionalFormatting>
  <conditionalFormatting sqref="G7:H30">
    <cfRule type="containsText" dxfId="377" priority="381" operator="containsText" text="A-H">
      <formula>NOT(ISERROR(SEARCH("A-H",G7)))</formula>
    </cfRule>
  </conditionalFormatting>
  <conditionalFormatting sqref="O7:O30">
    <cfRule type="cellIs" dxfId="376" priority="372" operator="equal">
      <formula>"C-Off-H"</formula>
    </cfRule>
    <cfRule type="cellIs" dxfId="375" priority="373" operator="equal">
      <formula>"C-Off"</formula>
    </cfRule>
    <cfRule type="cellIs" dxfId="374" priority="374" operator="equal">
      <formula>"CL-H"</formula>
    </cfRule>
    <cfRule type="cellIs" dxfId="373" priority="375" operator="equal">
      <formula>"EL-H"</formula>
    </cfRule>
    <cfRule type="cellIs" dxfId="372" priority="376" operator="equal">
      <formula>"CL"</formula>
    </cfRule>
    <cfRule type="cellIs" dxfId="371" priority="377" operator="equal">
      <formula>"EL"</formula>
    </cfRule>
  </conditionalFormatting>
  <conditionalFormatting sqref="O7:O30">
    <cfRule type="containsText" dxfId="370" priority="371" operator="containsText" text="A-H">
      <formula>NOT(ISERROR(SEARCH("A-H",O7)))</formula>
    </cfRule>
  </conditionalFormatting>
  <conditionalFormatting sqref="O7:O30">
    <cfRule type="containsText" dxfId="369" priority="370" operator="containsText" text="A">
      <formula>NOT(ISERROR(SEARCH("A",O7)))</formula>
    </cfRule>
  </conditionalFormatting>
  <conditionalFormatting sqref="O7:O30">
    <cfRule type="containsText" dxfId="368" priority="365" operator="containsText" text="S">
      <formula>NOT(ISERROR(SEARCH("S",O7)))</formula>
    </cfRule>
    <cfRule type="containsText" dxfId="367" priority="366" operator="containsText" text="P">
      <formula>NOT(ISERROR(SEARCH("P",O7)))</formula>
    </cfRule>
    <cfRule type="containsText" dxfId="366" priority="367" operator="containsText" text="H">
      <formula>NOT(ISERROR(SEARCH("H",O7)))</formula>
    </cfRule>
    <cfRule type="containsText" dxfId="365" priority="368" operator="containsText" text="&quot;H&quot;">
      <formula>NOT(ISERROR(SEARCH("""H""",O7)))</formula>
    </cfRule>
    <cfRule type="containsText" dxfId="364" priority="369" operator="containsText" text="&quot;A&quot;">
      <formula>NOT(ISERROR(SEARCH("""A""",O7)))</formula>
    </cfRule>
  </conditionalFormatting>
  <conditionalFormatting sqref="AJ7:AJ30">
    <cfRule type="cellIs" dxfId="363" priority="359" operator="equal">
      <formula>"C-Off-H"</formula>
    </cfRule>
    <cfRule type="cellIs" dxfId="362" priority="360" operator="equal">
      <formula>"C-Off"</formula>
    </cfRule>
    <cfRule type="cellIs" dxfId="361" priority="361" operator="equal">
      <formula>"CL-H"</formula>
    </cfRule>
    <cfRule type="cellIs" dxfId="360" priority="362" operator="equal">
      <formula>"EL-H"</formula>
    </cfRule>
    <cfRule type="cellIs" dxfId="359" priority="363" operator="equal">
      <formula>"CL"</formula>
    </cfRule>
    <cfRule type="cellIs" dxfId="358" priority="364" operator="equal">
      <formula>"EL"</formula>
    </cfRule>
  </conditionalFormatting>
  <conditionalFormatting sqref="AJ7:AJ30">
    <cfRule type="containsText" dxfId="357" priority="358" operator="containsText" text="A-H">
      <formula>NOT(ISERROR(SEARCH("A-H",AJ7)))</formula>
    </cfRule>
  </conditionalFormatting>
  <conditionalFormatting sqref="AJ7:AJ30">
    <cfRule type="containsText" dxfId="356" priority="357" operator="containsText" text="A">
      <formula>NOT(ISERROR(SEARCH("A",AJ7)))</formula>
    </cfRule>
  </conditionalFormatting>
  <conditionalFormatting sqref="AJ7:AJ30">
    <cfRule type="containsText" dxfId="355" priority="352" operator="containsText" text="S">
      <formula>NOT(ISERROR(SEARCH("S",AJ7)))</formula>
    </cfRule>
    <cfRule type="containsText" dxfId="354" priority="353" operator="containsText" text="P">
      <formula>NOT(ISERROR(SEARCH("P",AJ7)))</formula>
    </cfRule>
    <cfRule type="containsText" dxfId="353" priority="354" operator="containsText" text="H">
      <formula>NOT(ISERROR(SEARCH("H",AJ7)))</formula>
    </cfRule>
    <cfRule type="containsText" dxfId="352" priority="355" operator="containsText" text="&quot;H&quot;">
      <formula>NOT(ISERROR(SEARCH("""H""",AJ7)))</formula>
    </cfRule>
    <cfRule type="containsText" dxfId="351" priority="356" operator="containsText" text="&quot;A&quot;">
      <formula>NOT(ISERROR(SEARCH("""A""",AJ7)))</formula>
    </cfRule>
  </conditionalFormatting>
  <conditionalFormatting sqref="AV7:AV30">
    <cfRule type="cellIs" dxfId="350" priority="346" operator="equal">
      <formula>"C-Off-H"</formula>
    </cfRule>
    <cfRule type="cellIs" dxfId="349" priority="347" operator="equal">
      <formula>"C-Off"</formula>
    </cfRule>
    <cfRule type="cellIs" dxfId="348" priority="348" operator="equal">
      <formula>"CL-H"</formula>
    </cfRule>
    <cfRule type="cellIs" dxfId="347" priority="349" operator="equal">
      <formula>"EL-H"</formula>
    </cfRule>
    <cfRule type="cellIs" dxfId="346" priority="350" operator="equal">
      <formula>"CL"</formula>
    </cfRule>
    <cfRule type="cellIs" dxfId="345" priority="351" operator="equal">
      <formula>"EL"</formula>
    </cfRule>
  </conditionalFormatting>
  <conditionalFormatting sqref="AV7:AV30">
    <cfRule type="containsText" dxfId="344" priority="345" operator="containsText" text="A-H">
      <formula>NOT(ISERROR(SEARCH("A-H",AV7)))</formula>
    </cfRule>
  </conditionalFormatting>
  <conditionalFormatting sqref="AV7:AV30">
    <cfRule type="containsText" dxfId="343" priority="344" operator="containsText" text="A">
      <formula>NOT(ISERROR(SEARCH("A",AV7)))</formula>
    </cfRule>
  </conditionalFormatting>
  <conditionalFormatting sqref="AV7:AV30">
    <cfRule type="containsText" dxfId="342" priority="339" operator="containsText" text="S">
      <formula>NOT(ISERROR(SEARCH("S",AV7)))</formula>
    </cfRule>
    <cfRule type="containsText" dxfId="341" priority="340" operator="containsText" text="P">
      <formula>NOT(ISERROR(SEARCH("P",AV7)))</formula>
    </cfRule>
    <cfRule type="containsText" dxfId="340" priority="341" operator="containsText" text="H">
      <formula>NOT(ISERROR(SEARCH("H",AV7)))</formula>
    </cfRule>
    <cfRule type="containsText" dxfId="339" priority="342" operator="containsText" text="&quot;H&quot;">
      <formula>NOT(ISERROR(SEARCH("""H""",AV7)))</formula>
    </cfRule>
    <cfRule type="containsText" dxfId="338" priority="343" operator="containsText" text="&quot;A&quot;">
      <formula>NOT(ISERROR(SEARCH("""A""",AV7)))</formula>
    </cfRule>
  </conditionalFormatting>
  <conditionalFormatting sqref="BE7:BE30">
    <cfRule type="cellIs" dxfId="337" priority="333" operator="equal">
      <formula>"C-Off-H"</formula>
    </cfRule>
    <cfRule type="cellIs" dxfId="336" priority="334" operator="equal">
      <formula>"C-Off"</formula>
    </cfRule>
    <cfRule type="cellIs" dxfId="335" priority="335" operator="equal">
      <formula>"CL-H"</formula>
    </cfRule>
    <cfRule type="cellIs" dxfId="334" priority="336" operator="equal">
      <formula>"EL-H"</formula>
    </cfRule>
    <cfRule type="cellIs" dxfId="333" priority="337" operator="equal">
      <formula>"CL"</formula>
    </cfRule>
    <cfRule type="cellIs" dxfId="332" priority="338" operator="equal">
      <formula>"EL"</formula>
    </cfRule>
  </conditionalFormatting>
  <conditionalFormatting sqref="BE7:BE30">
    <cfRule type="containsText" dxfId="331" priority="332" operator="containsText" text="A-H">
      <formula>NOT(ISERROR(SEARCH("A-H",BE7)))</formula>
    </cfRule>
  </conditionalFormatting>
  <conditionalFormatting sqref="BE7:BE30">
    <cfRule type="containsText" dxfId="330" priority="331" operator="containsText" text="A">
      <formula>NOT(ISERROR(SEARCH("A",BE7)))</formula>
    </cfRule>
  </conditionalFormatting>
  <conditionalFormatting sqref="BE7:BE30">
    <cfRule type="containsText" dxfId="329" priority="326" operator="containsText" text="S">
      <formula>NOT(ISERROR(SEARCH("S",BE7)))</formula>
    </cfRule>
    <cfRule type="containsText" dxfId="328" priority="327" operator="containsText" text="P">
      <formula>NOT(ISERROR(SEARCH("P",BE7)))</formula>
    </cfRule>
    <cfRule type="containsText" dxfId="327" priority="328" operator="containsText" text="H">
      <formula>NOT(ISERROR(SEARCH("H",BE7)))</formula>
    </cfRule>
    <cfRule type="containsText" dxfId="326" priority="329" operator="containsText" text="&quot;H&quot;">
      <formula>NOT(ISERROR(SEARCH("""H""",BE7)))</formula>
    </cfRule>
    <cfRule type="containsText" dxfId="325" priority="330" operator="containsText" text="&quot;A&quot;">
      <formula>NOT(ISERROR(SEARCH("""A""",BE7)))</formula>
    </cfRule>
  </conditionalFormatting>
  <conditionalFormatting sqref="BN7:BN30">
    <cfRule type="cellIs" dxfId="324" priority="320" operator="equal">
      <formula>"C-Off-H"</formula>
    </cfRule>
    <cfRule type="cellIs" dxfId="323" priority="321" operator="equal">
      <formula>"C-Off"</formula>
    </cfRule>
    <cfRule type="cellIs" dxfId="322" priority="322" operator="equal">
      <formula>"CL-H"</formula>
    </cfRule>
    <cfRule type="cellIs" dxfId="321" priority="323" operator="equal">
      <formula>"EL-H"</formula>
    </cfRule>
    <cfRule type="cellIs" dxfId="320" priority="324" operator="equal">
      <formula>"CL"</formula>
    </cfRule>
    <cfRule type="cellIs" dxfId="319" priority="325" operator="equal">
      <formula>"EL"</formula>
    </cfRule>
  </conditionalFormatting>
  <conditionalFormatting sqref="BN7:BN30">
    <cfRule type="containsText" dxfId="318" priority="319" operator="containsText" text="A-H">
      <formula>NOT(ISERROR(SEARCH("A-H",BN7)))</formula>
    </cfRule>
  </conditionalFormatting>
  <conditionalFormatting sqref="BN7:BN30">
    <cfRule type="containsText" dxfId="317" priority="318" operator="containsText" text="A">
      <formula>NOT(ISERROR(SEARCH("A",BN7)))</formula>
    </cfRule>
  </conditionalFormatting>
  <conditionalFormatting sqref="BN7:BN30">
    <cfRule type="containsText" dxfId="316" priority="313" operator="containsText" text="S">
      <formula>NOT(ISERROR(SEARCH("S",BN7)))</formula>
    </cfRule>
    <cfRule type="containsText" dxfId="315" priority="314" operator="containsText" text="P">
      <formula>NOT(ISERROR(SEARCH("P",BN7)))</formula>
    </cfRule>
    <cfRule type="containsText" dxfId="314" priority="315" operator="containsText" text="H">
      <formula>NOT(ISERROR(SEARCH("H",BN7)))</formula>
    </cfRule>
    <cfRule type="containsText" dxfId="313" priority="316" operator="containsText" text="&quot;H&quot;">
      <formula>NOT(ISERROR(SEARCH("""H""",BN7)))</formula>
    </cfRule>
    <cfRule type="containsText" dxfId="312" priority="317" operator="containsText" text="&quot;A&quot;">
      <formula>NOT(ISERROR(SEARCH("""A""",BN7)))</formula>
    </cfRule>
  </conditionalFormatting>
  <conditionalFormatting sqref="BQ7:BQ30">
    <cfRule type="cellIs" dxfId="311" priority="307" operator="equal">
      <formula>"C-Off-H"</formula>
    </cfRule>
    <cfRule type="cellIs" dxfId="310" priority="308" operator="equal">
      <formula>"C-Off"</formula>
    </cfRule>
    <cfRule type="cellIs" dxfId="309" priority="309" operator="equal">
      <formula>"CL-H"</formula>
    </cfRule>
    <cfRule type="cellIs" dxfId="308" priority="310" operator="equal">
      <formula>"EL-H"</formula>
    </cfRule>
    <cfRule type="cellIs" dxfId="307" priority="311" operator="equal">
      <formula>"CL"</formula>
    </cfRule>
    <cfRule type="cellIs" dxfId="306" priority="312" operator="equal">
      <formula>"EL"</formula>
    </cfRule>
  </conditionalFormatting>
  <conditionalFormatting sqref="BQ7:BQ30">
    <cfRule type="containsText" dxfId="305" priority="306" operator="containsText" text="A-H">
      <formula>NOT(ISERROR(SEARCH("A-H",BQ7)))</formula>
    </cfRule>
  </conditionalFormatting>
  <conditionalFormatting sqref="BQ7:BQ30">
    <cfRule type="containsText" dxfId="304" priority="305" operator="containsText" text="A">
      <formula>NOT(ISERROR(SEARCH("A",BQ7)))</formula>
    </cfRule>
  </conditionalFormatting>
  <conditionalFormatting sqref="BQ7:BQ30">
    <cfRule type="containsText" dxfId="303" priority="300" operator="containsText" text="S">
      <formula>NOT(ISERROR(SEARCH("S",BQ7)))</formula>
    </cfRule>
    <cfRule type="containsText" dxfId="302" priority="301" operator="containsText" text="P">
      <formula>NOT(ISERROR(SEARCH("P",BQ7)))</formula>
    </cfRule>
    <cfRule type="containsText" dxfId="301" priority="302" operator="containsText" text="H">
      <formula>NOT(ISERROR(SEARCH("H",BQ7)))</formula>
    </cfRule>
    <cfRule type="containsText" dxfId="300" priority="303" operator="containsText" text="&quot;H&quot;">
      <formula>NOT(ISERROR(SEARCH("""H""",BQ7)))</formula>
    </cfRule>
    <cfRule type="containsText" dxfId="299" priority="304" operator="containsText" text="&quot;A&quot;">
      <formula>NOT(ISERROR(SEARCH("""A""",BQ7)))</formula>
    </cfRule>
  </conditionalFormatting>
  <conditionalFormatting sqref="BZ7:BZ30">
    <cfRule type="cellIs" dxfId="298" priority="294" operator="equal">
      <formula>"C-Off-H"</formula>
    </cfRule>
    <cfRule type="cellIs" dxfId="297" priority="295" operator="equal">
      <formula>"C-Off"</formula>
    </cfRule>
    <cfRule type="cellIs" dxfId="296" priority="296" operator="equal">
      <formula>"CL-H"</formula>
    </cfRule>
    <cfRule type="cellIs" dxfId="295" priority="297" operator="equal">
      <formula>"EL-H"</formula>
    </cfRule>
    <cfRule type="cellIs" dxfId="294" priority="298" operator="equal">
      <formula>"CL"</formula>
    </cfRule>
    <cfRule type="cellIs" dxfId="293" priority="299" operator="equal">
      <formula>"EL"</formula>
    </cfRule>
  </conditionalFormatting>
  <conditionalFormatting sqref="BZ7:BZ30">
    <cfRule type="containsText" dxfId="292" priority="293" operator="containsText" text="A-H">
      <formula>NOT(ISERROR(SEARCH("A-H",BZ7)))</formula>
    </cfRule>
  </conditionalFormatting>
  <conditionalFormatting sqref="BZ7:BZ30">
    <cfRule type="containsText" dxfId="291" priority="292" operator="containsText" text="A">
      <formula>NOT(ISERROR(SEARCH("A",BZ7)))</formula>
    </cfRule>
  </conditionalFormatting>
  <conditionalFormatting sqref="BZ7:BZ30">
    <cfRule type="containsText" dxfId="290" priority="287" operator="containsText" text="S">
      <formula>NOT(ISERROR(SEARCH("S",BZ7)))</formula>
    </cfRule>
    <cfRule type="containsText" dxfId="289" priority="288" operator="containsText" text="P">
      <formula>NOT(ISERROR(SEARCH("P",BZ7)))</formula>
    </cfRule>
    <cfRule type="containsText" dxfId="288" priority="289" operator="containsText" text="H">
      <formula>NOT(ISERROR(SEARCH("H",BZ7)))</formula>
    </cfRule>
    <cfRule type="containsText" dxfId="287" priority="290" operator="containsText" text="&quot;H&quot;">
      <formula>NOT(ISERROR(SEARCH("""H""",BZ7)))</formula>
    </cfRule>
    <cfRule type="containsText" dxfId="286" priority="291" operator="containsText" text="&quot;A&quot;">
      <formula>NOT(ISERROR(SEARCH("""A""",BZ7)))</formula>
    </cfRule>
  </conditionalFormatting>
  <conditionalFormatting sqref="CB7:CB30">
    <cfRule type="cellIs" dxfId="285" priority="281" operator="equal">
      <formula>"C-Off-H"</formula>
    </cfRule>
    <cfRule type="cellIs" dxfId="284" priority="282" operator="equal">
      <formula>"C-Off"</formula>
    </cfRule>
    <cfRule type="cellIs" dxfId="283" priority="283" operator="equal">
      <formula>"CL-H"</formula>
    </cfRule>
    <cfRule type="cellIs" dxfId="282" priority="284" operator="equal">
      <formula>"EL-H"</formula>
    </cfRule>
    <cfRule type="cellIs" dxfId="281" priority="285" operator="equal">
      <formula>"CL"</formula>
    </cfRule>
    <cfRule type="cellIs" dxfId="280" priority="286" operator="equal">
      <formula>"EL"</formula>
    </cfRule>
  </conditionalFormatting>
  <conditionalFormatting sqref="CB7:CB30">
    <cfRule type="containsText" dxfId="279" priority="280" operator="containsText" text="A-H">
      <formula>NOT(ISERROR(SEARCH("A-H",CB7)))</formula>
    </cfRule>
  </conditionalFormatting>
  <conditionalFormatting sqref="CB7:CB30">
    <cfRule type="containsText" dxfId="278" priority="279" operator="containsText" text="A">
      <formula>NOT(ISERROR(SEARCH("A",CB7)))</formula>
    </cfRule>
  </conditionalFormatting>
  <conditionalFormatting sqref="CB7:CB30">
    <cfRule type="containsText" dxfId="277" priority="274" operator="containsText" text="S">
      <formula>NOT(ISERROR(SEARCH("S",CB7)))</formula>
    </cfRule>
    <cfRule type="containsText" dxfId="276" priority="275" operator="containsText" text="P">
      <formula>NOT(ISERROR(SEARCH("P",CB7)))</formula>
    </cfRule>
    <cfRule type="containsText" dxfId="275" priority="276" operator="containsText" text="H">
      <formula>NOT(ISERROR(SEARCH("H",CB7)))</formula>
    </cfRule>
    <cfRule type="containsText" dxfId="274" priority="277" operator="containsText" text="&quot;H&quot;">
      <formula>NOT(ISERROR(SEARCH("""H""",CB7)))</formula>
    </cfRule>
    <cfRule type="containsText" dxfId="273" priority="278" operator="containsText" text="&quot;A&quot;">
      <formula>NOT(ISERROR(SEARCH("""A""",CB7)))</formula>
    </cfRule>
  </conditionalFormatting>
  <conditionalFormatting sqref="CI7:CI30">
    <cfRule type="cellIs" dxfId="272" priority="268" operator="equal">
      <formula>"C-Off-H"</formula>
    </cfRule>
    <cfRule type="cellIs" dxfId="271" priority="269" operator="equal">
      <formula>"C-Off"</formula>
    </cfRule>
    <cfRule type="cellIs" dxfId="270" priority="270" operator="equal">
      <formula>"CL-H"</formula>
    </cfRule>
    <cfRule type="cellIs" dxfId="269" priority="271" operator="equal">
      <formula>"EL-H"</formula>
    </cfRule>
    <cfRule type="cellIs" dxfId="268" priority="272" operator="equal">
      <formula>"CL"</formula>
    </cfRule>
    <cfRule type="cellIs" dxfId="267" priority="273" operator="equal">
      <formula>"EL"</formula>
    </cfRule>
  </conditionalFormatting>
  <conditionalFormatting sqref="CI7:CI30">
    <cfRule type="containsText" dxfId="266" priority="267" operator="containsText" text="A-H">
      <formula>NOT(ISERROR(SEARCH("A-H",CI7)))</formula>
    </cfRule>
  </conditionalFormatting>
  <conditionalFormatting sqref="CI7:CI30">
    <cfRule type="containsText" dxfId="265" priority="266" operator="containsText" text="A">
      <formula>NOT(ISERROR(SEARCH("A",CI7)))</formula>
    </cfRule>
  </conditionalFormatting>
  <conditionalFormatting sqref="CI7:CI30">
    <cfRule type="containsText" dxfId="264" priority="261" operator="containsText" text="S">
      <formula>NOT(ISERROR(SEARCH("S",CI7)))</formula>
    </cfRule>
    <cfRule type="containsText" dxfId="263" priority="262" operator="containsText" text="P">
      <formula>NOT(ISERROR(SEARCH("P",CI7)))</formula>
    </cfRule>
    <cfRule type="containsText" dxfId="262" priority="263" operator="containsText" text="H">
      <formula>NOT(ISERROR(SEARCH("H",CI7)))</formula>
    </cfRule>
    <cfRule type="containsText" dxfId="261" priority="264" operator="containsText" text="&quot;H&quot;">
      <formula>NOT(ISERROR(SEARCH("""H""",CI7)))</formula>
    </cfRule>
    <cfRule type="containsText" dxfId="260" priority="265" operator="containsText" text="&quot;A&quot;">
      <formula>NOT(ISERROR(SEARCH("""A""",CI7)))</formula>
    </cfRule>
  </conditionalFormatting>
  <conditionalFormatting sqref="CL7:CL30">
    <cfRule type="cellIs" dxfId="259" priority="255" operator="equal">
      <formula>"C-Off-H"</formula>
    </cfRule>
    <cfRule type="cellIs" dxfId="258" priority="256" operator="equal">
      <formula>"C-Off"</formula>
    </cfRule>
    <cfRule type="cellIs" dxfId="257" priority="257" operator="equal">
      <formula>"CL-H"</formula>
    </cfRule>
    <cfRule type="cellIs" dxfId="256" priority="258" operator="equal">
      <formula>"EL-H"</formula>
    </cfRule>
    <cfRule type="cellIs" dxfId="255" priority="259" operator="equal">
      <formula>"CL"</formula>
    </cfRule>
    <cfRule type="cellIs" dxfId="254" priority="260" operator="equal">
      <formula>"EL"</formula>
    </cfRule>
  </conditionalFormatting>
  <conditionalFormatting sqref="CL7:CL30">
    <cfRule type="containsText" dxfId="253" priority="254" operator="containsText" text="A-H">
      <formula>NOT(ISERROR(SEARCH("A-H",CL7)))</formula>
    </cfRule>
  </conditionalFormatting>
  <conditionalFormatting sqref="CL7:CL30">
    <cfRule type="containsText" dxfId="252" priority="253" operator="containsText" text="A">
      <formula>NOT(ISERROR(SEARCH("A",CL7)))</formula>
    </cfRule>
  </conditionalFormatting>
  <conditionalFormatting sqref="CL7:CL30">
    <cfRule type="containsText" dxfId="251" priority="248" operator="containsText" text="S">
      <formula>NOT(ISERROR(SEARCH("S",CL7)))</formula>
    </cfRule>
    <cfRule type="containsText" dxfId="250" priority="249" operator="containsText" text="P">
      <formula>NOT(ISERROR(SEARCH("P",CL7)))</formula>
    </cfRule>
    <cfRule type="containsText" dxfId="249" priority="250" operator="containsText" text="H">
      <formula>NOT(ISERROR(SEARCH("H",CL7)))</formula>
    </cfRule>
    <cfRule type="containsText" dxfId="248" priority="251" operator="containsText" text="&quot;H&quot;">
      <formula>NOT(ISERROR(SEARCH("""H""",CL7)))</formula>
    </cfRule>
    <cfRule type="containsText" dxfId="247" priority="252" operator="containsText" text="&quot;A&quot;">
      <formula>NOT(ISERROR(SEARCH("""A""",CL7)))</formula>
    </cfRule>
  </conditionalFormatting>
  <conditionalFormatting sqref="R3:R32">
    <cfRule type="cellIs" dxfId="246" priority="242" operator="equal">
      <formula>"C-Off-H"</formula>
    </cfRule>
    <cfRule type="cellIs" dxfId="245" priority="243" operator="equal">
      <formula>"C-Off"</formula>
    </cfRule>
    <cfRule type="cellIs" dxfId="244" priority="244" operator="equal">
      <formula>"CL-H"</formula>
    </cfRule>
    <cfRule type="cellIs" dxfId="243" priority="245" operator="equal">
      <formula>"EL-H"</formula>
    </cfRule>
    <cfRule type="cellIs" dxfId="242" priority="246" operator="equal">
      <formula>"CL"</formula>
    </cfRule>
    <cfRule type="cellIs" dxfId="241" priority="247" operator="equal">
      <formula>"EL"</formula>
    </cfRule>
  </conditionalFormatting>
  <conditionalFormatting sqref="R3:R32">
    <cfRule type="containsText" dxfId="240" priority="241" operator="containsText" text="A-H">
      <formula>NOT(ISERROR(SEARCH("A-H",R3)))</formula>
    </cfRule>
  </conditionalFormatting>
  <conditionalFormatting sqref="R3:R32">
    <cfRule type="containsText" dxfId="239" priority="240" operator="containsText" text="A">
      <formula>NOT(ISERROR(SEARCH("A",R3)))</formula>
    </cfRule>
  </conditionalFormatting>
  <conditionalFormatting sqref="R3:R32">
    <cfRule type="containsText" dxfId="238" priority="235" operator="containsText" text="S">
      <formula>NOT(ISERROR(SEARCH("S",R3)))</formula>
    </cfRule>
    <cfRule type="containsText" dxfId="237" priority="236" operator="containsText" text="P">
      <formula>NOT(ISERROR(SEARCH("P",R3)))</formula>
    </cfRule>
    <cfRule type="containsText" dxfId="236" priority="237" operator="containsText" text="H">
      <formula>NOT(ISERROR(SEARCH("H",R3)))</formula>
    </cfRule>
    <cfRule type="containsText" dxfId="235" priority="238" operator="containsText" text="&quot;H&quot;">
      <formula>NOT(ISERROR(SEARCH("""H""",R3)))</formula>
    </cfRule>
    <cfRule type="containsText" dxfId="234" priority="239" operator="containsText" text="&quot;A&quot;">
      <formula>NOT(ISERROR(SEARCH("""A""",R3)))</formula>
    </cfRule>
  </conditionalFormatting>
  <conditionalFormatting sqref="U3:U32">
    <cfRule type="cellIs" dxfId="233" priority="229" operator="equal">
      <formula>"C-Off-H"</formula>
    </cfRule>
    <cfRule type="cellIs" dxfId="232" priority="230" operator="equal">
      <formula>"C-Off"</formula>
    </cfRule>
    <cfRule type="cellIs" dxfId="231" priority="231" operator="equal">
      <formula>"CL-H"</formula>
    </cfRule>
    <cfRule type="cellIs" dxfId="230" priority="232" operator="equal">
      <formula>"EL-H"</formula>
    </cfRule>
    <cfRule type="cellIs" dxfId="229" priority="233" operator="equal">
      <formula>"CL"</formula>
    </cfRule>
    <cfRule type="cellIs" dxfId="228" priority="234" operator="equal">
      <formula>"EL"</formula>
    </cfRule>
  </conditionalFormatting>
  <conditionalFormatting sqref="U3:U32">
    <cfRule type="containsText" dxfId="227" priority="228" operator="containsText" text="A-H">
      <formula>NOT(ISERROR(SEARCH("A-H",U3)))</formula>
    </cfRule>
  </conditionalFormatting>
  <conditionalFormatting sqref="U3:U32">
    <cfRule type="containsText" dxfId="226" priority="227" operator="containsText" text="A">
      <formula>NOT(ISERROR(SEARCH("A",U3)))</formula>
    </cfRule>
  </conditionalFormatting>
  <conditionalFormatting sqref="U3:U32">
    <cfRule type="containsText" dxfId="225" priority="222" operator="containsText" text="S">
      <formula>NOT(ISERROR(SEARCH("S",U3)))</formula>
    </cfRule>
    <cfRule type="containsText" dxfId="224" priority="223" operator="containsText" text="P">
      <formula>NOT(ISERROR(SEARCH("P",U3)))</formula>
    </cfRule>
    <cfRule type="containsText" dxfId="223" priority="224" operator="containsText" text="H">
      <formula>NOT(ISERROR(SEARCH("H",U3)))</formula>
    </cfRule>
    <cfRule type="containsText" dxfId="222" priority="225" operator="containsText" text="&quot;H&quot;">
      <formula>NOT(ISERROR(SEARCH("""H""",U3)))</formula>
    </cfRule>
    <cfRule type="containsText" dxfId="221" priority="226" operator="containsText" text="&quot;A&quot;">
      <formula>NOT(ISERROR(SEARCH("""A""",U3)))</formula>
    </cfRule>
  </conditionalFormatting>
  <conditionalFormatting sqref="AA3:AA32">
    <cfRule type="cellIs" dxfId="220" priority="216" operator="equal">
      <formula>"C-Off-H"</formula>
    </cfRule>
    <cfRule type="cellIs" dxfId="219" priority="217" operator="equal">
      <formula>"C-Off"</formula>
    </cfRule>
    <cfRule type="cellIs" dxfId="218" priority="218" operator="equal">
      <formula>"CL-H"</formula>
    </cfRule>
    <cfRule type="cellIs" dxfId="217" priority="219" operator="equal">
      <formula>"EL-H"</formula>
    </cfRule>
    <cfRule type="cellIs" dxfId="216" priority="220" operator="equal">
      <formula>"CL"</formula>
    </cfRule>
    <cfRule type="cellIs" dxfId="215" priority="221" operator="equal">
      <formula>"EL"</formula>
    </cfRule>
  </conditionalFormatting>
  <conditionalFormatting sqref="AA3:AA32">
    <cfRule type="containsText" dxfId="214" priority="215" operator="containsText" text="A-H">
      <formula>NOT(ISERROR(SEARCH("A-H",AA3)))</formula>
    </cfRule>
  </conditionalFormatting>
  <conditionalFormatting sqref="AA3:AA32">
    <cfRule type="containsText" dxfId="213" priority="214" operator="containsText" text="A">
      <formula>NOT(ISERROR(SEARCH("A",AA3)))</formula>
    </cfRule>
  </conditionalFormatting>
  <conditionalFormatting sqref="AA3:AA32">
    <cfRule type="containsText" dxfId="212" priority="209" operator="containsText" text="S">
      <formula>NOT(ISERROR(SEARCH("S",AA3)))</formula>
    </cfRule>
    <cfRule type="containsText" dxfId="211" priority="210" operator="containsText" text="P">
      <formula>NOT(ISERROR(SEARCH("P",AA3)))</formula>
    </cfRule>
    <cfRule type="containsText" dxfId="210" priority="211" operator="containsText" text="H">
      <formula>NOT(ISERROR(SEARCH("H",AA3)))</formula>
    </cfRule>
    <cfRule type="containsText" dxfId="209" priority="212" operator="containsText" text="&quot;H&quot;">
      <formula>NOT(ISERROR(SEARCH("""H""",AA3)))</formula>
    </cfRule>
    <cfRule type="containsText" dxfId="208" priority="213" operator="containsText" text="&quot;A&quot;">
      <formula>NOT(ISERROR(SEARCH("""A""",AA3)))</formula>
    </cfRule>
  </conditionalFormatting>
  <conditionalFormatting sqref="AM3:AM32">
    <cfRule type="cellIs" dxfId="207" priority="203" operator="equal">
      <formula>"C-Off-H"</formula>
    </cfRule>
    <cfRule type="cellIs" dxfId="206" priority="204" operator="equal">
      <formula>"C-Off"</formula>
    </cfRule>
    <cfRule type="cellIs" dxfId="205" priority="205" operator="equal">
      <formula>"CL-H"</formula>
    </cfRule>
    <cfRule type="cellIs" dxfId="204" priority="206" operator="equal">
      <formula>"EL-H"</formula>
    </cfRule>
    <cfRule type="cellIs" dxfId="203" priority="207" operator="equal">
      <formula>"CL"</formula>
    </cfRule>
    <cfRule type="cellIs" dxfId="202" priority="208" operator="equal">
      <formula>"EL"</formula>
    </cfRule>
  </conditionalFormatting>
  <conditionalFormatting sqref="AM3:AM32">
    <cfRule type="containsText" dxfId="201" priority="202" operator="containsText" text="A-H">
      <formula>NOT(ISERROR(SEARCH("A-H",AM3)))</formula>
    </cfRule>
  </conditionalFormatting>
  <conditionalFormatting sqref="AM3:AM32">
    <cfRule type="containsText" dxfId="200" priority="201" operator="containsText" text="A">
      <formula>NOT(ISERROR(SEARCH("A",AM3)))</formula>
    </cfRule>
  </conditionalFormatting>
  <conditionalFormatting sqref="AM3:AM32">
    <cfRule type="containsText" dxfId="199" priority="196" operator="containsText" text="S">
      <formula>NOT(ISERROR(SEARCH("S",AM3)))</formula>
    </cfRule>
    <cfRule type="containsText" dxfId="198" priority="197" operator="containsText" text="P">
      <formula>NOT(ISERROR(SEARCH("P",AM3)))</formula>
    </cfRule>
    <cfRule type="containsText" dxfId="197" priority="198" operator="containsText" text="H">
      <formula>NOT(ISERROR(SEARCH("H",AM3)))</formula>
    </cfRule>
    <cfRule type="containsText" dxfId="196" priority="199" operator="containsText" text="&quot;H&quot;">
      <formula>NOT(ISERROR(SEARCH("""H""",AM3)))</formula>
    </cfRule>
    <cfRule type="containsText" dxfId="195" priority="200" operator="containsText" text="&quot;A&quot;">
      <formula>NOT(ISERROR(SEARCH("""A""",AM3)))</formula>
    </cfRule>
  </conditionalFormatting>
  <conditionalFormatting sqref="AP3:AP32">
    <cfRule type="cellIs" dxfId="194" priority="190" operator="equal">
      <formula>"C-Off-H"</formula>
    </cfRule>
    <cfRule type="cellIs" dxfId="193" priority="191" operator="equal">
      <formula>"C-Off"</formula>
    </cfRule>
    <cfRule type="cellIs" dxfId="192" priority="192" operator="equal">
      <formula>"CL-H"</formula>
    </cfRule>
    <cfRule type="cellIs" dxfId="191" priority="193" operator="equal">
      <formula>"EL-H"</formula>
    </cfRule>
    <cfRule type="cellIs" dxfId="190" priority="194" operator="equal">
      <formula>"CL"</formula>
    </cfRule>
    <cfRule type="cellIs" dxfId="189" priority="195" operator="equal">
      <formula>"EL"</formula>
    </cfRule>
  </conditionalFormatting>
  <conditionalFormatting sqref="AP3:AP32">
    <cfRule type="containsText" dxfId="188" priority="189" operator="containsText" text="A-H">
      <formula>NOT(ISERROR(SEARCH("A-H",AP3)))</formula>
    </cfRule>
  </conditionalFormatting>
  <conditionalFormatting sqref="AP3:AP32">
    <cfRule type="containsText" dxfId="187" priority="188" operator="containsText" text="A">
      <formula>NOT(ISERROR(SEARCH("A",AP3)))</formula>
    </cfRule>
  </conditionalFormatting>
  <conditionalFormatting sqref="AP3:AP32">
    <cfRule type="containsText" dxfId="186" priority="183" operator="containsText" text="S">
      <formula>NOT(ISERROR(SEARCH("S",AP3)))</formula>
    </cfRule>
    <cfRule type="containsText" dxfId="185" priority="184" operator="containsText" text="P">
      <formula>NOT(ISERROR(SEARCH("P",AP3)))</formula>
    </cfRule>
    <cfRule type="containsText" dxfId="184" priority="185" operator="containsText" text="H">
      <formula>NOT(ISERROR(SEARCH("H",AP3)))</formula>
    </cfRule>
    <cfRule type="containsText" dxfId="183" priority="186" operator="containsText" text="&quot;H&quot;">
      <formula>NOT(ISERROR(SEARCH("""H""",AP3)))</formula>
    </cfRule>
    <cfRule type="containsText" dxfId="182" priority="187" operator="containsText" text="&quot;A&quot;">
      <formula>NOT(ISERROR(SEARCH("""A""",AP3)))</formula>
    </cfRule>
  </conditionalFormatting>
  <conditionalFormatting sqref="AS3:AS32">
    <cfRule type="cellIs" dxfId="181" priority="177" operator="equal">
      <formula>"C-Off-H"</formula>
    </cfRule>
    <cfRule type="cellIs" dxfId="180" priority="178" operator="equal">
      <formula>"C-Off"</formula>
    </cfRule>
    <cfRule type="cellIs" dxfId="179" priority="179" operator="equal">
      <formula>"CL-H"</formula>
    </cfRule>
    <cfRule type="cellIs" dxfId="178" priority="180" operator="equal">
      <formula>"EL-H"</formula>
    </cfRule>
    <cfRule type="cellIs" dxfId="177" priority="181" operator="equal">
      <formula>"CL"</formula>
    </cfRule>
    <cfRule type="cellIs" dxfId="176" priority="182" operator="equal">
      <formula>"EL"</formula>
    </cfRule>
  </conditionalFormatting>
  <conditionalFormatting sqref="AS3:AS32">
    <cfRule type="containsText" dxfId="175" priority="176" operator="containsText" text="A-H">
      <formula>NOT(ISERROR(SEARCH("A-H",AS3)))</formula>
    </cfRule>
  </conditionalFormatting>
  <conditionalFormatting sqref="AS3:AS32">
    <cfRule type="containsText" dxfId="174" priority="175" operator="containsText" text="A">
      <formula>NOT(ISERROR(SEARCH("A",AS3)))</formula>
    </cfRule>
  </conditionalFormatting>
  <conditionalFormatting sqref="AS3:AS32">
    <cfRule type="containsText" dxfId="173" priority="170" operator="containsText" text="S">
      <formula>NOT(ISERROR(SEARCH("S",AS3)))</formula>
    </cfRule>
    <cfRule type="containsText" dxfId="172" priority="171" operator="containsText" text="P">
      <formula>NOT(ISERROR(SEARCH("P",AS3)))</formula>
    </cfRule>
    <cfRule type="containsText" dxfId="171" priority="172" operator="containsText" text="H">
      <formula>NOT(ISERROR(SEARCH("H",AS3)))</formula>
    </cfRule>
    <cfRule type="containsText" dxfId="170" priority="173" operator="containsText" text="&quot;H&quot;">
      <formula>NOT(ISERROR(SEARCH("""H""",AS3)))</formula>
    </cfRule>
    <cfRule type="containsText" dxfId="169" priority="174" operator="containsText" text="&quot;A&quot;">
      <formula>NOT(ISERROR(SEARCH("""A""",AS3)))</formula>
    </cfRule>
  </conditionalFormatting>
  <conditionalFormatting sqref="BH3:BH32">
    <cfRule type="cellIs" dxfId="168" priority="164" operator="equal">
      <formula>"C-Off-H"</formula>
    </cfRule>
    <cfRule type="cellIs" dxfId="167" priority="165" operator="equal">
      <formula>"C-Off"</formula>
    </cfRule>
    <cfRule type="cellIs" dxfId="166" priority="166" operator="equal">
      <formula>"CL-H"</formula>
    </cfRule>
    <cfRule type="cellIs" dxfId="165" priority="167" operator="equal">
      <formula>"EL-H"</formula>
    </cfRule>
    <cfRule type="cellIs" dxfId="164" priority="168" operator="equal">
      <formula>"CL"</formula>
    </cfRule>
    <cfRule type="cellIs" dxfId="163" priority="169" operator="equal">
      <formula>"EL"</formula>
    </cfRule>
  </conditionalFormatting>
  <conditionalFormatting sqref="BH3:BH32">
    <cfRule type="containsText" dxfId="162" priority="163" operator="containsText" text="A-H">
      <formula>NOT(ISERROR(SEARCH("A-H",BH3)))</formula>
    </cfRule>
  </conditionalFormatting>
  <conditionalFormatting sqref="BH3:BH32">
    <cfRule type="containsText" dxfId="161" priority="162" operator="containsText" text="A">
      <formula>NOT(ISERROR(SEARCH("A",BH3)))</formula>
    </cfRule>
  </conditionalFormatting>
  <conditionalFormatting sqref="BH3:BH32">
    <cfRule type="containsText" dxfId="160" priority="157" operator="containsText" text="S">
      <formula>NOT(ISERROR(SEARCH("S",BH3)))</formula>
    </cfRule>
    <cfRule type="containsText" dxfId="159" priority="158" operator="containsText" text="P">
      <formula>NOT(ISERROR(SEARCH("P",BH3)))</formula>
    </cfRule>
    <cfRule type="containsText" dxfId="158" priority="159" operator="containsText" text="H">
      <formula>NOT(ISERROR(SEARCH("H",BH3)))</formula>
    </cfRule>
    <cfRule type="containsText" dxfId="157" priority="160" operator="containsText" text="&quot;H&quot;">
      <formula>NOT(ISERROR(SEARCH("""H""",BH3)))</formula>
    </cfRule>
    <cfRule type="containsText" dxfId="156" priority="161" operator="containsText" text="&quot;A&quot;">
      <formula>NOT(ISERROR(SEARCH("""A""",BH3)))</formula>
    </cfRule>
  </conditionalFormatting>
  <conditionalFormatting sqref="BK3:BK32">
    <cfRule type="cellIs" dxfId="155" priority="151" operator="equal">
      <formula>"C-Off-H"</formula>
    </cfRule>
    <cfRule type="cellIs" dxfId="154" priority="152" operator="equal">
      <formula>"C-Off"</formula>
    </cfRule>
    <cfRule type="cellIs" dxfId="153" priority="153" operator="equal">
      <formula>"CL-H"</formula>
    </cfRule>
    <cfRule type="cellIs" dxfId="152" priority="154" operator="equal">
      <formula>"EL-H"</formula>
    </cfRule>
    <cfRule type="cellIs" dxfId="151" priority="155" operator="equal">
      <formula>"CL"</formula>
    </cfRule>
    <cfRule type="cellIs" dxfId="150" priority="156" operator="equal">
      <formula>"EL"</formula>
    </cfRule>
  </conditionalFormatting>
  <conditionalFormatting sqref="BK3:BK32">
    <cfRule type="containsText" dxfId="149" priority="150" operator="containsText" text="A-H">
      <formula>NOT(ISERROR(SEARCH("A-H",BK3)))</formula>
    </cfRule>
  </conditionalFormatting>
  <conditionalFormatting sqref="BK3:BK32">
    <cfRule type="containsText" dxfId="148" priority="149" operator="containsText" text="A">
      <formula>NOT(ISERROR(SEARCH("A",BK3)))</formula>
    </cfRule>
  </conditionalFormatting>
  <conditionalFormatting sqref="BK3:BK32">
    <cfRule type="containsText" dxfId="147" priority="144" operator="containsText" text="S">
      <formula>NOT(ISERROR(SEARCH("S",BK3)))</formula>
    </cfRule>
    <cfRule type="containsText" dxfId="146" priority="145" operator="containsText" text="P">
      <formula>NOT(ISERROR(SEARCH("P",BK3)))</formula>
    </cfRule>
    <cfRule type="containsText" dxfId="145" priority="146" operator="containsText" text="H">
      <formula>NOT(ISERROR(SEARCH("H",BK3)))</formula>
    </cfRule>
    <cfRule type="containsText" dxfId="144" priority="147" operator="containsText" text="&quot;H&quot;">
      <formula>NOT(ISERROR(SEARCH("""H""",BK3)))</formula>
    </cfRule>
    <cfRule type="containsText" dxfId="143" priority="148" operator="containsText" text="&quot;A&quot;">
      <formula>NOT(ISERROR(SEARCH("""A""",BK3)))</formula>
    </cfRule>
  </conditionalFormatting>
  <conditionalFormatting sqref="CC3:CC32">
    <cfRule type="cellIs" dxfId="142" priority="138" operator="equal">
      <formula>"C-Off-H"</formula>
    </cfRule>
    <cfRule type="cellIs" dxfId="141" priority="139" operator="equal">
      <formula>"C-Off"</formula>
    </cfRule>
    <cfRule type="cellIs" dxfId="140" priority="140" operator="equal">
      <formula>"CL-H"</formula>
    </cfRule>
    <cfRule type="cellIs" dxfId="139" priority="141" operator="equal">
      <formula>"EL-H"</formula>
    </cfRule>
    <cfRule type="cellIs" dxfId="138" priority="142" operator="equal">
      <formula>"CL"</formula>
    </cfRule>
    <cfRule type="cellIs" dxfId="137" priority="143" operator="equal">
      <formula>"EL"</formula>
    </cfRule>
  </conditionalFormatting>
  <conditionalFormatting sqref="CC3:CC32">
    <cfRule type="containsText" dxfId="136" priority="137" operator="containsText" text="A-H">
      <formula>NOT(ISERROR(SEARCH("A-H",CC3)))</formula>
    </cfRule>
  </conditionalFormatting>
  <conditionalFormatting sqref="CC3:CC32">
    <cfRule type="containsText" dxfId="135" priority="136" operator="containsText" text="A">
      <formula>NOT(ISERROR(SEARCH("A",CC3)))</formula>
    </cfRule>
  </conditionalFormatting>
  <conditionalFormatting sqref="CC3:CC32">
    <cfRule type="containsText" dxfId="134" priority="131" operator="containsText" text="S">
      <formula>NOT(ISERROR(SEARCH("S",CC3)))</formula>
    </cfRule>
    <cfRule type="containsText" dxfId="133" priority="132" operator="containsText" text="P">
      <formula>NOT(ISERROR(SEARCH("P",CC3)))</formula>
    </cfRule>
    <cfRule type="containsText" dxfId="132" priority="133" operator="containsText" text="H">
      <formula>NOT(ISERROR(SEARCH("H",CC3)))</formula>
    </cfRule>
    <cfRule type="containsText" dxfId="131" priority="134" operator="containsText" text="&quot;H&quot;">
      <formula>NOT(ISERROR(SEARCH("""H""",CC3)))</formula>
    </cfRule>
    <cfRule type="containsText" dxfId="130" priority="135" operator="containsText" text="&quot;A&quot;">
      <formula>NOT(ISERROR(SEARCH("""A""",CC3)))</formula>
    </cfRule>
  </conditionalFormatting>
  <conditionalFormatting sqref="CF3:CF32">
    <cfRule type="cellIs" dxfId="129" priority="125" operator="equal">
      <formula>"C-Off-H"</formula>
    </cfRule>
    <cfRule type="cellIs" dxfId="128" priority="126" operator="equal">
      <formula>"C-Off"</formula>
    </cfRule>
    <cfRule type="cellIs" dxfId="127" priority="127" operator="equal">
      <formula>"CL-H"</formula>
    </cfRule>
    <cfRule type="cellIs" dxfId="126" priority="128" operator="equal">
      <formula>"EL-H"</formula>
    </cfRule>
    <cfRule type="cellIs" dxfId="125" priority="129" operator="equal">
      <formula>"CL"</formula>
    </cfRule>
    <cfRule type="cellIs" dxfId="124" priority="130" operator="equal">
      <formula>"EL"</formula>
    </cfRule>
  </conditionalFormatting>
  <conditionalFormatting sqref="CF3:CF32">
    <cfRule type="containsText" dxfId="123" priority="124" operator="containsText" text="A-H">
      <formula>NOT(ISERROR(SEARCH("A-H",CF3)))</formula>
    </cfRule>
  </conditionalFormatting>
  <conditionalFormatting sqref="CF3:CF32">
    <cfRule type="containsText" dxfId="122" priority="123" operator="containsText" text="A">
      <formula>NOT(ISERROR(SEARCH("A",CF3)))</formula>
    </cfRule>
  </conditionalFormatting>
  <conditionalFormatting sqref="CF3:CF32">
    <cfRule type="containsText" dxfId="121" priority="118" operator="containsText" text="S">
      <formula>NOT(ISERROR(SEARCH("S",CF3)))</formula>
    </cfRule>
    <cfRule type="containsText" dxfId="120" priority="119" operator="containsText" text="P">
      <formula>NOT(ISERROR(SEARCH("P",CF3)))</formula>
    </cfRule>
    <cfRule type="containsText" dxfId="119" priority="120" operator="containsText" text="H">
      <formula>NOT(ISERROR(SEARCH("H",CF3)))</formula>
    </cfRule>
    <cfRule type="containsText" dxfId="118" priority="121" operator="containsText" text="&quot;H&quot;">
      <formula>NOT(ISERROR(SEARCH("""H""",CF3)))</formula>
    </cfRule>
    <cfRule type="containsText" dxfId="117" priority="122" operator="containsText" text="&quot;A&quot;">
      <formula>NOT(ISERROR(SEARCH("""A""",CF3)))</formula>
    </cfRule>
  </conditionalFormatting>
  <conditionalFormatting sqref="L3:L32">
    <cfRule type="cellIs" dxfId="116" priority="112" operator="equal">
      <formula>"C-Off-H"</formula>
    </cfRule>
    <cfRule type="cellIs" dxfId="115" priority="113" operator="equal">
      <formula>"C-Off"</formula>
    </cfRule>
    <cfRule type="cellIs" dxfId="114" priority="114" operator="equal">
      <formula>"CL-H"</formula>
    </cfRule>
    <cfRule type="cellIs" dxfId="113" priority="115" operator="equal">
      <formula>"EL-H"</formula>
    </cfRule>
    <cfRule type="cellIs" dxfId="112" priority="116" operator="equal">
      <formula>"CL"</formula>
    </cfRule>
    <cfRule type="cellIs" dxfId="111" priority="117" operator="equal">
      <formula>"EL"</formula>
    </cfRule>
  </conditionalFormatting>
  <conditionalFormatting sqref="L3:L32">
    <cfRule type="containsText" dxfId="110" priority="111" operator="containsText" text="A-H">
      <formula>NOT(ISERROR(SEARCH("A-H",L3)))</formula>
    </cfRule>
  </conditionalFormatting>
  <conditionalFormatting sqref="L3:L32">
    <cfRule type="containsText" dxfId="109" priority="110" operator="containsText" text="A">
      <formula>NOT(ISERROR(SEARCH("A",L3)))</formula>
    </cfRule>
  </conditionalFormatting>
  <conditionalFormatting sqref="L3:L32">
    <cfRule type="containsText" dxfId="108" priority="105" operator="containsText" text="S">
      <formula>NOT(ISERROR(SEARCH("S",L3)))</formula>
    </cfRule>
    <cfRule type="containsText" dxfId="107" priority="106" operator="containsText" text="P">
      <formula>NOT(ISERROR(SEARCH("P",L3)))</formula>
    </cfRule>
    <cfRule type="containsText" dxfId="106" priority="107" operator="containsText" text="H">
      <formula>NOT(ISERROR(SEARCH("H",L3)))</formula>
    </cfRule>
    <cfRule type="containsText" dxfId="105" priority="108" operator="containsText" text="&quot;H&quot;">
      <formula>NOT(ISERROR(SEARCH("""H""",L3)))</formula>
    </cfRule>
    <cfRule type="containsText" dxfId="104" priority="109" operator="containsText" text="&quot;A&quot;">
      <formula>NOT(ISERROR(SEARCH("""A""",L3)))</formula>
    </cfRule>
  </conditionalFormatting>
  <conditionalFormatting sqref="AD3:AD32">
    <cfRule type="cellIs" dxfId="103" priority="99" operator="equal">
      <formula>"C-Off-H"</formula>
    </cfRule>
    <cfRule type="cellIs" dxfId="102" priority="100" operator="equal">
      <formula>"C-Off"</formula>
    </cfRule>
    <cfRule type="cellIs" dxfId="101" priority="101" operator="equal">
      <formula>"CL-H"</formula>
    </cfRule>
    <cfRule type="cellIs" dxfId="100" priority="102" operator="equal">
      <formula>"EL-H"</formula>
    </cfRule>
    <cfRule type="cellIs" dxfId="99" priority="103" operator="equal">
      <formula>"CL"</formula>
    </cfRule>
    <cfRule type="cellIs" dxfId="98" priority="104" operator="equal">
      <formula>"EL"</formula>
    </cfRule>
  </conditionalFormatting>
  <conditionalFormatting sqref="AD3:AD32">
    <cfRule type="containsText" dxfId="97" priority="98" operator="containsText" text="A-H">
      <formula>NOT(ISERROR(SEARCH("A-H",AD3)))</formula>
    </cfRule>
  </conditionalFormatting>
  <conditionalFormatting sqref="AD3:AD32">
    <cfRule type="containsText" dxfId="96" priority="97" operator="containsText" text="A">
      <formula>NOT(ISERROR(SEARCH("A",AD3)))</formula>
    </cfRule>
  </conditionalFormatting>
  <conditionalFormatting sqref="AD3:AD32">
    <cfRule type="containsText" dxfId="95" priority="92" operator="containsText" text="S">
      <formula>NOT(ISERROR(SEARCH("S",AD3)))</formula>
    </cfRule>
    <cfRule type="containsText" dxfId="94" priority="93" operator="containsText" text="P">
      <formula>NOT(ISERROR(SEARCH("P",AD3)))</formula>
    </cfRule>
    <cfRule type="containsText" dxfId="93" priority="94" operator="containsText" text="H">
      <formula>NOT(ISERROR(SEARCH("H",AD3)))</formula>
    </cfRule>
    <cfRule type="containsText" dxfId="92" priority="95" operator="containsText" text="&quot;H&quot;">
      <formula>NOT(ISERROR(SEARCH("""H""",AD3)))</formula>
    </cfRule>
    <cfRule type="containsText" dxfId="91" priority="96" operator="containsText" text="&quot;A&quot;">
      <formula>NOT(ISERROR(SEARCH("""A""",AD3)))</formula>
    </cfRule>
  </conditionalFormatting>
  <conditionalFormatting sqref="AG3:AG32">
    <cfRule type="cellIs" dxfId="90" priority="86" operator="equal">
      <formula>"C-Off-H"</formula>
    </cfRule>
    <cfRule type="cellIs" dxfId="89" priority="87" operator="equal">
      <formula>"C-Off"</formula>
    </cfRule>
    <cfRule type="cellIs" dxfId="88" priority="88" operator="equal">
      <formula>"CL-H"</formula>
    </cfRule>
    <cfRule type="cellIs" dxfId="87" priority="89" operator="equal">
      <formula>"EL-H"</formula>
    </cfRule>
    <cfRule type="cellIs" dxfId="86" priority="90" operator="equal">
      <formula>"CL"</formula>
    </cfRule>
    <cfRule type="cellIs" dxfId="85" priority="91" operator="equal">
      <formula>"EL"</formula>
    </cfRule>
  </conditionalFormatting>
  <conditionalFormatting sqref="AG3:AG32">
    <cfRule type="containsText" dxfId="84" priority="85" operator="containsText" text="A-H">
      <formula>NOT(ISERROR(SEARCH("A-H",AG3)))</formula>
    </cfRule>
  </conditionalFormatting>
  <conditionalFormatting sqref="AG3:AG32">
    <cfRule type="containsText" dxfId="83" priority="84" operator="containsText" text="A">
      <formula>NOT(ISERROR(SEARCH("A",AG3)))</formula>
    </cfRule>
  </conditionalFormatting>
  <conditionalFormatting sqref="AG3:AG32">
    <cfRule type="containsText" dxfId="82" priority="79" operator="containsText" text="S">
      <formula>NOT(ISERROR(SEARCH("S",AG3)))</formula>
    </cfRule>
    <cfRule type="containsText" dxfId="81" priority="80" operator="containsText" text="P">
      <formula>NOT(ISERROR(SEARCH("P",AG3)))</formula>
    </cfRule>
    <cfRule type="containsText" dxfId="80" priority="81" operator="containsText" text="H">
      <formula>NOT(ISERROR(SEARCH("H",AG3)))</formula>
    </cfRule>
    <cfRule type="containsText" dxfId="79" priority="82" operator="containsText" text="&quot;H&quot;">
      <formula>NOT(ISERROR(SEARCH("""H""",AG3)))</formula>
    </cfRule>
    <cfRule type="containsText" dxfId="78" priority="83" operator="containsText" text="&quot;A&quot;">
      <formula>NOT(ISERROR(SEARCH("""A""",AG3)))</formula>
    </cfRule>
  </conditionalFormatting>
  <conditionalFormatting sqref="AY3:AY32">
    <cfRule type="cellIs" dxfId="77" priority="73" operator="equal">
      <formula>"C-Off-H"</formula>
    </cfRule>
    <cfRule type="cellIs" dxfId="76" priority="74" operator="equal">
      <formula>"C-Off"</formula>
    </cfRule>
    <cfRule type="cellIs" dxfId="75" priority="75" operator="equal">
      <formula>"CL-H"</formula>
    </cfRule>
    <cfRule type="cellIs" dxfId="74" priority="76" operator="equal">
      <formula>"EL-H"</formula>
    </cfRule>
    <cfRule type="cellIs" dxfId="73" priority="77" operator="equal">
      <formula>"CL"</formula>
    </cfRule>
    <cfRule type="cellIs" dxfId="72" priority="78" operator="equal">
      <formula>"EL"</formula>
    </cfRule>
  </conditionalFormatting>
  <conditionalFormatting sqref="AY3:AY32">
    <cfRule type="containsText" dxfId="71" priority="72" operator="containsText" text="A-H">
      <formula>NOT(ISERROR(SEARCH("A-H",AY3)))</formula>
    </cfRule>
  </conditionalFormatting>
  <conditionalFormatting sqref="AY3:AY32">
    <cfRule type="containsText" dxfId="70" priority="71" operator="containsText" text="A">
      <formula>NOT(ISERROR(SEARCH("A",AY3)))</formula>
    </cfRule>
  </conditionalFormatting>
  <conditionalFormatting sqref="AY3:AY32">
    <cfRule type="containsText" dxfId="69" priority="66" operator="containsText" text="S">
      <formula>NOT(ISERROR(SEARCH("S",AY3)))</formula>
    </cfRule>
    <cfRule type="containsText" dxfId="68" priority="67" operator="containsText" text="P">
      <formula>NOT(ISERROR(SEARCH("P",AY3)))</formula>
    </cfRule>
    <cfRule type="containsText" dxfId="67" priority="68" operator="containsText" text="H">
      <formula>NOT(ISERROR(SEARCH("H",AY3)))</formula>
    </cfRule>
    <cfRule type="containsText" dxfId="66" priority="69" operator="containsText" text="&quot;H&quot;">
      <formula>NOT(ISERROR(SEARCH("""H""",AY3)))</formula>
    </cfRule>
    <cfRule type="containsText" dxfId="65" priority="70" operator="containsText" text="&quot;A&quot;">
      <formula>NOT(ISERROR(SEARCH("""A""",AY3)))</formula>
    </cfRule>
  </conditionalFormatting>
  <conditionalFormatting sqref="BB3:BB32">
    <cfRule type="cellIs" dxfId="64" priority="60" operator="equal">
      <formula>"C-Off-H"</formula>
    </cfRule>
    <cfRule type="cellIs" dxfId="63" priority="61" operator="equal">
      <formula>"C-Off"</formula>
    </cfRule>
    <cfRule type="cellIs" dxfId="62" priority="62" operator="equal">
      <formula>"CL-H"</formula>
    </cfRule>
    <cfRule type="cellIs" dxfId="61" priority="63" operator="equal">
      <formula>"EL-H"</formula>
    </cfRule>
    <cfRule type="cellIs" dxfId="60" priority="64" operator="equal">
      <formula>"CL"</formula>
    </cfRule>
    <cfRule type="cellIs" dxfId="59" priority="65" operator="equal">
      <formula>"EL"</formula>
    </cfRule>
  </conditionalFormatting>
  <conditionalFormatting sqref="BB3:BB32">
    <cfRule type="containsText" dxfId="58" priority="59" operator="containsText" text="A-H">
      <formula>NOT(ISERROR(SEARCH("A-H",BB3)))</formula>
    </cfRule>
  </conditionalFormatting>
  <conditionalFormatting sqref="BB3:BB32">
    <cfRule type="containsText" dxfId="57" priority="58" operator="containsText" text="A">
      <formula>NOT(ISERROR(SEARCH("A",BB3)))</formula>
    </cfRule>
  </conditionalFormatting>
  <conditionalFormatting sqref="BB3:BB32">
    <cfRule type="containsText" dxfId="56" priority="53" operator="containsText" text="S">
      <formula>NOT(ISERROR(SEARCH("S",BB3)))</formula>
    </cfRule>
    <cfRule type="containsText" dxfId="55" priority="54" operator="containsText" text="P">
      <formula>NOT(ISERROR(SEARCH("P",BB3)))</formula>
    </cfRule>
    <cfRule type="containsText" dxfId="54" priority="55" operator="containsText" text="H">
      <formula>NOT(ISERROR(SEARCH("H",BB3)))</formula>
    </cfRule>
    <cfRule type="containsText" dxfId="53" priority="56" operator="containsText" text="&quot;H&quot;">
      <formula>NOT(ISERROR(SEARCH("""H""",BB3)))</formula>
    </cfRule>
    <cfRule type="containsText" dxfId="52" priority="57" operator="containsText" text="&quot;A&quot;">
      <formula>NOT(ISERROR(SEARCH("""A""",BB3)))</formula>
    </cfRule>
  </conditionalFormatting>
  <conditionalFormatting sqref="BT3:BT32">
    <cfRule type="cellIs" dxfId="51" priority="47" operator="equal">
      <formula>"C-Off-H"</formula>
    </cfRule>
    <cfRule type="cellIs" dxfId="50" priority="48" operator="equal">
      <formula>"C-Off"</formula>
    </cfRule>
    <cfRule type="cellIs" dxfId="49" priority="49" operator="equal">
      <formula>"CL-H"</formula>
    </cfRule>
    <cfRule type="cellIs" dxfId="48" priority="50" operator="equal">
      <formula>"EL-H"</formula>
    </cfRule>
    <cfRule type="cellIs" dxfId="47" priority="51" operator="equal">
      <formula>"CL"</formula>
    </cfRule>
    <cfRule type="cellIs" dxfId="46" priority="52" operator="equal">
      <formula>"EL"</formula>
    </cfRule>
  </conditionalFormatting>
  <conditionalFormatting sqref="BT3:BT32">
    <cfRule type="containsText" dxfId="45" priority="46" operator="containsText" text="A-H">
      <formula>NOT(ISERROR(SEARCH("A-H",BT3)))</formula>
    </cfRule>
  </conditionalFormatting>
  <conditionalFormatting sqref="BT3:BT32">
    <cfRule type="containsText" dxfId="44" priority="45" operator="containsText" text="A">
      <formula>NOT(ISERROR(SEARCH("A",BT3)))</formula>
    </cfRule>
  </conditionalFormatting>
  <conditionalFormatting sqref="BT3:BT32">
    <cfRule type="containsText" dxfId="43" priority="40" operator="containsText" text="S">
      <formula>NOT(ISERROR(SEARCH("S",BT3)))</formula>
    </cfRule>
    <cfRule type="containsText" dxfId="42" priority="41" operator="containsText" text="P">
      <formula>NOT(ISERROR(SEARCH("P",BT3)))</formula>
    </cfRule>
    <cfRule type="containsText" dxfId="41" priority="42" operator="containsText" text="H">
      <formula>NOT(ISERROR(SEARCH("H",BT3)))</formula>
    </cfRule>
    <cfRule type="containsText" dxfId="40" priority="43" operator="containsText" text="&quot;H&quot;">
      <formula>NOT(ISERROR(SEARCH("""H""",BT3)))</formula>
    </cfRule>
    <cfRule type="containsText" dxfId="39" priority="44" operator="containsText" text="&quot;A&quot;">
      <formula>NOT(ISERROR(SEARCH("""A""",BT3)))</formula>
    </cfRule>
  </conditionalFormatting>
  <conditionalFormatting sqref="BW3:BW32">
    <cfRule type="cellIs" dxfId="38" priority="34" operator="equal">
      <formula>"C-Off-H"</formula>
    </cfRule>
    <cfRule type="cellIs" dxfId="37" priority="35" operator="equal">
      <formula>"C-Off"</formula>
    </cfRule>
    <cfRule type="cellIs" dxfId="36" priority="36" operator="equal">
      <formula>"CL-H"</formula>
    </cfRule>
    <cfRule type="cellIs" dxfId="35" priority="37" operator="equal">
      <formula>"EL-H"</formula>
    </cfRule>
    <cfRule type="cellIs" dxfId="34" priority="38" operator="equal">
      <formula>"CL"</formula>
    </cfRule>
    <cfRule type="cellIs" dxfId="33" priority="39" operator="equal">
      <formula>"EL"</formula>
    </cfRule>
  </conditionalFormatting>
  <conditionalFormatting sqref="BW3:BW32">
    <cfRule type="containsText" dxfId="32" priority="33" operator="containsText" text="A-H">
      <formula>NOT(ISERROR(SEARCH("A-H",BW3)))</formula>
    </cfRule>
  </conditionalFormatting>
  <conditionalFormatting sqref="BW3:BW32">
    <cfRule type="containsText" dxfId="31" priority="32" operator="containsText" text="A">
      <formula>NOT(ISERROR(SEARCH("A",BW3)))</formula>
    </cfRule>
  </conditionalFormatting>
  <conditionalFormatting sqref="BW3:BW32">
    <cfRule type="containsText" dxfId="30" priority="27" operator="containsText" text="S">
      <formula>NOT(ISERROR(SEARCH("S",BW3)))</formula>
    </cfRule>
    <cfRule type="containsText" dxfId="29" priority="28" operator="containsText" text="P">
      <formula>NOT(ISERROR(SEARCH("P",BW3)))</formula>
    </cfRule>
    <cfRule type="containsText" dxfId="28" priority="29" operator="containsText" text="H">
      <formula>NOT(ISERROR(SEARCH("H",BW3)))</formula>
    </cfRule>
    <cfRule type="containsText" dxfId="27" priority="30" operator="containsText" text="&quot;H&quot;">
      <formula>NOT(ISERROR(SEARCH("""H""",BW3)))</formula>
    </cfRule>
    <cfRule type="containsText" dxfId="26" priority="31" operator="containsText" text="&quot;A&quot;">
      <formula>NOT(ISERROR(SEARCH("""A""",BW3)))</formula>
    </cfRule>
  </conditionalFormatting>
  <conditionalFormatting sqref="CO3:CO32">
    <cfRule type="cellIs" dxfId="25" priority="21" operator="equal">
      <formula>"C-Off-H"</formula>
    </cfRule>
    <cfRule type="cellIs" dxfId="24" priority="22" operator="equal">
      <formula>"C-Off"</formula>
    </cfRule>
    <cfRule type="cellIs" dxfId="23" priority="23" operator="equal">
      <formula>"CL-H"</formula>
    </cfRule>
    <cfRule type="cellIs" dxfId="22" priority="24" operator="equal">
      <formula>"EL-H"</formula>
    </cfRule>
    <cfRule type="cellIs" dxfId="21" priority="25" operator="equal">
      <formula>"CL"</formula>
    </cfRule>
    <cfRule type="cellIs" dxfId="20" priority="26" operator="equal">
      <formula>"EL"</formula>
    </cfRule>
  </conditionalFormatting>
  <conditionalFormatting sqref="CO3:CO32">
    <cfRule type="containsText" dxfId="19" priority="20" operator="containsText" text="A-H">
      <formula>NOT(ISERROR(SEARCH("A-H",CO3)))</formula>
    </cfRule>
  </conditionalFormatting>
  <conditionalFormatting sqref="CO3:CO32">
    <cfRule type="containsText" dxfId="18" priority="19" operator="containsText" text="A">
      <formula>NOT(ISERROR(SEARCH("A",CO3)))</formula>
    </cfRule>
  </conditionalFormatting>
  <conditionalFormatting sqref="CO3:CO32">
    <cfRule type="containsText" dxfId="17" priority="14" operator="containsText" text="S">
      <formula>NOT(ISERROR(SEARCH("S",CO3)))</formula>
    </cfRule>
    <cfRule type="containsText" dxfId="16" priority="15" operator="containsText" text="P">
      <formula>NOT(ISERROR(SEARCH("P",CO3)))</formula>
    </cfRule>
    <cfRule type="containsText" dxfId="15" priority="16" operator="containsText" text="H">
      <formula>NOT(ISERROR(SEARCH("H",CO3)))</formula>
    </cfRule>
    <cfRule type="containsText" dxfId="14" priority="17" operator="containsText" text="&quot;H&quot;">
      <formula>NOT(ISERROR(SEARCH("""H""",CO3)))</formula>
    </cfRule>
    <cfRule type="containsText" dxfId="13" priority="18" operator="containsText" text="&quot;A&quot;">
      <formula>NOT(ISERROR(SEARCH("""A""",CO3)))</formula>
    </cfRule>
  </conditionalFormatting>
  <conditionalFormatting sqref="X3:X32">
    <cfRule type="cellIs" dxfId="12" priority="8" operator="equal">
      <formula>"C-Off-H"</formula>
    </cfRule>
    <cfRule type="cellIs" dxfId="11" priority="9" operator="equal">
      <formula>"C-Off"</formula>
    </cfRule>
    <cfRule type="cellIs" dxfId="10" priority="10" operator="equal">
      <formula>"CL-H"</formula>
    </cfRule>
    <cfRule type="cellIs" dxfId="9" priority="11" operator="equal">
      <formula>"EL-H"</formula>
    </cfRule>
    <cfRule type="cellIs" dxfId="8" priority="12" operator="equal">
      <formula>"CL"</formula>
    </cfRule>
    <cfRule type="cellIs" dxfId="7" priority="13" operator="equal">
      <formula>"EL"</formula>
    </cfRule>
  </conditionalFormatting>
  <conditionalFormatting sqref="X3:X32">
    <cfRule type="containsText" dxfId="6" priority="7" operator="containsText" text="A-H">
      <formula>NOT(ISERROR(SEARCH("A-H",X3)))</formula>
    </cfRule>
  </conditionalFormatting>
  <conditionalFormatting sqref="X3:X32">
    <cfRule type="containsText" dxfId="5" priority="6" operator="containsText" text="A">
      <formula>NOT(ISERROR(SEARCH("A",X3)))</formula>
    </cfRule>
  </conditionalFormatting>
  <conditionalFormatting sqref="X3:X32">
    <cfRule type="containsText" dxfId="4" priority="1" operator="containsText" text="S">
      <formula>NOT(ISERROR(SEARCH("S",X3)))</formula>
    </cfRule>
    <cfRule type="containsText" dxfId="3" priority="2" operator="containsText" text="P">
      <formula>NOT(ISERROR(SEARCH("P",X3)))</formula>
    </cfRule>
    <cfRule type="containsText" dxfId="2" priority="3" operator="containsText" text="H">
      <formula>NOT(ISERROR(SEARCH("H",X3)))</formula>
    </cfRule>
    <cfRule type="containsText" dxfId="1" priority="4" operator="containsText" text="&quot;H&quot;">
      <formula>NOT(ISERROR(SEARCH("""H""",X3)))</formula>
    </cfRule>
    <cfRule type="containsText" dxfId="0" priority="5" operator="containsText" text="&quot;A&quot;">
      <formula>NOT(ISERROR(SEARCH("""A""",X3)))</formula>
    </cfRule>
  </conditionalFormatting>
  <hyperlinks>
    <hyperlink ref="DH2" location="'Report Master'!A1" display="Master" xr:uid="{6020B432-37F9-4233-B913-CB34A6500CC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
  <sheetViews>
    <sheetView workbookViewId="0">
      <selection sqref="A1:K1"/>
    </sheetView>
  </sheetViews>
  <sheetFormatPr defaultColWidth="9.1171875" defaultRowHeight="14.7" x14ac:dyDescent="0.6"/>
  <cols>
    <col min="1" max="1" width="7.703125" style="22" customWidth="1"/>
    <col min="2" max="2" width="13.87890625" style="22" customWidth="1"/>
    <col min="3" max="3" width="25.41015625" style="23" customWidth="1"/>
    <col min="4" max="4" width="23.41015625" style="23" bestFit="1" customWidth="1"/>
    <col min="5" max="5" width="13.1171875" style="23" bestFit="1" customWidth="1"/>
    <col min="6" max="6" width="18.1171875" style="23" bestFit="1" customWidth="1"/>
    <col min="7" max="10" width="18.1171875" style="23" customWidth="1"/>
    <col min="11" max="11" width="17.703125" style="23" customWidth="1"/>
    <col min="12" max="16384" width="9.1171875" style="23"/>
  </cols>
  <sheetData>
    <row r="1" spans="1:13" s="14" customFormat="1" ht="25.5" customHeight="1" x14ac:dyDescent="0.4">
      <c r="A1" s="51" t="s">
        <v>40</v>
      </c>
      <c r="B1" s="51"/>
      <c r="C1" s="51"/>
      <c r="D1" s="51"/>
      <c r="E1" s="51"/>
      <c r="F1" s="51"/>
      <c r="G1" s="51"/>
      <c r="H1" s="51"/>
      <c r="I1" s="51"/>
      <c r="J1" s="51"/>
      <c r="K1" s="51"/>
    </row>
    <row r="2" spans="1:13" s="16" customFormat="1" ht="56.25" customHeight="1" x14ac:dyDescent="0.4">
      <c r="A2" s="15" t="s">
        <v>3</v>
      </c>
      <c r="B2" s="15" t="s">
        <v>0</v>
      </c>
      <c r="C2" s="15" t="s">
        <v>20</v>
      </c>
      <c r="D2" s="15" t="s">
        <v>1</v>
      </c>
      <c r="E2" s="15" t="s">
        <v>2</v>
      </c>
      <c r="F2" s="15" t="s">
        <v>12</v>
      </c>
      <c r="G2" s="15" t="s">
        <v>19</v>
      </c>
      <c r="H2" s="15" t="s">
        <v>16</v>
      </c>
      <c r="I2" s="15" t="s">
        <v>17</v>
      </c>
      <c r="J2" s="15" t="s">
        <v>18</v>
      </c>
      <c r="K2" s="15" t="s">
        <v>4</v>
      </c>
      <c r="M2" s="17" t="s">
        <v>15</v>
      </c>
    </row>
    <row r="3" spans="1:13" s="14" customFormat="1" ht="23.25" customHeight="1" x14ac:dyDescent="0.4">
      <c r="A3" s="18" t="s">
        <v>5</v>
      </c>
      <c r="B3" s="18"/>
      <c r="C3" s="19"/>
      <c r="D3" s="19"/>
      <c r="E3" s="19"/>
      <c r="F3" s="19"/>
      <c r="G3" s="19"/>
      <c r="H3" s="19"/>
      <c r="I3" s="19"/>
      <c r="J3" s="19"/>
      <c r="K3" s="20"/>
    </row>
    <row r="4" spans="1:13" s="14" customFormat="1" ht="23.25" customHeight="1" x14ac:dyDescent="0.4">
      <c r="A4" s="18" t="s">
        <v>6</v>
      </c>
      <c r="B4" s="18"/>
      <c r="C4" s="19"/>
      <c r="D4" s="19"/>
      <c r="E4" s="19"/>
      <c r="F4" s="19"/>
      <c r="G4" s="19"/>
      <c r="H4" s="19"/>
      <c r="I4" s="19"/>
      <c r="J4" s="19"/>
      <c r="K4" s="20"/>
      <c r="M4" s="21"/>
    </row>
    <row r="5" spans="1:13" s="14" customFormat="1" ht="23.25" customHeight="1" x14ac:dyDescent="0.4">
      <c r="A5" s="18" t="s">
        <v>7</v>
      </c>
      <c r="B5" s="18"/>
      <c r="C5" s="19"/>
      <c r="D5" s="19"/>
      <c r="E5" s="19"/>
      <c r="F5" s="19"/>
      <c r="G5" s="19"/>
      <c r="H5" s="19"/>
      <c r="I5" s="19"/>
      <c r="J5" s="19"/>
      <c r="K5" s="20"/>
    </row>
    <row r="6" spans="1:13" s="14" customFormat="1" ht="23.25" customHeight="1" x14ac:dyDescent="0.4">
      <c r="A6" s="18" t="s">
        <v>8</v>
      </c>
      <c r="B6" s="18"/>
      <c r="C6" s="19"/>
      <c r="D6" s="19"/>
      <c r="E6" s="19"/>
      <c r="F6" s="19"/>
      <c r="G6" s="19"/>
      <c r="H6" s="19"/>
      <c r="I6" s="19"/>
      <c r="J6" s="19"/>
      <c r="K6" s="20"/>
    </row>
    <row r="7" spans="1:13" s="14" customFormat="1" ht="23.25" customHeight="1" x14ac:dyDescent="0.4">
      <c r="A7" s="18" t="s">
        <v>9</v>
      </c>
      <c r="B7" s="18"/>
      <c r="C7" s="19"/>
      <c r="D7" s="19"/>
      <c r="E7" s="19"/>
      <c r="F7" s="19"/>
      <c r="G7" s="19"/>
      <c r="H7" s="19"/>
      <c r="I7" s="19"/>
      <c r="J7" s="19"/>
      <c r="K7" s="20"/>
    </row>
    <row r="8" spans="1:13" s="14" customFormat="1" ht="23.25" customHeight="1" x14ac:dyDescent="0.4">
      <c r="A8" s="18" t="s">
        <v>10</v>
      </c>
      <c r="B8" s="18"/>
      <c r="C8" s="19"/>
      <c r="D8" s="19"/>
      <c r="E8" s="19"/>
      <c r="F8" s="19"/>
      <c r="G8" s="19"/>
      <c r="H8" s="19"/>
      <c r="I8" s="19"/>
      <c r="J8" s="19"/>
      <c r="K8" s="20"/>
    </row>
    <row r="9" spans="1:13" s="14" customFormat="1" ht="23.25" customHeight="1" x14ac:dyDescent="0.4">
      <c r="A9" s="18" t="s">
        <v>11</v>
      </c>
      <c r="B9" s="18"/>
      <c r="C9" s="19"/>
      <c r="D9" s="19"/>
      <c r="E9" s="19"/>
      <c r="F9" s="19"/>
      <c r="G9" s="19"/>
      <c r="H9" s="19"/>
      <c r="I9" s="19"/>
      <c r="J9" s="19"/>
      <c r="K9" s="20"/>
    </row>
    <row r="10" spans="1:13" s="14" customFormat="1" ht="23.25" customHeight="1" x14ac:dyDescent="0.4">
      <c r="A10" s="18" t="s">
        <v>21</v>
      </c>
      <c r="B10" s="18"/>
      <c r="C10" s="19"/>
      <c r="D10" s="19"/>
      <c r="E10" s="19"/>
      <c r="F10" s="19"/>
      <c r="G10" s="19"/>
      <c r="H10" s="19"/>
      <c r="I10" s="19"/>
      <c r="J10" s="19"/>
      <c r="K10" s="20"/>
    </row>
    <row r="11" spans="1:13" s="14" customFormat="1" ht="23.25" customHeight="1" x14ac:dyDescent="0.4">
      <c r="A11" s="18" t="s">
        <v>22</v>
      </c>
      <c r="B11" s="18"/>
      <c r="C11" s="19"/>
      <c r="D11" s="19"/>
      <c r="E11" s="19"/>
      <c r="F11" s="19"/>
      <c r="G11" s="19"/>
      <c r="H11" s="19"/>
      <c r="I11" s="19"/>
      <c r="J11" s="19"/>
      <c r="K11" s="20"/>
    </row>
    <row r="12" spans="1:13" s="14" customFormat="1" ht="23.25" customHeight="1" x14ac:dyDescent="0.4">
      <c r="A12" s="18" t="s">
        <v>23</v>
      </c>
      <c r="B12" s="18"/>
      <c r="C12" s="19"/>
      <c r="D12" s="19"/>
      <c r="E12" s="19"/>
      <c r="F12" s="19"/>
      <c r="G12" s="19"/>
      <c r="H12" s="19"/>
      <c r="I12" s="19"/>
      <c r="J12" s="19"/>
      <c r="K12" s="20"/>
    </row>
    <row r="15" spans="1:13" x14ac:dyDescent="0.6">
      <c r="I15" s="24"/>
    </row>
  </sheetData>
  <autoFilter ref="A2:M2" xr:uid="{ECF18FF5-0AC2-4CF5-8D18-FCEF4F85A634}"/>
  <sortState xmlns:xlrd2="http://schemas.microsoft.com/office/spreadsheetml/2017/richdata2" ref="B3:Y25">
    <sortCondition ref="E3:E25"/>
  </sortState>
  <mergeCells count="1">
    <mergeCell ref="A1:K1"/>
  </mergeCells>
  <hyperlinks>
    <hyperlink ref="M2" location="'Report Master'!A1" display="Master" xr:uid="{5A343EE0-1567-4184-9395-63293E0A1DF8}"/>
  </hyperlinks>
  <pageMargins left="0.75" right="0.75" top="1" bottom="1" header="0.5" footer="0.5"/>
  <pageSetup orientation="portrait" horizontalDpi="0" verticalDpi="0" r:id="rId1"/>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5176A-6769-4BEF-B7E1-209D708583F4}">
  <dimension ref="A1:M15"/>
  <sheetViews>
    <sheetView workbookViewId="0">
      <selection sqref="A1:K1"/>
    </sheetView>
  </sheetViews>
  <sheetFormatPr defaultColWidth="13.5859375" defaultRowHeight="13" x14ac:dyDescent="0.45"/>
  <cols>
    <col min="1" max="1" width="6.41015625" style="5" customWidth="1"/>
    <col min="2" max="2" width="17" style="5" bestFit="1" customWidth="1"/>
    <col min="3" max="3" width="14" style="1" bestFit="1" customWidth="1"/>
    <col min="4" max="4" width="16" style="1" bestFit="1" customWidth="1"/>
    <col min="5" max="5" width="15.87890625" style="1" bestFit="1" customWidth="1"/>
    <col min="6" max="6" width="13.1171875" style="1" bestFit="1" customWidth="1"/>
    <col min="7" max="7" width="15.87890625" style="1" bestFit="1" customWidth="1"/>
    <col min="8" max="8" width="17.703125" style="1" bestFit="1" customWidth="1"/>
    <col min="9" max="9" width="13.703125" style="1" bestFit="1" customWidth="1"/>
    <col min="10" max="10" width="15" style="1" bestFit="1" customWidth="1"/>
    <col min="11" max="11" width="12.87890625" style="1" bestFit="1" customWidth="1"/>
    <col min="12" max="12" width="13.5859375" style="1"/>
    <col min="13" max="13" width="6.703125" style="1" bestFit="1" customWidth="1"/>
    <col min="14" max="16384" width="13.5859375" style="1"/>
  </cols>
  <sheetData>
    <row r="1" spans="1:13" s="7" customFormat="1" ht="25.5" customHeight="1" x14ac:dyDescent="0.4">
      <c r="A1" s="44" t="s">
        <v>64</v>
      </c>
      <c r="B1" s="44"/>
      <c r="C1" s="44"/>
      <c r="D1" s="44"/>
      <c r="E1" s="44"/>
      <c r="F1" s="44"/>
      <c r="G1" s="44"/>
      <c r="H1" s="44"/>
      <c r="I1" s="44"/>
      <c r="J1" s="44"/>
      <c r="K1" s="44"/>
    </row>
    <row r="2" spans="1:13" s="3" customFormat="1" ht="56.25" customHeight="1" x14ac:dyDescent="0.4">
      <c r="A2" s="2" t="s">
        <v>3</v>
      </c>
      <c r="B2" s="2" t="s">
        <v>0</v>
      </c>
      <c r="C2" s="2" t="s">
        <v>20</v>
      </c>
      <c r="D2" s="2" t="s">
        <v>1</v>
      </c>
      <c r="E2" s="2" t="s">
        <v>2</v>
      </c>
      <c r="F2" s="2" t="s">
        <v>12</v>
      </c>
      <c r="G2" s="2" t="s">
        <v>65</v>
      </c>
      <c r="H2" s="2" t="s">
        <v>66</v>
      </c>
      <c r="I2" s="2" t="s">
        <v>67</v>
      </c>
      <c r="J2" s="2" t="s">
        <v>68</v>
      </c>
      <c r="K2" s="2" t="s">
        <v>4</v>
      </c>
      <c r="M2" s="11" t="s">
        <v>15</v>
      </c>
    </row>
    <row r="3" spans="1:13" s="7" customFormat="1" ht="21" customHeight="1" x14ac:dyDescent="0.4">
      <c r="A3" s="4" t="s">
        <v>5</v>
      </c>
      <c r="B3" s="4"/>
      <c r="C3" s="8"/>
      <c r="D3" s="8"/>
      <c r="E3" s="8"/>
      <c r="F3" s="8"/>
      <c r="G3" s="8"/>
      <c r="H3" s="8"/>
      <c r="I3" s="8"/>
      <c r="J3" s="8"/>
      <c r="K3" s="9"/>
    </row>
    <row r="4" spans="1:13" s="7" customFormat="1" ht="21" customHeight="1" x14ac:dyDescent="0.4">
      <c r="A4" s="4" t="s">
        <v>6</v>
      </c>
      <c r="B4" s="4"/>
      <c r="C4" s="8"/>
      <c r="D4" s="8"/>
      <c r="E4" s="8"/>
      <c r="F4" s="8"/>
      <c r="G4" s="8"/>
      <c r="H4" s="8"/>
      <c r="I4" s="8"/>
      <c r="J4" s="8"/>
      <c r="K4" s="9"/>
      <c r="M4" s="13"/>
    </row>
    <row r="5" spans="1:13" s="7" customFormat="1" ht="21" customHeight="1" x14ac:dyDescent="0.4">
      <c r="A5" s="4" t="s">
        <v>7</v>
      </c>
      <c r="B5" s="4"/>
      <c r="C5" s="8"/>
      <c r="D5" s="8"/>
      <c r="E5" s="8"/>
      <c r="F5" s="8"/>
      <c r="G5" s="8"/>
      <c r="H5" s="8"/>
      <c r="I5" s="8"/>
      <c r="J5" s="8"/>
      <c r="K5" s="9"/>
    </row>
    <row r="6" spans="1:13" s="7" customFormat="1" ht="21" customHeight="1" x14ac:dyDescent="0.4">
      <c r="A6" s="4" t="s">
        <v>8</v>
      </c>
      <c r="B6" s="4"/>
      <c r="C6" s="8"/>
      <c r="D6" s="8"/>
      <c r="E6" s="8"/>
      <c r="F6" s="8"/>
      <c r="G6" s="8"/>
      <c r="H6" s="8"/>
      <c r="I6" s="8"/>
      <c r="J6" s="8"/>
      <c r="K6" s="9"/>
    </row>
    <row r="7" spans="1:13" s="7" customFormat="1" ht="21" customHeight="1" x14ac:dyDescent="0.4">
      <c r="A7" s="4" t="s">
        <v>9</v>
      </c>
      <c r="B7" s="4"/>
      <c r="C7" s="8"/>
      <c r="D7" s="8"/>
      <c r="E7" s="8"/>
      <c r="F7" s="8"/>
      <c r="G7" s="8"/>
      <c r="H7" s="8"/>
      <c r="I7" s="8"/>
      <c r="J7" s="8"/>
      <c r="K7" s="9"/>
    </row>
    <row r="8" spans="1:13" s="7" customFormat="1" ht="21" customHeight="1" x14ac:dyDescent="0.4">
      <c r="A8" s="4" t="s">
        <v>10</v>
      </c>
      <c r="B8" s="4"/>
      <c r="C8" s="8"/>
      <c r="D8" s="8"/>
      <c r="E8" s="8"/>
      <c r="F8" s="8"/>
      <c r="G8" s="8"/>
      <c r="H8" s="8"/>
      <c r="I8" s="8"/>
      <c r="J8" s="8"/>
      <c r="K8" s="9"/>
    </row>
    <row r="9" spans="1:13" s="7" customFormat="1" ht="21" customHeight="1" x14ac:dyDescent="0.4">
      <c r="A9" s="4" t="s">
        <v>11</v>
      </c>
      <c r="B9" s="4"/>
      <c r="C9" s="8"/>
      <c r="D9" s="8"/>
      <c r="E9" s="8"/>
      <c r="F9" s="8"/>
      <c r="G9" s="8"/>
      <c r="H9" s="8"/>
      <c r="I9" s="8"/>
      <c r="J9" s="8"/>
      <c r="K9" s="9"/>
    </row>
    <row r="10" spans="1:13" s="7" customFormat="1" ht="21" customHeight="1" x14ac:dyDescent="0.4">
      <c r="A10" s="4" t="s">
        <v>21</v>
      </c>
      <c r="B10" s="4"/>
      <c r="C10" s="8"/>
      <c r="D10" s="8"/>
      <c r="E10" s="8"/>
      <c r="F10" s="8"/>
      <c r="G10" s="8"/>
      <c r="H10" s="8"/>
      <c r="I10" s="8"/>
      <c r="J10" s="8"/>
      <c r="K10" s="9"/>
    </row>
    <row r="11" spans="1:13" s="7" customFormat="1" ht="21" customHeight="1" x14ac:dyDescent="0.4">
      <c r="A11" s="4" t="s">
        <v>22</v>
      </c>
      <c r="B11" s="4"/>
      <c r="C11" s="8"/>
      <c r="D11" s="8"/>
      <c r="E11" s="8"/>
      <c r="F11" s="8"/>
      <c r="G11" s="8"/>
      <c r="H11" s="8"/>
      <c r="I11" s="8"/>
      <c r="J11" s="8"/>
      <c r="K11" s="9"/>
    </row>
    <row r="12" spans="1:13" s="7" customFormat="1" ht="21" customHeight="1" x14ac:dyDescent="0.4">
      <c r="A12" s="4" t="s">
        <v>23</v>
      </c>
      <c r="B12" s="4"/>
      <c r="C12" s="8"/>
      <c r="D12" s="8"/>
      <c r="E12" s="8"/>
      <c r="F12" s="8"/>
      <c r="G12" s="8"/>
      <c r="H12" s="8"/>
      <c r="I12" s="8"/>
      <c r="J12" s="8"/>
      <c r="K12" s="9"/>
    </row>
    <row r="15" spans="1:13" x14ac:dyDescent="0.45">
      <c r="I15" s="6"/>
    </row>
  </sheetData>
  <autoFilter ref="A2:K4" xr:uid="{00000000-0009-0000-0000-000000000000}"/>
  <mergeCells count="1">
    <mergeCell ref="A1:K1"/>
  </mergeCells>
  <hyperlinks>
    <hyperlink ref="M2" location="'Report Master'!A1" display="Master" xr:uid="{6F188605-4936-441B-9C12-CEBF9896ED93}"/>
  </hyperlinks>
  <pageMargins left="0.75" right="0.75" top="1" bottom="1" header="0.5" footer="0.5"/>
  <pageSetup orientation="portrait" horizontalDpi="0"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5CD30-F2BC-4550-B32E-DE9427551A04}">
  <dimension ref="A1:M15"/>
  <sheetViews>
    <sheetView workbookViewId="0">
      <selection sqref="A1:K1"/>
    </sheetView>
  </sheetViews>
  <sheetFormatPr defaultColWidth="13.5859375" defaultRowHeight="13" x14ac:dyDescent="0.45"/>
  <cols>
    <col min="1" max="1" width="6.41015625" style="5" customWidth="1"/>
    <col min="2" max="2" width="17" style="5" bestFit="1" customWidth="1"/>
    <col min="3" max="3" width="14" style="1" bestFit="1" customWidth="1"/>
    <col min="4" max="4" width="16" style="1" bestFit="1" customWidth="1"/>
    <col min="5" max="5" width="15.87890625" style="1" bestFit="1" customWidth="1"/>
    <col min="6" max="6" width="13.1171875" style="1" bestFit="1" customWidth="1"/>
    <col min="7" max="7" width="15.87890625" style="1" bestFit="1" customWidth="1"/>
    <col min="8" max="8" width="17.703125" style="1" bestFit="1" customWidth="1"/>
    <col min="9" max="9" width="13.703125" style="1" bestFit="1" customWidth="1"/>
    <col min="10" max="10" width="26.703125" style="1" customWidth="1"/>
    <col min="11" max="11" width="12.87890625" style="1" bestFit="1" customWidth="1"/>
    <col min="12" max="12" width="13.5859375" style="1"/>
    <col min="13" max="13" width="6.703125" style="1" bestFit="1" customWidth="1"/>
    <col min="14" max="16384" width="13.5859375" style="1"/>
  </cols>
  <sheetData>
    <row r="1" spans="1:13" s="7" customFormat="1" ht="25.5" customHeight="1" x14ac:dyDescent="0.4">
      <c r="A1" s="44" t="s">
        <v>70</v>
      </c>
      <c r="B1" s="44"/>
      <c r="C1" s="44"/>
      <c r="D1" s="44"/>
      <c r="E1" s="44"/>
      <c r="F1" s="44"/>
      <c r="G1" s="44"/>
      <c r="H1" s="44"/>
      <c r="I1" s="44"/>
      <c r="J1" s="44"/>
      <c r="K1" s="44"/>
    </row>
    <row r="2" spans="1:13" s="3" customFormat="1" ht="56.25" customHeight="1" x14ac:dyDescent="0.4">
      <c r="A2" s="2" t="s">
        <v>3</v>
      </c>
      <c r="B2" s="2" t="s">
        <v>0</v>
      </c>
      <c r="C2" s="2" t="s">
        <v>20</v>
      </c>
      <c r="D2" s="2" t="s">
        <v>1</v>
      </c>
      <c r="E2" s="2" t="s">
        <v>2</v>
      </c>
      <c r="F2" s="2" t="s">
        <v>12</v>
      </c>
      <c r="G2" s="2" t="s">
        <v>65</v>
      </c>
      <c r="H2" s="2" t="s">
        <v>66</v>
      </c>
      <c r="I2" s="2" t="s">
        <v>67</v>
      </c>
      <c r="J2" s="2" t="s">
        <v>71</v>
      </c>
      <c r="K2" s="2" t="s">
        <v>4</v>
      </c>
      <c r="M2" s="11" t="s">
        <v>15</v>
      </c>
    </row>
    <row r="3" spans="1:13" s="7" customFormat="1" ht="21" customHeight="1" x14ac:dyDescent="0.4">
      <c r="A3" s="4" t="s">
        <v>5</v>
      </c>
      <c r="B3" s="4"/>
      <c r="C3" s="8"/>
      <c r="D3" s="8"/>
      <c r="E3" s="8"/>
      <c r="F3" s="8"/>
      <c r="G3" s="8"/>
      <c r="H3" s="8"/>
      <c r="I3" s="8"/>
      <c r="J3" s="8"/>
      <c r="K3" s="9"/>
    </row>
    <row r="4" spans="1:13" s="7" customFormat="1" ht="21" customHeight="1" x14ac:dyDescent="0.4">
      <c r="A4" s="4" t="s">
        <v>6</v>
      </c>
      <c r="B4" s="4"/>
      <c r="C4" s="8"/>
      <c r="D4" s="8"/>
      <c r="E4" s="8"/>
      <c r="F4" s="8"/>
      <c r="G4" s="8"/>
      <c r="H4" s="8"/>
      <c r="I4" s="8"/>
      <c r="J4" s="8"/>
      <c r="K4" s="9"/>
      <c r="M4" s="13"/>
    </row>
    <row r="5" spans="1:13" s="7" customFormat="1" ht="21" customHeight="1" x14ac:dyDescent="0.4">
      <c r="A5" s="4" t="s">
        <v>7</v>
      </c>
      <c r="B5" s="4"/>
      <c r="C5" s="8"/>
      <c r="D5" s="8"/>
      <c r="E5" s="8"/>
      <c r="F5" s="8"/>
      <c r="G5" s="8"/>
      <c r="H5" s="8"/>
      <c r="I5" s="8"/>
      <c r="J5" s="8"/>
      <c r="K5" s="9"/>
    </row>
    <row r="6" spans="1:13" s="7" customFormat="1" ht="21" customHeight="1" x14ac:dyDescent="0.4">
      <c r="A6" s="4" t="s">
        <v>8</v>
      </c>
      <c r="B6" s="4"/>
      <c r="C6" s="8"/>
      <c r="D6" s="8"/>
      <c r="E6" s="8"/>
      <c r="F6" s="8"/>
      <c r="G6" s="8"/>
      <c r="H6" s="8"/>
      <c r="I6" s="8"/>
      <c r="J6" s="8"/>
      <c r="K6" s="9"/>
    </row>
    <row r="7" spans="1:13" s="7" customFormat="1" ht="21" customHeight="1" x14ac:dyDescent="0.4">
      <c r="A7" s="4" t="s">
        <v>9</v>
      </c>
      <c r="B7" s="4"/>
      <c r="C7" s="8"/>
      <c r="D7" s="8"/>
      <c r="E7" s="8"/>
      <c r="F7" s="8"/>
      <c r="G7" s="8"/>
      <c r="H7" s="8"/>
      <c r="I7" s="8"/>
      <c r="J7" s="8"/>
      <c r="K7" s="9"/>
    </row>
    <row r="8" spans="1:13" s="7" customFormat="1" ht="21" customHeight="1" x14ac:dyDescent="0.4">
      <c r="A8" s="4" t="s">
        <v>10</v>
      </c>
      <c r="B8" s="4"/>
      <c r="C8" s="8"/>
      <c r="D8" s="8"/>
      <c r="E8" s="8"/>
      <c r="F8" s="8"/>
      <c r="G8" s="8"/>
      <c r="H8" s="8"/>
      <c r="I8" s="8"/>
      <c r="J8" s="8"/>
      <c r="K8" s="9"/>
    </row>
    <row r="9" spans="1:13" s="7" customFormat="1" ht="21" customHeight="1" x14ac:dyDescent="0.4">
      <c r="A9" s="4" t="s">
        <v>11</v>
      </c>
      <c r="B9" s="4"/>
      <c r="C9" s="8"/>
      <c r="D9" s="8"/>
      <c r="E9" s="8"/>
      <c r="F9" s="8"/>
      <c r="G9" s="8"/>
      <c r="H9" s="8"/>
      <c r="I9" s="8"/>
      <c r="J9" s="8"/>
      <c r="K9" s="9"/>
    </row>
    <row r="10" spans="1:13" s="7" customFormat="1" ht="21" customHeight="1" x14ac:dyDescent="0.4">
      <c r="A10" s="4" t="s">
        <v>21</v>
      </c>
      <c r="B10" s="4"/>
      <c r="C10" s="8"/>
      <c r="D10" s="8"/>
      <c r="E10" s="8"/>
      <c r="F10" s="8"/>
      <c r="G10" s="8"/>
      <c r="H10" s="8"/>
      <c r="I10" s="8"/>
      <c r="J10" s="8"/>
      <c r="K10" s="9"/>
    </row>
    <row r="11" spans="1:13" s="7" customFormat="1" ht="21" customHeight="1" x14ac:dyDescent="0.4">
      <c r="A11" s="4" t="s">
        <v>22</v>
      </c>
      <c r="B11" s="4"/>
      <c r="C11" s="8"/>
      <c r="D11" s="8"/>
      <c r="E11" s="8"/>
      <c r="F11" s="8"/>
      <c r="G11" s="8"/>
      <c r="H11" s="8"/>
      <c r="I11" s="8"/>
      <c r="J11" s="8"/>
      <c r="K11" s="9"/>
    </row>
    <row r="12" spans="1:13" s="7" customFormat="1" ht="21" customHeight="1" x14ac:dyDescent="0.4">
      <c r="A12" s="4" t="s">
        <v>23</v>
      </c>
      <c r="B12" s="4"/>
      <c r="C12" s="8"/>
      <c r="D12" s="8"/>
      <c r="E12" s="8"/>
      <c r="F12" s="8"/>
      <c r="G12" s="8"/>
      <c r="H12" s="8"/>
      <c r="I12" s="8"/>
      <c r="J12" s="8"/>
      <c r="K12" s="9"/>
    </row>
    <row r="15" spans="1:13" x14ac:dyDescent="0.45">
      <c r="I15" s="6"/>
    </row>
  </sheetData>
  <autoFilter ref="A2:K4" xr:uid="{00000000-0009-0000-0000-000000000000}"/>
  <mergeCells count="1">
    <mergeCell ref="A1:K1"/>
  </mergeCells>
  <hyperlinks>
    <hyperlink ref="M2" location="'Report Master'!A1" display="Master" xr:uid="{FA8CEBB1-5676-445F-AD0F-39F6F77E10E4}"/>
  </hyperlinks>
  <pageMargins left="0.75" right="0.75" top="1" bottom="1" header="0.5" footer="0.5"/>
  <pageSetup orientation="portrait" horizontalDpi="0" verticalDpi="0"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Report Master</vt:lpstr>
      <vt:lpstr>Attendance</vt:lpstr>
      <vt:lpstr>New Joinee</vt:lpstr>
      <vt:lpstr>Resigned</vt:lpstr>
      <vt:lpstr>Stop Payment</vt:lpstr>
      <vt:lpstr>'Report Master'!Payroll_Statement</vt:lpstr>
      <vt:lpstr>Resigned!Payroll_Statement</vt:lpstr>
      <vt:lpstr>'Stop Payment'!Payroll_Statement</vt:lpstr>
      <vt:lpstr>Payroll_Statement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Sopesh Nath</dc:creator>
  <cp:lastModifiedBy>SOPESH NATH</cp:lastModifiedBy>
  <dcterms:created xsi:type="dcterms:W3CDTF">2013-09-06T04:29:21Z</dcterms:created>
  <dcterms:modified xsi:type="dcterms:W3CDTF">2020-06-12T11:58:03Z</dcterms:modified>
</cp:coreProperties>
</file>