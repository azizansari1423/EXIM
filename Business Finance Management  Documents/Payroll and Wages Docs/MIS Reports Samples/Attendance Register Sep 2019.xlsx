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Dropbox\IIHR BANGALORE\05. Payroll Management\MIS Reports Samples\"/>
    </mc:Choice>
  </mc:AlternateContent>
  <xr:revisionPtr revIDLastSave="0" documentId="13_ncr:1_{231E850C-13DF-4A51-BB73-A622D19698AC}" xr6:coauthVersionLast="43" xr6:coauthVersionMax="43" xr10:uidLastSave="{00000000-0000-0000-0000-000000000000}"/>
  <bookViews>
    <workbookView xWindow="-120" yWindow="-120" windowWidth="15600" windowHeight="11160" xr2:uid="{00000000-000D-0000-FFFF-FFFF00000000}"/>
  </bookViews>
  <sheets>
    <sheet name="Attendance" sheetId="3" r:id="rId1"/>
  </sheets>
  <definedNames>
    <definedName name="_xlnm._FilterDatabase" localSheetId="0" hidden="1">Attendance!#REF!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CZ27" i="3" s="1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CY18" i="3" s="1"/>
  <c r="U19" i="3"/>
  <c r="U20" i="3"/>
  <c r="U21" i="3"/>
  <c r="U22" i="3"/>
  <c r="U23" i="3"/>
  <c r="U24" i="3"/>
  <c r="U25" i="3"/>
  <c r="U26" i="3"/>
  <c r="U27" i="3"/>
  <c r="U28" i="3"/>
  <c r="U29" i="3"/>
  <c r="U30" i="3"/>
  <c r="CT30" i="3" s="1"/>
  <c r="U31" i="3"/>
  <c r="U32" i="3"/>
  <c r="U33" i="3"/>
  <c r="U34" i="3"/>
  <c r="U35" i="3"/>
  <c r="U36" i="3"/>
  <c r="U37" i="3"/>
  <c r="U38" i="3"/>
  <c r="U39" i="3"/>
  <c r="U40" i="3"/>
  <c r="U41" i="3"/>
  <c r="U42" i="3"/>
  <c r="U3" i="3"/>
  <c r="CO42" i="3"/>
  <c r="CO41" i="3"/>
  <c r="CO40" i="3"/>
  <c r="CO39" i="3"/>
  <c r="CO38" i="3"/>
  <c r="CO37" i="3"/>
  <c r="CO36" i="3"/>
  <c r="CO35" i="3"/>
  <c r="CO34" i="3"/>
  <c r="CO33" i="3"/>
  <c r="CO32" i="3"/>
  <c r="CO31" i="3"/>
  <c r="CO30" i="3"/>
  <c r="CO29" i="3"/>
  <c r="CO28" i="3"/>
  <c r="CO27" i="3"/>
  <c r="CO26" i="3"/>
  <c r="CO25" i="3"/>
  <c r="CO24" i="3"/>
  <c r="CO23" i="3"/>
  <c r="CO22" i="3"/>
  <c r="CO21" i="3"/>
  <c r="CO20" i="3"/>
  <c r="CO19" i="3"/>
  <c r="CO18" i="3"/>
  <c r="CO17" i="3"/>
  <c r="CO16" i="3"/>
  <c r="CO15" i="3"/>
  <c r="CO14" i="3"/>
  <c r="CO13" i="3"/>
  <c r="CO12" i="3"/>
  <c r="CO11" i="3"/>
  <c r="CO10" i="3"/>
  <c r="CO9" i="3"/>
  <c r="CO8" i="3"/>
  <c r="CO7" i="3"/>
  <c r="CO6" i="3"/>
  <c r="CO5" i="3"/>
  <c r="CO4" i="3"/>
  <c r="CO3" i="3"/>
  <c r="CF42" i="3"/>
  <c r="CF41" i="3"/>
  <c r="CF40" i="3"/>
  <c r="CF39" i="3"/>
  <c r="CF38" i="3"/>
  <c r="CF37" i="3"/>
  <c r="CF36" i="3"/>
  <c r="CF35" i="3"/>
  <c r="CF34" i="3"/>
  <c r="CF33" i="3"/>
  <c r="CF32" i="3"/>
  <c r="CF31" i="3"/>
  <c r="CF30" i="3"/>
  <c r="CF29" i="3"/>
  <c r="CF28" i="3"/>
  <c r="CF27" i="3"/>
  <c r="CF26" i="3"/>
  <c r="CF25" i="3"/>
  <c r="CF24" i="3"/>
  <c r="CF23" i="3"/>
  <c r="CF22" i="3"/>
  <c r="CF21" i="3"/>
  <c r="CF20" i="3"/>
  <c r="CF19" i="3"/>
  <c r="CF18" i="3"/>
  <c r="CF17" i="3"/>
  <c r="CF16" i="3"/>
  <c r="CF15" i="3"/>
  <c r="CF14" i="3"/>
  <c r="CF13" i="3"/>
  <c r="CF12" i="3"/>
  <c r="CF11" i="3"/>
  <c r="CF10" i="3"/>
  <c r="CF9" i="3"/>
  <c r="CF8" i="3"/>
  <c r="CF7" i="3"/>
  <c r="CF6" i="3"/>
  <c r="CF5" i="3"/>
  <c r="CF4" i="3"/>
  <c r="CF3" i="3"/>
  <c r="CC42" i="3"/>
  <c r="CC41" i="3"/>
  <c r="CC40" i="3"/>
  <c r="CC39" i="3"/>
  <c r="CC38" i="3"/>
  <c r="CC37" i="3"/>
  <c r="CC36" i="3"/>
  <c r="CC35" i="3"/>
  <c r="CC34" i="3"/>
  <c r="CC33" i="3"/>
  <c r="CC32" i="3"/>
  <c r="CC31" i="3"/>
  <c r="CC30" i="3"/>
  <c r="CC29" i="3"/>
  <c r="CC28" i="3"/>
  <c r="CC27" i="3"/>
  <c r="CC26" i="3"/>
  <c r="CC25" i="3"/>
  <c r="CC24" i="3"/>
  <c r="CC23" i="3"/>
  <c r="CC22" i="3"/>
  <c r="CC21" i="3"/>
  <c r="CC20" i="3"/>
  <c r="CC19" i="3"/>
  <c r="CC18" i="3"/>
  <c r="CC17" i="3"/>
  <c r="CC16" i="3"/>
  <c r="CC15" i="3"/>
  <c r="CC14" i="3"/>
  <c r="CC13" i="3"/>
  <c r="CC12" i="3"/>
  <c r="CC11" i="3"/>
  <c r="CC10" i="3"/>
  <c r="CC9" i="3"/>
  <c r="CC8" i="3"/>
  <c r="CC7" i="3"/>
  <c r="CC6" i="3"/>
  <c r="CC5" i="3"/>
  <c r="CC4" i="3"/>
  <c r="CC3" i="3"/>
  <c r="BZ42" i="3"/>
  <c r="BZ41" i="3"/>
  <c r="BZ40" i="3"/>
  <c r="BZ39" i="3"/>
  <c r="BZ38" i="3"/>
  <c r="BZ37" i="3"/>
  <c r="BZ36" i="3"/>
  <c r="BZ35" i="3"/>
  <c r="BZ34" i="3"/>
  <c r="BZ33" i="3"/>
  <c r="BZ32" i="3"/>
  <c r="BZ31" i="3"/>
  <c r="BZ30" i="3"/>
  <c r="BZ29" i="3"/>
  <c r="BZ28" i="3"/>
  <c r="BZ27" i="3"/>
  <c r="BZ26" i="3"/>
  <c r="BZ25" i="3"/>
  <c r="BZ24" i="3"/>
  <c r="BZ23" i="3"/>
  <c r="BZ22" i="3"/>
  <c r="BZ21" i="3"/>
  <c r="BZ20" i="3"/>
  <c r="BZ19" i="3"/>
  <c r="BZ18" i="3"/>
  <c r="BZ17" i="3"/>
  <c r="BZ16" i="3"/>
  <c r="BZ15" i="3"/>
  <c r="BZ14" i="3"/>
  <c r="BZ13" i="3"/>
  <c r="BZ12" i="3"/>
  <c r="BZ11" i="3"/>
  <c r="BZ10" i="3"/>
  <c r="BZ9" i="3"/>
  <c r="BZ8" i="3"/>
  <c r="BZ7" i="3"/>
  <c r="BZ6" i="3"/>
  <c r="BZ5" i="3"/>
  <c r="BZ4" i="3"/>
  <c r="BZ3" i="3"/>
  <c r="BW42" i="3"/>
  <c r="BW41" i="3"/>
  <c r="BW40" i="3"/>
  <c r="BW39" i="3"/>
  <c r="BW38" i="3"/>
  <c r="BW37" i="3"/>
  <c r="BW36" i="3"/>
  <c r="BW35" i="3"/>
  <c r="BW34" i="3"/>
  <c r="BW33" i="3"/>
  <c r="BW32" i="3"/>
  <c r="BW31" i="3"/>
  <c r="BW30" i="3"/>
  <c r="BW29" i="3"/>
  <c r="BW28" i="3"/>
  <c r="BW27" i="3"/>
  <c r="BW26" i="3"/>
  <c r="BW25" i="3"/>
  <c r="BW24" i="3"/>
  <c r="BW23" i="3"/>
  <c r="BW22" i="3"/>
  <c r="BW21" i="3"/>
  <c r="BW20" i="3"/>
  <c r="BW19" i="3"/>
  <c r="BW18" i="3"/>
  <c r="BW17" i="3"/>
  <c r="BW16" i="3"/>
  <c r="BW15" i="3"/>
  <c r="BW14" i="3"/>
  <c r="BW13" i="3"/>
  <c r="BW12" i="3"/>
  <c r="BW11" i="3"/>
  <c r="BW10" i="3"/>
  <c r="BW9" i="3"/>
  <c r="BW8" i="3"/>
  <c r="BW7" i="3"/>
  <c r="BW6" i="3"/>
  <c r="BW5" i="3"/>
  <c r="BW4" i="3"/>
  <c r="BW3" i="3"/>
  <c r="BT42" i="3"/>
  <c r="BT41" i="3"/>
  <c r="BT40" i="3"/>
  <c r="BT39" i="3"/>
  <c r="BT38" i="3"/>
  <c r="BT37" i="3"/>
  <c r="BT36" i="3"/>
  <c r="BT35" i="3"/>
  <c r="BT34" i="3"/>
  <c r="BT33" i="3"/>
  <c r="BT32" i="3"/>
  <c r="BT31" i="3"/>
  <c r="BT30" i="3"/>
  <c r="BT29" i="3"/>
  <c r="BT28" i="3"/>
  <c r="BT27" i="3"/>
  <c r="BT26" i="3"/>
  <c r="BT25" i="3"/>
  <c r="BT24" i="3"/>
  <c r="BT23" i="3"/>
  <c r="BT22" i="3"/>
  <c r="BT21" i="3"/>
  <c r="BT20" i="3"/>
  <c r="BT19" i="3"/>
  <c r="BT18" i="3"/>
  <c r="BT17" i="3"/>
  <c r="BT16" i="3"/>
  <c r="BT15" i="3"/>
  <c r="BT14" i="3"/>
  <c r="BT13" i="3"/>
  <c r="BT12" i="3"/>
  <c r="BT11" i="3"/>
  <c r="BT10" i="3"/>
  <c r="BT9" i="3"/>
  <c r="BT8" i="3"/>
  <c r="BT7" i="3"/>
  <c r="BT6" i="3"/>
  <c r="BT5" i="3"/>
  <c r="BT4" i="3"/>
  <c r="BT3" i="3"/>
  <c r="BK42" i="3"/>
  <c r="BK41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BK22" i="3"/>
  <c r="BK21" i="3"/>
  <c r="BK20" i="3"/>
  <c r="BK19" i="3"/>
  <c r="BK18" i="3"/>
  <c r="BK17" i="3"/>
  <c r="BK16" i="3"/>
  <c r="BK15" i="3"/>
  <c r="BK14" i="3"/>
  <c r="BK13" i="3"/>
  <c r="BK12" i="3"/>
  <c r="BK11" i="3"/>
  <c r="BK10" i="3"/>
  <c r="BK9" i="3"/>
  <c r="BK8" i="3"/>
  <c r="BK7" i="3"/>
  <c r="BK6" i="3"/>
  <c r="BK5" i="3"/>
  <c r="BK4" i="3"/>
  <c r="BK3" i="3"/>
  <c r="BH42" i="3"/>
  <c r="BH41" i="3"/>
  <c r="BH40" i="3"/>
  <c r="BH39" i="3"/>
  <c r="BH38" i="3"/>
  <c r="BH37" i="3"/>
  <c r="BH36" i="3"/>
  <c r="BH35" i="3"/>
  <c r="BH34" i="3"/>
  <c r="BH33" i="3"/>
  <c r="BH32" i="3"/>
  <c r="BH31" i="3"/>
  <c r="BH30" i="3"/>
  <c r="BH29" i="3"/>
  <c r="BH28" i="3"/>
  <c r="BH27" i="3"/>
  <c r="BH26" i="3"/>
  <c r="BH25" i="3"/>
  <c r="BH24" i="3"/>
  <c r="BH23" i="3"/>
  <c r="BH22" i="3"/>
  <c r="BH21" i="3"/>
  <c r="BH20" i="3"/>
  <c r="BH19" i="3"/>
  <c r="BH18" i="3"/>
  <c r="BH17" i="3"/>
  <c r="BH16" i="3"/>
  <c r="BH15" i="3"/>
  <c r="BH14" i="3"/>
  <c r="BH13" i="3"/>
  <c r="BH12" i="3"/>
  <c r="BH11" i="3"/>
  <c r="BH10" i="3"/>
  <c r="BH9" i="3"/>
  <c r="BH8" i="3"/>
  <c r="BH7" i="3"/>
  <c r="BH6" i="3"/>
  <c r="BH5" i="3"/>
  <c r="BH4" i="3"/>
  <c r="BH3" i="3"/>
  <c r="BE42" i="3"/>
  <c r="BE41" i="3"/>
  <c r="BE40" i="3"/>
  <c r="BE39" i="3"/>
  <c r="BE38" i="3"/>
  <c r="BE37" i="3"/>
  <c r="BE36" i="3"/>
  <c r="BE35" i="3"/>
  <c r="BE34" i="3"/>
  <c r="BE33" i="3"/>
  <c r="BE32" i="3"/>
  <c r="BE31" i="3"/>
  <c r="BE30" i="3"/>
  <c r="BE29" i="3"/>
  <c r="BE28" i="3"/>
  <c r="BE27" i="3"/>
  <c r="BE26" i="3"/>
  <c r="BE25" i="3"/>
  <c r="BE24" i="3"/>
  <c r="BE23" i="3"/>
  <c r="BE22" i="3"/>
  <c r="BE21" i="3"/>
  <c r="BE20" i="3"/>
  <c r="BE19" i="3"/>
  <c r="BE18" i="3"/>
  <c r="BE17" i="3"/>
  <c r="BE16" i="3"/>
  <c r="BE15" i="3"/>
  <c r="BE14" i="3"/>
  <c r="BE13" i="3"/>
  <c r="BE12" i="3"/>
  <c r="BE11" i="3"/>
  <c r="BE10" i="3"/>
  <c r="BE9" i="3"/>
  <c r="BE8" i="3"/>
  <c r="BE7" i="3"/>
  <c r="BE6" i="3"/>
  <c r="BE5" i="3"/>
  <c r="BE4" i="3"/>
  <c r="BE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B20" i="3"/>
  <c r="BB19" i="3"/>
  <c r="BB18" i="3"/>
  <c r="BB17" i="3"/>
  <c r="BB16" i="3"/>
  <c r="BB15" i="3"/>
  <c r="BB14" i="3"/>
  <c r="BB13" i="3"/>
  <c r="BB12" i="3"/>
  <c r="BB11" i="3"/>
  <c r="BB10" i="3"/>
  <c r="BB9" i="3"/>
  <c r="BB8" i="3"/>
  <c r="BB7" i="3"/>
  <c r="BB6" i="3"/>
  <c r="BB5" i="3"/>
  <c r="BB4" i="3"/>
  <c r="BB3" i="3"/>
  <c r="AY42" i="3"/>
  <c r="AY41" i="3"/>
  <c r="AY40" i="3"/>
  <c r="AY39" i="3"/>
  <c r="AY38" i="3"/>
  <c r="AY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AY3" i="3"/>
  <c r="AP42" i="3"/>
  <c r="AP41" i="3"/>
  <c r="AP40" i="3"/>
  <c r="AP39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AP4" i="3"/>
  <c r="AP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CT14" i="3"/>
  <c r="CZ29" i="3"/>
  <c r="CQ34" i="3"/>
  <c r="CZ38" i="3"/>
  <c r="CX41" i="3"/>
  <c r="CT32" i="3"/>
  <c r="CX25" i="3"/>
  <c r="CZ22" i="3"/>
  <c r="CY13" i="3"/>
  <c r="CT9" i="3"/>
  <c r="CY11" i="3" l="1"/>
  <c r="CT39" i="3"/>
  <c r="CP7" i="3"/>
  <c r="CY36" i="3"/>
  <c r="CT16" i="3"/>
  <c r="CW21" i="3"/>
  <c r="CS37" i="3"/>
  <c r="CT23" i="3"/>
  <c r="CY20" i="3"/>
  <c r="CS12" i="3"/>
  <c r="CS28" i="3"/>
  <c r="CW19" i="3"/>
  <c r="CW7" i="3"/>
  <c r="CW9" i="3"/>
  <c r="CZ11" i="3"/>
  <c r="CZ13" i="3"/>
  <c r="DA13" i="3" s="1"/>
  <c r="DC13" i="3" s="1"/>
  <c r="CW15" i="3"/>
  <c r="CZ16" i="3"/>
  <c r="CW17" i="3"/>
  <c r="CX18" i="3"/>
  <c r="CZ20" i="3"/>
  <c r="CW22" i="3"/>
  <c r="CZ23" i="3"/>
  <c r="CW24" i="3"/>
  <c r="CZ25" i="3"/>
  <c r="CW32" i="3"/>
  <c r="CW33" i="3"/>
  <c r="CW34" i="3"/>
  <c r="CZ36" i="3"/>
  <c r="CW38" i="3"/>
  <c r="CZ39" i="3"/>
  <c r="CW40" i="3"/>
  <c r="CW41" i="3"/>
  <c r="CX8" i="3"/>
  <c r="CY10" i="3"/>
  <c r="CW11" i="3"/>
  <c r="CY12" i="3"/>
  <c r="CS13" i="3"/>
  <c r="CZ14" i="3"/>
  <c r="CP15" i="3"/>
  <c r="CT17" i="3"/>
  <c r="CY19" i="3"/>
  <c r="CW20" i="3"/>
  <c r="CY21" i="3"/>
  <c r="CX22" i="3"/>
  <c r="CX24" i="3"/>
  <c r="CY26" i="3"/>
  <c r="CS27" i="3"/>
  <c r="CZ28" i="3"/>
  <c r="CS29" i="3"/>
  <c r="CW30" i="3"/>
  <c r="CX31" i="3"/>
  <c r="CT33" i="3"/>
  <c r="CY35" i="3"/>
  <c r="CS36" i="3"/>
  <c r="CY37" i="3"/>
  <c r="CX38" i="3"/>
  <c r="CX40" i="3"/>
  <c r="CU42" i="3"/>
  <c r="CW8" i="3"/>
  <c r="CX10" i="3"/>
  <c r="CZ12" i="3"/>
  <c r="CW14" i="3"/>
  <c r="CZ15" i="3"/>
  <c r="CW16" i="3"/>
  <c r="CZ17" i="3"/>
  <c r="CZ19" i="3"/>
  <c r="CZ21" i="3"/>
  <c r="CW23" i="3"/>
  <c r="CZ24" i="3"/>
  <c r="CW25" i="3"/>
  <c r="CX26" i="3"/>
  <c r="CW31" i="3"/>
  <c r="CS32" i="3"/>
  <c r="CZ33" i="3"/>
  <c r="CX34" i="3"/>
  <c r="CZ35" i="3"/>
  <c r="CZ37" i="3"/>
  <c r="CW39" i="3"/>
  <c r="CZ40" i="3"/>
  <c r="CX42" i="3"/>
  <c r="CS35" i="3"/>
  <c r="CW36" i="3"/>
  <c r="CW37" i="3"/>
  <c r="CT38" i="3"/>
  <c r="CP39" i="3"/>
  <c r="CX39" i="3"/>
  <c r="CT40" i="3"/>
  <c r="CT41" i="3"/>
  <c r="CQ42" i="3"/>
  <c r="CY42" i="3"/>
  <c r="CP35" i="3"/>
  <c r="CT35" i="3"/>
  <c r="CX35" i="3"/>
  <c r="CP36" i="3"/>
  <c r="CT36" i="3"/>
  <c r="CX36" i="3"/>
  <c r="CP37" i="3"/>
  <c r="CT37" i="3"/>
  <c r="CX37" i="3"/>
  <c r="CQ38" i="3"/>
  <c r="CU38" i="3"/>
  <c r="CY38" i="3"/>
  <c r="DA38" i="3" s="1"/>
  <c r="DC38" i="3" s="1"/>
  <c r="CQ39" i="3"/>
  <c r="CU39" i="3"/>
  <c r="CY39" i="3"/>
  <c r="CQ40" i="3"/>
  <c r="CU40" i="3"/>
  <c r="CY40" i="3"/>
  <c r="CQ41" i="3"/>
  <c r="CU41" i="3"/>
  <c r="CY41" i="3"/>
  <c r="CR42" i="3"/>
  <c r="CZ42" i="3"/>
  <c r="CW35" i="3"/>
  <c r="CP38" i="3"/>
  <c r="CP40" i="3"/>
  <c r="CP41" i="3"/>
  <c r="CQ35" i="3"/>
  <c r="CU35" i="3"/>
  <c r="CQ36" i="3"/>
  <c r="CU36" i="3"/>
  <c r="CQ37" i="3"/>
  <c r="CU37" i="3"/>
  <c r="CR38" i="3"/>
  <c r="CR39" i="3"/>
  <c r="CR40" i="3"/>
  <c r="CR41" i="3"/>
  <c r="CZ41" i="3"/>
  <c r="CS42" i="3"/>
  <c r="CW42" i="3"/>
  <c r="CR35" i="3"/>
  <c r="CR36" i="3"/>
  <c r="CR37" i="3"/>
  <c r="CS38" i="3"/>
  <c r="CS39" i="3"/>
  <c r="CS40" i="3"/>
  <c r="CS41" i="3"/>
  <c r="CP42" i="3"/>
  <c r="CT42" i="3"/>
  <c r="CW28" i="3"/>
  <c r="CX30" i="3"/>
  <c r="CT31" i="3"/>
  <c r="CX32" i="3"/>
  <c r="CX33" i="3"/>
  <c r="CY34" i="3"/>
  <c r="CP27" i="3"/>
  <c r="CT27" i="3"/>
  <c r="CX27" i="3"/>
  <c r="CP28" i="3"/>
  <c r="CT28" i="3"/>
  <c r="CX28" i="3"/>
  <c r="CP29" i="3"/>
  <c r="CT29" i="3"/>
  <c r="CX29" i="3"/>
  <c r="CQ30" i="3"/>
  <c r="CU30" i="3"/>
  <c r="CY30" i="3"/>
  <c r="CQ31" i="3"/>
  <c r="CU31" i="3"/>
  <c r="CY31" i="3"/>
  <c r="CQ32" i="3"/>
  <c r="CU32" i="3"/>
  <c r="CY32" i="3"/>
  <c r="CQ33" i="3"/>
  <c r="CU33" i="3"/>
  <c r="CY33" i="3"/>
  <c r="CR34" i="3"/>
  <c r="CZ34" i="3"/>
  <c r="CW27" i="3"/>
  <c r="CW29" i="3"/>
  <c r="CP30" i="3"/>
  <c r="CP31" i="3"/>
  <c r="CP32" i="3"/>
  <c r="CP33" i="3"/>
  <c r="CU34" i="3"/>
  <c r="CQ27" i="3"/>
  <c r="CU27" i="3"/>
  <c r="CY27" i="3"/>
  <c r="DA27" i="3" s="1"/>
  <c r="DC27" i="3" s="1"/>
  <c r="CQ28" i="3"/>
  <c r="CU28" i="3"/>
  <c r="CY28" i="3"/>
  <c r="DA28" i="3" s="1"/>
  <c r="DC28" i="3" s="1"/>
  <c r="CQ29" i="3"/>
  <c r="CU29" i="3"/>
  <c r="CY29" i="3"/>
  <c r="DA29" i="3" s="1"/>
  <c r="DC29" i="3" s="1"/>
  <c r="CR30" i="3"/>
  <c r="CZ30" i="3"/>
  <c r="CR31" i="3"/>
  <c r="CZ31" i="3"/>
  <c r="CR32" i="3"/>
  <c r="CZ32" i="3"/>
  <c r="CR33" i="3"/>
  <c r="CS34" i="3"/>
  <c r="CR27" i="3"/>
  <c r="CR28" i="3"/>
  <c r="CR29" i="3"/>
  <c r="CS30" i="3"/>
  <c r="CS31" i="3"/>
  <c r="CS33" i="3"/>
  <c r="CP34" i="3"/>
  <c r="CT34" i="3"/>
  <c r="CS19" i="3"/>
  <c r="CS21" i="3"/>
  <c r="CP22" i="3"/>
  <c r="CT22" i="3"/>
  <c r="CP23" i="3"/>
  <c r="CX23" i="3"/>
  <c r="CT24" i="3"/>
  <c r="CT25" i="3"/>
  <c r="CQ26" i="3"/>
  <c r="CU26" i="3"/>
  <c r="CP19" i="3"/>
  <c r="CT19" i="3"/>
  <c r="CP20" i="3"/>
  <c r="CT20" i="3"/>
  <c r="CX20" i="3"/>
  <c r="CP21" i="3"/>
  <c r="CT21" i="3"/>
  <c r="CX21" i="3"/>
  <c r="CQ22" i="3"/>
  <c r="CU22" i="3"/>
  <c r="CY22" i="3"/>
  <c r="DA22" i="3" s="1"/>
  <c r="DC22" i="3" s="1"/>
  <c r="CQ23" i="3"/>
  <c r="CU23" i="3"/>
  <c r="CY23" i="3"/>
  <c r="CQ24" i="3"/>
  <c r="CU24" i="3"/>
  <c r="CY24" i="3"/>
  <c r="CQ25" i="3"/>
  <c r="CU25" i="3"/>
  <c r="CY25" i="3"/>
  <c r="DA25" i="3" s="1"/>
  <c r="DC25" i="3" s="1"/>
  <c r="CR26" i="3"/>
  <c r="CZ26" i="3"/>
  <c r="CS20" i="3"/>
  <c r="CP24" i="3"/>
  <c r="CP25" i="3"/>
  <c r="CX19" i="3"/>
  <c r="CQ19" i="3"/>
  <c r="CU19" i="3"/>
  <c r="CQ20" i="3"/>
  <c r="CU20" i="3"/>
  <c r="CQ21" i="3"/>
  <c r="CU21" i="3"/>
  <c r="CR22" i="3"/>
  <c r="CR23" i="3"/>
  <c r="CR24" i="3"/>
  <c r="CR25" i="3"/>
  <c r="CS26" i="3"/>
  <c r="CW26" i="3"/>
  <c r="CR19" i="3"/>
  <c r="CR20" i="3"/>
  <c r="CR21" i="3"/>
  <c r="CS22" i="3"/>
  <c r="CS23" i="3"/>
  <c r="CS24" i="3"/>
  <c r="CS25" i="3"/>
  <c r="CP26" i="3"/>
  <c r="CT26" i="3"/>
  <c r="CS11" i="3"/>
  <c r="CW12" i="3"/>
  <c r="CP14" i="3"/>
  <c r="CT15" i="3"/>
  <c r="CP16" i="3"/>
  <c r="CX16" i="3"/>
  <c r="CP17" i="3"/>
  <c r="CX17" i="3"/>
  <c r="CQ18" i="3"/>
  <c r="CU18" i="3"/>
  <c r="CP11" i="3"/>
  <c r="CX11" i="3"/>
  <c r="CP12" i="3"/>
  <c r="CT12" i="3"/>
  <c r="CX12" i="3"/>
  <c r="CP13" i="3"/>
  <c r="CT13" i="3"/>
  <c r="CX13" i="3"/>
  <c r="CQ14" i="3"/>
  <c r="CU14" i="3"/>
  <c r="CY14" i="3"/>
  <c r="CQ15" i="3"/>
  <c r="CU15" i="3"/>
  <c r="CY15" i="3"/>
  <c r="CQ16" i="3"/>
  <c r="CU16" i="3"/>
  <c r="CY16" i="3"/>
  <c r="CQ17" i="3"/>
  <c r="CU17" i="3"/>
  <c r="CY17" i="3"/>
  <c r="CR18" i="3"/>
  <c r="CZ18" i="3"/>
  <c r="DA18" i="3" s="1"/>
  <c r="DC18" i="3" s="1"/>
  <c r="CW13" i="3"/>
  <c r="CX14" i="3"/>
  <c r="CX15" i="3"/>
  <c r="CT11" i="3"/>
  <c r="CQ11" i="3"/>
  <c r="CU11" i="3"/>
  <c r="CQ12" i="3"/>
  <c r="CU12" i="3"/>
  <c r="CQ13" i="3"/>
  <c r="CU13" i="3"/>
  <c r="CR14" i="3"/>
  <c r="CR15" i="3"/>
  <c r="CR16" i="3"/>
  <c r="CR17" i="3"/>
  <c r="CS18" i="3"/>
  <c r="CW18" i="3"/>
  <c r="CR11" i="3"/>
  <c r="CR12" i="3"/>
  <c r="CR13" i="3"/>
  <c r="CS14" i="3"/>
  <c r="CS15" i="3"/>
  <c r="CS16" i="3"/>
  <c r="CS17" i="3"/>
  <c r="CP18" i="3"/>
  <c r="CT18" i="3"/>
  <c r="CT7" i="3"/>
  <c r="CX7" i="3"/>
  <c r="CP8" i="3"/>
  <c r="CT8" i="3"/>
  <c r="CP9" i="3"/>
  <c r="CX9" i="3"/>
  <c r="CQ10" i="3"/>
  <c r="CU10" i="3"/>
  <c r="CQ7" i="3"/>
  <c r="CU7" i="3"/>
  <c r="CY7" i="3"/>
  <c r="CQ8" i="3"/>
  <c r="CU8" i="3"/>
  <c r="CY8" i="3"/>
  <c r="CQ9" i="3"/>
  <c r="CU9" i="3"/>
  <c r="CY9" i="3"/>
  <c r="CR10" i="3"/>
  <c r="CZ10" i="3"/>
  <c r="CR7" i="3"/>
  <c r="CZ7" i="3"/>
  <c r="CR8" i="3"/>
  <c r="CZ8" i="3"/>
  <c r="CR9" i="3"/>
  <c r="CZ9" i="3"/>
  <c r="CS10" i="3"/>
  <c r="CW10" i="3"/>
  <c r="CS7" i="3"/>
  <c r="CS8" i="3"/>
  <c r="CS9" i="3"/>
  <c r="CP10" i="3"/>
  <c r="CT10" i="3"/>
  <c r="CX3" i="3"/>
  <c r="DA15" i="3" l="1"/>
  <c r="DC15" i="3" s="1"/>
  <c r="DA40" i="3"/>
  <c r="DC40" i="3" s="1"/>
  <c r="DA20" i="3"/>
  <c r="DC20" i="3" s="1"/>
  <c r="DA11" i="3"/>
  <c r="DC11" i="3" s="1"/>
  <c r="DA21" i="3"/>
  <c r="DC21" i="3" s="1"/>
  <c r="DA36" i="3"/>
  <c r="DC36" i="3" s="1"/>
  <c r="DA24" i="3"/>
  <c r="DC24" i="3" s="1"/>
  <c r="DA16" i="3"/>
  <c r="DC16" i="3" s="1"/>
  <c r="DA14" i="3"/>
  <c r="DC14" i="3" s="1"/>
  <c r="DA33" i="3"/>
  <c r="DC33" i="3" s="1"/>
  <c r="DA10" i="3"/>
  <c r="DC10" i="3" s="1"/>
  <c r="CV18" i="3"/>
  <c r="CV34" i="3"/>
  <c r="CV30" i="3"/>
  <c r="DA32" i="3"/>
  <c r="DC32" i="3" s="1"/>
  <c r="CV38" i="3"/>
  <c r="DA41" i="3"/>
  <c r="DC41" i="3" s="1"/>
  <c r="DA35" i="3"/>
  <c r="DC35" i="3" s="1"/>
  <c r="DA19" i="3"/>
  <c r="DC19" i="3" s="1"/>
  <c r="DA8" i="3"/>
  <c r="DC8" i="3" s="1"/>
  <c r="DA12" i="3"/>
  <c r="DC12" i="3" s="1"/>
  <c r="CV7" i="3"/>
  <c r="DA17" i="3"/>
  <c r="DC17" i="3" s="1"/>
  <c r="CV15" i="3"/>
  <c r="CV26" i="3"/>
  <c r="DA26" i="3"/>
  <c r="DC26" i="3" s="1"/>
  <c r="DA23" i="3"/>
  <c r="DC23" i="3" s="1"/>
  <c r="DA39" i="3"/>
  <c r="DC39" i="3" s="1"/>
  <c r="DA37" i="3"/>
  <c r="DC37" i="3" s="1"/>
  <c r="CV42" i="3"/>
  <c r="CV36" i="3"/>
  <c r="DA42" i="3"/>
  <c r="DC42" i="3" s="1"/>
  <c r="CV35" i="3"/>
  <c r="CV41" i="3"/>
  <c r="CV37" i="3"/>
  <c r="CV39" i="3"/>
  <c r="CV40" i="3"/>
  <c r="CV33" i="3"/>
  <c r="CV27" i="3"/>
  <c r="CV32" i="3"/>
  <c r="DA30" i="3"/>
  <c r="DC30" i="3" s="1"/>
  <c r="CV28" i="3"/>
  <c r="DA34" i="3"/>
  <c r="DC34" i="3" s="1"/>
  <c r="CV31" i="3"/>
  <c r="DA31" i="3"/>
  <c r="DC31" i="3" s="1"/>
  <c r="CV29" i="3"/>
  <c r="CV24" i="3"/>
  <c r="CV20" i="3"/>
  <c r="CV23" i="3"/>
  <c r="CV21" i="3"/>
  <c r="CV25" i="3"/>
  <c r="CV19" i="3"/>
  <c r="CV22" i="3"/>
  <c r="CV12" i="3"/>
  <c r="CV16" i="3"/>
  <c r="CV13" i="3"/>
  <c r="CV11" i="3"/>
  <c r="CV17" i="3"/>
  <c r="CV14" i="3"/>
  <c r="DA9" i="3"/>
  <c r="DC9" i="3" s="1"/>
  <c r="CV9" i="3"/>
  <c r="CV10" i="3"/>
  <c r="DA7" i="3"/>
  <c r="DC7" i="3" s="1"/>
  <c r="CV8" i="3"/>
  <c r="CY3" i="3"/>
  <c r="CR3" i="3"/>
  <c r="CS3" i="3"/>
  <c r="CW3" i="3"/>
  <c r="CQ3" i="3"/>
  <c r="CU3" i="3"/>
  <c r="CZ3" i="3"/>
  <c r="CP3" i="3"/>
  <c r="CT3" i="3"/>
  <c r="CP5" i="3" l="1"/>
  <c r="CP4" i="3"/>
  <c r="CP6" i="3"/>
  <c r="CV3" i="3"/>
  <c r="DA3" i="3"/>
  <c r="DC3" i="3" s="1"/>
  <c r="CX5" i="3"/>
  <c r="CX6" i="3"/>
  <c r="CX4" i="3"/>
  <c r="CY4" i="3"/>
  <c r="CU6" i="3"/>
  <c r="CQ4" i="3"/>
  <c r="CR4" i="3"/>
  <c r="CZ4" i="3"/>
  <c r="CU4" i="3"/>
  <c r="CS4" i="3"/>
  <c r="CW4" i="3"/>
  <c r="CT4" i="3"/>
  <c r="CY6" i="3"/>
  <c r="CR6" i="3"/>
  <c r="CZ6" i="3"/>
  <c r="CQ6" i="3"/>
  <c r="CS6" i="3"/>
  <c r="CW6" i="3"/>
  <c r="CT6" i="3"/>
  <c r="DA4" i="3" l="1"/>
  <c r="DC4" i="3" s="1"/>
  <c r="DA6" i="3"/>
  <c r="DC6" i="3" s="1"/>
  <c r="CV4" i="3"/>
  <c r="CV6" i="3"/>
  <c r="CZ5" i="3"/>
  <c r="CY5" i="3"/>
  <c r="CW5" i="3"/>
  <c r="CU5" i="3"/>
  <c r="CT5" i="3"/>
  <c r="CS5" i="3"/>
  <c r="CR5" i="3"/>
  <c r="CQ5" i="3"/>
  <c r="CV5" i="3" l="1"/>
  <c r="DA5" i="3"/>
  <c r="DC5" i="3" s="1"/>
</calcChain>
</file>

<file path=xl/sharedStrings.xml><?xml version="1.0" encoding="utf-8"?>
<sst xmlns="http://schemas.openxmlformats.org/spreadsheetml/2006/main" count="509" uniqueCount="71">
  <si>
    <t>TOTAL LEAVES</t>
  </si>
  <si>
    <t>TOTAL PRESENT - ABSENT - HOLIDAYS</t>
  </si>
  <si>
    <t>TOTAL</t>
  </si>
  <si>
    <t>Late Coming Days</t>
  </si>
  <si>
    <t>REMARKS</t>
  </si>
  <si>
    <t>Sl No.</t>
  </si>
  <si>
    <t>Emp. No.</t>
  </si>
  <si>
    <t>Emp. Name</t>
  </si>
  <si>
    <t>EL</t>
  </si>
  <si>
    <t>EL-H</t>
  </si>
  <si>
    <t>CL</t>
  </si>
  <si>
    <t>CL-H</t>
  </si>
  <si>
    <t>C-Off</t>
  </si>
  <si>
    <t>C-Off-H</t>
  </si>
  <si>
    <t>Total Leaves</t>
  </si>
  <si>
    <t>Present</t>
  </si>
  <si>
    <t>Holidays</t>
  </si>
  <si>
    <t>Half Day</t>
  </si>
  <si>
    <t>Absent</t>
  </si>
  <si>
    <t>Total LOP</t>
  </si>
  <si>
    <t>Total Month Days</t>
  </si>
  <si>
    <t>Total Workdays</t>
  </si>
  <si>
    <t>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</si>
  <si>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</si>
  <si>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</si>
  <si>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</si>
  <si>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</si>
  <si>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</si>
  <si>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</si>
  <si>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</si>
  <si>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</si>
  <si>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</si>
  <si>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</si>
  <si>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</si>
  <si>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</si>
  <si>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</si>
  <si>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</si>
  <si>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</si>
  <si>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</si>
  <si>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</si>
  <si>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</si>
  <si>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</si>
  <si>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</si>
  <si>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</si>
  <si>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</si>
  <si>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</si>
  <si>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</si>
  <si>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</si>
  <si>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</si>
  <si>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</si>
  <si>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</si>
  <si>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</si>
  <si>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</si>
  <si>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</si>
  <si>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</si>
  <si>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</si>
  <si>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</si>
  <si>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</si>
  <si>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</si>
  <si>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</si>
  <si>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</si>
  <si>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</si>
  <si>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</si>
  <si>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Attendance Register for the month of September 2019</t>
  </si>
  <si>
    <t>H</t>
  </si>
  <si>
    <t>Sajith</t>
  </si>
  <si>
    <t>HRT-0913</t>
  </si>
  <si>
    <t>Mala</t>
  </si>
  <si>
    <t>HRT-0902</t>
  </si>
  <si>
    <t>HRT-0908</t>
  </si>
  <si>
    <t>Swapnil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</si>
</sst>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5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0" fontId="2" fillId="0" borderId="0"/>
    <xf numFmtId="0" fontId="2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>
      <alignment wrapText="1"/>
    </xf>
  </cellStyleXfs>
  <cellXfs count="22">
    <xf numFmtId="0" fontId="0" fillId="0" borderId="0" xfId="0"/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/>
    </xf>
    <xf numFmtId="14" fontId="7" fillId="2" borderId="1" xfId="0" quotePrefix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57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10" xfId="3" xr:uid="{00000000-0005-0000-0000-000003000000}"/>
    <cellStyle name="Normal 2 11" xfId="4" xr:uid="{00000000-0005-0000-0000-000004000000}"/>
    <cellStyle name="Normal 2 12" xfId="5" xr:uid="{00000000-0005-0000-0000-000005000000}"/>
    <cellStyle name="Normal 2 13" xfId="6" xr:uid="{00000000-0005-0000-0000-000006000000}"/>
    <cellStyle name="Normal 2 14" xfId="7" xr:uid="{00000000-0005-0000-0000-000007000000}"/>
    <cellStyle name="Normal 2 15" xfId="8" xr:uid="{00000000-0005-0000-0000-000008000000}"/>
    <cellStyle name="Normal 2 16" xfId="9" xr:uid="{00000000-0005-0000-0000-000009000000}"/>
    <cellStyle name="Normal 2 17" xfId="10" xr:uid="{00000000-0005-0000-0000-00000A000000}"/>
    <cellStyle name="Normal 2 18" xfId="11" xr:uid="{00000000-0005-0000-0000-00000B000000}"/>
    <cellStyle name="Normal 2 19" xfId="12" xr:uid="{00000000-0005-0000-0000-00000C000000}"/>
    <cellStyle name="Normal 2 2" xfId="13" xr:uid="{00000000-0005-0000-0000-00000D000000}"/>
    <cellStyle name="Normal 2 20" xfId="14" xr:uid="{00000000-0005-0000-0000-00000E000000}"/>
    <cellStyle name="Normal 2 21" xfId="15" xr:uid="{00000000-0005-0000-0000-00000F000000}"/>
    <cellStyle name="Normal 2 22" xfId="16" xr:uid="{00000000-0005-0000-0000-000010000000}"/>
    <cellStyle name="Normal 2 23" xfId="17" xr:uid="{00000000-0005-0000-0000-000011000000}"/>
    <cellStyle name="Normal 2 24" xfId="18" xr:uid="{00000000-0005-0000-0000-000012000000}"/>
    <cellStyle name="Normal 2 25" xfId="19" xr:uid="{00000000-0005-0000-0000-000013000000}"/>
    <cellStyle name="Normal 2 26" xfId="20" xr:uid="{00000000-0005-0000-0000-000014000000}"/>
    <cellStyle name="Normal 2 27" xfId="21" xr:uid="{00000000-0005-0000-0000-000015000000}"/>
    <cellStyle name="Normal 2 28" xfId="22" xr:uid="{00000000-0005-0000-0000-000016000000}"/>
    <cellStyle name="Normal 2 29" xfId="23" xr:uid="{00000000-0005-0000-0000-000017000000}"/>
    <cellStyle name="Normal 2 3" xfId="24" xr:uid="{00000000-0005-0000-0000-000018000000}"/>
    <cellStyle name="Normal 2 30" xfId="25" xr:uid="{00000000-0005-0000-0000-000019000000}"/>
    <cellStyle name="Normal 2 31" xfId="26" xr:uid="{00000000-0005-0000-0000-00001A000000}"/>
    <cellStyle name="Normal 2 32" xfId="27" xr:uid="{00000000-0005-0000-0000-00001B000000}"/>
    <cellStyle name="Normal 2 33" xfId="28" xr:uid="{00000000-0005-0000-0000-00001C000000}"/>
    <cellStyle name="Normal 2 34" xfId="29" xr:uid="{00000000-0005-0000-0000-00001D000000}"/>
    <cellStyle name="Normal 2 35" xfId="30" xr:uid="{00000000-0005-0000-0000-00001E000000}"/>
    <cellStyle name="Normal 2 36" xfId="31" xr:uid="{00000000-0005-0000-0000-00001F000000}"/>
    <cellStyle name="Normal 2 37" xfId="32" xr:uid="{00000000-0005-0000-0000-000020000000}"/>
    <cellStyle name="Normal 2 38" xfId="33" xr:uid="{00000000-0005-0000-0000-000021000000}"/>
    <cellStyle name="Normal 2 39" xfId="34" xr:uid="{00000000-0005-0000-0000-000022000000}"/>
    <cellStyle name="Normal 2 4" xfId="35" xr:uid="{00000000-0005-0000-0000-000023000000}"/>
    <cellStyle name="Normal 2 40" xfId="36" xr:uid="{00000000-0005-0000-0000-000024000000}"/>
    <cellStyle name="Normal 2 41" xfId="37" xr:uid="{00000000-0005-0000-0000-000025000000}"/>
    <cellStyle name="Normal 2 42" xfId="38" xr:uid="{00000000-0005-0000-0000-000026000000}"/>
    <cellStyle name="Normal 2 43" xfId="39" xr:uid="{00000000-0005-0000-0000-000027000000}"/>
    <cellStyle name="Normal 2 44" xfId="40" xr:uid="{00000000-0005-0000-0000-000028000000}"/>
    <cellStyle name="Normal 2 45" xfId="41" xr:uid="{00000000-0005-0000-0000-000029000000}"/>
    <cellStyle name="Normal 2 46" xfId="42" xr:uid="{00000000-0005-0000-0000-00002A000000}"/>
    <cellStyle name="Normal 2 47" xfId="43" xr:uid="{00000000-0005-0000-0000-00002B000000}"/>
    <cellStyle name="Normal 2 48" xfId="44" xr:uid="{00000000-0005-0000-0000-00002C000000}"/>
    <cellStyle name="Normal 2 49" xfId="45" xr:uid="{00000000-0005-0000-0000-00002D000000}"/>
    <cellStyle name="Normal 2 5" xfId="46" xr:uid="{00000000-0005-0000-0000-00002E000000}"/>
    <cellStyle name="Normal 2 50" xfId="47" xr:uid="{00000000-0005-0000-0000-00002F000000}"/>
    <cellStyle name="Normal 2 51" xfId="48" xr:uid="{00000000-0005-0000-0000-000030000000}"/>
    <cellStyle name="Normal 2 6" xfId="49" xr:uid="{00000000-0005-0000-0000-000031000000}"/>
    <cellStyle name="Normal 2 7" xfId="50" xr:uid="{00000000-0005-0000-0000-000032000000}"/>
    <cellStyle name="Normal 2 8" xfId="51" xr:uid="{00000000-0005-0000-0000-000033000000}"/>
    <cellStyle name="Normal 2 9" xfId="52" xr:uid="{00000000-0005-0000-0000-000034000000}"/>
    <cellStyle name="Normal 3" xfId="53" xr:uid="{00000000-0005-0000-0000-000035000000}"/>
    <cellStyle name="Normal 4" xfId="54" xr:uid="{00000000-0005-0000-0000-000036000000}"/>
    <cellStyle name="Normal 5" xfId="55" xr:uid="{00000000-0005-0000-0000-000037000000}"/>
    <cellStyle name="Normal 6" xfId="56" xr:uid="{00000000-0005-0000-0000-000038000000}"/>
  </cellStyles>
  <dxfs count="20045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2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6" sqref="J6"/>
    </sheetView>
  </sheetViews>
  <sheetFormatPr defaultRowHeight="21" customHeight="1" x14ac:dyDescent="0.25"/>
  <cols>
    <col min="1" max="1" width="8.42578125" style="1" customWidth="1"/>
    <col min="2" max="2" width="13.5703125" style="1" customWidth="1"/>
    <col min="3" max="3" width="35.42578125" style="2" customWidth="1"/>
    <col min="4" max="93" width="9" style="1" customWidth="1"/>
    <col min="94" max="107" width="9.140625" style="1"/>
    <col min="108" max="108" width="12.140625" style="1" customWidth="1"/>
    <col min="109" max="109" width="41.42578125" style="1" customWidth="1"/>
    <col min="110" max="16384" width="9.140625" style="2"/>
  </cols>
  <sheetData>
    <row r="1" spans="1:109" ht="28.5" customHeight="1" x14ac:dyDescent="0.25">
      <c r="A1" s="19" t="s">
        <v>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20" t="s">
        <v>0</v>
      </c>
      <c r="CQ1" s="20"/>
      <c r="CR1" s="20"/>
      <c r="CS1" s="20"/>
      <c r="CT1" s="20"/>
      <c r="CU1" s="20"/>
      <c r="CV1" s="20"/>
      <c r="CW1" s="20" t="s">
        <v>1</v>
      </c>
      <c r="CX1" s="20"/>
      <c r="CY1" s="20"/>
      <c r="CZ1" s="20"/>
      <c r="DA1" s="20"/>
      <c r="DB1" s="20" t="s">
        <v>2</v>
      </c>
      <c r="DC1" s="20"/>
      <c r="DD1" s="21" t="s">
        <v>3</v>
      </c>
      <c r="DE1" s="18" t="s">
        <v>4</v>
      </c>
    </row>
    <row r="2" spans="1:109" s="6" customFormat="1" ht="46.5" customHeight="1" x14ac:dyDescent="0.25">
      <c r="A2" s="4" t="s">
        <v>5</v>
      </c>
      <c r="B2" s="4" t="s">
        <v>6</v>
      </c>
      <c r="C2" s="4" t="s">
        <v>7</v>
      </c>
      <c r="D2" s="17">
        <v>43709</v>
      </c>
      <c r="E2" s="17"/>
      <c r="F2" s="17"/>
      <c r="G2" s="17">
        <v>43710</v>
      </c>
      <c r="H2" s="17"/>
      <c r="I2" s="17"/>
      <c r="J2" s="17">
        <v>43711</v>
      </c>
      <c r="K2" s="17"/>
      <c r="L2" s="17"/>
      <c r="M2" s="17">
        <v>43712</v>
      </c>
      <c r="N2" s="17"/>
      <c r="O2" s="17"/>
      <c r="P2" s="17">
        <v>43713</v>
      </c>
      <c r="Q2" s="17"/>
      <c r="R2" s="17"/>
      <c r="S2" s="17">
        <v>43714</v>
      </c>
      <c r="T2" s="17"/>
      <c r="U2" s="17"/>
      <c r="V2" s="17">
        <v>43715</v>
      </c>
      <c r="W2" s="17"/>
      <c r="X2" s="17"/>
      <c r="Y2" s="17">
        <v>43716</v>
      </c>
      <c r="Z2" s="17"/>
      <c r="AA2" s="17"/>
      <c r="AB2" s="17">
        <v>43717</v>
      </c>
      <c r="AC2" s="17"/>
      <c r="AD2" s="17"/>
      <c r="AE2" s="17">
        <v>43718</v>
      </c>
      <c r="AF2" s="17"/>
      <c r="AG2" s="17"/>
      <c r="AH2" s="17">
        <v>43719</v>
      </c>
      <c r="AI2" s="17"/>
      <c r="AJ2" s="17"/>
      <c r="AK2" s="17">
        <v>43720</v>
      </c>
      <c r="AL2" s="17"/>
      <c r="AM2" s="17"/>
      <c r="AN2" s="17">
        <v>43721</v>
      </c>
      <c r="AO2" s="17"/>
      <c r="AP2" s="17"/>
      <c r="AQ2" s="17">
        <v>43722</v>
      </c>
      <c r="AR2" s="17"/>
      <c r="AS2" s="17"/>
      <c r="AT2" s="17">
        <v>43723</v>
      </c>
      <c r="AU2" s="17"/>
      <c r="AV2" s="17"/>
      <c r="AW2" s="17">
        <v>43724</v>
      </c>
      <c r="AX2" s="17"/>
      <c r="AY2" s="17"/>
      <c r="AZ2" s="17">
        <v>43725</v>
      </c>
      <c r="BA2" s="17"/>
      <c r="BB2" s="17"/>
      <c r="BC2" s="17">
        <v>43726</v>
      </c>
      <c r="BD2" s="17"/>
      <c r="BE2" s="17"/>
      <c r="BF2" s="17">
        <v>43727</v>
      </c>
      <c r="BG2" s="17"/>
      <c r="BH2" s="17"/>
      <c r="BI2" s="17">
        <v>43728</v>
      </c>
      <c r="BJ2" s="17"/>
      <c r="BK2" s="17"/>
      <c r="BL2" s="17">
        <v>43729</v>
      </c>
      <c r="BM2" s="17"/>
      <c r="BN2" s="17"/>
      <c r="BO2" s="17">
        <v>43730</v>
      </c>
      <c r="BP2" s="17"/>
      <c r="BQ2" s="17"/>
      <c r="BR2" s="17">
        <v>43731</v>
      </c>
      <c r="BS2" s="17"/>
      <c r="BT2" s="17"/>
      <c r="BU2" s="17">
        <v>43732</v>
      </c>
      <c r="BV2" s="17"/>
      <c r="BW2" s="17"/>
      <c r="BX2" s="17">
        <v>43733</v>
      </c>
      <c r="BY2" s="17"/>
      <c r="BZ2" s="17"/>
      <c r="CA2" s="17">
        <v>43734</v>
      </c>
      <c r="CB2" s="17"/>
      <c r="CC2" s="17"/>
      <c r="CD2" s="17">
        <v>43735</v>
      </c>
      <c r="CE2" s="17"/>
      <c r="CF2" s="17"/>
      <c r="CG2" s="17">
        <v>43736</v>
      </c>
      <c r="CH2" s="17"/>
      <c r="CI2" s="17"/>
      <c r="CJ2" s="17">
        <v>43737</v>
      </c>
      <c r="CK2" s="17"/>
      <c r="CL2" s="17"/>
      <c r="CM2" s="17">
        <v>43738</v>
      </c>
      <c r="CN2" s="17"/>
      <c r="CO2" s="17"/>
      <c r="CP2" s="5" t="s">
        <v>8</v>
      </c>
      <c r="CQ2" s="5" t="s">
        <v>9</v>
      </c>
      <c r="CR2" s="5" t="s">
        <v>10</v>
      </c>
      <c r="CS2" s="5" t="s">
        <v>11</v>
      </c>
      <c r="CT2" s="5" t="s">
        <v>12</v>
      </c>
      <c r="CU2" s="5" t="s">
        <v>13</v>
      </c>
      <c r="CV2" s="5" t="s">
        <v>14</v>
      </c>
      <c r="CW2" s="5" t="s">
        <v>15</v>
      </c>
      <c r="CX2" s="5" t="s">
        <v>16</v>
      </c>
      <c r="CY2" s="5" t="s">
        <v>17</v>
      </c>
      <c r="CZ2" s="5" t="s">
        <v>18</v>
      </c>
      <c r="DA2" s="5" t="s">
        <v>19</v>
      </c>
      <c r="DB2" s="5" t="s">
        <v>20</v>
      </c>
      <c r="DC2" s="5" t="s">
        <v>21</v>
      </c>
      <c r="DD2" s="21"/>
      <c r="DE2" s="18"/>
    </row>
    <row r="3" spans="1:109" s="10" customFormat="1" ht="30.75" customHeight="1" x14ac:dyDescent="0.25">
      <c r="A3" s="7" t="s">
        <v>23</v>
      </c>
      <c r="B3" s="8" t="s">
        <v>66</v>
      </c>
      <c r="C3" s="9" t="s">
        <v>65</v>
      </c>
      <c r="D3" s="15"/>
      <c r="E3" s="15"/>
      <c r="F3" s="3" t="s">
        <v>22</v>
      </c>
      <c r="G3" s="15"/>
      <c r="H3" s="15"/>
      <c r="I3" s="3" t="s">
        <v>64</v>
      </c>
      <c r="J3" s="15">
        <v>9</v>
      </c>
      <c r="K3" s="15">
        <v>16.16</v>
      </c>
      <c r="L3" s="3" t="str">
        <f>IF(K3="","A",IF(J3="","A",IF(K3-J3&lt;5,"A-H","P")))</f>
        <v>P</v>
      </c>
      <c r="M3" s="15"/>
      <c r="N3" s="15"/>
      <c r="O3" s="3" t="str">
        <f>IF(N3="","A",IF(M3="","A",IF(N3-M3&lt;8,"A-H","P")))</f>
        <v>A</v>
      </c>
      <c r="P3" s="15"/>
      <c r="Q3" s="15"/>
      <c r="R3" s="3" t="str">
        <f>IF(Q3="","A",IF(P3="","A",IF(Q3-P3&lt;8,"A-H","P")))</f>
        <v>A</v>
      </c>
      <c r="S3" s="15"/>
      <c r="T3" s="15"/>
      <c r="U3" s="3" t="str">
        <f>IF(T3="","A",IF(S3="","A",IF(T3-S3&lt;8,"A-H","P")))</f>
        <v>A</v>
      </c>
      <c r="V3" s="15"/>
      <c r="W3" s="15"/>
      <c r="X3" s="3" t="s">
        <v>22</v>
      </c>
      <c r="Y3" s="15"/>
      <c r="Z3" s="15"/>
      <c r="AA3" s="3" t="s">
        <v>22</v>
      </c>
      <c r="AB3" s="15"/>
      <c r="AC3" s="15"/>
      <c r="AD3" s="3" t="str">
        <f>IF(AC3="","A",IF(AB3="","A",IF(AC3-AB3&lt;8,"A-H","P")))</f>
        <v>A</v>
      </c>
      <c r="AE3" s="15"/>
      <c r="AF3" s="15"/>
      <c r="AG3" s="3" t="str">
        <f>IF(AF3="","A",IF(AE3="","A",IF(AF3-AE3&lt;8,"A-H","P")))</f>
        <v>A</v>
      </c>
      <c r="AH3" s="15"/>
      <c r="AI3" s="15"/>
      <c r="AJ3" s="3" t="s">
        <v>64</v>
      </c>
      <c r="AK3" s="15"/>
      <c r="AL3" s="15"/>
      <c r="AM3" s="3" t="str">
        <f>IF(AL3="","A",IF(AK3="","A",IF(AL3-AK3&lt;8,"A-H","P")))</f>
        <v>A</v>
      </c>
      <c r="AN3" s="15"/>
      <c r="AO3" s="15"/>
      <c r="AP3" s="3" t="str">
        <f>IF(AO3="","A",IF(AN3="","A",IF(AO3-AN3&lt;8,"A-H","P")))</f>
        <v>A</v>
      </c>
      <c r="AQ3" s="15"/>
      <c r="AR3" s="15"/>
      <c r="AS3" s="3" t="s">
        <v>22</v>
      </c>
      <c r="AT3" s="15"/>
      <c r="AU3" s="15"/>
      <c r="AV3" s="3" t="s">
        <v>22</v>
      </c>
      <c r="AW3" s="15"/>
      <c r="AX3" s="15"/>
      <c r="AY3" s="3" t="str">
        <f>IF(AX3="","A",IF(AW3="","A",IF(AX3-AW3&lt;8,"A-H","P")))</f>
        <v>A</v>
      </c>
      <c r="AZ3" s="15"/>
      <c r="BA3" s="15"/>
      <c r="BB3" s="3" t="str">
        <f>IF(BA3="","A",IF(AZ3="","A",IF(BA3-AZ3&lt;8,"A-H","P")))</f>
        <v>A</v>
      </c>
      <c r="BC3" s="15"/>
      <c r="BD3" s="15"/>
      <c r="BE3" s="3" t="str">
        <f>IF(BD3="","A",IF(BC3="","A",IF(BD3-BC3&lt;8,"A-H","P")))</f>
        <v>A</v>
      </c>
      <c r="BF3" s="15"/>
      <c r="BG3" s="15"/>
      <c r="BH3" s="3" t="str">
        <f>IF(BG3="","A",IF(BF3="","A",IF(BG3-BF3&lt;8,"A-H","P")))</f>
        <v>A</v>
      </c>
      <c r="BI3" s="15"/>
      <c r="BJ3" s="15"/>
      <c r="BK3" s="3" t="str">
        <f>IF(BJ3="","A",IF(BI3="","A",IF(BJ3-BI3&lt;8,"A-H","P")))</f>
        <v>A</v>
      </c>
      <c r="BL3" s="15"/>
      <c r="BM3" s="15"/>
      <c r="BN3" s="3" t="s">
        <v>22</v>
      </c>
      <c r="BO3" s="15"/>
      <c r="BP3" s="15"/>
      <c r="BQ3" s="3" t="s">
        <v>22</v>
      </c>
      <c r="BR3" s="15"/>
      <c r="BS3" s="15"/>
      <c r="BT3" s="3" t="str">
        <f>IF(BS3="","A",IF(BR3="","A",IF(BS3-BR3&lt;8,"A-H","P")))</f>
        <v>A</v>
      </c>
      <c r="BU3" s="15"/>
      <c r="BV3" s="15"/>
      <c r="BW3" s="3" t="str">
        <f>IF(BV3="","A",IF(BU3="","A",IF(BV3-BU3&lt;8,"A-H","P")))</f>
        <v>A</v>
      </c>
      <c r="BX3" s="15"/>
      <c r="BY3" s="15"/>
      <c r="BZ3" s="3" t="str">
        <f>IF(BY3="","A",IF(BX3="","A",IF(BY3-BX3&lt;8,"A-H","P")))</f>
        <v>A</v>
      </c>
      <c r="CA3" s="15"/>
      <c r="CB3" s="15"/>
      <c r="CC3" s="3" t="str">
        <f>IF(CB3="","A",IF(CA3="","A",IF(CB3-CA3&lt;8,"A-H","P")))</f>
        <v>A</v>
      </c>
      <c r="CD3" s="15"/>
      <c r="CE3" s="15"/>
      <c r="CF3" s="3" t="str">
        <f>IF(CE3="","A",IF(CD3="","A",IF(CE3-CD3&lt;8,"A-H","P")))</f>
        <v>A</v>
      </c>
      <c r="CG3" s="15"/>
      <c r="CH3" s="15"/>
      <c r="CI3" s="3" t="s">
        <v>22</v>
      </c>
      <c r="CJ3" s="15"/>
      <c r="CK3" s="16"/>
      <c r="CL3" s="3" t="s">
        <v>22</v>
      </c>
      <c r="CM3" s="15"/>
      <c r="CN3" s="16"/>
      <c r="CO3" s="3" t="str">
        <f>IF(CN3="","A",IF(CM3="","A",IF(CN3-CM3&lt;8,"A-H","P")))</f>
        <v>A</v>
      </c>
      <c r="CP3" s="11">
        <f>COUNTIF(D3:CO3,"EL")</f>
        <v>0</v>
      </c>
      <c r="CQ3" s="11">
        <f>COUNTIF(D3:CO3,"EL-H")*0.5</f>
        <v>0</v>
      </c>
      <c r="CR3" s="11">
        <f>COUNTIF(D3:CO3,"CL")</f>
        <v>0</v>
      </c>
      <c r="CS3" s="11">
        <f>COUNTIF(D3:CO3,"CL-H")*0.5</f>
        <v>0</v>
      </c>
      <c r="CT3" s="11">
        <f>COUNTIF(D3:CO3,"C-Off")</f>
        <v>0</v>
      </c>
      <c r="CU3" s="11">
        <f>COUNTIF(D3:CO3,"C-Off-H")*0.5</f>
        <v>0</v>
      </c>
      <c r="CV3" s="11">
        <f t="shared" ref="CV3" si="0">SUM(CP3:CU3)</f>
        <v>0</v>
      </c>
      <c r="CW3" s="11">
        <f>COUNTIF(D3:CO3,"P")</f>
        <v>1</v>
      </c>
      <c r="CX3" s="11">
        <f>COUNTIF(D3:CO3,"H")+COUNTIF(D3:CO3,"S")</f>
        <v>11</v>
      </c>
      <c r="CY3" s="11">
        <f>COUNTIF(D3:CO3,"A-H")*0.5</f>
        <v>0</v>
      </c>
      <c r="CZ3" s="11">
        <f>COUNTIF(D3:CO3,"A")</f>
        <v>18</v>
      </c>
      <c r="DA3" s="12">
        <f t="shared" ref="DA3" si="1">+CY3+CZ3</f>
        <v>18</v>
      </c>
      <c r="DB3" s="13">
        <v>30</v>
      </c>
      <c r="DC3" s="11">
        <f t="shared" ref="DC3" si="2">DB3-DA3</f>
        <v>12</v>
      </c>
      <c r="DD3" s="14"/>
      <c r="DE3" s="14"/>
    </row>
    <row r="4" spans="1:109" s="10" customFormat="1" ht="30.75" customHeight="1" x14ac:dyDescent="0.25">
      <c r="A4" s="7" t="s">
        <v>24</v>
      </c>
      <c r="B4" s="8" t="s">
        <v>68</v>
      </c>
      <c r="C4" s="9" t="s">
        <v>67</v>
      </c>
      <c r="D4" s="15"/>
      <c r="E4" s="15"/>
      <c r="F4" s="3" t="s">
        <v>22</v>
      </c>
      <c r="G4" s="15"/>
      <c r="H4" s="15"/>
      <c r="I4" s="3" t="s">
        <v>64</v>
      </c>
      <c r="J4" s="15">
        <v>9.1</v>
      </c>
      <c r="K4" s="15">
        <v>12.07</v>
      </c>
      <c r="L4" s="3" t="str">
        <f t="shared" ref="L4:L42" si="3">IF(K4="","A",IF(J4="","A",IF(K4-J4&lt;5,"A-H","P")))</f>
        <v>A-H</v>
      </c>
      <c r="M4" s="15"/>
      <c r="N4" s="15"/>
      <c r="O4" s="3" t="str">
        <f t="shared" ref="O4:O42" si="4">IF(N4="","A",IF(M4="","A",IF(N4-M4&lt;8,"A-H","P")))</f>
        <v>A</v>
      </c>
      <c r="P4" s="15"/>
      <c r="Q4" s="15"/>
      <c r="R4" s="3" t="str">
        <f t="shared" ref="R4:R42" si="5">IF(Q4="","A",IF(P4="","A",IF(Q4-P4&lt;8,"A-H","P")))</f>
        <v>A</v>
      </c>
      <c r="S4" s="15"/>
      <c r="T4" s="15"/>
      <c r="U4" s="3" t="str">
        <f t="shared" ref="U4:U42" si="6">IF(T4="","A",IF(S4="","A",IF(T4-S4&lt;8,"A-H","P")))</f>
        <v>A</v>
      </c>
      <c r="V4" s="15"/>
      <c r="W4" s="15"/>
      <c r="X4" s="3" t="s">
        <v>22</v>
      </c>
      <c r="Y4" s="15"/>
      <c r="Z4" s="15"/>
      <c r="AA4" s="3" t="s">
        <v>22</v>
      </c>
      <c r="AB4" s="15"/>
      <c r="AC4" s="15"/>
      <c r="AD4" s="3" t="str">
        <f t="shared" ref="AD4:AD42" si="7">IF(AC4="","A",IF(AB4="","A",IF(AC4-AB4&lt;8,"A-H","P")))</f>
        <v>A</v>
      </c>
      <c r="AE4" s="15"/>
      <c r="AF4" s="15"/>
      <c r="AG4" s="3" t="str">
        <f t="shared" ref="AG4:AG42" si="8">IF(AF4="","A",IF(AE4="","A",IF(AF4-AE4&lt;8,"A-H","P")))</f>
        <v>A</v>
      </c>
      <c r="AH4" s="15"/>
      <c r="AI4" s="15"/>
      <c r="AJ4" s="3" t="s">
        <v>64</v>
      </c>
      <c r="AK4" s="15"/>
      <c r="AL4" s="15"/>
      <c r="AM4" s="3" t="str">
        <f t="shared" ref="AM4:AM42" si="9">IF(AL4="","A",IF(AK4="","A",IF(AL4-AK4&lt;8,"A-H","P")))</f>
        <v>A</v>
      </c>
      <c r="AN4" s="15"/>
      <c r="AO4" s="15"/>
      <c r="AP4" s="3" t="str">
        <f t="shared" ref="AP4:AP42" si="10">IF(AO4="","A",IF(AN4="","A",IF(AO4-AN4&lt;8,"A-H","P")))</f>
        <v>A</v>
      </c>
      <c r="AQ4" s="15"/>
      <c r="AR4" s="15"/>
      <c r="AS4" s="3" t="s">
        <v>22</v>
      </c>
      <c r="AT4" s="15"/>
      <c r="AU4" s="15"/>
      <c r="AV4" s="3" t="s">
        <v>22</v>
      </c>
      <c r="AW4" s="15"/>
      <c r="AX4" s="15"/>
      <c r="AY4" s="3" t="str">
        <f t="shared" ref="AY4:AY42" si="11">IF(AX4="","A",IF(AW4="","A",IF(AX4-AW4&lt;8,"A-H","P")))</f>
        <v>A</v>
      </c>
      <c r="AZ4" s="15"/>
      <c r="BA4" s="15"/>
      <c r="BB4" s="3" t="str">
        <f t="shared" ref="BB4:BB42" si="12">IF(BA4="","A",IF(AZ4="","A",IF(BA4-AZ4&lt;8,"A-H","P")))</f>
        <v>A</v>
      </c>
      <c r="BC4" s="15"/>
      <c r="BD4" s="15"/>
      <c r="BE4" s="3" t="str">
        <f t="shared" ref="BE4:BE42" si="13">IF(BD4="","A",IF(BC4="","A",IF(BD4-BC4&lt;8,"A-H","P")))</f>
        <v>A</v>
      </c>
      <c r="BF4" s="15"/>
      <c r="BG4" s="15"/>
      <c r="BH4" s="3" t="str">
        <f t="shared" ref="BH4:BH42" si="14">IF(BG4="","A",IF(BF4="","A",IF(BG4-BF4&lt;8,"A-H","P")))</f>
        <v>A</v>
      </c>
      <c r="BI4" s="15"/>
      <c r="BJ4" s="15"/>
      <c r="BK4" s="3" t="str">
        <f t="shared" ref="BK4:BK42" si="15">IF(BJ4="","A",IF(BI4="","A",IF(BJ4-BI4&lt;8,"A-H","P")))</f>
        <v>A</v>
      </c>
      <c r="BL4" s="15"/>
      <c r="BM4" s="15"/>
      <c r="BN4" s="3" t="s">
        <v>22</v>
      </c>
      <c r="BO4" s="15"/>
      <c r="BP4" s="15"/>
      <c r="BQ4" s="3" t="s">
        <v>22</v>
      </c>
      <c r="BR4" s="15"/>
      <c r="BS4" s="15"/>
      <c r="BT4" s="3" t="str">
        <f t="shared" ref="BT4:BT42" si="16">IF(BS4="","A",IF(BR4="","A",IF(BS4-BR4&lt;8,"A-H","P")))</f>
        <v>A</v>
      </c>
      <c r="BU4" s="15"/>
      <c r="BV4" s="15"/>
      <c r="BW4" s="3" t="str">
        <f t="shared" ref="BW4:BW42" si="17">IF(BV4="","A",IF(BU4="","A",IF(BV4-BU4&lt;8,"A-H","P")))</f>
        <v>A</v>
      </c>
      <c r="BX4" s="15"/>
      <c r="BY4" s="15"/>
      <c r="BZ4" s="3" t="str">
        <f t="shared" ref="BZ4:BZ42" si="18">IF(BY4="","A",IF(BX4="","A",IF(BY4-BX4&lt;8,"A-H","P")))</f>
        <v>A</v>
      </c>
      <c r="CA4" s="15"/>
      <c r="CB4" s="15"/>
      <c r="CC4" s="3" t="str">
        <f t="shared" ref="CC4:CC42" si="19">IF(CB4="","A",IF(CA4="","A",IF(CB4-CA4&lt;8,"A-H","P")))</f>
        <v>A</v>
      </c>
      <c r="CD4" s="15"/>
      <c r="CE4" s="15"/>
      <c r="CF4" s="3" t="str">
        <f t="shared" ref="CF4:CF42" si="20">IF(CE4="","A",IF(CD4="","A",IF(CE4-CD4&lt;8,"A-H","P")))</f>
        <v>A</v>
      </c>
      <c r="CG4" s="15"/>
      <c r="CH4" s="15"/>
      <c r="CI4" s="3" t="s">
        <v>22</v>
      </c>
      <c r="CJ4" s="15"/>
      <c r="CK4" s="16"/>
      <c r="CL4" s="3" t="s">
        <v>22</v>
      </c>
      <c r="CM4" s="15"/>
      <c r="CN4" s="16"/>
      <c r="CO4" s="3" t="str">
        <f t="shared" ref="CO4:CO42" si="21">IF(CN4="","A",IF(CM4="","A",IF(CN4-CM4&lt;8,"A-H","P")))</f>
        <v>A</v>
      </c>
      <c r="CP4" s="11">
        <f>COUNTIF(D4:CO4,"EL")</f>
        <v>0</v>
      </c>
      <c r="CQ4" s="11">
        <f>COUNTIF(D4:CO4,"EL-H")*0.5</f>
        <v>0</v>
      </c>
      <c r="CR4" s="11">
        <f>COUNTIF(D4:CO4,"CL")</f>
        <v>0</v>
      </c>
      <c r="CS4" s="11">
        <f>COUNTIF(D4:CO4,"CL-H")*0.5</f>
        <v>0</v>
      </c>
      <c r="CT4" s="11">
        <f>COUNTIF(D4:CO4,"C-Off")</f>
        <v>0</v>
      </c>
      <c r="CU4" s="11">
        <f>COUNTIF(D4:CO4,"C-Off-H")*0.5</f>
        <v>0</v>
      </c>
      <c r="CV4" s="11">
        <f t="shared" ref="CV4:CV5" si="22">SUM(CP4:CU4)</f>
        <v>0</v>
      </c>
      <c r="CW4" s="11">
        <f>COUNTIF(D4:CO4,"P")</f>
        <v>0</v>
      </c>
      <c r="CX4" s="11">
        <f>COUNTIF(D4:CO4,"H")+COUNTIF(D4:CO4,"S")</f>
        <v>11</v>
      </c>
      <c r="CY4" s="11">
        <f>COUNTIF(D4:CO4,"A-H")*0.5</f>
        <v>0.5</v>
      </c>
      <c r="CZ4" s="11">
        <f>COUNTIF(D4:CO4,"A")</f>
        <v>18</v>
      </c>
      <c r="DA4" s="12">
        <f t="shared" ref="DA4:DA5" si="23">+CY4+CZ4</f>
        <v>18.5</v>
      </c>
      <c r="DB4" s="13">
        <v>30</v>
      </c>
      <c r="DC4" s="11">
        <f t="shared" ref="DC4:DC5" si="24">DB4-DA4</f>
        <v>11.5</v>
      </c>
      <c r="DD4" s="14"/>
      <c r="DE4" s="14"/>
    </row>
    <row r="5" spans="1:109" s="10" customFormat="1" ht="30.75" customHeight="1" x14ac:dyDescent="0.25">
      <c r="A5" s="7" t="s">
        <v>25</v>
      </c>
      <c r="B5" s="8" t="s">
        <v>69</v>
      </c>
      <c r="C5" s="9" t="s">
        <v>70</v>
      </c>
      <c r="D5" s="15"/>
      <c r="E5" s="15"/>
      <c r="F5" s="3" t="s">
        <v>22</v>
      </c>
      <c r="G5" s="15"/>
      <c r="H5" s="15"/>
      <c r="I5" s="3" t="s">
        <v>64</v>
      </c>
      <c r="J5" s="15">
        <v>9.3000000000000007</v>
      </c>
      <c r="K5" s="15">
        <v>16.3</v>
      </c>
      <c r="L5" s="3" t="str">
        <f t="shared" si="3"/>
        <v>P</v>
      </c>
      <c r="M5" s="15"/>
      <c r="N5" s="15"/>
      <c r="O5" s="3" t="str">
        <f t="shared" si="4"/>
        <v>A</v>
      </c>
      <c r="P5" s="15"/>
      <c r="Q5" s="15"/>
      <c r="R5" s="3" t="str">
        <f t="shared" si="5"/>
        <v>A</v>
      </c>
      <c r="S5" s="15"/>
      <c r="T5" s="15"/>
      <c r="U5" s="3" t="str">
        <f t="shared" si="6"/>
        <v>A</v>
      </c>
      <c r="V5" s="15"/>
      <c r="W5" s="15"/>
      <c r="X5" s="3" t="s">
        <v>22</v>
      </c>
      <c r="Y5" s="15"/>
      <c r="Z5" s="15"/>
      <c r="AA5" s="3" t="s">
        <v>22</v>
      </c>
      <c r="AB5" s="15"/>
      <c r="AC5" s="15"/>
      <c r="AD5" s="3" t="str">
        <f t="shared" si="7"/>
        <v>A</v>
      </c>
      <c r="AE5" s="15"/>
      <c r="AF5" s="15"/>
      <c r="AG5" s="3" t="str">
        <f t="shared" si="8"/>
        <v>A</v>
      </c>
      <c r="AH5" s="15"/>
      <c r="AI5" s="15"/>
      <c r="AJ5" s="3" t="s">
        <v>64</v>
      </c>
      <c r="AK5" s="15"/>
      <c r="AL5" s="15"/>
      <c r="AM5" s="3" t="str">
        <f t="shared" si="9"/>
        <v>A</v>
      </c>
      <c r="AN5" s="15"/>
      <c r="AO5" s="15"/>
      <c r="AP5" s="3" t="str">
        <f t="shared" si="10"/>
        <v>A</v>
      </c>
      <c r="AQ5" s="15"/>
      <c r="AR5" s="15"/>
      <c r="AS5" s="3" t="s">
        <v>22</v>
      </c>
      <c r="AT5" s="15"/>
      <c r="AU5" s="15"/>
      <c r="AV5" s="3" t="s">
        <v>22</v>
      </c>
      <c r="AW5" s="15"/>
      <c r="AX5" s="15"/>
      <c r="AY5" s="3" t="str">
        <f t="shared" si="11"/>
        <v>A</v>
      </c>
      <c r="AZ5" s="15"/>
      <c r="BA5" s="15"/>
      <c r="BB5" s="3" t="str">
        <f t="shared" si="12"/>
        <v>A</v>
      </c>
      <c r="BC5" s="15"/>
      <c r="BD5" s="15"/>
      <c r="BE5" s="3" t="str">
        <f t="shared" si="13"/>
        <v>A</v>
      </c>
      <c r="BF5" s="15"/>
      <c r="BG5" s="15"/>
      <c r="BH5" s="3" t="str">
        <f t="shared" si="14"/>
        <v>A</v>
      </c>
      <c r="BI5" s="15"/>
      <c r="BJ5" s="15"/>
      <c r="BK5" s="3" t="str">
        <f t="shared" si="15"/>
        <v>A</v>
      </c>
      <c r="BL5" s="15"/>
      <c r="BM5" s="15"/>
      <c r="BN5" s="3" t="s">
        <v>22</v>
      </c>
      <c r="BO5" s="15"/>
      <c r="BP5" s="15"/>
      <c r="BQ5" s="3" t="s">
        <v>22</v>
      </c>
      <c r="BR5" s="15"/>
      <c r="BS5" s="15"/>
      <c r="BT5" s="3" t="str">
        <f t="shared" si="16"/>
        <v>A</v>
      </c>
      <c r="BU5" s="15"/>
      <c r="BV5" s="15"/>
      <c r="BW5" s="3" t="str">
        <f t="shared" si="17"/>
        <v>A</v>
      </c>
      <c r="BX5" s="15"/>
      <c r="BY5" s="15"/>
      <c r="BZ5" s="3" t="str">
        <f t="shared" si="18"/>
        <v>A</v>
      </c>
      <c r="CA5" s="15"/>
      <c r="CB5" s="15"/>
      <c r="CC5" s="3" t="str">
        <f t="shared" si="19"/>
        <v>A</v>
      </c>
      <c r="CD5" s="15"/>
      <c r="CE5" s="15"/>
      <c r="CF5" s="3" t="str">
        <f t="shared" si="20"/>
        <v>A</v>
      </c>
      <c r="CG5" s="15"/>
      <c r="CH5" s="15"/>
      <c r="CI5" s="3" t="s">
        <v>22</v>
      </c>
      <c r="CJ5" s="15"/>
      <c r="CK5" s="16"/>
      <c r="CL5" s="3" t="s">
        <v>22</v>
      </c>
      <c r="CM5" s="15"/>
      <c r="CN5" s="16"/>
      <c r="CO5" s="3" t="str">
        <f t="shared" si="21"/>
        <v>A</v>
      </c>
      <c r="CP5" s="11">
        <f>COUNTIF(D5:CO5,"EL")</f>
        <v>0</v>
      </c>
      <c r="CQ5" s="11">
        <f>COUNTIF(D5:CO5,"EL-H")*0.5</f>
        <v>0</v>
      </c>
      <c r="CR5" s="11">
        <f>COUNTIF(D5:CO5,"CL")</f>
        <v>0</v>
      </c>
      <c r="CS5" s="11">
        <f>COUNTIF(D5:CO5,"CL-H")*0.5</f>
        <v>0</v>
      </c>
      <c r="CT5" s="11">
        <f>COUNTIF(D5:CO5,"C-Off")</f>
        <v>0</v>
      </c>
      <c r="CU5" s="11">
        <f>COUNTIF(D5:CO5,"C-Off-H")*0.5</f>
        <v>0</v>
      </c>
      <c r="CV5" s="11">
        <f t="shared" si="22"/>
        <v>0</v>
      </c>
      <c r="CW5" s="11">
        <f>COUNTIF(D5:CO5,"P")</f>
        <v>1</v>
      </c>
      <c r="CX5" s="11">
        <f>COUNTIF(D5:CO5,"H")+COUNTIF(D5:CO5,"S")</f>
        <v>11</v>
      </c>
      <c r="CY5" s="11">
        <f>COUNTIF(D5:CO5,"A-H")*0.5</f>
        <v>0</v>
      </c>
      <c r="CZ5" s="11">
        <f>COUNTIF(D5:CO5,"A")</f>
        <v>18</v>
      </c>
      <c r="DA5" s="12">
        <f t="shared" si="23"/>
        <v>18</v>
      </c>
      <c r="DB5" s="13">
        <v>30</v>
      </c>
      <c r="DC5" s="11">
        <f t="shared" si="24"/>
        <v>12</v>
      </c>
      <c r="DD5" s="14"/>
      <c r="DE5" s="14"/>
    </row>
    <row r="6" spans="1:109" s="10" customFormat="1" ht="30.75" customHeight="1" x14ac:dyDescent="0.25">
      <c r="A6" s="7" t="s">
        <v>26</v>
      </c>
      <c r="B6" s="8"/>
      <c r="C6" s="9"/>
      <c r="D6" s="15"/>
      <c r="E6" s="15"/>
      <c r="F6" s="3" t="s">
        <v>22</v>
      </c>
      <c r="G6" s="15"/>
      <c r="H6" s="15"/>
      <c r="I6" s="3" t="s">
        <v>64</v>
      </c>
      <c r="J6" s="15"/>
      <c r="K6" s="15"/>
      <c r="L6" s="3" t="str">
        <f t="shared" si="3"/>
        <v>A</v>
      </c>
      <c r="M6" s="15"/>
      <c r="N6" s="15"/>
      <c r="O6" s="3" t="str">
        <f t="shared" si="4"/>
        <v>A</v>
      </c>
      <c r="P6" s="15"/>
      <c r="Q6" s="15"/>
      <c r="R6" s="3" t="str">
        <f t="shared" si="5"/>
        <v>A</v>
      </c>
      <c r="S6" s="15"/>
      <c r="T6" s="15"/>
      <c r="U6" s="3" t="str">
        <f t="shared" si="6"/>
        <v>A</v>
      </c>
      <c r="V6" s="15"/>
      <c r="W6" s="15"/>
      <c r="X6" s="3" t="s">
        <v>22</v>
      </c>
      <c r="Y6" s="15"/>
      <c r="Z6" s="15"/>
      <c r="AA6" s="3" t="s">
        <v>22</v>
      </c>
      <c r="AB6" s="15"/>
      <c r="AC6" s="15"/>
      <c r="AD6" s="3" t="str">
        <f t="shared" si="7"/>
        <v>A</v>
      </c>
      <c r="AE6" s="15"/>
      <c r="AF6" s="15"/>
      <c r="AG6" s="3" t="str">
        <f t="shared" si="8"/>
        <v>A</v>
      </c>
      <c r="AH6" s="15"/>
      <c r="AI6" s="15"/>
      <c r="AJ6" s="3" t="s">
        <v>64</v>
      </c>
      <c r="AK6" s="15"/>
      <c r="AL6" s="15"/>
      <c r="AM6" s="3" t="str">
        <f t="shared" si="9"/>
        <v>A</v>
      </c>
      <c r="AN6" s="15"/>
      <c r="AO6" s="15"/>
      <c r="AP6" s="3" t="str">
        <f t="shared" si="10"/>
        <v>A</v>
      </c>
      <c r="AQ6" s="15"/>
      <c r="AR6" s="15"/>
      <c r="AS6" s="3" t="s">
        <v>22</v>
      </c>
      <c r="AT6" s="15"/>
      <c r="AU6" s="15"/>
      <c r="AV6" s="3" t="s">
        <v>22</v>
      </c>
      <c r="AW6" s="15"/>
      <c r="AX6" s="15"/>
      <c r="AY6" s="3" t="str">
        <f t="shared" si="11"/>
        <v>A</v>
      </c>
      <c r="AZ6" s="15"/>
      <c r="BA6" s="15"/>
      <c r="BB6" s="3" t="str">
        <f t="shared" si="12"/>
        <v>A</v>
      </c>
      <c r="BC6" s="15"/>
      <c r="BD6" s="15"/>
      <c r="BE6" s="3" t="str">
        <f t="shared" si="13"/>
        <v>A</v>
      </c>
      <c r="BF6" s="15"/>
      <c r="BG6" s="15"/>
      <c r="BH6" s="3" t="str">
        <f t="shared" si="14"/>
        <v>A</v>
      </c>
      <c r="BI6" s="15"/>
      <c r="BJ6" s="15"/>
      <c r="BK6" s="3" t="str">
        <f t="shared" si="15"/>
        <v>A</v>
      </c>
      <c r="BL6" s="15"/>
      <c r="BM6" s="15"/>
      <c r="BN6" s="3" t="s">
        <v>22</v>
      </c>
      <c r="BO6" s="15"/>
      <c r="BP6" s="15"/>
      <c r="BQ6" s="3" t="s">
        <v>22</v>
      </c>
      <c r="BR6" s="15"/>
      <c r="BS6" s="15"/>
      <c r="BT6" s="3" t="str">
        <f t="shared" si="16"/>
        <v>A</v>
      </c>
      <c r="BU6" s="15"/>
      <c r="BV6" s="15"/>
      <c r="BW6" s="3" t="str">
        <f t="shared" si="17"/>
        <v>A</v>
      </c>
      <c r="BX6" s="15"/>
      <c r="BY6" s="15"/>
      <c r="BZ6" s="3" t="str">
        <f t="shared" si="18"/>
        <v>A</v>
      </c>
      <c r="CA6" s="15"/>
      <c r="CB6" s="15"/>
      <c r="CC6" s="3" t="str">
        <f t="shared" si="19"/>
        <v>A</v>
      </c>
      <c r="CD6" s="15"/>
      <c r="CE6" s="15"/>
      <c r="CF6" s="3" t="str">
        <f t="shared" si="20"/>
        <v>A</v>
      </c>
      <c r="CG6" s="15"/>
      <c r="CH6" s="15"/>
      <c r="CI6" s="3" t="s">
        <v>22</v>
      </c>
      <c r="CJ6" s="15"/>
      <c r="CK6" s="16"/>
      <c r="CL6" s="3" t="s">
        <v>22</v>
      </c>
      <c r="CM6" s="15"/>
      <c r="CN6" s="16"/>
      <c r="CO6" s="3" t="str">
        <f t="shared" si="21"/>
        <v>A</v>
      </c>
      <c r="CP6" s="11">
        <f>COUNTIF(D6:CO6,"EL")</f>
        <v>0</v>
      </c>
      <c r="CQ6" s="11">
        <f>COUNTIF(D6:CO6,"EL-H")*0.5</f>
        <v>0</v>
      </c>
      <c r="CR6" s="11">
        <f>COUNTIF(D6:CO6,"CL")</f>
        <v>0</v>
      </c>
      <c r="CS6" s="11">
        <f>COUNTIF(D6:CO6,"CL-H")*0.5</f>
        <v>0</v>
      </c>
      <c r="CT6" s="11">
        <f>COUNTIF(D6:CO6,"C-Off")</f>
        <v>0</v>
      </c>
      <c r="CU6" s="11">
        <f>COUNTIF(D6:CO6,"C-Off-H")*0.5</f>
        <v>0</v>
      </c>
      <c r="CV6" s="11">
        <f t="shared" ref="CV6" si="25">SUM(CP6:CU6)</f>
        <v>0</v>
      </c>
      <c r="CW6" s="11">
        <f>COUNTIF(D6:CO6,"P")</f>
        <v>0</v>
      </c>
      <c r="CX6" s="11">
        <f>COUNTIF(D6:CO6,"H")+COUNTIF(D6:CO6,"S")</f>
        <v>11</v>
      </c>
      <c r="CY6" s="11">
        <f>COUNTIF(D6:CO6,"A-H")*0.5</f>
        <v>0</v>
      </c>
      <c r="CZ6" s="11">
        <f>COUNTIF(D6:CO6,"A")</f>
        <v>19</v>
      </c>
      <c r="DA6" s="12">
        <f t="shared" ref="DA6:DA9" si="26">+CY6+CZ6</f>
        <v>19</v>
      </c>
      <c r="DB6" s="13">
        <v>30</v>
      </c>
      <c r="DC6" s="11">
        <f t="shared" ref="DC6:DC9" si="27">DB6-DA6</f>
        <v>11</v>
      </c>
      <c r="DD6" s="14"/>
      <c r="DE6" s="14"/>
    </row>
    <row r="7" spans="1:109" s="10" customFormat="1" ht="30.75" customHeight="1" x14ac:dyDescent="0.25">
      <c r="A7" s="7" t="s">
        <v>27</v>
      </c>
      <c r="B7" s="8"/>
      <c r="C7" s="9"/>
      <c r="D7" s="15"/>
      <c r="E7" s="15"/>
      <c r="F7" s="3" t="s">
        <v>22</v>
      </c>
      <c r="G7" s="15"/>
      <c r="H7" s="15"/>
      <c r="I7" s="3" t="s">
        <v>64</v>
      </c>
      <c r="J7" s="15"/>
      <c r="K7" s="15"/>
      <c r="L7" s="3" t="str">
        <f t="shared" si="3"/>
        <v>A</v>
      </c>
      <c r="M7" s="15"/>
      <c r="N7" s="15"/>
      <c r="O7" s="3" t="str">
        <f t="shared" si="4"/>
        <v>A</v>
      </c>
      <c r="P7" s="15"/>
      <c r="Q7" s="15"/>
      <c r="R7" s="3" t="str">
        <f t="shared" si="5"/>
        <v>A</v>
      </c>
      <c r="S7" s="15"/>
      <c r="T7" s="15"/>
      <c r="U7" s="3" t="str">
        <f t="shared" si="6"/>
        <v>A</v>
      </c>
      <c r="V7" s="15"/>
      <c r="W7" s="15"/>
      <c r="X7" s="3" t="s">
        <v>22</v>
      </c>
      <c r="Y7" s="15"/>
      <c r="Z7" s="15"/>
      <c r="AA7" s="3" t="s">
        <v>22</v>
      </c>
      <c r="AB7" s="15"/>
      <c r="AC7" s="15"/>
      <c r="AD7" s="3" t="str">
        <f t="shared" si="7"/>
        <v>A</v>
      </c>
      <c r="AE7" s="15"/>
      <c r="AF7" s="15"/>
      <c r="AG7" s="3" t="str">
        <f t="shared" si="8"/>
        <v>A</v>
      </c>
      <c r="AH7" s="15"/>
      <c r="AI7" s="15"/>
      <c r="AJ7" s="3" t="s">
        <v>64</v>
      </c>
      <c r="AK7" s="15"/>
      <c r="AL7" s="15"/>
      <c r="AM7" s="3" t="str">
        <f t="shared" si="9"/>
        <v>A</v>
      </c>
      <c r="AN7" s="15"/>
      <c r="AO7" s="15"/>
      <c r="AP7" s="3" t="str">
        <f t="shared" si="10"/>
        <v>A</v>
      </c>
      <c r="AQ7" s="15"/>
      <c r="AR7" s="15"/>
      <c r="AS7" s="3" t="s">
        <v>22</v>
      </c>
      <c r="AT7" s="15"/>
      <c r="AU7" s="15"/>
      <c r="AV7" s="3" t="s">
        <v>22</v>
      </c>
      <c r="AW7" s="15"/>
      <c r="AX7" s="15"/>
      <c r="AY7" s="3" t="str">
        <f t="shared" si="11"/>
        <v>A</v>
      </c>
      <c r="AZ7" s="15"/>
      <c r="BA7" s="15"/>
      <c r="BB7" s="3" t="str">
        <f t="shared" si="12"/>
        <v>A</v>
      </c>
      <c r="BC7" s="15"/>
      <c r="BD7" s="15"/>
      <c r="BE7" s="3" t="str">
        <f t="shared" si="13"/>
        <v>A</v>
      </c>
      <c r="BF7" s="15"/>
      <c r="BG7" s="15"/>
      <c r="BH7" s="3" t="str">
        <f t="shared" si="14"/>
        <v>A</v>
      </c>
      <c r="BI7" s="15"/>
      <c r="BJ7" s="15"/>
      <c r="BK7" s="3" t="str">
        <f t="shared" si="15"/>
        <v>A</v>
      </c>
      <c r="BL7" s="15"/>
      <c r="BM7" s="15"/>
      <c r="BN7" s="3" t="s">
        <v>22</v>
      </c>
      <c r="BO7" s="15"/>
      <c r="BP7" s="15"/>
      <c r="BQ7" s="3" t="s">
        <v>22</v>
      </c>
      <c r="BR7" s="15"/>
      <c r="BS7" s="15"/>
      <c r="BT7" s="3" t="str">
        <f t="shared" si="16"/>
        <v>A</v>
      </c>
      <c r="BU7" s="15"/>
      <c r="BV7" s="15"/>
      <c r="BW7" s="3" t="str">
        <f t="shared" si="17"/>
        <v>A</v>
      </c>
      <c r="BX7" s="15"/>
      <c r="BY7" s="15"/>
      <c r="BZ7" s="3" t="str">
        <f t="shared" si="18"/>
        <v>A</v>
      </c>
      <c r="CA7" s="15"/>
      <c r="CB7" s="15"/>
      <c r="CC7" s="3" t="str">
        <f t="shared" si="19"/>
        <v>A</v>
      </c>
      <c r="CD7" s="15"/>
      <c r="CE7" s="15"/>
      <c r="CF7" s="3" t="str">
        <f t="shared" si="20"/>
        <v>A</v>
      </c>
      <c r="CG7" s="15"/>
      <c r="CH7" s="15"/>
      <c r="CI7" s="3" t="s">
        <v>22</v>
      </c>
      <c r="CJ7" s="15"/>
      <c r="CK7" s="16"/>
      <c r="CL7" s="3" t="s">
        <v>22</v>
      </c>
      <c r="CM7" s="15"/>
      <c r="CN7" s="16"/>
      <c r="CO7" s="3" t="str">
        <f t="shared" si="21"/>
        <v>A</v>
      </c>
      <c r="CP7" s="11">
        <f>COUNTIF(D7:CO7,"EL")</f>
        <v>0</v>
      </c>
      <c r="CQ7" s="11">
        <f>COUNTIF(D7:CO7,"EL-H")*0.5</f>
        <v>0</v>
      </c>
      <c r="CR7" s="11">
        <f>COUNTIF(D7:CO7,"CL")</f>
        <v>0</v>
      </c>
      <c r="CS7" s="11">
        <f>COUNTIF(D7:CO7,"CL-H")*0.5</f>
        <v>0</v>
      </c>
      <c r="CT7" s="11">
        <f>COUNTIF(D7:CO7,"C-Off")</f>
        <v>0</v>
      </c>
      <c r="CU7" s="11">
        <f>COUNTIF(D7:CO7,"C-Off-H")*0.5</f>
        <v>0</v>
      </c>
      <c r="CV7" s="11">
        <f t="shared" ref="CV7:CV9" si="28">SUM(CP7:CU7)</f>
        <v>0</v>
      </c>
      <c r="CW7" s="11">
        <f>COUNTIF(D7:CO7,"P")</f>
        <v>0</v>
      </c>
      <c r="CX7" s="11">
        <f>COUNTIF(D7:CO7,"H")+COUNTIF(D7:CO7,"S")</f>
        <v>11</v>
      </c>
      <c r="CY7" s="11">
        <f>COUNTIF(D7:CO7,"A-H")*0.5</f>
        <v>0</v>
      </c>
      <c r="CZ7" s="11">
        <f>COUNTIF(D7:CO7,"A")</f>
        <v>19</v>
      </c>
      <c r="DA7" s="12">
        <f t="shared" si="26"/>
        <v>19</v>
      </c>
      <c r="DB7" s="13">
        <v>30</v>
      </c>
      <c r="DC7" s="11">
        <f t="shared" si="27"/>
        <v>11</v>
      </c>
      <c r="DD7" s="14"/>
      <c r="DE7" s="14"/>
    </row>
    <row r="8" spans="1:109" s="10" customFormat="1" ht="30.75" customHeight="1" x14ac:dyDescent="0.25">
      <c r="A8" s="7" t="s">
        <v>28</v>
      </c>
      <c r="B8" s="8"/>
      <c r="C8" s="9"/>
      <c r="D8" s="15"/>
      <c r="E8" s="15"/>
      <c r="F8" s="3" t="s">
        <v>22</v>
      </c>
      <c r="G8" s="15"/>
      <c r="H8" s="15"/>
      <c r="I8" s="3" t="s">
        <v>64</v>
      </c>
      <c r="J8" s="15"/>
      <c r="K8" s="15"/>
      <c r="L8" s="3" t="str">
        <f t="shared" si="3"/>
        <v>A</v>
      </c>
      <c r="M8" s="15"/>
      <c r="N8" s="15"/>
      <c r="O8" s="3" t="str">
        <f t="shared" si="4"/>
        <v>A</v>
      </c>
      <c r="P8" s="15"/>
      <c r="Q8" s="15"/>
      <c r="R8" s="3" t="str">
        <f t="shared" si="5"/>
        <v>A</v>
      </c>
      <c r="S8" s="15"/>
      <c r="T8" s="15"/>
      <c r="U8" s="3" t="str">
        <f t="shared" si="6"/>
        <v>A</v>
      </c>
      <c r="V8" s="15"/>
      <c r="W8" s="15"/>
      <c r="X8" s="3" t="s">
        <v>22</v>
      </c>
      <c r="Y8" s="15"/>
      <c r="Z8" s="15"/>
      <c r="AA8" s="3" t="s">
        <v>22</v>
      </c>
      <c r="AB8" s="15"/>
      <c r="AC8" s="15"/>
      <c r="AD8" s="3" t="str">
        <f t="shared" si="7"/>
        <v>A</v>
      </c>
      <c r="AE8" s="15"/>
      <c r="AF8" s="15"/>
      <c r="AG8" s="3" t="str">
        <f t="shared" si="8"/>
        <v>A</v>
      </c>
      <c r="AH8" s="15"/>
      <c r="AI8" s="15"/>
      <c r="AJ8" s="3" t="s">
        <v>64</v>
      </c>
      <c r="AK8" s="15"/>
      <c r="AL8" s="15"/>
      <c r="AM8" s="3" t="str">
        <f t="shared" si="9"/>
        <v>A</v>
      </c>
      <c r="AN8" s="15"/>
      <c r="AO8" s="15"/>
      <c r="AP8" s="3" t="str">
        <f t="shared" si="10"/>
        <v>A</v>
      </c>
      <c r="AQ8" s="15"/>
      <c r="AR8" s="15"/>
      <c r="AS8" s="3" t="s">
        <v>22</v>
      </c>
      <c r="AT8" s="15"/>
      <c r="AU8" s="15"/>
      <c r="AV8" s="3" t="s">
        <v>22</v>
      </c>
      <c r="AW8" s="15"/>
      <c r="AX8" s="15"/>
      <c r="AY8" s="3" t="str">
        <f t="shared" si="11"/>
        <v>A</v>
      </c>
      <c r="AZ8" s="15"/>
      <c r="BA8" s="15"/>
      <c r="BB8" s="3" t="str">
        <f t="shared" si="12"/>
        <v>A</v>
      </c>
      <c r="BC8" s="15"/>
      <c r="BD8" s="15"/>
      <c r="BE8" s="3" t="str">
        <f t="shared" si="13"/>
        <v>A</v>
      </c>
      <c r="BF8" s="15"/>
      <c r="BG8" s="15"/>
      <c r="BH8" s="3" t="str">
        <f t="shared" si="14"/>
        <v>A</v>
      </c>
      <c r="BI8" s="15"/>
      <c r="BJ8" s="15"/>
      <c r="BK8" s="3" t="str">
        <f t="shared" si="15"/>
        <v>A</v>
      </c>
      <c r="BL8" s="15"/>
      <c r="BM8" s="15"/>
      <c r="BN8" s="3" t="s">
        <v>22</v>
      </c>
      <c r="BO8" s="15"/>
      <c r="BP8" s="15"/>
      <c r="BQ8" s="3" t="s">
        <v>22</v>
      </c>
      <c r="BR8" s="15"/>
      <c r="BS8" s="15"/>
      <c r="BT8" s="3" t="str">
        <f t="shared" si="16"/>
        <v>A</v>
      </c>
      <c r="BU8" s="15"/>
      <c r="BV8" s="15"/>
      <c r="BW8" s="3" t="str">
        <f t="shared" si="17"/>
        <v>A</v>
      </c>
      <c r="BX8" s="15"/>
      <c r="BY8" s="15"/>
      <c r="BZ8" s="3" t="str">
        <f t="shared" si="18"/>
        <v>A</v>
      </c>
      <c r="CA8" s="15"/>
      <c r="CB8" s="15"/>
      <c r="CC8" s="3" t="str">
        <f t="shared" si="19"/>
        <v>A</v>
      </c>
      <c r="CD8" s="15"/>
      <c r="CE8" s="15"/>
      <c r="CF8" s="3" t="str">
        <f t="shared" si="20"/>
        <v>A</v>
      </c>
      <c r="CG8" s="15"/>
      <c r="CH8" s="15"/>
      <c r="CI8" s="3" t="s">
        <v>22</v>
      </c>
      <c r="CJ8" s="15"/>
      <c r="CK8" s="16"/>
      <c r="CL8" s="3" t="s">
        <v>22</v>
      </c>
      <c r="CM8" s="15"/>
      <c r="CN8" s="16"/>
      <c r="CO8" s="3" t="str">
        <f t="shared" si="21"/>
        <v>A</v>
      </c>
      <c r="CP8" s="11">
        <f>COUNTIF(D8:CO8,"EL")</f>
        <v>0</v>
      </c>
      <c r="CQ8" s="11">
        <f>COUNTIF(D8:CO8,"EL-H")*0.5</f>
        <v>0</v>
      </c>
      <c r="CR8" s="11">
        <f>COUNTIF(D8:CO8,"CL")</f>
        <v>0</v>
      </c>
      <c r="CS8" s="11">
        <f>COUNTIF(D8:CO8,"CL-H")*0.5</f>
        <v>0</v>
      </c>
      <c r="CT8" s="11">
        <f>COUNTIF(D8:CO8,"C-Off")</f>
        <v>0</v>
      </c>
      <c r="CU8" s="11">
        <f>COUNTIF(D8:CO8,"C-Off-H")*0.5</f>
        <v>0</v>
      </c>
      <c r="CV8" s="11">
        <f t="shared" si="28"/>
        <v>0</v>
      </c>
      <c r="CW8" s="11">
        <f>COUNTIF(D8:CO8,"P")</f>
        <v>0</v>
      </c>
      <c r="CX8" s="11">
        <f>COUNTIF(D8:CO8,"H")+COUNTIF(D8:CO8,"S")</f>
        <v>11</v>
      </c>
      <c r="CY8" s="11">
        <f>COUNTIF(D8:CO8,"A-H")*0.5</f>
        <v>0</v>
      </c>
      <c r="CZ8" s="11">
        <f>COUNTIF(D8:CO8,"A")</f>
        <v>19</v>
      </c>
      <c r="DA8" s="12">
        <f t="shared" si="26"/>
        <v>19</v>
      </c>
      <c r="DB8" s="13">
        <v>30</v>
      </c>
      <c r="DC8" s="11">
        <f t="shared" si="27"/>
        <v>11</v>
      </c>
      <c r="DD8" s="14"/>
      <c r="DE8" s="14"/>
    </row>
    <row r="9" spans="1:109" s="10" customFormat="1" ht="30.75" customHeight="1" x14ac:dyDescent="0.25">
      <c r="A9" s="7" t="s">
        <v>29</v>
      </c>
      <c r="B9" s="8"/>
      <c r="C9" s="9"/>
      <c r="D9" s="15"/>
      <c r="E9" s="15"/>
      <c r="F9" s="3" t="s">
        <v>22</v>
      </c>
      <c r="G9" s="15"/>
      <c r="H9" s="15"/>
      <c r="I9" s="3" t="s">
        <v>64</v>
      </c>
      <c r="J9" s="15"/>
      <c r="K9" s="15"/>
      <c r="L9" s="3" t="str">
        <f t="shared" si="3"/>
        <v>A</v>
      </c>
      <c r="M9" s="15"/>
      <c r="N9" s="15"/>
      <c r="O9" s="3" t="str">
        <f t="shared" si="4"/>
        <v>A</v>
      </c>
      <c r="P9" s="15"/>
      <c r="Q9" s="15"/>
      <c r="R9" s="3" t="str">
        <f t="shared" si="5"/>
        <v>A</v>
      </c>
      <c r="S9" s="15"/>
      <c r="T9" s="15"/>
      <c r="U9" s="3" t="str">
        <f t="shared" si="6"/>
        <v>A</v>
      </c>
      <c r="V9" s="15"/>
      <c r="W9" s="15"/>
      <c r="X9" s="3" t="s">
        <v>22</v>
      </c>
      <c r="Y9" s="15"/>
      <c r="Z9" s="15"/>
      <c r="AA9" s="3" t="s">
        <v>22</v>
      </c>
      <c r="AB9" s="15"/>
      <c r="AC9" s="15"/>
      <c r="AD9" s="3" t="str">
        <f t="shared" si="7"/>
        <v>A</v>
      </c>
      <c r="AE9" s="15"/>
      <c r="AF9" s="15"/>
      <c r="AG9" s="3" t="str">
        <f t="shared" si="8"/>
        <v>A</v>
      </c>
      <c r="AH9" s="15"/>
      <c r="AI9" s="15"/>
      <c r="AJ9" s="3" t="s">
        <v>64</v>
      </c>
      <c r="AK9" s="15"/>
      <c r="AL9" s="15"/>
      <c r="AM9" s="3" t="str">
        <f t="shared" si="9"/>
        <v>A</v>
      </c>
      <c r="AN9" s="15"/>
      <c r="AO9" s="15"/>
      <c r="AP9" s="3" t="str">
        <f t="shared" si="10"/>
        <v>A</v>
      </c>
      <c r="AQ9" s="15"/>
      <c r="AR9" s="15"/>
      <c r="AS9" s="3" t="s">
        <v>22</v>
      </c>
      <c r="AT9" s="15"/>
      <c r="AU9" s="15"/>
      <c r="AV9" s="3" t="s">
        <v>22</v>
      </c>
      <c r="AW9" s="15"/>
      <c r="AX9" s="15"/>
      <c r="AY9" s="3" t="str">
        <f t="shared" si="11"/>
        <v>A</v>
      </c>
      <c r="AZ9" s="15"/>
      <c r="BA9" s="15"/>
      <c r="BB9" s="3" t="str">
        <f t="shared" si="12"/>
        <v>A</v>
      </c>
      <c r="BC9" s="15"/>
      <c r="BD9" s="15"/>
      <c r="BE9" s="3" t="str">
        <f t="shared" si="13"/>
        <v>A</v>
      </c>
      <c r="BF9" s="15"/>
      <c r="BG9" s="15"/>
      <c r="BH9" s="3" t="str">
        <f t="shared" si="14"/>
        <v>A</v>
      </c>
      <c r="BI9" s="15"/>
      <c r="BJ9" s="15"/>
      <c r="BK9" s="3" t="str">
        <f t="shared" si="15"/>
        <v>A</v>
      </c>
      <c r="BL9" s="15"/>
      <c r="BM9" s="15"/>
      <c r="BN9" s="3" t="s">
        <v>22</v>
      </c>
      <c r="BO9" s="15"/>
      <c r="BP9" s="15"/>
      <c r="BQ9" s="3" t="s">
        <v>22</v>
      </c>
      <c r="BR9" s="15"/>
      <c r="BS9" s="15"/>
      <c r="BT9" s="3" t="str">
        <f t="shared" si="16"/>
        <v>A</v>
      </c>
      <c r="BU9" s="15"/>
      <c r="BV9" s="15"/>
      <c r="BW9" s="3" t="str">
        <f t="shared" si="17"/>
        <v>A</v>
      </c>
      <c r="BX9" s="15"/>
      <c r="BY9" s="15"/>
      <c r="BZ9" s="3" t="str">
        <f t="shared" si="18"/>
        <v>A</v>
      </c>
      <c r="CA9" s="15"/>
      <c r="CB9" s="15"/>
      <c r="CC9" s="3" t="str">
        <f t="shared" si="19"/>
        <v>A</v>
      </c>
      <c r="CD9" s="15"/>
      <c r="CE9" s="15"/>
      <c r="CF9" s="3" t="str">
        <f t="shared" si="20"/>
        <v>A</v>
      </c>
      <c r="CG9" s="15"/>
      <c r="CH9" s="15"/>
      <c r="CI9" s="3" t="s">
        <v>22</v>
      </c>
      <c r="CJ9" s="15"/>
      <c r="CK9" s="16"/>
      <c r="CL9" s="3" t="s">
        <v>22</v>
      </c>
      <c r="CM9" s="15"/>
      <c r="CN9" s="16"/>
      <c r="CO9" s="3" t="str">
        <f t="shared" si="21"/>
        <v>A</v>
      </c>
      <c r="CP9" s="11">
        <f>COUNTIF(D9:CO9,"EL")</f>
        <v>0</v>
      </c>
      <c r="CQ9" s="11">
        <f>COUNTIF(D9:CO9,"EL-H")*0.5</f>
        <v>0</v>
      </c>
      <c r="CR9" s="11">
        <f>COUNTIF(D9:CO9,"CL")</f>
        <v>0</v>
      </c>
      <c r="CS9" s="11">
        <f>COUNTIF(D9:CO9,"CL-H")*0.5</f>
        <v>0</v>
      </c>
      <c r="CT9" s="11">
        <f>COUNTIF(D9:CO9,"C-Off")</f>
        <v>0</v>
      </c>
      <c r="CU9" s="11">
        <f>COUNTIF(D9:CO9,"C-Off-H")*0.5</f>
        <v>0</v>
      </c>
      <c r="CV9" s="11">
        <f t="shared" si="28"/>
        <v>0</v>
      </c>
      <c r="CW9" s="11">
        <f>COUNTIF(D9:CO9,"P")</f>
        <v>0</v>
      </c>
      <c r="CX9" s="11">
        <f>COUNTIF(D9:CO9,"H")+COUNTIF(D9:CO9,"S")</f>
        <v>11</v>
      </c>
      <c r="CY9" s="11">
        <f>COUNTIF(D9:CO9,"A-H")*0.5</f>
        <v>0</v>
      </c>
      <c r="CZ9" s="11">
        <f>COUNTIF(D9:CO9,"A")</f>
        <v>19</v>
      </c>
      <c r="DA9" s="12">
        <f t="shared" si="26"/>
        <v>19</v>
      </c>
      <c r="DB9" s="13">
        <v>30</v>
      </c>
      <c r="DC9" s="11">
        <f t="shared" si="27"/>
        <v>11</v>
      </c>
      <c r="DD9" s="14"/>
      <c r="DE9" s="14"/>
    </row>
    <row r="10" spans="1:109" s="10" customFormat="1" ht="30.75" customHeight="1" x14ac:dyDescent="0.25">
      <c r="A10" s="7" t="s">
        <v>30</v>
      </c>
      <c r="B10" s="8"/>
      <c r="C10" s="9"/>
      <c r="D10" s="15"/>
      <c r="E10" s="15"/>
      <c r="F10" s="3" t="s">
        <v>22</v>
      </c>
      <c r="G10" s="15"/>
      <c r="H10" s="15"/>
      <c r="I10" s="3" t="s">
        <v>64</v>
      </c>
      <c r="J10" s="15"/>
      <c r="K10" s="15"/>
      <c r="L10" s="3" t="str">
        <f t="shared" si="3"/>
        <v>A</v>
      </c>
      <c r="M10" s="15"/>
      <c r="N10" s="15"/>
      <c r="O10" s="3" t="str">
        <f t="shared" si="4"/>
        <v>A</v>
      </c>
      <c r="P10" s="15"/>
      <c r="Q10" s="15"/>
      <c r="R10" s="3" t="str">
        <f t="shared" si="5"/>
        <v>A</v>
      </c>
      <c r="S10" s="15"/>
      <c r="T10" s="15"/>
      <c r="U10" s="3" t="str">
        <f t="shared" si="6"/>
        <v>A</v>
      </c>
      <c r="V10" s="15"/>
      <c r="W10" s="15"/>
      <c r="X10" s="3" t="s">
        <v>22</v>
      </c>
      <c r="Y10" s="15"/>
      <c r="Z10" s="15"/>
      <c r="AA10" s="3" t="s">
        <v>22</v>
      </c>
      <c r="AB10" s="15"/>
      <c r="AC10" s="15"/>
      <c r="AD10" s="3" t="str">
        <f t="shared" si="7"/>
        <v>A</v>
      </c>
      <c r="AE10" s="15"/>
      <c r="AF10" s="15"/>
      <c r="AG10" s="3" t="str">
        <f t="shared" si="8"/>
        <v>A</v>
      </c>
      <c r="AH10" s="15"/>
      <c r="AI10" s="15"/>
      <c r="AJ10" s="3" t="s">
        <v>64</v>
      </c>
      <c r="AK10" s="15"/>
      <c r="AL10" s="15"/>
      <c r="AM10" s="3" t="str">
        <f t="shared" si="9"/>
        <v>A</v>
      </c>
      <c r="AN10" s="15"/>
      <c r="AO10" s="15"/>
      <c r="AP10" s="3" t="str">
        <f t="shared" si="10"/>
        <v>A</v>
      </c>
      <c r="AQ10" s="15"/>
      <c r="AR10" s="15"/>
      <c r="AS10" s="3" t="s">
        <v>22</v>
      </c>
      <c r="AT10" s="15"/>
      <c r="AU10" s="15"/>
      <c r="AV10" s="3" t="s">
        <v>22</v>
      </c>
      <c r="AW10" s="15"/>
      <c r="AX10" s="15"/>
      <c r="AY10" s="3" t="str">
        <f t="shared" si="11"/>
        <v>A</v>
      </c>
      <c r="AZ10" s="15"/>
      <c r="BA10" s="15"/>
      <c r="BB10" s="3" t="str">
        <f t="shared" si="12"/>
        <v>A</v>
      </c>
      <c r="BC10" s="15"/>
      <c r="BD10" s="15"/>
      <c r="BE10" s="3" t="str">
        <f t="shared" si="13"/>
        <v>A</v>
      </c>
      <c r="BF10" s="15"/>
      <c r="BG10" s="15"/>
      <c r="BH10" s="3" t="str">
        <f t="shared" si="14"/>
        <v>A</v>
      </c>
      <c r="BI10" s="15"/>
      <c r="BJ10" s="15"/>
      <c r="BK10" s="3" t="str">
        <f t="shared" si="15"/>
        <v>A</v>
      </c>
      <c r="BL10" s="15"/>
      <c r="BM10" s="15"/>
      <c r="BN10" s="3" t="s">
        <v>22</v>
      </c>
      <c r="BO10" s="15"/>
      <c r="BP10" s="15"/>
      <c r="BQ10" s="3" t="s">
        <v>22</v>
      </c>
      <c r="BR10" s="15"/>
      <c r="BS10" s="15"/>
      <c r="BT10" s="3" t="str">
        <f t="shared" si="16"/>
        <v>A</v>
      </c>
      <c r="BU10" s="15"/>
      <c r="BV10" s="15"/>
      <c r="BW10" s="3" t="str">
        <f t="shared" si="17"/>
        <v>A</v>
      </c>
      <c r="BX10" s="15"/>
      <c r="BY10" s="15"/>
      <c r="BZ10" s="3" t="str">
        <f t="shared" si="18"/>
        <v>A</v>
      </c>
      <c r="CA10" s="15"/>
      <c r="CB10" s="15"/>
      <c r="CC10" s="3" t="str">
        <f t="shared" si="19"/>
        <v>A</v>
      </c>
      <c r="CD10" s="15"/>
      <c r="CE10" s="15"/>
      <c r="CF10" s="3" t="str">
        <f t="shared" si="20"/>
        <v>A</v>
      </c>
      <c r="CG10" s="15"/>
      <c r="CH10" s="15"/>
      <c r="CI10" s="3" t="s">
        <v>22</v>
      </c>
      <c r="CJ10" s="15"/>
      <c r="CK10" s="16"/>
      <c r="CL10" s="3" t="s">
        <v>22</v>
      </c>
      <c r="CM10" s="15"/>
      <c r="CN10" s="16"/>
      <c r="CO10" s="3" t="str">
        <f t="shared" si="21"/>
        <v>A</v>
      </c>
      <c r="CP10" s="11">
        <f>COUNTIF(D10:CO10,"EL")</f>
        <v>0</v>
      </c>
      <c r="CQ10" s="11">
        <f>COUNTIF(D10:CO10,"EL-H")*0.5</f>
        <v>0</v>
      </c>
      <c r="CR10" s="11">
        <f>COUNTIF(D10:CO10,"CL")</f>
        <v>0</v>
      </c>
      <c r="CS10" s="11">
        <f>COUNTIF(D10:CO10,"CL-H")*0.5</f>
        <v>0</v>
      </c>
      <c r="CT10" s="11">
        <f>COUNTIF(D10:CO10,"C-Off")</f>
        <v>0</v>
      </c>
      <c r="CU10" s="11">
        <f>COUNTIF(D10:CO10,"C-Off-H")*0.5</f>
        <v>0</v>
      </c>
      <c r="CV10" s="11">
        <f t="shared" ref="CV10" si="29">SUM(CP10:CU10)</f>
        <v>0</v>
      </c>
      <c r="CW10" s="11">
        <f>COUNTIF(D10:CO10,"P")</f>
        <v>0</v>
      </c>
      <c r="CX10" s="11">
        <f>COUNTIF(D10:CO10,"H")+COUNTIF(D10:CO10,"S")</f>
        <v>11</v>
      </c>
      <c r="CY10" s="11">
        <f>COUNTIF(D10:CO10,"A-H")*0.5</f>
        <v>0</v>
      </c>
      <c r="CZ10" s="11">
        <f>COUNTIF(D10:CO10,"A")</f>
        <v>19</v>
      </c>
      <c r="DA10" s="12">
        <f t="shared" ref="DA10:DA17" si="30">+CY10+CZ10</f>
        <v>19</v>
      </c>
      <c r="DB10" s="13">
        <v>30</v>
      </c>
      <c r="DC10" s="11">
        <f t="shared" ref="DC10:DC17" si="31">DB10-DA10</f>
        <v>11</v>
      </c>
      <c r="DD10" s="14"/>
      <c r="DE10" s="14"/>
    </row>
    <row r="11" spans="1:109" s="10" customFormat="1" ht="30.75" customHeight="1" x14ac:dyDescent="0.25">
      <c r="A11" s="7" t="s">
        <v>31</v>
      </c>
      <c r="B11" s="8"/>
      <c r="C11" s="9"/>
      <c r="D11" s="15"/>
      <c r="E11" s="15"/>
      <c r="F11" s="3" t="s">
        <v>22</v>
      </c>
      <c r="G11" s="15"/>
      <c r="H11" s="15"/>
      <c r="I11" s="3" t="s">
        <v>64</v>
      </c>
      <c r="J11" s="15"/>
      <c r="K11" s="15"/>
      <c r="L11" s="3" t="str">
        <f t="shared" si="3"/>
        <v>A</v>
      </c>
      <c r="M11" s="15"/>
      <c r="N11" s="15"/>
      <c r="O11" s="3" t="str">
        <f t="shared" si="4"/>
        <v>A</v>
      </c>
      <c r="P11" s="15"/>
      <c r="Q11" s="15"/>
      <c r="R11" s="3" t="str">
        <f t="shared" si="5"/>
        <v>A</v>
      </c>
      <c r="S11" s="15"/>
      <c r="T11" s="15"/>
      <c r="U11" s="3" t="str">
        <f t="shared" si="6"/>
        <v>A</v>
      </c>
      <c r="V11" s="15"/>
      <c r="W11" s="15"/>
      <c r="X11" s="3" t="s">
        <v>22</v>
      </c>
      <c r="Y11" s="15"/>
      <c r="Z11" s="15"/>
      <c r="AA11" s="3" t="s">
        <v>22</v>
      </c>
      <c r="AB11" s="15"/>
      <c r="AC11" s="15"/>
      <c r="AD11" s="3" t="str">
        <f t="shared" si="7"/>
        <v>A</v>
      </c>
      <c r="AE11" s="15"/>
      <c r="AF11" s="15"/>
      <c r="AG11" s="3" t="str">
        <f t="shared" si="8"/>
        <v>A</v>
      </c>
      <c r="AH11" s="15"/>
      <c r="AI11" s="15"/>
      <c r="AJ11" s="3" t="s">
        <v>64</v>
      </c>
      <c r="AK11" s="15"/>
      <c r="AL11" s="15"/>
      <c r="AM11" s="3" t="str">
        <f t="shared" si="9"/>
        <v>A</v>
      </c>
      <c r="AN11" s="15"/>
      <c r="AO11" s="15"/>
      <c r="AP11" s="3" t="str">
        <f t="shared" si="10"/>
        <v>A</v>
      </c>
      <c r="AQ11" s="15"/>
      <c r="AR11" s="15"/>
      <c r="AS11" s="3" t="s">
        <v>22</v>
      </c>
      <c r="AT11" s="15"/>
      <c r="AU11" s="15"/>
      <c r="AV11" s="3" t="s">
        <v>22</v>
      </c>
      <c r="AW11" s="15"/>
      <c r="AX11" s="15"/>
      <c r="AY11" s="3" t="str">
        <f t="shared" si="11"/>
        <v>A</v>
      </c>
      <c r="AZ11" s="15"/>
      <c r="BA11" s="15"/>
      <c r="BB11" s="3" t="str">
        <f t="shared" si="12"/>
        <v>A</v>
      </c>
      <c r="BC11" s="15"/>
      <c r="BD11" s="15"/>
      <c r="BE11" s="3" t="str">
        <f t="shared" si="13"/>
        <v>A</v>
      </c>
      <c r="BF11" s="15"/>
      <c r="BG11" s="15"/>
      <c r="BH11" s="3" t="str">
        <f t="shared" si="14"/>
        <v>A</v>
      </c>
      <c r="BI11" s="15"/>
      <c r="BJ11" s="15"/>
      <c r="BK11" s="3" t="str">
        <f t="shared" si="15"/>
        <v>A</v>
      </c>
      <c r="BL11" s="15"/>
      <c r="BM11" s="15"/>
      <c r="BN11" s="3" t="s">
        <v>22</v>
      </c>
      <c r="BO11" s="15"/>
      <c r="BP11" s="15"/>
      <c r="BQ11" s="3" t="s">
        <v>22</v>
      </c>
      <c r="BR11" s="15"/>
      <c r="BS11" s="15"/>
      <c r="BT11" s="3" t="str">
        <f t="shared" si="16"/>
        <v>A</v>
      </c>
      <c r="BU11" s="15"/>
      <c r="BV11" s="15"/>
      <c r="BW11" s="3" t="str">
        <f t="shared" si="17"/>
        <v>A</v>
      </c>
      <c r="BX11" s="15"/>
      <c r="BY11" s="15"/>
      <c r="BZ11" s="3" t="str">
        <f t="shared" si="18"/>
        <v>A</v>
      </c>
      <c r="CA11" s="15"/>
      <c r="CB11" s="15"/>
      <c r="CC11" s="3" t="str">
        <f t="shared" si="19"/>
        <v>A</v>
      </c>
      <c r="CD11" s="15"/>
      <c r="CE11" s="15"/>
      <c r="CF11" s="3" t="str">
        <f t="shared" si="20"/>
        <v>A</v>
      </c>
      <c r="CG11" s="15"/>
      <c r="CH11" s="15"/>
      <c r="CI11" s="3" t="s">
        <v>22</v>
      </c>
      <c r="CJ11" s="15"/>
      <c r="CK11" s="16"/>
      <c r="CL11" s="3" t="s">
        <v>22</v>
      </c>
      <c r="CM11" s="15"/>
      <c r="CN11" s="16"/>
      <c r="CO11" s="3" t="str">
        <f t="shared" si="21"/>
        <v>A</v>
      </c>
      <c r="CP11" s="11">
        <f>COUNTIF(D11:CO11,"EL")</f>
        <v>0</v>
      </c>
      <c r="CQ11" s="11">
        <f>COUNTIF(D11:CO11,"EL-H")*0.5</f>
        <v>0</v>
      </c>
      <c r="CR11" s="11">
        <f>COUNTIF(D11:CO11,"CL")</f>
        <v>0</v>
      </c>
      <c r="CS11" s="11">
        <f>COUNTIF(D11:CO11,"CL-H")*0.5</f>
        <v>0</v>
      </c>
      <c r="CT11" s="11">
        <f>COUNTIF(D11:CO11,"C-Off")</f>
        <v>0</v>
      </c>
      <c r="CU11" s="11">
        <f>COUNTIF(D11:CO11,"C-Off-H")*0.5</f>
        <v>0</v>
      </c>
      <c r="CV11" s="11">
        <f t="shared" ref="CV11:CV13" si="32">SUM(CP11:CU11)</f>
        <v>0</v>
      </c>
      <c r="CW11" s="11">
        <f>COUNTIF(D11:CO11,"P")</f>
        <v>0</v>
      </c>
      <c r="CX11" s="11">
        <f>COUNTIF(D11:CO11,"H")+COUNTIF(D11:CO11,"S")</f>
        <v>11</v>
      </c>
      <c r="CY11" s="11">
        <f>COUNTIF(D11:CO11,"A-H")*0.5</f>
        <v>0</v>
      </c>
      <c r="CZ11" s="11">
        <f>COUNTIF(D11:CO11,"A")</f>
        <v>19</v>
      </c>
      <c r="DA11" s="12">
        <f t="shared" si="30"/>
        <v>19</v>
      </c>
      <c r="DB11" s="13">
        <v>30</v>
      </c>
      <c r="DC11" s="11">
        <f t="shared" si="31"/>
        <v>11</v>
      </c>
      <c r="DD11" s="14"/>
      <c r="DE11" s="14"/>
    </row>
    <row r="12" spans="1:109" s="10" customFormat="1" ht="30.75" customHeight="1" x14ac:dyDescent="0.25">
      <c r="A12" s="7" t="s">
        <v>32</v>
      </c>
      <c r="B12" s="8"/>
      <c r="C12" s="9"/>
      <c r="D12" s="15"/>
      <c r="E12" s="15"/>
      <c r="F12" s="3" t="s">
        <v>22</v>
      </c>
      <c r="G12" s="15"/>
      <c r="H12" s="15"/>
      <c r="I12" s="3" t="s">
        <v>64</v>
      </c>
      <c r="J12" s="15"/>
      <c r="K12" s="15"/>
      <c r="L12" s="3" t="str">
        <f t="shared" si="3"/>
        <v>A</v>
      </c>
      <c r="M12" s="15"/>
      <c r="N12" s="15"/>
      <c r="O12" s="3" t="str">
        <f t="shared" si="4"/>
        <v>A</v>
      </c>
      <c r="P12" s="15"/>
      <c r="Q12" s="15"/>
      <c r="R12" s="3" t="str">
        <f t="shared" si="5"/>
        <v>A</v>
      </c>
      <c r="S12" s="15"/>
      <c r="T12" s="15"/>
      <c r="U12" s="3" t="str">
        <f t="shared" si="6"/>
        <v>A</v>
      </c>
      <c r="V12" s="15"/>
      <c r="W12" s="15"/>
      <c r="X12" s="3" t="s">
        <v>22</v>
      </c>
      <c r="Y12" s="15"/>
      <c r="Z12" s="15"/>
      <c r="AA12" s="3" t="s">
        <v>22</v>
      </c>
      <c r="AB12" s="15"/>
      <c r="AC12" s="15"/>
      <c r="AD12" s="3" t="str">
        <f t="shared" si="7"/>
        <v>A</v>
      </c>
      <c r="AE12" s="15"/>
      <c r="AF12" s="15"/>
      <c r="AG12" s="3" t="str">
        <f t="shared" si="8"/>
        <v>A</v>
      </c>
      <c r="AH12" s="15"/>
      <c r="AI12" s="15"/>
      <c r="AJ12" s="3" t="s">
        <v>64</v>
      </c>
      <c r="AK12" s="15"/>
      <c r="AL12" s="15"/>
      <c r="AM12" s="3" t="str">
        <f t="shared" si="9"/>
        <v>A</v>
      </c>
      <c r="AN12" s="15"/>
      <c r="AO12" s="15"/>
      <c r="AP12" s="3" t="str">
        <f t="shared" si="10"/>
        <v>A</v>
      </c>
      <c r="AQ12" s="15"/>
      <c r="AR12" s="15"/>
      <c r="AS12" s="3" t="s">
        <v>22</v>
      </c>
      <c r="AT12" s="15"/>
      <c r="AU12" s="15"/>
      <c r="AV12" s="3" t="s">
        <v>22</v>
      </c>
      <c r="AW12" s="15"/>
      <c r="AX12" s="15"/>
      <c r="AY12" s="3" t="str">
        <f t="shared" si="11"/>
        <v>A</v>
      </c>
      <c r="AZ12" s="15"/>
      <c r="BA12" s="15"/>
      <c r="BB12" s="3" t="str">
        <f t="shared" si="12"/>
        <v>A</v>
      </c>
      <c r="BC12" s="15"/>
      <c r="BD12" s="15"/>
      <c r="BE12" s="3" t="str">
        <f t="shared" si="13"/>
        <v>A</v>
      </c>
      <c r="BF12" s="15"/>
      <c r="BG12" s="15"/>
      <c r="BH12" s="3" t="str">
        <f t="shared" si="14"/>
        <v>A</v>
      </c>
      <c r="BI12" s="15"/>
      <c r="BJ12" s="15"/>
      <c r="BK12" s="3" t="str">
        <f t="shared" si="15"/>
        <v>A</v>
      </c>
      <c r="BL12" s="15"/>
      <c r="BM12" s="15"/>
      <c r="BN12" s="3" t="s">
        <v>22</v>
      </c>
      <c r="BO12" s="15"/>
      <c r="BP12" s="15"/>
      <c r="BQ12" s="3" t="s">
        <v>22</v>
      </c>
      <c r="BR12" s="15"/>
      <c r="BS12" s="15"/>
      <c r="BT12" s="3" t="str">
        <f t="shared" si="16"/>
        <v>A</v>
      </c>
      <c r="BU12" s="15"/>
      <c r="BV12" s="15"/>
      <c r="BW12" s="3" t="str">
        <f t="shared" si="17"/>
        <v>A</v>
      </c>
      <c r="BX12" s="15"/>
      <c r="BY12" s="15"/>
      <c r="BZ12" s="3" t="str">
        <f t="shared" si="18"/>
        <v>A</v>
      </c>
      <c r="CA12" s="15"/>
      <c r="CB12" s="15"/>
      <c r="CC12" s="3" t="str">
        <f t="shared" si="19"/>
        <v>A</v>
      </c>
      <c r="CD12" s="15"/>
      <c r="CE12" s="15"/>
      <c r="CF12" s="3" t="str">
        <f t="shared" si="20"/>
        <v>A</v>
      </c>
      <c r="CG12" s="15"/>
      <c r="CH12" s="15"/>
      <c r="CI12" s="3" t="s">
        <v>22</v>
      </c>
      <c r="CJ12" s="15"/>
      <c r="CK12" s="16"/>
      <c r="CL12" s="3" t="s">
        <v>22</v>
      </c>
      <c r="CM12" s="15"/>
      <c r="CN12" s="16"/>
      <c r="CO12" s="3" t="str">
        <f t="shared" si="21"/>
        <v>A</v>
      </c>
      <c r="CP12" s="11">
        <f>COUNTIF(D12:CO12,"EL")</f>
        <v>0</v>
      </c>
      <c r="CQ12" s="11">
        <f>COUNTIF(D12:CO12,"EL-H")*0.5</f>
        <v>0</v>
      </c>
      <c r="CR12" s="11">
        <f>COUNTIF(D12:CO12,"CL")</f>
        <v>0</v>
      </c>
      <c r="CS12" s="11">
        <f>COUNTIF(D12:CO12,"CL-H")*0.5</f>
        <v>0</v>
      </c>
      <c r="CT12" s="11">
        <f>COUNTIF(D12:CO12,"C-Off")</f>
        <v>0</v>
      </c>
      <c r="CU12" s="11">
        <f>COUNTIF(D12:CO12,"C-Off-H")*0.5</f>
        <v>0</v>
      </c>
      <c r="CV12" s="11">
        <f t="shared" si="32"/>
        <v>0</v>
      </c>
      <c r="CW12" s="11">
        <f>COUNTIF(D12:CO12,"P")</f>
        <v>0</v>
      </c>
      <c r="CX12" s="11">
        <f>COUNTIF(D12:CO12,"H")+COUNTIF(D12:CO12,"S")</f>
        <v>11</v>
      </c>
      <c r="CY12" s="11">
        <f>COUNTIF(D12:CO12,"A-H")*0.5</f>
        <v>0</v>
      </c>
      <c r="CZ12" s="11">
        <f>COUNTIF(D12:CO12,"A")</f>
        <v>19</v>
      </c>
      <c r="DA12" s="12">
        <f t="shared" si="30"/>
        <v>19</v>
      </c>
      <c r="DB12" s="13">
        <v>30</v>
      </c>
      <c r="DC12" s="11">
        <f t="shared" si="31"/>
        <v>11</v>
      </c>
      <c r="DD12" s="14"/>
      <c r="DE12" s="14"/>
    </row>
    <row r="13" spans="1:109" s="10" customFormat="1" ht="30.75" customHeight="1" x14ac:dyDescent="0.25">
      <c r="A13" s="7" t="s">
        <v>33</v>
      </c>
      <c r="B13" s="8"/>
      <c r="C13" s="9"/>
      <c r="D13" s="15"/>
      <c r="E13" s="15"/>
      <c r="F13" s="3" t="s">
        <v>22</v>
      </c>
      <c r="G13" s="15"/>
      <c r="H13" s="15"/>
      <c r="I13" s="3" t="s">
        <v>64</v>
      </c>
      <c r="J13" s="15"/>
      <c r="K13" s="15"/>
      <c r="L13" s="3" t="str">
        <f t="shared" si="3"/>
        <v>A</v>
      </c>
      <c r="M13" s="15"/>
      <c r="N13" s="15"/>
      <c r="O13" s="3" t="str">
        <f t="shared" si="4"/>
        <v>A</v>
      </c>
      <c r="P13" s="15"/>
      <c r="Q13" s="15"/>
      <c r="R13" s="3" t="str">
        <f t="shared" si="5"/>
        <v>A</v>
      </c>
      <c r="S13" s="15"/>
      <c r="T13" s="15"/>
      <c r="U13" s="3" t="str">
        <f t="shared" si="6"/>
        <v>A</v>
      </c>
      <c r="V13" s="15"/>
      <c r="W13" s="15"/>
      <c r="X13" s="3" t="s">
        <v>22</v>
      </c>
      <c r="Y13" s="15"/>
      <c r="Z13" s="15"/>
      <c r="AA13" s="3" t="s">
        <v>22</v>
      </c>
      <c r="AB13" s="15"/>
      <c r="AC13" s="15"/>
      <c r="AD13" s="3" t="str">
        <f t="shared" si="7"/>
        <v>A</v>
      </c>
      <c r="AE13" s="15"/>
      <c r="AF13" s="15"/>
      <c r="AG13" s="3" t="str">
        <f t="shared" si="8"/>
        <v>A</v>
      </c>
      <c r="AH13" s="15"/>
      <c r="AI13" s="15"/>
      <c r="AJ13" s="3" t="s">
        <v>64</v>
      </c>
      <c r="AK13" s="15"/>
      <c r="AL13" s="15"/>
      <c r="AM13" s="3" t="str">
        <f t="shared" si="9"/>
        <v>A</v>
      </c>
      <c r="AN13" s="15"/>
      <c r="AO13" s="15"/>
      <c r="AP13" s="3" t="str">
        <f t="shared" si="10"/>
        <v>A</v>
      </c>
      <c r="AQ13" s="15"/>
      <c r="AR13" s="15"/>
      <c r="AS13" s="3" t="s">
        <v>22</v>
      </c>
      <c r="AT13" s="15"/>
      <c r="AU13" s="15"/>
      <c r="AV13" s="3" t="s">
        <v>22</v>
      </c>
      <c r="AW13" s="15"/>
      <c r="AX13" s="15"/>
      <c r="AY13" s="3" t="str">
        <f t="shared" si="11"/>
        <v>A</v>
      </c>
      <c r="AZ13" s="15"/>
      <c r="BA13" s="15"/>
      <c r="BB13" s="3" t="str">
        <f t="shared" si="12"/>
        <v>A</v>
      </c>
      <c r="BC13" s="15"/>
      <c r="BD13" s="15"/>
      <c r="BE13" s="3" t="str">
        <f t="shared" si="13"/>
        <v>A</v>
      </c>
      <c r="BF13" s="15"/>
      <c r="BG13" s="15"/>
      <c r="BH13" s="3" t="str">
        <f t="shared" si="14"/>
        <v>A</v>
      </c>
      <c r="BI13" s="15"/>
      <c r="BJ13" s="15"/>
      <c r="BK13" s="3" t="str">
        <f t="shared" si="15"/>
        <v>A</v>
      </c>
      <c r="BL13" s="15"/>
      <c r="BM13" s="15"/>
      <c r="BN13" s="3" t="s">
        <v>22</v>
      </c>
      <c r="BO13" s="15"/>
      <c r="BP13" s="15"/>
      <c r="BQ13" s="3" t="s">
        <v>22</v>
      </c>
      <c r="BR13" s="15"/>
      <c r="BS13" s="15"/>
      <c r="BT13" s="3" t="str">
        <f t="shared" si="16"/>
        <v>A</v>
      </c>
      <c r="BU13" s="15"/>
      <c r="BV13" s="15"/>
      <c r="BW13" s="3" t="str">
        <f t="shared" si="17"/>
        <v>A</v>
      </c>
      <c r="BX13" s="15"/>
      <c r="BY13" s="15"/>
      <c r="BZ13" s="3" t="str">
        <f t="shared" si="18"/>
        <v>A</v>
      </c>
      <c r="CA13" s="15"/>
      <c r="CB13" s="15"/>
      <c r="CC13" s="3" t="str">
        <f t="shared" si="19"/>
        <v>A</v>
      </c>
      <c r="CD13" s="15"/>
      <c r="CE13" s="15"/>
      <c r="CF13" s="3" t="str">
        <f t="shared" si="20"/>
        <v>A</v>
      </c>
      <c r="CG13" s="15"/>
      <c r="CH13" s="15"/>
      <c r="CI13" s="3" t="s">
        <v>22</v>
      </c>
      <c r="CJ13" s="15"/>
      <c r="CK13" s="16"/>
      <c r="CL13" s="3" t="s">
        <v>22</v>
      </c>
      <c r="CM13" s="15"/>
      <c r="CN13" s="16"/>
      <c r="CO13" s="3" t="str">
        <f t="shared" si="21"/>
        <v>A</v>
      </c>
      <c r="CP13" s="11">
        <f>COUNTIF(D13:CO13,"EL")</f>
        <v>0</v>
      </c>
      <c r="CQ13" s="11">
        <f>COUNTIF(D13:CO13,"EL-H")*0.5</f>
        <v>0</v>
      </c>
      <c r="CR13" s="11">
        <f>COUNTIF(D13:CO13,"CL")</f>
        <v>0</v>
      </c>
      <c r="CS13" s="11">
        <f>COUNTIF(D13:CO13,"CL-H")*0.5</f>
        <v>0</v>
      </c>
      <c r="CT13" s="11">
        <f>COUNTIF(D13:CO13,"C-Off")</f>
        <v>0</v>
      </c>
      <c r="CU13" s="11">
        <f>COUNTIF(D13:CO13,"C-Off-H")*0.5</f>
        <v>0</v>
      </c>
      <c r="CV13" s="11">
        <f t="shared" si="32"/>
        <v>0</v>
      </c>
      <c r="CW13" s="11">
        <f>COUNTIF(D13:CO13,"P")</f>
        <v>0</v>
      </c>
      <c r="CX13" s="11">
        <f>COUNTIF(D13:CO13,"H")+COUNTIF(D13:CO13,"S")</f>
        <v>11</v>
      </c>
      <c r="CY13" s="11">
        <f>COUNTIF(D13:CO13,"A-H")*0.5</f>
        <v>0</v>
      </c>
      <c r="CZ13" s="11">
        <f>COUNTIF(D13:CO13,"A")</f>
        <v>19</v>
      </c>
      <c r="DA13" s="12">
        <f t="shared" si="30"/>
        <v>19</v>
      </c>
      <c r="DB13" s="13">
        <v>30</v>
      </c>
      <c r="DC13" s="11">
        <f t="shared" si="31"/>
        <v>11</v>
      </c>
      <c r="DD13" s="14"/>
      <c r="DE13" s="14"/>
    </row>
    <row r="14" spans="1:109" s="10" customFormat="1" ht="30.75" customHeight="1" x14ac:dyDescent="0.25">
      <c r="A14" s="7" t="s">
        <v>34</v>
      </c>
      <c r="B14" s="8"/>
      <c r="C14" s="9"/>
      <c r="D14" s="15"/>
      <c r="E14" s="15"/>
      <c r="F14" s="3" t="s">
        <v>22</v>
      </c>
      <c r="G14" s="15"/>
      <c r="H14" s="15"/>
      <c r="I14" s="3" t="s">
        <v>64</v>
      </c>
      <c r="J14" s="15"/>
      <c r="K14" s="15"/>
      <c r="L14" s="3" t="str">
        <f t="shared" si="3"/>
        <v>A</v>
      </c>
      <c r="M14" s="15"/>
      <c r="N14" s="15"/>
      <c r="O14" s="3" t="str">
        <f t="shared" si="4"/>
        <v>A</v>
      </c>
      <c r="P14" s="15"/>
      <c r="Q14" s="15"/>
      <c r="R14" s="3" t="str">
        <f t="shared" si="5"/>
        <v>A</v>
      </c>
      <c r="S14" s="15"/>
      <c r="T14" s="15"/>
      <c r="U14" s="3" t="str">
        <f t="shared" si="6"/>
        <v>A</v>
      </c>
      <c r="V14" s="15"/>
      <c r="W14" s="15"/>
      <c r="X14" s="3" t="s">
        <v>22</v>
      </c>
      <c r="Y14" s="15"/>
      <c r="Z14" s="15"/>
      <c r="AA14" s="3" t="s">
        <v>22</v>
      </c>
      <c r="AB14" s="15"/>
      <c r="AC14" s="15"/>
      <c r="AD14" s="3" t="str">
        <f t="shared" si="7"/>
        <v>A</v>
      </c>
      <c r="AE14" s="15"/>
      <c r="AF14" s="15"/>
      <c r="AG14" s="3" t="str">
        <f t="shared" si="8"/>
        <v>A</v>
      </c>
      <c r="AH14" s="15"/>
      <c r="AI14" s="15"/>
      <c r="AJ14" s="3" t="s">
        <v>64</v>
      </c>
      <c r="AK14" s="15"/>
      <c r="AL14" s="15"/>
      <c r="AM14" s="3" t="str">
        <f t="shared" si="9"/>
        <v>A</v>
      </c>
      <c r="AN14" s="15"/>
      <c r="AO14" s="15"/>
      <c r="AP14" s="3" t="str">
        <f t="shared" si="10"/>
        <v>A</v>
      </c>
      <c r="AQ14" s="15"/>
      <c r="AR14" s="15"/>
      <c r="AS14" s="3" t="s">
        <v>22</v>
      </c>
      <c r="AT14" s="15"/>
      <c r="AU14" s="15"/>
      <c r="AV14" s="3" t="s">
        <v>22</v>
      </c>
      <c r="AW14" s="15"/>
      <c r="AX14" s="15"/>
      <c r="AY14" s="3" t="str">
        <f t="shared" si="11"/>
        <v>A</v>
      </c>
      <c r="AZ14" s="15"/>
      <c r="BA14" s="15"/>
      <c r="BB14" s="3" t="str">
        <f t="shared" si="12"/>
        <v>A</v>
      </c>
      <c r="BC14" s="15"/>
      <c r="BD14" s="15"/>
      <c r="BE14" s="3" t="str">
        <f t="shared" si="13"/>
        <v>A</v>
      </c>
      <c r="BF14" s="15"/>
      <c r="BG14" s="15"/>
      <c r="BH14" s="3" t="str">
        <f t="shared" si="14"/>
        <v>A</v>
      </c>
      <c r="BI14" s="15"/>
      <c r="BJ14" s="15"/>
      <c r="BK14" s="3" t="str">
        <f t="shared" si="15"/>
        <v>A</v>
      </c>
      <c r="BL14" s="15"/>
      <c r="BM14" s="15"/>
      <c r="BN14" s="3" t="s">
        <v>22</v>
      </c>
      <c r="BO14" s="15"/>
      <c r="BP14" s="15"/>
      <c r="BQ14" s="3" t="s">
        <v>22</v>
      </c>
      <c r="BR14" s="15"/>
      <c r="BS14" s="15"/>
      <c r="BT14" s="3" t="str">
        <f t="shared" si="16"/>
        <v>A</v>
      </c>
      <c r="BU14" s="15"/>
      <c r="BV14" s="15"/>
      <c r="BW14" s="3" t="str">
        <f t="shared" si="17"/>
        <v>A</v>
      </c>
      <c r="BX14" s="15"/>
      <c r="BY14" s="15"/>
      <c r="BZ14" s="3" t="str">
        <f t="shared" si="18"/>
        <v>A</v>
      </c>
      <c r="CA14" s="15"/>
      <c r="CB14" s="15"/>
      <c r="CC14" s="3" t="str">
        <f t="shared" si="19"/>
        <v>A</v>
      </c>
      <c r="CD14" s="15"/>
      <c r="CE14" s="15"/>
      <c r="CF14" s="3" t="str">
        <f t="shared" si="20"/>
        <v>A</v>
      </c>
      <c r="CG14" s="15"/>
      <c r="CH14" s="15"/>
      <c r="CI14" s="3" t="s">
        <v>22</v>
      </c>
      <c r="CJ14" s="15"/>
      <c r="CK14" s="16"/>
      <c r="CL14" s="3" t="s">
        <v>22</v>
      </c>
      <c r="CM14" s="15"/>
      <c r="CN14" s="16"/>
      <c r="CO14" s="3" t="str">
        <f t="shared" si="21"/>
        <v>A</v>
      </c>
      <c r="CP14" s="11">
        <f>COUNTIF(D14:CO14,"EL")</f>
        <v>0</v>
      </c>
      <c r="CQ14" s="11">
        <f>COUNTIF(D14:CO14,"EL-H")*0.5</f>
        <v>0</v>
      </c>
      <c r="CR14" s="11">
        <f>COUNTIF(D14:CO14,"CL")</f>
        <v>0</v>
      </c>
      <c r="CS14" s="11">
        <f>COUNTIF(D14:CO14,"CL-H")*0.5</f>
        <v>0</v>
      </c>
      <c r="CT14" s="11">
        <f>COUNTIF(D14:CO14,"C-Off")</f>
        <v>0</v>
      </c>
      <c r="CU14" s="11">
        <f>COUNTIF(D14:CO14,"C-Off-H")*0.5</f>
        <v>0</v>
      </c>
      <c r="CV14" s="11">
        <f t="shared" ref="CV14" si="33">SUM(CP14:CU14)</f>
        <v>0</v>
      </c>
      <c r="CW14" s="11">
        <f>COUNTIF(D14:CO14,"P")</f>
        <v>0</v>
      </c>
      <c r="CX14" s="11">
        <f>COUNTIF(D14:CO14,"H")+COUNTIF(D14:CO14,"S")</f>
        <v>11</v>
      </c>
      <c r="CY14" s="11">
        <f>COUNTIF(D14:CO14,"A-H")*0.5</f>
        <v>0</v>
      </c>
      <c r="CZ14" s="11">
        <f>COUNTIF(D14:CO14,"A")</f>
        <v>19</v>
      </c>
      <c r="DA14" s="12">
        <f t="shared" si="30"/>
        <v>19</v>
      </c>
      <c r="DB14" s="13">
        <v>30</v>
      </c>
      <c r="DC14" s="11">
        <f t="shared" si="31"/>
        <v>11</v>
      </c>
      <c r="DD14" s="14"/>
      <c r="DE14" s="14"/>
    </row>
    <row r="15" spans="1:109" s="10" customFormat="1" ht="30.75" customHeight="1" x14ac:dyDescent="0.25">
      <c r="A15" s="7" t="s">
        <v>35</v>
      </c>
      <c r="B15" s="8"/>
      <c r="C15" s="9"/>
      <c r="D15" s="15"/>
      <c r="E15" s="15"/>
      <c r="F15" s="3" t="s">
        <v>22</v>
      </c>
      <c r="G15" s="15"/>
      <c r="H15" s="15"/>
      <c r="I15" s="3" t="s">
        <v>64</v>
      </c>
      <c r="J15" s="15"/>
      <c r="K15" s="15"/>
      <c r="L15" s="3" t="str">
        <f t="shared" si="3"/>
        <v>A</v>
      </c>
      <c r="M15" s="15"/>
      <c r="N15" s="15"/>
      <c r="O15" s="3" t="str">
        <f t="shared" si="4"/>
        <v>A</v>
      </c>
      <c r="P15" s="15"/>
      <c r="Q15" s="15"/>
      <c r="R15" s="3" t="str">
        <f t="shared" si="5"/>
        <v>A</v>
      </c>
      <c r="S15" s="15"/>
      <c r="T15" s="15"/>
      <c r="U15" s="3" t="str">
        <f t="shared" si="6"/>
        <v>A</v>
      </c>
      <c r="V15" s="15"/>
      <c r="W15" s="15"/>
      <c r="X15" s="3" t="s">
        <v>22</v>
      </c>
      <c r="Y15" s="15"/>
      <c r="Z15" s="15"/>
      <c r="AA15" s="3" t="s">
        <v>22</v>
      </c>
      <c r="AB15" s="15"/>
      <c r="AC15" s="15"/>
      <c r="AD15" s="3" t="str">
        <f t="shared" si="7"/>
        <v>A</v>
      </c>
      <c r="AE15" s="15"/>
      <c r="AF15" s="15"/>
      <c r="AG15" s="3" t="str">
        <f t="shared" si="8"/>
        <v>A</v>
      </c>
      <c r="AH15" s="15"/>
      <c r="AI15" s="15"/>
      <c r="AJ15" s="3" t="s">
        <v>64</v>
      </c>
      <c r="AK15" s="15"/>
      <c r="AL15" s="15"/>
      <c r="AM15" s="3" t="str">
        <f t="shared" si="9"/>
        <v>A</v>
      </c>
      <c r="AN15" s="15"/>
      <c r="AO15" s="15"/>
      <c r="AP15" s="3" t="str">
        <f t="shared" si="10"/>
        <v>A</v>
      </c>
      <c r="AQ15" s="15"/>
      <c r="AR15" s="15"/>
      <c r="AS15" s="3" t="s">
        <v>22</v>
      </c>
      <c r="AT15" s="15"/>
      <c r="AU15" s="15"/>
      <c r="AV15" s="3" t="s">
        <v>22</v>
      </c>
      <c r="AW15" s="15"/>
      <c r="AX15" s="15"/>
      <c r="AY15" s="3" t="str">
        <f t="shared" si="11"/>
        <v>A</v>
      </c>
      <c r="AZ15" s="15"/>
      <c r="BA15" s="15"/>
      <c r="BB15" s="3" t="str">
        <f t="shared" si="12"/>
        <v>A</v>
      </c>
      <c r="BC15" s="15"/>
      <c r="BD15" s="15"/>
      <c r="BE15" s="3" t="str">
        <f t="shared" si="13"/>
        <v>A</v>
      </c>
      <c r="BF15" s="15"/>
      <c r="BG15" s="15"/>
      <c r="BH15" s="3" t="str">
        <f t="shared" si="14"/>
        <v>A</v>
      </c>
      <c r="BI15" s="15"/>
      <c r="BJ15" s="15"/>
      <c r="BK15" s="3" t="str">
        <f t="shared" si="15"/>
        <v>A</v>
      </c>
      <c r="BL15" s="15"/>
      <c r="BM15" s="15"/>
      <c r="BN15" s="3" t="s">
        <v>22</v>
      </c>
      <c r="BO15" s="15"/>
      <c r="BP15" s="15"/>
      <c r="BQ15" s="3" t="s">
        <v>22</v>
      </c>
      <c r="BR15" s="15"/>
      <c r="BS15" s="15"/>
      <c r="BT15" s="3" t="str">
        <f t="shared" si="16"/>
        <v>A</v>
      </c>
      <c r="BU15" s="15"/>
      <c r="BV15" s="15"/>
      <c r="BW15" s="3" t="str">
        <f t="shared" si="17"/>
        <v>A</v>
      </c>
      <c r="BX15" s="15"/>
      <c r="BY15" s="15"/>
      <c r="BZ15" s="3" t="str">
        <f t="shared" si="18"/>
        <v>A</v>
      </c>
      <c r="CA15" s="15"/>
      <c r="CB15" s="15"/>
      <c r="CC15" s="3" t="str">
        <f t="shared" si="19"/>
        <v>A</v>
      </c>
      <c r="CD15" s="15"/>
      <c r="CE15" s="15"/>
      <c r="CF15" s="3" t="str">
        <f t="shared" si="20"/>
        <v>A</v>
      </c>
      <c r="CG15" s="15"/>
      <c r="CH15" s="15"/>
      <c r="CI15" s="3" t="s">
        <v>22</v>
      </c>
      <c r="CJ15" s="15"/>
      <c r="CK15" s="16"/>
      <c r="CL15" s="3" t="s">
        <v>22</v>
      </c>
      <c r="CM15" s="15"/>
      <c r="CN15" s="16"/>
      <c r="CO15" s="3" t="str">
        <f t="shared" si="21"/>
        <v>A</v>
      </c>
      <c r="CP15" s="11">
        <f>COUNTIF(D15:CO15,"EL")</f>
        <v>0</v>
      </c>
      <c r="CQ15" s="11">
        <f>COUNTIF(D15:CO15,"EL-H")*0.5</f>
        <v>0</v>
      </c>
      <c r="CR15" s="11">
        <f>COUNTIF(D15:CO15,"CL")</f>
        <v>0</v>
      </c>
      <c r="CS15" s="11">
        <f>COUNTIF(D15:CO15,"CL-H")*0.5</f>
        <v>0</v>
      </c>
      <c r="CT15" s="11">
        <f>COUNTIF(D15:CO15,"C-Off")</f>
        <v>0</v>
      </c>
      <c r="CU15" s="11">
        <f>COUNTIF(D15:CO15,"C-Off-H")*0.5</f>
        <v>0</v>
      </c>
      <c r="CV15" s="11">
        <f t="shared" ref="CV15:CV17" si="34">SUM(CP15:CU15)</f>
        <v>0</v>
      </c>
      <c r="CW15" s="11">
        <f>COUNTIF(D15:CO15,"P")</f>
        <v>0</v>
      </c>
      <c r="CX15" s="11">
        <f>COUNTIF(D15:CO15,"H")+COUNTIF(D15:CO15,"S")</f>
        <v>11</v>
      </c>
      <c r="CY15" s="11">
        <f>COUNTIF(D15:CO15,"A-H")*0.5</f>
        <v>0</v>
      </c>
      <c r="CZ15" s="11">
        <f>COUNTIF(D15:CO15,"A")</f>
        <v>19</v>
      </c>
      <c r="DA15" s="12">
        <f t="shared" si="30"/>
        <v>19</v>
      </c>
      <c r="DB15" s="13">
        <v>30</v>
      </c>
      <c r="DC15" s="11">
        <f t="shared" si="31"/>
        <v>11</v>
      </c>
      <c r="DD15" s="14"/>
      <c r="DE15" s="14"/>
    </row>
    <row r="16" spans="1:109" s="10" customFormat="1" ht="30.75" customHeight="1" x14ac:dyDescent="0.25">
      <c r="A16" s="7" t="s">
        <v>36</v>
      </c>
      <c r="B16" s="8"/>
      <c r="C16" s="9"/>
      <c r="D16" s="15"/>
      <c r="E16" s="15"/>
      <c r="F16" s="3" t="s">
        <v>22</v>
      </c>
      <c r="G16" s="15"/>
      <c r="H16" s="15"/>
      <c r="I16" s="3" t="s">
        <v>64</v>
      </c>
      <c r="J16" s="15"/>
      <c r="K16" s="15"/>
      <c r="L16" s="3" t="str">
        <f t="shared" si="3"/>
        <v>A</v>
      </c>
      <c r="M16" s="15"/>
      <c r="N16" s="15"/>
      <c r="O16" s="3" t="str">
        <f t="shared" si="4"/>
        <v>A</v>
      </c>
      <c r="P16" s="15"/>
      <c r="Q16" s="15"/>
      <c r="R16" s="3" t="str">
        <f t="shared" si="5"/>
        <v>A</v>
      </c>
      <c r="S16" s="15"/>
      <c r="T16" s="15"/>
      <c r="U16" s="3" t="str">
        <f t="shared" si="6"/>
        <v>A</v>
      </c>
      <c r="V16" s="15"/>
      <c r="W16" s="15"/>
      <c r="X16" s="3" t="s">
        <v>22</v>
      </c>
      <c r="Y16" s="15"/>
      <c r="Z16" s="15"/>
      <c r="AA16" s="3" t="s">
        <v>22</v>
      </c>
      <c r="AB16" s="15"/>
      <c r="AC16" s="15"/>
      <c r="AD16" s="3" t="str">
        <f t="shared" si="7"/>
        <v>A</v>
      </c>
      <c r="AE16" s="15"/>
      <c r="AF16" s="15"/>
      <c r="AG16" s="3" t="str">
        <f t="shared" si="8"/>
        <v>A</v>
      </c>
      <c r="AH16" s="15"/>
      <c r="AI16" s="15"/>
      <c r="AJ16" s="3" t="s">
        <v>64</v>
      </c>
      <c r="AK16" s="15"/>
      <c r="AL16" s="15"/>
      <c r="AM16" s="3" t="str">
        <f t="shared" si="9"/>
        <v>A</v>
      </c>
      <c r="AN16" s="15"/>
      <c r="AO16" s="15"/>
      <c r="AP16" s="3" t="str">
        <f t="shared" si="10"/>
        <v>A</v>
      </c>
      <c r="AQ16" s="15"/>
      <c r="AR16" s="15"/>
      <c r="AS16" s="3" t="s">
        <v>22</v>
      </c>
      <c r="AT16" s="15"/>
      <c r="AU16" s="15"/>
      <c r="AV16" s="3" t="s">
        <v>22</v>
      </c>
      <c r="AW16" s="15"/>
      <c r="AX16" s="15"/>
      <c r="AY16" s="3" t="str">
        <f t="shared" si="11"/>
        <v>A</v>
      </c>
      <c r="AZ16" s="15"/>
      <c r="BA16" s="15"/>
      <c r="BB16" s="3" t="str">
        <f t="shared" si="12"/>
        <v>A</v>
      </c>
      <c r="BC16" s="15"/>
      <c r="BD16" s="15"/>
      <c r="BE16" s="3" t="str">
        <f t="shared" si="13"/>
        <v>A</v>
      </c>
      <c r="BF16" s="15"/>
      <c r="BG16" s="15"/>
      <c r="BH16" s="3" t="str">
        <f t="shared" si="14"/>
        <v>A</v>
      </c>
      <c r="BI16" s="15"/>
      <c r="BJ16" s="15"/>
      <c r="BK16" s="3" t="str">
        <f t="shared" si="15"/>
        <v>A</v>
      </c>
      <c r="BL16" s="15"/>
      <c r="BM16" s="15"/>
      <c r="BN16" s="3" t="s">
        <v>22</v>
      </c>
      <c r="BO16" s="15"/>
      <c r="BP16" s="15"/>
      <c r="BQ16" s="3" t="s">
        <v>22</v>
      </c>
      <c r="BR16" s="15"/>
      <c r="BS16" s="15"/>
      <c r="BT16" s="3" t="str">
        <f t="shared" si="16"/>
        <v>A</v>
      </c>
      <c r="BU16" s="15"/>
      <c r="BV16" s="15"/>
      <c r="BW16" s="3" t="str">
        <f t="shared" si="17"/>
        <v>A</v>
      </c>
      <c r="BX16" s="15"/>
      <c r="BY16" s="15"/>
      <c r="BZ16" s="3" t="str">
        <f t="shared" si="18"/>
        <v>A</v>
      </c>
      <c r="CA16" s="15"/>
      <c r="CB16" s="15"/>
      <c r="CC16" s="3" t="str">
        <f t="shared" si="19"/>
        <v>A</v>
      </c>
      <c r="CD16" s="15"/>
      <c r="CE16" s="15"/>
      <c r="CF16" s="3" t="str">
        <f t="shared" si="20"/>
        <v>A</v>
      </c>
      <c r="CG16" s="15"/>
      <c r="CH16" s="15"/>
      <c r="CI16" s="3" t="s">
        <v>22</v>
      </c>
      <c r="CJ16" s="15"/>
      <c r="CK16" s="16"/>
      <c r="CL16" s="3" t="s">
        <v>22</v>
      </c>
      <c r="CM16" s="15"/>
      <c r="CN16" s="16"/>
      <c r="CO16" s="3" t="str">
        <f t="shared" si="21"/>
        <v>A</v>
      </c>
      <c r="CP16" s="11">
        <f>COUNTIF(D16:CO16,"EL")</f>
        <v>0</v>
      </c>
      <c r="CQ16" s="11">
        <f>COUNTIF(D16:CO16,"EL-H")*0.5</f>
        <v>0</v>
      </c>
      <c r="CR16" s="11">
        <f>COUNTIF(D16:CO16,"CL")</f>
        <v>0</v>
      </c>
      <c r="CS16" s="11">
        <f>COUNTIF(D16:CO16,"CL-H")*0.5</f>
        <v>0</v>
      </c>
      <c r="CT16" s="11">
        <f>COUNTIF(D16:CO16,"C-Off")</f>
        <v>0</v>
      </c>
      <c r="CU16" s="11">
        <f>COUNTIF(D16:CO16,"C-Off-H")*0.5</f>
        <v>0</v>
      </c>
      <c r="CV16" s="11">
        <f t="shared" si="34"/>
        <v>0</v>
      </c>
      <c r="CW16" s="11">
        <f>COUNTIF(D16:CO16,"P")</f>
        <v>0</v>
      </c>
      <c r="CX16" s="11">
        <f>COUNTIF(D16:CO16,"H")+COUNTIF(D16:CO16,"S")</f>
        <v>11</v>
      </c>
      <c r="CY16" s="11">
        <f>COUNTIF(D16:CO16,"A-H")*0.5</f>
        <v>0</v>
      </c>
      <c r="CZ16" s="11">
        <f>COUNTIF(D16:CO16,"A")</f>
        <v>19</v>
      </c>
      <c r="DA16" s="12">
        <f t="shared" si="30"/>
        <v>19</v>
      </c>
      <c r="DB16" s="13">
        <v>30</v>
      </c>
      <c r="DC16" s="11">
        <f t="shared" si="31"/>
        <v>11</v>
      </c>
      <c r="DD16" s="14"/>
      <c r="DE16" s="14"/>
    </row>
    <row r="17" spans="1:109" s="10" customFormat="1" ht="30.75" customHeight="1" x14ac:dyDescent="0.25">
      <c r="A17" s="7" t="s">
        <v>37</v>
      </c>
      <c r="B17" s="8"/>
      <c r="C17" s="9"/>
      <c r="D17" s="15"/>
      <c r="E17" s="15"/>
      <c r="F17" s="3" t="s">
        <v>22</v>
      </c>
      <c r="G17" s="15"/>
      <c r="H17" s="15"/>
      <c r="I17" s="3" t="s">
        <v>64</v>
      </c>
      <c r="J17" s="15"/>
      <c r="K17" s="15"/>
      <c r="L17" s="3" t="str">
        <f t="shared" si="3"/>
        <v>A</v>
      </c>
      <c r="M17" s="15"/>
      <c r="N17" s="15"/>
      <c r="O17" s="3" t="str">
        <f t="shared" si="4"/>
        <v>A</v>
      </c>
      <c r="P17" s="15"/>
      <c r="Q17" s="15"/>
      <c r="R17" s="3" t="str">
        <f t="shared" si="5"/>
        <v>A</v>
      </c>
      <c r="S17" s="15"/>
      <c r="T17" s="15"/>
      <c r="U17" s="3" t="str">
        <f t="shared" si="6"/>
        <v>A</v>
      </c>
      <c r="V17" s="15"/>
      <c r="W17" s="15"/>
      <c r="X17" s="3" t="s">
        <v>22</v>
      </c>
      <c r="Y17" s="15"/>
      <c r="Z17" s="15"/>
      <c r="AA17" s="3" t="s">
        <v>22</v>
      </c>
      <c r="AB17" s="15"/>
      <c r="AC17" s="15"/>
      <c r="AD17" s="3" t="str">
        <f t="shared" si="7"/>
        <v>A</v>
      </c>
      <c r="AE17" s="15"/>
      <c r="AF17" s="15"/>
      <c r="AG17" s="3" t="str">
        <f t="shared" si="8"/>
        <v>A</v>
      </c>
      <c r="AH17" s="15"/>
      <c r="AI17" s="15"/>
      <c r="AJ17" s="3" t="s">
        <v>64</v>
      </c>
      <c r="AK17" s="15"/>
      <c r="AL17" s="15"/>
      <c r="AM17" s="3" t="str">
        <f t="shared" si="9"/>
        <v>A</v>
      </c>
      <c r="AN17" s="15"/>
      <c r="AO17" s="15"/>
      <c r="AP17" s="3" t="str">
        <f t="shared" si="10"/>
        <v>A</v>
      </c>
      <c r="AQ17" s="15"/>
      <c r="AR17" s="15"/>
      <c r="AS17" s="3" t="s">
        <v>22</v>
      </c>
      <c r="AT17" s="15"/>
      <c r="AU17" s="15"/>
      <c r="AV17" s="3" t="s">
        <v>22</v>
      </c>
      <c r="AW17" s="15"/>
      <c r="AX17" s="15"/>
      <c r="AY17" s="3" t="str">
        <f t="shared" si="11"/>
        <v>A</v>
      </c>
      <c r="AZ17" s="15"/>
      <c r="BA17" s="15"/>
      <c r="BB17" s="3" t="str">
        <f t="shared" si="12"/>
        <v>A</v>
      </c>
      <c r="BC17" s="15"/>
      <c r="BD17" s="15"/>
      <c r="BE17" s="3" t="str">
        <f t="shared" si="13"/>
        <v>A</v>
      </c>
      <c r="BF17" s="15"/>
      <c r="BG17" s="15"/>
      <c r="BH17" s="3" t="str">
        <f t="shared" si="14"/>
        <v>A</v>
      </c>
      <c r="BI17" s="15"/>
      <c r="BJ17" s="15"/>
      <c r="BK17" s="3" t="str">
        <f t="shared" si="15"/>
        <v>A</v>
      </c>
      <c r="BL17" s="15"/>
      <c r="BM17" s="15"/>
      <c r="BN17" s="3" t="s">
        <v>22</v>
      </c>
      <c r="BO17" s="15"/>
      <c r="BP17" s="15"/>
      <c r="BQ17" s="3" t="s">
        <v>22</v>
      </c>
      <c r="BR17" s="15"/>
      <c r="BS17" s="15"/>
      <c r="BT17" s="3" t="str">
        <f t="shared" si="16"/>
        <v>A</v>
      </c>
      <c r="BU17" s="15"/>
      <c r="BV17" s="15"/>
      <c r="BW17" s="3" t="str">
        <f t="shared" si="17"/>
        <v>A</v>
      </c>
      <c r="BX17" s="15"/>
      <c r="BY17" s="15"/>
      <c r="BZ17" s="3" t="str">
        <f t="shared" si="18"/>
        <v>A</v>
      </c>
      <c r="CA17" s="15"/>
      <c r="CB17" s="15"/>
      <c r="CC17" s="3" t="str">
        <f t="shared" si="19"/>
        <v>A</v>
      </c>
      <c r="CD17" s="15"/>
      <c r="CE17" s="15"/>
      <c r="CF17" s="3" t="str">
        <f t="shared" si="20"/>
        <v>A</v>
      </c>
      <c r="CG17" s="15"/>
      <c r="CH17" s="15"/>
      <c r="CI17" s="3" t="s">
        <v>22</v>
      </c>
      <c r="CJ17" s="15"/>
      <c r="CK17" s="16"/>
      <c r="CL17" s="3" t="s">
        <v>22</v>
      </c>
      <c r="CM17" s="15"/>
      <c r="CN17" s="16"/>
      <c r="CO17" s="3" t="str">
        <f t="shared" si="21"/>
        <v>A</v>
      </c>
      <c r="CP17" s="11">
        <f>COUNTIF(D17:CO17,"EL")</f>
        <v>0</v>
      </c>
      <c r="CQ17" s="11">
        <f>COUNTIF(D17:CO17,"EL-H")*0.5</f>
        <v>0</v>
      </c>
      <c r="CR17" s="11">
        <f>COUNTIF(D17:CO17,"CL")</f>
        <v>0</v>
      </c>
      <c r="CS17" s="11">
        <f>COUNTIF(D17:CO17,"CL-H")*0.5</f>
        <v>0</v>
      </c>
      <c r="CT17" s="11">
        <f>COUNTIF(D17:CO17,"C-Off")</f>
        <v>0</v>
      </c>
      <c r="CU17" s="11">
        <f>COUNTIF(D17:CO17,"C-Off-H")*0.5</f>
        <v>0</v>
      </c>
      <c r="CV17" s="11">
        <f t="shared" si="34"/>
        <v>0</v>
      </c>
      <c r="CW17" s="11">
        <f>COUNTIF(D17:CO17,"P")</f>
        <v>0</v>
      </c>
      <c r="CX17" s="11">
        <f>COUNTIF(D17:CO17,"H")+COUNTIF(D17:CO17,"S")</f>
        <v>11</v>
      </c>
      <c r="CY17" s="11">
        <f>COUNTIF(D17:CO17,"A-H")*0.5</f>
        <v>0</v>
      </c>
      <c r="CZ17" s="11">
        <f>COUNTIF(D17:CO17,"A")</f>
        <v>19</v>
      </c>
      <c r="DA17" s="12">
        <f t="shared" si="30"/>
        <v>19</v>
      </c>
      <c r="DB17" s="13">
        <v>30</v>
      </c>
      <c r="DC17" s="11">
        <f t="shared" si="31"/>
        <v>11</v>
      </c>
      <c r="DD17" s="14"/>
      <c r="DE17" s="14"/>
    </row>
    <row r="18" spans="1:109" s="10" customFormat="1" ht="30.75" customHeight="1" x14ac:dyDescent="0.25">
      <c r="A18" s="7" t="s">
        <v>38</v>
      </c>
      <c r="B18" s="8"/>
      <c r="C18" s="9"/>
      <c r="D18" s="15"/>
      <c r="E18" s="15"/>
      <c r="F18" s="3" t="s">
        <v>22</v>
      </c>
      <c r="G18" s="15"/>
      <c r="H18" s="15"/>
      <c r="I18" s="3" t="s">
        <v>64</v>
      </c>
      <c r="J18" s="15"/>
      <c r="K18" s="15"/>
      <c r="L18" s="3" t="str">
        <f t="shared" si="3"/>
        <v>A</v>
      </c>
      <c r="M18" s="15"/>
      <c r="N18" s="15"/>
      <c r="O18" s="3" t="str">
        <f t="shared" si="4"/>
        <v>A</v>
      </c>
      <c r="P18" s="15"/>
      <c r="Q18" s="15"/>
      <c r="R18" s="3" t="str">
        <f t="shared" si="5"/>
        <v>A</v>
      </c>
      <c r="S18" s="15"/>
      <c r="T18" s="15"/>
      <c r="U18" s="3" t="str">
        <f t="shared" si="6"/>
        <v>A</v>
      </c>
      <c r="V18" s="15"/>
      <c r="W18" s="15"/>
      <c r="X18" s="3" t="s">
        <v>22</v>
      </c>
      <c r="Y18" s="15"/>
      <c r="Z18" s="15"/>
      <c r="AA18" s="3" t="s">
        <v>22</v>
      </c>
      <c r="AB18" s="15"/>
      <c r="AC18" s="15"/>
      <c r="AD18" s="3" t="str">
        <f t="shared" si="7"/>
        <v>A</v>
      </c>
      <c r="AE18" s="15"/>
      <c r="AF18" s="15"/>
      <c r="AG18" s="3" t="str">
        <f t="shared" si="8"/>
        <v>A</v>
      </c>
      <c r="AH18" s="15"/>
      <c r="AI18" s="15"/>
      <c r="AJ18" s="3" t="s">
        <v>64</v>
      </c>
      <c r="AK18" s="15"/>
      <c r="AL18" s="15"/>
      <c r="AM18" s="3" t="str">
        <f t="shared" si="9"/>
        <v>A</v>
      </c>
      <c r="AN18" s="15"/>
      <c r="AO18" s="15"/>
      <c r="AP18" s="3" t="str">
        <f t="shared" si="10"/>
        <v>A</v>
      </c>
      <c r="AQ18" s="15"/>
      <c r="AR18" s="15"/>
      <c r="AS18" s="3" t="s">
        <v>22</v>
      </c>
      <c r="AT18" s="15"/>
      <c r="AU18" s="15"/>
      <c r="AV18" s="3" t="s">
        <v>22</v>
      </c>
      <c r="AW18" s="15"/>
      <c r="AX18" s="15"/>
      <c r="AY18" s="3" t="str">
        <f t="shared" si="11"/>
        <v>A</v>
      </c>
      <c r="AZ18" s="15"/>
      <c r="BA18" s="15"/>
      <c r="BB18" s="3" t="str">
        <f t="shared" si="12"/>
        <v>A</v>
      </c>
      <c r="BC18" s="15"/>
      <c r="BD18" s="15"/>
      <c r="BE18" s="3" t="str">
        <f t="shared" si="13"/>
        <v>A</v>
      </c>
      <c r="BF18" s="15"/>
      <c r="BG18" s="15"/>
      <c r="BH18" s="3" t="str">
        <f t="shared" si="14"/>
        <v>A</v>
      </c>
      <c r="BI18" s="15"/>
      <c r="BJ18" s="15"/>
      <c r="BK18" s="3" t="str">
        <f t="shared" si="15"/>
        <v>A</v>
      </c>
      <c r="BL18" s="15"/>
      <c r="BM18" s="15"/>
      <c r="BN18" s="3" t="s">
        <v>22</v>
      </c>
      <c r="BO18" s="15"/>
      <c r="BP18" s="15"/>
      <c r="BQ18" s="3" t="s">
        <v>22</v>
      </c>
      <c r="BR18" s="15"/>
      <c r="BS18" s="15"/>
      <c r="BT18" s="3" t="str">
        <f t="shared" si="16"/>
        <v>A</v>
      </c>
      <c r="BU18" s="15"/>
      <c r="BV18" s="15"/>
      <c r="BW18" s="3" t="str">
        <f t="shared" si="17"/>
        <v>A</v>
      </c>
      <c r="BX18" s="15"/>
      <c r="BY18" s="15"/>
      <c r="BZ18" s="3" t="str">
        <f t="shared" si="18"/>
        <v>A</v>
      </c>
      <c r="CA18" s="15"/>
      <c r="CB18" s="15"/>
      <c r="CC18" s="3" t="str">
        <f t="shared" si="19"/>
        <v>A</v>
      </c>
      <c r="CD18" s="15"/>
      <c r="CE18" s="15"/>
      <c r="CF18" s="3" t="str">
        <f t="shared" si="20"/>
        <v>A</v>
      </c>
      <c r="CG18" s="15"/>
      <c r="CH18" s="15"/>
      <c r="CI18" s="3" t="s">
        <v>22</v>
      </c>
      <c r="CJ18" s="15"/>
      <c r="CK18" s="16"/>
      <c r="CL18" s="3" t="s">
        <v>22</v>
      </c>
      <c r="CM18" s="15"/>
      <c r="CN18" s="16"/>
      <c r="CO18" s="3" t="str">
        <f t="shared" si="21"/>
        <v>A</v>
      </c>
      <c r="CP18" s="11">
        <f>COUNTIF(D18:CO18,"EL")</f>
        <v>0</v>
      </c>
      <c r="CQ18" s="11">
        <f>COUNTIF(D18:CO18,"EL-H")*0.5</f>
        <v>0</v>
      </c>
      <c r="CR18" s="11">
        <f>COUNTIF(D18:CO18,"CL")</f>
        <v>0</v>
      </c>
      <c r="CS18" s="11">
        <f>COUNTIF(D18:CO18,"CL-H")*0.5</f>
        <v>0</v>
      </c>
      <c r="CT18" s="11">
        <f>COUNTIF(D18:CO18,"C-Off")</f>
        <v>0</v>
      </c>
      <c r="CU18" s="11">
        <f>COUNTIF(D18:CO18,"C-Off-H")*0.5</f>
        <v>0</v>
      </c>
      <c r="CV18" s="11">
        <f t="shared" ref="CV18" si="35">SUM(CP18:CU18)</f>
        <v>0</v>
      </c>
      <c r="CW18" s="11">
        <f>COUNTIF(D18:CO18,"P")</f>
        <v>0</v>
      </c>
      <c r="CX18" s="11">
        <f>COUNTIF(D18:CO18,"H")+COUNTIF(D18:CO18,"S")</f>
        <v>11</v>
      </c>
      <c r="CY18" s="11">
        <f>COUNTIF(D18:CO18,"A-H")*0.5</f>
        <v>0</v>
      </c>
      <c r="CZ18" s="11">
        <f>COUNTIF(D18:CO18,"A")</f>
        <v>19</v>
      </c>
      <c r="DA18" s="12">
        <f t="shared" ref="DA18:DA42" si="36">+CY18+CZ18</f>
        <v>19</v>
      </c>
      <c r="DB18" s="13">
        <v>30</v>
      </c>
      <c r="DC18" s="11">
        <f t="shared" ref="DC18:DC42" si="37">DB18-DA18</f>
        <v>11</v>
      </c>
      <c r="DD18" s="14"/>
      <c r="DE18" s="14"/>
    </row>
    <row r="19" spans="1:109" s="10" customFormat="1" ht="30.75" customHeight="1" x14ac:dyDescent="0.25">
      <c r="A19" s="7" t="s">
        <v>39</v>
      </c>
      <c r="B19" s="8"/>
      <c r="C19" s="9"/>
      <c r="D19" s="15"/>
      <c r="E19" s="15"/>
      <c r="F19" s="3" t="s">
        <v>22</v>
      </c>
      <c r="G19" s="15"/>
      <c r="H19" s="15"/>
      <c r="I19" s="3" t="s">
        <v>64</v>
      </c>
      <c r="J19" s="15"/>
      <c r="K19" s="15"/>
      <c r="L19" s="3" t="str">
        <f t="shared" si="3"/>
        <v>A</v>
      </c>
      <c r="M19" s="15"/>
      <c r="N19" s="15"/>
      <c r="O19" s="3" t="str">
        <f t="shared" si="4"/>
        <v>A</v>
      </c>
      <c r="P19" s="15"/>
      <c r="Q19" s="15"/>
      <c r="R19" s="3" t="str">
        <f t="shared" si="5"/>
        <v>A</v>
      </c>
      <c r="S19" s="15"/>
      <c r="T19" s="15"/>
      <c r="U19" s="3" t="str">
        <f t="shared" si="6"/>
        <v>A</v>
      </c>
      <c r="V19" s="15"/>
      <c r="W19" s="15"/>
      <c r="X19" s="3" t="s">
        <v>22</v>
      </c>
      <c r="Y19" s="15"/>
      <c r="Z19" s="15"/>
      <c r="AA19" s="3" t="s">
        <v>22</v>
      </c>
      <c r="AB19" s="15"/>
      <c r="AC19" s="15"/>
      <c r="AD19" s="3" t="str">
        <f t="shared" si="7"/>
        <v>A</v>
      </c>
      <c r="AE19" s="15"/>
      <c r="AF19" s="15"/>
      <c r="AG19" s="3" t="str">
        <f t="shared" si="8"/>
        <v>A</v>
      </c>
      <c r="AH19" s="15"/>
      <c r="AI19" s="15"/>
      <c r="AJ19" s="3" t="s">
        <v>64</v>
      </c>
      <c r="AK19" s="15"/>
      <c r="AL19" s="15"/>
      <c r="AM19" s="3" t="str">
        <f t="shared" si="9"/>
        <v>A</v>
      </c>
      <c r="AN19" s="15"/>
      <c r="AO19" s="15"/>
      <c r="AP19" s="3" t="str">
        <f t="shared" si="10"/>
        <v>A</v>
      </c>
      <c r="AQ19" s="15"/>
      <c r="AR19" s="15"/>
      <c r="AS19" s="3" t="s">
        <v>22</v>
      </c>
      <c r="AT19" s="15"/>
      <c r="AU19" s="15"/>
      <c r="AV19" s="3" t="s">
        <v>22</v>
      </c>
      <c r="AW19" s="15"/>
      <c r="AX19" s="15"/>
      <c r="AY19" s="3" t="str">
        <f t="shared" si="11"/>
        <v>A</v>
      </c>
      <c r="AZ19" s="15"/>
      <c r="BA19" s="15"/>
      <c r="BB19" s="3" t="str">
        <f t="shared" si="12"/>
        <v>A</v>
      </c>
      <c r="BC19" s="15"/>
      <c r="BD19" s="15"/>
      <c r="BE19" s="3" t="str">
        <f t="shared" si="13"/>
        <v>A</v>
      </c>
      <c r="BF19" s="15"/>
      <c r="BG19" s="15"/>
      <c r="BH19" s="3" t="str">
        <f t="shared" si="14"/>
        <v>A</v>
      </c>
      <c r="BI19" s="15"/>
      <c r="BJ19" s="15"/>
      <c r="BK19" s="3" t="str">
        <f t="shared" si="15"/>
        <v>A</v>
      </c>
      <c r="BL19" s="15"/>
      <c r="BM19" s="15"/>
      <c r="BN19" s="3" t="s">
        <v>22</v>
      </c>
      <c r="BO19" s="15"/>
      <c r="BP19" s="15"/>
      <c r="BQ19" s="3" t="s">
        <v>22</v>
      </c>
      <c r="BR19" s="15"/>
      <c r="BS19" s="15"/>
      <c r="BT19" s="3" t="str">
        <f t="shared" si="16"/>
        <v>A</v>
      </c>
      <c r="BU19" s="15"/>
      <c r="BV19" s="15"/>
      <c r="BW19" s="3" t="str">
        <f t="shared" si="17"/>
        <v>A</v>
      </c>
      <c r="BX19" s="15"/>
      <c r="BY19" s="15"/>
      <c r="BZ19" s="3" t="str">
        <f t="shared" si="18"/>
        <v>A</v>
      </c>
      <c r="CA19" s="15"/>
      <c r="CB19" s="15"/>
      <c r="CC19" s="3" t="str">
        <f t="shared" si="19"/>
        <v>A</v>
      </c>
      <c r="CD19" s="15"/>
      <c r="CE19" s="15"/>
      <c r="CF19" s="3" t="str">
        <f t="shared" si="20"/>
        <v>A</v>
      </c>
      <c r="CG19" s="15"/>
      <c r="CH19" s="15"/>
      <c r="CI19" s="3" t="s">
        <v>22</v>
      </c>
      <c r="CJ19" s="15"/>
      <c r="CK19" s="16"/>
      <c r="CL19" s="3" t="s">
        <v>22</v>
      </c>
      <c r="CM19" s="15"/>
      <c r="CN19" s="16"/>
      <c r="CO19" s="3" t="str">
        <f t="shared" si="21"/>
        <v>A</v>
      </c>
      <c r="CP19" s="11">
        <f>COUNTIF(D19:CO19,"EL")</f>
        <v>0</v>
      </c>
      <c r="CQ19" s="11">
        <f>COUNTIF(D19:CO19,"EL-H")*0.5</f>
        <v>0</v>
      </c>
      <c r="CR19" s="11">
        <f>COUNTIF(D19:CO19,"CL")</f>
        <v>0</v>
      </c>
      <c r="CS19" s="11">
        <f>COUNTIF(D19:CO19,"CL-H")*0.5</f>
        <v>0</v>
      </c>
      <c r="CT19" s="11">
        <f>COUNTIF(D19:CO19,"C-Off")</f>
        <v>0</v>
      </c>
      <c r="CU19" s="11">
        <f>COUNTIF(D19:CO19,"C-Off-H")*0.5</f>
        <v>0</v>
      </c>
      <c r="CV19" s="11">
        <f t="shared" ref="CV19:CV21" si="38">SUM(CP19:CU19)</f>
        <v>0</v>
      </c>
      <c r="CW19" s="11">
        <f>COUNTIF(D19:CO19,"P")</f>
        <v>0</v>
      </c>
      <c r="CX19" s="11">
        <f>COUNTIF(D19:CO19,"H")+COUNTIF(D19:CO19,"S")</f>
        <v>11</v>
      </c>
      <c r="CY19" s="11">
        <f>COUNTIF(D19:CO19,"A-H")*0.5</f>
        <v>0</v>
      </c>
      <c r="CZ19" s="11">
        <f>COUNTIF(D19:CO19,"A")</f>
        <v>19</v>
      </c>
      <c r="DA19" s="12">
        <f t="shared" si="36"/>
        <v>19</v>
      </c>
      <c r="DB19" s="13">
        <v>30</v>
      </c>
      <c r="DC19" s="11">
        <f t="shared" si="37"/>
        <v>11</v>
      </c>
      <c r="DD19" s="14"/>
      <c r="DE19" s="14"/>
    </row>
    <row r="20" spans="1:109" s="10" customFormat="1" ht="30.75" customHeight="1" x14ac:dyDescent="0.25">
      <c r="A20" s="7" t="s">
        <v>40</v>
      </c>
      <c r="B20" s="8"/>
      <c r="C20" s="9"/>
      <c r="D20" s="15"/>
      <c r="E20" s="15"/>
      <c r="F20" s="3" t="s">
        <v>22</v>
      </c>
      <c r="G20" s="15"/>
      <c r="H20" s="15"/>
      <c r="I20" s="3" t="s">
        <v>64</v>
      </c>
      <c r="J20" s="15"/>
      <c r="K20" s="15"/>
      <c r="L20" s="3" t="str">
        <f t="shared" si="3"/>
        <v>A</v>
      </c>
      <c r="M20" s="15"/>
      <c r="N20" s="15"/>
      <c r="O20" s="3" t="str">
        <f t="shared" si="4"/>
        <v>A</v>
      </c>
      <c r="P20" s="15"/>
      <c r="Q20" s="15"/>
      <c r="R20" s="3" t="str">
        <f t="shared" si="5"/>
        <v>A</v>
      </c>
      <c r="S20" s="15"/>
      <c r="T20" s="15"/>
      <c r="U20" s="3" t="str">
        <f t="shared" si="6"/>
        <v>A</v>
      </c>
      <c r="V20" s="15"/>
      <c r="W20" s="15"/>
      <c r="X20" s="3" t="s">
        <v>22</v>
      </c>
      <c r="Y20" s="15"/>
      <c r="Z20" s="15"/>
      <c r="AA20" s="3" t="s">
        <v>22</v>
      </c>
      <c r="AB20" s="15"/>
      <c r="AC20" s="15"/>
      <c r="AD20" s="3" t="str">
        <f t="shared" si="7"/>
        <v>A</v>
      </c>
      <c r="AE20" s="15"/>
      <c r="AF20" s="15"/>
      <c r="AG20" s="3" t="str">
        <f t="shared" si="8"/>
        <v>A</v>
      </c>
      <c r="AH20" s="15"/>
      <c r="AI20" s="15"/>
      <c r="AJ20" s="3" t="s">
        <v>64</v>
      </c>
      <c r="AK20" s="15"/>
      <c r="AL20" s="15"/>
      <c r="AM20" s="3" t="str">
        <f t="shared" si="9"/>
        <v>A</v>
      </c>
      <c r="AN20" s="15"/>
      <c r="AO20" s="15"/>
      <c r="AP20" s="3" t="str">
        <f t="shared" si="10"/>
        <v>A</v>
      </c>
      <c r="AQ20" s="15"/>
      <c r="AR20" s="15"/>
      <c r="AS20" s="3" t="s">
        <v>22</v>
      </c>
      <c r="AT20" s="15"/>
      <c r="AU20" s="15"/>
      <c r="AV20" s="3" t="s">
        <v>22</v>
      </c>
      <c r="AW20" s="15"/>
      <c r="AX20" s="15"/>
      <c r="AY20" s="3" t="str">
        <f t="shared" si="11"/>
        <v>A</v>
      </c>
      <c r="AZ20" s="15"/>
      <c r="BA20" s="15"/>
      <c r="BB20" s="3" t="str">
        <f t="shared" si="12"/>
        <v>A</v>
      </c>
      <c r="BC20" s="15"/>
      <c r="BD20" s="15"/>
      <c r="BE20" s="3" t="str">
        <f t="shared" si="13"/>
        <v>A</v>
      </c>
      <c r="BF20" s="15"/>
      <c r="BG20" s="15"/>
      <c r="BH20" s="3" t="str">
        <f t="shared" si="14"/>
        <v>A</v>
      </c>
      <c r="BI20" s="15"/>
      <c r="BJ20" s="15"/>
      <c r="BK20" s="3" t="str">
        <f t="shared" si="15"/>
        <v>A</v>
      </c>
      <c r="BL20" s="15"/>
      <c r="BM20" s="15"/>
      <c r="BN20" s="3" t="s">
        <v>22</v>
      </c>
      <c r="BO20" s="15"/>
      <c r="BP20" s="15"/>
      <c r="BQ20" s="3" t="s">
        <v>22</v>
      </c>
      <c r="BR20" s="15"/>
      <c r="BS20" s="15"/>
      <c r="BT20" s="3" t="str">
        <f t="shared" si="16"/>
        <v>A</v>
      </c>
      <c r="BU20" s="15"/>
      <c r="BV20" s="15"/>
      <c r="BW20" s="3" t="str">
        <f t="shared" si="17"/>
        <v>A</v>
      </c>
      <c r="BX20" s="15"/>
      <c r="BY20" s="15"/>
      <c r="BZ20" s="3" t="str">
        <f t="shared" si="18"/>
        <v>A</v>
      </c>
      <c r="CA20" s="15"/>
      <c r="CB20" s="15"/>
      <c r="CC20" s="3" t="str">
        <f t="shared" si="19"/>
        <v>A</v>
      </c>
      <c r="CD20" s="15"/>
      <c r="CE20" s="15"/>
      <c r="CF20" s="3" t="str">
        <f t="shared" si="20"/>
        <v>A</v>
      </c>
      <c r="CG20" s="15"/>
      <c r="CH20" s="15"/>
      <c r="CI20" s="3" t="s">
        <v>22</v>
      </c>
      <c r="CJ20" s="15"/>
      <c r="CK20" s="16"/>
      <c r="CL20" s="3" t="s">
        <v>22</v>
      </c>
      <c r="CM20" s="15"/>
      <c r="CN20" s="16"/>
      <c r="CO20" s="3" t="str">
        <f t="shared" si="21"/>
        <v>A</v>
      </c>
      <c r="CP20" s="11">
        <f>COUNTIF(D20:CO20,"EL")</f>
        <v>0</v>
      </c>
      <c r="CQ20" s="11">
        <f>COUNTIF(D20:CO20,"EL-H")*0.5</f>
        <v>0</v>
      </c>
      <c r="CR20" s="11">
        <f>COUNTIF(D20:CO20,"CL")</f>
        <v>0</v>
      </c>
      <c r="CS20" s="11">
        <f>COUNTIF(D20:CO20,"CL-H")*0.5</f>
        <v>0</v>
      </c>
      <c r="CT20" s="11">
        <f>COUNTIF(D20:CO20,"C-Off")</f>
        <v>0</v>
      </c>
      <c r="CU20" s="11">
        <f>COUNTIF(D20:CO20,"C-Off-H")*0.5</f>
        <v>0</v>
      </c>
      <c r="CV20" s="11">
        <f t="shared" si="38"/>
        <v>0</v>
      </c>
      <c r="CW20" s="11">
        <f>COUNTIF(D20:CO20,"P")</f>
        <v>0</v>
      </c>
      <c r="CX20" s="11">
        <f>COUNTIF(D20:CO20,"H")+COUNTIF(D20:CO20,"S")</f>
        <v>11</v>
      </c>
      <c r="CY20" s="11">
        <f>COUNTIF(D20:CO20,"A-H")*0.5</f>
        <v>0</v>
      </c>
      <c r="CZ20" s="11">
        <f>COUNTIF(D20:CO20,"A")</f>
        <v>19</v>
      </c>
      <c r="DA20" s="12">
        <f t="shared" si="36"/>
        <v>19</v>
      </c>
      <c r="DB20" s="13">
        <v>30</v>
      </c>
      <c r="DC20" s="11">
        <f t="shared" si="37"/>
        <v>11</v>
      </c>
      <c r="DD20" s="14"/>
      <c r="DE20" s="14"/>
    </row>
    <row r="21" spans="1:109" s="10" customFormat="1" ht="30.75" customHeight="1" x14ac:dyDescent="0.25">
      <c r="A21" s="7" t="s">
        <v>41</v>
      </c>
      <c r="B21" s="8"/>
      <c r="C21" s="9"/>
      <c r="D21" s="15"/>
      <c r="E21" s="15"/>
      <c r="F21" s="3" t="s">
        <v>22</v>
      </c>
      <c r="G21" s="15"/>
      <c r="H21" s="15"/>
      <c r="I21" s="3" t="s">
        <v>64</v>
      </c>
      <c r="J21" s="15"/>
      <c r="K21" s="15"/>
      <c r="L21" s="3" t="str">
        <f t="shared" si="3"/>
        <v>A</v>
      </c>
      <c r="M21" s="15"/>
      <c r="N21" s="15"/>
      <c r="O21" s="3" t="str">
        <f t="shared" si="4"/>
        <v>A</v>
      </c>
      <c r="P21" s="15"/>
      <c r="Q21" s="15"/>
      <c r="R21" s="3" t="str">
        <f t="shared" si="5"/>
        <v>A</v>
      </c>
      <c r="S21" s="15"/>
      <c r="T21" s="15"/>
      <c r="U21" s="3" t="str">
        <f t="shared" si="6"/>
        <v>A</v>
      </c>
      <c r="V21" s="15"/>
      <c r="W21" s="15"/>
      <c r="X21" s="3" t="s">
        <v>22</v>
      </c>
      <c r="Y21" s="15"/>
      <c r="Z21" s="15"/>
      <c r="AA21" s="3" t="s">
        <v>22</v>
      </c>
      <c r="AB21" s="15"/>
      <c r="AC21" s="15"/>
      <c r="AD21" s="3" t="str">
        <f t="shared" si="7"/>
        <v>A</v>
      </c>
      <c r="AE21" s="15"/>
      <c r="AF21" s="15"/>
      <c r="AG21" s="3" t="str">
        <f t="shared" si="8"/>
        <v>A</v>
      </c>
      <c r="AH21" s="15"/>
      <c r="AI21" s="15"/>
      <c r="AJ21" s="3" t="s">
        <v>64</v>
      </c>
      <c r="AK21" s="15"/>
      <c r="AL21" s="15"/>
      <c r="AM21" s="3" t="str">
        <f t="shared" si="9"/>
        <v>A</v>
      </c>
      <c r="AN21" s="15"/>
      <c r="AO21" s="15"/>
      <c r="AP21" s="3" t="str">
        <f t="shared" si="10"/>
        <v>A</v>
      </c>
      <c r="AQ21" s="15"/>
      <c r="AR21" s="15"/>
      <c r="AS21" s="3" t="s">
        <v>22</v>
      </c>
      <c r="AT21" s="15"/>
      <c r="AU21" s="15"/>
      <c r="AV21" s="3" t="s">
        <v>22</v>
      </c>
      <c r="AW21" s="15"/>
      <c r="AX21" s="15"/>
      <c r="AY21" s="3" t="str">
        <f t="shared" si="11"/>
        <v>A</v>
      </c>
      <c r="AZ21" s="15"/>
      <c r="BA21" s="15"/>
      <c r="BB21" s="3" t="str">
        <f t="shared" si="12"/>
        <v>A</v>
      </c>
      <c r="BC21" s="15"/>
      <c r="BD21" s="15"/>
      <c r="BE21" s="3" t="str">
        <f t="shared" si="13"/>
        <v>A</v>
      </c>
      <c r="BF21" s="15"/>
      <c r="BG21" s="15"/>
      <c r="BH21" s="3" t="str">
        <f t="shared" si="14"/>
        <v>A</v>
      </c>
      <c r="BI21" s="15"/>
      <c r="BJ21" s="15"/>
      <c r="BK21" s="3" t="str">
        <f t="shared" si="15"/>
        <v>A</v>
      </c>
      <c r="BL21" s="15"/>
      <c r="BM21" s="15"/>
      <c r="BN21" s="3" t="s">
        <v>22</v>
      </c>
      <c r="BO21" s="15"/>
      <c r="BP21" s="15"/>
      <c r="BQ21" s="3" t="s">
        <v>22</v>
      </c>
      <c r="BR21" s="15"/>
      <c r="BS21" s="15"/>
      <c r="BT21" s="3" t="str">
        <f t="shared" si="16"/>
        <v>A</v>
      </c>
      <c r="BU21" s="15"/>
      <c r="BV21" s="15"/>
      <c r="BW21" s="3" t="str">
        <f t="shared" si="17"/>
        <v>A</v>
      </c>
      <c r="BX21" s="15"/>
      <c r="BY21" s="15"/>
      <c r="BZ21" s="3" t="str">
        <f t="shared" si="18"/>
        <v>A</v>
      </c>
      <c r="CA21" s="15"/>
      <c r="CB21" s="15"/>
      <c r="CC21" s="3" t="str">
        <f t="shared" si="19"/>
        <v>A</v>
      </c>
      <c r="CD21" s="15"/>
      <c r="CE21" s="15"/>
      <c r="CF21" s="3" t="str">
        <f t="shared" si="20"/>
        <v>A</v>
      </c>
      <c r="CG21" s="15"/>
      <c r="CH21" s="15"/>
      <c r="CI21" s="3" t="s">
        <v>22</v>
      </c>
      <c r="CJ21" s="15"/>
      <c r="CK21" s="16"/>
      <c r="CL21" s="3" t="s">
        <v>22</v>
      </c>
      <c r="CM21" s="15"/>
      <c r="CN21" s="16"/>
      <c r="CO21" s="3" t="str">
        <f t="shared" si="21"/>
        <v>A</v>
      </c>
      <c r="CP21" s="11">
        <f>COUNTIF(D21:CO21,"EL")</f>
        <v>0</v>
      </c>
      <c r="CQ21" s="11">
        <f>COUNTIF(D21:CO21,"EL-H")*0.5</f>
        <v>0</v>
      </c>
      <c r="CR21" s="11">
        <f>COUNTIF(D21:CO21,"CL")</f>
        <v>0</v>
      </c>
      <c r="CS21" s="11">
        <f>COUNTIF(D21:CO21,"CL-H")*0.5</f>
        <v>0</v>
      </c>
      <c r="CT21" s="11">
        <f>COUNTIF(D21:CO21,"C-Off")</f>
        <v>0</v>
      </c>
      <c r="CU21" s="11">
        <f>COUNTIF(D21:CO21,"C-Off-H")*0.5</f>
        <v>0</v>
      </c>
      <c r="CV21" s="11">
        <f t="shared" si="38"/>
        <v>0</v>
      </c>
      <c r="CW21" s="11">
        <f>COUNTIF(D21:CO21,"P")</f>
        <v>0</v>
      </c>
      <c r="CX21" s="11">
        <f>COUNTIF(D21:CO21,"H")+COUNTIF(D21:CO21,"S")</f>
        <v>11</v>
      </c>
      <c r="CY21" s="11">
        <f>COUNTIF(D21:CO21,"A-H")*0.5</f>
        <v>0</v>
      </c>
      <c r="CZ21" s="11">
        <f>COUNTIF(D21:CO21,"A")</f>
        <v>19</v>
      </c>
      <c r="DA21" s="12">
        <f t="shared" si="36"/>
        <v>19</v>
      </c>
      <c r="DB21" s="13">
        <v>30</v>
      </c>
      <c r="DC21" s="11">
        <f t="shared" si="37"/>
        <v>11</v>
      </c>
      <c r="DD21" s="14"/>
      <c r="DE21" s="14"/>
    </row>
    <row r="22" spans="1:109" s="10" customFormat="1" ht="30.75" customHeight="1" x14ac:dyDescent="0.25">
      <c r="A22" s="7" t="s">
        <v>42</v>
      </c>
      <c r="B22" s="8"/>
      <c r="C22" s="9"/>
      <c r="D22" s="15"/>
      <c r="E22" s="15"/>
      <c r="F22" s="3" t="s">
        <v>22</v>
      </c>
      <c r="G22" s="15"/>
      <c r="H22" s="15"/>
      <c r="I22" s="3" t="s">
        <v>64</v>
      </c>
      <c r="J22" s="15"/>
      <c r="K22" s="15"/>
      <c r="L22" s="3" t="str">
        <f t="shared" si="3"/>
        <v>A</v>
      </c>
      <c r="M22" s="15"/>
      <c r="N22" s="15"/>
      <c r="O22" s="3" t="str">
        <f t="shared" si="4"/>
        <v>A</v>
      </c>
      <c r="P22" s="15"/>
      <c r="Q22" s="15"/>
      <c r="R22" s="3" t="str">
        <f t="shared" si="5"/>
        <v>A</v>
      </c>
      <c r="S22" s="15"/>
      <c r="T22" s="15"/>
      <c r="U22" s="3" t="str">
        <f t="shared" si="6"/>
        <v>A</v>
      </c>
      <c r="V22" s="15"/>
      <c r="W22" s="15"/>
      <c r="X22" s="3" t="s">
        <v>22</v>
      </c>
      <c r="Y22" s="15"/>
      <c r="Z22" s="15"/>
      <c r="AA22" s="3" t="s">
        <v>22</v>
      </c>
      <c r="AB22" s="15"/>
      <c r="AC22" s="15"/>
      <c r="AD22" s="3" t="str">
        <f t="shared" si="7"/>
        <v>A</v>
      </c>
      <c r="AE22" s="15"/>
      <c r="AF22" s="15"/>
      <c r="AG22" s="3" t="str">
        <f t="shared" si="8"/>
        <v>A</v>
      </c>
      <c r="AH22" s="15"/>
      <c r="AI22" s="15"/>
      <c r="AJ22" s="3" t="s">
        <v>64</v>
      </c>
      <c r="AK22" s="15"/>
      <c r="AL22" s="15"/>
      <c r="AM22" s="3" t="str">
        <f t="shared" si="9"/>
        <v>A</v>
      </c>
      <c r="AN22" s="15"/>
      <c r="AO22" s="15"/>
      <c r="AP22" s="3" t="str">
        <f t="shared" si="10"/>
        <v>A</v>
      </c>
      <c r="AQ22" s="15"/>
      <c r="AR22" s="15"/>
      <c r="AS22" s="3" t="s">
        <v>22</v>
      </c>
      <c r="AT22" s="15"/>
      <c r="AU22" s="15"/>
      <c r="AV22" s="3" t="s">
        <v>22</v>
      </c>
      <c r="AW22" s="15"/>
      <c r="AX22" s="15"/>
      <c r="AY22" s="3" t="str">
        <f t="shared" si="11"/>
        <v>A</v>
      </c>
      <c r="AZ22" s="15"/>
      <c r="BA22" s="15"/>
      <c r="BB22" s="3" t="str">
        <f t="shared" si="12"/>
        <v>A</v>
      </c>
      <c r="BC22" s="15"/>
      <c r="BD22" s="15"/>
      <c r="BE22" s="3" t="str">
        <f t="shared" si="13"/>
        <v>A</v>
      </c>
      <c r="BF22" s="15"/>
      <c r="BG22" s="15"/>
      <c r="BH22" s="3" t="str">
        <f t="shared" si="14"/>
        <v>A</v>
      </c>
      <c r="BI22" s="15"/>
      <c r="BJ22" s="15"/>
      <c r="BK22" s="3" t="str">
        <f t="shared" si="15"/>
        <v>A</v>
      </c>
      <c r="BL22" s="15"/>
      <c r="BM22" s="15"/>
      <c r="BN22" s="3" t="s">
        <v>22</v>
      </c>
      <c r="BO22" s="15"/>
      <c r="BP22" s="15"/>
      <c r="BQ22" s="3" t="s">
        <v>22</v>
      </c>
      <c r="BR22" s="15"/>
      <c r="BS22" s="15"/>
      <c r="BT22" s="3" t="str">
        <f t="shared" si="16"/>
        <v>A</v>
      </c>
      <c r="BU22" s="15"/>
      <c r="BV22" s="15"/>
      <c r="BW22" s="3" t="str">
        <f t="shared" si="17"/>
        <v>A</v>
      </c>
      <c r="BX22" s="15"/>
      <c r="BY22" s="15"/>
      <c r="BZ22" s="3" t="str">
        <f t="shared" si="18"/>
        <v>A</v>
      </c>
      <c r="CA22" s="15"/>
      <c r="CB22" s="15"/>
      <c r="CC22" s="3" t="str">
        <f t="shared" si="19"/>
        <v>A</v>
      </c>
      <c r="CD22" s="15"/>
      <c r="CE22" s="15"/>
      <c r="CF22" s="3" t="str">
        <f t="shared" si="20"/>
        <v>A</v>
      </c>
      <c r="CG22" s="15"/>
      <c r="CH22" s="15"/>
      <c r="CI22" s="3" t="s">
        <v>22</v>
      </c>
      <c r="CJ22" s="15"/>
      <c r="CK22" s="16"/>
      <c r="CL22" s="3" t="s">
        <v>22</v>
      </c>
      <c r="CM22" s="15"/>
      <c r="CN22" s="16"/>
      <c r="CO22" s="3" t="str">
        <f t="shared" si="21"/>
        <v>A</v>
      </c>
      <c r="CP22" s="11">
        <f>COUNTIF(D22:CO22,"EL")</f>
        <v>0</v>
      </c>
      <c r="CQ22" s="11">
        <f>COUNTIF(D22:CO22,"EL-H")*0.5</f>
        <v>0</v>
      </c>
      <c r="CR22" s="11">
        <f>COUNTIF(D22:CO22,"CL")</f>
        <v>0</v>
      </c>
      <c r="CS22" s="11">
        <f>COUNTIF(D22:CO22,"CL-H")*0.5</f>
        <v>0</v>
      </c>
      <c r="CT22" s="11">
        <f>COUNTIF(D22:CO22,"C-Off")</f>
        <v>0</v>
      </c>
      <c r="CU22" s="11">
        <f>COUNTIF(D22:CO22,"C-Off-H")*0.5</f>
        <v>0</v>
      </c>
      <c r="CV22" s="11">
        <f t="shared" ref="CV22" si="39">SUM(CP22:CU22)</f>
        <v>0</v>
      </c>
      <c r="CW22" s="11">
        <f>COUNTIF(D22:CO22,"P")</f>
        <v>0</v>
      </c>
      <c r="CX22" s="11">
        <f>COUNTIF(D22:CO22,"H")+COUNTIF(D22:CO22,"S")</f>
        <v>11</v>
      </c>
      <c r="CY22" s="11">
        <f>COUNTIF(D22:CO22,"A-H")*0.5</f>
        <v>0</v>
      </c>
      <c r="CZ22" s="11">
        <f>COUNTIF(D22:CO22,"A")</f>
        <v>19</v>
      </c>
      <c r="DA22" s="12">
        <f t="shared" si="36"/>
        <v>19</v>
      </c>
      <c r="DB22" s="13">
        <v>30</v>
      </c>
      <c r="DC22" s="11">
        <f t="shared" si="37"/>
        <v>11</v>
      </c>
      <c r="DD22" s="14"/>
      <c r="DE22" s="14"/>
    </row>
    <row r="23" spans="1:109" s="10" customFormat="1" ht="30.75" customHeight="1" x14ac:dyDescent="0.25">
      <c r="A23" s="7" t="s">
        <v>43</v>
      </c>
      <c r="B23" s="8"/>
      <c r="C23" s="9"/>
      <c r="D23" s="15"/>
      <c r="E23" s="15"/>
      <c r="F23" s="3" t="s">
        <v>22</v>
      </c>
      <c r="G23" s="15"/>
      <c r="H23" s="15"/>
      <c r="I23" s="3" t="s">
        <v>64</v>
      </c>
      <c r="J23" s="15"/>
      <c r="K23" s="15"/>
      <c r="L23" s="3" t="str">
        <f t="shared" si="3"/>
        <v>A</v>
      </c>
      <c r="M23" s="15"/>
      <c r="N23" s="15"/>
      <c r="O23" s="3" t="str">
        <f t="shared" si="4"/>
        <v>A</v>
      </c>
      <c r="P23" s="15"/>
      <c r="Q23" s="15"/>
      <c r="R23" s="3" t="str">
        <f t="shared" si="5"/>
        <v>A</v>
      </c>
      <c r="S23" s="15"/>
      <c r="T23" s="15"/>
      <c r="U23" s="3" t="str">
        <f t="shared" si="6"/>
        <v>A</v>
      </c>
      <c r="V23" s="15"/>
      <c r="W23" s="15"/>
      <c r="X23" s="3" t="s">
        <v>22</v>
      </c>
      <c r="Y23" s="15"/>
      <c r="Z23" s="15"/>
      <c r="AA23" s="3" t="s">
        <v>22</v>
      </c>
      <c r="AB23" s="15"/>
      <c r="AC23" s="15"/>
      <c r="AD23" s="3" t="str">
        <f t="shared" si="7"/>
        <v>A</v>
      </c>
      <c r="AE23" s="15"/>
      <c r="AF23" s="15"/>
      <c r="AG23" s="3" t="str">
        <f t="shared" si="8"/>
        <v>A</v>
      </c>
      <c r="AH23" s="15"/>
      <c r="AI23" s="15"/>
      <c r="AJ23" s="3" t="s">
        <v>64</v>
      </c>
      <c r="AK23" s="15"/>
      <c r="AL23" s="15"/>
      <c r="AM23" s="3" t="str">
        <f t="shared" si="9"/>
        <v>A</v>
      </c>
      <c r="AN23" s="15"/>
      <c r="AO23" s="15"/>
      <c r="AP23" s="3" t="str">
        <f t="shared" si="10"/>
        <v>A</v>
      </c>
      <c r="AQ23" s="15"/>
      <c r="AR23" s="15"/>
      <c r="AS23" s="3" t="s">
        <v>22</v>
      </c>
      <c r="AT23" s="15"/>
      <c r="AU23" s="15"/>
      <c r="AV23" s="3" t="s">
        <v>22</v>
      </c>
      <c r="AW23" s="15"/>
      <c r="AX23" s="15"/>
      <c r="AY23" s="3" t="str">
        <f t="shared" si="11"/>
        <v>A</v>
      </c>
      <c r="AZ23" s="15"/>
      <c r="BA23" s="15"/>
      <c r="BB23" s="3" t="str">
        <f t="shared" si="12"/>
        <v>A</v>
      </c>
      <c r="BC23" s="15"/>
      <c r="BD23" s="15"/>
      <c r="BE23" s="3" t="str">
        <f t="shared" si="13"/>
        <v>A</v>
      </c>
      <c r="BF23" s="15"/>
      <c r="BG23" s="15"/>
      <c r="BH23" s="3" t="str">
        <f t="shared" si="14"/>
        <v>A</v>
      </c>
      <c r="BI23" s="15"/>
      <c r="BJ23" s="15"/>
      <c r="BK23" s="3" t="str">
        <f t="shared" si="15"/>
        <v>A</v>
      </c>
      <c r="BL23" s="15"/>
      <c r="BM23" s="15"/>
      <c r="BN23" s="3" t="s">
        <v>22</v>
      </c>
      <c r="BO23" s="15"/>
      <c r="BP23" s="15"/>
      <c r="BQ23" s="3" t="s">
        <v>22</v>
      </c>
      <c r="BR23" s="15"/>
      <c r="BS23" s="15"/>
      <c r="BT23" s="3" t="str">
        <f t="shared" si="16"/>
        <v>A</v>
      </c>
      <c r="BU23" s="15"/>
      <c r="BV23" s="15"/>
      <c r="BW23" s="3" t="str">
        <f t="shared" si="17"/>
        <v>A</v>
      </c>
      <c r="BX23" s="15"/>
      <c r="BY23" s="15"/>
      <c r="BZ23" s="3" t="str">
        <f t="shared" si="18"/>
        <v>A</v>
      </c>
      <c r="CA23" s="15"/>
      <c r="CB23" s="15"/>
      <c r="CC23" s="3" t="str">
        <f t="shared" si="19"/>
        <v>A</v>
      </c>
      <c r="CD23" s="15"/>
      <c r="CE23" s="15"/>
      <c r="CF23" s="3" t="str">
        <f t="shared" si="20"/>
        <v>A</v>
      </c>
      <c r="CG23" s="15"/>
      <c r="CH23" s="15"/>
      <c r="CI23" s="3" t="s">
        <v>22</v>
      </c>
      <c r="CJ23" s="15"/>
      <c r="CK23" s="16"/>
      <c r="CL23" s="3" t="s">
        <v>22</v>
      </c>
      <c r="CM23" s="15"/>
      <c r="CN23" s="16"/>
      <c r="CO23" s="3" t="str">
        <f t="shared" si="21"/>
        <v>A</v>
      </c>
      <c r="CP23" s="11">
        <f>COUNTIF(D23:CO23,"EL")</f>
        <v>0</v>
      </c>
      <c r="CQ23" s="11">
        <f>COUNTIF(D23:CO23,"EL-H")*0.5</f>
        <v>0</v>
      </c>
      <c r="CR23" s="11">
        <f>COUNTIF(D23:CO23,"CL")</f>
        <v>0</v>
      </c>
      <c r="CS23" s="11">
        <f>COUNTIF(D23:CO23,"CL-H")*0.5</f>
        <v>0</v>
      </c>
      <c r="CT23" s="11">
        <f>COUNTIF(D23:CO23,"C-Off")</f>
        <v>0</v>
      </c>
      <c r="CU23" s="11">
        <f>COUNTIF(D23:CO23,"C-Off-H")*0.5</f>
        <v>0</v>
      </c>
      <c r="CV23" s="11">
        <f t="shared" ref="CV23:CV25" si="40">SUM(CP23:CU23)</f>
        <v>0</v>
      </c>
      <c r="CW23" s="11">
        <f>COUNTIF(D23:CO23,"P")</f>
        <v>0</v>
      </c>
      <c r="CX23" s="11">
        <f>COUNTIF(D23:CO23,"H")+COUNTIF(D23:CO23,"S")</f>
        <v>11</v>
      </c>
      <c r="CY23" s="11">
        <f>COUNTIF(D23:CO23,"A-H")*0.5</f>
        <v>0</v>
      </c>
      <c r="CZ23" s="11">
        <f>COUNTIF(D23:CO23,"A")</f>
        <v>19</v>
      </c>
      <c r="DA23" s="12">
        <f t="shared" si="36"/>
        <v>19</v>
      </c>
      <c r="DB23" s="13">
        <v>30</v>
      </c>
      <c r="DC23" s="11">
        <f t="shared" si="37"/>
        <v>11</v>
      </c>
      <c r="DD23" s="14"/>
      <c r="DE23" s="14"/>
    </row>
    <row r="24" spans="1:109" s="10" customFormat="1" ht="30.75" customHeight="1" x14ac:dyDescent="0.25">
      <c r="A24" s="7" t="s">
        <v>44</v>
      </c>
      <c r="B24" s="8"/>
      <c r="C24" s="9"/>
      <c r="D24" s="15"/>
      <c r="E24" s="15"/>
      <c r="F24" s="3" t="s">
        <v>22</v>
      </c>
      <c r="G24" s="15"/>
      <c r="H24" s="15"/>
      <c r="I24" s="3" t="s">
        <v>64</v>
      </c>
      <c r="J24" s="15"/>
      <c r="K24" s="15"/>
      <c r="L24" s="3" t="str">
        <f t="shared" si="3"/>
        <v>A</v>
      </c>
      <c r="M24" s="15"/>
      <c r="N24" s="15"/>
      <c r="O24" s="3" t="str">
        <f t="shared" si="4"/>
        <v>A</v>
      </c>
      <c r="P24" s="15"/>
      <c r="Q24" s="15"/>
      <c r="R24" s="3" t="str">
        <f t="shared" si="5"/>
        <v>A</v>
      </c>
      <c r="S24" s="15"/>
      <c r="T24" s="15"/>
      <c r="U24" s="3" t="str">
        <f t="shared" si="6"/>
        <v>A</v>
      </c>
      <c r="V24" s="15"/>
      <c r="W24" s="15"/>
      <c r="X24" s="3" t="s">
        <v>22</v>
      </c>
      <c r="Y24" s="15"/>
      <c r="Z24" s="15"/>
      <c r="AA24" s="3" t="s">
        <v>22</v>
      </c>
      <c r="AB24" s="15"/>
      <c r="AC24" s="15"/>
      <c r="AD24" s="3" t="str">
        <f t="shared" si="7"/>
        <v>A</v>
      </c>
      <c r="AE24" s="15"/>
      <c r="AF24" s="15"/>
      <c r="AG24" s="3" t="str">
        <f t="shared" si="8"/>
        <v>A</v>
      </c>
      <c r="AH24" s="15"/>
      <c r="AI24" s="15"/>
      <c r="AJ24" s="3" t="s">
        <v>64</v>
      </c>
      <c r="AK24" s="15"/>
      <c r="AL24" s="15"/>
      <c r="AM24" s="3" t="str">
        <f t="shared" si="9"/>
        <v>A</v>
      </c>
      <c r="AN24" s="15"/>
      <c r="AO24" s="15"/>
      <c r="AP24" s="3" t="str">
        <f t="shared" si="10"/>
        <v>A</v>
      </c>
      <c r="AQ24" s="15"/>
      <c r="AR24" s="15"/>
      <c r="AS24" s="3" t="s">
        <v>22</v>
      </c>
      <c r="AT24" s="15"/>
      <c r="AU24" s="15"/>
      <c r="AV24" s="3" t="s">
        <v>22</v>
      </c>
      <c r="AW24" s="15"/>
      <c r="AX24" s="15"/>
      <c r="AY24" s="3" t="str">
        <f t="shared" si="11"/>
        <v>A</v>
      </c>
      <c r="AZ24" s="15"/>
      <c r="BA24" s="15"/>
      <c r="BB24" s="3" t="str">
        <f t="shared" si="12"/>
        <v>A</v>
      </c>
      <c r="BC24" s="15"/>
      <c r="BD24" s="15"/>
      <c r="BE24" s="3" t="str">
        <f t="shared" si="13"/>
        <v>A</v>
      </c>
      <c r="BF24" s="15"/>
      <c r="BG24" s="15"/>
      <c r="BH24" s="3" t="str">
        <f t="shared" si="14"/>
        <v>A</v>
      </c>
      <c r="BI24" s="15"/>
      <c r="BJ24" s="15"/>
      <c r="BK24" s="3" t="str">
        <f t="shared" si="15"/>
        <v>A</v>
      </c>
      <c r="BL24" s="15"/>
      <c r="BM24" s="15"/>
      <c r="BN24" s="3" t="s">
        <v>22</v>
      </c>
      <c r="BO24" s="15"/>
      <c r="BP24" s="15"/>
      <c r="BQ24" s="3" t="s">
        <v>22</v>
      </c>
      <c r="BR24" s="15"/>
      <c r="BS24" s="15"/>
      <c r="BT24" s="3" t="str">
        <f t="shared" si="16"/>
        <v>A</v>
      </c>
      <c r="BU24" s="15"/>
      <c r="BV24" s="15"/>
      <c r="BW24" s="3" t="str">
        <f t="shared" si="17"/>
        <v>A</v>
      </c>
      <c r="BX24" s="15"/>
      <c r="BY24" s="15"/>
      <c r="BZ24" s="3" t="str">
        <f t="shared" si="18"/>
        <v>A</v>
      </c>
      <c r="CA24" s="15"/>
      <c r="CB24" s="15"/>
      <c r="CC24" s="3" t="str">
        <f t="shared" si="19"/>
        <v>A</v>
      </c>
      <c r="CD24" s="15"/>
      <c r="CE24" s="15"/>
      <c r="CF24" s="3" t="str">
        <f t="shared" si="20"/>
        <v>A</v>
      </c>
      <c r="CG24" s="15"/>
      <c r="CH24" s="15"/>
      <c r="CI24" s="3" t="s">
        <v>22</v>
      </c>
      <c r="CJ24" s="15"/>
      <c r="CK24" s="16"/>
      <c r="CL24" s="3" t="s">
        <v>22</v>
      </c>
      <c r="CM24" s="15"/>
      <c r="CN24" s="16"/>
      <c r="CO24" s="3" t="str">
        <f t="shared" si="21"/>
        <v>A</v>
      </c>
      <c r="CP24" s="11">
        <f>COUNTIF(D24:CO24,"EL")</f>
        <v>0</v>
      </c>
      <c r="CQ24" s="11">
        <f>COUNTIF(D24:CO24,"EL-H")*0.5</f>
        <v>0</v>
      </c>
      <c r="CR24" s="11">
        <f>COUNTIF(D24:CO24,"CL")</f>
        <v>0</v>
      </c>
      <c r="CS24" s="11">
        <f>COUNTIF(D24:CO24,"CL-H")*0.5</f>
        <v>0</v>
      </c>
      <c r="CT24" s="11">
        <f>COUNTIF(D24:CO24,"C-Off")</f>
        <v>0</v>
      </c>
      <c r="CU24" s="11">
        <f>COUNTIF(D24:CO24,"C-Off-H")*0.5</f>
        <v>0</v>
      </c>
      <c r="CV24" s="11">
        <f t="shared" si="40"/>
        <v>0</v>
      </c>
      <c r="CW24" s="11">
        <f>COUNTIF(D24:CO24,"P")</f>
        <v>0</v>
      </c>
      <c r="CX24" s="11">
        <f>COUNTIF(D24:CO24,"H")+COUNTIF(D24:CO24,"S")</f>
        <v>11</v>
      </c>
      <c r="CY24" s="11">
        <f>COUNTIF(D24:CO24,"A-H")*0.5</f>
        <v>0</v>
      </c>
      <c r="CZ24" s="11">
        <f>COUNTIF(D24:CO24,"A")</f>
        <v>19</v>
      </c>
      <c r="DA24" s="12">
        <f t="shared" si="36"/>
        <v>19</v>
      </c>
      <c r="DB24" s="13">
        <v>30</v>
      </c>
      <c r="DC24" s="11">
        <f t="shared" si="37"/>
        <v>11</v>
      </c>
      <c r="DD24" s="14"/>
      <c r="DE24" s="14"/>
    </row>
    <row r="25" spans="1:109" s="10" customFormat="1" ht="30.75" customHeight="1" x14ac:dyDescent="0.25">
      <c r="A25" s="7" t="s">
        <v>45</v>
      </c>
      <c r="B25" s="8"/>
      <c r="C25" s="9"/>
      <c r="D25" s="15"/>
      <c r="E25" s="15"/>
      <c r="F25" s="3" t="s">
        <v>22</v>
      </c>
      <c r="G25" s="15"/>
      <c r="H25" s="15"/>
      <c r="I25" s="3" t="s">
        <v>64</v>
      </c>
      <c r="J25" s="15"/>
      <c r="K25" s="15"/>
      <c r="L25" s="3" t="str">
        <f t="shared" si="3"/>
        <v>A</v>
      </c>
      <c r="M25" s="15"/>
      <c r="N25" s="15"/>
      <c r="O25" s="3" t="str">
        <f t="shared" si="4"/>
        <v>A</v>
      </c>
      <c r="P25" s="15"/>
      <c r="Q25" s="15"/>
      <c r="R25" s="3" t="str">
        <f t="shared" si="5"/>
        <v>A</v>
      </c>
      <c r="S25" s="15"/>
      <c r="T25" s="15"/>
      <c r="U25" s="3" t="str">
        <f t="shared" si="6"/>
        <v>A</v>
      </c>
      <c r="V25" s="15"/>
      <c r="W25" s="15"/>
      <c r="X25" s="3" t="s">
        <v>22</v>
      </c>
      <c r="Y25" s="15"/>
      <c r="Z25" s="15"/>
      <c r="AA25" s="3" t="s">
        <v>22</v>
      </c>
      <c r="AB25" s="15"/>
      <c r="AC25" s="15"/>
      <c r="AD25" s="3" t="str">
        <f t="shared" si="7"/>
        <v>A</v>
      </c>
      <c r="AE25" s="15"/>
      <c r="AF25" s="15"/>
      <c r="AG25" s="3" t="str">
        <f t="shared" si="8"/>
        <v>A</v>
      </c>
      <c r="AH25" s="15"/>
      <c r="AI25" s="15"/>
      <c r="AJ25" s="3" t="s">
        <v>64</v>
      </c>
      <c r="AK25" s="15"/>
      <c r="AL25" s="15"/>
      <c r="AM25" s="3" t="str">
        <f t="shared" si="9"/>
        <v>A</v>
      </c>
      <c r="AN25" s="15"/>
      <c r="AO25" s="15"/>
      <c r="AP25" s="3" t="str">
        <f t="shared" si="10"/>
        <v>A</v>
      </c>
      <c r="AQ25" s="15"/>
      <c r="AR25" s="15"/>
      <c r="AS25" s="3" t="s">
        <v>22</v>
      </c>
      <c r="AT25" s="15"/>
      <c r="AU25" s="15"/>
      <c r="AV25" s="3" t="s">
        <v>22</v>
      </c>
      <c r="AW25" s="15"/>
      <c r="AX25" s="15"/>
      <c r="AY25" s="3" t="str">
        <f t="shared" si="11"/>
        <v>A</v>
      </c>
      <c r="AZ25" s="15"/>
      <c r="BA25" s="15"/>
      <c r="BB25" s="3" t="str">
        <f t="shared" si="12"/>
        <v>A</v>
      </c>
      <c r="BC25" s="15"/>
      <c r="BD25" s="15"/>
      <c r="BE25" s="3" t="str">
        <f t="shared" si="13"/>
        <v>A</v>
      </c>
      <c r="BF25" s="15"/>
      <c r="BG25" s="15"/>
      <c r="BH25" s="3" t="str">
        <f t="shared" si="14"/>
        <v>A</v>
      </c>
      <c r="BI25" s="15"/>
      <c r="BJ25" s="15"/>
      <c r="BK25" s="3" t="str">
        <f t="shared" si="15"/>
        <v>A</v>
      </c>
      <c r="BL25" s="15"/>
      <c r="BM25" s="15"/>
      <c r="BN25" s="3" t="s">
        <v>22</v>
      </c>
      <c r="BO25" s="15"/>
      <c r="BP25" s="15"/>
      <c r="BQ25" s="3" t="s">
        <v>22</v>
      </c>
      <c r="BR25" s="15"/>
      <c r="BS25" s="15"/>
      <c r="BT25" s="3" t="str">
        <f t="shared" si="16"/>
        <v>A</v>
      </c>
      <c r="BU25" s="15"/>
      <c r="BV25" s="15"/>
      <c r="BW25" s="3" t="str">
        <f t="shared" si="17"/>
        <v>A</v>
      </c>
      <c r="BX25" s="15"/>
      <c r="BY25" s="15"/>
      <c r="BZ25" s="3" t="str">
        <f t="shared" si="18"/>
        <v>A</v>
      </c>
      <c r="CA25" s="15"/>
      <c r="CB25" s="15"/>
      <c r="CC25" s="3" t="str">
        <f t="shared" si="19"/>
        <v>A</v>
      </c>
      <c r="CD25" s="15"/>
      <c r="CE25" s="15"/>
      <c r="CF25" s="3" t="str">
        <f t="shared" si="20"/>
        <v>A</v>
      </c>
      <c r="CG25" s="15"/>
      <c r="CH25" s="15"/>
      <c r="CI25" s="3" t="s">
        <v>22</v>
      </c>
      <c r="CJ25" s="15"/>
      <c r="CK25" s="16"/>
      <c r="CL25" s="3" t="s">
        <v>22</v>
      </c>
      <c r="CM25" s="15"/>
      <c r="CN25" s="16"/>
      <c r="CO25" s="3" t="str">
        <f t="shared" si="21"/>
        <v>A</v>
      </c>
      <c r="CP25" s="11">
        <f>COUNTIF(D25:CO25,"EL")</f>
        <v>0</v>
      </c>
      <c r="CQ25" s="11">
        <f>COUNTIF(D25:CO25,"EL-H")*0.5</f>
        <v>0</v>
      </c>
      <c r="CR25" s="11">
        <f>COUNTIF(D25:CO25,"CL")</f>
        <v>0</v>
      </c>
      <c r="CS25" s="11">
        <f>COUNTIF(D25:CO25,"CL-H")*0.5</f>
        <v>0</v>
      </c>
      <c r="CT25" s="11">
        <f>COUNTIF(D25:CO25,"C-Off")</f>
        <v>0</v>
      </c>
      <c r="CU25" s="11">
        <f>COUNTIF(D25:CO25,"C-Off-H")*0.5</f>
        <v>0</v>
      </c>
      <c r="CV25" s="11">
        <f t="shared" si="40"/>
        <v>0</v>
      </c>
      <c r="CW25" s="11">
        <f>COUNTIF(D25:CO25,"P")</f>
        <v>0</v>
      </c>
      <c r="CX25" s="11">
        <f>COUNTIF(D25:CO25,"H")+COUNTIF(D25:CO25,"S")</f>
        <v>11</v>
      </c>
      <c r="CY25" s="11">
        <f>COUNTIF(D25:CO25,"A-H")*0.5</f>
        <v>0</v>
      </c>
      <c r="CZ25" s="11">
        <f>COUNTIF(D25:CO25,"A")</f>
        <v>19</v>
      </c>
      <c r="DA25" s="12">
        <f t="shared" si="36"/>
        <v>19</v>
      </c>
      <c r="DB25" s="13">
        <v>30</v>
      </c>
      <c r="DC25" s="11">
        <f t="shared" si="37"/>
        <v>11</v>
      </c>
      <c r="DD25" s="14"/>
      <c r="DE25" s="14"/>
    </row>
    <row r="26" spans="1:109" s="10" customFormat="1" ht="30.75" customHeight="1" x14ac:dyDescent="0.25">
      <c r="A26" s="7" t="s">
        <v>46</v>
      </c>
      <c r="B26" s="8"/>
      <c r="C26" s="9"/>
      <c r="D26" s="15"/>
      <c r="E26" s="15"/>
      <c r="F26" s="3" t="s">
        <v>22</v>
      </c>
      <c r="G26" s="15"/>
      <c r="H26" s="15"/>
      <c r="I26" s="3" t="s">
        <v>64</v>
      </c>
      <c r="J26" s="15"/>
      <c r="K26" s="15"/>
      <c r="L26" s="3" t="str">
        <f t="shared" si="3"/>
        <v>A</v>
      </c>
      <c r="M26" s="15"/>
      <c r="N26" s="15"/>
      <c r="O26" s="3" t="str">
        <f t="shared" si="4"/>
        <v>A</v>
      </c>
      <c r="P26" s="15"/>
      <c r="Q26" s="15"/>
      <c r="R26" s="3" t="str">
        <f t="shared" si="5"/>
        <v>A</v>
      </c>
      <c r="S26" s="15"/>
      <c r="T26" s="15"/>
      <c r="U26" s="3" t="str">
        <f t="shared" si="6"/>
        <v>A</v>
      </c>
      <c r="V26" s="15"/>
      <c r="W26" s="15"/>
      <c r="X26" s="3" t="s">
        <v>22</v>
      </c>
      <c r="Y26" s="15"/>
      <c r="Z26" s="15"/>
      <c r="AA26" s="3" t="s">
        <v>22</v>
      </c>
      <c r="AB26" s="15"/>
      <c r="AC26" s="15"/>
      <c r="AD26" s="3" t="str">
        <f t="shared" si="7"/>
        <v>A</v>
      </c>
      <c r="AE26" s="15"/>
      <c r="AF26" s="15"/>
      <c r="AG26" s="3" t="str">
        <f t="shared" si="8"/>
        <v>A</v>
      </c>
      <c r="AH26" s="15"/>
      <c r="AI26" s="15"/>
      <c r="AJ26" s="3" t="s">
        <v>64</v>
      </c>
      <c r="AK26" s="15"/>
      <c r="AL26" s="15"/>
      <c r="AM26" s="3" t="str">
        <f t="shared" si="9"/>
        <v>A</v>
      </c>
      <c r="AN26" s="15"/>
      <c r="AO26" s="15"/>
      <c r="AP26" s="3" t="str">
        <f t="shared" si="10"/>
        <v>A</v>
      </c>
      <c r="AQ26" s="15"/>
      <c r="AR26" s="15"/>
      <c r="AS26" s="3" t="s">
        <v>22</v>
      </c>
      <c r="AT26" s="15"/>
      <c r="AU26" s="15"/>
      <c r="AV26" s="3" t="s">
        <v>22</v>
      </c>
      <c r="AW26" s="15"/>
      <c r="AX26" s="15"/>
      <c r="AY26" s="3" t="str">
        <f t="shared" si="11"/>
        <v>A</v>
      </c>
      <c r="AZ26" s="15"/>
      <c r="BA26" s="15"/>
      <c r="BB26" s="3" t="str">
        <f t="shared" si="12"/>
        <v>A</v>
      </c>
      <c r="BC26" s="15"/>
      <c r="BD26" s="15"/>
      <c r="BE26" s="3" t="str">
        <f t="shared" si="13"/>
        <v>A</v>
      </c>
      <c r="BF26" s="15"/>
      <c r="BG26" s="15"/>
      <c r="BH26" s="3" t="str">
        <f t="shared" si="14"/>
        <v>A</v>
      </c>
      <c r="BI26" s="15"/>
      <c r="BJ26" s="15"/>
      <c r="BK26" s="3" t="str">
        <f t="shared" si="15"/>
        <v>A</v>
      </c>
      <c r="BL26" s="15"/>
      <c r="BM26" s="15"/>
      <c r="BN26" s="3" t="s">
        <v>22</v>
      </c>
      <c r="BO26" s="15"/>
      <c r="BP26" s="15"/>
      <c r="BQ26" s="3" t="s">
        <v>22</v>
      </c>
      <c r="BR26" s="15"/>
      <c r="BS26" s="15"/>
      <c r="BT26" s="3" t="str">
        <f t="shared" si="16"/>
        <v>A</v>
      </c>
      <c r="BU26" s="15"/>
      <c r="BV26" s="15"/>
      <c r="BW26" s="3" t="str">
        <f t="shared" si="17"/>
        <v>A</v>
      </c>
      <c r="BX26" s="15"/>
      <c r="BY26" s="15"/>
      <c r="BZ26" s="3" t="str">
        <f t="shared" si="18"/>
        <v>A</v>
      </c>
      <c r="CA26" s="15"/>
      <c r="CB26" s="15"/>
      <c r="CC26" s="3" t="str">
        <f t="shared" si="19"/>
        <v>A</v>
      </c>
      <c r="CD26" s="15"/>
      <c r="CE26" s="15"/>
      <c r="CF26" s="3" t="str">
        <f t="shared" si="20"/>
        <v>A</v>
      </c>
      <c r="CG26" s="15"/>
      <c r="CH26" s="15"/>
      <c r="CI26" s="3" t="s">
        <v>22</v>
      </c>
      <c r="CJ26" s="15"/>
      <c r="CK26" s="16"/>
      <c r="CL26" s="3" t="s">
        <v>22</v>
      </c>
      <c r="CM26" s="15"/>
      <c r="CN26" s="16"/>
      <c r="CO26" s="3" t="str">
        <f t="shared" si="21"/>
        <v>A</v>
      </c>
      <c r="CP26" s="11">
        <f>COUNTIF(D26:CO26,"EL")</f>
        <v>0</v>
      </c>
      <c r="CQ26" s="11">
        <f>COUNTIF(D26:CO26,"EL-H")*0.5</f>
        <v>0</v>
      </c>
      <c r="CR26" s="11">
        <f>COUNTIF(D26:CO26,"CL")</f>
        <v>0</v>
      </c>
      <c r="CS26" s="11">
        <f>COUNTIF(D26:CO26,"CL-H")*0.5</f>
        <v>0</v>
      </c>
      <c r="CT26" s="11">
        <f>COUNTIF(D26:CO26,"C-Off")</f>
        <v>0</v>
      </c>
      <c r="CU26" s="11">
        <f>COUNTIF(D26:CO26,"C-Off-H")*0.5</f>
        <v>0</v>
      </c>
      <c r="CV26" s="11">
        <f t="shared" ref="CV26" si="41">SUM(CP26:CU26)</f>
        <v>0</v>
      </c>
      <c r="CW26" s="11">
        <f>COUNTIF(D26:CO26,"P")</f>
        <v>0</v>
      </c>
      <c r="CX26" s="11">
        <f>COUNTIF(D26:CO26,"H")+COUNTIF(D26:CO26,"S")</f>
        <v>11</v>
      </c>
      <c r="CY26" s="11">
        <f>COUNTIF(D26:CO26,"A-H")*0.5</f>
        <v>0</v>
      </c>
      <c r="CZ26" s="11">
        <f>COUNTIF(D26:CO26,"A")</f>
        <v>19</v>
      </c>
      <c r="DA26" s="12">
        <f t="shared" si="36"/>
        <v>19</v>
      </c>
      <c r="DB26" s="13">
        <v>30</v>
      </c>
      <c r="DC26" s="11">
        <f t="shared" si="37"/>
        <v>11</v>
      </c>
      <c r="DD26" s="14"/>
      <c r="DE26" s="14"/>
    </row>
    <row r="27" spans="1:109" s="10" customFormat="1" ht="30.75" customHeight="1" x14ac:dyDescent="0.25">
      <c r="A27" s="7" t="s">
        <v>47</v>
      </c>
      <c r="B27" s="8"/>
      <c r="C27" s="9"/>
      <c r="D27" s="15"/>
      <c r="E27" s="15"/>
      <c r="F27" s="3" t="s">
        <v>22</v>
      </c>
      <c r="G27" s="15"/>
      <c r="H27" s="15"/>
      <c r="I27" s="3" t="s">
        <v>64</v>
      </c>
      <c r="J27" s="15"/>
      <c r="K27" s="15"/>
      <c r="L27" s="3" t="str">
        <f t="shared" si="3"/>
        <v>A</v>
      </c>
      <c r="M27" s="15"/>
      <c r="N27" s="15"/>
      <c r="O27" s="3" t="str">
        <f t="shared" si="4"/>
        <v>A</v>
      </c>
      <c r="P27" s="15"/>
      <c r="Q27" s="15"/>
      <c r="R27" s="3" t="str">
        <f t="shared" si="5"/>
        <v>A</v>
      </c>
      <c r="S27" s="15"/>
      <c r="T27" s="15"/>
      <c r="U27" s="3" t="str">
        <f t="shared" si="6"/>
        <v>A</v>
      </c>
      <c r="V27" s="15"/>
      <c r="W27" s="15"/>
      <c r="X27" s="3" t="s">
        <v>22</v>
      </c>
      <c r="Y27" s="15"/>
      <c r="Z27" s="15"/>
      <c r="AA27" s="3" t="s">
        <v>22</v>
      </c>
      <c r="AB27" s="15"/>
      <c r="AC27" s="15"/>
      <c r="AD27" s="3" t="str">
        <f t="shared" si="7"/>
        <v>A</v>
      </c>
      <c r="AE27" s="15"/>
      <c r="AF27" s="15"/>
      <c r="AG27" s="3" t="str">
        <f t="shared" si="8"/>
        <v>A</v>
      </c>
      <c r="AH27" s="15"/>
      <c r="AI27" s="15"/>
      <c r="AJ27" s="3" t="s">
        <v>64</v>
      </c>
      <c r="AK27" s="15"/>
      <c r="AL27" s="15"/>
      <c r="AM27" s="3" t="str">
        <f t="shared" si="9"/>
        <v>A</v>
      </c>
      <c r="AN27" s="15"/>
      <c r="AO27" s="15"/>
      <c r="AP27" s="3" t="str">
        <f t="shared" si="10"/>
        <v>A</v>
      </c>
      <c r="AQ27" s="15"/>
      <c r="AR27" s="15"/>
      <c r="AS27" s="3" t="s">
        <v>22</v>
      </c>
      <c r="AT27" s="15"/>
      <c r="AU27" s="15"/>
      <c r="AV27" s="3" t="s">
        <v>22</v>
      </c>
      <c r="AW27" s="15"/>
      <c r="AX27" s="15"/>
      <c r="AY27" s="3" t="str">
        <f t="shared" si="11"/>
        <v>A</v>
      </c>
      <c r="AZ27" s="15"/>
      <c r="BA27" s="15"/>
      <c r="BB27" s="3" t="str">
        <f t="shared" si="12"/>
        <v>A</v>
      </c>
      <c r="BC27" s="15"/>
      <c r="BD27" s="15"/>
      <c r="BE27" s="3" t="str">
        <f t="shared" si="13"/>
        <v>A</v>
      </c>
      <c r="BF27" s="15"/>
      <c r="BG27" s="15"/>
      <c r="BH27" s="3" t="str">
        <f t="shared" si="14"/>
        <v>A</v>
      </c>
      <c r="BI27" s="15"/>
      <c r="BJ27" s="15"/>
      <c r="BK27" s="3" t="str">
        <f t="shared" si="15"/>
        <v>A</v>
      </c>
      <c r="BL27" s="15"/>
      <c r="BM27" s="15"/>
      <c r="BN27" s="3" t="s">
        <v>22</v>
      </c>
      <c r="BO27" s="15"/>
      <c r="BP27" s="15"/>
      <c r="BQ27" s="3" t="s">
        <v>22</v>
      </c>
      <c r="BR27" s="15"/>
      <c r="BS27" s="15"/>
      <c r="BT27" s="3" t="str">
        <f t="shared" si="16"/>
        <v>A</v>
      </c>
      <c r="BU27" s="15"/>
      <c r="BV27" s="15"/>
      <c r="BW27" s="3" t="str">
        <f t="shared" si="17"/>
        <v>A</v>
      </c>
      <c r="BX27" s="15"/>
      <c r="BY27" s="15"/>
      <c r="BZ27" s="3" t="str">
        <f t="shared" si="18"/>
        <v>A</v>
      </c>
      <c r="CA27" s="15"/>
      <c r="CB27" s="15"/>
      <c r="CC27" s="3" t="str">
        <f t="shared" si="19"/>
        <v>A</v>
      </c>
      <c r="CD27" s="15"/>
      <c r="CE27" s="15"/>
      <c r="CF27" s="3" t="str">
        <f t="shared" si="20"/>
        <v>A</v>
      </c>
      <c r="CG27" s="15"/>
      <c r="CH27" s="15"/>
      <c r="CI27" s="3" t="s">
        <v>22</v>
      </c>
      <c r="CJ27" s="15"/>
      <c r="CK27" s="16"/>
      <c r="CL27" s="3" t="s">
        <v>22</v>
      </c>
      <c r="CM27" s="15"/>
      <c r="CN27" s="16"/>
      <c r="CO27" s="3" t="str">
        <f t="shared" si="21"/>
        <v>A</v>
      </c>
      <c r="CP27" s="11">
        <f>COUNTIF(D27:CO27,"EL")</f>
        <v>0</v>
      </c>
      <c r="CQ27" s="11">
        <f>COUNTIF(D27:CO27,"EL-H")*0.5</f>
        <v>0</v>
      </c>
      <c r="CR27" s="11">
        <f>COUNTIF(D27:CO27,"CL")</f>
        <v>0</v>
      </c>
      <c r="CS27" s="11">
        <f>COUNTIF(D27:CO27,"CL-H")*0.5</f>
        <v>0</v>
      </c>
      <c r="CT27" s="11">
        <f>COUNTIF(D27:CO27,"C-Off")</f>
        <v>0</v>
      </c>
      <c r="CU27" s="11">
        <f>COUNTIF(D27:CO27,"C-Off-H")*0.5</f>
        <v>0</v>
      </c>
      <c r="CV27" s="11">
        <f t="shared" ref="CV27:CV29" si="42">SUM(CP27:CU27)</f>
        <v>0</v>
      </c>
      <c r="CW27" s="11">
        <f>COUNTIF(D27:CO27,"P")</f>
        <v>0</v>
      </c>
      <c r="CX27" s="11">
        <f>COUNTIF(D27:CO27,"H")+COUNTIF(D27:CO27,"S")</f>
        <v>11</v>
      </c>
      <c r="CY27" s="11">
        <f>COUNTIF(D27:CO27,"A-H")*0.5</f>
        <v>0</v>
      </c>
      <c r="CZ27" s="11">
        <f>COUNTIF(D27:CO27,"A")</f>
        <v>19</v>
      </c>
      <c r="DA27" s="12">
        <f t="shared" si="36"/>
        <v>19</v>
      </c>
      <c r="DB27" s="13">
        <v>30</v>
      </c>
      <c r="DC27" s="11">
        <f t="shared" si="37"/>
        <v>11</v>
      </c>
      <c r="DD27" s="14"/>
      <c r="DE27" s="14"/>
    </row>
    <row r="28" spans="1:109" s="10" customFormat="1" ht="30.75" customHeight="1" x14ac:dyDescent="0.25">
      <c r="A28" s="7" t="s">
        <v>48</v>
      </c>
      <c r="B28" s="8"/>
      <c r="C28" s="9"/>
      <c r="D28" s="15"/>
      <c r="E28" s="15"/>
      <c r="F28" s="3" t="s">
        <v>22</v>
      </c>
      <c r="G28" s="15"/>
      <c r="H28" s="15"/>
      <c r="I28" s="3" t="s">
        <v>64</v>
      </c>
      <c r="J28" s="15"/>
      <c r="K28" s="15"/>
      <c r="L28" s="3" t="str">
        <f t="shared" si="3"/>
        <v>A</v>
      </c>
      <c r="M28" s="15"/>
      <c r="N28" s="15"/>
      <c r="O28" s="3" t="str">
        <f t="shared" si="4"/>
        <v>A</v>
      </c>
      <c r="P28" s="15"/>
      <c r="Q28" s="15"/>
      <c r="R28" s="3" t="str">
        <f t="shared" si="5"/>
        <v>A</v>
      </c>
      <c r="S28" s="15"/>
      <c r="T28" s="15"/>
      <c r="U28" s="3" t="str">
        <f t="shared" si="6"/>
        <v>A</v>
      </c>
      <c r="V28" s="15"/>
      <c r="W28" s="15"/>
      <c r="X28" s="3" t="s">
        <v>22</v>
      </c>
      <c r="Y28" s="15"/>
      <c r="Z28" s="15"/>
      <c r="AA28" s="3" t="s">
        <v>22</v>
      </c>
      <c r="AB28" s="15"/>
      <c r="AC28" s="15"/>
      <c r="AD28" s="3" t="str">
        <f t="shared" si="7"/>
        <v>A</v>
      </c>
      <c r="AE28" s="15"/>
      <c r="AF28" s="15"/>
      <c r="AG28" s="3" t="str">
        <f t="shared" si="8"/>
        <v>A</v>
      </c>
      <c r="AH28" s="15"/>
      <c r="AI28" s="15"/>
      <c r="AJ28" s="3" t="s">
        <v>64</v>
      </c>
      <c r="AK28" s="15"/>
      <c r="AL28" s="15"/>
      <c r="AM28" s="3" t="str">
        <f t="shared" si="9"/>
        <v>A</v>
      </c>
      <c r="AN28" s="15"/>
      <c r="AO28" s="15"/>
      <c r="AP28" s="3" t="str">
        <f t="shared" si="10"/>
        <v>A</v>
      </c>
      <c r="AQ28" s="15"/>
      <c r="AR28" s="15"/>
      <c r="AS28" s="3" t="s">
        <v>22</v>
      </c>
      <c r="AT28" s="15"/>
      <c r="AU28" s="15"/>
      <c r="AV28" s="3" t="s">
        <v>22</v>
      </c>
      <c r="AW28" s="15"/>
      <c r="AX28" s="15"/>
      <c r="AY28" s="3" t="str">
        <f t="shared" si="11"/>
        <v>A</v>
      </c>
      <c r="AZ28" s="15"/>
      <c r="BA28" s="15"/>
      <c r="BB28" s="3" t="str">
        <f t="shared" si="12"/>
        <v>A</v>
      </c>
      <c r="BC28" s="15"/>
      <c r="BD28" s="15"/>
      <c r="BE28" s="3" t="str">
        <f t="shared" si="13"/>
        <v>A</v>
      </c>
      <c r="BF28" s="15"/>
      <c r="BG28" s="15"/>
      <c r="BH28" s="3" t="str">
        <f t="shared" si="14"/>
        <v>A</v>
      </c>
      <c r="BI28" s="15"/>
      <c r="BJ28" s="15"/>
      <c r="BK28" s="3" t="str">
        <f t="shared" si="15"/>
        <v>A</v>
      </c>
      <c r="BL28" s="15"/>
      <c r="BM28" s="15"/>
      <c r="BN28" s="3" t="s">
        <v>22</v>
      </c>
      <c r="BO28" s="15"/>
      <c r="BP28" s="15"/>
      <c r="BQ28" s="3" t="s">
        <v>22</v>
      </c>
      <c r="BR28" s="15"/>
      <c r="BS28" s="15"/>
      <c r="BT28" s="3" t="str">
        <f t="shared" si="16"/>
        <v>A</v>
      </c>
      <c r="BU28" s="15"/>
      <c r="BV28" s="15"/>
      <c r="BW28" s="3" t="str">
        <f t="shared" si="17"/>
        <v>A</v>
      </c>
      <c r="BX28" s="15"/>
      <c r="BY28" s="15"/>
      <c r="BZ28" s="3" t="str">
        <f t="shared" si="18"/>
        <v>A</v>
      </c>
      <c r="CA28" s="15"/>
      <c r="CB28" s="15"/>
      <c r="CC28" s="3" t="str">
        <f t="shared" si="19"/>
        <v>A</v>
      </c>
      <c r="CD28" s="15"/>
      <c r="CE28" s="15"/>
      <c r="CF28" s="3" t="str">
        <f t="shared" si="20"/>
        <v>A</v>
      </c>
      <c r="CG28" s="15"/>
      <c r="CH28" s="15"/>
      <c r="CI28" s="3" t="s">
        <v>22</v>
      </c>
      <c r="CJ28" s="15"/>
      <c r="CK28" s="16"/>
      <c r="CL28" s="3" t="s">
        <v>22</v>
      </c>
      <c r="CM28" s="15"/>
      <c r="CN28" s="16"/>
      <c r="CO28" s="3" t="str">
        <f t="shared" si="21"/>
        <v>A</v>
      </c>
      <c r="CP28" s="11">
        <f>COUNTIF(D28:CO28,"EL")</f>
        <v>0</v>
      </c>
      <c r="CQ28" s="11">
        <f>COUNTIF(D28:CO28,"EL-H")*0.5</f>
        <v>0</v>
      </c>
      <c r="CR28" s="11">
        <f>COUNTIF(D28:CO28,"CL")</f>
        <v>0</v>
      </c>
      <c r="CS28" s="11">
        <f>COUNTIF(D28:CO28,"CL-H")*0.5</f>
        <v>0</v>
      </c>
      <c r="CT28" s="11">
        <f>COUNTIF(D28:CO28,"C-Off")</f>
        <v>0</v>
      </c>
      <c r="CU28" s="11">
        <f>COUNTIF(D28:CO28,"C-Off-H")*0.5</f>
        <v>0</v>
      </c>
      <c r="CV28" s="11">
        <f t="shared" si="42"/>
        <v>0</v>
      </c>
      <c r="CW28" s="11">
        <f>COUNTIF(D28:CO28,"P")</f>
        <v>0</v>
      </c>
      <c r="CX28" s="11">
        <f>COUNTIF(D28:CO28,"H")+COUNTIF(D28:CO28,"S")</f>
        <v>11</v>
      </c>
      <c r="CY28" s="11">
        <f>COUNTIF(D28:CO28,"A-H")*0.5</f>
        <v>0</v>
      </c>
      <c r="CZ28" s="11">
        <f>COUNTIF(D28:CO28,"A")</f>
        <v>19</v>
      </c>
      <c r="DA28" s="12">
        <f t="shared" si="36"/>
        <v>19</v>
      </c>
      <c r="DB28" s="13">
        <v>30</v>
      </c>
      <c r="DC28" s="11">
        <f t="shared" si="37"/>
        <v>11</v>
      </c>
      <c r="DD28" s="14"/>
      <c r="DE28" s="14"/>
    </row>
    <row r="29" spans="1:109" s="10" customFormat="1" ht="30.75" customHeight="1" x14ac:dyDescent="0.25">
      <c r="A29" s="7" t="s">
        <v>49</v>
      </c>
      <c r="B29" s="8"/>
      <c r="C29" s="9"/>
      <c r="D29" s="15"/>
      <c r="E29" s="15"/>
      <c r="F29" s="3" t="s">
        <v>22</v>
      </c>
      <c r="G29" s="15"/>
      <c r="H29" s="15"/>
      <c r="I29" s="3" t="s">
        <v>64</v>
      </c>
      <c r="J29" s="15"/>
      <c r="K29" s="15"/>
      <c r="L29" s="3" t="str">
        <f t="shared" si="3"/>
        <v>A</v>
      </c>
      <c r="M29" s="15"/>
      <c r="N29" s="15"/>
      <c r="O29" s="3" t="str">
        <f t="shared" si="4"/>
        <v>A</v>
      </c>
      <c r="P29" s="15"/>
      <c r="Q29" s="15"/>
      <c r="R29" s="3" t="str">
        <f t="shared" si="5"/>
        <v>A</v>
      </c>
      <c r="S29" s="15"/>
      <c r="T29" s="15"/>
      <c r="U29" s="3" t="str">
        <f t="shared" si="6"/>
        <v>A</v>
      </c>
      <c r="V29" s="15"/>
      <c r="W29" s="15"/>
      <c r="X29" s="3" t="s">
        <v>22</v>
      </c>
      <c r="Y29" s="15"/>
      <c r="Z29" s="15"/>
      <c r="AA29" s="3" t="s">
        <v>22</v>
      </c>
      <c r="AB29" s="15"/>
      <c r="AC29" s="15"/>
      <c r="AD29" s="3" t="str">
        <f t="shared" si="7"/>
        <v>A</v>
      </c>
      <c r="AE29" s="15"/>
      <c r="AF29" s="15"/>
      <c r="AG29" s="3" t="str">
        <f t="shared" si="8"/>
        <v>A</v>
      </c>
      <c r="AH29" s="15"/>
      <c r="AI29" s="15"/>
      <c r="AJ29" s="3" t="s">
        <v>64</v>
      </c>
      <c r="AK29" s="15"/>
      <c r="AL29" s="15"/>
      <c r="AM29" s="3" t="str">
        <f t="shared" si="9"/>
        <v>A</v>
      </c>
      <c r="AN29" s="15"/>
      <c r="AO29" s="15"/>
      <c r="AP29" s="3" t="str">
        <f t="shared" si="10"/>
        <v>A</v>
      </c>
      <c r="AQ29" s="15"/>
      <c r="AR29" s="15"/>
      <c r="AS29" s="3" t="s">
        <v>22</v>
      </c>
      <c r="AT29" s="15"/>
      <c r="AU29" s="15"/>
      <c r="AV29" s="3" t="s">
        <v>22</v>
      </c>
      <c r="AW29" s="15"/>
      <c r="AX29" s="15"/>
      <c r="AY29" s="3" t="str">
        <f t="shared" si="11"/>
        <v>A</v>
      </c>
      <c r="AZ29" s="15"/>
      <c r="BA29" s="15"/>
      <c r="BB29" s="3" t="str">
        <f t="shared" si="12"/>
        <v>A</v>
      </c>
      <c r="BC29" s="15"/>
      <c r="BD29" s="15"/>
      <c r="BE29" s="3" t="str">
        <f t="shared" si="13"/>
        <v>A</v>
      </c>
      <c r="BF29" s="15"/>
      <c r="BG29" s="15"/>
      <c r="BH29" s="3" t="str">
        <f t="shared" si="14"/>
        <v>A</v>
      </c>
      <c r="BI29" s="15"/>
      <c r="BJ29" s="15"/>
      <c r="BK29" s="3" t="str">
        <f t="shared" si="15"/>
        <v>A</v>
      </c>
      <c r="BL29" s="15"/>
      <c r="BM29" s="15"/>
      <c r="BN29" s="3" t="s">
        <v>22</v>
      </c>
      <c r="BO29" s="15"/>
      <c r="BP29" s="15"/>
      <c r="BQ29" s="3" t="s">
        <v>22</v>
      </c>
      <c r="BR29" s="15"/>
      <c r="BS29" s="15"/>
      <c r="BT29" s="3" t="str">
        <f t="shared" si="16"/>
        <v>A</v>
      </c>
      <c r="BU29" s="15"/>
      <c r="BV29" s="15"/>
      <c r="BW29" s="3" t="str">
        <f t="shared" si="17"/>
        <v>A</v>
      </c>
      <c r="BX29" s="15"/>
      <c r="BY29" s="15"/>
      <c r="BZ29" s="3" t="str">
        <f t="shared" si="18"/>
        <v>A</v>
      </c>
      <c r="CA29" s="15"/>
      <c r="CB29" s="15"/>
      <c r="CC29" s="3" t="str">
        <f t="shared" si="19"/>
        <v>A</v>
      </c>
      <c r="CD29" s="15"/>
      <c r="CE29" s="15"/>
      <c r="CF29" s="3" t="str">
        <f t="shared" si="20"/>
        <v>A</v>
      </c>
      <c r="CG29" s="15"/>
      <c r="CH29" s="15"/>
      <c r="CI29" s="3" t="s">
        <v>22</v>
      </c>
      <c r="CJ29" s="15"/>
      <c r="CK29" s="16"/>
      <c r="CL29" s="3" t="s">
        <v>22</v>
      </c>
      <c r="CM29" s="15"/>
      <c r="CN29" s="16"/>
      <c r="CO29" s="3" t="str">
        <f t="shared" si="21"/>
        <v>A</v>
      </c>
      <c r="CP29" s="11">
        <f>COUNTIF(D29:CO29,"EL")</f>
        <v>0</v>
      </c>
      <c r="CQ29" s="11">
        <f>COUNTIF(D29:CO29,"EL-H")*0.5</f>
        <v>0</v>
      </c>
      <c r="CR29" s="11">
        <f>COUNTIF(D29:CO29,"CL")</f>
        <v>0</v>
      </c>
      <c r="CS29" s="11">
        <f>COUNTIF(D29:CO29,"CL-H")*0.5</f>
        <v>0</v>
      </c>
      <c r="CT29" s="11">
        <f>COUNTIF(D29:CO29,"C-Off")</f>
        <v>0</v>
      </c>
      <c r="CU29" s="11">
        <f>COUNTIF(D29:CO29,"C-Off-H")*0.5</f>
        <v>0</v>
      </c>
      <c r="CV29" s="11">
        <f t="shared" si="42"/>
        <v>0</v>
      </c>
      <c r="CW29" s="11">
        <f>COUNTIF(D29:CO29,"P")</f>
        <v>0</v>
      </c>
      <c r="CX29" s="11">
        <f>COUNTIF(D29:CO29,"H")+COUNTIF(D29:CO29,"S")</f>
        <v>11</v>
      </c>
      <c r="CY29" s="11">
        <f>COUNTIF(D29:CO29,"A-H")*0.5</f>
        <v>0</v>
      </c>
      <c r="CZ29" s="11">
        <f>COUNTIF(D29:CO29,"A")</f>
        <v>19</v>
      </c>
      <c r="DA29" s="12">
        <f t="shared" si="36"/>
        <v>19</v>
      </c>
      <c r="DB29" s="13">
        <v>30</v>
      </c>
      <c r="DC29" s="11">
        <f t="shared" si="37"/>
        <v>11</v>
      </c>
      <c r="DD29" s="14"/>
      <c r="DE29" s="14"/>
    </row>
    <row r="30" spans="1:109" s="10" customFormat="1" ht="30.75" customHeight="1" x14ac:dyDescent="0.25">
      <c r="A30" s="7" t="s">
        <v>50</v>
      </c>
      <c r="B30" s="8"/>
      <c r="C30" s="9"/>
      <c r="D30" s="15"/>
      <c r="E30" s="15"/>
      <c r="F30" s="3" t="s">
        <v>22</v>
      </c>
      <c r="G30" s="15"/>
      <c r="H30" s="15"/>
      <c r="I30" s="3" t="s">
        <v>64</v>
      </c>
      <c r="J30" s="15"/>
      <c r="K30" s="15"/>
      <c r="L30" s="3" t="str">
        <f t="shared" si="3"/>
        <v>A</v>
      </c>
      <c r="M30" s="15"/>
      <c r="N30" s="15"/>
      <c r="O30" s="3" t="str">
        <f t="shared" si="4"/>
        <v>A</v>
      </c>
      <c r="P30" s="15"/>
      <c r="Q30" s="15"/>
      <c r="R30" s="3" t="str">
        <f t="shared" si="5"/>
        <v>A</v>
      </c>
      <c r="S30" s="15"/>
      <c r="T30" s="15"/>
      <c r="U30" s="3" t="str">
        <f t="shared" si="6"/>
        <v>A</v>
      </c>
      <c r="V30" s="15"/>
      <c r="W30" s="15"/>
      <c r="X30" s="3" t="s">
        <v>22</v>
      </c>
      <c r="Y30" s="15"/>
      <c r="Z30" s="15"/>
      <c r="AA30" s="3" t="s">
        <v>22</v>
      </c>
      <c r="AB30" s="15"/>
      <c r="AC30" s="15"/>
      <c r="AD30" s="3" t="str">
        <f t="shared" si="7"/>
        <v>A</v>
      </c>
      <c r="AE30" s="15"/>
      <c r="AF30" s="15"/>
      <c r="AG30" s="3" t="str">
        <f t="shared" si="8"/>
        <v>A</v>
      </c>
      <c r="AH30" s="15"/>
      <c r="AI30" s="15"/>
      <c r="AJ30" s="3" t="s">
        <v>64</v>
      </c>
      <c r="AK30" s="15"/>
      <c r="AL30" s="15"/>
      <c r="AM30" s="3" t="str">
        <f t="shared" si="9"/>
        <v>A</v>
      </c>
      <c r="AN30" s="15"/>
      <c r="AO30" s="15"/>
      <c r="AP30" s="3" t="str">
        <f t="shared" si="10"/>
        <v>A</v>
      </c>
      <c r="AQ30" s="15"/>
      <c r="AR30" s="15"/>
      <c r="AS30" s="3" t="s">
        <v>22</v>
      </c>
      <c r="AT30" s="15"/>
      <c r="AU30" s="15"/>
      <c r="AV30" s="3" t="s">
        <v>22</v>
      </c>
      <c r="AW30" s="15"/>
      <c r="AX30" s="15"/>
      <c r="AY30" s="3" t="str">
        <f t="shared" si="11"/>
        <v>A</v>
      </c>
      <c r="AZ30" s="15"/>
      <c r="BA30" s="15"/>
      <c r="BB30" s="3" t="str">
        <f t="shared" si="12"/>
        <v>A</v>
      </c>
      <c r="BC30" s="15"/>
      <c r="BD30" s="15"/>
      <c r="BE30" s="3" t="str">
        <f t="shared" si="13"/>
        <v>A</v>
      </c>
      <c r="BF30" s="15"/>
      <c r="BG30" s="15"/>
      <c r="BH30" s="3" t="str">
        <f t="shared" si="14"/>
        <v>A</v>
      </c>
      <c r="BI30" s="15"/>
      <c r="BJ30" s="15"/>
      <c r="BK30" s="3" t="str">
        <f t="shared" si="15"/>
        <v>A</v>
      </c>
      <c r="BL30" s="15"/>
      <c r="BM30" s="15"/>
      <c r="BN30" s="3" t="s">
        <v>22</v>
      </c>
      <c r="BO30" s="15"/>
      <c r="BP30" s="15"/>
      <c r="BQ30" s="3" t="s">
        <v>22</v>
      </c>
      <c r="BR30" s="15"/>
      <c r="BS30" s="15"/>
      <c r="BT30" s="3" t="str">
        <f t="shared" si="16"/>
        <v>A</v>
      </c>
      <c r="BU30" s="15"/>
      <c r="BV30" s="15"/>
      <c r="BW30" s="3" t="str">
        <f t="shared" si="17"/>
        <v>A</v>
      </c>
      <c r="BX30" s="15"/>
      <c r="BY30" s="15"/>
      <c r="BZ30" s="3" t="str">
        <f t="shared" si="18"/>
        <v>A</v>
      </c>
      <c r="CA30" s="15"/>
      <c r="CB30" s="15"/>
      <c r="CC30" s="3" t="str">
        <f t="shared" si="19"/>
        <v>A</v>
      </c>
      <c r="CD30" s="15"/>
      <c r="CE30" s="15"/>
      <c r="CF30" s="3" t="str">
        <f t="shared" si="20"/>
        <v>A</v>
      </c>
      <c r="CG30" s="15"/>
      <c r="CH30" s="15"/>
      <c r="CI30" s="3" t="s">
        <v>22</v>
      </c>
      <c r="CJ30" s="15"/>
      <c r="CK30" s="16"/>
      <c r="CL30" s="3" t="s">
        <v>22</v>
      </c>
      <c r="CM30" s="15"/>
      <c r="CN30" s="16"/>
      <c r="CO30" s="3" t="str">
        <f t="shared" si="21"/>
        <v>A</v>
      </c>
      <c r="CP30" s="11">
        <f>COUNTIF(D30:CO30,"EL")</f>
        <v>0</v>
      </c>
      <c r="CQ30" s="11">
        <f>COUNTIF(D30:CO30,"EL-H")*0.5</f>
        <v>0</v>
      </c>
      <c r="CR30" s="11">
        <f>COUNTIF(D30:CO30,"CL")</f>
        <v>0</v>
      </c>
      <c r="CS30" s="11">
        <f>COUNTIF(D30:CO30,"CL-H")*0.5</f>
        <v>0</v>
      </c>
      <c r="CT30" s="11">
        <f>COUNTIF(D30:CO30,"C-Off")</f>
        <v>0</v>
      </c>
      <c r="CU30" s="11">
        <f>COUNTIF(D30:CO30,"C-Off-H")*0.5</f>
        <v>0</v>
      </c>
      <c r="CV30" s="11">
        <f t="shared" ref="CV30" si="43">SUM(CP30:CU30)</f>
        <v>0</v>
      </c>
      <c r="CW30" s="11">
        <f>COUNTIF(D30:CO30,"P")</f>
        <v>0</v>
      </c>
      <c r="CX30" s="11">
        <f>COUNTIF(D30:CO30,"H")+COUNTIF(D30:CO30,"S")</f>
        <v>11</v>
      </c>
      <c r="CY30" s="11">
        <f>COUNTIF(D30:CO30,"A-H")*0.5</f>
        <v>0</v>
      </c>
      <c r="CZ30" s="11">
        <f>COUNTIF(D30:CO30,"A")</f>
        <v>19</v>
      </c>
      <c r="DA30" s="12">
        <f t="shared" si="36"/>
        <v>19</v>
      </c>
      <c r="DB30" s="13">
        <v>30</v>
      </c>
      <c r="DC30" s="11">
        <f t="shared" si="37"/>
        <v>11</v>
      </c>
      <c r="DD30" s="14"/>
      <c r="DE30" s="14"/>
    </row>
    <row r="31" spans="1:109" s="10" customFormat="1" ht="30.75" customHeight="1" x14ac:dyDescent="0.25">
      <c r="A31" s="7" t="s">
        <v>51</v>
      </c>
      <c r="B31" s="8"/>
      <c r="C31" s="9"/>
      <c r="D31" s="15"/>
      <c r="E31" s="15"/>
      <c r="F31" s="3" t="s">
        <v>22</v>
      </c>
      <c r="G31" s="15"/>
      <c r="H31" s="15"/>
      <c r="I31" s="3" t="s">
        <v>64</v>
      </c>
      <c r="J31" s="15"/>
      <c r="K31" s="15"/>
      <c r="L31" s="3" t="str">
        <f t="shared" si="3"/>
        <v>A</v>
      </c>
      <c r="M31" s="15"/>
      <c r="N31" s="15"/>
      <c r="O31" s="3" t="str">
        <f t="shared" si="4"/>
        <v>A</v>
      </c>
      <c r="P31" s="15"/>
      <c r="Q31" s="15"/>
      <c r="R31" s="3" t="str">
        <f t="shared" si="5"/>
        <v>A</v>
      </c>
      <c r="S31" s="15"/>
      <c r="T31" s="15"/>
      <c r="U31" s="3" t="str">
        <f t="shared" si="6"/>
        <v>A</v>
      </c>
      <c r="V31" s="15"/>
      <c r="W31" s="15"/>
      <c r="X31" s="3" t="s">
        <v>22</v>
      </c>
      <c r="Y31" s="15"/>
      <c r="Z31" s="15"/>
      <c r="AA31" s="3" t="s">
        <v>22</v>
      </c>
      <c r="AB31" s="15"/>
      <c r="AC31" s="15"/>
      <c r="AD31" s="3" t="str">
        <f t="shared" si="7"/>
        <v>A</v>
      </c>
      <c r="AE31" s="15"/>
      <c r="AF31" s="15"/>
      <c r="AG31" s="3" t="str">
        <f t="shared" si="8"/>
        <v>A</v>
      </c>
      <c r="AH31" s="15"/>
      <c r="AI31" s="15"/>
      <c r="AJ31" s="3" t="s">
        <v>64</v>
      </c>
      <c r="AK31" s="15"/>
      <c r="AL31" s="15"/>
      <c r="AM31" s="3" t="str">
        <f t="shared" si="9"/>
        <v>A</v>
      </c>
      <c r="AN31" s="15"/>
      <c r="AO31" s="15"/>
      <c r="AP31" s="3" t="str">
        <f t="shared" si="10"/>
        <v>A</v>
      </c>
      <c r="AQ31" s="15"/>
      <c r="AR31" s="15"/>
      <c r="AS31" s="3" t="s">
        <v>22</v>
      </c>
      <c r="AT31" s="15"/>
      <c r="AU31" s="15"/>
      <c r="AV31" s="3" t="s">
        <v>22</v>
      </c>
      <c r="AW31" s="15"/>
      <c r="AX31" s="15"/>
      <c r="AY31" s="3" t="str">
        <f t="shared" si="11"/>
        <v>A</v>
      </c>
      <c r="AZ31" s="15"/>
      <c r="BA31" s="15"/>
      <c r="BB31" s="3" t="str">
        <f t="shared" si="12"/>
        <v>A</v>
      </c>
      <c r="BC31" s="15"/>
      <c r="BD31" s="15"/>
      <c r="BE31" s="3" t="str">
        <f t="shared" si="13"/>
        <v>A</v>
      </c>
      <c r="BF31" s="15"/>
      <c r="BG31" s="15"/>
      <c r="BH31" s="3" t="str">
        <f t="shared" si="14"/>
        <v>A</v>
      </c>
      <c r="BI31" s="15"/>
      <c r="BJ31" s="15"/>
      <c r="BK31" s="3" t="str">
        <f t="shared" si="15"/>
        <v>A</v>
      </c>
      <c r="BL31" s="15"/>
      <c r="BM31" s="15"/>
      <c r="BN31" s="3" t="s">
        <v>22</v>
      </c>
      <c r="BO31" s="15"/>
      <c r="BP31" s="15"/>
      <c r="BQ31" s="3" t="s">
        <v>22</v>
      </c>
      <c r="BR31" s="15"/>
      <c r="BS31" s="15"/>
      <c r="BT31" s="3" t="str">
        <f t="shared" si="16"/>
        <v>A</v>
      </c>
      <c r="BU31" s="15"/>
      <c r="BV31" s="15"/>
      <c r="BW31" s="3" t="str">
        <f t="shared" si="17"/>
        <v>A</v>
      </c>
      <c r="BX31" s="15"/>
      <c r="BY31" s="15"/>
      <c r="BZ31" s="3" t="str">
        <f t="shared" si="18"/>
        <v>A</v>
      </c>
      <c r="CA31" s="15"/>
      <c r="CB31" s="15"/>
      <c r="CC31" s="3" t="str">
        <f t="shared" si="19"/>
        <v>A</v>
      </c>
      <c r="CD31" s="15"/>
      <c r="CE31" s="15"/>
      <c r="CF31" s="3" t="str">
        <f t="shared" si="20"/>
        <v>A</v>
      </c>
      <c r="CG31" s="15"/>
      <c r="CH31" s="15"/>
      <c r="CI31" s="3" t="s">
        <v>22</v>
      </c>
      <c r="CJ31" s="15"/>
      <c r="CK31" s="16"/>
      <c r="CL31" s="3" t="s">
        <v>22</v>
      </c>
      <c r="CM31" s="15"/>
      <c r="CN31" s="16"/>
      <c r="CO31" s="3" t="str">
        <f t="shared" si="21"/>
        <v>A</v>
      </c>
      <c r="CP31" s="11">
        <f>COUNTIF(D31:CO31,"EL")</f>
        <v>0</v>
      </c>
      <c r="CQ31" s="11">
        <f>COUNTIF(D31:CO31,"EL-H")*0.5</f>
        <v>0</v>
      </c>
      <c r="CR31" s="11">
        <f>COUNTIF(D31:CO31,"CL")</f>
        <v>0</v>
      </c>
      <c r="CS31" s="11">
        <f>COUNTIF(D31:CO31,"CL-H")*0.5</f>
        <v>0</v>
      </c>
      <c r="CT31" s="11">
        <f>COUNTIF(D31:CO31,"C-Off")</f>
        <v>0</v>
      </c>
      <c r="CU31" s="11">
        <f>COUNTIF(D31:CO31,"C-Off-H")*0.5</f>
        <v>0</v>
      </c>
      <c r="CV31" s="11">
        <f t="shared" ref="CV31:CV33" si="44">SUM(CP31:CU31)</f>
        <v>0</v>
      </c>
      <c r="CW31" s="11">
        <f>COUNTIF(D31:CO31,"P")</f>
        <v>0</v>
      </c>
      <c r="CX31" s="11">
        <f>COUNTIF(D31:CO31,"H")+COUNTIF(D31:CO31,"S")</f>
        <v>11</v>
      </c>
      <c r="CY31" s="11">
        <f>COUNTIF(D31:CO31,"A-H")*0.5</f>
        <v>0</v>
      </c>
      <c r="CZ31" s="11">
        <f>COUNTIF(D31:CO31,"A")</f>
        <v>19</v>
      </c>
      <c r="DA31" s="12">
        <f t="shared" si="36"/>
        <v>19</v>
      </c>
      <c r="DB31" s="13">
        <v>30</v>
      </c>
      <c r="DC31" s="11">
        <f t="shared" si="37"/>
        <v>11</v>
      </c>
      <c r="DD31" s="14"/>
      <c r="DE31" s="14"/>
    </row>
    <row r="32" spans="1:109" s="10" customFormat="1" ht="30.75" customHeight="1" x14ac:dyDescent="0.25">
      <c r="A32" s="7" t="s">
        <v>52</v>
      </c>
      <c r="B32" s="8"/>
      <c r="C32" s="9"/>
      <c r="D32" s="15"/>
      <c r="E32" s="15"/>
      <c r="F32" s="3" t="s">
        <v>22</v>
      </c>
      <c r="G32" s="15"/>
      <c r="H32" s="15"/>
      <c r="I32" s="3" t="s">
        <v>64</v>
      </c>
      <c r="J32" s="15"/>
      <c r="K32" s="15"/>
      <c r="L32" s="3" t="str">
        <f t="shared" si="3"/>
        <v>A</v>
      </c>
      <c r="M32" s="15"/>
      <c r="N32" s="15"/>
      <c r="O32" s="3" t="str">
        <f t="shared" si="4"/>
        <v>A</v>
      </c>
      <c r="P32" s="15"/>
      <c r="Q32" s="15"/>
      <c r="R32" s="3" t="str">
        <f t="shared" si="5"/>
        <v>A</v>
      </c>
      <c r="S32" s="15"/>
      <c r="T32" s="15"/>
      <c r="U32" s="3" t="str">
        <f t="shared" si="6"/>
        <v>A</v>
      </c>
      <c r="V32" s="15"/>
      <c r="W32" s="15"/>
      <c r="X32" s="3" t="s">
        <v>22</v>
      </c>
      <c r="Y32" s="15"/>
      <c r="Z32" s="15"/>
      <c r="AA32" s="3" t="s">
        <v>22</v>
      </c>
      <c r="AB32" s="15"/>
      <c r="AC32" s="15"/>
      <c r="AD32" s="3" t="str">
        <f t="shared" si="7"/>
        <v>A</v>
      </c>
      <c r="AE32" s="15"/>
      <c r="AF32" s="15"/>
      <c r="AG32" s="3" t="str">
        <f t="shared" si="8"/>
        <v>A</v>
      </c>
      <c r="AH32" s="15"/>
      <c r="AI32" s="15"/>
      <c r="AJ32" s="3" t="s">
        <v>64</v>
      </c>
      <c r="AK32" s="15"/>
      <c r="AL32" s="15"/>
      <c r="AM32" s="3" t="str">
        <f t="shared" si="9"/>
        <v>A</v>
      </c>
      <c r="AN32" s="15"/>
      <c r="AO32" s="15"/>
      <c r="AP32" s="3" t="str">
        <f t="shared" si="10"/>
        <v>A</v>
      </c>
      <c r="AQ32" s="15"/>
      <c r="AR32" s="15"/>
      <c r="AS32" s="3" t="s">
        <v>22</v>
      </c>
      <c r="AT32" s="15"/>
      <c r="AU32" s="15"/>
      <c r="AV32" s="3" t="s">
        <v>22</v>
      </c>
      <c r="AW32" s="15"/>
      <c r="AX32" s="15"/>
      <c r="AY32" s="3" t="str">
        <f t="shared" si="11"/>
        <v>A</v>
      </c>
      <c r="AZ32" s="15"/>
      <c r="BA32" s="15"/>
      <c r="BB32" s="3" t="str">
        <f t="shared" si="12"/>
        <v>A</v>
      </c>
      <c r="BC32" s="15"/>
      <c r="BD32" s="15"/>
      <c r="BE32" s="3" t="str">
        <f t="shared" si="13"/>
        <v>A</v>
      </c>
      <c r="BF32" s="15"/>
      <c r="BG32" s="15"/>
      <c r="BH32" s="3" t="str">
        <f t="shared" si="14"/>
        <v>A</v>
      </c>
      <c r="BI32" s="15"/>
      <c r="BJ32" s="15"/>
      <c r="BK32" s="3" t="str">
        <f t="shared" si="15"/>
        <v>A</v>
      </c>
      <c r="BL32" s="15"/>
      <c r="BM32" s="15"/>
      <c r="BN32" s="3" t="s">
        <v>22</v>
      </c>
      <c r="BO32" s="15"/>
      <c r="BP32" s="15"/>
      <c r="BQ32" s="3" t="s">
        <v>22</v>
      </c>
      <c r="BR32" s="15"/>
      <c r="BS32" s="15"/>
      <c r="BT32" s="3" t="str">
        <f t="shared" si="16"/>
        <v>A</v>
      </c>
      <c r="BU32" s="15"/>
      <c r="BV32" s="15"/>
      <c r="BW32" s="3" t="str">
        <f t="shared" si="17"/>
        <v>A</v>
      </c>
      <c r="BX32" s="15"/>
      <c r="BY32" s="15"/>
      <c r="BZ32" s="3" t="str">
        <f t="shared" si="18"/>
        <v>A</v>
      </c>
      <c r="CA32" s="15"/>
      <c r="CB32" s="15"/>
      <c r="CC32" s="3" t="str">
        <f t="shared" si="19"/>
        <v>A</v>
      </c>
      <c r="CD32" s="15"/>
      <c r="CE32" s="15"/>
      <c r="CF32" s="3" t="str">
        <f t="shared" si="20"/>
        <v>A</v>
      </c>
      <c r="CG32" s="15"/>
      <c r="CH32" s="15"/>
      <c r="CI32" s="3" t="s">
        <v>22</v>
      </c>
      <c r="CJ32" s="15"/>
      <c r="CK32" s="16"/>
      <c r="CL32" s="3" t="s">
        <v>22</v>
      </c>
      <c r="CM32" s="15"/>
      <c r="CN32" s="16"/>
      <c r="CO32" s="3" t="str">
        <f t="shared" si="21"/>
        <v>A</v>
      </c>
      <c r="CP32" s="11">
        <f>COUNTIF(D32:CO32,"EL")</f>
        <v>0</v>
      </c>
      <c r="CQ32" s="11">
        <f>COUNTIF(D32:CO32,"EL-H")*0.5</f>
        <v>0</v>
      </c>
      <c r="CR32" s="11">
        <f>COUNTIF(D32:CO32,"CL")</f>
        <v>0</v>
      </c>
      <c r="CS32" s="11">
        <f>COUNTIF(D32:CO32,"CL-H")*0.5</f>
        <v>0</v>
      </c>
      <c r="CT32" s="11">
        <f>COUNTIF(D32:CO32,"C-Off")</f>
        <v>0</v>
      </c>
      <c r="CU32" s="11">
        <f>COUNTIF(D32:CO32,"C-Off-H")*0.5</f>
        <v>0</v>
      </c>
      <c r="CV32" s="11">
        <f t="shared" si="44"/>
        <v>0</v>
      </c>
      <c r="CW32" s="11">
        <f>COUNTIF(D32:CO32,"P")</f>
        <v>0</v>
      </c>
      <c r="CX32" s="11">
        <f>COUNTIF(D32:CO32,"H")+COUNTIF(D32:CO32,"S")</f>
        <v>11</v>
      </c>
      <c r="CY32" s="11">
        <f>COUNTIF(D32:CO32,"A-H")*0.5</f>
        <v>0</v>
      </c>
      <c r="CZ32" s="11">
        <f>COUNTIF(D32:CO32,"A")</f>
        <v>19</v>
      </c>
      <c r="DA32" s="12">
        <f t="shared" si="36"/>
        <v>19</v>
      </c>
      <c r="DB32" s="13">
        <v>30</v>
      </c>
      <c r="DC32" s="11">
        <f t="shared" si="37"/>
        <v>11</v>
      </c>
      <c r="DD32" s="14"/>
      <c r="DE32" s="14"/>
    </row>
    <row r="33" spans="1:109" s="10" customFormat="1" ht="30.75" customHeight="1" x14ac:dyDescent="0.25">
      <c r="A33" s="7" t="s">
        <v>53</v>
      </c>
      <c r="B33" s="8"/>
      <c r="C33" s="9"/>
      <c r="D33" s="15"/>
      <c r="E33" s="15"/>
      <c r="F33" s="3" t="s">
        <v>22</v>
      </c>
      <c r="G33" s="15"/>
      <c r="H33" s="15"/>
      <c r="I33" s="3" t="s">
        <v>64</v>
      </c>
      <c r="J33" s="15"/>
      <c r="K33" s="15"/>
      <c r="L33" s="3" t="str">
        <f t="shared" si="3"/>
        <v>A</v>
      </c>
      <c r="M33" s="15"/>
      <c r="N33" s="15"/>
      <c r="O33" s="3" t="str">
        <f t="shared" si="4"/>
        <v>A</v>
      </c>
      <c r="P33" s="15"/>
      <c r="Q33" s="15"/>
      <c r="R33" s="3" t="str">
        <f t="shared" si="5"/>
        <v>A</v>
      </c>
      <c r="S33" s="15"/>
      <c r="T33" s="15"/>
      <c r="U33" s="3" t="str">
        <f t="shared" si="6"/>
        <v>A</v>
      </c>
      <c r="V33" s="15"/>
      <c r="W33" s="15"/>
      <c r="X33" s="3" t="s">
        <v>22</v>
      </c>
      <c r="Y33" s="15"/>
      <c r="Z33" s="15"/>
      <c r="AA33" s="3" t="s">
        <v>22</v>
      </c>
      <c r="AB33" s="15"/>
      <c r="AC33" s="15"/>
      <c r="AD33" s="3" t="str">
        <f t="shared" si="7"/>
        <v>A</v>
      </c>
      <c r="AE33" s="15"/>
      <c r="AF33" s="15"/>
      <c r="AG33" s="3" t="str">
        <f t="shared" si="8"/>
        <v>A</v>
      </c>
      <c r="AH33" s="15"/>
      <c r="AI33" s="15"/>
      <c r="AJ33" s="3" t="s">
        <v>64</v>
      </c>
      <c r="AK33" s="15"/>
      <c r="AL33" s="15"/>
      <c r="AM33" s="3" t="str">
        <f t="shared" si="9"/>
        <v>A</v>
      </c>
      <c r="AN33" s="15"/>
      <c r="AO33" s="15"/>
      <c r="AP33" s="3" t="str">
        <f t="shared" si="10"/>
        <v>A</v>
      </c>
      <c r="AQ33" s="15"/>
      <c r="AR33" s="15"/>
      <c r="AS33" s="3" t="s">
        <v>22</v>
      </c>
      <c r="AT33" s="15"/>
      <c r="AU33" s="15"/>
      <c r="AV33" s="3" t="s">
        <v>22</v>
      </c>
      <c r="AW33" s="15"/>
      <c r="AX33" s="15"/>
      <c r="AY33" s="3" t="str">
        <f t="shared" si="11"/>
        <v>A</v>
      </c>
      <c r="AZ33" s="15"/>
      <c r="BA33" s="15"/>
      <c r="BB33" s="3" t="str">
        <f t="shared" si="12"/>
        <v>A</v>
      </c>
      <c r="BC33" s="15"/>
      <c r="BD33" s="15"/>
      <c r="BE33" s="3" t="str">
        <f t="shared" si="13"/>
        <v>A</v>
      </c>
      <c r="BF33" s="15"/>
      <c r="BG33" s="15"/>
      <c r="BH33" s="3" t="str">
        <f t="shared" si="14"/>
        <v>A</v>
      </c>
      <c r="BI33" s="15"/>
      <c r="BJ33" s="15"/>
      <c r="BK33" s="3" t="str">
        <f t="shared" si="15"/>
        <v>A</v>
      </c>
      <c r="BL33" s="15"/>
      <c r="BM33" s="15"/>
      <c r="BN33" s="3" t="s">
        <v>22</v>
      </c>
      <c r="BO33" s="15"/>
      <c r="BP33" s="15"/>
      <c r="BQ33" s="3" t="s">
        <v>22</v>
      </c>
      <c r="BR33" s="15"/>
      <c r="BS33" s="15"/>
      <c r="BT33" s="3" t="str">
        <f t="shared" si="16"/>
        <v>A</v>
      </c>
      <c r="BU33" s="15"/>
      <c r="BV33" s="15"/>
      <c r="BW33" s="3" t="str">
        <f t="shared" si="17"/>
        <v>A</v>
      </c>
      <c r="BX33" s="15"/>
      <c r="BY33" s="15"/>
      <c r="BZ33" s="3" t="str">
        <f t="shared" si="18"/>
        <v>A</v>
      </c>
      <c r="CA33" s="15"/>
      <c r="CB33" s="15"/>
      <c r="CC33" s="3" t="str">
        <f t="shared" si="19"/>
        <v>A</v>
      </c>
      <c r="CD33" s="15"/>
      <c r="CE33" s="15"/>
      <c r="CF33" s="3" t="str">
        <f t="shared" si="20"/>
        <v>A</v>
      </c>
      <c r="CG33" s="15"/>
      <c r="CH33" s="15"/>
      <c r="CI33" s="3" t="s">
        <v>22</v>
      </c>
      <c r="CJ33" s="15"/>
      <c r="CK33" s="16"/>
      <c r="CL33" s="3" t="s">
        <v>22</v>
      </c>
      <c r="CM33" s="15"/>
      <c r="CN33" s="16"/>
      <c r="CO33" s="3" t="str">
        <f t="shared" si="21"/>
        <v>A</v>
      </c>
      <c r="CP33" s="11">
        <f>COUNTIF(D33:CO33,"EL")</f>
        <v>0</v>
      </c>
      <c r="CQ33" s="11">
        <f>COUNTIF(D33:CO33,"EL-H")*0.5</f>
        <v>0</v>
      </c>
      <c r="CR33" s="11">
        <f>COUNTIF(D33:CO33,"CL")</f>
        <v>0</v>
      </c>
      <c r="CS33" s="11">
        <f>COUNTIF(D33:CO33,"CL-H")*0.5</f>
        <v>0</v>
      </c>
      <c r="CT33" s="11">
        <f>COUNTIF(D33:CO33,"C-Off")</f>
        <v>0</v>
      </c>
      <c r="CU33" s="11">
        <f>COUNTIF(D33:CO33,"C-Off-H")*0.5</f>
        <v>0</v>
      </c>
      <c r="CV33" s="11">
        <f t="shared" si="44"/>
        <v>0</v>
      </c>
      <c r="CW33" s="11">
        <f>COUNTIF(D33:CO33,"P")</f>
        <v>0</v>
      </c>
      <c r="CX33" s="11">
        <f>COUNTIF(D33:CO33,"H")+COUNTIF(D33:CO33,"S")</f>
        <v>11</v>
      </c>
      <c r="CY33" s="11">
        <f>COUNTIF(D33:CO33,"A-H")*0.5</f>
        <v>0</v>
      </c>
      <c r="CZ33" s="11">
        <f>COUNTIF(D33:CO33,"A")</f>
        <v>19</v>
      </c>
      <c r="DA33" s="12">
        <f t="shared" si="36"/>
        <v>19</v>
      </c>
      <c r="DB33" s="13">
        <v>30</v>
      </c>
      <c r="DC33" s="11">
        <f t="shared" si="37"/>
        <v>11</v>
      </c>
      <c r="DD33" s="14"/>
      <c r="DE33" s="14"/>
    </row>
    <row r="34" spans="1:109" s="10" customFormat="1" ht="30.75" customHeight="1" x14ac:dyDescent="0.25">
      <c r="A34" s="7" t="s">
        <v>54</v>
      </c>
      <c r="B34" s="8"/>
      <c r="C34" s="9"/>
      <c r="D34" s="15"/>
      <c r="E34" s="15"/>
      <c r="F34" s="3" t="s">
        <v>22</v>
      </c>
      <c r="G34" s="15"/>
      <c r="H34" s="15"/>
      <c r="I34" s="3" t="s">
        <v>64</v>
      </c>
      <c r="J34" s="15"/>
      <c r="K34" s="15"/>
      <c r="L34" s="3" t="str">
        <f t="shared" si="3"/>
        <v>A</v>
      </c>
      <c r="M34" s="15"/>
      <c r="N34" s="15"/>
      <c r="O34" s="3" t="str">
        <f t="shared" si="4"/>
        <v>A</v>
      </c>
      <c r="P34" s="15"/>
      <c r="Q34" s="15"/>
      <c r="R34" s="3" t="str">
        <f t="shared" si="5"/>
        <v>A</v>
      </c>
      <c r="S34" s="15"/>
      <c r="T34" s="15"/>
      <c r="U34" s="3" t="str">
        <f t="shared" si="6"/>
        <v>A</v>
      </c>
      <c r="V34" s="15"/>
      <c r="W34" s="15"/>
      <c r="X34" s="3" t="s">
        <v>22</v>
      </c>
      <c r="Y34" s="15"/>
      <c r="Z34" s="15"/>
      <c r="AA34" s="3" t="s">
        <v>22</v>
      </c>
      <c r="AB34" s="15"/>
      <c r="AC34" s="15"/>
      <c r="AD34" s="3" t="str">
        <f t="shared" si="7"/>
        <v>A</v>
      </c>
      <c r="AE34" s="15"/>
      <c r="AF34" s="15"/>
      <c r="AG34" s="3" t="str">
        <f t="shared" si="8"/>
        <v>A</v>
      </c>
      <c r="AH34" s="15"/>
      <c r="AI34" s="15"/>
      <c r="AJ34" s="3" t="s">
        <v>64</v>
      </c>
      <c r="AK34" s="15"/>
      <c r="AL34" s="15"/>
      <c r="AM34" s="3" t="str">
        <f t="shared" si="9"/>
        <v>A</v>
      </c>
      <c r="AN34" s="15"/>
      <c r="AO34" s="15"/>
      <c r="AP34" s="3" t="str">
        <f t="shared" si="10"/>
        <v>A</v>
      </c>
      <c r="AQ34" s="15"/>
      <c r="AR34" s="15"/>
      <c r="AS34" s="3" t="s">
        <v>22</v>
      </c>
      <c r="AT34" s="15"/>
      <c r="AU34" s="15"/>
      <c r="AV34" s="3" t="s">
        <v>22</v>
      </c>
      <c r="AW34" s="15"/>
      <c r="AX34" s="15"/>
      <c r="AY34" s="3" t="str">
        <f t="shared" si="11"/>
        <v>A</v>
      </c>
      <c r="AZ34" s="15"/>
      <c r="BA34" s="15"/>
      <c r="BB34" s="3" t="str">
        <f t="shared" si="12"/>
        <v>A</v>
      </c>
      <c r="BC34" s="15"/>
      <c r="BD34" s="15"/>
      <c r="BE34" s="3" t="str">
        <f t="shared" si="13"/>
        <v>A</v>
      </c>
      <c r="BF34" s="15"/>
      <c r="BG34" s="15"/>
      <c r="BH34" s="3" t="str">
        <f t="shared" si="14"/>
        <v>A</v>
      </c>
      <c r="BI34" s="15"/>
      <c r="BJ34" s="15"/>
      <c r="BK34" s="3" t="str">
        <f t="shared" si="15"/>
        <v>A</v>
      </c>
      <c r="BL34" s="15"/>
      <c r="BM34" s="15"/>
      <c r="BN34" s="3" t="s">
        <v>22</v>
      </c>
      <c r="BO34" s="15"/>
      <c r="BP34" s="15"/>
      <c r="BQ34" s="3" t="s">
        <v>22</v>
      </c>
      <c r="BR34" s="15"/>
      <c r="BS34" s="15"/>
      <c r="BT34" s="3" t="str">
        <f t="shared" si="16"/>
        <v>A</v>
      </c>
      <c r="BU34" s="15"/>
      <c r="BV34" s="15"/>
      <c r="BW34" s="3" t="str">
        <f t="shared" si="17"/>
        <v>A</v>
      </c>
      <c r="BX34" s="15"/>
      <c r="BY34" s="15"/>
      <c r="BZ34" s="3" t="str">
        <f t="shared" si="18"/>
        <v>A</v>
      </c>
      <c r="CA34" s="15"/>
      <c r="CB34" s="15"/>
      <c r="CC34" s="3" t="str">
        <f t="shared" si="19"/>
        <v>A</v>
      </c>
      <c r="CD34" s="15"/>
      <c r="CE34" s="15"/>
      <c r="CF34" s="3" t="str">
        <f t="shared" si="20"/>
        <v>A</v>
      </c>
      <c r="CG34" s="15"/>
      <c r="CH34" s="15"/>
      <c r="CI34" s="3" t="s">
        <v>22</v>
      </c>
      <c r="CJ34" s="15"/>
      <c r="CK34" s="16"/>
      <c r="CL34" s="3" t="s">
        <v>22</v>
      </c>
      <c r="CM34" s="15"/>
      <c r="CN34" s="16"/>
      <c r="CO34" s="3" t="str">
        <f t="shared" si="21"/>
        <v>A</v>
      </c>
      <c r="CP34" s="11">
        <f>COUNTIF(D34:CO34,"EL")</f>
        <v>0</v>
      </c>
      <c r="CQ34" s="11">
        <f>COUNTIF(D34:CO34,"EL-H")*0.5</f>
        <v>0</v>
      </c>
      <c r="CR34" s="11">
        <f>COUNTIF(D34:CO34,"CL")</f>
        <v>0</v>
      </c>
      <c r="CS34" s="11">
        <f>COUNTIF(D34:CO34,"CL-H")*0.5</f>
        <v>0</v>
      </c>
      <c r="CT34" s="11">
        <f>COUNTIF(D34:CO34,"C-Off")</f>
        <v>0</v>
      </c>
      <c r="CU34" s="11">
        <f>COUNTIF(D34:CO34,"C-Off-H")*0.5</f>
        <v>0</v>
      </c>
      <c r="CV34" s="11">
        <f t="shared" ref="CV34" si="45">SUM(CP34:CU34)</f>
        <v>0</v>
      </c>
      <c r="CW34" s="11">
        <f>COUNTIF(D34:CO34,"P")</f>
        <v>0</v>
      </c>
      <c r="CX34" s="11">
        <f>COUNTIF(D34:CO34,"H")+COUNTIF(D34:CO34,"S")</f>
        <v>11</v>
      </c>
      <c r="CY34" s="11">
        <f>COUNTIF(D34:CO34,"A-H")*0.5</f>
        <v>0</v>
      </c>
      <c r="CZ34" s="11">
        <f>COUNTIF(D34:CO34,"A")</f>
        <v>19</v>
      </c>
      <c r="DA34" s="12">
        <f t="shared" si="36"/>
        <v>19</v>
      </c>
      <c r="DB34" s="13">
        <v>30</v>
      </c>
      <c r="DC34" s="11">
        <f t="shared" si="37"/>
        <v>11</v>
      </c>
      <c r="DD34" s="14"/>
      <c r="DE34" s="14"/>
    </row>
    <row r="35" spans="1:109" s="10" customFormat="1" ht="30.75" customHeight="1" x14ac:dyDescent="0.25">
      <c r="A35" s="7" t="s">
        <v>55</v>
      </c>
      <c r="B35" s="8"/>
      <c r="C35" s="9"/>
      <c r="D35" s="15"/>
      <c r="E35" s="15"/>
      <c r="F35" s="3" t="s">
        <v>22</v>
      </c>
      <c r="G35" s="15"/>
      <c r="H35" s="15"/>
      <c r="I35" s="3" t="s">
        <v>64</v>
      </c>
      <c r="J35" s="15"/>
      <c r="K35" s="15"/>
      <c r="L35" s="3" t="str">
        <f t="shared" si="3"/>
        <v>A</v>
      </c>
      <c r="M35" s="15"/>
      <c r="N35" s="15"/>
      <c r="O35" s="3" t="str">
        <f t="shared" si="4"/>
        <v>A</v>
      </c>
      <c r="P35" s="15"/>
      <c r="Q35" s="15"/>
      <c r="R35" s="3" t="str">
        <f t="shared" si="5"/>
        <v>A</v>
      </c>
      <c r="S35" s="15"/>
      <c r="T35" s="15"/>
      <c r="U35" s="3" t="str">
        <f t="shared" si="6"/>
        <v>A</v>
      </c>
      <c r="V35" s="15"/>
      <c r="W35" s="15"/>
      <c r="X35" s="3" t="s">
        <v>22</v>
      </c>
      <c r="Y35" s="15"/>
      <c r="Z35" s="15"/>
      <c r="AA35" s="3" t="s">
        <v>22</v>
      </c>
      <c r="AB35" s="15"/>
      <c r="AC35" s="15"/>
      <c r="AD35" s="3" t="str">
        <f t="shared" si="7"/>
        <v>A</v>
      </c>
      <c r="AE35" s="15"/>
      <c r="AF35" s="15"/>
      <c r="AG35" s="3" t="str">
        <f t="shared" si="8"/>
        <v>A</v>
      </c>
      <c r="AH35" s="15"/>
      <c r="AI35" s="15"/>
      <c r="AJ35" s="3" t="s">
        <v>64</v>
      </c>
      <c r="AK35" s="15"/>
      <c r="AL35" s="15"/>
      <c r="AM35" s="3" t="str">
        <f t="shared" si="9"/>
        <v>A</v>
      </c>
      <c r="AN35" s="15"/>
      <c r="AO35" s="15"/>
      <c r="AP35" s="3" t="str">
        <f t="shared" si="10"/>
        <v>A</v>
      </c>
      <c r="AQ35" s="15"/>
      <c r="AR35" s="15"/>
      <c r="AS35" s="3" t="s">
        <v>22</v>
      </c>
      <c r="AT35" s="15"/>
      <c r="AU35" s="15"/>
      <c r="AV35" s="3" t="s">
        <v>22</v>
      </c>
      <c r="AW35" s="15"/>
      <c r="AX35" s="15"/>
      <c r="AY35" s="3" t="str">
        <f t="shared" si="11"/>
        <v>A</v>
      </c>
      <c r="AZ35" s="15"/>
      <c r="BA35" s="15"/>
      <c r="BB35" s="3" t="str">
        <f t="shared" si="12"/>
        <v>A</v>
      </c>
      <c r="BC35" s="15"/>
      <c r="BD35" s="15"/>
      <c r="BE35" s="3" t="str">
        <f t="shared" si="13"/>
        <v>A</v>
      </c>
      <c r="BF35" s="15"/>
      <c r="BG35" s="15"/>
      <c r="BH35" s="3" t="str">
        <f t="shared" si="14"/>
        <v>A</v>
      </c>
      <c r="BI35" s="15"/>
      <c r="BJ35" s="15"/>
      <c r="BK35" s="3" t="str">
        <f t="shared" si="15"/>
        <v>A</v>
      </c>
      <c r="BL35" s="15"/>
      <c r="BM35" s="15"/>
      <c r="BN35" s="3" t="s">
        <v>22</v>
      </c>
      <c r="BO35" s="15"/>
      <c r="BP35" s="15"/>
      <c r="BQ35" s="3" t="s">
        <v>22</v>
      </c>
      <c r="BR35" s="15"/>
      <c r="BS35" s="15"/>
      <c r="BT35" s="3" t="str">
        <f t="shared" si="16"/>
        <v>A</v>
      </c>
      <c r="BU35" s="15"/>
      <c r="BV35" s="15"/>
      <c r="BW35" s="3" t="str">
        <f t="shared" si="17"/>
        <v>A</v>
      </c>
      <c r="BX35" s="15"/>
      <c r="BY35" s="15"/>
      <c r="BZ35" s="3" t="str">
        <f t="shared" si="18"/>
        <v>A</v>
      </c>
      <c r="CA35" s="15"/>
      <c r="CB35" s="15"/>
      <c r="CC35" s="3" t="str">
        <f t="shared" si="19"/>
        <v>A</v>
      </c>
      <c r="CD35" s="15"/>
      <c r="CE35" s="15"/>
      <c r="CF35" s="3" t="str">
        <f t="shared" si="20"/>
        <v>A</v>
      </c>
      <c r="CG35" s="15"/>
      <c r="CH35" s="15"/>
      <c r="CI35" s="3" t="s">
        <v>22</v>
      </c>
      <c r="CJ35" s="15"/>
      <c r="CK35" s="16"/>
      <c r="CL35" s="3" t="s">
        <v>22</v>
      </c>
      <c r="CM35" s="15"/>
      <c r="CN35" s="16"/>
      <c r="CO35" s="3" t="str">
        <f t="shared" si="21"/>
        <v>A</v>
      </c>
      <c r="CP35" s="11">
        <f>COUNTIF(D35:CO35,"EL")</f>
        <v>0</v>
      </c>
      <c r="CQ35" s="11">
        <f>COUNTIF(D35:CO35,"EL-H")*0.5</f>
        <v>0</v>
      </c>
      <c r="CR35" s="11">
        <f>COUNTIF(D35:CO35,"CL")</f>
        <v>0</v>
      </c>
      <c r="CS35" s="11">
        <f>COUNTIF(D35:CO35,"CL-H")*0.5</f>
        <v>0</v>
      </c>
      <c r="CT35" s="11">
        <f>COUNTIF(D35:CO35,"C-Off")</f>
        <v>0</v>
      </c>
      <c r="CU35" s="11">
        <f>COUNTIF(D35:CO35,"C-Off-H")*0.5</f>
        <v>0</v>
      </c>
      <c r="CV35" s="11">
        <f t="shared" ref="CV35:CV37" si="46">SUM(CP35:CU35)</f>
        <v>0</v>
      </c>
      <c r="CW35" s="11">
        <f>COUNTIF(D35:CO35,"P")</f>
        <v>0</v>
      </c>
      <c r="CX35" s="11">
        <f>COUNTIF(D35:CO35,"H")+COUNTIF(D35:CO35,"S")</f>
        <v>11</v>
      </c>
      <c r="CY35" s="11">
        <f>COUNTIF(D35:CO35,"A-H")*0.5</f>
        <v>0</v>
      </c>
      <c r="CZ35" s="11">
        <f>COUNTIF(D35:CO35,"A")</f>
        <v>19</v>
      </c>
      <c r="DA35" s="12">
        <f t="shared" si="36"/>
        <v>19</v>
      </c>
      <c r="DB35" s="13">
        <v>30</v>
      </c>
      <c r="DC35" s="11">
        <f t="shared" si="37"/>
        <v>11</v>
      </c>
      <c r="DD35" s="14"/>
      <c r="DE35" s="14"/>
    </row>
    <row r="36" spans="1:109" s="10" customFormat="1" ht="30.75" customHeight="1" x14ac:dyDescent="0.25">
      <c r="A36" s="7" t="s">
        <v>56</v>
      </c>
      <c r="B36" s="8"/>
      <c r="C36" s="9"/>
      <c r="D36" s="15"/>
      <c r="E36" s="15"/>
      <c r="F36" s="3" t="s">
        <v>22</v>
      </c>
      <c r="G36" s="15"/>
      <c r="H36" s="15"/>
      <c r="I36" s="3" t="s">
        <v>64</v>
      </c>
      <c r="J36" s="15"/>
      <c r="K36" s="15"/>
      <c r="L36" s="3" t="str">
        <f t="shared" si="3"/>
        <v>A</v>
      </c>
      <c r="M36" s="15"/>
      <c r="N36" s="15"/>
      <c r="O36" s="3" t="str">
        <f t="shared" si="4"/>
        <v>A</v>
      </c>
      <c r="P36" s="15"/>
      <c r="Q36" s="15"/>
      <c r="R36" s="3" t="str">
        <f t="shared" si="5"/>
        <v>A</v>
      </c>
      <c r="S36" s="15"/>
      <c r="T36" s="15"/>
      <c r="U36" s="3" t="str">
        <f t="shared" si="6"/>
        <v>A</v>
      </c>
      <c r="V36" s="15"/>
      <c r="W36" s="15"/>
      <c r="X36" s="3" t="s">
        <v>22</v>
      </c>
      <c r="Y36" s="15"/>
      <c r="Z36" s="15"/>
      <c r="AA36" s="3" t="s">
        <v>22</v>
      </c>
      <c r="AB36" s="15"/>
      <c r="AC36" s="15"/>
      <c r="AD36" s="3" t="str">
        <f t="shared" si="7"/>
        <v>A</v>
      </c>
      <c r="AE36" s="15"/>
      <c r="AF36" s="15"/>
      <c r="AG36" s="3" t="str">
        <f t="shared" si="8"/>
        <v>A</v>
      </c>
      <c r="AH36" s="15"/>
      <c r="AI36" s="15"/>
      <c r="AJ36" s="3" t="s">
        <v>64</v>
      </c>
      <c r="AK36" s="15"/>
      <c r="AL36" s="15"/>
      <c r="AM36" s="3" t="str">
        <f t="shared" si="9"/>
        <v>A</v>
      </c>
      <c r="AN36" s="15"/>
      <c r="AO36" s="15"/>
      <c r="AP36" s="3" t="str">
        <f t="shared" si="10"/>
        <v>A</v>
      </c>
      <c r="AQ36" s="15"/>
      <c r="AR36" s="15"/>
      <c r="AS36" s="3" t="s">
        <v>22</v>
      </c>
      <c r="AT36" s="15"/>
      <c r="AU36" s="15"/>
      <c r="AV36" s="3" t="s">
        <v>22</v>
      </c>
      <c r="AW36" s="15"/>
      <c r="AX36" s="15"/>
      <c r="AY36" s="3" t="str">
        <f t="shared" si="11"/>
        <v>A</v>
      </c>
      <c r="AZ36" s="15"/>
      <c r="BA36" s="15"/>
      <c r="BB36" s="3" t="str">
        <f t="shared" si="12"/>
        <v>A</v>
      </c>
      <c r="BC36" s="15"/>
      <c r="BD36" s="15"/>
      <c r="BE36" s="3" t="str">
        <f t="shared" si="13"/>
        <v>A</v>
      </c>
      <c r="BF36" s="15"/>
      <c r="BG36" s="15"/>
      <c r="BH36" s="3" t="str">
        <f t="shared" si="14"/>
        <v>A</v>
      </c>
      <c r="BI36" s="15"/>
      <c r="BJ36" s="15"/>
      <c r="BK36" s="3" t="str">
        <f t="shared" si="15"/>
        <v>A</v>
      </c>
      <c r="BL36" s="15"/>
      <c r="BM36" s="15"/>
      <c r="BN36" s="3" t="s">
        <v>22</v>
      </c>
      <c r="BO36" s="15"/>
      <c r="BP36" s="15"/>
      <c r="BQ36" s="3" t="s">
        <v>22</v>
      </c>
      <c r="BR36" s="15"/>
      <c r="BS36" s="15"/>
      <c r="BT36" s="3" t="str">
        <f t="shared" si="16"/>
        <v>A</v>
      </c>
      <c r="BU36" s="15"/>
      <c r="BV36" s="15"/>
      <c r="BW36" s="3" t="str">
        <f t="shared" si="17"/>
        <v>A</v>
      </c>
      <c r="BX36" s="15"/>
      <c r="BY36" s="15"/>
      <c r="BZ36" s="3" t="str">
        <f t="shared" si="18"/>
        <v>A</v>
      </c>
      <c r="CA36" s="15"/>
      <c r="CB36" s="15"/>
      <c r="CC36" s="3" t="str">
        <f t="shared" si="19"/>
        <v>A</v>
      </c>
      <c r="CD36" s="15"/>
      <c r="CE36" s="15"/>
      <c r="CF36" s="3" t="str">
        <f t="shared" si="20"/>
        <v>A</v>
      </c>
      <c r="CG36" s="15"/>
      <c r="CH36" s="15"/>
      <c r="CI36" s="3" t="s">
        <v>22</v>
      </c>
      <c r="CJ36" s="15"/>
      <c r="CK36" s="16"/>
      <c r="CL36" s="3" t="s">
        <v>22</v>
      </c>
      <c r="CM36" s="15"/>
      <c r="CN36" s="16"/>
      <c r="CO36" s="3" t="str">
        <f t="shared" si="21"/>
        <v>A</v>
      </c>
      <c r="CP36" s="11">
        <f>COUNTIF(D36:CO36,"EL")</f>
        <v>0</v>
      </c>
      <c r="CQ36" s="11">
        <f>COUNTIF(D36:CO36,"EL-H")*0.5</f>
        <v>0</v>
      </c>
      <c r="CR36" s="11">
        <f>COUNTIF(D36:CO36,"CL")</f>
        <v>0</v>
      </c>
      <c r="CS36" s="11">
        <f>COUNTIF(D36:CO36,"CL-H")*0.5</f>
        <v>0</v>
      </c>
      <c r="CT36" s="11">
        <f>COUNTIF(D36:CO36,"C-Off")</f>
        <v>0</v>
      </c>
      <c r="CU36" s="11">
        <f>COUNTIF(D36:CO36,"C-Off-H")*0.5</f>
        <v>0</v>
      </c>
      <c r="CV36" s="11">
        <f t="shared" si="46"/>
        <v>0</v>
      </c>
      <c r="CW36" s="11">
        <f>COUNTIF(D36:CO36,"P")</f>
        <v>0</v>
      </c>
      <c r="CX36" s="11">
        <f>COUNTIF(D36:CO36,"H")+COUNTIF(D36:CO36,"S")</f>
        <v>11</v>
      </c>
      <c r="CY36" s="11">
        <f>COUNTIF(D36:CO36,"A-H")*0.5</f>
        <v>0</v>
      </c>
      <c r="CZ36" s="11">
        <f>COUNTIF(D36:CO36,"A")</f>
        <v>19</v>
      </c>
      <c r="DA36" s="12">
        <f t="shared" si="36"/>
        <v>19</v>
      </c>
      <c r="DB36" s="13">
        <v>30</v>
      </c>
      <c r="DC36" s="11">
        <f t="shared" si="37"/>
        <v>11</v>
      </c>
      <c r="DD36" s="14"/>
      <c r="DE36" s="14"/>
    </row>
    <row r="37" spans="1:109" s="10" customFormat="1" ht="30.75" customHeight="1" x14ac:dyDescent="0.25">
      <c r="A37" s="7" t="s">
        <v>57</v>
      </c>
      <c r="B37" s="8"/>
      <c r="C37" s="9"/>
      <c r="D37" s="15"/>
      <c r="E37" s="15"/>
      <c r="F37" s="3" t="s">
        <v>22</v>
      </c>
      <c r="G37" s="15"/>
      <c r="H37" s="15"/>
      <c r="I37" s="3" t="s">
        <v>64</v>
      </c>
      <c r="J37" s="15"/>
      <c r="K37" s="15"/>
      <c r="L37" s="3" t="str">
        <f t="shared" si="3"/>
        <v>A</v>
      </c>
      <c r="M37" s="15"/>
      <c r="N37" s="15"/>
      <c r="O37" s="3" t="str">
        <f t="shared" si="4"/>
        <v>A</v>
      </c>
      <c r="P37" s="15"/>
      <c r="Q37" s="15"/>
      <c r="R37" s="3" t="str">
        <f t="shared" si="5"/>
        <v>A</v>
      </c>
      <c r="S37" s="15"/>
      <c r="T37" s="15"/>
      <c r="U37" s="3" t="str">
        <f t="shared" si="6"/>
        <v>A</v>
      </c>
      <c r="V37" s="15"/>
      <c r="W37" s="15"/>
      <c r="X37" s="3" t="s">
        <v>22</v>
      </c>
      <c r="Y37" s="15"/>
      <c r="Z37" s="15"/>
      <c r="AA37" s="3" t="s">
        <v>22</v>
      </c>
      <c r="AB37" s="15"/>
      <c r="AC37" s="15"/>
      <c r="AD37" s="3" t="str">
        <f t="shared" si="7"/>
        <v>A</v>
      </c>
      <c r="AE37" s="15"/>
      <c r="AF37" s="15"/>
      <c r="AG37" s="3" t="str">
        <f t="shared" si="8"/>
        <v>A</v>
      </c>
      <c r="AH37" s="15"/>
      <c r="AI37" s="15"/>
      <c r="AJ37" s="3" t="s">
        <v>64</v>
      </c>
      <c r="AK37" s="15"/>
      <c r="AL37" s="15"/>
      <c r="AM37" s="3" t="str">
        <f t="shared" si="9"/>
        <v>A</v>
      </c>
      <c r="AN37" s="15"/>
      <c r="AO37" s="15"/>
      <c r="AP37" s="3" t="str">
        <f t="shared" si="10"/>
        <v>A</v>
      </c>
      <c r="AQ37" s="15"/>
      <c r="AR37" s="15"/>
      <c r="AS37" s="3" t="s">
        <v>22</v>
      </c>
      <c r="AT37" s="15"/>
      <c r="AU37" s="15"/>
      <c r="AV37" s="3" t="s">
        <v>22</v>
      </c>
      <c r="AW37" s="15"/>
      <c r="AX37" s="15"/>
      <c r="AY37" s="3" t="str">
        <f t="shared" si="11"/>
        <v>A</v>
      </c>
      <c r="AZ37" s="15"/>
      <c r="BA37" s="15"/>
      <c r="BB37" s="3" t="str">
        <f t="shared" si="12"/>
        <v>A</v>
      </c>
      <c r="BC37" s="15"/>
      <c r="BD37" s="15"/>
      <c r="BE37" s="3" t="str">
        <f t="shared" si="13"/>
        <v>A</v>
      </c>
      <c r="BF37" s="15"/>
      <c r="BG37" s="15"/>
      <c r="BH37" s="3" t="str">
        <f t="shared" si="14"/>
        <v>A</v>
      </c>
      <c r="BI37" s="15"/>
      <c r="BJ37" s="15"/>
      <c r="BK37" s="3" t="str">
        <f t="shared" si="15"/>
        <v>A</v>
      </c>
      <c r="BL37" s="15"/>
      <c r="BM37" s="15"/>
      <c r="BN37" s="3" t="s">
        <v>22</v>
      </c>
      <c r="BO37" s="15"/>
      <c r="BP37" s="15"/>
      <c r="BQ37" s="3" t="s">
        <v>22</v>
      </c>
      <c r="BR37" s="15"/>
      <c r="BS37" s="15"/>
      <c r="BT37" s="3" t="str">
        <f t="shared" si="16"/>
        <v>A</v>
      </c>
      <c r="BU37" s="15"/>
      <c r="BV37" s="15"/>
      <c r="BW37" s="3" t="str">
        <f t="shared" si="17"/>
        <v>A</v>
      </c>
      <c r="BX37" s="15"/>
      <c r="BY37" s="15"/>
      <c r="BZ37" s="3" t="str">
        <f t="shared" si="18"/>
        <v>A</v>
      </c>
      <c r="CA37" s="15"/>
      <c r="CB37" s="15"/>
      <c r="CC37" s="3" t="str">
        <f t="shared" si="19"/>
        <v>A</v>
      </c>
      <c r="CD37" s="15"/>
      <c r="CE37" s="15"/>
      <c r="CF37" s="3" t="str">
        <f t="shared" si="20"/>
        <v>A</v>
      </c>
      <c r="CG37" s="15"/>
      <c r="CH37" s="15"/>
      <c r="CI37" s="3" t="s">
        <v>22</v>
      </c>
      <c r="CJ37" s="15"/>
      <c r="CK37" s="16"/>
      <c r="CL37" s="3" t="s">
        <v>22</v>
      </c>
      <c r="CM37" s="15"/>
      <c r="CN37" s="16"/>
      <c r="CO37" s="3" t="str">
        <f t="shared" si="21"/>
        <v>A</v>
      </c>
      <c r="CP37" s="11">
        <f>COUNTIF(D37:CO37,"EL")</f>
        <v>0</v>
      </c>
      <c r="CQ37" s="11">
        <f>COUNTIF(D37:CO37,"EL-H")*0.5</f>
        <v>0</v>
      </c>
      <c r="CR37" s="11">
        <f>COUNTIF(D37:CO37,"CL")</f>
        <v>0</v>
      </c>
      <c r="CS37" s="11">
        <f>COUNTIF(D37:CO37,"CL-H")*0.5</f>
        <v>0</v>
      </c>
      <c r="CT37" s="11">
        <f>COUNTIF(D37:CO37,"C-Off")</f>
        <v>0</v>
      </c>
      <c r="CU37" s="11">
        <f>COUNTIF(D37:CO37,"C-Off-H")*0.5</f>
        <v>0</v>
      </c>
      <c r="CV37" s="11">
        <f t="shared" si="46"/>
        <v>0</v>
      </c>
      <c r="CW37" s="11">
        <f>COUNTIF(D37:CO37,"P")</f>
        <v>0</v>
      </c>
      <c r="CX37" s="11">
        <f>COUNTIF(D37:CO37,"H")+COUNTIF(D37:CO37,"S")</f>
        <v>11</v>
      </c>
      <c r="CY37" s="11">
        <f>COUNTIF(D37:CO37,"A-H")*0.5</f>
        <v>0</v>
      </c>
      <c r="CZ37" s="11">
        <f>COUNTIF(D37:CO37,"A")</f>
        <v>19</v>
      </c>
      <c r="DA37" s="12">
        <f t="shared" si="36"/>
        <v>19</v>
      </c>
      <c r="DB37" s="13">
        <v>30</v>
      </c>
      <c r="DC37" s="11">
        <f t="shared" si="37"/>
        <v>11</v>
      </c>
      <c r="DD37" s="14"/>
      <c r="DE37" s="14"/>
    </row>
    <row r="38" spans="1:109" s="10" customFormat="1" ht="30.75" customHeight="1" x14ac:dyDescent="0.25">
      <c r="A38" s="7" t="s">
        <v>58</v>
      </c>
      <c r="B38" s="8"/>
      <c r="C38" s="9"/>
      <c r="D38" s="15"/>
      <c r="E38" s="15"/>
      <c r="F38" s="3" t="s">
        <v>22</v>
      </c>
      <c r="G38" s="15"/>
      <c r="H38" s="15"/>
      <c r="I38" s="3" t="s">
        <v>64</v>
      </c>
      <c r="J38" s="15"/>
      <c r="K38" s="15"/>
      <c r="L38" s="3" t="str">
        <f t="shared" si="3"/>
        <v>A</v>
      </c>
      <c r="M38" s="15"/>
      <c r="N38" s="15"/>
      <c r="O38" s="3" t="str">
        <f t="shared" si="4"/>
        <v>A</v>
      </c>
      <c r="P38" s="15"/>
      <c r="Q38" s="15"/>
      <c r="R38" s="3" t="str">
        <f t="shared" si="5"/>
        <v>A</v>
      </c>
      <c r="S38" s="15"/>
      <c r="T38" s="15"/>
      <c r="U38" s="3" t="str">
        <f t="shared" si="6"/>
        <v>A</v>
      </c>
      <c r="V38" s="15"/>
      <c r="W38" s="15"/>
      <c r="X38" s="3" t="s">
        <v>22</v>
      </c>
      <c r="Y38" s="15"/>
      <c r="Z38" s="15"/>
      <c r="AA38" s="3" t="s">
        <v>22</v>
      </c>
      <c r="AB38" s="15"/>
      <c r="AC38" s="15"/>
      <c r="AD38" s="3" t="str">
        <f t="shared" si="7"/>
        <v>A</v>
      </c>
      <c r="AE38" s="15"/>
      <c r="AF38" s="15"/>
      <c r="AG38" s="3" t="str">
        <f t="shared" si="8"/>
        <v>A</v>
      </c>
      <c r="AH38" s="15"/>
      <c r="AI38" s="15"/>
      <c r="AJ38" s="3" t="s">
        <v>64</v>
      </c>
      <c r="AK38" s="15"/>
      <c r="AL38" s="15"/>
      <c r="AM38" s="3" t="str">
        <f t="shared" si="9"/>
        <v>A</v>
      </c>
      <c r="AN38" s="15"/>
      <c r="AO38" s="15"/>
      <c r="AP38" s="3" t="str">
        <f t="shared" si="10"/>
        <v>A</v>
      </c>
      <c r="AQ38" s="15"/>
      <c r="AR38" s="15"/>
      <c r="AS38" s="3" t="s">
        <v>22</v>
      </c>
      <c r="AT38" s="15"/>
      <c r="AU38" s="15"/>
      <c r="AV38" s="3" t="s">
        <v>22</v>
      </c>
      <c r="AW38" s="15"/>
      <c r="AX38" s="15"/>
      <c r="AY38" s="3" t="str">
        <f t="shared" si="11"/>
        <v>A</v>
      </c>
      <c r="AZ38" s="15"/>
      <c r="BA38" s="15"/>
      <c r="BB38" s="3" t="str">
        <f t="shared" si="12"/>
        <v>A</v>
      </c>
      <c r="BC38" s="15"/>
      <c r="BD38" s="15"/>
      <c r="BE38" s="3" t="str">
        <f t="shared" si="13"/>
        <v>A</v>
      </c>
      <c r="BF38" s="15"/>
      <c r="BG38" s="15"/>
      <c r="BH38" s="3" t="str">
        <f t="shared" si="14"/>
        <v>A</v>
      </c>
      <c r="BI38" s="15"/>
      <c r="BJ38" s="15"/>
      <c r="BK38" s="3" t="str">
        <f t="shared" si="15"/>
        <v>A</v>
      </c>
      <c r="BL38" s="15"/>
      <c r="BM38" s="15"/>
      <c r="BN38" s="3" t="s">
        <v>22</v>
      </c>
      <c r="BO38" s="15"/>
      <c r="BP38" s="15"/>
      <c r="BQ38" s="3" t="s">
        <v>22</v>
      </c>
      <c r="BR38" s="15"/>
      <c r="BS38" s="15"/>
      <c r="BT38" s="3" t="str">
        <f t="shared" si="16"/>
        <v>A</v>
      </c>
      <c r="BU38" s="15"/>
      <c r="BV38" s="15"/>
      <c r="BW38" s="3" t="str">
        <f t="shared" si="17"/>
        <v>A</v>
      </c>
      <c r="BX38" s="15"/>
      <c r="BY38" s="15"/>
      <c r="BZ38" s="3" t="str">
        <f t="shared" si="18"/>
        <v>A</v>
      </c>
      <c r="CA38" s="15"/>
      <c r="CB38" s="15"/>
      <c r="CC38" s="3" t="str">
        <f t="shared" si="19"/>
        <v>A</v>
      </c>
      <c r="CD38" s="15"/>
      <c r="CE38" s="15"/>
      <c r="CF38" s="3" t="str">
        <f t="shared" si="20"/>
        <v>A</v>
      </c>
      <c r="CG38" s="15"/>
      <c r="CH38" s="15"/>
      <c r="CI38" s="3" t="s">
        <v>22</v>
      </c>
      <c r="CJ38" s="15"/>
      <c r="CK38" s="16"/>
      <c r="CL38" s="3" t="s">
        <v>22</v>
      </c>
      <c r="CM38" s="15"/>
      <c r="CN38" s="16"/>
      <c r="CO38" s="3" t="str">
        <f t="shared" si="21"/>
        <v>A</v>
      </c>
      <c r="CP38" s="11">
        <f>COUNTIF(D38:CO38,"EL")</f>
        <v>0</v>
      </c>
      <c r="CQ38" s="11">
        <f>COUNTIF(D38:CO38,"EL-H")*0.5</f>
        <v>0</v>
      </c>
      <c r="CR38" s="11">
        <f>COUNTIF(D38:CO38,"CL")</f>
        <v>0</v>
      </c>
      <c r="CS38" s="11">
        <f>COUNTIF(D38:CO38,"CL-H")*0.5</f>
        <v>0</v>
      </c>
      <c r="CT38" s="11">
        <f>COUNTIF(D38:CO38,"C-Off")</f>
        <v>0</v>
      </c>
      <c r="CU38" s="11">
        <f>COUNTIF(D38:CO38,"C-Off-H")*0.5</f>
        <v>0</v>
      </c>
      <c r="CV38" s="11">
        <f t="shared" ref="CV38" si="47">SUM(CP38:CU38)</f>
        <v>0</v>
      </c>
      <c r="CW38" s="11">
        <f>COUNTIF(D38:CO38,"P")</f>
        <v>0</v>
      </c>
      <c r="CX38" s="11">
        <f>COUNTIF(D38:CO38,"H")+COUNTIF(D38:CO38,"S")</f>
        <v>11</v>
      </c>
      <c r="CY38" s="11">
        <f>COUNTIF(D38:CO38,"A-H")*0.5</f>
        <v>0</v>
      </c>
      <c r="CZ38" s="11">
        <f>COUNTIF(D38:CO38,"A")</f>
        <v>19</v>
      </c>
      <c r="DA38" s="12">
        <f t="shared" si="36"/>
        <v>19</v>
      </c>
      <c r="DB38" s="13">
        <v>30</v>
      </c>
      <c r="DC38" s="11">
        <f t="shared" si="37"/>
        <v>11</v>
      </c>
      <c r="DD38" s="14"/>
      <c r="DE38" s="14"/>
    </row>
    <row r="39" spans="1:109" s="10" customFormat="1" ht="30.75" customHeight="1" x14ac:dyDescent="0.25">
      <c r="A39" s="7" t="s">
        <v>59</v>
      </c>
      <c r="B39" s="8"/>
      <c r="C39" s="9"/>
      <c r="D39" s="15"/>
      <c r="E39" s="15"/>
      <c r="F39" s="3" t="s">
        <v>22</v>
      </c>
      <c r="G39" s="15"/>
      <c r="H39" s="15"/>
      <c r="I39" s="3" t="s">
        <v>64</v>
      </c>
      <c r="J39" s="15"/>
      <c r="K39" s="15"/>
      <c r="L39" s="3" t="str">
        <f t="shared" si="3"/>
        <v>A</v>
      </c>
      <c r="M39" s="15"/>
      <c r="N39" s="15"/>
      <c r="O39" s="3" t="str">
        <f t="shared" si="4"/>
        <v>A</v>
      </c>
      <c r="P39" s="15"/>
      <c r="Q39" s="15"/>
      <c r="R39" s="3" t="str">
        <f t="shared" si="5"/>
        <v>A</v>
      </c>
      <c r="S39" s="15"/>
      <c r="T39" s="15"/>
      <c r="U39" s="3" t="str">
        <f t="shared" si="6"/>
        <v>A</v>
      </c>
      <c r="V39" s="15"/>
      <c r="W39" s="15"/>
      <c r="X39" s="3" t="s">
        <v>22</v>
      </c>
      <c r="Y39" s="15"/>
      <c r="Z39" s="15"/>
      <c r="AA39" s="3" t="s">
        <v>22</v>
      </c>
      <c r="AB39" s="15"/>
      <c r="AC39" s="15"/>
      <c r="AD39" s="3" t="str">
        <f t="shared" si="7"/>
        <v>A</v>
      </c>
      <c r="AE39" s="15"/>
      <c r="AF39" s="15"/>
      <c r="AG39" s="3" t="str">
        <f t="shared" si="8"/>
        <v>A</v>
      </c>
      <c r="AH39" s="15"/>
      <c r="AI39" s="15"/>
      <c r="AJ39" s="3" t="s">
        <v>64</v>
      </c>
      <c r="AK39" s="15"/>
      <c r="AL39" s="15"/>
      <c r="AM39" s="3" t="str">
        <f t="shared" si="9"/>
        <v>A</v>
      </c>
      <c r="AN39" s="15"/>
      <c r="AO39" s="15"/>
      <c r="AP39" s="3" t="str">
        <f t="shared" si="10"/>
        <v>A</v>
      </c>
      <c r="AQ39" s="15"/>
      <c r="AR39" s="15"/>
      <c r="AS39" s="3" t="s">
        <v>22</v>
      </c>
      <c r="AT39" s="15"/>
      <c r="AU39" s="15"/>
      <c r="AV39" s="3" t="s">
        <v>22</v>
      </c>
      <c r="AW39" s="15"/>
      <c r="AX39" s="15"/>
      <c r="AY39" s="3" t="str">
        <f t="shared" si="11"/>
        <v>A</v>
      </c>
      <c r="AZ39" s="15"/>
      <c r="BA39" s="15"/>
      <c r="BB39" s="3" t="str">
        <f t="shared" si="12"/>
        <v>A</v>
      </c>
      <c r="BC39" s="15"/>
      <c r="BD39" s="15"/>
      <c r="BE39" s="3" t="str">
        <f t="shared" si="13"/>
        <v>A</v>
      </c>
      <c r="BF39" s="15"/>
      <c r="BG39" s="15"/>
      <c r="BH39" s="3" t="str">
        <f t="shared" si="14"/>
        <v>A</v>
      </c>
      <c r="BI39" s="15"/>
      <c r="BJ39" s="15"/>
      <c r="BK39" s="3" t="str">
        <f t="shared" si="15"/>
        <v>A</v>
      </c>
      <c r="BL39" s="15"/>
      <c r="BM39" s="15"/>
      <c r="BN39" s="3" t="s">
        <v>22</v>
      </c>
      <c r="BO39" s="15"/>
      <c r="BP39" s="15"/>
      <c r="BQ39" s="3" t="s">
        <v>22</v>
      </c>
      <c r="BR39" s="15"/>
      <c r="BS39" s="15"/>
      <c r="BT39" s="3" t="str">
        <f t="shared" si="16"/>
        <v>A</v>
      </c>
      <c r="BU39" s="15"/>
      <c r="BV39" s="15"/>
      <c r="BW39" s="3" t="str">
        <f t="shared" si="17"/>
        <v>A</v>
      </c>
      <c r="BX39" s="15"/>
      <c r="BY39" s="15"/>
      <c r="BZ39" s="3" t="str">
        <f t="shared" si="18"/>
        <v>A</v>
      </c>
      <c r="CA39" s="15"/>
      <c r="CB39" s="15"/>
      <c r="CC39" s="3" t="str">
        <f t="shared" si="19"/>
        <v>A</v>
      </c>
      <c r="CD39" s="15"/>
      <c r="CE39" s="15"/>
      <c r="CF39" s="3" t="str">
        <f t="shared" si="20"/>
        <v>A</v>
      </c>
      <c r="CG39" s="15"/>
      <c r="CH39" s="15"/>
      <c r="CI39" s="3" t="s">
        <v>22</v>
      </c>
      <c r="CJ39" s="15"/>
      <c r="CK39" s="16"/>
      <c r="CL39" s="3" t="s">
        <v>22</v>
      </c>
      <c r="CM39" s="15"/>
      <c r="CN39" s="16"/>
      <c r="CO39" s="3" t="str">
        <f t="shared" si="21"/>
        <v>A</v>
      </c>
      <c r="CP39" s="11">
        <f>COUNTIF(D39:CO39,"EL")</f>
        <v>0</v>
      </c>
      <c r="CQ39" s="11">
        <f>COUNTIF(D39:CO39,"EL-H")*0.5</f>
        <v>0</v>
      </c>
      <c r="CR39" s="11">
        <f>COUNTIF(D39:CO39,"CL")</f>
        <v>0</v>
      </c>
      <c r="CS39" s="11">
        <f>COUNTIF(D39:CO39,"CL-H")*0.5</f>
        <v>0</v>
      </c>
      <c r="CT39" s="11">
        <f>COUNTIF(D39:CO39,"C-Off")</f>
        <v>0</v>
      </c>
      <c r="CU39" s="11">
        <f>COUNTIF(D39:CO39,"C-Off-H")*0.5</f>
        <v>0</v>
      </c>
      <c r="CV39" s="11">
        <f t="shared" ref="CV39:CV41" si="48">SUM(CP39:CU39)</f>
        <v>0</v>
      </c>
      <c r="CW39" s="11">
        <f>COUNTIF(D39:CO39,"P")</f>
        <v>0</v>
      </c>
      <c r="CX39" s="11">
        <f>COUNTIF(D39:CO39,"H")+COUNTIF(D39:CO39,"S")</f>
        <v>11</v>
      </c>
      <c r="CY39" s="11">
        <f>COUNTIF(D39:CO39,"A-H")*0.5</f>
        <v>0</v>
      </c>
      <c r="CZ39" s="11">
        <f>COUNTIF(D39:CO39,"A")</f>
        <v>19</v>
      </c>
      <c r="DA39" s="12">
        <f t="shared" si="36"/>
        <v>19</v>
      </c>
      <c r="DB39" s="13">
        <v>30</v>
      </c>
      <c r="DC39" s="11">
        <f t="shared" si="37"/>
        <v>11</v>
      </c>
      <c r="DD39" s="14"/>
      <c r="DE39" s="14"/>
    </row>
    <row r="40" spans="1:109" s="10" customFormat="1" ht="30.75" customHeight="1" x14ac:dyDescent="0.25">
      <c r="A40" s="7" t="s">
        <v>60</v>
      </c>
      <c r="B40" s="8"/>
      <c r="C40" s="9"/>
      <c r="D40" s="15"/>
      <c r="E40" s="15"/>
      <c r="F40" s="3" t="s">
        <v>22</v>
      </c>
      <c r="G40" s="15"/>
      <c r="H40" s="15"/>
      <c r="I40" s="3" t="s">
        <v>64</v>
      </c>
      <c r="J40" s="15"/>
      <c r="K40" s="15"/>
      <c r="L40" s="3" t="str">
        <f t="shared" si="3"/>
        <v>A</v>
      </c>
      <c r="M40" s="15"/>
      <c r="N40" s="15"/>
      <c r="O40" s="3" t="str">
        <f t="shared" si="4"/>
        <v>A</v>
      </c>
      <c r="P40" s="15"/>
      <c r="Q40" s="15"/>
      <c r="R40" s="3" t="str">
        <f t="shared" si="5"/>
        <v>A</v>
      </c>
      <c r="S40" s="15"/>
      <c r="T40" s="15"/>
      <c r="U40" s="3" t="str">
        <f t="shared" si="6"/>
        <v>A</v>
      </c>
      <c r="V40" s="15"/>
      <c r="W40" s="15"/>
      <c r="X40" s="3" t="s">
        <v>22</v>
      </c>
      <c r="Y40" s="15"/>
      <c r="Z40" s="15"/>
      <c r="AA40" s="3" t="s">
        <v>22</v>
      </c>
      <c r="AB40" s="15"/>
      <c r="AC40" s="15"/>
      <c r="AD40" s="3" t="str">
        <f t="shared" si="7"/>
        <v>A</v>
      </c>
      <c r="AE40" s="15"/>
      <c r="AF40" s="15"/>
      <c r="AG40" s="3" t="str">
        <f t="shared" si="8"/>
        <v>A</v>
      </c>
      <c r="AH40" s="15"/>
      <c r="AI40" s="15"/>
      <c r="AJ40" s="3" t="s">
        <v>64</v>
      </c>
      <c r="AK40" s="15"/>
      <c r="AL40" s="15"/>
      <c r="AM40" s="3" t="str">
        <f t="shared" si="9"/>
        <v>A</v>
      </c>
      <c r="AN40" s="15"/>
      <c r="AO40" s="15"/>
      <c r="AP40" s="3" t="str">
        <f t="shared" si="10"/>
        <v>A</v>
      </c>
      <c r="AQ40" s="15"/>
      <c r="AR40" s="15"/>
      <c r="AS40" s="3" t="s">
        <v>22</v>
      </c>
      <c r="AT40" s="15"/>
      <c r="AU40" s="15"/>
      <c r="AV40" s="3" t="s">
        <v>22</v>
      </c>
      <c r="AW40" s="15"/>
      <c r="AX40" s="15"/>
      <c r="AY40" s="3" t="str">
        <f t="shared" si="11"/>
        <v>A</v>
      </c>
      <c r="AZ40" s="15"/>
      <c r="BA40" s="15"/>
      <c r="BB40" s="3" t="str">
        <f t="shared" si="12"/>
        <v>A</v>
      </c>
      <c r="BC40" s="15"/>
      <c r="BD40" s="15"/>
      <c r="BE40" s="3" t="str">
        <f t="shared" si="13"/>
        <v>A</v>
      </c>
      <c r="BF40" s="15"/>
      <c r="BG40" s="15"/>
      <c r="BH40" s="3" t="str">
        <f t="shared" si="14"/>
        <v>A</v>
      </c>
      <c r="BI40" s="15"/>
      <c r="BJ40" s="15"/>
      <c r="BK40" s="3" t="str">
        <f t="shared" si="15"/>
        <v>A</v>
      </c>
      <c r="BL40" s="15"/>
      <c r="BM40" s="15"/>
      <c r="BN40" s="3" t="s">
        <v>22</v>
      </c>
      <c r="BO40" s="15"/>
      <c r="BP40" s="15"/>
      <c r="BQ40" s="3" t="s">
        <v>22</v>
      </c>
      <c r="BR40" s="15"/>
      <c r="BS40" s="15"/>
      <c r="BT40" s="3" t="str">
        <f t="shared" si="16"/>
        <v>A</v>
      </c>
      <c r="BU40" s="15"/>
      <c r="BV40" s="15"/>
      <c r="BW40" s="3" t="str">
        <f t="shared" si="17"/>
        <v>A</v>
      </c>
      <c r="BX40" s="15"/>
      <c r="BY40" s="15"/>
      <c r="BZ40" s="3" t="str">
        <f t="shared" si="18"/>
        <v>A</v>
      </c>
      <c r="CA40" s="15"/>
      <c r="CB40" s="15"/>
      <c r="CC40" s="3" t="str">
        <f t="shared" si="19"/>
        <v>A</v>
      </c>
      <c r="CD40" s="15"/>
      <c r="CE40" s="15"/>
      <c r="CF40" s="3" t="str">
        <f t="shared" si="20"/>
        <v>A</v>
      </c>
      <c r="CG40" s="15"/>
      <c r="CH40" s="15"/>
      <c r="CI40" s="3" t="s">
        <v>22</v>
      </c>
      <c r="CJ40" s="15"/>
      <c r="CK40" s="16"/>
      <c r="CL40" s="3" t="s">
        <v>22</v>
      </c>
      <c r="CM40" s="15"/>
      <c r="CN40" s="16"/>
      <c r="CO40" s="3" t="str">
        <f t="shared" si="21"/>
        <v>A</v>
      </c>
      <c r="CP40" s="11">
        <f>COUNTIF(D40:CO40,"EL")</f>
        <v>0</v>
      </c>
      <c r="CQ40" s="11">
        <f>COUNTIF(D40:CO40,"EL-H")*0.5</f>
        <v>0</v>
      </c>
      <c r="CR40" s="11">
        <f>COUNTIF(D40:CO40,"CL")</f>
        <v>0</v>
      </c>
      <c r="CS40" s="11">
        <f>COUNTIF(D40:CO40,"CL-H")*0.5</f>
        <v>0</v>
      </c>
      <c r="CT40" s="11">
        <f>COUNTIF(D40:CO40,"C-Off")</f>
        <v>0</v>
      </c>
      <c r="CU40" s="11">
        <f>COUNTIF(D40:CO40,"C-Off-H")*0.5</f>
        <v>0</v>
      </c>
      <c r="CV40" s="11">
        <f t="shared" si="48"/>
        <v>0</v>
      </c>
      <c r="CW40" s="11">
        <f>COUNTIF(D40:CO40,"P")</f>
        <v>0</v>
      </c>
      <c r="CX40" s="11">
        <f>COUNTIF(D40:CO40,"H")+COUNTIF(D40:CO40,"S")</f>
        <v>11</v>
      </c>
      <c r="CY40" s="11">
        <f>COUNTIF(D40:CO40,"A-H")*0.5</f>
        <v>0</v>
      </c>
      <c r="CZ40" s="11">
        <f>COUNTIF(D40:CO40,"A")</f>
        <v>19</v>
      </c>
      <c r="DA40" s="12">
        <f t="shared" si="36"/>
        <v>19</v>
      </c>
      <c r="DB40" s="13">
        <v>30</v>
      </c>
      <c r="DC40" s="11">
        <f t="shared" si="37"/>
        <v>11</v>
      </c>
      <c r="DD40" s="14"/>
      <c r="DE40" s="14"/>
    </row>
    <row r="41" spans="1:109" s="10" customFormat="1" ht="30.75" customHeight="1" x14ac:dyDescent="0.25">
      <c r="A41" s="7" t="s">
        <v>61</v>
      </c>
      <c r="B41" s="8"/>
      <c r="C41" s="9"/>
      <c r="D41" s="15"/>
      <c r="E41" s="15"/>
      <c r="F41" s="3" t="s">
        <v>22</v>
      </c>
      <c r="G41" s="15"/>
      <c r="H41" s="15"/>
      <c r="I41" s="3" t="s">
        <v>64</v>
      </c>
      <c r="J41" s="15"/>
      <c r="K41" s="15"/>
      <c r="L41" s="3" t="str">
        <f t="shared" si="3"/>
        <v>A</v>
      </c>
      <c r="M41" s="15"/>
      <c r="N41" s="15"/>
      <c r="O41" s="3" t="str">
        <f t="shared" si="4"/>
        <v>A</v>
      </c>
      <c r="P41" s="15"/>
      <c r="Q41" s="15"/>
      <c r="R41" s="3" t="str">
        <f t="shared" si="5"/>
        <v>A</v>
      </c>
      <c r="S41" s="15"/>
      <c r="T41" s="15"/>
      <c r="U41" s="3" t="str">
        <f t="shared" si="6"/>
        <v>A</v>
      </c>
      <c r="V41" s="15"/>
      <c r="W41" s="15"/>
      <c r="X41" s="3" t="s">
        <v>22</v>
      </c>
      <c r="Y41" s="15"/>
      <c r="Z41" s="15"/>
      <c r="AA41" s="3" t="s">
        <v>22</v>
      </c>
      <c r="AB41" s="15"/>
      <c r="AC41" s="15"/>
      <c r="AD41" s="3" t="str">
        <f t="shared" si="7"/>
        <v>A</v>
      </c>
      <c r="AE41" s="15"/>
      <c r="AF41" s="15"/>
      <c r="AG41" s="3" t="str">
        <f t="shared" si="8"/>
        <v>A</v>
      </c>
      <c r="AH41" s="15"/>
      <c r="AI41" s="15"/>
      <c r="AJ41" s="3" t="s">
        <v>64</v>
      </c>
      <c r="AK41" s="15"/>
      <c r="AL41" s="15"/>
      <c r="AM41" s="3" t="str">
        <f t="shared" si="9"/>
        <v>A</v>
      </c>
      <c r="AN41" s="15"/>
      <c r="AO41" s="15"/>
      <c r="AP41" s="3" t="str">
        <f t="shared" si="10"/>
        <v>A</v>
      </c>
      <c r="AQ41" s="15"/>
      <c r="AR41" s="15"/>
      <c r="AS41" s="3" t="s">
        <v>22</v>
      </c>
      <c r="AT41" s="15"/>
      <c r="AU41" s="15"/>
      <c r="AV41" s="3" t="s">
        <v>22</v>
      </c>
      <c r="AW41" s="15"/>
      <c r="AX41" s="15"/>
      <c r="AY41" s="3" t="str">
        <f t="shared" si="11"/>
        <v>A</v>
      </c>
      <c r="AZ41" s="15"/>
      <c r="BA41" s="15"/>
      <c r="BB41" s="3" t="str">
        <f t="shared" si="12"/>
        <v>A</v>
      </c>
      <c r="BC41" s="15"/>
      <c r="BD41" s="15"/>
      <c r="BE41" s="3" t="str">
        <f t="shared" si="13"/>
        <v>A</v>
      </c>
      <c r="BF41" s="15"/>
      <c r="BG41" s="15"/>
      <c r="BH41" s="3" t="str">
        <f t="shared" si="14"/>
        <v>A</v>
      </c>
      <c r="BI41" s="15"/>
      <c r="BJ41" s="15"/>
      <c r="BK41" s="3" t="str">
        <f t="shared" si="15"/>
        <v>A</v>
      </c>
      <c r="BL41" s="15"/>
      <c r="BM41" s="15"/>
      <c r="BN41" s="3" t="s">
        <v>22</v>
      </c>
      <c r="BO41" s="15"/>
      <c r="BP41" s="15"/>
      <c r="BQ41" s="3" t="s">
        <v>22</v>
      </c>
      <c r="BR41" s="15"/>
      <c r="BS41" s="15"/>
      <c r="BT41" s="3" t="str">
        <f t="shared" si="16"/>
        <v>A</v>
      </c>
      <c r="BU41" s="15"/>
      <c r="BV41" s="15"/>
      <c r="BW41" s="3" t="str">
        <f t="shared" si="17"/>
        <v>A</v>
      </c>
      <c r="BX41" s="15"/>
      <c r="BY41" s="15"/>
      <c r="BZ41" s="3" t="str">
        <f t="shared" si="18"/>
        <v>A</v>
      </c>
      <c r="CA41" s="15"/>
      <c r="CB41" s="15"/>
      <c r="CC41" s="3" t="str">
        <f t="shared" si="19"/>
        <v>A</v>
      </c>
      <c r="CD41" s="15"/>
      <c r="CE41" s="15"/>
      <c r="CF41" s="3" t="str">
        <f t="shared" si="20"/>
        <v>A</v>
      </c>
      <c r="CG41" s="15"/>
      <c r="CH41" s="15"/>
      <c r="CI41" s="3" t="s">
        <v>22</v>
      </c>
      <c r="CJ41" s="15"/>
      <c r="CK41" s="16"/>
      <c r="CL41" s="3" t="s">
        <v>22</v>
      </c>
      <c r="CM41" s="15"/>
      <c r="CN41" s="16"/>
      <c r="CO41" s="3" t="str">
        <f t="shared" si="21"/>
        <v>A</v>
      </c>
      <c r="CP41" s="11">
        <f>COUNTIF(D41:CO41,"EL")</f>
        <v>0</v>
      </c>
      <c r="CQ41" s="11">
        <f>COUNTIF(D41:CO41,"EL-H")*0.5</f>
        <v>0</v>
      </c>
      <c r="CR41" s="11">
        <f>COUNTIF(D41:CO41,"CL")</f>
        <v>0</v>
      </c>
      <c r="CS41" s="11">
        <f>COUNTIF(D41:CO41,"CL-H")*0.5</f>
        <v>0</v>
      </c>
      <c r="CT41" s="11">
        <f>COUNTIF(D41:CO41,"C-Off")</f>
        <v>0</v>
      </c>
      <c r="CU41" s="11">
        <f>COUNTIF(D41:CO41,"C-Off-H")*0.5</f>
        <v>0</v>
      </c>
      <c r="CV41" s="11">
        <f t="shared" si="48"/>
        <v>0</v>
      </c>
      <c r="CW41" s="11">
        <f>COUNTIF(D41:CO41,"P")</f>
        <v>0</v>
      </c>
      <c r="CX41" s="11">
        <f>COUNTIF(D41:CO41,"H")+COUNTIF(D41:CO41,"S")</f>
        <v>11</v>
      </c>
      <c r="CY41" s="11">
        <f>COUNTIF(D41:CO41,"A-H")*0.5</f>
        <v>0</v>
      </c>
      <c r="CZ41" s="11">
        <f>COUNTIF(D41:CO41,"A")</f>
        <v>19</v>
      </c>
      <c r="DA41" s="12">
        <f t="shared" si="36"/>
        <v>19</v>
      </c>
      <c r="DB41" s="13">
        <v>30</v>
      </c>
      <c r="DC41" s="11">
        <f t="shared" si="37"/>
        <v>11</v>
      </c>
      <c r="DD41" s="14"/>
      <c r="DE41" s="14"/>
    </row>
    <row r="42" spans="1:109" s="10" customFormat="1" ht="30.75" customHeight="1" x14ac:dyDescent="0.25">
      <c r="A42" s="7" t="s">
        <v>62</v>
      </c>
      <c r="B42" s="8"/>
      <c r="C42" s="9"/>
      <c r="D42" s="15"/>
      <c r="E42" s="15"/>
      <c r="F42" s="3" t="s">
        <v>22</v>
      </c>
      <c r="G42" s="15"/>
      <c r="H42" s="15"/>
      <c r="I42" s="3" t="s">
        <v>64</v>
      </c>
      <c r="J42" s="15"/>
      <c r="K42" s="15"/>
      <c r="L42" s="3" t="str">
        <f t="shared" si="3"/>
        <v>A</v>
      </c>
      <c r="M42" s="15"/>
      <c r="N42" s="15"/>
      <c r="O42" s="3" t="str">
        <f t="shared" si="4"/>
        <v>A</v>
      </c>
      <c r="P42" s="15"/>
      <c r="Q42" s="15"/>
      <c r="R42" s="3" t="str">
        <f t="shared" si="5"/>
        <v>A</v>
      </c>
      <c r="S42" s="15"/>
      <c r="T42" s="15"/>
      <c r="U42" s="3" t="str">
        <f t="shared" si="6"/>
        <v>A</v>
      </c>
      <c r="V42" s="15"/>
      <c r="W42" s="15"/>
      <c r="X42" s="3" t="s">
        <v>22</v>
      </c>
      <c r="Y42" s="15"/>
      <c r="Z42" s="15"/>
      <c r="AA42" s="3" t="s">
        <v>22</v>
      </c>
      <c r="AB42" s="15"/>
      <c r="AC42" s="15"/>
      <c r="AD42" s="3" t="str">
        <f t="shared" si="7"/>
        <v>A</v>
      </c>
      <c r="AE42" s="15"/>
      <c r="AF42" s="15"/>
      <c r="AG42" s="3" t="str">
        <f t="shared" si="8"/>
        <v>A</v>
      </c>
      <c r="AH42" s="15"/>
      <c r="AI42" s="15"/>
      <c r="AJ42" s="3" t="s">
        <v>64</v>
      </c>
      <c r="AK42" s="15"/>
      <c r="AL42" s="15"/>
      <c r="AM42" s="3" t="str">
        <f t="shared" si="9"/>
        <v>A</v>
      </c>
      <c r="AN42" s="15"/>
      <c r="AO42" s="15"/>
      <c r="AP42" s="3" t="str">
        <f t="shared" si="10"/>
        <v>A</v>
      </c>
      <c r="AQ42" s="15"/>
      <c r="AR42" s="15"/>
      <c r="AS42" s="3" t="s">
        <v>22</v>
      </c>
      <c r="AT42" s="15"/>
      <c r="AU42" s="15"/>
      <c r="AV42" s="3" t="s">
        <v>22</v>
      </c>
      <c r="AW42" s="15"/>
      <c r="AX42" s="15"/>
      <c r="AY42" s="3" t="str">
        <f t="shared" si="11"/>
        <v>A</v>
      </c>
      <c r="AZ42" s="15"/>
      <c r="BA42" s="15"/>
      <c r="BB42" s="3" t="str">
        <f t="shared" si="12"/>
        <v>A</v>
      </c>
      <c r="BC42" s="15"/>
      <c r="BD42" s="15"/>
      <c r="BE42" s="3" t="str">
        <f t="shared" si="13"/>
        <v>A</v>
      </c>
      <c r="BF42" s="15"/>
      <c r="BG42" s="15"/>
      <c r="BH42" s="3" t="str">
        <f t="shared" si="14"/>
        <v>A</v>
      </c>
      <c r="BI42" s="15"/>
      <c r="BJ42" s="15"/>
      <c r="BK42" s="3" t="str">
        <f t="shared" si="15"/>
        <v>A</v>
      </c>
      <c r="BL42" s="15"/>
      <c r="BM42" s="15"/>
      <c r="BN42" s="3" t="s">
        <v>22</v>
      </c>
      <c r="BO42" s="15"/>
      <c r="BP42" s="15"/>
      <c r="BQ42" s="3" t="s">
        <v>22</v>
      </c>
      <c r="BR42" s="15"/>
      <c r="BS42" s="15"/>
      <c r="BT42" s="3" t="str">
        <f t="shared" si="16"/>
        <v>A</v>
      </c>
      <c r="BU42" s="15"/>
      <c r="BV42" s="15"/>
      <c r="BW42" s="3" t="str">
        <f t="shared" si="17"/>
        <v>A</v>
      </c>
      <c r="BX42" s="15"/>
      <c r="BY42" s="15"/>
      <c r="BZ42" s="3" t="str">
        <f t="shared" si="18"/>
        <v>A</v>
      </c>
      <c r="CA42" s="15"/>
      <c r="CB42" s="15"/>
      <c r="CC42" s="3" t="str">
        <f t="shared" si="19"/>
        <v>A</v>
      </c>
      <c r="CD42" s="15"/>
      <c r="CE42" s="15"/>
      <c r="CF42" s="3" t="str">
        <f t="shared" si="20"/>
        <v>A</v>
      </c>
      <c r="CG42" s="15"/>
      <c r="CH42" s="15"/>
      <c r="CI42" s="3" t="s">
        <v>22</v>
      </c>
      <c r="CJ42" s="15"/>
      <c r="CK42" s="16"/>
      <c r="CL42" s="3" t="s">
        <v>22</v>
      </c>
      <c r="CM42" s="15"/>
      <c r="CN42" s="16"/>
      <c r="CO42" s="3" t="str">
        <f t="shared" si="21"/>
        <v>A</v>
      </c>
      <c r="CP42" s="11">
        <f>COUNTIF(D42:CO42,"EL")</f>
        <v>0</v>
      </c>
      <c r="CQ42" s="11">
        <f>COUNTIF(D42:CO42,"EL-H")*0.5</f>
        <v>0</v>
      </c>
      <c r="CR42" s="11">
        <f>COUNTIF(D42:CO42,"CL")</f>
        <v>0</v>
      </c>
      <c r="CS42" s="11">
        <f>COUNTIF(D42:CO42,"CL-H")*0.5</f>
        <v>0</v>
      </c>
      <c r="CT42" s="11">
        <f>COUNTIF(D42:CO42,"C-Off")</f>
        <v>0</v>
      </c>
      <c r="CU42" s="11">
        <f>COUNTIF(D42:CO42,"C-Off-H")*0.5</f>
        <v>0</v>
      </c>
      <c r="CV42" s="11">
        <f t="shared" ref="CV42" si="49">SUM(CP42:CU42)</f>
        <v>0</v>
      </c>
      <c r="CW42" s="11">
        <f>COUNTIF(D42:CO42,"P")</f>
        <v>0</v>
      </c>
      <c r="CX42" s="11">
        <f>COUNTIF(D42:CO42,"H")+COUNTIF(D42:CO42,"S")</f>
        <v>11</v>
      </c>
      <c r="CY42" s="11">
        <f>COUNTIF(D42:CO42,"A-H")*0.5</f>
        <v>0</v>
      </c>
      <c r="CZ42" s="11">
        <f>COUNTIF(D42:CO42,"A")</f>
        <v>19</v>
      </c>
      <c r="DA42" s="12">
        <f t="shared" si="36"/>
        <v>19</v>
      </c>
      <c r="DB42" s="13">
        <v>30</v>
      </c>
      <c r="DC42" s="11">
        <f t="shared" si="37"/>
        <v>11</v>
      </c>
      <c r="DD42" s="14"/>
      <c r="DE42" s="14"/>
    </row>
  </sheetData>
  <sheetProtection formatCells="0" formatColumns="0" formatRows="0" insertColumns="0" insertRows="0" insertHyperlinks="0" deleteColumns="0" deleteRows="0" sort="0" autoFilter="0" pivotTables="0"/>
  <dataConsolidate/>
  <mergeCells count="36">
    <mergeCell ref="DE1:DE2"/>
    <mergeCell ref="A1:CO1"/>
    <mergeCell ref="CP1:CV1"/>
    <mergeCell ref="CW1:DA1"/>
    <mergeCell ref="DB1:DC1"/>
    <mergeCell ref="BO2:BQ2"/>
    <mergeCell ref="AH2:AJ2"/>
    <mergeCell ref="AK2:AM2"/>
    <mergeCell ref="BR2:BT2"/>
    <mergeCell ref="BU2:BW2"/>
    <mergeCell ref="DD1:DD2"/>
    <mergeCell ref="AN2:AP2"/>
    <mergeCell ref="D2:F2"/>
    <mergeCell ref="G2:I2"/>
    <mergeCell ref="J2:L2"/>
    <mergeCell ref="M2:O2"/>
    <mergeCell ref="AE2:AG2"/>
    <mergeCell ref="P2:R2"/>
    <mergeCell ref="S2:U2"/>
    <mergeCell ref="V2:X2"/>
    <mergeCell ref="Y2:AA2"/>
    <mergeCell ref="AB2:AD2"/>
    <mergeCell ref="AQ2:AS2"/>
    <mergeCell ref="AT2:AV2"/>
    <mergeCell ref="AW2:AY2"/>
    <mergeCell ref="AZ2:BB2"/>
    <mergeCell ref="BC2:BE2"/>
    <mergeCell ref="CA2:CC2"/>
    <mergeCell ref="CD2:CF2"/>
    <mergeCell ref="CG2:CI2"/>
    <mergeCell ref="BF2:BH2"/>
    <mergeCell ref="BI2:BK2"/>
    <mergeCell ref="BL2:BN2"/>
    <mergeCell ref="BX2:BZ2"/>
    <mergeCell ref="CM2:CO2"/>
    <mergeCell ref="CJ2:CL2"/>
  </mergeCells>
  <phoneticPr fontId="11" type="noConversion"/>
  <conditionalFormatting sqref="B2:D2 DC5 CQ5:CW5 M5:N5 CX4:CX6 Z4:Z6 CN4:CN5 G2 J2 M2 P2 S2 V2 Y2 AB2 AE2 AH2 AK2 AN2 AQ2 AT2 AW2 AZ2 BC2 BF2 BI2 BL2 BO2 BR2 BU2 BX2 CA2 CD2 CG2 CP4:CP6 CP8:CP10 CP12:CP14 CP16:CP18 CP20:CP22 CP24:CP26 CP28:CP30 CP32:CP34 CP36:CP38 CP40:CP42 CJ2 CM2">
    <cfRule type="cellIs" dxfId="20044" priority="53974" operator="equal">
      <formula>"C-Off-H"</formula>
    </cfRule>
    <cfRule type="cellIs" dxfId="20043" priority="53975" operator="equal">
      <formula>"C-Off"</formula>
    </cfRule>
    <cfRule type="cellIs" dxfId="20042" priority="53976" operator="equal">
      <formula>"CL-H"</formula>
    </cfRule>
    <cfRule type="cellIs" dxfId="20041" priority="53977" operator="equal">
      <formula>"EL-H"</formula>
    </cfRule>
    <cfRule type="cellIs" dxfId="20040" priority="53978" operator="equal">
      <formula>"CL"</formula>
    </cfRule>
    <cfRule type="cellIs" dxfId="20039" priority="53979" operator="equal">
      <formula>"EL"</formula>
    </cfRule>
  </conditionalFormatting>
  <conditionalFormatting sqref="A1 CQ5:CW5 M5:N5 CY5:DA5 DC5 CX4:CX6 Z4:Z6 CN4:CN5 A3:A42 A43:CI1048576 CP4:CP6 CP8:CP10 CP12:CP14 CP16:CP18 CP20:CP22 CP24:CP26 CP28:CP30 CP32:CP34 CP36:CP38 CP40:CP42 A2:CO2 CM43:XFD1048576">
    <cfRule type="containsText" dxfId="20038" priority="53973" operator="containsText" text="A-H">
      <formula>NOT(ISERROR(SEARCH("A-H",A1)))</formula>
    </cfRule>
  </conditionalFormatting>
  <conditionalFormatting sqref="A2">
    <cfRule type="cellIs" dxfId="20037" priority="53967" operator="equal">
      <formula>"C-Off-H"</formula>
    </cfRule>
    <cfRule type="cellIs" dxfId="20036" priority="53968" operator="equal">
      <formula>"C-Off"</formula>
    </cfRule>
    <cfRule type="cellIs" dxfId="20035" priority="53969" operator="equal">
      <formula>"CL-H"</formula>
    </cfRule>
    <cfRule type="cellIs" dxfId="20034" priority="53970" operator="equal">
      <formula>"EL-H"</formula>
    </cfRule>
    <cfRule type="cellIs" dxfId="20033" priority="53971" operator="equal">
      <formula>"CL"</formula>
    </cfRule>
    <cfRule type="cellIs" dxfId="20032" priority="53972" operator="equal">
      <formula>"EL"</formula>
    </cfRule>
  </conditionalFormatting>
  <conditionalFormatting sqref="CQ5:CW5 CY5:DA5 DC5 CX4:CX6 CN4:CN5 CP4:CP6 CP8:CP10 CP12:CP14 CP16:CP18 CP20:CP22 CP24:CP26 CP28:CP30 CP32:CP34 CP36:CP38 CP40:CP42">
    <cfRule type="containsText" dxfId="20031" priority="53953" operator="containsText" text="A">
      <formula>NOT(ISERROR(SEARCH("A",CN4)))</formula>
    </cfRule>
  </conditionalFormatting>
  <conditionalFormatting sqref="DA5 CY5">
    <cfRule type="cellIs" dxfId="20030" priority="53947" stopIfTrue="1" operator="equal">
      <formula>"C-Off-H"</formula>
    </cfRule>
    <cfRule type="cellIs" dxfId="20029" priority="53948" stopIfTrue="1" operator="equal">
      <formula>"C-Off"</formula>
    </cfRule>
    <cfRule type="cellIs" dxfId="20028" priority="53949" stopIfTrue="1" operator="equal">
      <formula>"CL-H"</formula>
    </cfRule>
    <cfRule type="cellIs" dxfId="20027" priority="53950" stopIfTrue="1" operator="equal">
      <formula>"EL-H"</formula>
    </cfRule>
    <cfRule type="cellIs" dxfId="20026" priority="53951" stopIfTrue="1" operator="equal">
      <formula>"CL"</formula>
    </cfRule>
    <cfRule type="cellIs" dxfId="20025" priority="53952" stopIfTrue="1" operator="equal">
      <formula>"EL"</formula>
    </cfRule>
  </conditionalFormatting>
  <conditionalFormatting sqref="CZ5">
    <cfRule type="cellIs" dxfId="20024" priority="53941" stopIfTrue="1" operator="equal">
      <formula>"C-Off-H"</formula>
    </cfRule>
    <cfRule type="cellIs" dxfId="20023" priority="53942" stopIfTrue="1" operator="equal">
      <formula>"C-Off"</formula>
    </cfRule>
    <cfRule type="cellIs" dxfId="20022" priority="53943" stopIfTrue="1" operator="equal">
      <formula>"CL-H"</formula>
    </cfRule>
    <cfRule type="cellIs" dxfId="20021" priority="53944" stopIfTrue="1" operator="equal">
      <formula>"EL-H"</formula>
    </cfRule>
    <cfRule type="cellIs" dxfId="20020" priority="53945" stopIfTrue="1" operator="equal">
      <formula>"CL"</formula>
    </cfRule>
    <cfRule type="cellIs" dxfId="20019" priority="53946" stopIfTrue="1" operator="equal">
      <formula>"EL"</formula>
    </cfRule>
  </conditionalFormatting>
  <conditionalFormatting sqref="CP1 DD1 DB1 CW1 CP2:DC2">
    <cfRule type="containsText" dxfId="20018" priority="53940" operator="containsText" text="A-H">
      <formula>NOT(ISERROR(SEARCH("A-H",CP1)))</formula>
    </cfRule>
  </conditionalFormatting>
  <conditionalFormatting sqref="M5:N5 Z4:Z6 CN4:CN5">
    <cfRule type="containsText" dxfId="20017" priority="53861" operator="containsText" text="S">
      <formula>NOT(ISERROR(SEARCH("S",M4)))</formula>
    </cfRule>
    <cfRule type="containsText" dxfId="20016" priority="53862" operator="containsText" text="P">
      <formula>NOT(ISERROR(SEARCH("P",M4)))</formula>
    </cfRule>
    <cfRule type="containsText" dxfId="20015" priority="53863" operator="containsText" text="H">
      <formula>NOT(ISERROR(SEARCH("H",M4)))</formula>
    </cfRule>
    <cfRule type="containsText" dxfId="20014" priority="53865" operator="containsText" text="&quot;H&quot;">
      <formula>NOT(ISERROR(SEARCH("""H""",M4)))</formula>
    </cfRule>
    <cfRule type="containsText" dxfId="20013" priority="53866" operator="containsText" text="&quot;A&quot;">
      <formula>NOT(ISERROR(SEARCH("""A""",M4)))</formula>
    </cfRule>
  </conditionalFormatting>
  <conditionalFormatting sqref="DD5">
    <cfRule type="cellIs" dxfId="20012" priority="46745" operator="equal">
      <formula>"C-Off-H"</formula>
    </cfRule>
    <cfRule type="cellIs" dxfId="20011" priority="46746" operator="equal">
      <formula>"C-Off"</formula>
    </cfRule>
    <cfRule type="cellIs" dxfId="20010" priority="46747" operator="equal">
      <formula>"CL-H"</formula>
    </cfRule>
    <cfRule type="cellIs" dxfId="20009" priority="46748" operator="equal">
      <formula>"EL-H"</formula>
    </cfRule>
    <cfRule type="cellIs" dxfId="20008" priority="46749" operator="equal">
      <formula>"CL"</formula>
    </cfRule>
    <cfRule type="cellIs" dxfId="20007" priority="46750" operator="equal">
      <formula>"EL"</formula>
    </cfRule>
  </conditionalFormatting>
  <conditionalFormatting sqref="DD5">
    <cfRule type="containsText" dxfId="20006" priority="46744" operator="containsText" text="A">
      <formula>NOT(ISERROR(SEARCH("A",DD5)))</formula>
    </cfRule>
  </conditionalFormatting>
  <conditionalFormatting sqref="DD5">
    <cfRule type="containsText" dxfId="20005" priority="46731" operator="containsText" text="A-H">
      <formula>NOT(ISERROR(SEARCH("A-H",DD5)))</formula>
    </cfRule>
  </conditionalFormatting>
  <conditionalFormatting sqref="AI5">
    <cfRule type="cellIs" dxfId="20004" priority="46695" operator="equal">
      <formula>"C-Off-H"</formula>
    </cfRule>
    <cfRule type="cellIs" dxfId="20003" priority="46696" operator="equal">
      <formula>"C-Off"</formula>
    </cfRule>
    <cfRule type="cellIs" dxfId="20002" priority="46697" operator="equal">
      <formula>"CL-H"</formula>
    </cfRule>
    <cfRule type="cellIs" dxfId="20001" priority="46698" operator="equal">
      <formula>"EL-H"</formula>
    </cfRule>
    <cfRule type="cellIs" dxfId="20000" priority="46699" operator="equal">
      <formula>"CL"</formula>
    </cfRule>
    <cfRule type="cellIs" dxfId="19999" priority="46700" operator="equal">
      <formula>"EL"</formula>
    </cfRule>
  </conditionalFormatting>
  <conditionalFormatting sqref="AH5:AI5">
    <cfRule type="cellIs" dxfId="19998" priority="46689" operator="equal">
      <formula>"C-Off-H"</formula>
    </cfRule>
    <cfRule type="cellIs" dxfId="19997" priority="46690" operator="equal">
      <formula>"C-Off"</formula>
    </cfRule>
    <cfRule type="cellIs" dxfId="19996" priority="46691" operator="equal">
      <formula>"CL-H"</formula>
    </cfRule>
    <cfRule type="cellIs" dxfId="19995" priority="46692" operator="equal">
      <formula>"EL-H"</formula>
    </cfRule>
    <cfRule type="cellIs" dxfId="19994" priority="46693" operator="equal">
      <formula>"CL"</formula>
    </cfRule>
    <cfRule type="cellIs" dxfId="19993" priority="46694" operator="equal">
      <formula>"EL"</formula>
    </cfRule>
  </conditionalFormatting>
  <conditionalFormatting sqref="AH5:AI5">
    <cfRule type="containsText" dxfId="19992" priority="46683" operator="containsText" text="S">
      <formula>NOT(ISERROR(SEARCH("S",AH5)))</formula>
    </cfRule>
    <cfRule type="containsText" dxfId="19991" priority="46684" operator="containsText" text="P">
      <formula>NOT(ISERROR(SEARCH("P",AH5)))</formula>
    </cfRule>
    <cfRule type="containsText" dxfId="19990" priority="46685" operator="containsText" text="H">
      <formula>NOT(ISERROR(SEARCH("H",AH5)))</formula>
    </cfRule>
    <cfRule type="containsText" dxfId="19989" priority="46687" operator="containsText" text="&quot;H&quot;">
      <formula>NOT(ISERROR(SEARCH("""H""",AH5)))</formula>
    </cfRule>
    <cfRule type="containsText" dxfId="19988" priority="46688" operator="containsText" text="&quot;A&quot;">
      <formula>NOT(ISERROR(SEARCH("""A""",AH5)))</formula>
    </cfRule>
  </conditionalFormatting>
  <conditionalFormatting sqref="AH5:AI5">
    <cfRule type="containsText" dxfId="19987" priority="46686" operator="containsText" text="A-H">
      <formula>NOT(ISERROR(SEARCH("A-H",AH5)))</formula>
    </cfRule>
  </conditionalFormatting>
  <conditionalFormatting sqref="AU5">
    <cfRule type="cellIs" dxfId="19986" priority="46677" operator="equal">
      <formula>"C-Off-H"</formula>
    </cfRule>
    <cfRule type="cellIs" dxfId="19985" priority="46678" operator="equal">
      <formula>"C-Off"</formula>
    </cfRule>
    <cfRule type="cellIs" dxfId="19984" priority="46679" operator="equal">
      <formula>"CL-H"</formula>
    </cfRule>
    <cfRule type="cellIs" dxfId="19983" priority="46680" operator="equal">
      <formula>"EL-H"</formula>
    </cfRule>
    <cfRule type="cellIs" dxfId="19982" priority="46681" operator="equal">
      <formula>"CL"</formula>
    </cfRule>
    <cfRule type="cellIs" dxfId="19981" priority="46682" operator="equal">
      <formula>"EL"</formula>
    </cfRule>
  </conditionalFormatting>
  <conditionalFormatting sqref="AT5:AU5">
    <cfRule type="cellIs" dxfId="19980" priority="46671" operator="equal">
      <formula>"C-Off-H"</formula>
    </cfRule>
    <cfRule type="cellIs" dxfId="19979" priority="46672" operator="equal">
      <formula>"C-Off"</formula>
    </cfRule>
    <cfRule type="cellIs" dxfId="19978" priority="46673" operator="equal">
      <formula>"CL-H"</formula>
    </cfRule>
    <cfRule type="cellIs" dxfId="19977" priority="46674" operator="equal">
      <formula>"EL-H"</formula>
    </cfRule>
    <cfRule type="cellIs" dxfId="19976" priority="46675" operator="equal">
      <formula>"CL"</formula>
    </cfRule>
    <cfRule type="cellIs" dxfId="19975" priority="46676" operator="equal">
      <formula>"EL"</formula>
    </cfRule>
  </conditionalFormatting>
  <conditionalFormatting sqref="AT5:AU5">
    <cfRule type="containsText" dxfId="19974" priority="46665" operator="containsText" text="S">
      <formula>NOT(ISERROR(SEARCH("S",AT5)))</formula>
    </cfRule>
    <cfRule type="containsText" dxfId="19973" priority="46666" operator="containsText" text="P">
      <formula>NOT(ISERROR(SEARCH("P",AT5)))</formula>
    </cfRule>
    <cfRule type="containsText" dxfId="19972" priority="46667" operator="containsText" text="H">
      <formula>NOT(ISERROR(SEARCH("H",AT5)))</formula>
    </cfRule>
    <cfRule type="containsText" dxfId="19971" priority="46669" operator="containsText" text="&quot;H&quot;">
      <formula>NOT(ISERROR(SEARCH("""H""",AT5)))</formula>
    </cfRule>
    <cfRule type="containsText" dxfId="19970" priority="46670" operator="containsText" text="&quot;A&quot;">
      <formula>NOT(ISERROR(SEARCH("""A""",AT5)))</formula>
    </cfRule>
  </conditionalFormatting>
  <conditionalFormatting sqref="AT5:AU5">
    <cfRule type="containsText" dxfId="19969" priority="46668" operator="containsText" text="A-H">
      <formula>NOT(ISERROR(SEARCH("A-H",AT5)))</formula>
    </cfRule>
  </conditionalFormatting>
  <conditionalFormatting sqref="E5">
    <cfRule type="cellIs" dxfId="19968" priority="46659" operator="equal">
      <formula>"C-Off-H"</formula>
    </cfRule>
    <cfRule type="cellIs" dxfId="19967" priority="46660" operator="equal">
      <formula>"C-Off"</formula>
    </cfRule>
    <cfRule type="cellIs" dxfId="19966" priority="46661" operator="equal">
      <formula>"CL-H"</formula>
    </cfRule>
    <cfRule type="cellIs" dxfId="19965" priority="46662" operator="equal">
      <formula>"EL-H"</formula>
    </cfRule>
    <cfRule type="cellIs" dxfId="19964" priority="46663" operator="equal">
      <formula>"CL"</formula>
    </cfRule>
    <cfRule type="cellIs" dxfId="19963" priority="46664" operator="equal">
      <formula>"EL"</formula>
    </cfRule>
  </conditionalFormatting>
  <conditionalFormatting sqref="D5:E5">
    <cfRule type="cellIs" dxfId="19962" priority="46653" operator="equal">
      <formula>"C-Off-H"</formula>
    </cfRule>
    <cfRule type="cellIs" dxfId="19961" priority="46654" operator="equal">
      <formula>"C-Off"</formula>
    </cfRule>
    <cfRule type="cellIs" dxfId="19960" priority="46655" operator="equal">
      <formula>"CL-H"</formula>
    </cfRule>
    <cfRule type="cellIs" dxfId="19959" priority="46656" operator="equal">
      <formula>"EL-H"</formula>
    </cfRule>
    <cfRule type="cellIs" dxfId="19958" priority="46657" operator="equal">
      <formula>"CL"</formula>
    </cfRule>
    <cfRule type="cellIs" dxfId="19957" priority="46658" operator="equal">
      <formula>"EL"</formula>
    </cfRule>
  </conditionalFormatting>
  <conditionalFormatting sqref="D5:E5">
    <cfRule type="containsText" dxfId="19956" priority="46647" operator="containsText" text="S">
      <formula>NOT(ISERROR(SEARCH("S",D5)))</formula>
    </cfRule>
    <cfRule type="containsText" dxfId="19955" priority="46648" operator="containsText" text="P">
      <formula>NOT(ISERROR(SEARCH("P",D5)))</formula>
    </cfRule>
    <cfRule type="containsText" dxfId="19954" priority="46649" operator="containsText" text="H">
      <formula>NOT(ISERROR(SEARCH("H",D5)))</formula>
    </cfRule>
    <cfRule type="containsText" dxfId="19953" priority="46651" operator="containsText" text="&quot;H&quot;">
      <formula>NOT(ISERROR(SEARCH("""H""",D5)))</formula>
    </cfRule>
    <cfRule type="containsText" dxfId="19952" priority="46652" operator="containsText" text="&quot;A&quot;">
      <formula>NOT(ISERROR(SEARCH("""A""",D5)))</formula>
    </cfRule>
  </conditionalFormatting>
  <conditionalFormatting sqref="D5:E5">
    <cfRule type="containsText" dxfId="19951" priority="46650" operator="containsText" text="A-H">
      <formula>NOT(ISERROR(SEARCH("A-H",D5)))</formula>
    </cfRule>
  </conditionalFormatting>
  <conditionalFormatting sqref="Y5">
    <cfRule type="cellIs" dxfId="19950" priority="46616" operator="equal">
      <formula>"C-Off-H"</formula>
    </cfRule>
    <cfRule type="cellIs" dxfId="19949" priority="46617" operator="equal">
      <formula>"C-Off"</formula>
    </cfRule>
    <cfRule type="cellIs" dxfId="19948" priority="46618" operator="equal">
      <formula>"CL-H"</formula>
    </cfRule>
    <cfRule type="cellIs" dxfId="19947" priority="46619" operator="equal">
      <formula>"EL-H"</formula>
    </cfRule>
    <cfRule type="cellIs" dxfId="19946" priority="46620" operator="equal">
      <formula>"CL"</formula>
    </cfRule>
    <cfRule type="cellIs" dxfId="19945" priority="46621" operator="equal">
      <formula>"EL"</formula>
    </cfRule>
  </conditionalFormatting>
  <conditionalFormatting sqref="Y5">
    <cfRule type="containsText" dxfId="19944" priority="46610" operator="containsText" text="S">
      <formula>NOT(ISERROR(SEARCH("S",Y5)))</formula>
    </cfRule>
    <cfRule type="containsText" dxfId="19943" priority="46611" operator="containsText" text="P">
      <formula>NOT(ISERROR(SEARCH("P",Y5)))</formula>
    </cfRule>
    <cfRule type="containsText" dxfId="19942" priority="46612" operator="containsText" text="H">
      <formula>NOT(ISERROR(SEARCH("H",Y5)))</formula>
    </cfRule>
    <cfRule type="containsText" dxfId="19941" priority="46614" operator="containsText" text="&quot;H&quot;">
      <formula>NOT(ISERROR(SEARCH("""H""",Y5)))</formula>
    </cfRule>
    <cfRule type="containsText" dxfId="19940" priority="46615" operator="containsText" text="&quot;A&quot;">
      <formula>NOT(ISERROR(SEARCH("""A""",Y5)))</formula>
    </cfRule>
  </conditionalFormatting>
  <conditionalFormatting sqref="Y5">
    <cfRule type="containsText" dxfId="19939" priority="46613" operator="containsText" text="A-H">
      <formula>NOT(ISERROR(SEARCH("A-H",Y5)))</formula>
    </cfRule>
  </conditionalFormatting>
  <conditionalFormatting sqref="AF5">
    <cfRule type="cellIs" dxfId="19938" priority="46604" operator="equal">
      <formula>"C-Off-H"</formula>
    </cfRule>
    <cfRule type="cellIs" dxfId="19937" priority="46605" operator="equal">
      <formula>"C-Off"</formula>
    </cfRule>
    <cfRule type="cellIs" dxfId="19936" priority="46606" operator="equal">
      <formula>"CL-H"</formula>
    </cfRule>
    <cfRule type="cellIs" dxfId="19935" priority="46607" operator="equal">
      <formula>"EL-H"</formula>
    </cfRule>
    <cfRule type="cellIs" dxfId="19934" priority="46608" operator="equal">
      <formula>"CL"</formula>
    </cfRule>
    <cfRule type="cellIs" dxfId="19933" priority="46609" operator="equal">
      <formula>"EL"</formula>
    </cfRule>
  </conditionalFormatting>
  <conditionalFormatting sqref="AF5">
    <cfRule type="containsText" dxfId="19932" priority="46598" operator="containsText" text="S">
      <formula>NOT(ISERROR(SEARCH("S",AF5)))</formula>
    </cfRule>
    <cfRule type="containsText" dxfId="19931" priority="46599" operator="containsText" text="P">
      <formula>NOT(ISERROR(SEARCH("P",AF5)))</formula>
    </cfRule>
    <cfRule type="containsText" dxfId="19930" priority="46600" operator="containsText" text="H">
      <formula>NOT(ISERROR(SEARCH("H",AF5)))</formula>
    </cfRule>
    <cfRule type="containsText" dxfId="19929" priority="46602" operator="containsText" text="&quot;H&quot;">
      <formula>NOT(ISERROR(SEARCH("""H""",AF5)))</formula>
    </cfRule>
    <cfRule type="containsText" dxfId="19928" priority="46603" operator="containsText" text="&quot;A&quot;">
      <formula>NOT(ISERROR(SEARCH("""A""",AF5)))</formula>
    </cfRule>
  </conditionalFormatting>
  <conditionalFormatting sqref="AF5">
    <cfRule type="containsText" dxfId="19927" priority="46601" operator="containsText" text="A-H">
      <formula>NOT(ISERROR(SEARCH("A-H",AF5)))</formula>
    </cfRule>
  </conditionalFormatting>
  <conditionalFormatting sqref="BO5:BP5">
    <cfRule type="cellIs" dxfId="19926" priority="46592" operator="equal">
      <formula>"C-Off-H"</formula>
    </cfRule>
    <cfRule type="cellIs" dxfId="19925" priority="46593" operator="equal">
      <formula>"C-Off"</formula>
    </cfRule>
    <cfRule type="cellIs" dxfId="19924" priority="46594" operator="equal">
      <formula>"CL-H"</formula>
    </cfRule>
    <cfRule type="cellIs" dxfId="19923" priority="46595" operator="equal">
      <formula>"EL-H"</formula>
    </cfRule>
    <cfRule type="cellIs" dxfId="19922" priority="46596" operator="equal">
      <formula>"CL"</formula>
    </cfRule>
    <cfRule type="cellIs" dxfId="19921" priority="46597" operator="equal">
      <formula>"EL"</formula>
    </cfRule>
  </conditionalFormatting>
  <conditionalFormatting sqref="BO5:BP5">
    <cfRule type="cellIs" dxfId="19920" priority="46586" operator="equal">
      <formula>"C-Off-H"</formula>
    </cfRule>
    <cfRule type="cellIs" dxfId="19919" priority="46587" operator="equal">
      <formula>"C-Off"</formula>
    </cfRule>
    <cfRule type="cellIs" dxfId="19918" priority="46588" operator="equal">
      <formula>"CL-H"</formula>
    </cfRule>
    <cfRule type="cellIs" dxfId="19917" priority="46589" operator="equal">
      <formula>"EL-H"</formula>
    </cfRule>
    <cfRule type="cellIs" dxfId="19916" priority="46590" operator="equal">
      <formula>"CL"</formula>
    </cfRule>
    <cfRule type="cellIs" dxfId="19915" priority="46591" operator="equal">
      <formula>"EL"</formula>
    </cfRule>
  </conditionalFormatting>
  <conditionalFormatting sqref="BO5:BP5">
    <cfRule type="containsText" dxfId="19914" priority="46580" operator="containsText" text="S">
      <formula>NOT(ISERROR(SEARCH("S",BO5)))</formula>
    </cfRule>
    <cfRule type="containsText" dxfId="19913" priority="46581" operator="containsText" text="P">
      <formula>NOT(ISERROR(SEARCH("P",BO5)))</formula>
    </cfRule>
    <cfRule type="containsText" dxfId="19912" priority="46582" operator="containsText" text="H">
      <formula>NOT(ISERROR(SEARCH("H",BO5)))</formula>
    </cfRule>
    <cfRule type="containsText" dxfId="19911" priority="46584" operator="containsText" text="&quot;H&quot;">
      <formula>NOT(ISERROR(SEARCH("""H""",BO5)))</formula>
    </cfRule>
    <cfRule type="containsText" dxfId="19910" priority="46585" operator="containsText" text="&quot;A&quot;">
      <formula>NOT(ISERROR(SEARCH("""A""",BO5)))</formula>
    </cfRule>
  </conditionalFormatting>
  <conditionalFormatting sqref="BO5:BP5">
    <cfRule type="containsText" dxfId="19909" priority="46583" operator="containsText" text="A-H">
      <formula>NOT(ISERROR(SEARCH("A-H",BO5)))</formula>
    </cfRule>
  </conditionalFormatting>
  <conditionalFormatting sqref="CM5">
    <cfRule type="cellIs" dxfId="19908" priority="46574" operator="equal">
      <formula>"C-Off-H"</formula>
    </cfRule>
    <cfRule type="cellIs" dxfId="19907" priority="46575" operator="equal">
      <formula>"C-Off"</formula>
    </cfRule>
    <cfRule type="cellIs" dxfId="19906" priority="46576" operator="equal">
      <formula>"CL-H"</formula>
    </cfRule>
    <cfRule type="cellIs" dxfId="19905" priority="46577" operator="equal">
      <formula>"EL-H"</formula>
    </cfRule>
    <cfRule type="cellIs" dxfId="19904" priority="46578" operator="equal">
      <formula>"CL"</formula>
    </cfRule>
    <cfRule type="cellIs" dxfId="19903" priority="46579" operator="equal">
      <formula>"EL"</formula>
    </cfRule>
  </conditionalFormatting>
  <conditionalFormatting sqref="CM5">
    <cfRule type="cellIs" dxfId="19902" priority="46568" operator="equal">
      <formula>"C-Off-H"</formula>
    </cfRule>
    <cfRule type="cellIs" dxfId="19901" priority="46569" operator="equal">
      <formula>"C-Off"</formula>
    </cfRule>
    <cfRule type="cellIs" dxfId="19900" priority="46570" operator="equal">
      <formula>"CL-H"</formula>
    </cfRule>
    <cfRule type="cellIs" dxfId="19899" priority="46571" operator="equal">
      <formula>"EL-H"</formula>
    </cfRule>
    <cfRule type="cellIs" dxfId="19898" priority="46572" operator="equal">
      <formula>"CL"</formula>
    </cfRule>
    <cfRule type="cellIs" dxfId="19897" priority="46573" operator="equal">
      <formula>"EL"</formula>
    </cfRule>
  </conditionalFormatting>
  <conditionalFormatting sqref="CM5">
    <cfRule type="containsText" dxfId="19896" priority="46562" operator="containsText" text="S">
      <formula>NOT(ISERROR(SEARCH("S",CM5)))</formula>
    </cfRule>
    <cfRule type="containsText" dxfId="19895" priority="46563" operator="containsText" text="P">
      <formula>NOT(ISERROR(SEARCH("P",CM5)))</formula>
    </cfRule>
    <cfRule type="containsText" dxfId="19894" priority="46564" operator="containsText" text="H">
      <formula>NOT(ISERROR(SEARCH("H",CM5)))</formula>
    </cfRule>
    <cfRule type="containsText" dxfId="19893" priority="46566" operator="containsText" text="&quot;H&quot;">
      <formula>NOT(ISERROR(SEARCH("""H""",CM5)))</formula>
    </cfRule>
    <cfRule type="containsText" dxfId="19892" priority="46567" operator="containsText" text="&quot;A&quot;">
      <formula>NOT(ISERROR(SEARCH("""A""",CM5)))</formula>
    </cfRule>
  </conditionalFormatting>
  <conditionalFormatting sqref="CM5">
    <cfRule type="containsText" dxfId="19891" priority="46565" operator="containsText" text="A-H">
      <formula>NOT(ISERROR(SEARCH("A-H",CM5)))</formula>
    </cfRule>
  </conditionalFormatting>
  <conditionalFormatting sqref="V5:W5">
    <cfRule type="cellIs" dxfId="19890" priority="46083" operator="equal">
      <formula>"C-Off-H"</formula>
    </cfRule>
    <cfRule type="cellIs" dxfId="19889" priority="46084" operator="equal">
      <formula>"C-Off"</formula>
    </cfRule>
    <cfRule type="cellIs" dxfId="19888" priority="46085" operator="equal">
      <formula>"CL-H"</formula>
    </cfRule>
    <cfRule type="cellIs" dxfId="19887" priority="46086" operator="equal">
      <formula>"EL-H"</formula>
    </cfRule>
    <cfRule type="cellIs" dxfId="19886" priority="46087" operator="equal">
      <formula>"CL"</formula>
    </cfRule>
    <cfRule type="cellIs" dxfId="19885" priority="46088" operator="equal">
      <formula>"EL"</formula>
    </cfRule>
  </conditionalFormatting>
  <conditionalFormatting sqref="V5:W5">
    <cfRule type="containsText" dxfId="19884" priority="46077" operator="containsText" text="S">
      <formula>NOT(ISERROR(SEARCH("S",V5)))</formula>
    </cfRule>
    <cfRule type="containsText" dxfId="19883" priority="46078" operator="containsText" text="P">
      <formula>NOT(ISERROR(SEARCH("P",V5)))</formula>
    </cfRule>
    <cfRule type="containsText" dxfId="19882" priority="46079" operator="containsText" text="H">
      <formula>NOT(ISERROR(SEARCH("H",V5)))</formula>
    </cfRule>
    <cfRule type="containsText" dxfId="19881" priority="46081" operator="containsText" text="&quot;H&quot;">
      <formula>NOT(ISERROR(SEARCH("""H""",V5)))</formula>
    </cfRule>
    <cfRule type="containsText" dxfId="19880" priority="46082" operator="containsText" text="&quot;A&quot;">
      <formula>NOT(ISERROR(SEARCH("""A""",V5)))</formula>
    </cfRule>
  </conditionalFormatting>
  <conditionalFormatting sqref="V5:W5">
    <cfRule type="containsText" dxfId="19879" priority="46080" operator="containsText" text="A-H">
      <formula>NOT(ISERROR(SEARCH("A-H",V5)))</formula>
    </cfRule>
  </conditionalFormatting>
  <conditionalFormatting sqref="P5:Q5">
    <cfRule type="cellIs" dxfId="19878" priority="46107" operator="equal">
      <formula>"C-Off-H"</formula>
    </cfRule>
    <cfRule type="cellIs" dxfId="19877" priority="46108" operator="equal">
      <formula>"C-Off"</formula>
    </cfRule>
    <cfRule type="cellIs" dxfId="19876" priority="46109" operator="equal">
      <formula>"CL-H"</formula>
    </cfRule>
    <cfRule type="cellIs" dxfId="19875" priority="46110" operator="equal">
      <formula>"EL-H"</formula>
    </cfRule>
    <cfRule type="cellIs" dxfId="19874" priority="46111" operator="equal">
      <formula>"CL"</formula>
    </cfRule>
    <cfRule type="cellIs" dxfId="19873" priority="46112" operator="equal">
      <formula>"EL"</formula>
    </cfRule>
  </conditionalFormatting>
  <conditionalFormatting sqref="P5:Q5">
    <cfRule type="containsText" dxfId="19872" priority="46101" operator="containsText" text="S">
      <formula>NOT(ISERROR(SEARCH("S",P5)))</formula>
    </cfRule>
    <cfRule type="containsText" dxfId="19871" priority="46102" operator="containsText" text="P">
      <formula>NOT(ISERROR(SEARCH("P",P5)))</formula>
    </cfRule>
    <cfRule type="containsText" dxfId="19870" priority="46103" operator="containsText" text="H">
      <formula>NOT(ISERROR(SEARCH("H",P5)))</formula>
    </cfRule>
    <cfRule type="containsText" dxfId="19869" priority="46105" operator="containsText" text="&quot;H&quot;">
      <formula>NOT(ISERROR(SEARCH("""H""",P5)))</formula>
    </cfRule>
    <cfRule type="containsText" dxfId="19868" priority="46106" operator="containsText" text="&quot;A&quot;">
      <formula>NOT(ISERROR(SEARCH("""A""",P5)))</formula>
    </cfRule>
  </conditionalFormatting>
  <conditionalFormatting sqref="P5:Q5">
    <cfRule type="containsText" dxfId="19867" priority="46104" operator="containsText" text="A-H">
      <formula>NOT(ISERROR(SEARCH("A-H",P5)))</formula>
    </cfRule>
  </conditionalFormatting>
  <conditionalFormatting sqref="S5:T5">
    <cfRule type="cellIs" dxfId="19866" priority="46095" operator="equal">
      <formula>"C-Off-H"</formula>
    </cfRule>
    <cfRule type="cellIs" dxfId="19865" priority="46096" operator="equal">
      <formula>"C-Off"</formula>
    </cfRule>
    <cfRule type="cellIs" dxfId="19864" priority="46097" operator="equal">
      <formula>"CL-H"</formula>
    </cfRule>
    <cfRule type="cellIs" dxfId="19863" priority="46098" operator="equal">
      <formula>"EL-H"</formula>
    </cfRule>
    <cfRule type="cellIs" dxfId="19862" priority="46099" operator="equal">
      <formula>"CL"</formula>
    </cfRule>
    <cfRule type="cellIs" dxfId="19861" priority="46100" operator="equal">
      <formula>"EL"</formula>
    </cfRule>
  </conditionalFormatting>
  <conditionalFormatting sqref="S5:T5">
    <cfRule type="containsText" dxfId="19860" priority="46089" operator="containsText" text="S">
      <formula>NOT(ISERROR(SEARCH("S",S5)))</formula>
    </cfRule>
    <cfRule type="containsText" dxfId="19859" priority="46090" operator="containsText" text="P">
      <formula>NOT(ISERROR(SEARCH("P",S5)))</formula>
    </cfRule>
    <cfRule type="containsText" dxfId="19858" priority="46091" operator="containsText" text="H">
      <formula>NOT(ISERROR(SEARCH("H",S5)))</formula>
    </cfRule>
    <cfRule type="containsText" dxfId="19857" priority="46093" operator="containsText" text="&quot;H&quot;">
      <formula>NOT(ISERROR(SEARCH("""H""",S5)))</formula>
    </cfRule>
    <cfRule type="containsText" dxfId="19856" priority="46094" operator="containsText" text="&quot;A&quot;">
      <formula>NOT(ISERROR(SEARCH("""A""",S5)))</formula>
    </cfRule>
  </conditionalFormatting>
  <conditionalFormatting sqref="S5:T5">
    <cfRule type="containsText" dxfId="19855" priority="46092" operator="containsText" text="A-H">
      <formula>NOT(ISERROR(SEARCH("A-H",S5)))</formula>
    </cfRule>
  </conditionalFormatting>
  <conditionalFormatting sqref="AB5:AC5">
    <cfRule type="cellIs" dxfId="19854" priority="46071" operator="equal">
      <formula>"C-Off-H"</formula>
    </cfRule>
    <cfRule type="cellIs" dxfId="19853" priority="46072" operator="equal">
      <formula>"C-Off"</formula>
    </cfRule>
    <cfRule type="cellIs" dxfId="19852" priority="46073" operator="equal">
      <formula>"CL-H"</formula>
    </cfRule>
    <cfRule type="cellIs" dxfId="19851" priority="46074" operator="equal">
      <formula>"EL-H"</formula>
    </cfRule>
    <cfRule type="cellIs" dxfId="19850" priority="46075" operator="equal">
      <formula>"CL"</formula>
    </cfRule>
    <cfRule type="cellIs" dxfId="19849" priority="46076" operator="equal">
      <formula>"EL"</formula>
    </cfRule>
  </conditionalFormatting>
  <conditionalFormatting sqref="AB5:AC5">
    <cfRule type="containsText" dxfId="19848" priority="46065" operator="containsText" text="S">
      <formula>NOT(ISERROR(SEARCH("S",AB5)))</formula>
    </cfRule>
    <cfRule type="containsText" dxfId="19847" priority="46066" operator="containsText" text="P">
      <formula>NOT(ISERROR(SEARCH("P",AB5)))</formula>
    </cfRule>
    <cfRule type="containsText" dxfId="19846" priority="46067" operator="containsText" text="H">
      <formula>NOT(ISERROR(SEARCH("H",AB5)))</formula>
    </cfRule>
    <cfRule type="containsText" dxfId="19845" priority="46069" operator="containsText" text="&quot;H&quot;">
      <formula>NOT(ISERROR(SEARCH("""H""",AB5)))</formula>
    </cfRule>
    <cfRule type="containsText" dxfId="19844" priority="46070" operator="containsText" text="&quot;A&quot;">
      <formula>NOT(ISERROR(SEARCH("""A""",AB5)))</formula>
    </cfRule>
  </conditionalFormatting>
  <conditionalFormatting sqref="AB5:AC5">
    <cfRule type="containsText" dxfId="19843" priority="46068" operator="containsText" text="A-H">
      <formula>NOT(ISERROR(SEARCH("A-H",AB5)))</formula>
    </cfRule>
  </conditionalFormatting>
  <conditionalFormatting sqref="AE5">
    <cfRule type="cellIs" dxfId="19842" priority="46059" operator="equal">
      <formula>"C-Off-H"</formula>
    </cfRule>
    <cfRule type="cellIs" dxfId="19841" priority="46060" operator="equal">
      <formula>"C-Off"</formula>
    </cfRule>
    <cfRule type="cellIs" dxfId="19840" priority="46061" operator="equal">
      <formula>"CL-H"</formula>
    </cfRule>
    <cfRule type="cellIs" dxfId="19839" priority="46062" operator="equal">
      <formula>"EL-H"</formula>
    </cfRule>
    <cfRule type="cellIs" dxfId="19838" priority="46063" operator="equal">
      <formula>"CL"</formula>
    </cfRule>
    <cfRule type="cellIs" dxfId="19837" priority="46064" operator="equal">
      <formula>"EL"</formula>
    </cfRule>
  </conditionalFormatting>
  <conditionalFormatting sqref="AE5">
    <cfRule type="containsText" dxfId="19836" priority="46053" operator="containsText" text="S">
      <formula>NOT(ISERROR(SEARCH("S",AE5)))</formula>
    </cfRule>
    <cfRule type="containsText" dxfId="19835" priority="46054" operator="containsText" text="P">
      <formula>NOT(ISERROR(SEARCH("P",AE5)))</formula>
    </cfRule>
    <cfRule type="containsText" dxfId="19834" priority="46055" operator="containsText" text="H">
      <formula>NOT(ISERROR(SEARCH("H",AE5)))</formula>
    </cfRule>
    <cfRule type="containsText" dxfId="19833" priority="46057" operator="containsText" text="&quot;H&quot;">
      <formula>NOT(ISERROR(SEARCH("""H""",AE5)))</formula>
    </cfRule>
    <cfRule type="containsText" dxfId="19832" priority="46058" operator="containsText" text="&quot;A&quot;">
      <formula>NOT(ISERROR(SEARCH("""A""",AE5)))</formula>
    </cfRule>
  </conditionalFormatting>
  <conditionalFormatting sqref="AE5">
    <cfRule type="containsText" dxfId="19831" priority="46056" operator="containsText" text="A-H">
      <formula>NOT(ISERROR(SEARCH("A-H",AE5)))</formula>
    </cfRule>
  </conditionalFormatting>
  <conditionalFormatting sqref="AK5:AL5">
    <cfRule type="cellIs" dxfId="19830" priority="46047" operator="equal">
      <formula>"C-Off-H"</formula>
    </cfRule>
    <cfRule type="cellIs" dxfId="19829" priority="46048" operator="equal">
      <formula>"C-Off"</formula>
    </cfRule>
    <cfRule type="cellIs" dxfId="19828" priority="46049" operator="equal">
      <formula>"CL-H"</formula>
    </cfRule>
    <cfRule type="cellIs" dxfId="19827" priority="46050" operator="equal">
      <formula>"EL-H"</formula>
    </cfRule>
    <cfRule type="cellIs" dxfId="19826" priority="46051" operator="equal">
      <formula>"CL"</formula>
    </cfRule>
    <cfRule type="cellIs" dxfId="19825" priority="46052" operator="equal">
      <formula>"EL"</formula>
    </cfRule>
  </conditionalFormatting>
  <conditionalFormatting sqref="AK5:AL5">
    <cfRule type="containsText" dxfId="19824" priority="46041" operator="containsText" text="S">
      <formula>NOT(ISERROR(SEARCH("S",AK5)))</formula>
    </cfRule>
    <cfRule type="containsText" dxfId="19823" priority="46042" operator="containsText" text="P">
      <formula>NOT(ISERROR(SEARCH("P",AK5)))</formula>
    </cfRule>
    <cfRule type="containsText" dxfId="19822" priority="46043" operator="containsText" text="H">
      <formula>NOT(ISERROR(SEARCH("H",AK5)))</formula>
    </cfRule>
    <cfRule type="containsText" dxfId="19821" priority="46045" operator="containsText" text="&quot;H&quot;">
      <formula>NOT(ISERROR(SEARCH("""H""",AK5)))</formula>
    </cfRule>
    <cfRule type="containsText" dxfId="19820" priority="46046" operator="containsText" text="&quot;A&quot;">
      <formula>NOT(ISERROR(SEARCH("""A""",AK5)))</formula>
    </cfRule>
  </conditionalFormatting>
  <conditionalFormatting sqref="AK5:AL5">
    <cfRule type="containsText" dxfId="19819" priority="46044" operator="containsText" text="A-H">
      <formula>NOT(ISERROR(SEARCH("A-H",AK5)))</formula>
    </cfRule>
  </conditionalFormatting>
  <conditionalFormatting sqref="AN5:AO5">
    <cfRule type="cellIs" dxfId="19818" priority="46035" operator="equal">
      <formula>"C-Off-H"</formula>
    </cfRule>
    <cfRule type="cellIs" dxfId="19817" priority="46036" operator="equal">
      <formula>"C-Off"</formula>
    </cfRule>
    <cfRule type="cellIs" dxfId="19816" priority="46037" operator="equal">
      <formula>"CL-H"</formula>
    </cfRule>
    <cfRule type="cellIs" dxfId="19815" priority="46038" operator="equal">
      <formula>"EL-H"</formula>
    </cfRule>
    <cfRule type="cellIs" dxfId="19814" priority="46039" operator="equal">
      <formula>"CL"</formula>
    </cfRule>
    <cfRule type="cellIs" dxfId="19813" priority="46040" operator="equal">
      <formula>"EL"</formula>
    </cfRule>
  </conditionalFormatting>
  <conditionalFormatting sqref="AN5:AO5">
    <cfRule type="containsText" dxfId="19812" priority="46029" operator="containsText" text="S">
      <formula>NOT(ISERROR(SEARCH("S",AN5)))</formula>
    </cfRule>
    <cfRule type="containsText" dxfId="19811" priority="46030" operator="containsText" text="P">
      <formula>NOT(ISERROR(SEARCH("P",AN5)))</formula>
    </cfRule>
    <cfRule type="containsText" dxfId="19810" priority="46031" operator="containsText" text="H">
      <formula>NOT(ISERROR(SEARCH("H",AN5)))</formula>
    </cfRule>
    <cfRule type="containsText" dxfId="19809" priority="46033" operator="containsText" text="&quot;H&quot;">
      <formula>NOT(ISERROR(SEARCH("""H""",AN5)))</formula>
    </cfRule>
    <cfRule type="containsText" dxfId="19808" priority="46034" operator="containsText" text="&quot;A&quot;">
      <formula>NOT(ISERROR(SEARCH("""A""",AN5)))</formula>
    </cfRule>
  </conditionalFormatting>
  <conditionalFormatting sqref="AN5:AO5">
    <cfRule type="containsText" dxfId="19807" priority="46032" operator="containsText" text="A-H">
      <formula>NOT(ISERROR(SEARCH("A-H",AN5)))</formula>
    </cfRule>
  </conditionalFormatting>
  <conditionalFormatting sqref="AQ5:AR5">
    <cfRule type="cellIs" dxfId="19806" priority="46023" operator="equal">
      <formula>"C-Off-H"</formula>
    </cfRule>
    <cfRule type="cellIs" dxfId="19805" priority="46024" operator="equal">
      <formula>"C-Off"</formula>
    </cfRule>
    <cfRule type="cellIs" dxfId="19804" priority="46025" operator="equal">
      <formula>"CL-H"</formula>
    </cfRule>
    <cfRule type="cellIs" dxfId="19803" priority="46026" operator="equal">
      <formula>"EL-H"</formula>
    </cfRule>
    <cfRule type="cellIs" dxfId="19802" priority="46027" operator="equal">
      <formula>"CL"</formula>
    </cfRule>
    <cfRule type="cellIs" dxfId="19801" priority="46028" operator="equal">
      <formula>"EL"</formula>
    </cfRule>
  </conditionalFormatting>
  <conditionalFormatting sqref="AQ5:AR5">
    <cfRule type="containsText" dxfId="19800" priority="46017" operator="containsText" text="S">
      <formula>NOT(ISERROR(SEARCH("S",AQ5)))</formula>
    </cfRule>
    <cfRule type="containsText" dxfId="19799" priority="46018" operator="containsText" text="P">
      <formula>NOT(ISERROR(SEARCH("P",AQ5)))</formula>
    </cfRule>
    <cfRule type="containsText" dxfId="19798" priority="46019" operator="containsText" text="H">
      <formula>NOT(ISERROR(SEARCH("H",AQ5)))</formula>
    </cfRule>
    <cfRule type="containsText" dxfId="19797" priority="46021" operator="containsText" text="&quot;H&quot;">
      <formula>NOT(ISERROR(SEARCH("""H""",AQ5)))</formula>
    </cfRule>
    <cfRule type="containsText" dxfId="19796" priority="46022" operator="containsText" text="&quot;A&quot;">
      <formula>NOT(ISERROR(SEARCH("""A""",AQ5)))</formula>
    </cfRule>
  </conditionalFormatting>
  <conditionalFormatting sqref="AQ5:AR5">
    <cfRule type="containsText" dxfId="19795" priority="46020" operator="containsText" text="A-H">
      <formula>NOT(ISERROR(SEARCH("A-H",AQ5)))</formula>
    </cfRule>
  </conditionalFormatting>
  <conditionalFormatting sqref="AW5:AX5">
    <cfRule type="cellIs" dxfId="19794" priority="46011" operator="equal">
      <formula>"C-Off-H"</formula>
    </cfRule>
    <cfRule type="cellIs" dxfId="19793" priority="46012" operator="equal">
      <formula>"C-Off"</formula>
    </cfRule>
    <cfRule type="cellIs" dxfId="19792" priority="46013" operator="equal">
      <formula>"CL-H"</formula>
    </cfRule>
    <cfRule type="cellIs" dxfId="19791" priority="46014" operator="equal">
      <formula>"EL-H"</formula>
    </cfRule>
    <cfRule type="cellIs" dxfId="19790" priority="46015" operator="equal">
      <formula>"CL"</formula>
    </cfRule>
    <cfRule type="cellIs" dxfId="19789" priority="46016" operator="equal">
      <formula>"EL"</formula>
    </cfRule>
  </conditionalFormatting>
  <conditionalFormatting sqref="AW5:AX5">
    <cfRule type="containsText" dxfId="19788" priority="46005" operator="containsText" text="S">
      <formula>NOT(ISERROR(SEARCH("S",AW5)))</formula>
    </cfRule>
    <cfRule type="containsText" dxfId="19787" priority="46006" operator="containsText" text="P">
      <formula>NOT(ISERROR(SEARCH("P",AW5)))</formula>
    </cfRule>
    <cfRule type="containsText" dxfId="19786" priority="46007" operator="containsText" text="H">
      <formula>NOT(ISERROR(SEARCH("H",AW5)))</formula>
    </cfRule>
    <cfRule type="containsText" dxfId="19785" priority="46009" operator="containsText" text="&quot;H&quot;">
      <formula>NOT(ISERROR(SEARCH("""H""",AW5)))</formula>
    </cfRule>
    <cfRule type="containsText" dxfId="19784" priority="46010" operator="containsText" text="&quot;A&quot;">
      <formula>NOT(ISERROR(SEARCH("""A""",AW5)))</formula>
    </cfRule>
  </conditionalFormatting>
  <conditionalFormatting sqref="AW5:AX5">
    <cfRule type="containsText" dxfId="19783" priority="46008" operator="containsText" text="A-H">
      <formula>NOT(ISERROR(SEARCH("A-H",AW5)))</formula>
    </cfRule>
  </conditionalFormatting>
  <conditionalFormatting sqref="AZ5:BA5">
    <cfRule type="cellIs" dxfId="19782" priority="45999" operator="equal">
      <formula>"C-Off-H"</formula>
    </cfRule>
    <cfRule type="cellIs" dxfId="19781" priority="46000" operator="equal">
      <formula>"C-Off"</formula>
    </cfRule>
    <cfRule type="cellIs" dxfId="19780" priority="46001" operator="equal">
      <formula>"CL-H"</formula>
    </cfRule>
    <cfRule type="cellIs" dxfId="19779" priority="46002" operator="equal">
      <formula>"EL-H"</formula>
    </cfRule>
    <cfRule type="cellIs" dxfId="19778" priority="46003" operator="equal">
      <formula>"CL"</formula>
    </cfRule>
    <cfRule type="cellIs" dxfId="19777" priority="46004" operator="equal">
      <formula>"EL"</formula>
    </cfRule>
  </conditionalFormatting>
  <conditionalFormatting sqref="AZ5:BA5">
    <cfRule type="containsText" dxfId="19776" priority="45993" operator="containsText" text="S">
      <formula>NOT(ISERROR(SEARCH("S",AZ5)))</formula>
    </cfRule>
    <cfRule type="containsText" dxfId="19775" priority="45994" operator="containsText" text="P">
      <formula>NOT(ISERROR(SEARCH("P",AZ5)))</formula>
    </cfRule>
    <cfRule type="containsText" dxfId="19774" priority="45995" operator="containsText" text="H">
      <formula>NOT(ISERROR(SEARCH("H",AZ5)))</formula>
    </cfRule>
    <cfRule type="containsText" dxfId="19773" priority="45997" operator="containsText" text="&quot;H&quot;">
      <formula>NOT(ISERROR(SEARCH("""H""",AZ5)))</formula>
    </cfRule>
    <cfRule type="containsText" dxfId="19772" priority="45998" operator="containsText" text="&quot;A&quot;">
      <formula>NOT(ISERROR(SEARCH("""A""",AZ5)))</formula>
    </cfRule>
  </conditionalFormatting>
  <conditionalFormatting sqref="AZ5:BA5">
    <cfRule type="containsText" dxfId="19771" priority="45996" operator="containsText" text="A-H">
      <formula>NOT(ISERROR(SEARCH("A-H",AZ5)))</formula>
    </cfRule>
  </conditionalFormatting>
  <conditionalFormatting sqref="BC5:BD5">
    <cfRule type="cellIs" dxfId="19770" priority="45987" operator="equal">
      <formula>"C-Off-H"</formula>
    </cfRule>
    <cfRule type="cellIs" dxfId="19769" priority="45988" operator="equal">
      <formula>"C-Off"</formula>
    </cfRule>
    <cfRule type="cellIs" dxfId="19768" priority="45989" operator="equal">
      <formula>"CL-H"</formula>
    </cfRule>
    <cfRule type="cellIs" dxfId="19767" priority="45990" operator="equal">
      <formula>"EL-H"</formula>
    </cfRule>
    <cfRule type="cellIs" dxfId="19766" priority="45991" operator="equal">
      <formula>"CL"</formula>
    </cfRule>
    <cfRule type="cellIs" dxfId="19765" priority="45992" operator="equal">
      <formula>"EL"</formula>
    </cfRule>
  </conditionalFormatting>
  <conditionalFormatting sqref="BC5:BD5">
    <cfRule type="containsText" dxfId="19764" priority="45981" operator="containsText" text="S">
      <formula>NOT(ISERROR(SEARCH("S",BC5)))</formula>
    </cfRule>
    <cfRule type="containsText" dxfId="19763" priority="45982" operator="containsText" text="P">
      <formula>NOT(ISERROR(SEARCH("P",BC5)))</formula>
    </cfRule>
    <cfRule type="containsText" dxfId="19762" priority="45983" operator="containsText" text="H">
      <formula>NOT(ISERROR(SEARCH("H",BC5)))</formula>
    </cfRule>
    <cfRule type="containsText" dxfId="19761" priority="45985" operator="containsText" text="&quot;H&quot;">
      <formula>NOT(ISERROR(SEARCH("""H""",BC5)))</formula>
    </cfRule>
    <cfRule type="containsText" dxfId="19760" priority="45986" operator="containsText" text="&quot;A&quot;">
      <formula>NOT(ISERROR(SEARCH("""A""",BC5)))</formula>
    </cfRule>
  </conditionalFormatting>
  <conditionalFormatting sqref="BC5:BD5">
    <cfRule type="containsText" dxfId="19759" priority="45984" operator="containsText" text="A-H">
      <formula>NOT(ISERROR(SEARCH("A-H",BC5)))</formula>
    </cfRule>
  </conditionalFormatting>
  <conditionalFormatting sqref="BF5:BG5">
    <cfRule type="cellIs" dxfId="19758" priority="45975" operator="equal">
      <formula>"C-Off-H"</formula>
    </cfRule>
    <cfRule type="cellIs" dxfId="19757" priority="45976" operator="equal">
      <formula>"C-Off"</formula>
    </cfRule>
    <cfRule type="cellIs" dxfId="19756" priority="45977" operator="equal">
      <formula>"CL-H"</formula>
    </cfRule>
    <cfRule type="cellIs" dxfId="19755" priority="45978" operator="equal">
      <formula>"EL-H"</formula>
    </cfRule>
    <cfRule type="cellIs" dxfId="19754" priority="45979" operator="equal">
      <formula>"CL"</formula>
    </cfRule>
    <cfRule type="cellIs" dxfId="19753" priority="45980" operator="equal">
      <formula>"EL"</formula>
    </cfRule>
  </conditionalFormatting>
  <conditionalFormatting sqref="BF5:BG5">
    <cfRule type="containsText" dxfId="19752" priority="45969" operator="containsText" text="S">
      <formula>NOT(ISERROR(SEARCH("S",BF5)))</formula>
    </cfRule>
    <cfRule type="containsText" dxfId="19751" priority="45970" operator="containsText" text="P">
      <formula>NOT(ISERROR(SEARCH("P",BF5)))</formula>
    </cfRule>
    <cfRule type="containsText" dxfId="19750" priority="45971" operator="containsText" text="H">
      <formula>NOT(ISERROR(SEARCH("H",BF5)))</formula>
    </cfRule>
    <cfRule type="containsText" dxfId="19749" priority="45973" operator="containsText" text="&quot;H&quot;">
      <formula>NOT(ISERROR(SEARCH("""H""",BF5)))</formula>
    </cfRule>
    <cfRule type="containsText" dxfId="19748" priority="45974" operator="containsText" text="&quot;A&quot;">
      <formula>NOT(ISERROR(SEARCH("""A""",BF5)))</formula>
    </cfRule>
  </conditionalFormatting>
  <conditionalFormatting sqref="BF5:BG5">
    <cfRule type="containsText" dxfId="19747" priority="45972" operator="containsText" text="A-H">
      <formula>NOT(ISERROR(SEARCH("A-H",BF5)))</formula>
    </cfRule>
  </conditionalFormatting>
  <conditionalFormatting sqref="BI5:BJ5">
    <cfRule type="cellIs" dxfId="19746" priority="45963" operator="equal">
      <formula>"C-Off-H"</formula>
    </cfRule>
    <cfRule type="cellIs" dxfId="19745" priority="45964" operator="equal">
      <formula>"C-Off"</formula>
    </cfRule>
    <cfRule type="cellIs" dxfId="19744" priority="45965" operator="equal">
      <formula>"CL-H"</formula>
    </cfRule>
    <cfRule type="cellIs" dxfId="19743" priority="45966" operator="equal">
      <formula>"EL-H"</formula>
    </cfRule>
    <cfRule type="cellIs" dxfId="19742" priority="45967" operator="equal">
      <formula>"CL"</formula>
    </cfRule>
    <cfRule type="cellIs" dxfId="19741" priority="45968" operator="equal">
      <formula>"EL"</formula>
    </cfRule>
  </conditionalFormatting>
  <conditionalFormatting sqref="BI5:BJ5">
    <cfRule type="containsText" dxfId="19740" priority="45957" operator="containsText" text="S">
      <formula>NOT(ISERROR(SEARCH("S",BI5)))</formula>
    </cfRule>
    <cfRule type="containsText" dxfId="19739" priority="45958" operator="containsText" text="P">
      <formula>NOT(ISERROR(SEARCH("P",BI5)))</formula>
    </cfRule>
    <cfRule type="containsText" dxfId="19738" priority="45959" operator="containsText" text="H">
      <formula>NOT(ISERROR(SEARCH("H",BI5)))</formula>
    </cfRule>
    <cfRule type="containsText" dxfId="19737" priority="45961" operator="containsText" text="&quot;H&quot;">
      <formula>NOT(ISERROR(SEARCH("""H""",BI5)))</formula>
    </cfRule>
    <cfRule type="containsText" dxfId="19736" priority="45962" operator="containsText" text="&quot;A&quot;">
      <formula>NOT(ISERROR(SEARCH("""A""",BI5)))</formula>
    </cfRule>
  </conditionalFormatting>
  <conditionalFormatting sqref="BI5:BJ5">
    <cfRule type="containsText" dxfId="19735" priority="45960" operator="containsText" text="A-H">
      <formula>NOT(ISERROR(SEARCH("A-H",BI5)))</formula>
    </cfRule>
  </conditionalFormatting>
  <conditionalFormatting sqref="BL5:BM5">
    <cfRule type="cellIs" dxfId="19734" priority="45951" operator="equal">
      <formula>"C-Off-H"</formula>
    </cfRule>
    <cfRule type="cellIs" dxfId="19733" priority="45952" operator="equal">
      <formula>"C-Off"</formula>
    </cfRule>
    <cfRule type="cellIs" dxfId="19732" priority="45953" operator="equal">
      <formula>"CL-H"</formula>
    </cfRule>
    <cfRule type="cellIs" dxfId="19731" priority="45954" operator="equal">
      <formula>"EL-H"</formula>
    </cfRule>
    <cfRule type="cellIs" dxfId="19730" priority="45955" operator="equal">
      <formula>"CL"</formula>
    </cfRule>
    <cfRule type="cellIs" dxfId="19729" priority="45956" operator="equal">
      <formula>"EL"</formula>
    </cfRule>
  </conditionalFormatting>
  <conditionalFormatting sqref="BL5:BM5">
    <cfRule type="containsText" dxfId="19728" priority="45945" operator="containsText" text="S">
      <formula>NOT(ISERROR(SEARCH("S",BL5)))</formula>
    </cfRule>
    <cfRule type="containsText" dxfId="19727" priority="45946" operator="containsText" text="P">
      <formula>NOT(ISERROR(SEARCH("P",BL5)))</formula>
    </cfRule>
    <cfRule type="containsText" dxfId="19726" priority="45947" operator="containsText" text="H">
      <formula>NOT(ISERROR(SEARCH("H",BL5)))</formula>
    </cfRule>
    <cfRule type="containsText" dxfId="19725" priority="45949" operator="containsText" text="&quot;H&quot;">
      <formula>NOT(ISERROR(SEARCH("""H""",BL5)))</formula>
    </cfRule>
    <cfRule type="containsText" dxfId="19724" priority="45950" operator="containsText" text="&quot;A&quot;">
      <formula>NOT(ISERROR(SEARCH("""A""",BL5)))</formula>
    </cfRule>
  </conditionalFormatting>
  <conditionalFormatting sqref="BL5:BM5">
    <cfRule type="containsText" dxfId="19723" priority="45948" operator="containsText" text="A-H">
      <formula>NOT(ISERROR(SEARCH("A-H",BL5)))</formula>
    </cfRule>
  </conditionalFormatting>
  <conditionalFormatting sqref="BR5:BS5">
    <cfRule type="cellIs" dxfId="19722" priority="45939" operator="equal">
      <formula>"C-Off-H"</formula>
    </cfRule>
    <cfRule type="cellIs" dxfId="19721" priority="45940" operator="equal">
      <formula>"C-Off"</formula>
    </cfRule>
    <cfRule type="cellIs" dxfId="19720" priority="45941" operator="equal">
      <formula>"CL-H"</formula>
    </cfRule>
    <cfRule type="cellIs" dxfId="19719" priority="45942" operator="equal">
      <formula>"EL-H"</formula>
    </cfRule>
    <cfRule type="cellIs" dxfId="19718" priority="45943" operator="equal">
      <formula>"CL"</formula>
    </cfRule>
    <cfRule type="cellIs" dxfId="19717" priority="45944" operator="equal">
      <formula>"EL"</formula>
    </cfRule>
  </conditionalFormatting>
  <conditionalFormatting sqref="BR5:BS5">
    <cfRule type="containsText" dxfId="19716" priority="45933" operator="containsText" text="S">
      <formula>NOT(ISERROR(SEARCH("S",BR5)))</formula>
    </cfRule>
    <cfRule type="containsText" dxfId="19715" priority="45934" operator="containsText" text="P">
      <formula>NOT(ISERROR(SEARCH("P",BR5)))</formula>
    </cfRule>
    <cfRule type="containsText" dxfId="19714" priority="45935" operator="containsText" text="H">
      <formula>NOT(ISERROR(SEARCH("H",BR5)))</formula>
    </cfRule>
    <cfRule type="containsText" dxfId="19713" priority="45937" operator="containsText" text="&quot;H&quot;">
      <formula>NOT(ISERROR(SEARCH("""H""",BR5)))</formula>
    </cfRule>
    <cfRule type="containsText" dxfId="19712" priority="45938" operator="containsText" text="&quot;A&quot;">
      <formula>NOT(ISERROR(SEARCH("""A""",BR5)))</formula>
    </cfRule>
  </conditionalFormatting>
  <conditionalFormatting sqref="BR5:BS5">
    <cfRule type="containsText" dxfId="19711" priority="45936" operator="containsText" text="A-H">
      <formula>NOT(ISERROR(SEARCH("A-H",BR5)))</formula>
    </cfRule>
  </conditionalFormatting>
  <conditionalFormatting sqref="BU5:BV5">
    <cfRule type="cellIs" dxfId="19710" priority="45927" operator="equal">
      <formula>"C-Off-H"</formula>
    </cfRule>
    <cfRule type="cellIs" dxfId="19709" priority="45928" operator="equal">
      <formula>"C-Off"</formula>
    </cfRule>
    <cfRule type="cellIs" dxfId="19708" priority="45929" operator="equal">
      <formula>"CL-H"</formula>
    </cfRule>
    <cfRule type="cellIs" dxfId="19707" priority="45930" operator="equal">
      <formula>"EL-H"</formula>
    </cfRule>
    <cfRule type="cellIs" dxfId="19706" priority="45931" operator="equal">
      <formula>"CL"</formula>
    </cfRule>
    <cfRule type="cellIs" dxfId="19705" priority="45932" operator="equal">
      <formula>"EL"</formula>
    </cfRule>
  </conditionalFormatting>
  <conditionalFormatting sqref="BU5:BV5">
    <cfRule type="containsText" dxfId="19704" priority="45921" operator="containsText" text="S">
      <formula>NOT(ISERROR(SEARCH("S",BU5)))</formula>
    </cfRule>
    <cfRule type="containsText" dxfId="19703" priority="45922" operator="containsText" text="P">
      <formula>NOT(ISERROR(SEARCH("P",BU5)))</formula>
    </cfRule>
    <cfRule type="containsText" dxfId="19702" priority="45923" operator="containsText" text="H">
      <formula>NOT(ISERROR(SEARCH("H",BU5)))</formula>
    </cfRule>
    <cfRule type="containsText" dxfId="19701" priority="45925" operator="containsText" text="&quot;H&quot;">
      <formula>NOT(ISERROR(SEARCH("""H""",BU5)))</formula>
    </cfRule>
    <cfRule type="containsText" dxfId="19700" priority="45926" operator="containsText" text="&quot;A&quot;">
      <formula>NOT(ISERROR(SEARCH("""A""",BU5)))</formula>
    </cfRule>
  </conditionalFormatting>
  <conditionalFormatting sqref="BU5:BV5">
    <cfRule type="containsText" dxfId="19699" priority="45924" operator="containsText" text="A-H">
      <formula>NOT(ISERROR(SEARCH("A-H",BU5)))</formula>
    </cfRule>
  </conditionalFormatting>
  <conditionalFormatting sqref="BY5">
    <cfRule type="cellIs" dxfId="19698" priority="45915" operator="equal">
      <formula>"C-Off-H"</formula>
    </cfRule>
    <cfRule type="cellIs" dxfId="19697" priority="45916" operator="equal">
      <formula>"C-Off"</formula>
    </cfRule>
    <cfRule type="cellIs" dxfId="19696" priority="45917" operator="equal">
      <formula>"CL-H"</formula>
    </cfRule>
    <cfRule type="cellIs" dxfId="19695" priority="45918" operator="equal">
      <formula>"EL-H"</formula>
    </cfRule>
    <cfRule type="cellIs" dxfId="19694" priority="45919" operator="equal">
      <formula>"CL"</formula>
    </cfRule>
    <cfRule type="cellIs" dxfId="19693" priority="45920" operator="equal">
      <formula>"EL"</formula>
    </cfRule>
  </conditionalFormatting>
  <conditionalFormatting sqref="BY5">
    <cfRule type="containsText" dxfId="19692" priority="45909" operator="containsText" text="S">
      <formula>NOT(ISERROR(SEARCH("S",BY5)))</formula>
    </cfRule>
    <cfRule type="containsText" dxfId="19691" priority="45910" operator="containsText" text="P">
      <formula>NOT(ISERROR(SEARCH("P",BY5)))</formula>
    </cfRule>
    <cfRule type="containsText" dxfId="19690" priority="45911" operator="containsText" text="H">
      <formula>NOT(ISERROR(SEARCH("H",BY5)))</formula>
    </cfRule>
    <cfRule type="containsText" dxfId="19689" priority="45913" operator="containsText" text="&quot;H&quot;">
      <formula>NOT(ISERROR(SEARCH("""H""",BY5)))</formula>
    </cfRule>
    <cfRule type="containsText" dxfId="19688" priority="45914" operator="containsText" text="&quot;A&quot;">
      <formula>NOT(ISERROR(SEARCH("""A""",BY5)))</formula>
    </cfRule>
  </conditionalFormatting>
  <conditionalFormatting sqref="BY5">
    <cfRule type="containsText" dxfId="19687" priority="45912" operator="containsText" text="A-H">
      <formula>NOT(ISERROR(SEARCH("A-H",BY5)))</formula>
    </cfRule>
  </conditionalFormatting>
  <conditionalFormatting sqref="BX5">
    <cfRule type="cellIs" dxfId="19686" priority="45903" operator="equal">
      <formula>"C-Off-H"</formula>
    </cfRule>
    <cfRule type="cellIs" dxfId="19685" priority="45904" operator="equal">
      <formula>"C-Off"</formula>
    </cfRule>
    <cfRule type="cellIs" dxfId="19684" priority="45905" operator="equal">
      <formula>"CL-H"</formula>
    </cfRule>
    <cfRule type="cellIs" dxfId="19683" priority="45906" operator="equal">
      <formula>"EL-H"</formula>
    </cfRule>
    <cfRule type="cellIs" dxfId="19682" priority="45907" operator="equal">
      <formula>"CL"</formula>
    </cfRule>
    <cfRule type="cellIs" dxfId="19681" priority="45908" operator="equal">
      <formula>"EL"</formula>
    </cfRule>
  </conditionalFormatting>
  <conditionalFormatting sqref="BX5">
    <cfRule type="containsText" dxfId="19680" priority="45897" operator="containsText" text="S">
      <formula>NOT(ISERROR(SEARCH("S",BX5)))</formula>
    </cfRule>
    <cfRule type="containsText" dxfId="19679" priority="45898" operator="containsText" text="P">
      <formula>NOT(ISERROR(SEARCH("P",BX5)))</formula>
    </cfRule>
    <cfRule type="containsText" dxfId="19678" priority="45899" operator="containsText" text="H">
      <formula>NOT(ISERROR(SEARCH("H",BX5)))</formula>
    </cfRule>
    <cfRule type="containsText" dxfId="19677" priority="45901" operator="containsText" text="&quot;H&quot;">
      <formula>NOT(ISERROR(SEARCH("""H""",BX5)))</formula>
    </cfRule>
    <cfRule type="containsText" dxfId="19676" priority="45902" operator="containsText" text="&quot;A&quot;">
      <formula>NOT(ISERROR(SEARCH("""A""",BX5)))</formula>
    </cfRule>
  </conditionalFormatting>
  <conditionalFormatting sqref="BX5">
    <cfRule type="containsText" dxfId="19675" priority="45900" operator="containsText" text="A-H">
      <formula>NOT(ISERROR(SEARCH("A-H",BX5)))</formula>
    </cfRule>
  </conditionalFormatting>
  <conditionalFormatting sqref="J5:K5">
    <cfRule type="cellIs" dxfId="19674" priority="42917" operator="equal">
      <formula>"C-Off-H"</formula>
    </cfRule>
    <cfRule type="cellIs" dxfId="19673" priority="42918" operator="equal">
      <formula>"C-Off"</formula>
    </cfRule>
    <cfRule type="cellIs" dxfId="19672" priority="42919" operator="equal">
      <formula>"CL-H"</formula>
    </cfRule>
    <cfRule type="cellIs" dxfId="19671" priority="42920" operator="equal">
      <formula>"EL-H"</formula>
    </cfRule>
    <cfRule type="cellIs" dxfId="19670" priority="42921" operator="equal">
      <formula>"CL"</formula>
    </cfRule>
    <cfRule type="cellIs" dxfId="19669" priority="42922" operator="equal">
      <formula>"EL"</formula>
    </cfRule>
  </conditionalFormatting>
  <conditionalFormatting sqref="J5:K5">
    <cfRule type="containsText" dxfId="19668" priority="42911" operator="containsText" text="S">
      <formula>NOT(ISERROR(SEARCH("S",J5)))</formula>
    </cfRule>
    <cfRule type="containsText" dxfId="19667" priority="42912" operator="containsText" text="P">
      <formula>NOT(ISERROR(SEARCH("P",J5)))</formula>
    </cfRule>
    <cfRule type="containsText" dxfId="19666" priority="42913" operator="containsText" text="H">
      <formula>NOT(ISERROR(SEARCH("H",J5)))</formula>
    </cfRule>
    <cfRule type="containsText" dxfId="19665" priority="42915" operator="containsText" text="&quot;H&quot;">
      <formula>NOT(ISERROR(SEARCH("""H""",J5)))</formula>
    </cfRule>
    <cfRule type="containsText" dxfId="19664" priority="42916" operator="containsText" text="&quot;A&quot;">
      <formula>NOT(ISERROR(SEARCH("""A""",J5)))</formula>
    </cfRule>
  </conditionalFormatting>
  <conditionalFormatting sqref="J5:K5">
    <cfRule type="containsText" dxfId="19663" priority="42914" operator="containsText" text="A-H">
      <formula>NOT(ISERROR(SEARCH("A-H",J5)))</formula>
    </cfRule>
  </conditionalFormatting>
  <conditionalFormatting sqref="DC6 M6:N6 CQ6:CW6">
    <cfRule type="cellIs" dxfId="19662" priority="42893" operator="equal">
      <formula>"C-Off-H"</formula>
    </cfRule>
    <cfRule type="cellIs" dxfId="19661" priority="42894" operator="equal">
      <formula>"C-Off"</formula>
    </cfRule>
    <cfRule type="cellIs" dxfId="19660" priority="42895" operator="equal">
      <formula>"CL-H"</formula>
    </cfRule>
    <cfRule type="cellIs" dxfId="19659" priority="42896" operator="equal">
      <formula>"EL-H"</formula>
    </cfRule>
    <cfRule type="cellIs" dxfId="19658" priority="42897" operator="equal">
      <formula>"CL"</formula>
    </cfRule>
    <cfRule type="cellIs" dxfId="19657" priority="42898" operator="equal">
      <formula>"EL"</formula>
    </cfRule>
  </conditionalFormatting>
  <conditionalFormatting sqref="M6:N6 CQ6:CW6 CY6:DA6 DC6">
    <cfRule type="containsText" dxfId="19656" priority="42892" operator="containsText" text="A-H">
      <formula>NOT(ISERROR(SEARCH("A-H",M6)))</formula>
    </cfRule>
  </conditionalFormatting>
  <conditionalFormatting sqref="CQ6:CW6 CY6:DA6 DC6">
    <cfRule type="containsText" dxfId="19655" priority="42891" operator="containsText" text="A">
      <formula>NOT(ISERROR(SEARCH("A",CQ6)))</formula>
    </cfRule>
  </conditionalFormatting>
  <conditionalFormatting sqref="CY6 DA6">
    <cfRule type="cellIs" dxfId="19654" priority="42885" stopIfTrue="1" operator="equal">
      <formula>"C-Off-H"</formula>
    </cfRule>
    <cfRule type="cellIs" dxfId="19653" priority="42886" stopIfTrue="1" operator="equal">
      <formula>"C-Off"</formula>
    </cfRule>
    <cfRule type="cellIs" dxfId="19652" priority="42887" stopIfTrue="1" operator="equal">
      <formula>"CL-H"</formula>
    </cfRule>
    <cfRule type="cellIs" dxfId="19651" priority="42888" stopIfTrue="1" operator="equal">
      <formula>"EL-H"</formula>
    </cfRule>
    <cfRule type="cellIs" dxfId="19650" priority="42889" stopIfTrue="1" operator="equal">
      <formula>"CL"</formula>
    </cfRule>
    <cfRule type="cellIs" dxfId="19649" priority="42890" stopIfTrue="1" operator="equal">
      <formula>"EL"</formula>
    </cfRule>
  </conditionalFormatting>
  <conditionalFormatting sqref="CZ6">
    <cfRule type="cellIs" dxfId="19648" priority="42879" stopIfTrue="1" operator="equal">
      <formula>"C-Off-H"</formula>
    </cfRule>
    <cfRule type="cellIs" dxfId="19647" priority="42880" stopIfTrue="1" operator="equal">
      <formula>"C-Off"</formula>
    </cfRule>
    <cfRule type="cellIs" dxfId="19646" priority="42881" stopIfTrue="1" operator="equal">
      <formula>"CL-H"</formula>
    </cfRule>
    <cfRule type="cellIs" dxfId="19645" priority="42882" stopIfTrue="1" operator="equal">
      <formula>"EL-H"</formula>
    </cfRule>
    <cfRule type="cellIs" dxfId="19644" priority="42883" stopIfTrue="1" operator="equal">
      <formula>"CL"</formula>
    </cfRule>
    <cfRule type="cellIs" dxfId="19643" priority="42884" stopIfTrue="1" operator="equal">
      <formula>"EL"</formula>
    </cfRule>
  </conditionalFormatting>
  <conditionalFormatting sqref="M6:N6">
    <cfRule type="containsText" dxfId="19642" priority="42874" operator="containsText" text="S">
      <formula>NOT(ISERROR(SEARCH("S",M6)))</formula>
    </cfRule>
    <cfRule type="containsText" dxfId="19641" priority="42875" operator="containsText" text="P">
      <formula>NOT(ISERROR(SEARCH("P",M6)))</formula>
    </cfRule>
    <cfRule type="containsText" dxfId="19640" priority="42876" operator="containsText" text="H">
      <formula>NOT(ISERROR(SEARCH("H",M6)))</formula>
    </cfRule>
    <cfRule type="containsText" dxfId="19639" priority="42877" operator="containsText" text="&quot;H&quot;">
      <formula>NOT(ISERROR(SEARCH("""H""",M6)))</formula>
    </cfRule>
    <cfRule type="containsText" dxfId="19638" priority="42878" operator="containsText" text="&quot;A&quot;">
      <formula>NOT(ISERROR(SEARCH("""A""",M6)))</formula>
    </cfRule>
  </conditionalFormatting>
  <conditionalFormatting sqref="DD6">
    <cfRule type="cellIs" dxfId="19637" priority="42868" operator="equal">
      <formula>"C-Off-H"</formula>
    </cfRule>
    <cfRule type="cellIs" dxfId="19636" priority="42869" operator="equal">
      <formula>"C-Off"</formula>
    </cfRule>
    <cfRule type="cellIs" dxfId="19635" priority="42870" operator="equal">
      <formula>"CL-H"</formula>
    </cfRule>
    <cfRule type="cellIs" dxfId="19634" priority="42871" operator="equal">
      <formula>"EL-H"</formula>
    </cfRule>
    <cfRule type="cellIs" dxfId="19633" priority="42872" operator="equal">
      <formula>"CL"</formula>
    </cfRule>
    <cfRule type="cellIs" dxfId="19632" priority="42873" operator="equal">
      <formula>"EL"</formula>
    </cfRule>
  </conditionalFormatting>
  <conditionalFormatting sqref="DD6">
    <cfRule type="containsText" dxfId="19631" priority="42867" operator="containsText" text="A">
      <formula>NOT(ISERROR(SEARCH("A",DD6)))</formula>
    </cfRule>
  </conditionalFormatting>
  <conditionalFormatting sqref="DD6">
    <cfRule type="containsText" dxfId="19630" priority="42866" operator="containsText" text="A-H">
      <formula>NOT(ISERROR(SEARCH("A-H",DD6)))</formula>
    </cfRule>
  </conditionalFormatting>
  <conditionalFormatting sqref="AI6">
    <cfRule type="cellIs" dxfId="19629" priority="42860" operator="equal">
      <formula>"C-Off-H"</formula>
    </cfRule>
    <cfRule type="cellIs" dxfId="19628" priority="42861" operator="equal">
      <formula>"C-Off"</formula>
    </cfRule>
    <cfRule type="cellIs" dxfId="19627" priority="42862" operator="equal">
      <formula>"CL-H"</formula>
    </cfRule>
    <cfRule type="cellIs" dxfId="19626" priority="42863" operator="equal">
      <formula>"EL-H"</formula>
    </cfRule>
    <cfRule type="cellIs" dxfId="19625" priority="42864" operator="equal">
      <formula>"CL"</formula>
    </cfRule>
    <cfRule type="cellIs" dxfId="19624" priority="42865" operator="equal">
      <formula>"EL"</formula>
    </cfRule>
  </conditionalFormatting>
  <conditionalFormatting sqref="AH6:AI6">
    <cfRule type="cellIs" dxfId="19623" priority="42854" operator="equal">
      <formula>"C-Off-H"</formula>
    </cfRule>
    <cfRule type="cellIs" dxfId="19622" priority="42855" operator="equal">
      <formula>"C-Off"</formula>
    </cfRule>
    <cfRule type="cellIs" dxfId="19621" priority="42856" operator="equal">
      <formula>"CL-H"</formula>
    </cfRule>
    <cfRule type="cellIs" dxfId="19620" priority="42857" operator="equal">
      <formula>"EL-H"</formula>
    </cfRule>
    <cfRule type="cellIs" dxfId="19619" priority="42858" operator="equal">
      <formula>"CL"</formula>
    </cfRule>
    <cfRule type="cellIs" dxfId="19618" priority="42859" operator="equal">
      <formula>"EL"</formula>
    </cfRule>
  </conditionalFormatting>
  <conditionalFormatting sqref="AH6:AI6">
    <cfRule type="containsText" dxfId="19617" priority="42848" operator="containsText" text="S">
      <formula>NOT(ISERROR(SEARCH("S",AH6)))</formula>
    </cfRule>
    <cfRule type="containsText" dxfId="19616" priority="42849" operator="containsText" text="P">
      <formula>NOT(ISERROR(SEARCH("P",AH6)))</formula>
    </cfRule>
    <cfRule type="containsText" dxfId="19615" priority="42850" operator="containsText" text="H">
      <formula>NOT(ISERROR(SEARCH("H",AH6)))</formula>
    </cfRule>
    <cfRule type="containsText" dxfId="19614" priority="42852" operator="containsText" text="&quot;H&quot;">
      <formula>NOT(ISERROR(SEARCH("""H""",AH6)))</formula>
    </cfRule>
    <cfRule type="containsText" dxfId="19613" priority="42853" operator="containsText" text="&quot;A&quot;">
      <formula>NOT(ISERROR(SEARCH("""A""",AH6)))</formula>
    </cfRule>
  </conditionalFormatting>
  <conditionalFormatting sqref="AH6:AI6">
    <cfRule type="containsText" dxfId="19612" priority="42851" operator="containsText" text="A-H">
      <formula>NOT(ISERROR(SEARCH("A-H",AH6)))</formula>
    </cfRule>
  </conditionalFormatting>
  <conditionalFormatting sqref="AU6">
    <cfRule type="cellIs" dxfId="19611" priority="42842" operator="equal">
      <formula>"C-Off-H"</formula>
    </cfRule>
    <cfRule type="cellIs" dxfId="19610" priority="42843" operator="equal">
      <formula>"C-Off"</formula>
    </cfRule>
    <cfRule type="cellIs" dxfId="19609" priority="42844" operator="equal">
      <formula>"CL-H"</formula>
    </cfRule>
    <cfRule type="cellIs" dxfId="19608" priority="42845" operator="equal">
      <formula>"EL-H"</formula>
    </cfRule>
    <cfRule type="cellIs" dxfId="19607" priority="42846" operator="equal">
      <formula>"CL"</formula>
    </cfRule>
    <cfRule type="cellIs" dxfId="19606" priority="42847" operator="equal">
      <formula>"EL"</formula>
    </cfRule>
  </conditionalFormatting>
  <conditionalFormatting sqref="AT6:AU6">
    <cfRule type="cellIs" dxfId="19605" priority="42836" operator="equal">
      <formula>"C-Off-H"</formula>
    </cfRule>
    <cfRule type="cellIs" dxfId="19604" priority="42837" operator="equal">
      <formula>"C-Off"</formula>
    </cfRule>
    <cfRule type="cellIs" dxfId="19603" priority="42838" operator="equal">
      <formula>"CL-H"</formula>
    </cfRule>
    <cfRule type="cellIs" dxfId="19602" priority="42839" operator="equal">
      <formula>"EL-H"</formula>
    </cfRule>
    <cfRule type="cellIs" dxfId="19601" priority="42840" operator="equal">
      <formula>"CL"</formula>
    </cfRule>
    <cfRule type="cellIs" dxfId="19600" priority="42841" operator="equal">
      <formula>"EL"</formula>
    </cfRule>
  </conditionalFormatting>
  <conditionalFormatting sqref="AT6:AU6">
    <cfRule type="containsText" dxfId="19599" priority="42830" operator="containsText" text="S">
      <formula>NOT(ISERROR(SEARCH("S",AT6)))</formula>
    </cfRule>
    <cfRule type="containsText" dxfId="19598" priority="42831" operator="containsText" text="P">
      <formula>NOT(ISERROR(SEARCH("P",AT6)))</formula>
    </cfRule>
    <cfRule type="containsText" dxfId="19597" priority="42832" operator="containsText" text="H">
      <formula>NOT(ISERROR(SEARCH("H",AT6)))</formula>
    </cfRule>
    <cfRule type="containsText" dxfId="19596" priority="42834" operator="containsText" text="&quot;H&quot;">
      <formula>NOT(ISERROR(SEARCH("""H""",AT6)))</formula>
    </cfRule>
    <cfRule type="containsText" dxfId="19595" priority="42835" operator="containsText" text="&quot;A&quot;">
      <formula>NOT(ISERROR(SEARCH("""A""",AT6)))</formula>
    </cfRule>
  </conditionalFormatting>
  <conditionalFormatting sqref="AT6:AU6">
    <cfRule type="containsText" dxfId="19594" priority="42833" operator="containsText" text="A-H">
      <formula>NOT(ISERROR(SEARCH("A-H",AT6)))</formula>
    </cfRule>
  </conditionalFormatting>
  <conditionalFormatting sqref="E6">
    <cfRule type="cellIs" dxfId="19593" priority="42824" operator="equal">
      <formula>"C-Off-H"</formula>
    </cfRule>
    <cfRule type="cellIs" dxfId="19592" priority="42825" operator="equal">
      <formula>"C-Off"</formula>
    </cfRule>
    <cfRule type="cellIs" dxfId="19591" priority="42826" operator="equal">
      <formula>"CL-H"</formula>
    </cfRule>
    <cfRule type="cellIs" dxfId="19590" priority="42827" operator="equal">
      <formula>"EL-H"</formula>
    </cfRule>
    <cfRule type="cellIs" dxfId="19589" priority="42828" operator="equal">
      <formula>"CL"</formula>
    </cfRule>
    <cfRule type="cellIs" dxfId="19588" priority="42829" operator="equal">
      <formula>"EL"</formula>
    </cfRule>
  </conditionalFormatting>
  <conditionalFormatting sqref="D6:E6">
    <cfRule type="cellIs" dxfId="19587" priority="42818" operator="equal">
      <formula>"C-Off-H"</formula>
    </cfRule>
    <cfRule type="cellIs" dxfId="19586" priority="42819" operator="equal">
      <formula>"C-Off"</formula>
    </cfRule>
    <cfRule type="cellIs" dxfId="19585" priority="42820" operator="equal">
      <formula>"CL-H"</formula>
    </cfRule>
    <cfRule type="cellIs" dxfId="19584" priority="42821" operator="equal">
      <formula>"EL-H"</formula>
    </cfRule>
    <cfRule type="cellIs" dxfId="19583" priority="42822" operator="equal">
      <formula>"CL"</formula>
    </cfRule>
    <cfRule type="cellIs" dxfId="19582" priority="42823" operator="equal">
      <formula>"EL"</formula>
    </cfRule>
  </conditionalFormatting>
  <conditionalFormatting sqref="D6:E6">
    <cfRule type="containsText" dxfId="19581" priority="42812" operator="containsText" text="S">
      <formula>NOT(ISERROR(SEARCH("S",D6)))</formula>
    </cfRule>
    <cfRule type="containsText" dxfId="19580" priority="42813" operator="containsText" text="P">
      <formula>NOT(ISERROR(SEARCH("P",D6)))</formula>
    </cfRule>
    <cfRule type="containsText" dxfId="19579" priority="42814" operator="containsText" text="H">
      <formula>NOT(ISERROR(SEARCH("H",D6)))</formula>
    </cfRule>
    <cfRule type="containsText" dxfId="19578" priority="42816" operator="containsText" text="&quot;H&quot;">
      <formula>NOT(ISERROR(SEARCH("""H""",D6)))</formula>
    </cfRule>
    <cfRule type="containsText" dxfId="19577" priority="42817" operator="containsText" text="&quot;A&quot;">
      <formula>NOT(ISERROR(SEARCH("""A""",D6)))</formula>
    </cfRule>
  </conditionalFormatting>
  <conditionalFormatting sqref="D6:E6">
    <cfRule type="containsText" dxfId="19576" priority="42815" operator="containsText" text="A-H">
      <formula>NOT(ISERROR(SEARCH("A-H",D6)))</formula>
    </cfRule>
  </conditionalFormatting>
  <conditionalFormatting sqref="Y6">
    <cfRule type="cellIs" dxfId="19575" priority="42794" operator="equal">
      <formula>"C-Off-H"</formula>
    </cfRule>
    <cfRule type="cellIs" dxfId="19574" priority="42795" operator="equal">
      <formula>"C-Off"</formula>
    </cfRule>
    <cfRule type="cellIs" dxfId="19573" priority="42796" operator="equal">
      <formula>"CL-H"</formula>
    </cfRule>
    <cfRule type="cellIs" dxfId="19572" priority="42797" operator="equal">
      <formula>"EL-H"</formula>
    </cfRule>
    <cfRule type="cellIs" dxfId="19571" priority="42798" operator="equal">
      <formula>"CL"</formula>
    </cfRule>
    <cfRule type="cellIs" dxfId="19570" priority="42799" operator="equal">
      <formula>"EL"</formula>
    </cfRule>
  </conditionalFormatting>
  <conditionalFormatting sqref="Y6">
    <cfRule type="containsText" dxfId="19569" priority="42788" operator="containsText" text="S">
      <formula>NOT(ISERROR(SEARCH("S",Y6)))</formula>
    </cfRule>
    <cfRule type="containsText" dxfId="19568" priority="42789" operator="containsText" text="P">
      <formula>NOT(ISERROR(SEARCH("P",Y6)))</formula>
    </cfRule>
    <cfRule type="containsText" dxfId="19567" priority="42790" operator="containsText" text="H">
      <formula>NOT(ISERROR(SEARCH("H",Y6)))</formula>
    </cfRule>
    <cfRule type="containsText" dxfId="19566" priority="42792" operator="containsText" text="&quot;H&quot;">
      <formula>NOT(ISERROR(SEARCH("""H""",Y6)))</formula>
    </cfRule>
    <cfRule type="containsText" dxfId="19565" priority="42793" operator="containsText" text="&quot;A&quot;">
      <formula>NOT(ISERROR(SEARCH("""A""",Y6)))</formula>
    </cfRule>
  </conditionalFormatting>
  <conditionalFormatting sqref="Y6">
    <cfRule type="containsText" dxfId="19564" priority="42791" operator="containsText" text="A-H">
      <formula>NOT(ISERROR(SEARCH("A-H",Y6)))</formula>
    </cfRule>
  </conditionalFormatting>
  <conditionalFormatting sqref="AF6">
    <cfRule type="cellIs" dxfId="19563" priority="42782" operator="equal">
      <formula>"C-Off-H"</formula>
    </cfRule>
    <cfRule type="cellIs" dxfId="19562" priority="42783" operator="equal">
      <formula>"C-Off"</formula>
    </cfRule>
    <cfRule type="cellIs" dxfId="19561" priority="42784" operator="equal">
      <formula>"CL-H"</formula>
    </cfRule>
    <cfRule type="cellIs" dxfId="19560" priority="42785" operator="equal">
      <formula>"EL-H"</formula>
    </cfRule>
    <cfRule type="cellIs" dxfId="19559" priority="42786" operator="equal">
      <formula>"CL"</formula>
    </cfRule>
    <cfRule type="cellIs" dxfId="19558" priority="42787" operator="equal">
      <formula>"EL"</formula>
    </cfRule>
  </conditionalFormatting>
  <conditionalFormatting sqref="AF6">
    <cfRule type="containsText" dxfId="19557" priority="42776" operator="containsText" text="S">
      <formula>NOT(ISERROR(SEARCH("S",AF6)))</formula>
    </cfRule>
    <cfRule type="containsText" dxfId="19556" priority="42777" operator="containsText" text="P">
      <formula>NOT(ISERROR(SEARCH("P",AF6)))</formula>
    </cfRule>
    <cfRule type="containsText" dxfId="19555" priority="42778" operator="containsText" text="H">
      <formula>NOT(ISERROR(SEARCH("H",AF6)))</formula>
    </cfRule>
    <cfRule type="containsText" dxfId="19554" priority="42780" operator="containsText" text="&quot;H&quot;">
      <formula>NOT(ISERROR(SEARCH("""H""",AF6)))</formula>
    </cfRule>
    <cfRule type="containsText" dxfId="19553" priority="42781" operator="containsText" text="&quot;A&quot;">
      <formula>NOT(ISERROR(SEARCH("""A""",AF6)))</formula>
    </cfRule>
  </conditionalFormatting>
  <conditionalFormatting sqref="AF6">
    <cfRule type="containsText" dxfId="19552" priority="42779" operator="containsText" text="A-H">
      <formula>NOT(ISERROR(SEARCH("A-H",AF6)))</formula>
    </cfRule>
  </conditionalFormatting>
  <conditionalFormatting sqref="BO6:BP6">
    <cfRule type="cellIs" dxfId="19551" priority="42770" operator="equal">
      <formula>"C-Off-H"</formula>
    </cfRule>
    <cfRule type="cellIs" dxfId="19550" priority="42771" operator="equal">
      <formula>"C-Off"</formula>
    </cfRule>
    <cfRule type="cellIs" dxfId="19549" priority="42772" operator="equal">
      <formula>"CL-H"</formula>
    </cfRule>
    <cfRule type="cellIs" dxfId="19548" priority="42773" operator="equal">
      <formula>"EL-H"</formula>
    </cfRule>
    <cfRule type="cellIs" dxfId="19547" priority="42774" operator="equal">
      <formula>"CL"</formula>
    </cfRule>
    <cfRule type="cellIs" dxfId="19546" priority="42775" operator="equal">
      <formula>"EL"</formula>
    </cfRule>
  </conditionalFormatting>
  <conditionalFormatting sqref="BO6:BP6">
    <cfRule type="cellIs" dxfId="19545" priority="42764" operator="equal">
      <formula>"C-Off-H"</formula>
    </cfRule>
    <cfRule type="cellIs" dxfId="19544" priority="42765" operator="equal">
      <formula>"C-Off"</formula>
    </cfRule>
    <cfRule type="cellIs" dxfId="19543" priority="42766" operator="equal">
      <formula>"CL-H"</formula>
    </cfRule>
    <cfRule type="cellIs" dxfId="19542" priority="42767" operator="equal">
      <formula>"EL-H"</formula>
    </cfRule>
    <cfRule type="cellIs" dxfId="19541" priority="42768" operator="equal">
      <formula>"CL"</formula>
    </cfRule>
    <cfRule type="cellIs" dxfId="19540" priority="42769" operator="equal">
      <formula>"EL"</formula>
    </cfRule>
  </conditionalFormatting>
  <conditionalFormatting sqref="BO6:BP6">
    <cfRule type="containsText" dxfId="19539" priority="42758" operator="containsText" text="S">
      <formula>NOT(ISERROR(SEARCH("S",BO6)))</formula>
    </cfRule>
    <cfRule type="containsText" dxfId="19538" priority="42759" operator="containsText" text="P">
      <formula>NOT(ISERROR(SEARCH("P",BO6)))</formula>
    </cfRule>
    <cfRule type="containsText" dxfId="19537" priority="42760" operator="containsText" text="H">
      <formula>NOT(ISERROR(SEARCH("H",BO6)))</formula>
    </cfRule>
    <cfRule type="containsText" dxfId="19536" priority="42762" operator="containsText" text="&quot;H&quot;">
      <formula>NOT(ISERROR(SEARCH("""H""",BO6)))</formula>
    </cfRule>
    <cfRule type="containsText" dxfId="19535" priority="42763" operator="containsText" text="&quot;A&quot;">
      <formula>NOT(ISERROR(SEARCH("""A""",BO6)))</formula>
    </cfRule>
  </conditionalFormatting>
  <conditionalFormatting sqref="BO6:BP6">
    <cfRule type="containsText" dxfId="19534" priority="42761" operator="containsText" text="A-H">
      <formula>NOT(ISERROR(SEARCH("A-H",BO6)))</formula>
    </cfRule>
  </conditionalFormatting>
  <conditionalFormatting sqref="CM6">
    <cfRule type="cellIs" dxfId="19533" priority="42752" operator="equal">
      <formula>"C-Off-H"</formula>
    </cfRule>
    <cfRule type="cellIs" dxfId="19532" priority="42753" operator="equal">
      <formula>"C-Off"</formula>
    </cfRule>
    <cfRule type="cellIs" dxfId="19531" priority="42754" operator="equal">
      <formula>"CL-H"</formula>
    </cfRule>
    <cfRule type="cellIs" dxfId="19530" priority="42755" operator="equal">
      <formula>"EL-H"</formula>
    </cfRule>
    <cfRule type="cellIs" dxfId="19529" priority="42756" operator="equal">
      <formula>"CL"</formula>
    </cfRule>
    <cfRule type="cellIs" dxfId="19528" priority="42757" operator="equal">
      <formula>"EL"</formula>
    </cfRule>
  </conditionalFormatting>
  <conditionalFormatting sqref="CM6">
    <cfRule type="cellIs" dxfId="19527" priority="42746" operator="equal">
      <formula>"C-Off-H"</formula>
    </cfRule>
    <cfRule type="cellIs" dxfId="19526" priority="42747" operator="equal">
      <formula>"C-Off"</formula>
    </cfRule>
    <cfRule type="cellIs" dxfId="19525" priority="42748" operator="equal">
      <formula>"CL-H"</formula>
    </cfRule>
    <cfRule type="cellIs" dxfId="19524" priority="42749" operator="equal">
      <formula>"EL-H"</formula>
    </cfRule>
    <cfRule type="cellIs" dxfId="19523" priority="42750" operator="equal">
      <formula>"CL"</formula>
    </cfRule>
    <cfRule type="cellIs" dxfId="19522" priority="42751" operator="equal">
      <formula>"EL"</formula>
    </cfRule>
  </conditionalFormatting>
  <conditionalFormatting sqref="CM6">
    <cfRule type="containsText" dxfId="19521" priority="42740" operator="containsText" text="S">
      <formula>NOT(ISERROR(SEARCH("S",CM6)))</formula>
    </cfRule>
    <cfRule type="containsText" dxfId="19520" priority="42741" operator="containsText" text="P">
      <formula>NOT(ISERROR(SEARCH("P",CM6)))</formula>
    </cfRule>
    <cfRule type="containsText" dxfId="19519" priority="42742" operator="containsText" text="H">
      <formula>NOT(ISERROR(SEARCH("H",CM6)))</formula>
    </cfRule>
    <cfRule type="containsText" dxfId="19518" priority="42744" operator="containsText" text="&quot;H&quot;">
      <formula>NOT(ISERROR(SEARCH("""H""",CM6)))</formula>
    </cfRule>
    <cfRule type="containsText" dxfId="19517" priority="42745" operator="containsText" text="&quot;A&quot;">
      <formula>NOT(ISERROR(SEARCH("""A""",CM6)))</formula>
    </cfRule>
  </conditionalFormatting>
  <conditionalFormatting sqref="CM6">
    <cfRule type="containsText" dxfId="19516" priority="42743" operator="containsText" text="A-H">
      <formula>NOT(ISERROR(SEARCH("A-H",CM6)))</formula>
    </cfRule>
  </conditionalFormatting>
  <conditionalFormatting sqref="V6:W6">
    <cfRule type="cellIs" dxfId="19515" priority="42698" operator="equal">
      <formula>"C-Off-H"</formula>
    </cfRule>
    <cfRule type="cellIs" dxfId="19514" priority="42699" operator="equal">
      <formula>"C-Off"</formula>
    </cfRule>
    <cfRule type="cellIs" dxfId="19513" priority="42700" operator="equal">
      <formula>"CL-H"</formula>
    </cfRule>
    <cfRule type="cellIs" dxfId="19512" priority="42701" operator="equal">
      <formula>"EL-H"</formula>
    </cfRule>
    <cfRule type="cellIs" dxfId="19511" priority="42702" operator="equal">
      <formula>"CL"</formula>
    </cfRule>
    <cfRule type="cellIs" dxfId="19510" priority="42703" operator="equal">
      <formula>"EL"</formula>
    </cfRule>
  </conditionalFormatting>
  <conditionalFormatting sqref="V6:W6">
    <cfRule type="containsText" dxfId="19509" priority="42692" operator="containsText" text="S">
      <formula>NOT(ISERROR(SEARCH("S",V6)))</formula>
    </cfRule>
    <cfRule type="containsText" dxfId="19508" priority="42693" operator="containsText" text="P">
      <formula>NOT(ISERROR(SEARCH("P",V6)))</formula>
    </cfRule>
    <cfRule type="containsText" dxfId="19507" priority="42694" operator="containsText" text="H">
      <formula>NOT(ISERROR(SEARCH("H",V6)))</formula>
    </cfRule>
    <cfRule type="containsText" dxfId="19506" priority="42696" operator="containsText" text="&quot;H&quot;">
      <formula>NOT(ISERROR(SEARCH("""H""",V6)))</formula>
    </cfRule>
    <cfRule type="containsText" dxfId="19505" priority="42697" operator="containsText" text="&quot;A&quot;">
      <formula>NOT(ISERROR(SEARCH("""A""",V6)))</formula>
    </cfRule>
  </conditionalFormatting>
  <conditionalFormatting sqref="V6:W6">
    <cfRule type="containsText" dxfId="19504" priority="42695" operator="containsText" text="A-H">
      <formula>NOT(ISERROR(SEARCH("A-H",V6)))</formula>
    </cfRule>
  </conditionalFormatting>
  <conditionalFormatting sqref="P6:Q6">
    <cfRule type="cellIs" dxfId="19503" priority="42722" operator="equal">
      <formula>"C-Off-H"</formula>
    </cfRule>
    <cfRule type="cellIs" dxfId="19502" priority="42723" operator="equal">
      <formula>"C-Off"</formula>
    </cfRule>
    <cfRule type="cellIs" dxfId="19501" priority="42724" operator="equal">
      <formula>"CL-H"</formula>
    </cfRule>
    <cfRule type="cellIs" dxfId="19500" priority="42725" operator="equal">
      <formula>"EL-H"</formula>
    </cfRule>
    <cfRule type="cellIs" dxfId="19499" priority="42726" operator="equal">
      <formula>"CL"</formula>
    </cfRule>
    <cfRule type="cellIs" dxfId="19498" priority="42727" operator="equal">
      <formula>"EL"</formula>
    </cfRule>
  </conditionalFormatting>
  <conditionalFormatting sqref="P6:Q6">
    <cfRule type="containsText" dxfId="19497" priority="42716" operator="containsText" text="S">
      <formula>NOT(ISERROR(SEARCH("S",P6)))</formula>
    </cfRule>
    <cfRule type="containsText" dxfId="19496" priority="42717" operator="containsText" text="P">
      <formula>NOT(ISERROR(SEARCH("P",P6)))</formula>
    </cfRule>
    <cfRule type="containsText" dxfId="19495" priority="42718" operator="containsText" text="H">
      <formula>NOT(ISERROR(SEARCH("H",P6)))</formula>
    </cfRule>
    <cfRule type="containsText" dxfId="19494" priority="42720" operator="containsText" text="&quot;H&quot;">
      <formula>NOT(ISERROR(SEARCH("""H""",P6)))</formula>
    </cfRule>
    <cfRule type="containsText" dxfId="19493" priority="42721" operator="containsText" text="&quot;A&quot;">
      <formula>NOT(ISERROR(SEARCH("""A""",P6)))</formula>
    </cfRule>
  </conditionalFormatting>
  <conditionalFormatting sqref="P6:Q6">
    <cfRule type="containsText" dxfId="19492" priority="42719" operator="containsText" text="A-H">
      <formula>NOT(ISERROR(SEARCH("A-H",P6)))</formula>
    </cfRule>
  </conditionalFormatting>
  <conditionalFormatting sqref="S6:T6">
    <cfRule type="cellIs" dxfId="19491" priority="42710" operator="equal">
      <formula>"C-Off-H"</formula>
    </cfRule>
    <cfRule type="cellIs" dxfId="19490" priority="42711" operator="equal">
      <formula>"C-Off"</formula>
    </cfRule>
    <cfRule type="cellIs" dxfId="19489" priority="42712" operator="equal">
      <formula>"CL-H"</formula>
    </cfRule>
    <cfRule type="cellIs" dxfId="19488" priority="42713" operator="equal">
      <formula>"EL-H"</formula>
    </cfRule>
    <cfRule type="cellIs" dxfId="19487" priority="42714" operator="equal">
      <formula>"CL"</formula>
    </cfRule>
    <cfRule type="cellIs" dxfId="19486" priority="42715" operator="equal">
      <formula>"EL"</formula>
    </cfRule>
  </conditionalFormatting>
  <conditionalFormatting sqref="S6:T6">
    <cfRule type="containsText" dxfId="19485" priority="42704" operator="containsText" text="S">
      <formula>NOT(ISERROR(SEARCH("S",S6)))</formula>
    </cfRule>
    <cfRule type="containsText" dxfId="19484" priority="42705" operator="containsText" text="P">
      <formula>NOT(ISERROR(SEARCH("P",S6)))</formula>
    </cfRule>
    <cfRule type="containsText" dxfId="19483" priority="42706" operator="containsText" text="H">
      <formula>NOT(ISERROR(SEARCH("H",S6)))</formula>
    </cfRule>
    <cfRule type="containsText" dxfId="19482" priority="42708" operator="containsText" text="&quot;H&quot;">
      <formula>NOT(ISERROR(SEARCH("""H""",S6)))</formula>
    </cfRule>
    <cfRule type="containsText" dxfId="19481" priority="42709" operator="containsText" text="&quot;A&quot;">
      <formula>NOT(ISERROR(SEARCH("""A""",S6)))</formula>
    </cfRule>
  </conditionalFormatting>
  <conditionalFormatting sqref="S6:T6">
    <cfRule type="containsText" dxfId="19480" priority="42707" operator="containsText" text="A-H">
      <formula>NOT(ISERROR(SEARCH("A-H",S6)))</formula>
    </cfRule>
  </conditionalFormatting>
  <conditionalFormatting sqref="AB6:AC6">
    <cfRule type="cellIs" dxfId="19479" priority="42686" operator="equal">
      <formula>"C-Off-H"</formula>
    </cfRule>
    <cfRule type="cellIs" dxfId="19478" priority="42687" operator="equal">
      <formula>"C-Off"</formula>
    </cfRule>
    <cfRule type="cellIs" dxfId="19477" priority="42688" operator="equal">
      <formula>"CL-H"</formula>
    </cfRule>
    <cfRule type="cellIs" dxfId="19476" priority="42689" operator="equal">
      <formula>"EL-H"</formula>
    </cfRule>
    <cfRule type="cellIs" dxfId="19475" priority="42690" operator="equal">
      <formula>"CL"</formula>
    </cfRule>
    <cfRule type="cellIs" dxfId="19474" priority="42691" operator="equal">
      <formula>"EL"</formula>
    </cfRule>
  </conditionalFormatting>
  <conditionalFormatting sqref="AB6:AC6">
    <cfRule type="containsText" dxfId="19473" priority="42680" operator="containsText" text="S">
      <formula>NOT(ISERROR(SEARCH("S",AB6)))</formula>
    </cfRule>
    <cfRule type="containsText" dxfId="19472" priority="42681" operator="containsText" text="P">
      <formula>NOT(ISERROR(SEARCH("P",AB6)))</formula>
    </cfRule>
    <cfRule type="containsText" dxfId="19471" priority="42682" operator="containsText" text="H">
      <formula>NOT(ISERROR(SEARCH("H",AB6)))</formula>
    </cfRule>
    <cfRule type="containsText" dxfId="19470" priority="42684" operator="containsText" text="&quot;H&quot;">
      <formula>NOT(ISERROR(SEARCH("""H""",AB6)))</formula>
    </cfRule>
    <cfRule type="containsText" dxfId="19469" priority="42685" operator="containsText" text="&quot;A&quot;">
      <formula>NOT(ISERROR(SEARCH("""A""",AB6)))</formula>
    </cfRule>
  </conditionalFormatting>
  <conditionalFormatting sqref="AB6:AC6">
    <cfRule type="containsText" dxfId="19468" priority="42683" operator="containsText" text="A-H">
      <formula>NOT(ISERROR(SEARCH("A-H",AB6)))</formula>
    </cfRule>
  </conditionalFormatting>
  <conditionalFormatting sqref="AE6">
    <cfRule type="cellIs" dxfId="19467" priority="42674" operator="equal">
      <formula>"C-Off-H"</formula>
    </cfRule>
    <cfRule type="cellIs" dxfId="19466" priority="42675" operator="equal">
      <formula>"C-Off"</formula>
    </cfRule>
    <cfRule type="cellIs" dxfId="19465" priority="42676" operator="equal">
      <formula>"CL-H"</formula>
    </cfRule>
    <cfRule type="cellIs" dxfId="19464" priority="42677" operator="equal">
      <formula>"EL-H"</formula>
    </cfRule>
    <cfRule type="cellIs" dxfId="19463" priority="42678" operator="equal">
      <formula>"CL"</formula>
    </cfRule>
    <cfRule type="cellIs" dxfId="19462" priority="42679" operator="equal">
      <formula>"EL"</formula>
    </cfRule>
  </conditionalFormatting>
  <conditionalFormatting sqref="AE6">
    <cfRule type="containsText" dxfId="19461" priority="42668" operator="containsText" text="S">
      <formula>NOT(ISERROR(SEARCH("S",AE6)))</formula>
    </cfRule>
    <cfRule type="containsText" dxfId="19460" priority="42669" operator="containsText" text="P">
      <formula>NOT(ISERROR(SEARCH("P",AE6)))</formula>
    </cfRule>
    <cfRule type="containsText" dxfId="19459" priority="42670" operator="containsText" text="H">
      <formula>NOT(ISERROR(SEARCH("H",AE6)))</formula>
    </cfRule>
    <cfRule type="containsText" dxfId="19458" priority="42672" operator="containsText" text="&quot;H&quot;">
      <formula>NOT(ISERROR(SEARCH("""H""",AE6)))</formula>
    </cfRule>
    <cfRule type="containsText" dxfId="19457" priority="42673" operator="containsText" text="&quot;A&quot;">
      <formula>NOT(ISERROR(SEARCH("""A""",AE6)))</formula>
    </cfRule>
  </conditionalFormatting>
  <conditionalFormatting sqref="AE6">
    <cfRule type="containsText" dxfId="19456" priority="42671" operator="containsText" text="A-H">
      <formula>NOT(ISERROR(SEARCH("A-H",AE6)))</formula>
    </cfRule>
  </conditionalFormatting>
  <conditionalFormatting sqref="AK6:AL6">
    <cfRule type="cellIs" dxfId="19455" priority="42662" operator="equal">
      <formula>"C-Off-H"</formula>
    </cfRule>
    <cfRule type="cellIs" dxfId="19454" priority="42663" operator="equal">
      <formula>"C-Off"</formula>
    </cfRule>
    <cfRule type="cellIs" dxfId="19453" priority="42664" operator="equal">
      <formula>"CL-H"</formula>
    </cfRule>
    <cfRule type="cellIs" dxfId="19452" priority="42665" operator="equal">
      <formula>"EL-H"</formula>
    </cfRule>
    <cfRule type="cellIs" dxfId="19451" priority="42666" operator="equal">
      <formula>"CL"</formula>
    </cfRule>
    <cfRule type="cellIs" dxfId="19450" priority="42667" operator="equal">
      <formula>"EL"</formula>
    </cfRule>
  </conditionalFormatting>
  <conditionalFormatting sqref="AK6:AL6">
    <cfRule type="containsText" dxfId="19449" priority="42656" operator="containsText" text="S">
      <formula>NOT(ISERROR(SEARCH("S",AK6)))</formula>
    </cfRule>
    <cfRule type="containsText" dxfId="19448" priority="42657" operator="containsText" text="P">
      <formula>NOT(ISERROR(SEARCH("P",AK6)))</formula>
    </cfRule>
    <cfRule type="containsText" dxfId="19447" priority="42658" operator="containsText" text="H">
      <formula>NOT(ISERROR(SEARCH("H",AK6)))</formula>
    </cfRule>
    <cfRule type="containsText" dxfId="19446" priority="42660" operator="containsText" text="&quot;H&quot;">
      <formula>NOT(ISERROR(SEARCH("""H""",AK6)))</formula>
    </cfRule>
    <cfRule type="containsText" dxfId="19445" priority="42661" operator="containsText" text="&quot;A&quot;">
      <formula>NOT(ISERROR(SEARCH("""A""",AK6)))</formula>
    </cfRule>
  </conditionalFormatting>
  <conditionalFormatting sqref="AK6:AL6">
    <cfRule type="containsText" dxfId="19444" priority="42659" operator="containsText" text="A-H">
      <formula>NOT(ISERROR(SEARCH("A-H",AK6)))</formula>
    </cfRule>
  </conditionalFormatting>
  <conditionalFormatting sqref="AN6:AO6">
    <cfRule type="cellIs" dxfId="19443" priority="42650" operator="equal">
      <formula>"C-Off-H"</formula>
    </cfRule>
    <cfRule type="cellIs" dxfId="19442" priority="42651" operator="equal">
      <formula>"C-Off"</formula>
    </cfRule>
    <cfRule type="cellIs" dxfId="19441" priority="42652" operator="equal">
      <formula>"CL-H"</formula>
    </cfRule>
    <cfRule type="cellIs" dxfId="19440" priority="42653" operator="equal">
      <formula>"EL-H"</formula>
    </cfRule>
    <cfRule type="cellIs" dxfId="19439" priority="42654" operator="equal">
      <formula>"CL"</formula>
    </cfRule>
    <cfRule type="cellIs" dxfId="19438" priority="42655" operator="equal">
      <formula>"EL"</formula>
    </cfRule>
  </conditionalFormatting>
  <conditionalFormatting sqref="AN6:AO6">
    <cfRule type="containsText" dxfId="19437" priority="42644" operator="containsText" text="S">
      <formula>NOT(ISERROR(SEARCH("S",AN6)))</formula>
    </cfRule>
    <cfRule type="containsText" dxfId="19436" priority="42645" operator="containsText" text="P">
      <formula>NOT(ISERROR(SEARCH("P",AN6)))</formula>
    </cfRule>
    <cfRule type="containsText" dxfId="19435" priority="42646" operator="containsText" text="H">
      <formula>NOT(ISERROR(SEARCH("H",AN6)))</formula>
    </cfRule>
    <cfRule type="containsText" dxfId="19434" priority="42648" operator="containsText" text="&quot;H&quot;">
      <formula>NOT(ISERROR(SEARCH("""H""",AN6)))</formula>
    </cfRule>
    <cfRule type="containsText" dxfId="19433" priority="42649" operator="containsText" text="&quot;A&quot;">
      <formula>NOT(ISERROR(SEARCH("""A""",AN6)))</formula>
    </cfRule>
  </conditionalFormatting>
  <conditionalFormatting sqref="AN6:AO6">
    <cfRule type="containsText" dxfId="19432" priority="42647" operator="containsText" text="A-H">
      <formula>NOT(ISERROR(SEARCH("A-H",AN6)))</formula>
    </cfRule>
  </conditionalFormatting>
  <conditionalFormatting sqref="AQ6:AR6">
    <cfRule type="cellIs" dxfId="19431" priority="42638" operator="equal">
      <formula>"C-Off-H"</formula>
    </cfRule>
    <cfRule type="cellIs" dxfId="19430" priority="42639" operator="equal">
      <formula>"C-Off"</formula>
    </cfRule>
    <cfRule type="cellIs" dxfId="19429" priority="42640" operator="equal">
      <formula>"CL-H"</formula>
    </cfRule>
    <cfRule type="cellIs" dxfId="19428" priority="42641" operator="equal">
      <formula>"EL-H"</formula>
    </cfRule>
    <cfRule type="cellIs" dxfId="19427" priority="42642" operator="equal">
      <formula>"CL"</formula>
    </cfRule>
    <cfRule type="cellIs" dxfId="19426" priority="42643" operator="equal">
      <formula>"EL"</formula>
    </cfRule>
  </conditionalFormatting>
  <conditionalFormatting sqref="AQ6:AR6">
    <cfRule type="containsText" dxfId="19425" priority="42632" operator="containsText" text="S">
      <formula>NOT(ISERROR(SEARCH("S",AQ6)))</formula>
    </cfRule>
    <cfRule type="containsText" dxfId="19424" priority="42633" operator="containsText" text="P">
      <formula>NOT(ISERROR(SEARCH("P",AQ6)))</formula>
    </cfRule>
    <cfRule type="containsText" dxfId="19423" priority="42634" operator="containsText" text="H">
      <formula>NOT(ISERROR(SEARCH("H",AQ6)))</formula>
    </cfRule>
    <cfRule type="containsText" dxfId="19422" priority="42636" operator="containsText" text="&quot;H&quot;">
      <formula>NOT(ISERROR(SEARCH("""H""",AQ6)))</formula>
    </cfRule>
    <cfRule type="containsText" dxfId="19421" priority="42637" operator="containsText" text="&quot;A&quot;">
      <formula>NOT(ISERROR(SEARCH("""A""",AQ6)))</formula>
    </cfRule>
  </conditionalFormatting>
  <conditionalFormatting sqref="AQ6:AR6">
    <cfRule type="containsText" dxfId="19420" priority="42635" operator="containsText" text="A-H">
      <formula>NOT(ISERROR(SEARCH("A-H",AQ6)))</formula>
    </cfRule>
  </conditionalFormatting>
  <conditionalFormatting sqref="AW6:AX6">
    <cfRule type="cellIs" dxfId="19419" priority="42626" operator="equal">
      <formula>"C-Off-H"</formula>
    </cfRule>
    <cfRule type="cellIs" dxfId="19418" priority="42627" operator="equal">
      <formula>"C-Off"</formula>
    </cfRule>
    <cfRule type="cellIs" dxfId="19417" priority="42628" operator="equal">
      <formula>"CL-H"</formula>
    </cfRule>
    <cfRule type="cellIs" dxfId="19416" priority="42629" operator="equal">
      <formula>"EL-H"</formula>
    </cfRule>
    <cfRule type="cellIs" dxfId="19415" priority="42630" operator="equal">
      <formula>"CL"</formula>
    </cfRule>
    <cfRule type="cellIs" dxfId="19414" priority="42631" operator="equal">
      <formula>"EL"</formula>
    </cfRule>
  </conditionalFormatting>
  <conditionalFormatting sqref="AW6:AX6">
    <cfRule type="containsText" dxfId="19413" priority="42620" operator="containsText" text="S">
      <formula>NOT(ISERROR(SEARCH("S",AW6)))</formula>
    </cfRule>
    <cfRule type="containsText" dxfId="19412" priority="42621" operator="containsText" text="P">
      <formula>NOT(ISERROR(SEARCH("P",AW6)))</formula>
    </cfRule>
    <cfRule type="containsText" dxfId="19411" priority="42622" operator="containsText" text="H">
      <formula>NOT(ISERROR(SEARCH("H",AW6)))</formula>
    </cfRule>
    <cfRule type="containsText" dxfId="19410" priority="42624" operator="containsText" text="&quot;H&quot;">
      <formula>NOT(ISERROR(SEARCH("""H""",AW6)))</formula>
    </cfRule>
    <cfRule type="containsText" dxfId="19409" priority="42625" operator="containsText" text="&quot;A&quot;">
      <formula>NOT(ISERROR(SEARCH("""A""",AW6)))</formula>
    </cfRule>
  </conditionalFormatting>
  <conditionalFormatting sqref="AW6:AX6">
    <cfRule type="containsText" dxfId="19408" priority="42623" operator="containsText" text="A-H">
      <formula>NOT(ISERROR(SEARCH("A-H",AW6)))</formula>
    </cfRule>
  </conditionalFormatting>
  <conditionalFormatting sqref="AZ6:BA6">
    <cfRule type="cellIs" dxfId="19407" priority="42614" operator="equal">
      <formula>"C-Off-H"</formula>
    </cfRule>
    <cfRule type="cellIs" dxfId="19406" priority="42615" operator="equal">
      <formula>"C-Off"</formula>
    </cfRule>
    <cfRule type="cellIs" dxfId="19405" priority="42616" operator="equal">
      <formula>"CL-H"</formula>
    </cfRule>
    <cfRule type="cellIs" dxfId="19404" priority="42617" operator="equal">
      <formula>"EL-H"</formula>
    </cfRule>
    <cfRule type="cellIs" dxfId="19403" priority="42618" operator="equal">
      <formula>"CL"</formula>
    </cfRule>
    <cfRule type="cellIs" dxfId="19402" priority="42619" operator="equal">
      <formula>"EL"</formula>
    </cfRule>
  </conditionalFormatting>
  <conditionalFormatting sqref="AZ6:BA6">
    <cfRule type="containsText" dxfId="19401" priority="42608" operator="containsText" text="S">
      <formula>NOT(ISERROR(SEARCH("S",AZ6)))</formula>
    </cfRule>
    <cfRule type="containsText" dxfId="19400" priority="42609" operator="containsText" text="P">
      <formula>NOT(ISERROR(SEARCH("P",AZ6)))</formula>
    </cfRule>
    <cfRule type="containsText" dxfId="19399" priority="42610" operator="containsText" text="H">
      <formula>NOT(ISERROR(SEARCH("H",AZ6)))</formula>
    </cfRule>
    <cfRule type="containsText" dxfId="19398" priority="42612" operator="containsText" text="&quot;H&quot;">
      <formula>NOT(ISERROR(SEARCH("""H""",AZ6)))</formula>
    </cfRule>
    <cfRule type="containsText" dxfId="19397" priority="42613" operator="containsText" text="&quot;A&quot;">
      <formula>NOT(ISERROR(SEARCH("""A""",AZ6)))</formula>
    </cfRule>
  </conditionalFormatting>
  <conditionalFormatting sqref="AZ6:BA6">
    <cfRule type="containsText" dxfId="19396" priority="42611" operator="containsText" text="A-H">
      <formula>NOT(ISERROR(SEARCH("A-H",AZ6)))</formula>
    </cfRule>
  </conditionalFormatting>
  <conditionalFormatting sqref="BC6:BD6">
    <cfRule type="cellIs" dxfId="19395" priority="42602" operator="equal">
      <formula>"C-Off-H"</formula>
    </cfRule>
    <cfRule type="cellIs" dxfId="19394" priority="42603" operator="equal">
      <formula>"C-Off"</formula>
    </cfRule>
    <cfRule type="cellIs" dxfId="19393" priority="42604" operator="equal">
      <formula>"CL-H"</formula>
    </cfRule>
    <cfRule type="cellIs" dxfId="19392" priority="42605" operator="equal">
      <formula>"EL-H"</formula>
    </cfRule>
    <cfRule type="cellIs" dxfId="19391" priority="42606" operator="equal">
      <formula>"CL"</formula>
    </cfRule>
    <cfRule type="cellIs" dxfId="19390" priority="42607" operator="equal">
      <formula>"EL"</formula>
    </cfRule>
  </conditionalFormatting>
  <conditionalFormatting sqref="BC6:BD6">
    <cfRule type="containsText" dxfId="19389" priority="42596" operator="containsText" text="S">
      <formula>NOT(ISERROR(SEARCH("S",BC6)))</formula>
    </cfRule>
    <cfRule type="containsText" dxfId="19388" priority="42597" operator="containsText" text="P">
      <formula>NOT(ISERROR(SEARCH("P",BC6)))</formula>
    </cfRule>
    <cfRule type="containsText" dxfId="19387" priority="42598" operator="containsText" text="H">
      <formula>NOT(ISERROR(SEARCH("H",BC6)))</formula>
    </cfRule>
    <cfRule type="containsText" dxfId="19386" priority="42600" operator="containsText" text="&quot;H&quot;">
      <formula>NOT(ISERROR(SEARCH("""H""",BC6)))</formula>
    </cfRule>
    <cfRule type="containsText" dxfId="19385" priority="42601" operator="containsText" text="&quot;A&quot;">
      <formula>NOT(ISERROR(SEARCH("""A""",BC6)))</formula>
    </cfRule>
  </conditionalFormatting>
  <conditionalFormatting sqref="BC6:BD6">
    <cfRule type="containsText" dxfId="19384" priority="42599" operator="containsText" text="A-H">
      <formula>NOT(ISERROR(SEARCH("A-H",BC6)))</formula>
    </cfRule>
  </conditionalFormatting>
  <conditionalFormatting sqref="BF6:BG6">
    <cfRule type="cellIs" dxfId="19383" priority="42590" operator="equal">
      <formula>"C-Off-H"</formula>
    </cfRule>
    <cfRule type="cellIs" dxfId="19382" priority="42591" operator="equal">
      <formula>"C-Off"</formula>
    </cfRule>
    <cfRule type="cellIs" dxfId="19381" priority="42592" operator="equal">
      <formula>"CL-H"</formula>
    </cfRule>
    <cfRule type="cellIs" dxfId="19380" priority="42593" operator="equal">
      <formula>"EL-H"</formula>
    </cfRule>
    <cfRule type="cellIs" dxfId="19379" priority="42594" operator="equal">
      <formula>"CL"</formula>
    </cfRule>
    <cfRule type="cellIs" dxfId="19378" priority="42595" operator="equal">
      <formula>"EL"</formula>
    </cfRule>
  </conditionalFormatting>
  <conditionalFormatting sqref="BF6:BG6">
    <cfRule type="containsText" dxfId="19377" priority="42584" operator="containsText" text="S">
      <formula>NOT(ISERROR(SEARCH("S",BF6)))</formula>
    </cfRule>
    <cfRule type="containsText" dxfId="19376" priority="42585" operator="containsText" text="P">
      <formula>NOT(ISERROR(SEARCH("P",BF6)))</formula>
    </cfRule>
    <cfRule type="containsText" dxfId="19375" priority="42586" operator="containsText" text="H">
      <formula>NOT(ISERROR(SEARCH("H",BF6)))</formula>
    </cfRule>
    <cfRule type="containsText" dxfId="19374" priority="42588" operator="containsText" text="&quot;H&quot;">
      <formula>NOT(ISERROR(SEARCH("""H""",BF6)))</formula>
    </cfRule>
    <cfRule type="containsText" dxfId="19373" priority="42589" operator="containsText" text="&quot;A&quot;">
      <formula>NOT(ISERROR(SEARCH("""A""",BF6)))</formula>
    </cfRule>
  </conditionalFormatting>
  <conditionalFormatting sqref="BF6:BG6">
    <cfRule type="containsText" dxfId="19372" priority="42587" operator="containsText" text="A-H">
      <formula>NOT(ISERROR(SEARCH("A-H",BF6)))</formula>
    </cfRule>
  </conditionalFormatting>
  <conditionalFormatting sqref="BI6:BJ6">
    <cfRule type="cellIs" dxfId="19371" priority="42578" operator="equal">
      <formula>"C-Off-H"</formula>
    </cfRule>
    <cfRule type="cellIs" dxfId="19370" priority="42579" operator="equal">
      <formula>"C-Off"</formula>
    </cfRule>
    <cfRule type="cellIs" dxfId="19369" priority="42580" operator="equal">
      <formula>"CL-H"</formula>
    </cfRule>
    <cfRule type="cellIs" dxfId="19368" priority="42581" operator="equal">
      <formula>"EL-H"</formula>
    </cfRule>
    <cfRule type="cellIs" dxfId="19367" priority="42582" operator="equal">
      <formula>"CL"</formula>
    </cfRule>
    <cfRule type="cellIs" dxfId="19366" priority="42583" operator="equal">
      <formula>"EL"</formula>
    </cfRule>
  </conditionalFormatting>
  <conditionalFormatting sqref="BI6:BJ6">
    <cfRule type="containsText" dxfId="19365" priority="42572" operator="containsText" text="S">
      <formula>NOT(ISERROR(SEARCH("S",BI6)))</formula>
    </cfRule>
    <cfRule type="containsText" dxfId="19364" priority="42573" operator="containsText" text="P">
      <formula>NOT(ISERROR(SEARCH("P",BI6)))</formula>
    </cfRule>
    <cfRule type="containsText" dxfId="19363" priority="42574" operator="containsText" text="H">
      <formula>NOT(ISERROR(SEARCH("H",BI6)))</formula>
    </cfRule>
    <cfRule type="containsText" dxfId="19362" priority="42576" operator="containsText" text="&quot;H&quot;">
      <formula>NOT(ISERROR(SEARCH("""H""",BI6)))</formula>
    </cfRule>
    <cfRule type="containsText" dxfId="19361" priority="42577" operator="containsText" text="&quot;A&quot;">
      <formula>NOT(ISERROR(SEARCH("""A""",BI6)))</formula>
    </cfRule>
  </conditionalFormatting>
  <conditionalFormatting sqref="BI6:BJ6">
    <cfRule type="containsText" dxfId="19360" priority="42575" operator="containsText" text="A-H">
      <formula>NOT(ISERROR(SEARCH("A-H",BI6)))</formula>
    </cfRule>
  </conditionalFormatting>
  <conditionalFormatting sqref="BL6:BM6">
    <cfRule type="cellIs" dxfId="19359" priority="42566" operator="equal">
      <formula>"C-Off-H"</formula>
    </cfRule>
    <cfRule type="cellIs" dxfId="19358" priority="42567" operator="equal">
      <formula>"C-Off"</formula>
    </cfRule>
    <cfRule type="cellIs" dxfId="19357" priority="42568" operator="equal">
      <formula>"CL-H"</formula>
    </cfRule>
    <cfRule type="cellIs" dxfId="19356" priority="42569" operator="equal">
      <formula>"EL-H"</formula>
    </cfRule>
    <cfRule type="cellIs" dxfId="19355" priority="42570" operator="equal">
      <formula>"CL"</formula>
    </cfRule>
    <cfRule type="cellIs" dxfId="19354" priority="42571" operator="equal">
      <formula>"EL"</formula>
    </cfRule>
  </conditionalFormatting>
  <conditionalFormatting sqref="BL6:BM6">
    <cfRule type="containsText" dxfId="19353" priority="42560" operator="containsText" text="S">
      <formula>NOT(ISERROR(SEARCH("S",BL6)))</formula>
    </cfRule>
    <cfRule type="containsText" dxfId="19352" priority="42561" operator="containsText" text="P">
      <formula>NOT(ISERROR(SEARCH("P",BL6)))</formula>
    </cfRule>
    <cfRule type="containsText" dxfId="19351" priority="42562" operator="containsText" text="H">
      <formula>NOT(ISERROR(SEARCH("H",BL6)))</formula>
    </cfRule>
    <cfRule type="containsText" dxfId="19350" priority="42564" operator="containsText" text="&quot;H&quot;">
      <formula>NOT(ISERROR(SEARCH("""H""",BL6)))</formula>
    </cfRule>
    <cfRule type="containsText" dxfId="19349" priority="42565" operator="containsText" text="&quot;A&quot;">
      <formula>NOT(ISERROR(SEARCH("""A""",BL6)))</formula>
    </cfRule>
  </conditionalFormatting>
  <conditionalFormatting sqref="BL6:BM6">
    <cfRule type="containsText" dxfId="19348" priority="42563" operator="containsText" text="A-H">
      <formula>NOT(ISERROR(SEARCH("A-H",BL6)))</formula>
    </cfRule>
  </conditionalFormatting>
  <conditionalFormatting sqref="BR6:BS6">
    <cfRule type="cellIs" dxfId="19347" priority="42554" operator="equal">
      <formula>"C-Off-H"</formula>
    </cfRule>
    <cfRule type="cellIs" dxfId="19346" priority="42555" operator="equal">
      <formula>"C-Off"</formula>
    </cfRule>
    <cfRule type="cellIs" dxfId="19345" priority="42556" operator="equal">
      <formula>"CL-H"</formula>
    </cfRule>
    <cfRule type="cellIs" dxfId="19344" priority="42557" operator="equal">
      <formula>"EL-H"</formula>
    </cfRule>
    <cfRule type="cellIs" dxfId="19343" priority="42558" operator="equal">
      <formula>"CL"</formula>
    </cfRule>
    <cfRule type="cellIs" dxfId="19342" priority="42559" operator="equal">
      <formula>"EL"</formula>
    </cfRule>
  </conditionalFormatting>
  <conditionalFormatting sqref="BR6:BS6">
    <cfRule type="containsText" dxfId="19341" priority="42548" operator="containsText" text="S">
      <formula>NOT(ISERROR(SEARCH("S",BR6)))</formula>
    </cfRule>
    <cfRule type="containsText" dxfId="19340" priority="42549" operator="containsText" text="P">
      <formula>NOT(ISERROR(SEARCH("P",BR6)))</formula>
    </cfRule>
    <cfRule type="containsText" dxfId="19339" priority="42550" operator="containsText" text="H">
      <formula>NOT(ISERROR(SEARCH("H",BR6)))</formula>
    </cfRule>
    <cfRule type="containsText" dxfId="19338" priority="42552" operator="containsText" text="&quot;H&quot;">
      <formula>NOT(ISERROR(SEARCH("""H""",BR6)))</formula>
    </cfRule>
    <cfRule type="containsText" dxfId="19337" priority="42553" operator="containsText" text="&quot;A&quot;">
      <formula>NOT(ISERROR(SEARCH("""A""",BR6)))</formula>
    </cfRule>
  </conditionalFormatting>
  <conditionalFormatting sqref="BR6:BS6">
    <cfRule type="containsText" dxfId="19336" priority="42551" operator="containsText" text="A-H">
      <formula>NOT(ISERROR(SEARCH("A-H",BR6)))</formula>
    </cfRule>
  </conditionalFormatting>
  <conditionalFormatting sqref="BU6:BV6">
    <cfRule type="cellIs" dxfId="19335" priority="42542" operator="equal">
      <formula>"C-Off-H"</formula>
    </cfRule>
    <cfRule type="cellIs" dxfId="19334" priority="42543" operator="equal">
      <formula>"C-Off"</formula>
    </cfRule>
    <cfRule type="cellIs" dxfId="19333" priority="42544" operator="equal">
      <formula>"CL-H"</formula>
    </cfRule>
    <cfRule type="cellIs" dxfId="19332" priority="42545" operator="equal">
      <formula>"EL-H"</formula>
    </cfRule>
    <cfRule type="cellIs" dxfId="19331" priority="42546" operator="equal">
      <formula>"CL"</formula>
    </cfRule>
    <cfRule type="cellIs" dxfId="19330" priority="42547" operator="equal">
      <formula>"EL"</formula>
    </cfRule>
  </conditionalFormatting>
  <conditionalFormatting sqref="BU6:BV6">
    <cfRule type="containsText" dxfId="19329" priority="42536" operator="containsText" text="S">
      <formula>NOT(ISERROR(SEARCH("S",BU6)))</formula>
    </cfRule>
    <cfRule type="containsText" dxfId="19328" priority="42537" operator="containsText" text="P">
      <formula>NOT(ISERROR(SEARCH("P",BU6)))</formula>
    </cfRule>
    <cfRule type="containsText" dxfId="19327" priority="42538" operator="containsText" text="H">
      <formula>NOT(ISERROR(SEARCH("H",BU6)))</formula>
    </cfRule>
    <cfRule type="containsText" dxfId="19326" priority="42540" operator="containsText" text="&quot;H&quot;">
      <formula>NOT(ISERROR(SEARCH("""H""",BU6)))</formula>
    </cfRule>
    <cfRule type="containsText" dxfId="19325" priority="42541" operator="containsText" text="&quot;A&quot;">
      <formula>NOT(ISERROR(SEARCH("""A""",BU6)))</formula>
    </cfRule>
  </conditionalFormatting>
  <conditionalFormatting sqref="BU6:BV6">
    <cfRule type="containsText" dxfId="19324" priority="42539" operator="containsText" text="A-H">
      <formula>NOT(ISERROR(SEARCH("A-H",BU6)))</formula>
    </cfRule>
  </conditionalFormatting>
  <conditionalFormatting sqref="BY6">
    <cfRule type="cellIs" dxfId="19323" priority="42530" operator="equal">
      <formula>"C-Off-H"</formula>
    </cfRule>
    <cfRule type="cellIs" dxfId="19322" priority="42531" operator="equal">
      <formula>"C-Off"</formula>
    </cfRule>
    <cfRule type="cellIs" dxfId="19321" priority="42532" operator="equal">
      <formula>"CL-H"</formula>
    </cfRule>
    <cfRule type="cellIs" dxfId="19320" priority="42533" operator="equal">
      <formula>"EL-H"</formula>
    </cfRule>
    <cfRule type="cellIs" dxfId="19319" priority="42534" operator="equal">
      <formula>"CL"</formula>
    </cfRule>
    <cfRule type="cellIs" dxfId="19318" priority="42535" operator="equal">
      <formula>"EL"</formula>
    </cfRule>
  </conditionalFormatting>
  <conditionalFormatting sqref="BY6">
    <cfRule type="containsText" dxfId="19317" priority="42524" operator="containsText" text="S">
      <formula>NOT(ISERROR(SEARCH("S",BY6)))</formula>
    </cfRule>
    <cfRule type="containsText" dxfId="19316" priority="42525" operator="containsText" text="P">
      <formula>NOT(ISERROR(SEARCH("P",BY6)))</formula>
    </cfRule>
    <cfRule type="containsText" dxfId="19315" priority="42526" operator="containsText" text="H">
      <formula>NOT(ISERROR(SEARCH("H",BY6)))</formula>
    </cfRule>
    <cfRule type="containsText" dxfId="19314" priority="42528" operator="containsText" text="&quot;H&quot;">
      <formula>NOT(ISERROR(SEARCH("""H""",BY6)))</formula>
    </cfRule>
    <cfRule type="containsText" dxfId="19313" priority="42529" operator="containsText" text="&quot;A&quot;">
      <formula>NOT(ISERROR(SEARCH("""A""",BY6)))</formula>
    </cfRule>
  </conditionalFormatting>
  <conditionalFormatting sqref="BY6">
    <cfRule type="containsText" dxfId="19312" priority="42527" operator="containsText" text="A-H">
      <formula>NOT(ISERROR(SEARCH("A-H",BY6)))</formula>
    </cfRule>
  </conditionalFormatting>
  <conditionalFormatting sqref="BX6">
    <cfRule type="cellIs" dxfId="19311" priority="42518" operator="equal">
      <formula>"C-Off-H"</formula>
    </cfRule>
    <cfRule type="cellIs" dxfId="19310" priority="42519" operator="equal">
      <formula>"C-Off"</formula>
    </cfRule>
    <cfRule type="cellIs" dxfId="19309" priority="42520" operator="equal">
      <formula>"CL-H"</formula>
    </cfRule>
    <cfRule type="cellIs" dxfId="19308" priority="42521" operator="equal">
      <formula>"EL-H"</formula>
    </cfRule>
    <cfRule type="cellIs" dxfId="19307" priority="42522" operator="equal">
      <formula>"CL"</formula>
    </cfRule>
    <cfRule type="cellIs" dxfId="19306" priority="42523" operator="equal">
      <formula>"EL"</formula>
    </cfRule>
  </conditionalFormatting>
  <conditionalFormatting sqref="BX6">
    <cfRule type="containsText" dxfId="19305" priority="42512" operator="containsText" text="S">
      <formula>NOT(ISERROR(SEARCH("S",BX6)))</formula>
    </cfRule>
    <cfRule type="containsText" dxfId="19304" priority="42513" operator="containsText" text="P">
      <formula>NOT(ISERROR(SEARCH("P",BX6)))</formula>
    </cfRule>
    <cfRule type="containsText" dxfId="19303" priority="42514" operator="containsText" text="H">
      <formula>NOT(ISERROR(SEARCH("H",BX6)))</formula>
    </cfRule>
    <cfRule type="containsText" dxfId="19302" priority="42516" operator="containsText" text="&quot;H&quot;">
      <formula>NOT(ISERROR(SEARCH("""H""",BX6)))</formula>
    </cfRule>
    <cfRule type="containsText" dxfId="19301" priority="42517" operator="containsText" text="&quot;A&quot;">
      <formula>NOT(ISERROR(SEARCH("""A""",BX6)))</formula>
    </cfRule>
  </conditionalFormatting>
  <conditionalFormatting sqref="BX6">
    <cfRule type="containsText" dxfId="19300" priority="42515" operator="containsText" text="A-H">
      <formula>NOT(ISERROR(SEARCH("A-H",BX6)))</formula>
    </cfRule>
  </conditionalFormatting>
  <conditionalFormatting sqref="J6:K6">
    <cfRule type="cellIs" dxfId="19299" priority="42116" operator="equal">
      <formula>"C-Off-H"</formula>
    </cfRule>
    <cfRule type="cellIs" dxfId="19298" priority="42117" operator="equal">
      <formula>"C-Off"</formula>
    </cfRule>
    <cfRule type="cellIs" dxfId="19297" priority="42118" operator="equal">
      <formula>"CL-H"</formula>
    </cfRule>
    <cfRule type="cellIs" dxfId="19296" priority="42119" operator="equal">
      <formula>"EL-H"</formula>
    </cfRule>
    <cfRule type="cellIs" dxfId="19295" priority="42120" operator="equal">
      <formula>"CL"</formula>
    </cfRule>
    <cfRule type="cellIs" dxfId="19294" priority="42121" operator="equal">
      <formula>"EL"</formula>
    </cfRule>
  </conditionalFormatting>
  <conditionalFormatting sqref="J6:K6">
    <cfRule type="containsText" dxfId="19293" priority="42110" operator="containsText" text="S">
      <formula>NOT(ISERROR(SEARCH("S",J6)))</formula>
    </cfRule>
    <cfRule type="containsText" dxfId="19292" priority="42111" operator="containsText" text="P">
      <formula>NOT(ISERROR(SEARCH("P",J6)))</formula>
    </cfRule>
    <cfRule type="containsText" dxfId="19291" priority="42112" operator="containsText" text="H">
      <formula>NOT(ISERROR(SEARCH("H",J6)))</formula>
    </cfRule>
    <cfRule type="containsText" dxfId="19290" priority="42114" operator="containsText" text="&quot;H&quot;">
      <formula>NOT(ISERROR(SEARCH("""H""",J6)))</formula>
    </cfRule>
    <cfRule type="containsText" dxfId="19289" priority="42115" operator="containsText" text="&quot;A&quot;">
      <formula>NOT(ISERROR(SEARCH("""A""",J6)))</formula>
    </cfRule>
  </conditionalFormatting>
  <conditionalFormatting sqref="J6:K6">
    <cfRule type="containsText" dxfId="19288" priority="42113" operator="containsText" text="A-H">
      <formula>NOT(ISERROR(SEARCH("A-H",J6)))</formula>
    </cfRule>
  </conditionalFormatting>
  <conditionalFormatting sqref="M4:N4 DC4 CQ4:CW4">
    <cfRule type="cellIs" dxfId="19287" priority="42085" operator="equal">
      <formula>"C-Off-H"</formula>
    </cfRule>
    <cfRule type="cellIs" dxfId="19286" priority="42086" operator="equal">
      <formula>"C-Off"</formula>
    </cfRule>
    <cfRule type="cellIs" dxfId="19285" priority="42087" operator="equal">
      <formula>"CL-H"</formula>
    </cfRule>
    <cfRule type="cellIs" dxfId="19284" priority="42088" operator="equal">
      <formula>"EL-H"</formula>
    </cfRule>
    <cfRule type="cellIs" dxfId="19283" priority="42089" operator="equal">
      <formula>"CL"</formula>
    </cfRule>
    <cfRule type="cellIs" dxfId="19282" priority="42090" operator="equal">
      <formula>"EL"</formula>
    </cfRule>
  </conditionalFormatting>
  <conditionalFormatting sqref="M4:N4 DC4 CQ4:CW4 CY4:DA4">
    <cfRule type="containsText" dxfId="19281" priority="42084" operator="containsText" text="A-H">
      <formula>NOT(ISERROR(SEARCH("A-H",M4)))</formula>
    </cfRule>
  </conditionalFormatting>
  <conditionalFormatting sqref="DC4 CQ4:CW4 CY4:DA4">
    <cfRule type="containsText" dxfId="19280" priority="42083" operator="containsText" text="A">
      <formula>NOT(ISERROR(SEARCH("A",CQ4)))</formula>
    </cfRule>
  </conditionalFormatting>
  <conditionalFormatting sqref="CY4 DA4">
    <cfRule type="cellIs" dxfId="19279" priority="42077" stopIfTrue="1" operator="equal">
      <formula>"C-Off-H"</formula>
    </cfRule>
    <cfRule type="cellIs" dxfId="19278" priority="42078" stopIfTrue="1" operator="equal">
      <formula>"C-Off"</formula>
    </cfRule>
    <cfRule type="cellIs" dxfId="19277" priority="42079" stopIfTrue="1" operator="equal">
      <formula>"CL-H"</formula>
    </cfRule>
    <cfRule type="cellIs" dxfId="19276" priority="42080" stopIfTrue="1" operator="equal">
      <formula>"EL-H"</formula>
    </cfRule>
    <cfRule type="cellIs" dxfId="19275" priority="42081" stopIfTrue="1" operator="equal">
      <formula>"CL"</formula>
    </cfRule>
    <cfRule type="cellIs" dxfId="19274" priority="42082" stopIfTrue="1" operator="equal">
      <formula>"EL"</formula>
    </cfRule>
  </conditionalFormatting>
  <conditionalFormatting sqref="CZ4">
    <cfRule type="cellIs" dxfId="19273" priority="42071" stopIfTrue="1" operator="equal">
      <formula>"C-Off-H"</formula>
    </cfRule>
    <cfRule type="cellIs" dxfId="19272" priority="42072" stopIfTrue="1" operator="equal">
      <formula>"C-Off"</formula>
    </cfRule>
    <cfRule type="cellIs" dxfId="19271" priority="42073" stopIfTrue="1" operator="equal">
      <formula>"CL-H"</formula>
    </cfRule>
    <cfRule type="cellIs" dxfId="19270" priority="42074" stopIfTrue="1" operator="equal">
      <formula>"EL-H"</formula>
    </cfRule>
    <cfRule type="cellIs" dxfId="19269" priority="42075" stopIfTrue="1" operator="equal">
      <formula>"CL"</formula>
    </cfRule>
    <cfRule type="cellIs" dxfId="19268" priority="42076" stopIfTrue="1" operator="equal">
      <formula>"EL"</formula>
    </cfRule>
  </conditionalFormatting>
  <conditionalFormatting sqref="M4:N4">
    <cfRule type="containsText" dxfId="19267" priority="42066" operator="containsText" text="S">
      <formula>NOT(ISERROR(SEARCH("S",M4)))</formula>
    </cfRule>
    <cfRule type="containsText" dxfId="19266" priority="42067" operator="containsText" text="P">
      <formula>NOT(ISERROR(SEARCH("P",M4)))</formula>
    </cfRule>
    <cfRule type="containsText" dxfId="19265" priority="42068" operator="containsText" text="H">
      <formula>NOT(ISERROR(SEARCH("H",M4)))</formula>
    </cfRule>
    <cfRule type="containsText" dxfId="19264" priority="42069" operator="containsText" text="&quot;H&quot;">
      <formula>NOT(ISERROR(SEARCH("""H""",M4)))</formula>
    </cfRule>
    <cfRule type="containsText" dxfId="19263" priority="42070" operator="containsText" text="&quot;A&quot;">
      <formula>NOT(ISERROR(SEARCH("""A""",M4)))</formula>
    </cfRule>
  </conditionalFormatting>
  <conditionalFormatting sqref="DD4">
    <cfRule type="cellIs" dxfId="19262" priority="42060" operator="equal">
      <formula>"C-Off-H"</formula>
    </cfRule>
    <cfRule type="cellIs" dxfId="19261" priority="42061" operator="equal">
      <formula>"C-Off"</formula>
    </cfRule>
    <cfRule type="cellIs" dxfId="19260" priority="42062" operator="equal">
      <formula>"CL-H"</formula>
    </cfRule>
    <cfRule type="cellIs" dxfId="19259" priority="42063" operator="equal">
      <formula>"EL-H"</formula>
    </cfRule>
    <cfRule type="cellIs" dxfId="19258" priority="42064" operator="equal">
      <formula>"CL"</formula>
    </cfRule>
    <cfRule type="cellIs" dxfId="19257" priority="42065" operator="equal">
      <formula>"EL"</formula>
    </cfRule>
  </conditionalFormatting>
  <conditionalFormatting sqref="DD4">
    <cfRule type="containsText" dxfId="19256" priority="42059" operator="containsText" text="A">
      <formula>NOT(ISERROR(SEARCH("A",DD4)))</formula>
    </cfRule>
  </conditionalFormatting>
  <conditionalFormatting sqref="DD4">
    <cfRule type="containsText" dxfId="19255" priority="42058" operator="containsText" text="A-H">
      <formula>NOT(ISERROR(SEARCH("A-H",DD4)))</formula>
    </cfRule>
  </conditionalFormatting>
  <conditionalFormatting sqref="AI4">
    <cfRule type="cellIs" dxfId="19254" priority="42052" operator="equal">
      <formula>"C-Off-H"</formula>
    </cfRule>
    <cfRule type="cellIs" dxfId="19253" priority="42053" operator="equal">
      <formula>"C-Off"</formula>
    </cfRule>
    <cfRule type="cellIs" dxfId="19252" priority="42054" operator="equal">
      <formula>"CL-H"</formula>
    </cfRule>
    <cfRule type="cellIs" dxfId="19251" priority="42055" operator="equal">
      <formula>"EL-H"</formula>
    </cfRule>
    <cfRule type="cellIs" dxfId="19250" priority="42056" operator="equal">
      <formula>"CL"</formula>
    </cfRule>
    <cfRule type="cellIs" dxfId="19249" priority="42057" operator="equal">
      <formula>"EL"</formula>
    </cfRule>
  </conditionalFormatting>
  <conditionalFormatting sqref="AH4:AI4">
    <cfRule type="cellIs" dxfId="19248" priority="42046" operator="equal">
      <formula>"C-Off-H"</formula>
    </cfRule>
    <cfRule type="cellIs" dxfId="19247" priority="42047" operator="equal">
      <formula>"C-Off"</formula>
    </cfRule>
    <cfRule type="cellIs" dxfId="19246" priority="42048" operator="equal">
      <formula>"CL-H"</formula>
    </cfRule>
    <cfRule type="cellIs" dxfId="19245" priority="42049" operator="equal">
      <formula>"EL-H"</formula>
    </cfRule>
    <cfRule type="cellIs" dxfId="19244" priority="42050" operator="equal">
      <formula>"CL"</formula>
    </cfRule>
    <cfRule type="cellIs" dxfId="19243" priority="42051" operator="equal">
      <formula>"EL"</formula>
    </cfRule>
  </conditionalFormatting>
  <conditionalFormatting sqref="AH4:AI4">
    <cfRule type="containsText" dxfId="19242" priority="42040" operator="containsText" text="S">
      <formula>NOT(ISERROR(SEARCH("S",AH4)))</formula>
    </cfRule>
    <cfRule type="containsText" dxfId="19241" priority="42041" operator="containsText" text="P">
      <formula>NOT(ISERROR(SEARCH("P",AH4)))</formula>
    </cfRule>
    <cfRule type="containsText" dxfId="19240" priority="42042" operator="containsText" text="H">
      <formula>NOT(ISERROR(SEARCH("H",AH4)))</formula>
    </cfRule>
    <cfRule type="containsText" dxfId="19239" priority="42044" operator="containsText" text="&quot;H&quot;">
      <formula>NOT(ISERROR(SEARCH("""H""",AH4)))</formula>
    </cfRule>
    <cfRule type="containsText" dxfId="19238" priority="42045" operator="containsText" text="&quot;A&quot;">
      <formula>NOT(ISERROR(SEARCH("""A""",AH4)))</formula>
    </cfRule>
  </conditionalFormatting>
  <conditionalFormatting sqref="AH4:AI4">
    <cfRule type="containsText" dxfId="19237" priority="42043" operator="containsText" text="A-H">
      <formula>NOT(ISERROR(SEARCH("A-H",AH4)))</formula>
    </cfRule>
  </conditionalFormatting>
  <conditionalFormatting sqref="AU4">
    <cfRule type="cellIs" dxfId="19236" priority="42034" operator="equal">
      <formula>"C-Off-H"</formula>
    </cfRule>
    <cfRule type="cellIs" dxfId="19235" priority="42035" operator="equal">
      <formula>"C-Off"</formula>
    </cfRule>
    <cfRule type="cellIs" dxfId="19234" priority="42036" operator="equal">
      <formula>"CL-H"</formula>
    </cfRule>
    <cfRule type="cellIs" dxfId="19233" priority="42037" operator="equal">
      <formula>"EL-H"</formula>
    </cfRule>
    <cfRule type="cellIs" dxfId="19232" priority="42038" operator="equal">
      <formula>"CL"</formula>
    </cfRule>
    <cfRule type="cellIs" dxfId="19231" priority="42039" operator="equal">
      <formula>"EL"</formula>
    </cfRule>
  </conditionalFormatting>
  <conditionalFormatting sqref="AT4:AU4">
    <cfRule type="cellIs" dxfId="19230" priority="42028" operator="equal">
      <formula>"C-Off-H"</formula>
    </cfRule>
    <cfRule type="cellIs" dxfId="19229" priority="42029" operator="equal">
      <formula>"C-Off"</formula>
    </cfRule>
    <cfRule type="cellIs" dxfId="19228" priority="42030" operator="equal">
      <formula>"CL-H"</formula>
    </cfRule>
    <cfRule type="cellIs" dxfId="19227" priority="42031" operator="equal">
      <formula>"EL-H"</formula>
    </cfRule>
    <cfRule type="cellIs" dxfId="19226" priority="42032" operator="equal">
      <formula>"CL"</formula>
    </cfRule>
    <cfRule type="cellIs" dxfId="19225" priority="42033" operator="equal">
      <formula>"EL"</formula>
    </cfRule>
  </conditionalFormatting>
  <conditionalFormatting sqref="AT4:AU4">
    <cfRule type="containsText" dxfId="19224" priority="42022" operator="containsText" text="S">
      <formula>NOT(ISERROR(SEARCH("S",AT4)))</formula>
    </cfRule>
    <cfRule type="containsText" dxfId="19223" priority="42023" operator="containsText" text="P">
      <formula>NOT(ISERROR(SEARCH("P",AT4)))</formula>
    </cfRule>
    <cfRule type="containsText" dxfId="19222" priority="42024" operator="containsText" text="H">
      <formula>NOT(ISERROR(SEARCH("H",AT4)))</formula>
    </cfRule>
    <cfRule type="containsText" dxfId="19221" priority="42026" operator="containsText" text="&quot;H&quot;">
      <formula>NOT(ISERROR(SEARCH("""H""",AT4)))</formula>
    </cfRule>
    <cfRule type="containsText" dxfId="19220" priority="42027" operator="containsText" text="&quot;A&quot;">
      <formula>NOT(ISERROR(SEARCH("""A""",AT4)))</formula>
    </cfRule>
  </conditionalFormatting>
  <conditionalFormatting sqref="AT4:AU4">
    <cfRule type="containsText" dxfId="19219" priority="42025" operator="containsText" text="A-H">
      <formula>NOT(ISERROR(SEARCH("A-H",AT4)))</formula>
    </cfRule>
  </conditionalFormatting>
  <conditionalFormatting sqref="E4">
    <cfRule type="cellIs" dxfId="19218" priority="42016" operator="equal">
      <formula>"C-Off-H"</formula>
    </cfRule>
    <cfRule type="cellIs" dxfId="19217" priority="42017" operator="equal">
      <formula>"C-Off"</formula>
    </cfRule>
    <cfRule type="cellIs" dxfId="19216" priority="42018" operator="equal">
      <formula>"CL-H"</formula>
    </cfRule>
    <cfRule type="cellIs" dxfId="19215" priority="42019" operator="equal">
      <formula>"EL-H"</formula>
    </cfRule>
    <cfRule type="cellIs" dxfId="19214" priority="42020" operator="equal">
      <formula>"CL"</formula>
    </cfRule>
    <cfRule type="cellIs" dxfId="19213" priority="42021" operator="equal">
      <formula>"EL"</formula>
    </cfRule>
  </conditionalFormatting>
  <conditionalFormatting sqref="D4:E4">
    <cfRule type="cellIs" dxfId="19212" priority="42010" operator="equal">
      <formula>"C-Off-H"</formula>
    </cfRule>
    <cfRule type="cellIs" dxfId="19211" priority="42011" operator="equal">
      <formula>"C-Off"</formula>
    </cfRule>
    <cfRule type="cellIs" dxfId="19210" priority="42012" operator="equal">
      <formula>"CL-H"</formula>
    </cfRule>
    <cfRule type="cellIs" dxfId="19209" priority="42013" operator="equal">
      <formula>"EL-H"</formula>
    </cfRule>
    <cfRule type="cellIs" dxfId="19208" priority="42014" operator="equal">
      <formula>"CL"</formula>
    </cfRule>
    <cfRule type="cellIs" dxfId="19207" priority="42015" operator="equal">
      <formula>"EL"</formula>
    </cfRule>
  </conditionalFormatting>
  <conditionalFormatting sqref="D4:E4">
    <cfRule type="containsText" dxfId="19206" priority="42004" operator="containsText" text="S">
      <formula>NOT(ISERROR(SEARCH("S",D4)))</formula>
    </cfRule>
    <cfRule type="containsText" dxfId="19205" priority="42005" operator="containsText" text="P">
      <formula>NOT(ISERROR(SEARCH("P",D4)))</formula>
    </cfRule>
    <cfRule type="containsText" dxfId="19204" priority="42006" operator="containsText" text="H">
      <formula>NOT(ISERROR(SEARCH("H",D4)))</formula>
    </cfRule>
    <cfRule type="containsText" dxfId="19203" priority="42008" operator="containsText" text="&quot;H&quot;">
      <formula>NOT(ISERROR(SEARCH("""H""",D4)))</formula>
    </cfRule>
    <cfRule type="containsText" dxfId="19202" priority="42009" operator="containsText" text="&quot;A&quot;">
      <formula>NOT(ISERROR(SEARCH("""A""",D4)))</formula>
    </cfRule>
  </conditionalFormatting>
  <conditionalFormatting sqref="D4:E4">
    <cfRule type="containsText" dxfId="19201" priority="42007" operator="containsText" text="A-H">
      <formula>NOT(ISERROR(SEARCH("A-H",D4)))</formula>
    </cfRule>
  </conditionalFormatting>
  <conditionalFormatting sqref="Y4">
    <cfRule type="cellIs" dxfId="19200" priority="41986" operator="equal">
      <formula>"C-Off-H"</formula>
    </cfRule>
    <cfRule type="cellIs" dxfId="19199" priority="41987" operator="equal">
      <formula>"C-Off"</formula>
    </cfRule>
    <cfRule type="cellIs" dxfId="19198" priority="41988" operator="equal">
      <formula>"CL-H"</formula>
    </cfRule>
    <cfRule type="cellIs" dxfId="19197" priority="41989" operator="equal">
      <formula>"EL-H"</formula>
    </cfRule>
    <cfRule type="cellIs" dxfId="19196" priority="41990" operator="equal">
      <formula>"CL"</formula>
    </cfRule>
    <cfRule type="cellIs" dxfId="19195" priority="41991" operator="equal">
      <formula>"EL"</formula>
    </cfRule>
  </conditionalFormatting>
  <conditionalFormatting sqref="Y4">
    <cfRule type="containsText" dxfId="19194" priority="41980" operator="containsText" text="S">
      <formula>NOT(ISERROR(SEARCH("S",Y4)))</formula>
    </cfRule>
    <cfRule type="containsText" dxfId="19193" priority="41981" operator="containsText" text="P">
      <formula>NOT(ISERROR(SEARCH("P",Y4)))</formula>
    </cfRule>
    <cfRule type="containsText" dxfId="19192" priority="41982" operator="containsText" text="H">
      <formula>NOT(ISERROR(SEARCH("H",Y4)))</formula>
    </cfRule>
    <cfRule type="containsText" dxfId="19191" priority="41984" operator="containsText" text="&quot;H&quot;">
      <formula>NOT(ISERROR(SEARCH("""H""",Y4)))</formula>
    </cfRule>
    <cfRule type="containsText" dxfId="19190" priority="41985" operator="containsText" text="&quot;A&quot;">
      <formula>NOT(ISERROR(SEARCH("""A""",Y4)))</formula>
    </cfRule>
  </conditionalFormatting>
  <conditionalFormatting sqref="Y4">
    <cfRule type="containsText" dxfId="19189" priority="41983" operator="containsText" text="A-H">
      <formula>NOT(ISERROR(SEARCH("A-H",Y4)))</formula>
    </cfRule>
  </conditionalFormatting>
  <conditionalFormatting sqref="AF4">
    <cfRule type="cellIs" dxfId="19188" priority="41974" operator="equal">
      <formula>"C-Off-H"</formula>
    </cfRule>
    <cfRule type="cellIs" dxfId="19187" priority="41975" operator="equal">
      <formula>"C-Off"</formula>
    </cfRule>
    <cfRule type="cellIs" dxfId="19186" priority="41976" operator="equal">
      <formula>"CL-H"</formula>
    </cfRule>
    <cfRule type="cellIs" dxfId="19185" priority="41977" operator="equal">
      <formula>"EL-H"</formula>
    </cfRule>
    <cfRule type="cellIs" dxfId="19184" priority="41978" operator="equal">
      <formula>"CL"</formula>
    </cfRule>
    <cfRule type="cellIs" dxfId="19183" priority="41979" operator="equal">
      <formula>"EL"</formula>
    </cfRule>
  </conditionalFormatting>
  <conditionalFormatting sqref="AF4">
    <cfRule type="containsText" dxfId="19182" priority="41968" operator="containsText" text="S">
      <formula>NOT(ISERROR(SEARCH("S",AF4)))</formula>
    </cfRule>
    <cfRule type="containsText" dxfId="19181" priority="41969" operator="containsText" text="P">
      <formula>NOT(ISERROR(SEARCH("P",AF4)))</formula>
    </cfRule>
    <cfRule type="containsText" dxfId="19180" priority="41970" operator="containsText" text="H">
      <formula>NOT(ISERROR(SEARCH("H",AF4)))</formula>
    </cfRule>
    <cfRule type="containsText" dxfId="19179" priority="41972" operator="containsText" text="&quot;H&quot;">
      <formula>NOT(ISERROR(SEARCH("""H""",AF4)))</formula>
    </cfRule>
    <cfRule type="containsText" dxfId="19178" priority="41973" operator="containsText" text="&quot;A&quot;">
      <formula>NOT(ISERROR(SEARCH("""A""",AF4)))</formula>
    </cfRule>
  </conditionalFormatting>
  <conditionalFormatting sqref="AF4">
    <cfRule type="containsText" dxfId="19177" priority="41971" operator="containsText" text="A-H">
      <formula>NOT(ISERROR(SEARCH("A-H",AF4)))</formula>
    </cfRule>
  </conditionalFormatting>
  <conditionalFormatting sqref="BO4:BP4">
    <cfRule type="cellIs" dxfId="19176" priority="41962" operator="equal">
      <formula>"C-Off-H"</formula>
    </cfRule>
    <cfRule type="cellIs" dxfId="19175" priority="41963" operator="equal">
      <formula>"C-Off"</formula>
    </cfRule>
    <cfRule type="cellIs" dxfId="19174" priority="41964" operator="equal">
      <formula>"CL-H"</formula>
    </cfRule>
    <cfRule type="cellIs" dxfId="19173" priority="41965" operator="equal">
      <formula>"EL-H"</formula>
    </cfRule>
    <cfRule type="cellIs" dxfId="19172" priority="41966" operator="equal">
      <formula>"CL"</formula>
    </cfRule>
    <cfRule type="cellIs" dxfId="19171" priority="41967" operator="equal">
      <formula>"EL"</formula>
    </cfRule>
  </conditionalFormatting>
  <conditionalFormatting sqref="BO4:BP4">
    <cfRule type="cellIs" dxfId="19170" priority="41956" operator="equal">
      <formula>"C-Off-H"</formula>
    </cfRule>
    <cfRule type="cellIs" dxfId="19169" priority="41957" operator="equal">
      <formula>"C-Off"</formula>
    </cfRule>
    <cfRule type="cellIs" dxfId="19168" priority="41958" operator="equal">
      <formula>"CL-H"</formula>
    </cfRule>
    <cfRule type="cellIs" dxfId="19167" priority="41959" operator="equal">
      <formula>"EL-H"</formula>
    </cfRule>
    <cfRule type="cellIs" dxfId="19166" priority="41960" operator="equal">
      <formula>"CL"</formula>
    </cfRule>
    <cfRule type="cellIs" dxfId="19165" priority="41961" operator="equal">
      <formula>"EL"</formula>
    </cfRule>
  </conditionalFormatting>
  <conditionalFormatting sqref="BO4:BP4">
    <cfRule type="containsText" dxfId="19164" priority="41950" operator="containsText" text="S">
      <formula>NOT(ISERROR(SEARCH("S",BO4)))</formula>
    </cfRule>
    <cfRule type="containsText" dxfId="19163" priority="41951" operator="containsText" text="P">
      <formula>NOT(ISERROR(SEARCH("P",BO4)))</formula>
    </cfRule>
    <cfRule type="containsText" dxfId="19162" priority="41952" operator="containsText" text="H">
      <formula>NOT(ISERROR(SEARCH("H",BO4)))</formula>
    </cfRule>
    <cfRule type="containsText" dxfId="19161" priority="41954" operator="containsText" text="&quot;H&quot;">
      <formula>NOT(ISERROR(SEARCH("""H""",BO4)))</formula>
    </cfRule>
    <cfRule type="containsText" dxfId="19160" priority="41955" operator="containsText" text="&quot;A&quot;">
      <formula>NOT(ISERROR(SEARCH("""A""",BO4)))</formula>
    </cfRule>
  </conditionalFormatting>
  <conditionalFormatting sqref="BO4:BP4">
    <cfRule type="containsText" dxfId="19159" priority="41953" operator="containsText" text="A-H">
      <formula>NOT(ISERROR(SEARCH("A-H",BO4)))</formula>
    </cfRule>
  </conditionalFormatting>
  <conditionalFormatting sqref="CM4">
    <cfRule type="cellIs" dxfId="19158" priority="41944" operator="equal">
      <formula>"C-Off-H"</formula>
    </cfRule>
    <cfRule type="cellIs" dxfId="19157" priority="41945" operator="equal">
      <formula>"C-Off"</formula>
    </cfRule>
    <cfRule type="cellIs" dxfId="19156" priority="41946" operator="equal">
      <formula>"CL-H"</formula>
    </cfRule>
    <cfRule type="cellIs" dxfId="19155" priority="41947" operator="equal">
      <formula>"EL-H"</formula>
    </cfRule>
    <cfRule type="cellIs" dxfId="19154" priority="41948" operator="equal">
      <formula>"CL"</formula>
    </cfRule>
    <cfRule type="cellIs" dxfId="19153" priority="41949" operator="equal">
      <formula>"EL"</formula>
    </cfRule>
  </conditionalFormatting>
  <conditionalFormatting sqref="CM4">
    <cfRule type="cellIs" dxfId="19152" priority="41938" operator="equal">
      <formula>"C-Off-H"</formula>
    </cfRule>
    <cfRule type="cellIs" dxfId="19151" priority="41939" operator="equal">
      <formula>"C-Off"</formula>
    </cfRule>
    <cfRule type="cellIs" dxfId="19150" priority="41940" operator="equal">
      <formula>"CL-H"</formula>
    </cfRule>
    <cfRule type="cellIs" dxfId="19149" priority="41941" operator="equal">
      <formula>"EL-H"</formula>
    </cfRule>
    <cfRule type="cellIs" dxfId="19148" priority="41942" operator="equal">
      <formula>"CL"</formula>
    </cfRule>
    <cfRule type="cellIs" dxfId="19147" priority="41943" operator="equal">
      <formula>"EL"</formula>
    </cfRule>
  </conditionalFormatting>
  <conditionalFormatting sqref="CM4">
    <cfRule type="containsText" dxfId="19146" priority="41932" operator="containsText" text="S">
      <formula>NOT(ISERROR(SEARCH("S",CM4)))</formula>
    </cfRule>
    <cfRule type="containsText" dxfId="19145" priority="41933" operator="containsText" text="P">
      <formula>NOT(ISERROR(SEARCH("P",CM4)))</formula>
    </cfRule>
    <cfRule type="containsText" dxfId="19144" priority="41934" operator="containsText" text="H">
      <formula>NOT(ISERROR(SEARCH("H",CM4)))</formula>
    </cfRule>
    <cfRule type="containsText" dxfId="19143" priority="41936" operator="containsText" text="&quot;H&quot;">
      <formula>NOT(ISERROR(SEARCH("""H""",CM4)))</formula>
    </cfRule>
    <cfRule type="containsText" dxfId="19142" priority="41937" operator="containsText" text="&quot;A&quot;">
      <formula>NOT(ISERROR(SEARCH("""A""",CM4)))</formula>
    </cfRule>
  </conditionalFormatting>
  <conditionalFormatting sqref="CM4">
    <cfRule type="containsText" dxfId="19141" priority="41935" operator="containsText" text="A-H">
      <formula>NOT(ISERROR(SEARCH("A-H",CM4)))</formula>
    </cfRule>
  </conditionalFormatting>
  <conditionalFormatting sqref="V4:W4">
    <cfRule type="cellIs" dxfId="19140" priority="41890" operator="equal">
      <formula>"C-Off-H"</formula>
    </cfRule>
    <cfRule type="cellIs" dxfId="19139" priority="41891" operator="equal">
      <formula>"C-Off"</formula>
    </cfRule>
    <cfRule type="cellIs" dxfId="19138" priority="41892" operator="equal">
      <formula>"CL-H"</formula>
    </cfRule>
    <cfRule type="cellIs" dxfId="19137" priority="41893" operator="equal">
      <formula>"EL-H"</formula>
    </cfRule>
    <cfRule type="cellIs" dxfId="19136" priority="41894" operator="equal">
      <formula>"CL"</formula>
    </cfRule>
    <cfRule type="cellIs" dxfId="19135" priority="41895" operator="equal">
      <formula>"EL"</formula>
    </cfRule>
  </conditionalFormatting>
  <conditionalFormatting sqref="V4:W4">
    <cfRule type="containsText" dxfId="19134" priority="41884" operator="containsText" text="S">
      <formula>NOT(ISERROR(SEARCH("S",V4)))</formula>
    </cfRule>
    <cfRule type="containsText" dxfId="19133" priority="41885" operator="containsText" text="P">
      <formula>NOT(ISERROR(SEARCH("P",V4)))</formula>
    </cfRule>
    <cfRule type="containsText" dxfId="19132" priority="41886" operator="containsText" text="H">
      <formula>NOT(ISERROR(SEARCH("H",V4)))</formula>
    </cfRule>
    <cfRule type="containsText" dxfId="19131" priority="41888" operator="containsText" text="&quot;H&quot;">
      <formula>NOT(ISERROR(SEARCH("""H""",V4)))</formula>
    </cfRule>
    <cfRule type="containsText" dxfId="19130" priority="41889" operator="containsText" text="&quot;A&quot;">
      <formula>NOT(ISERROR(SEARCH("""A""",V4)))</formula>
    </cfRule>
  </conditionalFormatting>
  <conditionalFormatting sqref="V4:W4">
    <cfRule type="containsText" dxfId="19129" priority="41887" operator="containsText" text="A-H">
      <formula>NOT(ISERROR(SEARCH("A-H",V4)))</formula>
    </cfRule>
  </conditionalFormatting>
  <conditionalFormatting sqref="P4:Q4">
    <cfRule type="cellIs" dxfId="19128" priority="41914" operator="equal">
      <formula>"C-Off-H"</formula>
    </cfRule>
    <cfRule type="cellIs" dxfId="19127" priority="41915" operator="equal">
      <formula>"C-Off"</formula>
    </cfRule>
    <cfRule type="cellIs" dxfId="19126" priority="41916" operator="equal">
      <formula>"CL-H"</formula>
    </cfRule>
    <cfRule type="cellIs" dxfId="19125" priority="41917" operator="equal">
      <formula>"EL-H"</formula>
    </cfRule>
    <cfRule type="cellIs" dxfId="19124" priority="41918" operator="equal">
      <formula>"CL"</formula>
    </cfRule>
    <cfRule type="cellIs" dxfId="19123" priority="41919" operator="equal">
      <formula>"EL"</formula>
    </cfRule>
  </conditionalFormatting>
  <conditionalFormatting sqref="P4:Q4">
    <cfRule type="containsText" dxfId="19122" priority="41908" operator="containsText" text="S">
      <formula>NOT(ISERROR(SEARCH("S",P4)))</formula>
    </cfRule>
    <cfRule type="containsText" dxfId="19121" priority="41909" operator="containsText" text="P">
      <formula>NOT(ISERROR(SEARCH("P",P4)))</formula>
    </cfRule>
    <cfRule type="containsText" dxfId="19120" priority="41910" operator="containsText" text="H">
      <formula>NOT(ISERROR(SEARCH("H",P4)))</formula>
    </cfRule>
    <cfRule type="containsText" dxfId="19119" priority="41912" operator="containsText" text="&quot;H&quot;">
      <formula>NOT(ISERROR(SEARCH("""H""",P4)))</formula>
    </cfRule>
    <cfRule type="containsText" dxfId="19118" priority="41913" operator="containsText" text="&quot;A&quot;">
      <formula>NOT(ISERROR(SEARCH("""A""",P4)))</formula>
    </cfRule>
  </conditionalFormatting>
  <conditionalFormatting sqref="P4:Q4">
    <cfRule type="containsText" dxfId="19117" priority="41911" operator="containsText" text="A-H">
      <formula>NOT(ISERROR(SEARCH("A-H",P4)))</formula>
    </cfRule>
  </conditionalFormatting>
  <conditionalFormatting sqref="S4:T4">
    <cfRule type="cellIs" dxfId="19116" priority="41902" operator="equal">
      <formula>"C-Off-H"</formula>
    </cfRule>
    <cfRule type="cellIs" dxfId="19115" priority="41903" operator="equal">
      <formula>"C-Off"</formula>
    </cfRule>
    <cfRule type="cellIs" dxfId="19114" priority="41904" operator="equal">
      <formula>"CL-H"</formula>
    </cfRule>
    <cfRule type="cellIs" dxfId="19113" priority="41905" operator="equal">
      <formula>"EL-H"</formula>
    </cfRule>
    <cfRule type="cellIs" dxfId="19112" priority="41906" operator="equal">
      <formula>"CL"</formula>
    </cfRule>
    <cfRule type="cellIs" dxfId="19111" priority="41907" operator="equal">
      <formula>"EL"</formula>
    </cfRule>
  </conditionalFormatting>
  <conditionalFormatting sqref="S4:T4">
    <cfRule type="containsText" dxfId="19110" priority="41896" operator="containsText" text="S">
      <formula>NOT(ISERROR(SEARCH("S",S4)))</formula>
    </cfRule>
    <cfRule type="containsText" dxfId="19109" priority="41897" operator="containsText" text="P">
      <formula>NOT(ISERROR(SEARCH("P",S4)))</formula>
    </cfRule>
    <cfRule type="containsText" dxfId="19108" priority="41898" operator="containsText" text="H">
      <formula>NOT(ISERROR(SEARCH("H",S4)))</formula>
    </cfRule>
    <cfRule type="containsText" dxfId="19107" priority="41900" operator="containsText" text="&quot;H&quot;">
      <formula>NOT(ISERROR(SEARCH("""H""",S4)))</formula>
    </cfRule>
    <cfRule type="containsText" dxfId="19106" priority="41901" operator="containsText" text="&quot;A&quot;">
      <formula>NOT(ISERROR(SEARCH("""A""",S4)))</formula>
    </cfRule>
  </conditionalFormatting>
  <conditionalFormatting sqref="S4:T4">
    <cfRule type="containsText" dxfId="19105" priority="41899" operator="containsText" text="A-H">
      <formula>NOT(ISERROR(SEARCH("A-H",S4)))</formula>
    </cfRule>
  </conditionalFormatting>
  <conditionalFormatting sqref="AB4:AC4">
    <cfRule type="cellIs" dxfId="19104" priority="41878" operator="equal">
      <formula>"C-Off-H"</formula>
    </cfRule>
    <cfRule type="cellIs" dxfId="19103" priority="41879" operator="equal">
      <formula>"C-Off"</formula>
    </cfRule>
    <cfRule type="cellIs" dxfId="19102" priority="41880" operator="equal">
      <formula>"CL-H"</formula>
    </cfRule>
    <cfRule type="cellIs" dxfId="19101" priority="41881" operator="equal">
      <formula>"EL-H"</formula>
    </cfRule>
    <cfRule type="cellIs" dxfId="19100" priority="41882" operator="equal">
      <formula>"CL"</formula>
    </cfRule>
    <cfRule type="cellIs" dxfId="19099" priority="41883" operator="equal">
      <formula>"EL"</formula>
    </cfRule>
  </conditionalFormatting>
  <conditionalFormatting sqref="AB4:AC4">
    <cfRule type="containsText" dxfId="19098" priority="41872" operator="containsText" text="S">
      <formula>NOT(ISERROR(SEARCH("S",AB4)))</formula>
    </cfRule>
    <cfRule type="containsText" dxfId="19097" priority="41873" operator="containsText" text="P">
      <formula>NOT(ISERROR(SEARCH("P",AB4)))</formula>
    </cfRule>
    <cfRule type="containsText" dxfId="19096" priority="41874" operator="containsText" text="H">
      <formula>NOT(ISERROR(SEARCH("H",AB4)))</formula>
    </cfRule>
    <cfRule type="containsText" dxfId="19095" priority="41876" operator="containsText" text="&quot;H&quot;">
      <formula>NOT(ISERROR(SEARCH("""H""",AB4)))</formula>
    </cfRule>
    <cfRule type="containsText" dxfId="19094" priority="41877" operator="containsText" text="&quot;A&quot;">
      <formula>NOT(ISERROR(SEARCH("""A""",AB4)))</formula>
    </cfRule>
  </conditionalFormatting>
  <conditionalFormatting sqref="AB4:AC4">
    <cfRule type="containsText" dxfId="19093" priority="41875" operator="containsText" text="A-H">
      <formula>NOT(ISERROR(SEARCH("A-H",AB4)))</formula>
    </cfRule>
  </conditionalFormatting>
  <conditionalFormatting sqref="AE4">
    <cfRule type="cellIs" dxfId="19092" priority="41866" operator="equal">
      <formula>"C-Off-H"</formula>
    </cfRule>
    <cfRule type="cellIs" dxfId="19091" priority="41867" operator="equal">
      <formula>"C-Off"</formula>
    </cfRule>
    <cfRule type="cellIs" dxfId="19090" priority="41868" operator="equal">
      <formula>"CL-H"</formula>
    </cfRule>
    <cfRule type="cellIs" dxfId="19089" priority="41869" operator="equal">
      <formula>"EL-H"</formula>
    </cfRule>
    <cfRule type="cellIs" dxfId="19088" priority="41870" operator="equal">
      <formula>"CL"</formula>
    </cfRule>
    <cfRule type="cellIs" dxfId="19087" priority="41871" operator="equal">
      <formula>"EL"</formula>
    </cfRule>
  </conditionalFormatting>
  <conditionalFormatting sqref="AE4">
    <cfRule type="containsText" dxfId="19086" priority="41860" operator="containsText" text="S">
      <formula>NOT(ISERROR(SEARCH("S",AE4)))</formula>
    </cfRule>
    <cfRule type="containsText" dxfId="19085" priority="41861" operator="containsText" text="P">
      <formula>NOT(ISERROR(SEARCH("P",AE4)))</formula>
    </cfRule>
    <cfRule type="containsText" dxfId="19084" priority="41862" operator="containsText" text="H">
      <formula>NOT(ISERROR(SEARCH("H",AE4)))</formula>
    </cfRule>
    <cfRule type="containsText" dxfId="19083" priority="41864" operator="containsText" text="&quot;H&quot;">
      <formula>NOT(ISERROR(SEARCH("""H""",AE4)))</formula>
    </cfRule>
    <cfRule type="containsText" dxfId="19082" priority="41865" operator="containsText" text="&quot;A&quot;">
      <formula>NOT(ISERROR(SEARCH("""A""",AE4)))</formula>
    </cfRule>
  </conditionalFormatting>
  <conditionalFormatting sqref="AE4">
    <cfRule type="containsText" dxfId="19081" priority="41863" operator="containsText" text="A-H">
      <formula>NOT(ISERROR(SEARCH("A-H",AE4)))</formula>
    </cfRule>
  </conditionalFormatting>
  <conditionalFormatting sqref="AK4:AL4">
    <cfRule type="cellIs" dxfId="19080" priority="41854" operator="equal">
      <formula>"C-Off-H"</formula>
    </cfRule>
    <cfRule type="cellIs" dxfId="19079" priority="41855" operator="equal">
      <formula>"C-Off"</formula>
    </cfRule>
    <cfRule type="cellIs" dxfId="19078" priority="41856" operator="equal">
      <formula>"CL-H"</formula>
    </cfRule>
    <cfRule type="cellIs" dxfId="19077" priority="41857" operator="equal">
      <formula>"EL-H"</formula>
    </cfRule>
    <cfRule type="cellIs" dxfId="19076" priority="41858" operator="equal">
      <formula>"CL"</formula>
    </cfRule>
    <cfRule type="cellIs" dxfId="19075" priority="41859" operator="equal">
      <formula>"EL"</formula>
    </cfRule>
  </conditionalFormatting>
  <conditionalFormatting sqref="AK4:AL4">
    <cfRule type="containsText" dxfId="19074" priority="41848" operator="containsText" text="S">
      <formula>NOT(ISERROR(SEARCH("S",AK4)))</formula>
    </cfRule>
    <cfRule type="containsText" dxfId="19073" priority="41849" operator="containsText" text="P">
      <formula>NOT(ISERROR(SEARCH("P",AK4)))</formula>
    </cfRule>
    <cfRule type="containsText" dxfId="19072" priority="41850" operator="containsText" text="H">
      <formula>NOT(ISERROR(SEARCH("H",AK4)))</formula>
    </cfRule>
    <cfRule type="containsText" dxfId="19071" priority="41852" operator="containsText" text="&quot;H&quot;">
      <formula>NOT(ISERROR(SEARCH("""H""",AK4)))</formula>
    </cfRule>
    <cfRule type="containsText" dxfId="19070" priority="41853" operator="containsText" text="&quot;A&quot;">
      <formula>NOT(ISERROR(SEARCH("""A""",AK4)))</formula>
    </cfRule>
  </conditionalFormatting>
  <conditionalFormatting sqref="AK4:AL4">
    <cfRule type="containsText" dxfId="19069" priority="41851" operator="containsText" text="A-H">
      <formula>NOT(ISERROR(SEARCH("A-H",AK4)))</formula>
    </cfRule>
  </conditionalFormatting>
  <conditionalFormatting sqref="AN4:AO4">
    <cfRule type="cellIs" dxfId="19068" priority="41842" operator="equal">
      <formula>"C-Off-H"</formula>
    </cfRule>
    <cfRule type="cellIs" dxfId="19067" priority="41843" operator="equal">
      <formula>"C-Off"</formula>
    </cfRule>
    <cfRule type="cellIs" dxfId="19066" priority="41844" operator="equal">
      <formula>"CL-H"</formula>
    </cfRule>
    <cfRule type="cellIs" dxfId="19065" priority="41845" operator="equal">
      <formula>"EL-H"</formula>
    </cfRule>
    <cfRule type="cellIs" dxfId="19064" priority="41846" operator="equal">
      <formula>"CL"</formula>
    </cfRule>
    <cfRule type="cellIs" dxfId="19063" priority="41847" operator="equal">
      <formula>"EL"</formula>
    </cfRule>
  </conditionalFormatting>
  <conditionalFormatting sqref="AN4:AO4">
    <cfRule type="containsText" dxfId="19062" priority="41836" operator="containsText" text="S">
      <formula>NOT(ISERROR(SEARCH("S",AN4)))</formula>
    </cfRule>
    <cfRule type="containsText" dxfId="19061" priority="41837" operator="containsText" text="P">
      <formula>NOT(ISERROR(SEARCH("P",AN4)))</formula>
    </cfRule>
    <cfRule type="containsText" dxfId="19060" priority="41838" operator="containsText" text="H">
      <formula>NOT(ISERROR(SEARCH("H",AN4)))</formula>
    </cfRule>
    <cfRule type="containsText" dxfId="19059" priority="41840" operator="containsText" text="&quot;H&quot;">
      <formula>NOT(ISERROR(SEARCH("""H""",AN4)))</formula>
    </cfRule>
    <cfRule type="containsText" dxfId="19058" priority="41841" operator="containsText" text="&quot;A&quot;">
      <formula>NOT(ISERROR(SEARCH("""A""",AN4)))</formula>
    </cfRule>
  </conditionalFormatting>
  <conditionalFormatting sqref="AN4:AO4">
    <cfRule type="containsText" dxfId="19057" priority="41839" operator="containsText" text="A-H">
      <formula>NOT(ISERROR(SEARCH("A-H",AN4)))</formula>
    </cfRule>
  </conditionalFormatting>
  <conditionalFormatting sqref="AQ4:AR4">
    <cfRule type="cellIs" dxfId="19056" priority="41830" operator="equal">
      <formula>"C-Off-H"</formula>
    </cfRule>
    <cfRule type="cellIs" dxfId="19055" priority="41831" operator="equal">
      <formula>"C-Off"</formula>
    </cfRule>
    <cfRule type="cellIs" dxfId="19054" priority="41832" operator="equal">
      <formula>"CL-H"</formula>
    </cfRule>
    <cfRule type="cellIs" dxfId="19053" priority="41833" operator="equal">
      <formula>"EL-H"</formula>
    </cfRule>
    <cfRule type="cellIs" dxfId="19052" priority="41834" operator="equal">
      <formula>"CL"</formula>
    </cfRule>
    <cfRule type="cellIs" dxfId="19051" priority="41835" operator="equal">
      <formula>"EL"</formula>
    </cfRule>
  </conditionalFormatting>
  <conditionalFormatting sqref="AQ4:AR4">
    <cfRule type="containsText" dxfId="19050" priority="41824" operator="containsText" text="S">
      <formula>NOT(ISERROR(SEARCH("S",AQ4)))</formula>
    </cfRule>
    <cfRule type="containsText" dxfId="19049" priority="41825" operator="containsText" text="P">
      <formula>NOT(ISERROR(SEARCH("P",AQ4)))</formula>
    </cfRule>
    <cfRule type="containsText" dxfId="19048" priority="41826" operator="containsText" text="H">
      <formula>NOT(ISERROR(SEARCH("H",AQ4)))</formula>
    </cfRule>
    <cfRule type="containsText" dxfId="19047" priority="41828" operator="containsText" text="&quot;H&quot;">
      <formula>NOT(ISERROR(SEARCH("""H""",AQ4)))</formula>
    </cfRule>
    <cfRule type="containsText" dxfId="19046" priority="41829" operator="containsText" text="&quot;A&quot;">
      <formula>NOT(ISERROR(SEARCH("""A""",AQ4)))</formula>
    </cfRule>
  </conditionalFormatting>
  <conditionalFormatting sqref="AQ4:AR4">
    <cfRule type="containsText" dxfId="19045" priority="41827" operator="containsText" text="A-H">
      <formula>NOT(ISERROR(SEARCH("A-H",AQ4)))</formula>
    </cfRule>
  </conditionalFormatting>
  <conditionalFormatting sqref="AW4:AX4">
    <cfRule type="cellIs" dxfId="19044" priority="41818" operator="equal">
      <formula>"C-Off-H"</formula>
    </cfRule>
    <cfRule type="cellIs" dxfId="19043" priority="41819" operator="equal">
      <formula>"C-Off"</formula>
    </cfRule>
    <cfRule type="cellIs" dxfId="19042" priority="41820" operator="equal">
      <formula>"CL-H"</formula>
    </cfRule>
    <cfRule type="cellIs" dxfId="19041" priority="41821" operator="equal">
      <formula>"EL-H"</formula>
    </cfRule>
    <cfRule type="cellIs" dxfId="19040" priority="41822" operator="equal">
      <formula>"CL"</formula>
    </cfRule>
    <cfRule type="cellIs" dxfId="19039" priority="41823" operator="equal">
      <formula>"EL"</formula>
    </cfRule>
  </conditionalFormatting>
  <conditionalFormatting sqref="AW4:AX4">
    <cfRule type="containsText" dxfId="19038" priority="41812" operator="containsText" text="S">
      <formula>NOT(ISERROR(SEARCH("S",AW4)))</formula>
    </cfRule>
    <cfRule type="containsText" dxfId="19037" priority="41813" operator="containsText" text="P">
      <formula>NOT(ISERROR(SEARCH("P",AW4)))</formula>
    </cfRule>
    <cfRule type="containsText" dxfId="19036" priority="41814" operator="containsText" text="H">
      <formula>NOT(ISERROR(SEARCH("H",AW4)))</formula>
    </cfRule>
    <cfRule type="containsText" dxfId="19035" priority="41816" operator="containsText" text="&quot;H&quot;">
      <formula>NOT(ISERROR(SEARCH("""H""",AW4)))</formula>
    </cfRule>
    <cfRule type="containsText" dxfId="19034" priority="41817" operator="containsText" text="&quot;A&quot;">
      <formula>NOT(ISERROR(SEARCH("""A""",AW4)))</formula>
    </cfRule>
  </conditionalFormatting>
  <conditionalFormatting sqref="AW4:AX4">
    <cfRule type="containsText" dxfId="19033" priority="41815" operator="containsText" text="A-H">
      <formula>NOT(ISERROR(SEARCH("A-H",AW4)))</formula>
    </cfRule>
  </conditionalFormatting>
  <conditionalFormatting sqref="AZ4:BA4">
    <cfRule type="cellIs" dxfId="19032" priority="41806" operator="equal">
      <formula>"C-Off-H"</formula>
    </cfRule>
    <cfRule type="cellIs" dxfId="19031" priority="41807" operator="equal">
      <formula>"C-Off"</formula>
    </cfRule>
    <cfRule type="cellIs" dxfId="19030" priority="41808" operator="equal">
      <formula>"CL-H"</formula>
    </cfRule>
    <cfRule type="cellIs" dxfId="19029" priority="41809" operator="equal">
      <formula>"EL-H"</formula>
    </cfRule>
    <cfRule type="cellIs" dxfId="19028" priority="41810" operator="equal">
      <formula>"CL"</formula>
    </cfRule>
    <cfRule type="cellIs" dxfId="19027" priority="41811" operator="equal">
      <formula>"EL"</formula>
    </cfRule>
  </conditionalFormatting>
  <conditionalFormatting sqref="AZ4:BA4">
    <cfRule type="containsText" dxfId="19026" priority="41800" operator="containsText" text="S">
      <formula>NOT(ISERROR(SEARCH("S",AZ4)))</formula>
    </cfRule>
    <cfRule type="containsText" dxfId="19025" priority="41801" operator="containsText" text="P">
      <formula>NOT(ISERROR(SEARCH("P",AZ4)))</formula>
    </cfRule>
    <cfRule type="containsText" dxfId="19024" priority="41802" operator="containsText" text="H">
      <formula>NOT(ISERROR(SEARCH("H",AZ4)))</formula>
    </cfRule>
    <cfRule type="containsText" dxfId="19023" priority="41804" operator="containsText" text="&quot;H&quot;">
      <formula>NOT(ISERROR(SEARCH("""H""",AZ4)))</formula>
    </cfRule>
    <cfRule type="containsText" dxfId="19022" priority="41805" operator="containsText" text="&quot;A&quot;">
      <formula>NOT(ISERROR(SEARCH("""A""",AZ4)))</formula>
    </cfRule>
  </conditionalFormatting>
  <conditionalFormatting sqref="AZ4:BA4">
    <cfRule type="containsText" dxfId="19021" priority="41803" operator="containsText" text="A-H">
      <formula>NOT(ISERROR(SEARCH("A-H",AZ4)))</formula>
    </cfRule>
  </conditionalFormatting>
  <conditionalFormatting sqref="BC4:BD4">
    <cfRule type="cellIs" dxfId="19020" priority="41794" operator="equal">
      <formula>"C-Off-H"</formula>
    </cfRule>
    <cfRule type="cellIs" dxfId="19019" priority="41795" operator="equal">
      <formula>"C-Off"</formula>
    </cfRule>
    <cfRule type="cellIs" dxfId="19018" priority="41796" operator="equal">
      <formula>"CL-H"</formula>
    </cfRule>
    <cfRule type="cellIs" dxfId="19017" priority="41797" operator="equal">
      <formula>"EL-H"</formula>
    </cfRule>
    <cfRule type="cellIs" dxfId="19016" priority="41798" operator="equal">
      <formula>"CL"</formula>
    </cfRule>
    <cfRule type="cellIs" dxfId="19015" priority="41799" operator="equal">
      <formula>"EL"</formula>
    </cfRule>
  </conditionalFormatting>
  <conditionalFormatting sqref="BC4:BD4">
    <cfRule type="containsText" dxfId="19014" priority="41788" operator="containsText" text="S">
      <formula>NOT(ISERROR(SEARCH("S",BC4)))</formula>
    </cfRule>
    <cfRule type="containsText" dxfId="19013" priority="41789" operator="containsText" text="P">
      <formula>NOT(ISERROR(SEARCH("P",BC4)))</formula>
    </cfRule>
    <cfRule type="containsText" dxfId="19012" priority="41790" operator="containsText" text="H">
      <formula>NOT(ISERROR(SEARCH("H",BC4)))</formula>
    </cfRule>
    <cfRule type="containsText" dxfId="19011" priority="41792" operator="containsText" text="&quot;H&quot;">
      <formula>NOT(ISERROR(SEARCH("""H""",BC4)))</formula>
    </cfRule>
    <cfRule type="containsText" dxfId="19010" priority="41793" operator="containsText" text="&quot;A&quot;">
      <formula>NOT(ISERROR(SEARCH("""A""",BC4)))</formula>
    </cfRule>
  </conditionalFormatting>
  <conditionalFormatting sqref="BC4:BD4">
    <cfRule type="containsText" dxfId="19009" priority="41791" operator="containsText" text="A-H">
      <formula>NOT(ISERROR(SEARCH("A-H",BC4)))</formula>
    </cfRule>
  </conditionalFormatting>
  <conditionalFormatting sqref="BF4:BG4">
    <cfRule type="cellIs" dxfId="19008" priority="41782" operator="equal">
      <formula>"C-Off-H"</formula>
    </cfRule>
    <cfRule type="cellIs" dxfId="19007" priority="41783" operator="equal">
      <formula>"C-Off"</formula>
    </cfRule>
    <cfRule type="cellIs" dxfId="19006" priority="41784" operator="equal">
      <formula>"CL-H"</formula>
    </cfRule>
    <cfRule type="cellIs" dxfId="19005" priority="41785" operator="equal">
      <formula>"EL-H"</formula>
    </cfRule>
    <cfRule type="cellIs" dxfId="19004" priority="41786" operator="equal">
      <formula>"CL"</formula>
    </cfRule>
    <cfRule type="cellIs" dxfId="19003" priority="41787" operator="equal">
      <formula>"EL"</formula>
    </cfRule>
  </conditionalFormatting>
  <conditionalFormatting sqref="BF4:BG4">
    <cfRule type="containsText" dxfId="19002" priority="41776" operator="containsText" text="S">
      <formula>NOT(ISERROR(SEARCH("S",BF4)))</formula>
    </cfRule>
    <cfRule type="containsText" dxfId="19001" priority="41777" operator="containsText" text="P">
      <formula>NOT(ISERROR(SEARCH("P",BF4)))</formula>
    </cfRule>
    <cfRule type="containsText" dxfId="19000" priority="41778" operator="containsText" text="H">
      <formula>NOT(ISERROR(SEARCH("H",BF4)))</formula>
    </cfRule>
    <cfRule type="containsText" dxfId="18999" priority="41780" operator="containsText" text="&quot;H&quot;">
      <formula>NOT(ISERROR(SEARCH("""H""",BF4)))</formula>
    </cfRule>
    <cfRule type="containsText" dxfId="18998" priority="41781" operator="containsText" text="&quot;A&quot;">
      <formula>NOT(ISERROR(SEARCH("""A""",BF4)))</formula>
    </cfRule>
  </conditionalFormatting>
  <conditionalFormatting sqref="BF4:BG4">
    <cfRule type="containsText" dxfId="18997" priority="41779" operator="containsText" text="A-H">
      <formula>NOT(ISERROR(SEARCH("A-H",BF4)))</formula>
    </cfRule>
  </conditionalFormatting>
  <conditionalFormatting sqref="BI4:BJ4">
    <cfRule type="cellIs" dxfId="18996" priority="41770" operator="equal">
      <formula>"C-Off-H"</formula>
    </cfRule>
    <cfRule type="cellIs" dxfId="18995" priority="41771" operator="equal">
      <formula>"C-Off"</formula>
    </cfRule>
    <cfRule type="cellIs" dxfId="18994" priority="41772" operator="equal">
      <formula>"CL-H"</formula>
    </cfRule>
    <cfRule type="cellIs" dxfId="18993" priority="41773" operator="equal">
      <formula>"EL-H"</formula>
    </cfRule>
    <cfRule type="cellIs" dxfId="18992" priority="41774" operator="equal">
      <formula>"CL"</formula>
    </cfRule>
    <cfRule type="cellIs" dxfId="18991" priority="41775" operator="equal">
      <formula>"EL"</formula>
    </cfRule>
  </conditionalFormatting>
  <conditionalFormatting sqref="BI4:BJ4">
    <cfRule type="containsText" dxfId="18990" priority="41764" operator="containsText" text="S">
      <formula>NOT(ISERROR(SEARCH("S",BI4)))</formula>
    </cfRule>
    <cfRule type="containsText" dxfId="18989" priority="41765" operator="containsText" text="P">
      <formula>NOT(ISERROR(SEARCH("P",BI4)))</formula>
    </cfRule>
    <cfRule type="containsText" dxfId="18988" priority="41766" operator="containsText" text="H">
      <formula>NOT(ISERROR(SEARCH("H",BI4)))</formula>
    </cfRule>
    <cfRule type="containsText" dxfId="18987" priority="41768" operator="containsText" text="&quot;H&quot;">
      <formula>NOT(ISERROR(SEARCH("""H""",BI4)))</formula>
    </cfRule>
    <cfRule type="containsText" dxfId="18986" priority="41769" operator="containsText" text="&quot;A&quot;">
      <formula>NOT(ISERROR(SEARCH("""A""",BI4)))</formula>
    </cfRule>
  </conditionalFormatting>
  <conditionalFormatting sqref="BI4:BJ4">
    <cfRule type="containsText" dxfId="18985" priority="41767" operator="containsText" text="A-H">
      <formula>NOT(ISERROR(SEARCH("A-H",BI4)))</formula>
    </cfRule>
  </conditionalFormatting>
  <conditionalFormatting sqref="BL4:BM4">
    <cfRule type="cellIs" dxfId="18984" priority="41758" operator="equal">
      <formula>"C-Off-H"</formula>
    </cfRule>
    <cfRule type="cellIs" dxfId="18983" priority="41759" operator="equal">
      <formula>"C-Off"</formula>
    </cfRule>
    <cfRule type="cellIs" dxfId="18982" priority="41760" operator="equal">
      <formula>"CL-H"</formula>
    </cfRule>
    <cfRule type="cellIs" dxfId="18981" priority="41761" operator="equal">
      <formula>"EL-H"</formula>
    </cfRule>
    <cfRule type="cellIs" dxfId="18980" priority="41762" operator="equal">
      <formula>"CL"</formula>
    </cfRule>
    <cfRule type="cellIs" dxfId="18979" priority="41763" operator="equal">
      <formula>"EL"</formula>
    </cfRule>
  </conditionalFormatting>
  <conditionalFormatting sqref="BL4:BM4">
    <cfRule type="containsText" dxfId="18978" priority="41752" operator="containsText" text="S">
      <formula>NOT(ISERROR(SEARCH("S",BL4)))</formula>
    </cfRule>
    <cfRule type="containsText" dxfId="18977" priority="41753" operator="containsText" text="P">
      <formula>NOT(ISERROR(SEARCH("P",BL4)))</formula>
    </cfRule>
    <cfRule type="containsText" dxfId="18976" priority="41754" operator="containsText" text="H">
      <formula>NOT(ISERROR(SEARCH("H",BL4)))</formula>
    </cfRule>
    <cfRule type="containsText" dxfId="18975" priority="41756" operator="containsText" text="&quot;H&quot;">
      <formula>NOT(ISERROR(SEARCH("""H""",BL4)))</formula>
    </cfRule>
    <cfRule type="containsText" dxfId="18974" priority="41757" operator="containsText" text="&quot;A&quot;">
      <formula>NOT(ISERROR(SEARCH("""A""",BL4)))</formula>
    </cfRule>
  </conditionalFormatting>
  <conditionalFormatting sqref="BL4:BM4">
    <cfRule type="containsText" dxfId="18973" priority="41755" operator="containsText" text="A-H">
      <formula>NOT(ISERROR(SEARCH("A-H",BL4)))</formula>
    </cfRule>
  </conditionalFormatting>
  <conditionalFormatting sqref="BR4:BS4">
    <cfRule type="cellIs" dxfId="18972" priority="41746" operator="equal">
      <formula>"C-Off-H"</formula>
    </cfRule>
    <cfRule type="cellIs" dxfId="18971" priority="41747" operator="equal">
      <formula>"C-Off"</formula>
    </cfRule>
    <cfRule type="cellIs" dxfId="18970" priority="41748" operator="equal">
      <formula>"CL-H"</formula>
    </cfRule>
    <cfRule type="cellIs" dxfId="18969" priority="41749" operator="equal">
      <formula>"EL-H"</formula>
    </cfRule>
    <cfRule type="cellIs" dxfId="18968" priority="41750" operator="equal">
      <formula>"CL"</formula>
    </cfRule>
    <cfRule type="cellIs" dxfId="18967" priority="41751" operator="equal">
      <formula>"EL"</formula>
    </cfRule>
  </conditionalFormatting>
  <conditionalFormatting sqref="BR4:BS4">
    <cfRule type="containsText" dxfId="18966" priority="41740" operator="containsText" text="S">
      <formula>NOT(ISERROR(SEARCH("S",BR4)))</formula>
    </cfRule>
    <cfRule type="containsText" dxfId="18965" priority="41741" operator="containsText" text="P">
      <formula>NOT(ISERROR(SEARCH("P",BR4)))</formula>
    </cfRule>
    <cfRule type="containsText" dxfId="18964" priority="41742" operator="containsText" text="H">
      <formula>NOT(ISERROR(SEARCH("H",BR4)))</formula>
    </cfRule>
    <cfRule type="containsText" dxfId="18963" priority="41744" operator="containsText" text="&quot;H&quot;">
      <formula>NOT(ISERROR(SEARCH("""H""",BR4)))</formula>
    </cfRule>
    <cfRule type="containsText" dxfId="18962" priority="41745" operator="containsText" text="&quot;A&quot;">
      <formula>NOT(ISERROR(SEARCH("""A""",BR4)))</formula>
    </cfRule>
  </conditionalFormatting>
  <conditionalFormatting sqref="BR4:BS4">
    <cfRule type="containsText" dxfId="18961" priority="41743" operator="containsText" text="A-H">
      <formula>NOT(ISERROR(SEARCH("A-H",BR4)))</formula>
    </cfRule>
  </conditionalFormatting>
  <conditionalFormatting sqref="BU4:BV4">
    <cfRule type="cellIs" dxfId="18960" priority="41734" operator="equal">
      <formula>"C-Off-H"</formula>
    </cfRule>
    <cfRule type="cellIs" dxfId="18959" priority="41735" operator="equal">
      <formula>"C-Off"</formula>
    </cfRule>
    <cfRule type="cellIs" dxfId="18958" priority="41736" operator="equal">
      <formula>"CL-H"</formula>
    </cfRule>
    <cfRule type="cellIs" dxfId="18957" priority="41737" operator="equal">
      <formula>"EL-H"</formula>
    </cfRule>
    <cfRule type="cellIs" dxfId="18956" priority="41738" operator="equal">
      <formula>"CL"</formula>
    </cfRule>
    <cfRule type="cellIs" dxfId="18955" priority="41739" operator="equal">
      <formula>"EL"</formula>
    </cfRule>
  </conditionalFormatting>
  <conditionalFormatting sqref="BU4:BV4">
    <cfRule type="containsText" dxfId="18954" priority="41728" operator="containsText" text="S">
      <formula>NOT(ISERROR(SEARCH("S",BU4)))</formula>
    </cfRule>
    <cfRule type="containsText" dxfId="18953" priority="41729" operator="containsText" text="P">
      <formula>NOT(ISERROR(SEARCH("P",BU4)))</formula>
    </cfRule>
    <cfRule type="containsText" dxfId="18952" priority="41730" operator="containsText" text="H">
      <formula>NOT(ISERROR(SEARCH("H",BU4)))</formula>
    </cfRule>
    <cfRule type="containsText" dxfId="18951" priority="41732" operator="containsText" text="&quot;H&quot;">
      <formula>NOT(ISERROR(SEARCH("""H""",BU4)))</formula>
    </cfRule>
    <cfRule type="containsText" dxfId="18950" priority="41733" operator="containsText" text="&quot;A&quot;">
      <formula>NOT(ISERROR(SEARCH("""A""",BU4)))</formula>
    </cfRule>
  </conditionalFormatting>
  <conditionalFormatting sqref="BU4:BV4">
    <cfRule type="containsText" dxfId="18949" priority="41731" operator="containsText" text="A-H">
      <formula>NOT(ISERROR(SEARCH("A-H",BU4)))</formula>
    </cfRule>
  </conditionalFormatting>
  <conditionalFormatting sqref="BY4">
    <cfRule type="cellIs" dxfId="18948" priority="41722" operator="equal">
      <formula>"C-Off-H"</formula>
    </cfRule>
    <cfRule type="cellIs" dxfId="18947" priority="41723" operator="equal">
      <formula>"C-Off"</formula>
    </cfRule>
    <cfRule type="cellIs" dxfId="18946" priority="41724" operator="equal">
      <formula>"CL-H"</formula>
    </cfRule>
    <cfRule type="cellIs" dxfId="18945" priority="41725" operator="equal">
      <formula>"EL-H"</formula>
    </cfRule>
    <cfRule type="cellIs" dxfId="18944" priority="41726" operator="equal">
      <formula>"CL"</formula>
    </cfRule>
    <cfRule type="cellIs" dxfId="18943" priority="41727" operator="equal">
      <formula>"EL"</formula>
    </cfRule>
  </conditionalFormatting>
  <conditionalFormatting sqref="BY4">
    <cfRule type="containsText" dxfId="18942" priority="41716" operator="containsText" text="S">
      <formula>NOT(ISERROR(SEARCH("S",BY4)))</formula>
    </cfRule>
    <cfRule type="containsText" dxfId="18941" priority="41717" operator="containsText" text="P">
      <formula>NOT(ISERROR(SEARCH("P",BY4)))</formula>
    </cfRule>
    <cfRule type="containsText" dxfId="18940" priority="41718" operator="containsText" text="H">
      <formula>NOT(ISERROR(SEARCH("H",BY4)))</formula>
    </cfRule>
    <cfRule type="containsText" dxfId="18939" priority="41720" operator="containsText" text="&quot;H&quot;">
      <formula>NOT(ISERROR(SEARCH("""H""",BY4)))</formula>
    </cfRule>
    <cfRule type="containsText" dxfId="18938" priority="41721" operator="containsText" text="&quot;A&quot;">
      <formula>NOT(ISERROR(SEARCH("""A""",BY4)))</formula>
    </cfRule>
  </conditionalFormatting>
  <conditionalFormatting sqref="BY4">
    <cfRule type="containsText" dxfId="18937" priority="41719" operator="containsText" text="A-H">
      <formula>NOT(ISERROR(SEARCH("A-H",BY4)))</formula>
    </cfRule>
  </conditionalFormatting>
  <conditionalFormatting sqref="BX4">
    <cfRule type="cellIs" dxfId="18936" priority="41710" operator="equal">
      <formula>"C-Off-H"</formula>
    </cfRule>
    <cfRule type="cellIs" dxfId="18935" priority="41711" operator="equal">
      <formula>"C-Off"</formula>
    </cfRule>
    <cfRule type="cellIs" dxfId="18934" priority="41712" operator="equal">
      <formula>"CL-H"</formula>
    </cfRule>
    <cfRule type="cellIs" dxfId="18933" priority="41713" operator="equal">
      <formula>"EL-H"</formula>
    </cfRule>
    <cfRule type="cellIs" dxfId="18932" priority="41714" operator="equal">
      <formula>"CL"</formula>
    </cfRule>
    <cfRule type="cellIs" dxfId="18931" priority="41715" operator="equal">
      <formula>"EL"</formula>
    </cfRule>
  </conditionalFormatting>
  <conditionalFormatting sqref="BX4">
    <cfRule type="containsText" dxfId="18930" priority="41704" operator="containsText" text="S">
      <formula>NOT(ISERROR(SEARCH("S",BX4)))</formula>
    </cfRule>
    <cfRule type="containsText" dxfId="18929" priority="41705" operator="containsText" text="P">
      <formula>NOT(ISERROR(SEARCH("P",BX4)))</formula>
    </cfRule>
    <cfRule type="containsText" dxfId="18928" priority="41706" operator="containsText" text="H">
      <formula>NOT(ISERROR(SEARCH("H",BX4)))</formula>
    </cfRule>
    <cfRule type="containsText" dxfId="18927" priority="41708" operator="containsText" text="&quot;H&quot;">
      <formula>NOT(ISERROR(SEARCH("""H""",BX4)))</formula>
    </cfRule>
    <cfRule type="containsText" dxfId="18926" priority="41709" operator="containsText" text="&quot;A&quot;">
      <formula>NOT(ISERROR(SEARCH("""A""",BX4)))</formula>
    </cfRule>
  </conditionalFormatting>
  <conditionalFormatting sqref="BX4">
    <cfRule type="containsText" dxfId="18925" priority="41707" operator="containsText" text="A-H">
      <formula>NOT(ISERROR(SEARCH("A-H",BX4)))</formula>
    </cfRule>
  </conditionalFormatting>
  <conditionalFormatting sqref="J4">
    <cfRule type="cellIs" dxfId="18924" priority="41308" operator="equal">
      <formula>"C-Off-H"</formula>
    </cfRule>
    <cfRule type="cellIs" dxfId="18923" priority="41309" operator="equal">
      <formula>"C-Off"</formula>
    </cfRule>
    <cfRule type="cellIs" dxfId="18922" priority="41310" operator="equal">
      <formula>"CL-H"</formula>
    </cfRule>
    <cfRule type="cellIs" dxfId="18921" priority="41311" operator="equal">
      <formula>"EL-H"</formula>
    </cfRule>
    <cfRule type="cellIs" dxfId="18920" priority="41312" operator="equal">
      <formula>"CL"</formula>
    </cfRule>
    <cfRule type="cellIs" dxfId="18919" priority="41313" operator="equal">
      <formula>"EL"</formula>
    </cfRule>
  </conditionalFormatting>
  <conditionalFormatting sqref="J4">
    <cfRule type="containsText" dxfId="18918" priority="41302" operator="containsText" text="S">
      <formula>NOT(ISERROR(SEARCH("S",J4)))</formula>
    </cfRule>
    <cfRule type="containsText" dxfId="18917" priority="41303" operator="containsText" text="P">
      <formula>NOT(ISERROR(SEARCH("P",J4)))</formula>
    </cfRule>
    <cfRule type="containsText" dxfId="18916" priority="41304" operator="containsText" text="H">
      <formula>NOT(ISERROR(SEARCH("H",J4)))</formula>
    </cfRule>
    <cfRule type="containsText" dxfId="18915" priority="41306" operator="containsText" text="&quot;H&quot;">
      <formula>NOT(ISERROR(SEARCH("""H""",J4)))</formula>
    </cfRule>
    <cfRule type="containsText" dxfId="18914" priority="41307" operator="containsText" text="&quot;A&quot;">
      <formula>NOT(ISERROR(SEARCH("""A""",J4)))</formula>
    </cfRule>
  </conditionalFormatting>
  <conditionalFormatting sqref="J4">
    <cfRule type="containsText" dxfId="18913" priority="41305" operator="containsText" text="A-H">
      <formula>NOT(ISERROR(SEARCH("A-H",J4)))</formula>
    </cfRule>
  </conditionalFormatting>
  <conditionalFormatting sqref="CN6">
    <cfRule type="cellIs" dxfId="18912" priority="40585" operator="equal">
      <formula>"C-Off-H"</formula>
    </cfRule>
    <cfRule type="cellIs" dxfId="18911" priority="40586" operator="equal">
      <formula>"C-Off"</formula>
    </cfRule>
    <cfRule type="cellIs" dxfId="18910" priority="40587" operator="equal">
      <formula>"CL-H"</formula>
    </cfRule>
    <cfRule type="cellIs" dxfId="18909" priority="40588" operator="equal">
      <formula>"EL-H"</formula>
    </cfRule>
    <cfRule type="cellIs" dxfId="18908" priority="40589" operator="equal">
      <formula>"CL"</formula>
    </cfRule>
    <cfRule type="cellIs" dxfId="18907" priority="40590" operator="equal">
      <formula>"EL"</formula>
    </cfRule>
  </conditionalFormatting>
  <conditionalFormatting sqref="CN6">
    <cfRule type="containsText" dxfId="18906" priority="40584" operator="containsText" text="A-H">
      <formula>NOT(ISERROR(SEARCH("A-H",CN6)))</formula>
    </cfRule>
  </conditionalFormatting>
  <conditionalFormatting sqref="CN6">
    <cfRule type="containsText" dxfId="18905" priority="40583" operator="containsText" text="A">
      <formula>NOT(ISERROR(SEARCH("A",CN6)))</formula>
    </cfRule>
  </conditionalFormatting>
  <conditionalFormatting sqref="CN6">
    <cfRule type="containsText" dxfId="18904" priority="40578" operator="containsText" text="S">
      <formula>NOT(ISERROR(SEARCH("S",CN6)))</formula>
    </cfRule>
    <cfRule type="containsText" dxfId="18903" priority="40579" operator="containsText" text="P">
      <formula>NOT(ISERROR(SEARCH("P",CN6)))</formula>
    </cfRule>
    <cfRule type="containsText" dxfId="18902" priority="40580" operator="containsText" text="H">
      <formula>NOT(ISERROR(SEARCH("H",CN6)))</formula>
    </cfRule>
    <cfRule type="containsText" dxfId="18901" priority="40581" operator="containsText" text="&quot;H&quot;">
      <formula>NOT(ISERROR(SEARCH("""H""",CN6)))</formula>
    </cfRule>
    <cfRule type="containsText" dxfId="18900" priority="40582" operator="containsText" text="&quot;A&quot;">
      <formula>NOT(ISERROR(SEARCH("""A""",CN6)))</formula>
    </cfRule>
  </conditionalFormatting>
  <conditionalFormatting sqref="CA5:CB5">
    <cfRule type="cellIs" dxfId="18899" priority="40118" operator="equal">
      <formula>"C-Off-H"</formula>
    </cfRule>
    <cfRule type="cellIs" dxfId="18898" priority="40119" operator="equal">
      <formula>"C-Off"</formula>
    </cfRule>
    <cfRule type="cellIs" dxfId="18897" priority="40120" operator="equal">
      <formula>"CL-H"</formula>
    </cfRule>
    <cfRule type="cellIs" dxfId="18896" priority="40121" operator="equal">
      <formula>"EL-H"</formula>
    </cfRule>
    <cfRule type="cellIs" dxfId="18895" priority="40122" operator="equal">
      <formula>"CL"</formula>
    </cfRule>
    <cfRule type="cellIs" dxfId="18894" priority="40123" operator="equal">
      <formula>"EL"</formula>
    </cfRule>
  </conditionalFormatting>
  <conditionalFormatting sqref="CA5:CB5">
    <cfRule type="containsText" dxfId="18893" priority="40112" operator="containsText" text="S">
      <formula>NOT(ISERROR(SEARCH("S",CA5)))</formula>
    </cfRule>
    <cfRule type="containsText" dxfId="18892" priority="40113" operator="containsText" text="P">
      <formula>NOT(ISERROR(SEARCH("P",CA5)))</formula>
    </cfRule>
    <cfRule type="containsText" dxfId="18891" priority="40114" operator="containsText" text="H">
      <formula>NOT(ISERROR(SEARCH("H",CA5)))</formula>
    </cfRule>
    <cfRule type="containsText" dxfId="18890" priority="40116" operator="containsText" text="&quot;H&quot;">
      <formula>NOT(ISERROR(SEARCH("""H""",CA5)))</formula>
    </cfRule>
    <cfRule type="containsText" dxfId="18889" priority="40117" operator="containsText" text="&quot;A&quot;">
      <formula>NOT(ISERROR(SEARCH("""A""",CA5)))</formula>
    </cfRule>
  </conditionalFormatting>
  <conditionalFormatting sqref="CA5:CB5">
    <cfRule type="containsText" dxfId="18888" priority="40115" operator="containsText" text="A-H">
      <formula>NOT(ISERROR(SEARCH("A-H",CA5)))</formula>
    </cfRule>
  </conditionalFormatting>
  <conditionalFormatting sqref="CD5:CE5">
    <cfRule type="cellIs" dxfId="18887" priority="40106" operator="equal">
      <formula>"C-Off-H"</formula>
    </cfRule>
    <cfRule type="cellIs" dxfId="18886" priority="40107" operator="equal">
      <formula>"C-Off"</formula>
    </cfRule>
    <cfRule type="cellIs" dxfId="18885" priority="40108" operator="equal">
      <formula>"CL-H"</formula>
    </cfRule>
    <cfRule type="cellIs" dxfId="18884" priority="40109" operator="equal">
      <formula>"EL-H"</formula>
    </cfRule>
    <cfRule type="cellIs" dxfId="18883" priority="40110" operator="equal">
      <formula>"CL"</formula>
    </cfRule>
    <cfRule type="cellIs" dxfId="18882" priority="40111" operator="equal">
      <formula>"EL"</formula>
    </cfRule>
  </conditionalFormatting>
  <conditionalFormatting sqref="CD5:CE5">
    <cfRule type="containsText" dxfId="18881" priority="40100" operator="containsText" text="S">
      <formula>NOT(ISERROR(SEARCH("S",CD5)))</formula>
    </cfRule>
    <cfRule type="containsText" dxfId="18880" priority="40101" operator="containsText" text="P">
      <formula>NOT(ISERROR(SEARCH("P",CD5)))</formula>
    </cfRule>
    <cfRule type="containsText" dxfId="18879" priority="40102" operator="containsText" text="H">
      <formula>NOT(ISERROR(SEARCH("H",CD5)))</formula>
    </cfRule>
    <cfRule type="containsText" dxfId="18878" priority="40104" operator="containsText" text="&quot;H&quot;">
      <formula>NOT(ISERROR(SEARCH("""H""",CD5)))</formula>
    </cfRule>
    <cfRule type="containsText" dxfId="18877" priority="40105" operator="containsText" text="&quot;A&quot;">
      <formula>NOT(ISERROR(SEARCH("""A""",CD5)))</formula>
    </cfRule>
  </conditionalFormatting>
  <conditionalFormatting sqref="CD5:CE5">
    <cfRule type="containsText" dxfId="18876" priority="40103" operator="containsText" text="A-H">
      <formula>NOT(ISERROR(SEARCH("A-H",CD5)))</formula>
    </cfRule>
  </conditionalFormatting>
  <conditionalFormatting sqref="CH5">
    <cfRule type="cellIs" dxfId="18875" priority="40094" operator="equal">
      <formula>"C-Off-H"</formula>
    </cfRule>
    <cfRule type="cellIs" dxfId="18874" priority="40095" operator="equal">
      <formula>"C-Off"</formula>
    </cfRule>
    <cfRule type="cellIs" dxfId="18873" priority="40096" operator="equal">
      <formula>"CL-H"</formula>
    </cfRule>
    <cfRule type="cellIs" dxfId="18872" priority="40097" operator="equal">
      <formula>"EL-H"</formula>
    </cfRule>
    <cfRule type="cellIs" dxfId="18871" priority="40098" operator="equal">
      <formula>"CL"</formula>
    </cfRule>
    <cfRule type="cellIs" dxfId="18870" priority="40099" operator="equal">
      <formula>"EL"</formula>
    </cfRule>
  </conditionalFormatting>
  <conditionalFormatting sqref="CH5">
    <cfRule type="containsText" dxfId="18869" priority="40088" operator="containsText" text="S">
      <formula>NOT(ISERROR(SEARCH("S",CH5)))</formula>
    </cfRule>
    <cfRule type="containsText" dxfId="18868" priority="40089" operator="containsText" text="P">
      <formula>NOT(ISERROR(SEARCH("P",CH5)))</formula>
    </cfRule>
    <cfRule type="containsText" dxfId="18867" priority="40090" operator="containsText" text="H">
      <formula>NOT(ISERROR(SEARCH("H",CH5)))</formula>
    </cfRule>
    <cfRule type="containsText" dxfId="18866" priority="40092" operator="containsText" text="&quot;H&quot;">
      <formula>NOT(ISERROR(SEARCH("""H""",CH5)))</formula>
    </cfRule>
    <cfRule type="containsText" dxfId="18865" priority="40093" operator="containsText" text="&quot;A&quot;">
      <formula>NOT(ISERROR(SEARCH("""A""",CH5)))</formula>
    </cfRule>
  </conditionalFormatting>
  <conditionalFormatting sqref="CH5">
    <cfRule type="containsText" dxfId="18864" priority="40091" operator="containsText" text="A-H">
      <formula>NOT(ISERROR(SEARCH("A-H",CH5)))</formula>
    </cfRule>
  </conditionalFormatting>
  <conditionalFormatting sqref="CG5">
    <cfRule type="cellIs" dxfId="18863" priority="40082" operator="equal">
      <formula>"C-Off-H"</formula>
    </cfRule>
    <cfRule type="cellIs" dxfId="18862" priority="40083" operator="equal">
      <formula>"C-Off"</formula>
    </cfRule>
    <cfRule type="cellIs" dxfId="18861" priority="40084" operator="equal">
      <formula>"CL-H"</formula>
    </cfRule>
    <cfRule type="cellIs" dxfId="18860" priority="40085" operator="equal">
      <formula>"EL-H"</formula>
    </cfRule>
    <cfRule type="cellIs" dxfId="18859" priority="40086" operator="equal">
      <formula>"CL"</formula>
    </cfRule>
    <cfRule type="cellIs" dxfId="18858" priority="40087" operator="equal">
      <formula>"EL"</formula>
    </cfRule>
  </conditionalFormatting>
  <conditionalFormatting sqref="CG5">
    <cfRule type="containsText" dxfId="18857" priority="40076" operator="containsText" text="S">
      <formula>NOT(ISERROR(SEARCH("S",CG5)))</formula>
    </cfRule>
    <cfRule type="containsText" dxfId="18856" priority="40077" operator="containsText" text="P">
      <formula>NOT(ISERROR(SEARCH("P",CG5)))</formula>
    </cfRule>
    <cfRule type="containsText" dxfId="18855" priority="40078" operator="containsText" text="H">
      <formula>NOT(ISERROR(SEARCH("H",CG5)))</formula>
    </cfRule>
    <cfRule type="containsText" dxfId="18854" priority="40080" operator="containsText" text="&quot;H&quot;">
      <formula>NOT(ISERROR(SEARCH("""H""",CG5)))</formula>
    </cfRule>
    <cfRule type="containsText" dxfId="18853" priority="40081" operator="containsText" text="&quot;A&quot;">
      <formula>NOT(ISERROR(SEARCH("""A""",CG5)))</formula>
    </cfRule>
  </conditionalFormatting>
  <conditionalFormatting sqref="CG5">
    <cfRule type="containsText" dxfId="18852" priority="40079" operator="containsText" text="A-H">
      <formula>NOT(ISERROR(SEARCH("A-H",CG5)))</formula>
    </cfRule>
  </conditionalFormatting>
  <conditionalFormatting sqref="CA6:CB6">
    <cfRule type="cellIs" dxfId="18851" priority="40070" operator="equal">
      <formula>"C-Off-H"</formula>
    </cfRule>
    <cfRule type="cellIs" dxfId="18850" priority="40071" operator="equal">
      <formula>"C-Off"</formula>
    </cfRule>
    <cfRule type="cellIs" dxfId="18849" priority="40072" operator="equal">
      <formula>"CL-H"</formula>
    </cfRule>
    <cfRule type="cellIs" dxfId="18848" priority="40073" operator="equal">
      <formula>"EL-H"</formula>
    </cfRule>
    <cfRule type="cellIs" dxfId="18847" priority="40074" operator="equal">
      <formula>"CL"</formula>
    </cfRule>
    <cfRule type="cellIs" dxfId="18846" priority="40075" operator="equal">
      <formula>"EL"</formula>
    </cfRule>
  </conditionalFormatting>
  <conditionalFormatting sqref="CA6:CB6">
    <cfRule type="containsText" dxfId="18845" priority="40064" operator="containsText" text="S">
      <formula>NOT(ISERROR(SEARCH("S",CA6)))</formula>
    </cfRule>
    <cfRule type="containsText" dxfId="18844" priority="40065" operator="containsText" text="P">
      <formula>NOT(ISERROR(SEARCH("P",CA6)))</formula>
    </cfRule>
    <cfRule type="containsText" dxfId="18843" priority="40066" operator="containsText" text="H">
      <formula>NOT(ISERROR(SEARCH("H",CA6)))</formula>
    </cfRule>
    <cfRule type="containsText" dxfId="18842" priority="40068" operator="containsText" text="&quot;H&quot;">
      <formula>NOT(ISERROR(SEARCH("""H""",CA6)))</formula>
    </cfRule>
    <cfRule type="containsText" dxfId="18841" priority="40069" operator="containsText" text="&quot;A&quot;">
      <formula>NOT(ISERROR(SEARCH("""A""",CA6)))</formula>
    </cfRule>
  </conditionalFormatting>
  <conditionalFormatting sqref="CA6:CB6">
    <cfRule type="containsText" dxfId="18840" priority="40067" operator="containsText" text="A-H">
      <formula>NOT(ISERROR(SEARCH("A-H",CA6)))</formula>
    </cfRule>
  </conditionalFormatting>
  <conditionalFormatting sqref="CD6:CE6">
    <cfRule type="cellIs" dxfId="18839" priority="40058" operator="equal">
      <formula>"C-Off-H"</formula>
    </cfRule>
    <cfRule type="cellIs" dxfId="18838" priority="40059" operator="equal">
      <formula>"C-Off"</formula>
    </cfRule>
    <cfRule type="cellIs" dxfId="18837" priority="40060" operator="equal">
      <formula>"CL-H"</formula>
    </cfRule>
    <cfRule type="cellIs" dxfId="18836" priority="40061" operator="equal">
      <formula>"EL-H"</formula>
    </cfRule>
    <cfRule type="cellIs" dxfId="18835" priority="40062" operator="equal">
      <formula>"CL"</formula>
    </cfRule>
    <cfRule type="cellIs" dxfId="18834" priority="40063" operator="equal">
      <formula>"EL"</formula>
    </cfRule>
  </conditionalFormatting>
  <conditionalFormatting sqref="CD6:CE6">
    <cfRule type="containsText" dxfId="18833" priority="40052" operator="containsText" text="S">
      <formula>NOT(ISERROR(SEARCH("S",CD6)))</formula>
    </cfRule>
    <cfRule type="containsText" dxfId="18832" priority="40053" operator="containsText" text="P">
      <formula>NOT(ISERROR(SEARCH("P",CD6)))</formula>
    </cfRule>
    <cfRule type="containsText" dxfId="18831" priority="40054" operator="containsText" text="H">
      <formula>NOT(ISERROR(SEARCH("H",CD6)))</formula>
    </cfRule>
    <cfRule type="containsText" dxfId="18830" priority="40056" operator="containsText" text="&quot;H&quot;">
      <formula>NOT(ISERROR(SEARCH("""H""",CD6)))</formula>
    </cfRule>
    <cfRule type="containsText" dxfId="18829" priority="40057" operator="containsText" text="&quot;A&quot;">
      <formula>NOT(ISERROR(SEARCH("""A""",CD6)))</formula>
    </cfRule>
  </conditionalFormatting>
  <conditionalFormatting sqref="CD6:CE6">
    <cfRule type="containsText" dxfId="18828" priority="40055" operator="containsText" text="A-H">
      <formula>NOT(ISERROR(SEARCH("A-H",CD6)))</formula>
    </cfRule>
  </conditionalFormatting>
  <conditionalFormatting sqref="CH6">
    <cfRule type="cellIs" dxfId="18827" priority="40046" operator="equal">
      <formula>"C-Off-H"</formula>
    </cfRule>
    <cfRule type="cellIs" dxfId="18826" priority="40047" operator="equal">
      <formula>"C-Off"</formula>
    </cfRule>
    <cfRule type="cellIs" dxfId="18825" priority="40048" operator="equal">
      <formula>"CL-H"</formula>
    </cfRule>
    <cfRule type="cellIs" dxfId="18824" priority="40049" operator="equal">
      <formula>"EL-H"</formula>
    </cfRule>
    <cfRule type="cellIs" dxfId="18823" priority="40050" operator="equal">
      <formula>"CL"</formula>
    </cfRule>
    <cfRule type="cellIs" dxfId="18822" priority="40051" operator="equal">
      <formula>"EL"</formula>
    </cfRule>
  </conditionalFormatting>
  <conditionalFormatting sqref="CH6">
    <cfRule type="containsText" dxfId="18821" priority="40040" operator="containsText" text="S">
      <formula>NOT(ISERROR(SEARCH("S",CH6)))</formula>
    </cfRule>
    <cfRule type="containsText" dxfId="18820" priority="40041" operator="containsText" text="P">
      <formula>NOT(ISERROR(SEARCH("P",CH6)))</formula>
    </cfRule>
    <cfRule type="containsText" dxfId="18819" priority="40042" operator="containsText" text="H">
      <formula>NOT(ISERROR(SEARCH("H",CH6)))</formula>
    </cfRule>
    <cfRule type="containsText" dxfId="18818" priority="40044" operator="containsText" text="&quot;H&quot;">
      <formula>NOT(ISERROR(SEARCH("""H""",CH6)))</formula>
    </cfRule>
    <cfRule type="containsText" dxfId="18817" priority="40045" operator="containsText" text="&quot;A&quot;">
      <formula>NOT(ISERROR(SEARCH("""A""",CH6)))</formula>
    </cfRule>
  </conditionalFormatting>
  <conditionalFormatting sqref="CH6">
    <cfRule type="containsText" dxfId="18816" priority="40043" operator="containsText" text="A-H">
      <formula>NOT(ISERROR(SEARCH("A-H",CH6)))</formula>
    </cfRule>
  </conditionalFormatting>
  <conditionalFormatting sqref="CG6">
    <cfRule type="cellIs" dxfId="18815" priority="40034" operator="equal">
      <formula>"C-Off-H"</formula>
    </cfRule>
    <cfRule type="cellIs" dxfId="18814" priority="40035" operator="equal">
      <formula>"C-Off"</formula>
    </cfRule>
    <cfRule type="cellIs" dxfId="18813" priority="40036" operator="equal">
      <formula>"CL-H"</formula>
    </cfRule>
    <cfRule type="cellIs" dxfId="18812" priority="40037" operator="equal">
      <formula>"EL-H"</formula>
    </cfRule>
    <cfRule type="cellIs" dxfId="18811" priority="40038" operator="equal">
      <formula>"CL"</formula>
    </cfRule>
    <cfRule type="cellIs" dxfId="18810" priority="40039" operator="equal">
      <formula>"EL"</formula>
    </cfRule>
  </conditionalFormatting>
  <conditionalFormatting sqref="CG6">
    <cfRule type="containsText" dxfId="18809" priority="40028" operator="containsText" text="S">
      <formula>NOT(ISERROR(SEARCH("S",CG6)))</formula>
    </cfRule>
    <cfRule type="containsText" dxfId="18808" priority="40029" operator="containsText" text="P">
      <formula>NOT(ISERROR(SEARCH("P",CG6)))</formula>
    </cfRule>
    <cfRule type="containsText" dxfId="18807" priority="40030" operator="containsText" text="H">
      <formula>NOT(ISERROR(SEARCH("H",CG6)))</formula>
    </cfRule>
    <cfRule type="containsText" dxfId="18806" priority="40032" operator="containsText" text="&quot;H&quot;">
      <formula>NOT(ISERROR(SEARCH("""H""",CG6)))</formula>
    </cfRule>
    <cfRule type="containsText" dxfId="18805" priority="40033" operator="containsText" text="&quot;A&quot;">
      <formula>NOT(ISERROR(SEARCH("""A""",CG6)))</formula>
    </cfRule>
  </conditionalFormatting>
  <conditionalFormatting sqref="CG6">
    <cfRule type="containsText" dxfId="18804" priority="40031" operator="containsText" text="A-H">
      <formula>NOT(ISERROR(SEARCH("A-H",CG6)))</formula>
    </cfRule>
  </conditionalFormatting>
  <conditionalFormatting sqref="CA4:CB4">
    <cfRule type="cellIs" dxfId="18803" priority="40022" operator="equal">
      <formula>"C-Off-H"</formula>
    </cfRule>
    <cfRule type="cellIs" dxfId="18802" priority="40023" operator="equal">
      <formula>"C-Off"</formula>
    </cfRule>
    <cfRule type="cellIs" dxfId="18801" priority="40024" operator="equal">
      <formula>"CL-H"</formula>
    </cfRule>
    <cfRule type="cellIs" dxfId="18800" priority="40025" operator="equal">
      <formula>"EL-H"</formula>
    </cfRule>
    <cfRule type="cellIs" dxfId="18799" priority="40026" operator="equal">
      <formula>"CL"</formula>
    </cfRule>
    <cfRule type="cellIs" dxfId="18798" priority="40027" operator="equal">
      <formula>"EL"</formula>
    </cfRule>
  </conditionalFormatting>
  <conditionalFormatting sqref="CA4:CB4">
    <cfRule type="containsText" dxfId="18797" priority="40016" operator="containsText" text="S">
      <formula>NOT(ISERROR(SEARCH("S",CA4)))</formula>
    </cfRule>
    <cfRule type="containsText" dxfId="18796" priority="40017" operator="containsText" text="P">
      <formula>NOT(ISERROR(SEARCH("P",CA4)))</formula>
    </cfRule>
    <cfRule type="containsText" dxfId="18795" priority="40018" operator="containsText" text="H">
      <formula>NOT(ISERROR(SEARCH("H",CA4)))</formula>
    </cfRule>
    <cfRule type="containsText" dxfId="18794" priority="40020" operator="containsText" text="&quot;H&quot;">
      <formula>NOT(ISERROR(SEARCH("""H""",CA4)))</formula>
    </cfRule>
    <cfRule type="containsText" dxfId="18793" priority="40021" operator="containsText" text="&quot;A&quot;">
      <formula>NOT(ISERROR(SEARCH("""A""",CA4)))</formula>
    </cfRule>
  </conditionalFormatting>
  <conditionalFormatting sqref="CA4:CB4">
    <cfRule type="containsText" dxfId="18792" priority="40019" operator="containsText" text="A-H">
      <formula>NOT(ISERROR(SEARCH("A-H",CA4)))</formula>
    </cfRule>
  </conditionalFormatting>
  <conditionalFormatting sqref="CD4:CE4">
    <cfRule type="cellIs" dxfId="18791" priority="40010" operator="equal">
      <formula>"C-Off-H"</formula>
    </cfRule>
    <cfRule type="cellIs" dxfId="18790" priority="40011" operator="equal">
      <formula>"C-Off"</formula>
    </cfRule>
    <cfRule type="cellIs" dxfId="18789" priority="40012" operator="equal">
      <formula>"CL-H"</formula>
    </cfRule>
    <cfRule type="cellIs" dxfId="18788" priority="40013" operator="equal">
      <formula>"EL-H"</formula>
    </cfRule>
    <cfRule type="cellIs" dxfId="18787" priority="40014" operator="equal">
      <formula>"CL"</formula>
    </cfRule>
    <cfRule type="cellIs" dxfId="18786" priority="40015" operator="equal">
      <formula>"EL"</formula>
    </cfRule>
  </conditionalFormatting>
  <conditionalFormatting sqref="CD4:CE4">
    <cfRule type="containsText" dxfId="18785" priority="40004" operator="containsText" text="S">
      <formula>NOT(ISERROR(SEARCH("S",CD4)))</formula>
    </cfRule>
    <cfRule type="containsText" dxfId="18784" priority="40005" operator="containsText" text="P">
      <formula>NOT(ISERROR(SEARCH("P",CD4)))</formula>
    </cfRule>
    <cfRule type="containsText" dxfId="18783" priority="40006" operator="containsText" text="H">
      <formula>NOT(ISERROR(SEARCH("H",CD4)))</formula>
    </cfRule>
    <cfRule type="containsText" dxfId="18782" priority="40008" operator="containsText" text="&quot;H&quot;">
      <formula>NOT(ISERROR(SEARCH("""H""",CD4)))</formula>
    </cfRule>
    <cfRule type="containsText" dxfId="18781" priority="40009" operator="containsText" text="&quot;A&quot;">
      <formula>NOT(ISERROR(SEARCH("""A""",CD4)))</formula>
    </cfRule>
  </conditionalFormatting>
  <conditionalFormatting sqref="CD4:CE4">
    <cfRule type="containsText" dxfId="18780" priority="40007" operator="containsText" text="A-H">
      <formula>NOT(ISERROR(SEARCH("A-H",CD4)))</formula>
    </cfRule>
  </conditionalFormatting>
  <conditionalFormatting sqref="CH4">
    <cfRule type="cellIs" dxfId="18779" priority="39998" operator="equal">
      <formula>"C-Off-H"</formula>
    </cfRule>
    <cfRule type="cellIs" dxfId="18778" priority="39999" operator="equal">
      <formula>"C-Off"</formula>
    </cfRule>
    <cfRule type="cellIs" dxfId="18777" priority="40000" operator="equal">
      <formula>"CL-H"</formula>
    </cfRule>
    <cfRule type="cellIs" dxfId="18776" priority="40001" operator="equal">
      <formula>"EL-H"</formula>
    </cfRule>
    <cfRule type="cellIs" dxfId="18775" priority="40002" operator="equal">
      <formula>"CL"</formula>
    </cfRule>
    <cfRule type="cellIs" dxfId="18774" priority="40003" operator="equal">
      <formula>"EL"</formula>
    </cfRule>
  </conditionalFormatting>
  <conditionalFormatting sqref="CH4">
    <cfRule type="containsText" dxfId="18773" priority="39992" operator="containsText" text="S">
      <formula>NOT(ISERROR(SEARCH("S",CH4)))</formula>
    </cfRule>
    <cfRule type="containsText" dxfId="18772" priority="39993" operator="containsText" text="P">
      <formula>NOT(ISERROR(SEARCH("P",CH4)))</formula>
    </cfRule>
    <cfRule type="containsText" dxfId="18771" priority="39994" operator="containsText" text="H">
      <formula>NOT(ISERROR(SEARCH("H",CH4)))</formula>
    </cfRule>
    <cfRule type="containsText" dxfId="18770" priority="39996" operator="containsText" text="&quot;H&quot;">
      <formula>NOT(ISERROR(SEARCH("""H""",CH4)))</formula>
    </cfRule>
    <cfRule type="containsText" dxfId="18769" priority="39997" operator="containsText" text="&quot;A&quot;">
      <formula>NOT(ISERROR(SEARCH("""A""",CH4)))</formula>
    </cfRule>
  </conditionalFormatting>
  <conditionalFormatting sqref="CH4">
    <cfRule type="containsText" dxfId="18768" priority="39995" operator="containsText" text="A-H">
      <formula>NOT(ISERROR(SEARCH("A-H",CH4)))</formula>
    </cfRule>
  </conditionalFormatting>
  <conditionalFormatting sqref="CG4">
    <cfRule type="cellIs" dxfId="18767" priority="39986" operator="equal">
      <formula>"C-Off-H"</formula>
    </cfRule>
    <cfRule type="cellIs" dxfId="18766" priority="39987" operator="equal">
      <formula>"C-Off"</formula>
    </cfRule>
    <cfRule type="cellIs" dxfId="18765" priority="39988" operator="equal">
      <formula>"CL-H"</formula>
    </cfRule>
    <cfRule type="cellIs" dxfId="18764" priority="39989" operator="equal">
      <formula>"EL-H"</formula>
    </cfRule>
    <cfRule type="cellIs" dxfId="18763" priority="39990" operator="equal">
      <formula>"CL"</formula>
    </cfRule>
    <cfRule type="cellIs" dxfId="18762" priority="39991" operator="equal">
      <formula>"EL"</formula>
    </cfRule>
  </conditionalFormatting>
  <conditionalFormatting sqref="CG4">
    <cfRule type="containsText" dxfId="18761" priority="39980" operator="containsText" text="S">
      <formula>NOT(ISERROR(SEARCH("S",CG4)))</formula>
    </cfRule>
    <cfRule type="containsText" dxfId="18760" priority="39981" operator="containsText" text="P">
      <formula>NOT(ISERROR(SEARCH("P",CG4)))</formula>
    </cfRule>
    <cfRule type="containsText" dxfId="18759" priority="39982" operator="containsText" text="H">
      <formula>NOT(ISERROR(SEARCH("H",CG4)))</formula>
    </cfRule>
    <cfRule type="containsText" dxfId="18758" priority="39984" operator="containsText" text="&quot;H&quot;">
      <formula>NOT(ISERROR(SEARCH("""H""",CG4)))</formula>
    </cfRule>
    <cfRule type="containsText" dxfId="18757" priority="39985" operator="containsText" text="&quot;A&quot;">
      <formula>NOT(ISERROR(SEARCH("""A""",CG4)))</formula>
    </cfRule>
  </conditionalFormatting>
  <conditionalFormatting sqref="CG4">
    <cfRule type="containsText" dxfId="18756" priority="39983" operator="containsText" text="A-H">
      <formula>NOT(ISERROR(SEARCH("A-H",CG4)))</formula>
    </cfRule>
  </conditionalFormatting>
  <conditionalFormatting sqref="H5">
    <cfRule type="cellIs" dxfId="18755" priority="39709" operator="equal">
      <formula>"C-Off-H"</formula>
    </cfRule>
    <cfRule type="cellIs" dxfId="18754" priority="39710" operator="equal">
      <formula>"C-Off"</formula>
    </cfRule>
    <cfRule type="cellIs" dxfId="18753" priority="39711" operator="equal">
      <formula>"CL-H"</formula>
    </cfRule>
    <cfRule type="cellIs" dxfId="18752" priority="39712" operator="equal">
      <formula>"EL-H"</formula>
    </cfRule>
    <cfRule type="cellIs" dxfId="18751" priority="39713" operator="equal">
      <formula>"CL"</formula>
    </cfRule>
    <cfRule type="cellIs" dxfId="18750" priority="39714" operator="equal">
      <formula>"EL"</formula>
    </cfRule>
  </conditionalFormatting>
  <conditionalFormatting sqref="G5:H5">
    <cfRule type="cellIs" dxfId="18749" priority="39703" operator="equal">
      <formula>"C-Off-H"</formula>
    </cfRule>
    <cfRule type="cellIs" dxfId="18748" priority="39704" operator="equal">
      <formula>"C-Off"</formula>
    </cfRule>
    <cfRule type="cellIs" dxfId="18747" priority="39705" operator="equal">
      <formula>"CL-H"</formula>
    </cfRule>
    <cfRule type="cellIs" dxfId="18746" priority="39706" operator="equal">
      <formula>"EL-H"</formula>
    </cfRule>
    <cfRule type="cellIs" dxfId="18745" priority="39707" operator="equal">
      <formula>"CL"</formula>
    </cfRule>
    <cfRule type="cellIs" dxfId="18744" priority="39708" operator="equal">
      <formula>"EL"</formula>
    </cfRule>
  </conditionalFormatting>
  <conditionalFormatting sqref="G5:H5">
    <cfRule type="containsText" dxfId="18743" priority="39697" operator="containsText" text="S">
      <formula>NOT(ISERROR(SEARCH("S",G5)))</formula>
    </cfRule>
    <cfRule type="containsText" dxfId="18742" priority="39698" operator="containsText" text="P">
      <formula>NOT(ISERROR(SEARCH("P",G5)))</formula>
    </cfRule>
    <cfRule type="containsText" dxfId="18741" priority="39699" operator="containsText" text="H">
      <formula>NOT(ISERROR(SEARCH("H",G5)))</formula>
    </cfRule>
    <cfRule type="containsText" dxfId="18740" priority="39701" operator="containsText" text="&quot;H&quot;">
      <formula>NOT(ISERROR(SEARCH("""H""",G5)))</formula>
    </cfRule>
    <cfRule type="containsText" dxfId="18739" priority="39702" operator="containsText" text="&quot;A&quot;">
      <formula>NOT(ISERROR(SEARCH("""A""",G5)))</formula>
    </cfRule>
  </conditionalFormatting>
  <conditionalFormatting sqref="G5:H5">
    <cfRule type="containsText" dxfId="18738" priority="39700" operator="containsText" text="A-H">
      <formula>NOT(ISERROR(SEARCH("A-H",G5)))</formula>
    </cfRule>
  </conditionalFormatting>
  <conditionalFormatting sqref="H6">
    <cfRule type="cellIs" dxfId="18737" priority="39691" operator="equal">
      <formula>"C-Off-H"</formula>
    </cfRule>
    <cfRule type="cellIs" dxfId="18736" priority="39692" operator="equal">
      <formula>"C-Off"</formula>
    </cfRule>
    <cfRule type="cellIs" dxfId="18735" priority="39693" operator="equal">
      <formula>"CL-H"</formula>
    </cfRule>
    <cfRule type="cellIs" dxfId="18734" priority="39694" operator="equal">
      <formula>"EL-H"</formula>
    </cfRule>
    <cfRule type="cellIs" dxfId="18733" priority="39695" operator="equal">
      <formula>"CL"</formula>
    </cfRule>
    <cfRule type="cellIs" dxfId="18732" priority="39696" operator="equal">
      <formula>"EL"</formula>
    </cfRule>
  </conditionalFormatting>
  <conditionalFormatting sqref="G6:H6">
    <cfRule type="cellIs" dxfId="18731" priority="39685" operator="equal">
      <formula>"C-Off-H"</formula>
    </cfRule>
    <cfRule type="cellIs" dxfId="18730" priority="39686" operator="equal">
      <formula>"C-Off"</formula>
    </cfRule>
    <cfRule type="cellIs" dxfId="18729" priority="39687" operator="equal">
      <formula>"CL-H"</formula>
    </cfRule>
    <cfRule type="cellIs" dxfId="18728" priority="39688" operator="equal">
      <formula>"EL-H"</formula>
    </cfRule>
    <cfRule type="cellIs" dxfId="18727" priority="39689" operator="equal">
      <formula>"CL"</formula>
    </cfRule>
    <cfRule type="cellIs" dxfId="18726" priority="39690" operator="equal">
      <formula>"EL"</formula>
    </cfRule>
  </conditionalFormatting>
  <conditionalFormatting sqref="G6:H6">
    <cfRule type="containsText" dxfId="18725" priority="39679" operator="containsText" text="S">
      <formula>NOT(ISERROR(SEARCH("S",G6)))</formula>
    </cfRule>
    <cfRule type="containsText" dxfId="18724" priority="39680" operator="containsText" text="P">
      <formula>NOT(ISERROR(SEARCH("P",G6)))</formula>
    </cfRule>
    <cfRule type="containsText" dxfId="18723" priority="39681" operator="containsText" text="H">
      <formula>NOT(ISERROR(SEARCH("H",G6)))</formula>
    </cfRule>
    <cfRule type="containsText" dxfId="18722" priority="39683" operator="containsText" text="&quot;H&quot;">
      <formula>NOT(ISERROR(SEARCH("""H""",G6)))</formula>
    </cfRule>
    <cfRule type="containsText" dxfId="18721" priority="39684" operator="containsText" text="&quot;A&quot;">
      <formula>NOT(ISERROR(SEARCH("""A""",G6)))</formula>
    </cfRule>
  </conditionalFormatting>
  <conditionalFormatting sqref="G6:H6">
    <cfRule type="containsText" dxfId="18720" priority="39682" operator="containsText" text="A-H">
      <formula>NOT(ISERROR(SEARCH("A-H",G6)))</formula>
    </cfRule>
  </conditionalFormatting>
  <conditionalFormatting sqref="H4">
    <cfRule type="cellIs" dxfId="18719" priority="39673" operator="equal">
      <formula>"C-Off-H"</formula>
    </cfRule>
    <cfRule type="cellIs" dxfId="18718" priority="39674" operator="equal">
      <formula>"C-Off"</formula>
    </cfRule>
    <cfRule type="cellIs" dxfId="18717" priority="39675" operator="equal">
      <formula>"CL-H"</formula>
    </cfRule>
    <cfRule type="cellIs" dxfId="18716" priority="39676" operator="equal">
      <formula>"EL-H"</formula>
    </cfRule>
    <cfRule type="cellIs" dxfId="18715" priority="39677" operator="equal">
      <formula>"CL"</formula>
    </cfRule>
    <cfRule type="cellIs" dxfId="18714" priority="39678" operator="equal">
      <formula>"EL"</formula>
    </cfRule>
  </conditionalFormatting>
  <conditionalFormatting sqref="G4:H4">
    <cfRule type="cellIs" dxfId="18713" priority="39667" operator="equal">
      <formula>"C-Off-H"</formula>
    </cfRule>
    <cfRule type="cellIs" dxfId="18712" priority="39668" operator="equal">
      <formula>"C-Off"</formula>
    </cfRule>
    <cfRule type="cellIs" dxfId="18711" priority="39669" operator="equal">
      <formula>"CL-H"</formula>
    </cfRule>
    <cfRule type="cellIs" dxfId="18710" priority="39670" operator="equal">
      <formula>"EL-H"</formula>
    </cfRule>
    <cfRule type="cellIs" dxfId="18709" priority="39671" operator="equal">
      <formula>"CL"</formula>
    </cfRule>
    <cfRule type="cellIs" dxfId="18708" priority="39672" operator="equal">
      <formula>"EL"</formula>
    </cfRule>
  </conditionalFormatting>
  <conditionalFormatting sqref="G4:H4">
    <cfRule type="containsText" dxfId="18707" priority="39661" operator="containsText" text="S">
      <formula>NOT(ISERROR(SEARCH("S",G4)))</formula>
    </cfRule>
    <cfRule type="containsText" dxfId="18706" priority="39662" operator="containsText" text="P">
      <formula>NOT(ISERROR(SEARCH("P",G4)))</formula>
    </cfRule>
    <cfRule type="containsText" dxfId="18705" priority="39663" operator="containsText" text="H">
      <formula>NOT(ISERROR(SEARCH("H",G4)))</formula>
    </cfRule>
    <cfRule type="containsText" dxfId="18704" priority="39665" operator="containsText" text="&quot;H&quot;">
      <formula>NOT(ISERROR(SEARCH("""H""",G4)))</formula>
    </cfRule>
    <cfRule type="containsText" dxfId="18703" priority="39666" operator="containsText" text="&quot;A&quot;">
      <formula>NOT(ISERROR(SEARCH("""A""",G4)))</formula>
    </cfRule>
  </conditionalFormatting>
  <conditionalFormatting sqref="G4:H4">
    <cfRule type="containsText" dxfId="18702" priority="39664" operator="containsText" text="A-H">
      <formula>NOT(ISERROR(SEARCH("A-H",G4)))</formula>
    </cfRule>
  </conditionalFormatting>
  <conditionalFormatting sqref="CX3 F3:F42">
    <cfRule type="cellIs" dxfId="18701" priority="20062" operator="equal">
      <formula>"C-Off-H"</formula>
    </cfRule>
    <cfRule type="cellIs" dxfId="18700" priority="20063" operator="equal">
      <formula>"C-Off"</formula>
    </cfRule>
    <cfRule type="cellIs" dxfId="18699" priority="20064" operator="equal">
      <formula>"CL-H"</formula>
    </cfRule>
    <cfRule type="cellIs" dxfId="18698" priority="20065" operator="equal">
      <formula>"EL-H"</formula>
    </cfRule>
    <cfRule type="cellIs" dxfId="18697" priority="20066" operator="equal">
      <formula>"CL"</formula>
    </cfRule>
    <cfRule type="cellIs" dxfId="18696" priority="20067" operator="equal">
      <formula>"EL"</formula>
    </cfRule>
  </conditionalFormatting>
  <conditionalFormatting sqref="CX3 DB3:DB42 F3:F42">
    <cfRule type="containsText" dxfId="18695" priority="20061" operator="containsText" text="A-H">
      <formula>NOT(ISERROR(SEARCH("A-H",F3)))</formula>
    </cfRule>
  </conditionalFormatting>
  <conditionalFormatting sqref="CX3 DB3:DB42 F3:F42">
    <cfRule type="containsText" dxfId="18694" priority="20060" operator="containsText" text="A">
      <formula>NOT(ISERROR(SEARCH("A",F3)))</formula>
    </cfRule>
  </conditionalFormatting>
  <conditionalFormatting sqref="DB3:DB42">
    <cfRule type="cellIs" dxfId="18693" priority="20054" stopIfTrue="1" operator="equal">
      <formula>"C-Off-H"</formula>
    </cfRule>
    <cfRule type="cellIs" dxfId="18692" priority="20055" stopIfTrue="1" operator="equal">
      <formula>"C-Off"</formula>
    </cfRule>
    <cfRule type="cellIs" dxfId="18691" priority="20056" stopIfTrue="1" operator="equal">
      <formula>"CL-H"</formula>
    </cfRule>
    <cfRule type="cellIs" dxfId="18690" priority="20057" stopIfTrue="1" operator="equal">
      <formula>"EL-H"</formula>
    </cfRule>
    <cfRule type="cellIs" dxfId="18689" priority="20058" stopIfTrue="1" operator="equal">
      <formula>"CL"</formula>
    </cfRule>
    <cfRule type="cellIs" dxfId="18688" priority="20059" stopIfTrue="1" operator="equal">
      <formula>"EL"</formula>
    </cfRule>
  </conditionalFormatting>
  <conditionalFormatting sqref="F3:F42">
    <cfRule type="containsText" dxfId="18687" priority="20049" operator="containsText" text="S">
      <formula>NOT(ISERROR(SEARCH("S",F3)))</formula>
    </cfRule>
    <cfRule type="containsText" dxfId="18686" priority="20050" operator="containsText" text="P">
      <formula>NOT(ISERROR(SEARCH("P",F3)))</formula>
    </cfRule>
    <cfRule type="containsText" dxfId="18685" priority="20051" operator="containsText" text="H">
      <formula>NOT(ISERROR(SEARCH("H",F3)))</formula>
    </cfRule>
    <cfRule type="containsText" dxfId="18684" priority="20052" operator="containsText" text="&quot;H&quot;">
      <formula>NOT(ISERROR(SEARCH("""H""",F3)))</formula>
    </cfRule>
    <cfRule type="containsText" dxfId="18683" priority="20053" operator="containsText" text="&quot;A&quot;">
      <formula>NOT(ISERROR(SEARCH("""A""",F3)))</formula>
    </cfRule>
  </conditionalFormatting>
  <conditionalFormatting sqref="DC3 CP3:CW3">
    <cfRule type="cellIs" dxfId="18682" priority="20043" operator="equal">
      <formula>"C-Off-H"</formula>
    </cfRule>
    <cfRule type="cellIs" dxfId="18681" priority="20044" operator="equal">
      <formula>"C-Off"</formula>
    </cfRule>
    <cfRule type="cellIs" dxfId="18680" priority="20045" operator="equal">
      <formula>"CL-H"</formula>
    </cfRule>
    <cfRule type="cellIs" dxfId="18679" priority="20046" operator="equal">
      <formula>"EL-H"</formula>
    </cfRule>
    <cfRule type="cellIs" dxfId="18678" priority="20047" operator="equal">
      <formula>"CL"</formula>
    </cfRule>
    <cfRule type="cellIs" dxfId="18677" priority="20048" operator="equal">
      <formula>"EL"</formula>
    </cfRule>
  </conditionalFormatting>
  <conditionalFormatting sqref="DC3 CP3:CW3 CY3:DA3">
    <cfRule type="containsText" dxfId="18676" priority="20042" operator="containsText" text="A-H">
      <formula>NOT(ISERROR(SEARCH("A-H",CP3)))</formula>
    </cfRule>
  </conditionalFormatting>
  <conditionalFormatting sqref="DC3 CP3:CW3 CY3:DA3">
    <cfRule type="containsText" dxfId="18675" priority="20041" operator="containsText" text="A">
      <formula>NOT(ISERROR(SEARCH("A",CP3)))</formula>
    </cfRule>
  </conditionalFormatting>
  <conditionalFormatting sqref="CY3 DA3">
    <cfRule type="cellIs" dxfId="18674" priority="20035" stopIfTrue="1" operator="equal">
      <formula>"C-Off-H"</formula>
    </cfRule>
    <cfRule type="cellIs" dxfId="18673" priority="20036" stopIfTrue="1" operator="equal">
      <formula>"C-Off"</formula>
    </cfRule>
    <cfRule type="cellIs" dxfId="18672" priority="20037" stopIfTrue="1" operator="equal">
      <formula>"CL-H"</formula>
    </cfRule>
    <cfRule type="cellIs" dxfId="18671" priority="20038" stopIfTrue="1" operator="equal">
      <formula>"EL-H"</formula>
    </cfRule>
    <cfRule type="cellIs" dxfId="18670" priority="20039" stopIfTrue="1" operator="equal">
      <formula>"CL"</formula>
    </cfRule>
    <cfRule type="cellIs" dxfId="18669" priority="20040" stopIfTrue="1" operator="equal">
      <formula>"EL"</formula>
    </cfRule>
  </conditionalFormatting>
  <conditionalFormatting sqref="CZ3">
    <cfRule type="cellIs" dxfId="18668" priority="20029" stopIfTrue="1" operator="equal">
      <formula>"C-Off-H"</formula>
    </cfRule>
    <cfRule type="cellIs" dxfId="18667" priority="20030" stopIfTrue="1" operator="equal">
      <formula>"C-Off"</formula>
    </cfRule>
    <cfRule type="cellIs" dxfId="18666" priority="20031" stopIfTrue="1" operator="equal">
      <formula>"CL-H"</formula>
    </cfRule>
    <cfRule type="cellIs" dxfId="18665" priority="20032" stopIfTrue="1" operator="equal">
      <formula>"EL-H"</formula>
    </cfRule>
    <cfRule type="cellIs" dxfId="18664" priority="20033" stopIfTrue="1" operator="equal">
      <formula>"CL"</formula>
    </cfRule>
    <cfRule type="cellIs" dxfId="18663" priority="20034" stopIfTrue="1" operator="equal">
      <formula>"EL"</formula>
    </cfRule>
  </conditionalFormatting>
  <conditionalFormatting sqref="DD3">
    <cfRule type="cellIs" dxfId="18662" priority="20018" operator="equal">
      <formula>"C-Off-H"</formula>
    </cfRule>
    <cfRule type="cellIs" dxfId="18661" priority="20019" operator="equal">
      <formula>"C-Off"</formula>
    </cfRule>
    <cfRule type="cellIs" dxfId="18660" priority="20020" operator="equal">
      <formula>"CL-H"</formula>
    </cfRule>
    <cfRule type="cellIs" dxfId="18659" priority="20021" operator="equal">
      <formula>"EL-H"</formula>
    </cfRule>
    <cfRule type="cellIs" dxfId="18658" priority="20022" operator="equal">
      <formula>"CL"</formula>
    </cfRule>
    <cfRule type="cellIs" dxfId="18657" priority="20023" operator="equal">
      <formula>"EL"</formula>
    </cfRule>
  </conditionalFormatting>
  <conditionalFormatting sqref="DD3">
    <cfRule type="containsText" dxfId="18656" priority="20017" operator="containsText" text="A">
      <formula>NOT(ISERROR(SEARCH("A",DD3)))</formula>
    </cfRule>
  </conditionalFormatting>
  <conditionalFormatting sqref="DD3">
    <cfRule type="containsText" dxfId="18655" priority="20016" operator="containsText" text="A-H">
      <formula>NOT(ISERROR(SEARCH("A-H",DD3)))</formula>
    </cfRule>
  </conditionalFormatting>
  <conditionalFormatting sqref="AI3">
    <cfRule type="cellIs" dxfId="18654" priority="20010" operator="equal">
      <formula>"C-Off-H"</formula>
    </cfRule>
    <cfRule type="cellIs" dxfId="18653" priority="20011" operator="equal">
      <formula>"C-Off"</formula>
    </cfRule>
    <cfRule type="cellIs" dxfId="18652" priority="20012" operator="equal">
      <formula>"CL-H"</formula>
    </cfRule>
    <cfRule type="cellIs" dxfId="18651" priority="20013" operator="equal">
      <formula>"EL-H"</formula>
    </cfRule>
    <cfRule type="cellIs" dxfId="18650" priority="20014" operator="equal">
      <formula>"CL"</formula>
    </cfRule>
    <cfRule type="cellIs" dxfId="18649" priority="20015" operator="equal">
      <formula>"EL"</formula>
    </cfRule>
  </conditionalFormatting>
  <conditionalFormatting sqref="AH3:AI3">
    <cfRule type="cellIs" dxfId="18648" priority="20004" operator="equal">
      <formula>"C-Off-H"</formula>
    </cfRule>
    <cfRule type="cellIs" dxfId="18647" priority="20005" operator="equal">
      <formula>"C-Off"</formula>
    </cfRule>
    <cfRule type="cellIs" dxfId="18646" priority="20006" operator="equal">
      <formula>"CL-H"</formula>
    </cfRule>
    <cfRule type="cellIs" dxfId="18645" priority="20007" operator="equal">
      <formula>"EL-H"</formula>
    </cfRule>
    <cfRule type="cellIs" dxfId="18644" priority="20008" operator="equal">
      <formula>"CL"</formula>
    </cfRule>
    <cfRule type="cellIs" dxfId="18643" priority="20009" operator="equal">
      <formula>"EL"</formula>
    </cfRule>
  </conditionalFormatting>
  <conditionalFormatting sqref="AH3:AI3">
    <cfRule type="containsText" dxfId="18642" priority="19998" operator="containsText" text="S">
      <formula>NOT(ISERROR(SEARCH("S",AH3)))</formula>
    </cfRule>
    <cfRule type="containsText" dxfId="18641" priority="19999" operator="containsText" text="P">
      <formula>NOT(ISERROR(SEARCH("P",AH3)))</formula>
    </cfRule>
    <cfRule type="containsText" dxfId="18640" priority="20000" operator="containsText" text="H">
      <formula>NOT(ISERROR(SEARCH("H",AH3)))</formula>
    </cfRule>
    <cfRule type="containsText" dxfId="18639" priority="20002" operator="containsText" text="&quot;H&quot;">
      <formula>NOT(ISERROR(SEARCH("""H""",AH3)))</formula>
    </cfRule>
    <cfRule type="containsText" dxfId="18638" priority="20003" operator="containsText" text="&quot;A&quot;">
      <formula>NOT(ISERROR(SEARCH("""A""",AH3)))</formula>
    </cfRule>
  </conditionalFormatting>
  <conditionalFormatting sqref="AH3:AI3">
    <cfRule type="containsText" dxfId="18637" priority="20001" operator="containsText" text="A-H">
      <formula>NOT(ISERROR(SEARCH("A-H",AH3)))</formula>
    </cfRule>
  </conditionalFormatting>
  <conditionalFormatting sqref="AU3">
    <cfRule type="cellIs" dxfId="18636" priority="19992" operator="equal">
      <formula>"C-Off-H"</formula>
    </cfRule>
    <cfRule type="cellIs" dxfId="18635" priority="19993" operator="equal">
      <formula>"C-Off"</formula>
    </cfRule>
    <cfRule type="cellIs" dxfId="18634" priority="19994" operator="equal">
      <formula>"CL-H"</formula>
    </cfRule>
    <cfRule type="cellIs" dxfId="18633" priority="19995" operator="equal">
      <formula>"EL-H"</formula>
    </cfRule>
    <cfRule type="cellIs" dxfId="18632" priority="19996" operator="equal">
      <formula>"CL"</formula>
    </cfRule>
    <cfRule type="cellIs" dxfId="18631" priority="19997" operator="equal">
      <formula>"EL"</formula>
    </cfRule>
  </conditionalFormatting>
  <conditionalFormatting sqref="AT3:AU3">
    <cfRule type="cellIs" dxfId="18630" priority="19986" operator="equal">
      <formula>"C-Off-H"</formula>
    </cfRule>
    <cfRule type="cellIs" dxfId="18629" priority="19987" operator="equal">
      <formula>"C-Off"</formula>
    </cfRule>
    <cfRule type="cellIs" dxfId="18628" priority="19988" operator="equal">
      <formula>"CL-H"</formula>
    </cfRule>
    <cfRule type="cellIs" dxfId="18627" priority="19989" operator="equal">
      <formula>"EL-H"</formula>
    </cfRule>
    <cfRule type="cellIs" dxfId="18626" priority="19990" operator="equal">
      <formula>"CL"</formula>
    </cfRule>
    <cfRule type="cellIs" dxfId="18625" priority="19991" operator="equal">
      <formula>"EL"</formula>
    </cfRule>
  </conditionalFormatting>
  <conditionalFormatting sqref="AT3:AU3">
    <cfRule type="containsText" dxfId="18624" priority="19980" operator="containsText" text="S">
      <formula>NOT(ISERROR(SEARCH("S",AT3)))</formula>
    </cfRule>
    <cfRule type="containsText" dxfId="18623" priority="19981" operator="containsText" text="P">
      <formula>NOT(ISERROR(SEARCH("P",AT3)))</formula>
    </cfRule>
    <cfRule type="containsText" dxfId="18622" priority="19982" operator="containsText" text="H">
      <formula>NOT(ISERROR(SEARCH("H",AT3)))</formula>
    </cfRule>
    <cfRule type="containsText" dxfId="18621" priority="19984" operator="containsText" text="&quot;H&quot;">
      <formula>NOT(ISERROR(SEARCH("""H""",AT3)))</formula>
    </cfRule>
    <cfRule type="containsText" dxfId="18620" priority="19985" operator="containsText" text="&quot;A&quot;">
      <formula>NOT(ISERROR(SEARCH("""A""",AT3)))</formula>
    </cfRule>
  </conditionalFormatting>
  <conditionalFormatting sqref="AT3:AU3">
    <cfRule type="containsText" dxfId="18619" priority="19983" operator="containsText" text="A-H">
      <formula>NOT(ISERROR(SEARCH("A-H",AT3)))</formula>
    </cfRule>
  </conditionalFormatting>
  <conditionalFormatting sqref="E3">
    <cfRule type="cellIs" dxfId="18618" priority="19974" operator="equal">
      <formula>"C-Off-H"</formula>
    </cfRule>
    <cfRule type="cellIs" dxfId="18617" priority="19975" operator="equal">
      <formula>"C-Off"</formula>
    </cfRule>
    <cfRule type="cellIs" dxfId="18616" priority="19976" operator="equal">
      <formula>"CL-H"</formula>
    </cfRule>
    <cfRule type="cellIs" dxfId="18615" priority="19977" operator="equal">
      <formula>"EL-H"</formula>
    </cfRule>
    <cfRule type="cellIs" dxfId="18614" priority="19978" operator="equal">
      <formula>"CL"</formula>
    </cfRule>
    <cfRule type="cellIs" dxfId="18613" priority="19979" operator="equal">
      <formula>"EL"</formula>
    </cfRule>
  </conditionalFormatting>
  <conditionalFormatting sqref="D3:E3">
    <cfRule type="cellIs" dxfId="18612" priority="19968" operator="equal">
      <formula>"C-Off-H"</formula>
    </cfRule>
    <cfRule type="cellIs" dxfId="18611" priority="19969" operator="equal">
      <formula>"C-Off"</formula>
    </cfRule>
    <cfRule type="cellIs" dxfId="18610" priority="19970" operator="equal">
      <formula>"CL-H"</formula>
    </cfRule>
    <cfRule type="cellIs" dxfId="18609" priority="19971" operator="equal">
      <formula>"EL-H"</formula>
    </cfRule>
    <cfRule type="cellIs" dxfId="18608" priority="19972" operator="equal">
      <formula>"CL"</formula>
    </cfRule>
    <cfRule type="cellIs" dxfId="18607" priority="19973" operator="equal">
      <formula>"EL"</formula>
    </cfRule>
  </conditionalFormatting>
  <conditionalFormatting sqref="D3:E3">
    <cfRule type="containsText" dxfId="18606" priority="19962" operator="containsText" text="S">
      <formula>NOT(ISERROR(SEARCH("S",D3)))</formula>
    </cfRule>
    <cfRule type="containsText" dxfId="18605" priority="19963" operator="containsText" text="P">
      <formula>NOT(ISERROR(SEARCH("P",D3)))</formula>
    </cfRule>
    <cfRule type="containsText" dxfId="18604" priority="19964" operator="containsText" text="H">
      <formula>NOT(ISERROR(SEARCH("H",D3)))</formula>
    </cfRule>
    <cfRule type="containsText" dxfId="18603" priority="19966" operator="containsText" text="&quot;H&quot;">
      <formula>NOT(ISERROR(SEARCH("""H""",D3)))</formula>
    </cfRule>
    <cfRule type="containsText" dxfId="18602" priority="19967" operator="containsText" text="&quot;A&quot;">
      <formula>NOT(ISERROR(SEARCH("""A""",D3)))</formula>
    </cfRule>
  </conditionalFormatting>
  <conditionalFormatting sqref="D3:E3">
    <cfRule type="containsText" dxfId="18601" priority="19965" operator="containsText" text="A-H">
      <formula>NOT(ISERROR(SEARCH("A-H",D3)))</formula>
    </cfRule>
  </conditionalFormatting>
  <conditionalFormatting sqref="Z3">
    <cfRule type="cellIs" dxfId="18600" priority="19956" operator="equal">
      <formula>"C-Off-H"</formula>
    </cfRule>
    <cfRule type="cellIs" dxfId="18599" priority="19957" operator="equal">
      <formula>"C-Off"</formula>
    </cfRule>
    <cfRule type="cellIs" dxfId="18598" priority="19958" operator="equal">
      <formula>"CL-H"</formula>
    </cfRule>
    <cfRule type="cellIs" dxfId="18597" priority="19959" operator="equal">
      <formula>"EL-H"</formula>
    </cfRule>
    <cfRule type="cellIs" dxfId="18596" priority="19960" operator="equal">
      <formula>"CL"</formula>
    </cfRule>
    <cfRule type="cellIs" dxfId="18595" priority="19961" operator="equal">
      <formula>"EL"</formula>
    </cfRule>
  </conditionalFormatting>
  <conditionalFormatting sqref="Z3">
    <cfRule type="containsText" dxfId="18594" priority="19950" operator="containsText" text="S">
      <formula>NOT(ISERROR(SEARCH("S",Z3)))</formula>
    </cfRule>
    <cfRule type="containsText" dxfId="18593" priority="19951" operator="containsText" text="P">
      <formula>NOT(ISERROR(SEARCH("P",Z3)))</formula>
    </cfRule>
    <cfRule type="containsText" dxfId="18592" priority="19952" operator="containsText" text="H">
      <formula>NOT(ISERROR(SEARCH("H",Z3)))</formula>
    </cfRule>
    <cfRule type="containsText" dxfId="18591" priority="19954" operator="containsText" text="&quot;H&quot;">
      <formula>NOT(ISERROR(SEARCH("""H""",Z3)))</formula>
    </cfRule>
    <cfRule type="containsText" dxfId="18590" priority="19955" operator="containsText" text="&quot;A&quot;">
      <formula>NOT(ISERROR(SEARCH("""A""",Z3)))</formula>
    </cfRule>
  </conditionalFormatting>
  <conditionalFormatting sqref="Z3">
    <cfRule type="containsText" dxfId="18589" priority="19953" operator="containsText" text="A-H">
      <formula>NOT(ISERROR(SEARCH("A-H",Z3)))</formula>
    </cfRule>
  </conditionalFormatting>
  <conditionalFormatting sqref="Y3">
    <cfRule type="cellIs" dxfId="18588" priority="19944" operator="equal">
      <formula>"C-Off-H"</formula>
    </cfRule>
    <cfRule type="cellIs" dxfId="18587" priority="19945" operator="equal">
      <formula>"C-Off"</formula>
    </cfRule>
    <cfRule type="cellIs" dxfId="18586" priority="19946" operator="equal">
      <formula>"CL-H"</formula>
    </cfRule>
    <cfRule type="cellIs" dxfId="18585" priority="19947" operator="equal">
      <formula>"EL-H"</formula>
    </cfRule>
    <cfRule type="cellIs" dxfId="18584" priority="19948" operator="equal">
      <formula>"CL"</formula>
    </cfRule>
    <cfRule type="cellIs" dxfId="18583" priority="19949" operator="equal">
      <formula>"EL"</formula>
    </cfRule>
  </conditionalFormatting>
  <conditionalFormatting sqref="Y3">
    <cfRule type="containsText" dxfId="18582" priority="19938" operator="containsText" text="S">
      <formula>NOT(ISERROR(SEARCH("S",Y3)))</formula>
    </cfRule>
    <cfRule type="containsText" dxfId="18581" priority="19939" operator="containsText" text="P">
      <formula>NOT(ISERROR(SEARCH("P",Y3)))</formula>
    </cfRule>
    <cfRule type="containsText" dxfId="18580" priority="19940" operator="containsText" text="H">
      <formula>NOT(ISERROR(SEARCH("H",Y3)))</formula>
    </cfRule>
    <cfRule type="containsText" dxfId="18579" priority="19942" operator="containsText" text="&quot;H&quot;">
      <formula>NOT(ISERROR(SEARCH("""H""",Y3)))</formula>
    </cfRule>
    <cfRule type="containsText" dxfId="18578" priority="19943" operator="containsText" text="&quot;A&quot;">
      <formula>NOT(ISERROR(SEARCH("""A""",Y3)))</formula>
    </cfRule>
  </conditionalFormatting>
  <conditionalFormatting sqref="Y3">
    <cfRule type="containsText" dxfId="18577" priority="19941" operator="containsText" text="A-H">
      <formula>NOT(ISERROR(SEARCH("A-H",Y3)))</formula>
    </cfRule>
  </conditionalFormatting>
  <conditionalFormatting sqref="AF3">
    <cfRule type="cellIs" dxfId="18576" priority="19932" operator="equal">
      <formula>"C-Off-H"</formula>
    </cfRule>
    <cfRule type="cellIs" dxfId="18575" priority="19933" operator="equal">
      <formula>"C-Off"</formula>
    </cfRule>
    <cfRule type="cellIs" dxfId="18574" priority="19934" operator="equal">
      <formula>"CL-H"</formula>
    </cfRule>
    <cfRule type="cellIs" dxfId="18573" priority="19935" operator="equal">
      <formula>"EL-H"</formula>
    </cfRule>
    <cfRule type="cellIs" dxfId="18572" priority="19936" operator="equal">
      <formula>"CL"</formula>
    </cfRule>
    <cfRule type="cellIs" dxfId="18571" priority="19937" operator="equal">
      <formula>"EL"</formula>
    </cfRule>
  </conditionalFormatting>
  <conditionalFormatting sqref="AF3">
    <cfRule type="containsText" dxfId="18570" priority="19926" operator="containsText" text="S">
      <formula>NOT(ISERROR(SEARCH("S",AF3)))</formula>
    </cfRule>
    <cfRule type="containsText" dxfId="18569" priority="19927" operator="containsText" text="P">
      <formula>NOT(ISERROR(SEARCH("P",AF3)))</formula>
    </cfRule>
    <cfRule type="containsText" dxfId="18568" priority="19928" operator="containsText" text="H">
      <formula>NOT(ISERROR(SEARCH("H",AF3)))</formula>
    </cfRule>
    <cfRule type="containsText" dxfId="18567" priority="19930" operator="containsText" text="&quot;H&quot;">
      <formula>NOT(ISERROR(SEARCH("""H""",AF3)))</formula>
    </cfRule>
    <cfRule type="containsText" dxfId="18566" priority="19931" operator="containsText" text="&quot;A&quot;">
      <formula>NOT(ISERROR(SEARCH("""A""",AF3)))</formula>
    </cfRule>
  </conditionalFormatting>
  <conditionalFormatting sqref="AF3">
    <cfRule type="containsText" dxfId="18565" priority="19929" operator="containsText" text="A-H">
      <formula>NOT(ISERROR(SEARCH("A-H",AF3)))</formula>
    </cfRule>
  </conditionalFormatting>
  <conditionalFormatting sqref="BO3:BP3">
    <cfRule type="cellIs" dxfId="18564" priority="19920" operator="equal">
      <formula>"C-Off-H"</formula>
    </cfRule>
    <cfRule type="cellIs" dxfId="18563" priority="19921" operator="equal">
      <formula>"C-Off"</formula>
    </cfRule>
    <cfRule type="cellIs" dxfId="18562" priority="19922" operator="equal">
      <formula>"CL-H"</formula>
    </cfRule>
    <cfRule type="cellIs" dxfId="18561" priority="19923" operator="equal">
      <formula>"EL-H"</formula>
    </cfRule>
    <cfRule type="cellIs" dxfId="18560" priority="19924" operator="equal">
      <formula>"CL"</formula>
    </cfRule>
    <cfRule type="cellIs" dxfId="18559" priority="19925" operator="equal">
      <formula>"EL"</formula>
    </cfRule>
  </conditionalFormatting>
  <conditionalFormatting sqref="BO3:BP3">
    <cfRule type="cellIs" dxfId="18558" priority="19914" operator="equal">
      <formula>"C-Off-H"</formula>
    </cfRule>
    <cfRule type="cellIs" dxfId="18557" priority="19915" operator="equal">
      <formula>"C-Off"</formula>
    </cfRule>
    <cfRule type="cellIs" dxfId="18556" priority="19916" operator="equal">
      <formula>"CL-H"</formula>
    </cfRule>
    <cfRule type="cellIs" dxfId="18555" priority="19917" operator="equal">
      <formula>"EL-H"</formula>
    </cfRule>
    <cfRule type="cellIs" dxfId="18554" priority="19918" operator="equal">
      <formula>"CL"</formula>
    </cfRule>
    <cfRule type="cellIs" dxfId="18553" priority="19919" operator="equal">
      <formula>"EL"</formula>
    </cfRule>
  </conditionalFormatting>
  <conditionalFormatting sqref="BO3:BP3">
    <cfRule type="containsText" dxfId="18552" priority="19908" operator="containsText" text="S">
      <formula>NOT(ISERROR(SEARCH("S",BO3)))</formula>
    </cfRule>
    <cfRule type="containsText" dxfId="18551" priority="19909" operator="containsText" text="P">
      <formula>NOT(ISERROR(SEARCH("P",BO3)))</formula>
    </cfRule>
    <cfRule type="containsText" dxfId="18550" priority="19910" operator="containsText" text="H">
      <formula>NOT(ISERROR(SEARCH("H",BO3)))</formula>
    </cfRule>
    <cfRule type="containsText" dxfId="18549" priority="19912" operator="containsText" text="&quot;H&quot;">
      <formula>NOT(ISERROR(SEARCH("""H""",BO3)))</formula>
    </cfRule>
    <cfRule type="containsText" dxfId="18548" priority="19913" operator="containsText" text="&quot;A&quot;">
      <formula>NOT(ISERROR(SEARCH("""A""",BO3)))</formula>
    </cfRule>
  </conditionalFormatting>
  <conditionalFormatting sqref="BO3:BP3">
    <cfRule type="containsText" dxfId="18547" priority="19911" operator="containsText" text="A-H">
      <formula>NOT(ISERROR(SEARCH("A-H",BO3)))</formula>
    </cfRule>
  </conditionalFormatting>
  <conditionalFormatting sqref="CM3">
    <cfRule type="cellIs" dxfId="18546" priority="19902" operator="equal">
      <formula>"C-Off-H"</formula>
    </cfRule>
    <cfRule type="cellIs" dxfId="18545" priority="19903" operator="equal">
      <formula>"C-Off"</formula>
    </cfRule>
    <cfRule type="cellIs" dxfId="18544" priority="19904" operator="equal">
      <formula>"CL-H"</formula>
    </cfRule>
    <cfRule type="cellIs" dxfId="18543" priority="19905" operator="equal">
      <formula>"EL-H"</formula>
    </cfRule>
    <cfRule type="cellIs" dxfId="18542" priority="19906" operator="equal">
      <formula>"CL"</formula>
    </cfRule>
    <cfRule type="cellIs" dxfId="18541" priority="19907" operator="equal">
      <formula>"EL"</formula>
    </cfRule>
  </conditionalFormatting>
  <conditionalFormatting sqref="CM3">
    <cfRule type="cellIs" dxfId="18540" priority="19896" operator="equal">
      <formula>"C-Off-H"</formula>
    </cfRule>
    <cfRule type="cellIs" dxfId="18539" priority="19897" operator="equal">
      <formula>"C-Off"</formula>
    </cfRule>
    <cfRule type="cellIs" dxfId="18538" priority="19898" operator="equal">
      <formula>"CL-H"</formula>
    </cfRule>
    <cfRule type="cellIs" dxfId="18537" priority="19899" operator="equal">
      <formula>"EL-H"</formula>
    </cfRule>
    <cfRule type="cellIs" dxfId="18536" priority="19900" operator="equal">
      <formula>"CL"</formula>
    </cfRule>
    <cfRule type="cellIs" dxfId="18535" priority="19901" operator="equal">
      <formula>"EL"</formula>
    </cfRule>
  </conditionalFormatting>
  <conditionalFormatting sqref="CM3">
    <cfRule type="containsText" dxfId="18534" priority="19890" operator="containsText" text="S">
      <formula>NOT(ISERROR(SEARCH("S",CM3)))</formula>
    </cfRule>
    <cfRule type="containsText" dxfId="18533" priority="19891" operator="containsText" text="P">
      <formula>NOT(ISERROR(SEARCH("P",CM3)))</formula>
    </cfRule>
    <cfRule type="containsText" dxfId="18532" priority="19892" operator="containsText" text="H">
      <formula>NOT(ISERROR(SEARCH("H",CM3)))</formula>
    </cfRule>
    <cfRule type="containsText" dxfId="18531" priority="19894" operator="containsText" text="&quot;H&quot;">
      <formula>NOT(ISERROR(SEARCH("""H""",CM3)))</formula>
    </cfRule>
    <cfRule type="containsText" dxfId="18530" priority="19895" operator="containsText" text="&quot;A&quot;">
      <formula>NOT(ISERROR(SEARCH("""A""",CM3)))</formula>
    </cfRule>
  </conditionalFormatting>
  <conditionalFormatting sqref="CM3">
    <cfRule type="containsText" dxfId="18529" priority="19893" operator="containsText" text="A-H">
      <formula>NOT(ISERROR(SEARCH("A-H",CM3)))</formula>
    </cfRule>
  </conditionalFormatting>
  <conditionalFormatting sqref="V3:W3">
    <cfRule type="cellIs" dxfId="18528" priority="19860" operator="equal">
      <formula>"C-Off-H"</formula>
    </cfRule>
    <cfRule type="cellIs" dxfId="18527" priority="19861" operator="equal">
      <formula>"C-Off"</formula>
    </cfRule>
    <cfRule type="cellIs" dxfId="18526" priority="19862" operator="equal">
      <formula>"CL-H"</formula>
    </cfRule>
    <cfRule type="cellIs" dxfId="18525" priority="19863" operator="equal">
      <formula>"EL-H"</formula>
    </cfRule>
    <cfRule type="cellIs" dxfId="18524" priority="19864" operator="equal">
      <formula>"CL"</formula>
    </cfRule>
    <cfRule type="cellIs" dxfId="18523" priority="19865" operator="equal">
      <formula>"EL"</formula>
    </cfRule>
  </conditionalFormatting>
  <conditionalFormatting sqref="V3:W3">
    <cfRule type="containsText" dxfId="18522" priority="19854" operator="containsText" text="S">
      <formula>NOT(ISERROR(SEARCH("S",V3)))</formula>
    </cfRule>
    <cfRule type="containsText" dxfId="18521" priority="19855" operator="containsText" text="P">
      <formula>NOT(ISERROR(SEARCH("P",V3)))</formula>
    </cfRule>
    <cfRule type="containsText" dxfId="18520" priority="19856" operator="containsText" text="H">
      <formula>NOT(ISERROR(SEARCH("H",V3)))</formula>
    </cfRule>
    <cfRule type="containsText" dxfId="18519" priority="19858" operator="containsText" text="&quot;H&quot;">
      <formula>NOT(ISERROR(SEARCH("""H""",V3)))</formula>
    </cfRule>
    <cfRule type="containsText" dxfId="18518" priority="19859" operator="containsText" text="&quot;A&quot;">
      <formula>NOT(ISERROR(SEARCH("""A""",V3)))</formula>
    </cfRule>
  </conditionalFormatting>
  <conditionalFormatting sqref="V3:W3">
    <cfRule type="containsText" dxfId="18517" priority="19857" operator="containsText" text="A-H">
      <formula>NOT(ISERROR(SEARCH("A-H",V3)))</formula>
    </cfRule>
  </conditionalFormatting>
  <conditionalFormatting sqref="P3:Q3">
    <cfRule type="cellIs" dxfId="18516" priority="19884" operator="equal">
      <formula>"C-Off-H"</formula>
    </cfRule>
    <cfRule type="cellIs" dxfId="18515" priority="19885" operator="equal">
      <formula>"C-Off"</formula>
    </cfRule>
    <cfRule type="cellIs" dxfId="18514" priority="19886" operator="equal">
      <formula>"CL-H"</formula>
    </cfRule>
    <cfRule type="cellIs" dxfId="18513" priority="19887" operator="equal">
      <formula>"EL-H"</formula>
    </cfRule>
    <cfRule type="cellIs" dxfId="18512" priority="19888" operator="equal">
      <formula>"CL"</formula>
    </cfRule>
    <cfRule type="cellIs" dxfId="18511" priority="19889" operator="equal">
      <formula>"EL"</formula>
    </cfRule>
  </conditionalFormatting>
  <conditionalFormatting sqref="P3:Q3">
    <cfRule type="containsText" dxfId="18510" priority="19878" operator="containsText" text="S">
      <formula>NOT(ISERROR(SEARCH("S",P3)))</formula>
    </cfRule>
    <cfRule type="containsText" dxfId="18509" priority="19879" operator="containsText" text="P">
      <formula>NOT(ISERROR(SEARCH("P",P3)))</formula>
    </cfRule>
    <cfRule type="containsText" dxfId="18508" priority="19880" operator="containsText" text="H">
      <formula>NOT(ISERROR(SEARCH("H",P3)))</formula>
    </cfRule>
    <cfRule type="containsText" dxfId="18507" priority="19882" operator="containsText" text="&quot;H&quot;">
      <formula>NOT(ISERROR(SEARCH("""H""",P3)))</formula>
    </cfRule>
    <cfRule type="containsText" dxfId="18506" priority="19883" operator="containsText" text="&quot;A&quot;">
      <formula>NOT(ISERROR(SEARCH("""A""",P3)))</formula>
    </cfRule>
  </conditionalFormatting>
  <conditionalFormatting sqref="P3:Q3">
    <cfRule type="containsText" dxfId="18505" priority="19881" operator="containsText" text="A-H">
      <formula>NOT(ISERROR(SEARCH("A-H",P3)))</formula>
    </cfRule>
  </conditionalFormatting>
  <conditionalFormatting sqref="S3:T3">
    <cfRule type="cellIs" dxfId="18504" priority="19872" operator="equal">
      <formula>"C-Off-H"</formula>
    </cfRule>
    <cfRule type="cellIs" dxfId="18503" priority="19873" operator="equal">
      <formula>"C-Off"</formula>
    </cfRule>
    <cfRule type="cellIs" dxfId="18502" priority="19874" operator="equal">
      <formula>"CL-H"</formula>
    </cfRule>
    <cfRule type="cellIs" dxfId="18501" priority="19875" operator="equal">
      <formula>"EL-H"</formula>
    </cfRule>
    <cfRule type="cellIs" dxfId="18500" priority="19876" operator="equal">
      <formula>"CL"</formula>
    </cfRule>
    <cfRule type="cellIs" dxfId="18499" priority="19877" operator="equal">
      <formula>"EL"</formula>
    </cfRule>
  </conditionalFormatting>
  <conditionalFormatting sqref="S3:T3">
    <cfRule type="containsText" dxfId="18498" priority="19866" operator="containsText" text="S">
      <formula>NOT(ISERROR(SEARCH("S",S3)))</formula>
    </cfRule>
    <cfRule type="containsText" dxfId="18497" priority="19867" operator="containsText" text="P">
      <formula>NOT(ISERROR(SEARCH("P",S3)))</formula>
    </cfRule>
    <cfRule type="containsText" dxfId="18496" priority="19868" operator="containsText" text="H">
      <formula>NOT(ISERROR(SEARCH("H",S3)))</formula>
    </cfRule>
    <cfRule type="containsText" dxfId="18495" priority="19870" operator="containsText" text="&quot;H&quot;">
      <formula>NOT(ISERROR(SEARCH("""H""",S3)))</formula>
    </cfRule>
    <cfRule type="containsText" dxfId="18494" priority="19871" operator="containsText" text="&quot;A&quot;">
      <formula>NOT(ISERROR(SEARCH("""A""",S3)))</formula>
    </cfRule>
  </conditionalFormatting>
  <conditionalFormatting sqref="S3:T3">
    <cfRule type="containsText" dxfId="18493" priority="19869" operator="containsText" text="A-H">
      <formula>NOT(ISERROR(SEARCH("A-H",S3)))</formula>
    </cfRule>
  </conditionalFormatting>
  <conditionalFormatting sqref="AB3:AC3">
    <cfRule type="cellIs" dxfId="18492" priority="19848" operator="equal">
      <formula>"C-Off-H"</formula>
    </cfRule>
    <cfRule type="cellIs" dxfId="18491" priority="19849" operator="equal">
      <formula>"C-Off"</formula>
    </cfRule>
    <cfRule type="cellIs" dxfId="18490" priority="19850" operator="equal">
      <formula>"CL-H"</formula>
    </cfRule>
    <cfRule type="cellIs" dxfId="18489" priority="19851" operator="equal">
      <formula>"EL-H"</formula>
    </cfRule>
    <cfRule type="cellIs" dxfId="18488" priority="19852" operator="equal">
      <formula>"CL"</formula>
    </cfRule>
    <cfRule type="cellIs" dxfId="18487" priority="19853" operator="equal">
      <formula>"EL"</formula>
    </cfRule>
  </conditionalFormatting>
  <conditionalFormatting sqref="AB3:AC3">
    <cfRule type="containsText" dxfId="18486" priority="19842" operator="containsText" text="S">
      <formula>NOT(ISERROR(SEARCH("S",AB3)))</formula>
    </cfRule>
    <cfRule type="containsText" dxfId="18485" priority="19843" operator="containsText" text="P">
      <formula>NOT(ISERROR(SEARCH("P",AB3)))</formula>
    </cfRule>
    <cfRule type="containsText" dxfId="18484" priority="19844" operator="containsText" text="H">
      <formula>NOT(ISERROR(SEARCH("H",AB3)))</formula>
    </cfRule>
    <cfRule type="containsText" dxfId="18483" priority="19846" operator="containsText" text="&quot;H&quot;">
      <formula>NOT(ISERROR(SEARCH("""H""",AB3)))</formula>
    </cfRule>
    <cfRule type="containsText" dxfId="18482" priority="19847" operator="containsText" text="&quot;A&quot;">
      <formula>NOT(ISERROR(SEARCH("""A""",AB3)))</formula>
    </cfRule>
  </conditionalFormatting>
  <conditionalFormatting sqref="AB3:AC3">
    <cfRule type="containsText" dxfId="18481" priority="19845" operator="containsText" text="A-H">
      <formula>NOT(ISERROR(SEARCH("A-H",AB3)))</formula>
    </cfRule>
  </conditionalFormatting>
  <conditionalFormatting sqref="AE3">
    <cfRule type="cellIs" dxfId="18480" priority="19836" operator="equal">
      <formula>"C-Off-H"</formula>
    </cfRule>
    <cfRule type="cellIs" dxfId="18479" priority="19837" operator="equal">
      <formula>"C-Off"</formula>
    </cfRule>
    <cfRule type="cellIs" dxfId="18478" priority="19838" operator="equal">
      <formula>"CL-H"</formula>
    </cfRule>
    <cfRule type="cellIs" dxfId="18477" priority="19839" operator="equal">
      <formula>"EL-H"</formula>
    </cfRule>
    <cfRule type="cellIs" dxfId="18476" priority="19840" operator="equal">
      <formula>"CL"</formula>
    </cfRule>
    <cfRule type="cellIs" dxfId="18475" priority="19841" operator="equal">
      <formula>"EL"</formula>
    </cfRule>
  </conditionalFormatting>
  <conditionalFormatting sqref="AE3">
    <cfRule type="containsText" dxfId="18474" priority="19830" operator="containsText" text="S">
      <formula>NOT(ISERROR(SEARCH("S",AE3)))</formula>
    </cfRule>
    <cfRule type="containsText" dxfId="18473" priority="19831" operator="containsText" text="P">
      <formula>NOT(ISERROR(SEARCH("P",AE3)))</formula>
    </cfRule>
    <cfRule type="containsText" dxfId="18472" priority="19832" operator="containsText" text="H">
      <formula>NOT(ISERROR(SEARCH("H",AE3)))</formula>
    </cfRule>
    <cfRule type="containsText" dxfId="18471" priority="19834" operator="containsText" text="&quot;H&quot;">
      <formula>NOT(ISERROR(SEARCH("""H""",AE3)))</formula>
    </cfRule>
    <cfRule type="containsText" dxfId="18470" priority="19835" operator="containsText" text="&quot;A&quot;">
      <formula>NOT(ISERROR(SEARCH("""A""",AE3)))</formula>
    </cfRule>
  </conditionalFormatting>
  <conditionalFormatting sqref="AE3">
    <cfRule type="containsText" dxfId="18469" priority="19833" operator="containsText" text="A-H">
      <formula>NOT(ISERROR(SEARCH("A-H",AE3)))</formula>
    </cfRule>
  </conditionalFormatting>
  <conditionalFormatting sqref="AK3:AL3">
    <cfRule type="cellIs" dxfId="18468" priority="19824" operator="equal">
      <formula>"C-Off-H"</formula>
    </cfRule>
    <cfRule type="cellIs" dxfId="18467" priority="19825" operator="equal">
      <formula>"C-Off"</formula>
    </cfRule>
    <cfRule type="cellIs" dxfId="18466" priority="19826" operator="equal">
      <formula>"CL-H"</formula>
    </cfRule>
    <cfRule type="cellIs" dxfId="18465" priority="19827" operator="equal">
      <formula>"EL-H"</formula>
    </cfRule>
    <cfRule type="cellIs" dxfId="18464" priority="19828" operator="equal">
      <formula>"CL"</formula>
    </cfRule>
    <cfRule type="cellIs" dxfId="18463" priority="19829" operator="equal">
      <formula>"EL"</formula>
    </cfRule>
  </conditionalFormatting>
  <conditionalFormatting sqref="AK3:AL3">
    <cfRule type="containsText" dxfId="18462" priority="19818" operator="containsText" text="S">
      <formula>NOT(ISERROR(SEARCH("S",AK3)))</formula>
    </cfRule>
    <cfRule type="containsText" dxfId="18461" priority="19819" operator="containsText" text="P">
      <formula>NOT(ISERROR(SEARCH("P",AK3)))</formula>
    </cfRule>
    <cfRule type="containsText" dxfId="18460" priority="19820" operator="containsText" text="H">
      <formula>NOT(ISERROR(SEARCH("H",AK3)))</formula>
    </cfRule>
    <cfRule type="containsText" dxfId="18459" priority="19822" operator="containsText" text="&quot;H&quot;">
      <formula>NOT(ISERROR(SEARCH("""H""",AK3)))</formula>
    </cfRule>
    <cfRule type="containsText" dxfId="18458" priority="19823" operator="containsText" text="&quot;A&quot;">
      <formula>NOT(ISERROR(SEARCH("""A""",AK3)))</formula>
    </cfRule>
  </conditionalFormatting>
  <conditionalFormatting sqref="AK3:AL3">
    <cfRule type="containsText" dxfId="18457" priority="19821" operator="containsText" text="A-H">
      <formula>NOT(ISERROR(SEARCH("A-H",AK3)))</formula>
    </cfRule>
  </conditionalFormatting>
  <conditionalFormatting sqref="AN3:AO3">
    <cfRule type="cellIs" dxfId="18456" priority="19812" operator="equal">
      <formula>"C-Off-H"</formula>
    </cfRule>
    <cfRule type="cellIs" dxfId="18455" priority="19813" operator="equal">
      <formula>"C-Off"</formula>
    </cfRule>
    <cfRule type="cellIs" dxfId="18454" priority="19814" operator="equal">
      <formula>"CL-H"</formula>
    </cfRule>
    <cfRule type="cellIs" dxfId="18453" priority="19815" operator="equal">
      <formula>"EL-H"</formula>
    </cfRule>
    <cfRule type="cellIs" dxfId="18452" priority="19816" operator="equal">
      <formula>"CL"</formula>
    </cfRule>
    <cfRule type="cellIs" dxfId="18451" priority="19817" operator="equal">
      <formula>"EL"</formula>
    </cfRule>
  </conditionalFormatting>
  <conditionalFormatting sqref="AN3:AO3">
    <cfRule type="containsText" dxfId="18450" priority="19806" operator="containsText" text="S">
      <formula>NOT(ISERROR(SEARCH("S",AN3)))</formula>
    </cfRule>
    <cfRule type="containsText" dxfId="18449" priority="19807" operator="containsText" text="P">
      <formula>NOT(ISERROR(SEARCH("P",AN3)))</formula>
    </cfRule>
    <cfRule type="containsText" dxfId="18448" priority="19808" operator="containsText" text="H">
      <formula>NOT(ISERROR(SEARCH("H",AN3)))</formula>
    </cfRule>
    <cfRule type="containsText" dxfId="18447" priority="19810" operator="containsText" text="&quot;H&quot;">
      <formula>NOT(ISERROR(SEARCH("""H""",AN3)))</formula>
    </cfRule>
    <cfRule type="containsText" dxfId="18446" priority="19811" operator="containsText" text="&quot;A&quot;">
      <formula>NOT(ISERROR(SEARCH("""A""",AN3)))</formula>
    </cfRule>
  </conditionalFormatting>
  <conditionalFormatting sqref="AN3:AO3">
    <cfRule type="containsText" dxfId="18445" priority="19809" operator="containsText" text="A-H">
      <formula>NOT(ISERROR(SEARCH("A-H",AN3)))</formula>
    </cfRule>
  </conditionalFormatting>
  <conditionalFormatting sqref="AQ3:AR3">
    <cfRule type="cellIs" dxfId="18444" priority="19800" operator="equal">
      <formula>"C-Off-H"</formula>
    </cfRule>
    <cfRule type="cellIs" dxfId="18443" priority="19801" operator="equal">
      <formula>"C-Off"</formula>
    </cfRule>
    <cfRule type="cellIs" dxfId="18442" priority="19802" operator="equal">
      <formula>"CL-H"</formula>
    </cfRule>
    <cfRule type="cellIs" dxfId="18441" priority="19803" operator="equal">
      <formula>"EL-H"</formula>
    </cfRule>
    <cfRule type="cellIs" dxfId="18440" priority="19804" operator="equal">
      <formula>"CL"</formula>
    </cfRule>
    <cfRule type="cellIs" dxfId="18439" priority="19805" operator="equal">
      <formula>"EL"</formula>
    </cfRule>
  </conditionalFormatting>
  <conditionalFormatting sqref="AQ3:AR3">
    <cfRule type="containsText" dxfId="18438" priority="19794" operator="containsText" text="S">
      <formula>NOT(ISERROR(SEARCH("S",AQ3)))</formula>
    </cfRule>
    <cfRule type="containsText" dxfId="18437" priority="19795" operator="containsText" text="P">
      <formula>NOT(ISERROR(SEARCH("P",AQ3)))</formula>
    </cfRule>
    <cfRule type="containsText" dxfId="18436" priority="19796" operator="containsText" text="H">
      <formula>NOT(ISERROR(SEARCH("H",AQ3)))</formula>
    </cfRule>
    <cfRule type="containsText" dxfId="18435" priority="19798" operator="containsText" text="&quot;H&quot;">
      <formula>NOT(ISERROR(SEARCH("""H""",AQ3)))</formula>
    </cfRule>
    <cfRule type="containsText" dxfId="18434" priority="19799" operator="containsText" text="&quot;A&quot;">
      <formula>NOT(ISERROR(SEARCH("""A""",AQ3)))</formula>
    </cfRule>
  </conditionalFormatting>
  <conditionalFormatting sqref="AQ3:AR3">
    <cfRule type="containsText" dxfId="18433" priority="19797" operator="containsText" text="A-H">
      <formula>NOT(ISERROR(SEARCH("A-H",AQ3)))</formula>
    </cfRule>
  </conditionalFormatting>
  <conditionalFormatting sqref="AW3:AX3">
    <cfRule type="cellIs" dxfId="18432" priority="19788" operator="equal">
      <formula>"C-Off-H"</formula>
    </cfRule>
    <cfRule type="cellIs" dxfId="18431" priority="19789" operator="equal">
      <formula>"C-Off"</formula>
    </cfRule>
    <cfRule type="cellIs" dxfId="18430" priority="19790" operator="equal">
      <formula>"CL-H"</formula>
    </cfRule>
    <cfRule type="cellIs" dxfId="18429" priority="19791" operator="equal">
      <formula>"EL-H"</formula>
    </cfRule>
    <cfRule type="cellIs" dxfId="18428" priority="19792" operator="equal">
      <formula>"CL"</formula>
    </cfRule>
    <cfRule type="cellIs" dxfId="18427" priority="19793" operator="equal">
      <formula>"EL"</formula>
    </cfRule>
  </conditionalFormatting>
  <conditionalFormatting sqref="AW3:AX3">
    <cfRule type="containsText" dxfId="18426" priority="19782" operator="containsText" text="S">
      <formula>NOT(ISERROR(SEARCH("S",AW3)))</formula>
    </cfRule>
    <cfRule type="containsText" dxfId="18425" priority="19783" operator="containsText" text="P">
      <formula>NOT(ISERROR(SEARCH("P",AW3)))</formula>
    </cfRule>
    <cfRule type="containsText" dxfId="18424" priority="19784" operator="containsText" text="H">
      <formula>NOT(ISERROR(SEARCH("H",AW3)))</formula>
    </cfRule>
    <cfRule type="containsText" dxfId="18423" priority="19786" operator="containsText" text="&quot;H&quot;">
      <formula>NOT(ISERROR(SEARCH("""H""",AW3)))</formula>
    </cfRule>
    <cfRule type="containsText" dxfId="18422" priority="19787" operator="containsText" text="&quot;A&quot;">
      <formula>NOT(ISERROR(SEARCH("""A""",AW3)))</formula>
    </cfRule>
  </conditionalFormatting>
  <conditionalFormatting sqref="AW3:AX3">
    <cfRule type="containsText" dxfId="18421" priority="19785" operator="containsText" text="A-H">
      <formula>NOT(ISERROR(SEARCH("A-H",AW3)))</formula>
    </cfRule>
  </conditionalFormatting>
  <conditionalFormatting sqref="AZ3:BA3">
    <cfRule type="cellIs" dxfId="18420" priority="19776" operator="equal">
      <formula>"C-Off-H"</formula>
    </cfRule>
    <cfRule type="cellIs" dxfId="18419" priority="19777" operator="equal">
      <formula>"C-Off"</formula>
    </cfRule>
    <cfRule type="cellIs" dxfId="18418" priority="19778" operator="equal">
      <formula>"CL-H"</formula>
    </cfRule>
    <cfRule type="cellIs" dxfId="18417" priority="19779" operator="equal">
      <formula>"EL-H"</formula>
    </cfRule>
    <cfRule type="cellIs" dxfId="18416" priority="19780" operator="equal">
      <formula>"CL"</formula>
    </cfRule>
    <cfRule type="cellIs" dxfId="18415" priority="19781" operator="equal">
      <formula>"EL"</formula>
    </cfRule>
  </conditionalFormatting>
  <conditionalFormatting sqref="AZ3:BA3">
    <cfRule type="containsText" dxfId="18414" priority="19770" operator="containsText" text="S">
      <formula>NOT(ISERROR(SEARCH("S",AZ3)))</formula>
    </cfRule>
    <cfRule type="containsText" dxfId="18413" priority="19771" operator="containsText" text="P">
      <formula>NOT(ISERROR(SEARCH("P",AZ3)))</formula>
    </cfRule>
    <cfRule type="containsText" dxfId="18412" priority="19772" operator="containsText" text="H">
      <formula>NOT(ISERROR(SEARCH("H",AZ3)))</formula>
    </cfRule>
    <cfRule type="containsText" dxfId="18411" priority="19774" operator="containsText" text="&quot;H&quot;">
      <formula>NOT(ISERROR(SEARCH("""H""",AZ3)))</formula>
    </cfRule>
    <cfRule type="containsText" dxfId="18410" priority="19775" operator="containsText" text="&quot;A&quot;">
      <formula>NOT(ISERROR(SEARCH("""A""",AZ3)))</formula>
    </cfRule>
  </conditionalFormatting>
  <conditionalFormatting sqref="AZ3:BA3">
    <cfRule type="containsText" dxfId="18409" priority="19773" operator="containsText" text="A-H">
      <formula>NOT(ISERROR(SEARCH("A-H",AZ3)))</formula>
    </cfRule>
  </conditionalFormatting>
  <conditionalFormatting sqref="BC3:BD3">
    <cfRule type="cellIs" dxfId="18408" priority="19764" operator="equal">
      <formula>"C-Off-H"</formula>
    </cfRule>
    <cfRule type="cellIs" dxfId="18407" priority="19765" operator="equal">
      <formula>"C-Off"</formula>
    </cfRule>
    <cfRule type="cellIs" dxfId="18406" priority="19766" operator="equal">
      <formula>"CL-H"</formula>
    </cfRule>
    <cfRule type="cellIs" dxfId="18405" priority="19767" operator="equal">
      <formula>"EL-H"</formula>
    </cfRule>
    <cfRule type="cellIs" dxfId="18404" priority="19768" operator="equal">
      <formula>"CL"</formula>
    </cfRule>
    <cfRule type="cellIs" dxfId="18403" priority="19769" operator="equal">
      <formula>"EL"</formula>
    </cfRule>
  </conditionalFormatting>
  <conditionalFormatting sqref="BC3:BD3">
    <cfRule type="containsText" dxfId="18402" priority="19758" operator="containsText" text="S">
      <formula>NOT(ISERROR(SEARCH("S",BC3)))</formula>
    </cfRule>
    <cfRule type="containsText" dxfId="18401" priority="19759" operator="containsText" text="P">
      <formula>NOT(ISERROR(SEARCH("P",BC3)))</formula>
    </cfRule>
    <cfRule type="containsText" dxfId="18400" priority="19760" operator="containsText" text="H">
      <formula>NOT(ISERROR(SEARCH("H",BC3)))</formula>
    </cfRule>
    <cfRule type="containsText" dxfId="18399" priority="19762" operator="containsText" text="&quot;H&quot;">
      <formula>NOT(ISERROR(SEARCH("""H""",BC3)))</formula>
    </cfRule>
    <cfRule type="containsText" dxfId="18398" priority="19763" operator="containsText" text="&quot;A&quot;">
      <formula>NOT(ISERROR(SEARCH("""A""",BC3)))</formula>
    </cfRule>
  </conditionalFormatting>
  <conditionalFormatting sqref="BC3:BD3">
    <cfRule type="containsText" dxfId="18397" priority="19761" operator="containsText" text="A-H">
      <formula>NOT(ISERROR(SEARCH("A-H",BC3)))</formula>
    </cfRule>
  </conditionalFormatting>
  <conditionalFormatting sqref="BF3:BG3">
    <cfRule type="cellIs" dxfId="18396" priority="19752" operator="equal">
      <formula>"C-Off-H"</formula>
    </cfRule>
    <cfRule type="cellIs" dxfId="18395" priority="19753" operator="equal">
      <formula>"C-Off"</formula>
    </cfRule>
    <cfRule type="cellIs" dxfId="18394" priority="19754" operator="equal">
      <formula>"CL-H"</formula>
    </cfRule>
    <cfRule type="cellIs" dxfId="18393" priority="19755" operator="equal">
      <formula>"EL-H"</formula>
    </cfRule>
    <cfRule type="cellIs" dxfId="18392" priority="19756" operator="equal">
      <formula>"CL"</formula>
    </cfRule>
    <cfRule type="cellIs" dxfId="18391" priority="19757" operator="equal">
      <formula>"EL"</formula>
    </cfRule>
  </conditionalFormatting>
  <conditionalFormatting sqref="BF3:BG3">
    <cfRule type="containsText" dxfId="18390" priority="19746" operator="containsText" text="S">
      <formula>NOT(ISERROR(SEARCH("S",BF3)))</formula>
    </cfRule>
    <cfRule type="containsText" dxfId="18389" priority="19747" operator="containsText" text="P">
      <formula>NOT(ISERROR(SEARCH("P",BF3)))</formula>
    </cfRule>
    <cfRule type="containsText" dxfId="18388" priority="19748" operator="containsText" text="H">
      <formula>NOT(ISERROR(SEARCH("H",BF3)))</formula>
    </cfRule>
    <cfRule type="containsText" dxfId="18387" priority="19750" operator="containsText" text="&quot;H&quot;">
      <formula>NOT(ISERROR(SEARCH("""H""",BF3)))</formula>
    </cfRule>
    <cfRule type="containsText" dxfId="18386" priority="19751" operator="containsText" text="&quot;A&quot;">
      <formula>NOT(ISERROR(SEARCH("""A""",BF3)))</formula>
    </cfRule>
  </conditionalFormatting>
  <conditionalFormatting sqref="BF3:BG3">
    <cfRule type="containsText" dxfId="18385" priority="19749" operator="containsText" text="A-H">
      <formula>NOT(ISERROR(SEARCH("A-H",BF3)))</formula>
    </cfRule>
  </conditionalFormatting>
  <conditionalFormatting sqref="BI3:BJ3">
    <cfRule type="cellIs" dxfId="18384" priority="19740" operator="equal">
      <formula>"C-Off-H"</formula>
    </cfRule>
    <cfRule type="cellIs" dxfId="18383" priority="19741" operator="equal">
      <formula>"C-Off"</formula>
    </cfRule>
    <cfRule type="cellIs" dxfId="18382" priority="19742" operator="equal">
      <formula>"CL-H"</formula>
    </cfRule>
    <cfRule type="cellIs" dxfId="18381" priority="19743" operator="equal">
      <formula>"EL-H"</formula>
    </cfRule>
    <cfRule type="cellIs" dxfId="18380" priority="19744" operator="equal">
      <formula>"CL"</formula>
    </cfRule>
    <cfRule type="cellIs" dxfId="18379" priority="19745" operator="equal">
      <formula>"EL"</formula>
    </cfRule>
  </conditionalFormatting>
  <conditionalFormatting sqref="BI3:BJ3">
    <cfRule type="containsText" dxfId="18378" priority="19734" operator="containsText" text="S">
      <formula>NOT(ISERROR(SEARCH("S",BI3)))</formula>
    </cfRule>
    <cfRule type="containsText" dxfId="18377" priority="19735" operator="containsText" text="P">
      <formula>NOT(ISERROR(SEARCH("P",BI3)))</formula>
    </cfRule>
    <cfRule type="containsText" dxfId="18376" priority="19736" operator="containsText" text="H">
      <formula>NOT(ISERROR(SEARCH("H",BI3)))</formula>
    </cfRule>
    <cfRule type="containsText" dxfId="18375" priority="19738" operator="containsText" text="&quot;H&quot;">
      <formula>NOT(ISERROR(SEARCH("""H""",BI3)))</formula>
    </cfRule>
    <cfRule type="containsText" dxfId="18374" priority="19739" operator="containsText" text="&quot;A&quot;">
      <formula>NOT(ISERROR(SEARCH("""A""",BI3)))</formula>
    </cfRule>
  </conditionalFormatting>
  <conditionalFormatting sqref="BI3:BJ3">
    <cfRule type="containsText" dxfId="18373" priority="19737" operator="containsText" text="A-H">
      <formula>NOT(ISERROR(SEARCH("A-H",BI3)))</formula>
    </cfRule>
  </conditionalFormatting>
  <conditionalFormatting sqref="BL3:BM3">
    <cfRule type="cellIs" dxfId="18372" priority="19728" operator="equal">
      <formula>"C-Off-H"</formula>
    </cfRule>
    <cfRule type="cellIs" dxfId="18371" priority="19729" operator="equal">
      <formula>"C-Off"</formula>
    </cfRule>
    <cfRule type="cellIs" dxfId="18370" priority="19730" operator="equal">
      <formula>"CL-H"</formula>
    </cfRule>
    <cfRule type="cellIs" dxfId="18369" priority="19731" operator="equal">
      <formula>"EL-H"</formula>
    </cfRule>
    <cfRule type="cellIs" dxfId="18368" priority="19732" operator="equal">
      <formula>"CL"</formula>
    </cfRule>
    <cfRule type="cellIs" dxfId="18367" priority="19733" operator="equal">
      <formula>"EL"</formula>
    </cfRule>
  </conditionalFormatting>
  <conditionalFormatting sqref="BL3:BM3">
    <cfRule type="containsText" dxfId="18366" priority="19722" operator="containsText" text="S">
      <formula>NOT(ISERROR(SEARCH("S",BL3)))</formula>
    </cfRule>
    <cfRule type="containsText" dxfId="18365" priority="19723" operator="containsText" text="P">
      <formula>NOT(ISERROR(SEARCH("P",BL3)))</formula>
    </cfRule>
    <cfRule type="containsText" dxfId="18364" priority="19724" operator="containsText" text="H">
      <formula>NOT(ISERROR(SEARCH("H",BL3)))</formula>
    </cfRule>
    <cfRule type="containsText" dxfId="18363" priority="19726" operator="containsText" text="&quot;H&quot;">
      <formula>NOT(ISERROR(SEARCH("""H""",BL3)))</formula>
    </cfRule>
    <cfRule type="containsText" dxfId="18362" priority="19727" operator="containsText" text="&quot;A&quot;">
      <formula>NOT(ISERROR(SEARCH("""A""",BL3)))</formula>
    </cfRule>
  </conditionalFormatting>
  <conditionalFormatting sqref="BL3:BM3">
    <cfRule type="containsText" dxfId="18361" priority="19725" operator="containsText" text="A-H">
      <formula>NOT(ISERROR(SEARCH("A-H",BL3)))</formula>
    </cfRule>
  </conditionalFormatting>
  <conditionalFormatting sqref="BR3:BS3">
    <cfRule type="cellIs" dxfId="18360" priority="19716" operator="equal">
      <formula>"C-Off-H"</formula>
    </cfRule>
    <cfRule type="cellIs" dxfId="18359" priority="19717" operator="equal">
      <formula>"C-Off"</formula>
    </cfRule>
    <cfRule type="cellIs" dxfId="18358" priority="19718" operator="equal">
      <formula>"CL-H"</formula>
    </cfRule>
    <cfRule type="cellIs" dxfId="18357" priority="19719" operator="equal">
      <formula>"EL-H"</formula>
    </cfRule>
    <cfRule type="cellIs" dxfId="18356" priority="19720" operator="equal">
      <formula>"CL"</formula>
    </cfRule>
    <cfRule type="cellIs" dxfId="18355" priority="19721" operator="equal">
      <formula>"EL"</formula>
    </cfRule>
  </conditionalFormatting>
  <conditionalFormatting sqref="BR3:BS3">
    <cfRule type="containsText" dxfId="18354" priority="19710" operator="containsText" text="S">
      <formula>NOT(ISERROR(SEARCH("S",BR3)))</formula>
    </cfRule>
    <cfRule type="containsText" dxfId="18353" priority="19711" operator="containsText" text="P">
      <formula>NOT(ISERROR(SEARCH("P",BR3)))</formula>
    </cfRule>
    <cfRule type="containsText" dxfId="18352" priority="19712" operator="containsText" text="H">
      <formula>NOT(ISERROR(SEARCH("H",BR3)))</formula>
    </cfRule>
    <cfRule type="containsText" dxfId="18351" priority="19714" operator="containsText" text="&quot;H&quot;">
      <formula>NOT(ISERROR(SEARCH("""H""",BR3)))</formula>
    </cfRule>
    <cfRule type="containsText" dxfId="18350" priority="19715" operator="containsText" text="&quot;A&quot;">
      <formula>NOT(ISERROR(SEARCH("""A""",BR3)))</formula>
    </cfRule>
  </conditionalFormatting>
  <conditionalFormatting sqref="BR3:BS3">
    <cfRule type="containsText" dxfId="18349" priority="19713" operator="containsText" text="A-H">
      <formula>NOT(ISERROR(SEARCH("A-H",BR3)))</formula>
    </cfRule>
  </conditionalFormatting>
  <conditionalFormatting sqref="BU3:BV3">
    <cfRule type="cellIs" dxfId="18348" priority="19704" operator="equal">
      <formula>"C-Off-H"</formula>
    </cfRule>
    <cfRule type="cellIs" dxfId="18347" priority="19705" operator="equal">
      <formula>"C-Off"</formula>
    </cfRule>
    <cfRule type="cellIs" dxfId="18346" priority="19706" operator="equal">
      <formula>"CL-H"</formula>
    </cfRule>
    <cfRule type="cellIs" dxfId="18345" priority="19707" operator="equal">
      <formula>"EL-H"</formula>
    </cfRule>
    <cfRule type="cellIs" dxfId="18344" priority="19708" operator="equal">
      <formula>"CL"</formula>
    </cfRule>
    <cfRule type="cellIs" dxfId="18343" priority="19709" operator="equal">
      <formula>"EL"</formula>
    </cfRule>
  </conditionalFormatting>
  <conditionalFormatting sqref="BU3:BV3">
    <cfRule type="containsText" dxfId="18342" priority="19698" operator="containsText" text="S">
      <formula>NOT(ISERROR(SEARCH("S",BU3)))</formula>
    </cfRule>
    <cfRule type="containsText" dxfId="18341" priority="19699" operator="containsText" text="P">
      <formula>NOT(ISERROR(SEARCH("P",BU3)))</formula>
    </cfRule>
    <cfRule type="containsText" dxfId="18340" priority="19700" operator="containsText" text="H">
      <formula>NOT(ISERROR(SEARCH("H",BU3)))</formula>
    </cfRule>
    <cfRule type="containsText" dxfId="18339" priority="19702" operator="containsText" text="&quot;H&quot;">
      <formula>NOT(ISERROR(SEARCH("""H""",BU3)))</formula>
    </cfRule>
    <cfRule type="containsText" dxfId="18338" priority="19703" operator="containsText" text="&quot;A&quot;">
      <formula>NOT(ISERROR(SEARCH("""A""",BU3)))</formula>
    </cfRule>
  </conditionalFormatting>
  <conditionalFormatting sqref="BU3:BV3">
    <cfRule type="containsText" dxfId="18337" priority="19701" operator="containsText" text="A-H">
      <formula>NOT(ISERROR(SEARCH("A-H",BU3)))</formula>
    </cfRule>
  </conditionalFormatting>
  <conditionalFormatting sqref="BY3">
    <cfRule type="cellIs" dxfId="18336" priority="19692" operator="equal">
      <formula>"C-Off-H"</formula>
    </cfRule>
    <cfRule type="cellIs" dxfId="18335" priority="19693" operator="equal">
      <formula>"C-Off"</formula>
    </cfRule>
    <cfRule type="cellIs" dxfId="18334" priority="19694" operator="equal">
      <formula>"CL-H"</formula>
    </cfRule>
    <cfRule type="cellIs" dxfId="18333" priority="19695" operator="equal">
      <formula>"EL-H"</formula>
    </cfRule>
    <cfRule type="cellIs" dxfId="18332" priority="19696" operator="equal">
      <formula>"CL"</formula>
    </cfRule>
    <cfRule type="cellIs" dxfId="18331" priority="19697" operator="equal">
      <formula>"EL"</formula>
    </cfRule>
  </conditionalFormatting>
  <conditionalFormatting sqref="BY3">
    <cfRule type="containsText" dxfId="18330" priority="19686" operator="containsText" text="S">
      <formula>NOT(ISERROR(SEARCH("S",BY3)))</formula>
    </cfRule>
    <cfRule type="containsText" dxfId="18329" priority="19687" operator="containsText" text="P">
      <formula>NOT(ISERROR(SEARCH("P",BY3)))</formula>
    </cfRule>
    <cfRule type="containsText" dxfId="18328" priority="19688" operator="containsText" text="H">
      <formula>NOT(ISERROR(SEARCH("H",BY3)))</formula>
    </cfRule>
    <cfRule type="containsText" dxfId="18327" priority="19690" operator="containsText" text="&quot;H&quot;">
      <formula>NOT(ISERROR(SEARCH("""H""",BY3)))</formula>
    </cfRule>
    <cfRule type="containsText" dxfId="18326" priority="19691" operator="containsText" text="&quot;A&quot;">
      <formula>NOT(ISERROR(SEARCH("""A""",BY3)))</formula>
    </cfRule>
  </conditionalFormatting>
  <conditionalFormatting sqref="BY3">
    <cfRule type="containsText" dxfId="18325" priority="19689" operator="containsText" text="A-H">
      <formula>NOT(ISERROR(SEARCH("A-H",BY3)))</formula>
    </cfRule>
  </conditionalFormatting>
  <conditionalFormatting sqref="BX3">
    <cfRule type="cellIs" dxfId="18324" priority="19680" operator="equal">
      <formula>"C-Off-H"</formula>
    </cfRule>
    <cfRule type="cellIs" dxfId="18323" priority="19681" operator="equal">
      <formula>"C-Off"</formula>
    </cfRule>
    <cfRule type="cellIs" dxfId="18322" priority="19682" operator="equal">
      <formula>"CL-H"</formula>
    </cfRule>
    <cfRule type="cellIs" dxfId="18321" priority="19683" operator="equal">
      <formula>"EL-H"</formula>
    </cfRule>
    <cfRule type="cellIs" dxfId="18320" priority="19684" operator="equal">
      <formula>"CL"</formula>
    </cfRule>
    <cfRule type="cellIs" dxfId="18319" priority="19685" operator="equal">
      <formula>"EL"</formula>
    </cfRule>
  </conditionalFormatting>
  <conditionalFormatting sqref="BX3">
    <cfRule type="containsText" dxfId="18318" priority="19674" operator="containsText" text="S">
      <formula>NOT(ISERROR(SEARCH("S",BX3)))</formula>
    </cfRule>
    <cfRule type="containsText" dxfId="18317" priority="19675" operator="containsText" text="P">
      <formula>NOT(ISERROR(SEARCH("P",BX3)))</formula>
    </cfRule>
    <cfRule type="containsText" dxfId="18316" priority="19676" operator="containsText" text="H">
      <formula>NOT(ISERROR(SEARCH("H",BX3)))</formula>
    </cfRule>
    <cfRule type="containsText" dxfId="18315" priority="19678" operator="containsText" text="&quot;H&quot;">
      <formula>NOT(ISERROR(SEARCH("""H""",BX3)))</formula>
    </cfRule>
    <cfRule type="containsText" dxfId="18314" priority="19679" operator="containsText" text="&quot;A&quot;">
      <formula>NOT(ISERROR(SEARCH("""A""",BX3)))</formula>
    </cfRule>
  </conditionalFormatting>
  <conditionalFormatting sqref="BX3">
    <cfRule type="containsText" dxfId="18313" priority="19677" operator="containsText" text="A-H">
      <formula>NOT(ISERROR(SEARCH("A-H",BX3)))</formula>
    </cfRule>
  </conditionalFormatting>
  <conditionalFormatting sqref="CN3">
    <cfRule type="cellIs" dxfId="18312" priority="19656" operator="equal">
      <formula>"C-Off-H"</formula>
    </cfRule>
    <cfRule type="cellIs" dxfId="18311" priority="19657" operator="equal">
      <formula>"C-Off"</formula>
    </cfRule>
    <cfRule type="cellIs" dxfId="18310" priority="19658" operator="equal">
      <formula>"CL-H"</formula>
    </cfRule>
    <cfRule type="cellIs" dxfId="18309" priority="19659" operator="equal">
      <formula>"EL-H"</formula>
    </cfRule>
    <cfRule type="cellIs" dxfId="18308" priority="19660" operator="equal">
      <formula>"CL"</formula>
    </cfRule>
    <cfRule type="cellIs" dxfId="18307" priority="19661" operator="equal">
      <formula>"EL"</formula>
    </cfRule>
  </conditionalFormatting>
  <conditionalFormatting sqref="CN3">
    <cfRule type="containsText" dxfId="18306" priority="19655" operator="containsText" text="A-H">
      <formula>NOT(ISERROR(SEARCH("A-H",CN3)))</formula>
    </cfRule>
  </conditionalFormatting>
  <conditionalFormatting sqref="CN3">
    <cfRule type="containsText" dxfId="18305" priority="19654" operator="containsText" text="A">
      <formula>NOT(ISERROR(SEARCH("A",CN3)))</formula>
    </cfRule>
  </conditionalFormatting>
  <conditionalFormatting sqref="CN3">
    <cfRule type="containsText" dxfId="18304" priority="19649" operator="containsText" text="S">
      <formula>NOT(ISERROR(SEARCH("S",CN3)))</formula>
    </cfRule>
    <cfRule type="containsText" dxfId="18303" priority="19650" operator="containsText" text="P">
      <formula>NOT(ISERROR(SEARCH("P",CN3)))</formula>
    </cfRule>
    <cfRule type="containsText" dxfId="18302" priority="19651" operator="containsText" text="H">
      <formula>NOT(ISERROR(SEARCH("H",CN3)))</formula>
    </cfRule>
    <cfRule type="containsText" dxfId="18301" priority="19652" operator="containsText" text="&quot;H&quot;">
      <formula>NOT(ISERROR(SEARCH("""H""",CN3)))</formula>
    </cfRule>
    <cfRule type="containsText" dxfId="18300" priority="19653" operator="containsText" text="&quot;A&quot;">
      <formula>NOT(ISERROR(SEARCH("""A""",CN3)))</formula>
    </cfRule>
  </conditionalFormatting>
  <conditionalFormatting sqref="CA3:CB3">
    <cfRule type="cellIs" dxfId="18299" priority="19643" operator="equal">
      <formula>"C-Off-H"</formula>
    </cfRule>
    <cfRule type="cellIs" dxfId="18298" priority="19644" operator="equal">
      <formula>"C-Off"</formula>
    </cfRule>
    <cfRule type="cellIs" dxfId="18297" priority="19645" operator="equal">
      <formula>"CL-H"</formula>
    </cfRule>
    <cfRule type="cellIs" dxfId="18296" priority="19646" operator="equal">
      <formula>"EL-H"</formula>
    </cfRule>
    <cfRule type="cellIs" dxfId="18295" priority="19647" operator="equal">
      <formula>"CL"</formula>
    </cfRule>
    <cfRule type="cellIs" dxfId="18294" priority="19648" operator="equal">
      <formula>"EL"</formula>
    </cfRule>
  </conditionalFormatting>
  <conditionalFormatting sqref="CA3:CB3">
    <cfRule type="containsText" dxfId="18293" priority="19637" operator="containsText" text="S">
      <formula>NOT(ISERROR(SEARCH("S",CA3)))</formula>
    </cfRule>
    <cfRule type="containsText" dxfId="18292" priority="19638" operator="containsText" text="P">
      <formula>NOT(ISERROR(SEARCH("P",CA3)))</formula>
    </cfRule>
    <cfRule type="containsText" dxfId="18291" priority="19639" operator="containsText" text="H">
      <formula>NOT(ISERROR(SEARCH("H",CA3)))</formula>
    </cfRule>
    <cfRule type="containsText" dxfId="18290" priority="19641" operator="containsText" text="&quot;H&quot;">
      <formula>NOT(ISERROR(SEARCH("""H""",CA3)))</formula>
    </cfRule>
    <cfRule type="containsText" dxfId="18289" priority="19642" operator="containsText" text="&quot;A&quot;">
      <formula>NOT(ISERROR(SEARCH("""A""",CA3)))</formula>
    </cfRule>
  </conditionalFormatting>
  <conditionalFormatting sqref="CA3:CB3">
    <cfRule type="containsText" dxfId="18288" priority="19640" operator="containsText" text="A-H">
      <formula>NOT(ISERROR(SEARCH("A-H",CA3)))</formula>
    </cfRule>
  </conditionalFormatting>
  <conditionalFormatting sqref="CD3:CE3">
    <cfRule type="cellIs" dxfId="18287" priority="19631" operator="equal">
      <formula>"C-Off-H"</formula>
    </cfRule>
    <cfRule type="cellIs" dxfId="18286" priority="19632" operator="equal">
      <formula>"C-Off"</formula>
    </cfRule>
    <cfRule type="cellIs" dxfId="18285" priority="19633" operator="equal">
      <formula>"CL-H"</formula>
    </cfRule>
    <cfRule type="cellIs" dxfId="18284" priority="19634" operator="equal">
      <formula>"EL-H"</formula>
    </cfRule>
    <cfRule type="cellIs" dxfId="18283" priority="19635" operator="equal">
      <formula>"CL"</formula>
    </cfRule>
    <cfRule type="cellIs" dxfId="18282" priority="19636" operator="equal">
      <formula>"EL"</formula>
    </cfRule>
  </conditionalFormatting>
  <conditionalFormatting sqref="CD3:CE3">
    <cfRule type="containsText" dxfId="18281" priority="19625" operator="containsText" text="S">
      <formula>NOT(ISERROR(SEARCH("S",CD3)))</formula>
    </cfRule>
    <cfRule type="containsText" dxfId="18280" priority="19626" operator="containsText" text="P">
      <formula>NOT(ISERROR(SEARCH("P",CD3)))</formula>
    </cfRule>
    <cfRule type="containsText" dxfId="18279" priority="19627" operator="containsText" text="H">
      <formula>NOT(ISERROR(SEARCH("H",CD3)))</formula>
    </cfRule>
    <cfRule type="containsText" dxfId="18278" priority="19629" operator="containsText" text="&quot;H&quot;">
      <formula>NOT(ISERROR(SEARCH("""H""",CD3)))</formula>
    </cfRule>
    <cfRule type="containsText" dxfId="18277" priority="19630" operator="containsText" text="&quot;A&quot;">
      <formula>NOT(ISERROR(SEARCH("""A""",CD3)))</formula>
    </cfRule>
  </conditionalFormatting>
  <conditionalFormatting sqref="CD3:CE3">
    <cfRule type="containsText" dxfId="18276" priority="19628" operator="containsText" text="A-H">
      <formula>NOT(ISERROR(SEARCH("A-H",CD3)))</formula>
    </cfRule>
  </conditionalFormatting>
  <conditionalFormatting sqref="CH3">
    <cfRule type="cellIs" dxfId="18275" priority="19619" operator="equal">
      <formula>"C-Off-H"</formula>
    </cfRule>
    <cfRule type="cellIs" dxfId="18274" priority="19620" operator="equal">
      <formula>"C-Off"</formula>
    </cfRule>
    <cfRule type="cellIs" dxfId="18273" priority="19621" operator="equal">
      <formula>"CL-H"</formula>
    </cfRule>
    <cfRule type="cellIs" dxfId="18272" priority="19622" operator="equal">
      <formula>"EL-H"</formula>
    </cfRule>
    <cfRule type="cellIs" dxfId="18271" priority="19623" operator="equal">
      <formula>"CL"</formula>
    </cfRule>
    <cfRule type="cellIs" dxfId="18270" priority="19624" operator="equal">
      <formula>"EL"</formula>
    </cfRule>
  </conditionalFormatting>
  <conditionalFormatting sqref="CH3">
    <cfRule type="containsText" dxfId="18269" priority="19613" operator="containsText" text="S">
      <formula>NOT(ISERROR(SEARCH("S",CH3)))</formula>
    </cfRule>
    <cfRule type="containsText" dxfId="18268" priority="19614" operator="containsText" text="P">
      <formula>NOT(ISERROR(SEARCH("P",CH3)))</formula>
    </cfRule>
    <cfRule type="containsText" dxfId="18267" priority="19615" operator="containsText" text="H">
      <formula>NOT(ISERROR(SEARCH("H",CH3)))</formula>
    </cfRule>
    <cfRule type="containsText" dxfId="18266" priority="19617" operator="containsText" text="&quot;H&quot;">
      <formula>NOT(ISERROR(SEARCH("""H""",CH3)))</formula>
    </cfRule>
    <cfRule type="containsText" dxfId="18265" priority="19618" operator="containsText" text="&quot;A&quot;">
      <formula>NOT(ISERROR(SEARCH("""A""",CH3)))</formula>
    </cfRule>
  </conditionalFormatting>
  <conditionalFormatting sqref="CH3">
    <cfRule type="containsText" dxfId="18264" priority="19616" operator="containsText" text="A-H">
      <formula>NOT(ISERROR(SEARCH("A-H",CH3)))</formula>
    </cfRule>
  </conditionalFormatting>
  <conditionalFormatting sqref="CG3">
    <cfRule type="cellIs" dxfId="18263" priority="19607" operator="equal">
      <formula>"C-Off-H"</formula>
    </cfRule>
    <cfRule type="cellIs" dxfId="18262" priority="19608" operator="equal">
      <formula>"C-Off"</formula>
    </cfRule>
    <cfRule type="cellIs" dxfId="18261" priority="19609" operator="equal">
      <formula>"CL-H"</formula>
    </cfRule>
    <cfRule type="cellIs" dxfId="18260" priority="19610" operator="equal">
      <formula>"EL-H"</formula>
    </cfRule>
    <cfRule type="cellIs" dxfId="18259" priority="19611" operator="equal">
      <formula>"CL"</formula>
    </cfRule>
    <cfRule type="cellIs" dxfId="18258" priority="19612" operator="equal">
      <formula>"EL"</formula>
    </cfRule>
  </conditionalFormatting>
  <conditionalFormatting sqref="CG3">
    <cfRule type="containsText" dxfId="18257" priority="19601" operator="containsText" text="S">
      <formula>NOT(ISERROR(SEARCH("S",CG3)))</formula>
    </cfRule>
    <cfRule type="containsText" dxfId="18256" priority="19602" operator="containsText" text="P">
      <formula>NOT(ISERROR(SEARCH("P",CG3)))</formula>
    </cfRule>
    <cfRule type="containsText" dxfId="18255" priority="19603" operator="containsText" text="H">
      <formula>NOT(ISERROR(SEARCH("H",CG3)))</formula>
    </cfRule>
    <cfRule type="containsText" dxfId="18254" priority="19605" operator="containsText" text="&quot;H&quot;">
      <formula>NOT(ISERROR(SEARCH("""H""",CG3)))</formula>
    </cfRule>
    <cfRule type="containsText" dxfId="18253" priority="19606" operator="containsText" text="&quot;A&quot;">
      <formula>NOT(ISERROR(SEARCH("""A""",CG3)))</formula>
    </cfRule>
  </conditionalFormatting>
  <conditionalFormatting sqref="CG3">
    <cfRule type="containsText" dxfId="18252" priority="19604" operator="containsText" text="A-H">
      <formula>NOT(ISERROR(SEARCH("A-H",CG3)))</formula>
    </cfRule>
  </conditionalFormatting>
  <conditionalFormatting sqref="H3">
    <cfRule type="cellIs" dxfId="18251" priority="19546" operator="equal">
      <formula>"C-Off-H"</formula>
    </cfRule>
    <cfRule type="cellIs" dxfId="18250" priority="19547" operator="equal">
      <formula>"C-Off"</formula>
    </cfRule>
    <cfRule type="cellIs" dxfId="18249" priority="19548" operator="equal">
      <formula>"CL-H"</formula>
    </cfRule>
    <cfRule type="cellIs" dxfId="18248" priority="19549" operator="equal">
      <formula>"EL-H"</formula>
    </cfRule>
    <cfRule type="cellIs" dxfId="18247" priority="19550" operator="equal">
      <formula>"CL"</formula>
    </cfRule>
    <cfRule type="cellIs" dxfId="18246" priority="19551" operator="equal">
      <formula>"EL"</formula>
    </cfRule>
  </conditionalFormatting>
  <conditionalFormatting sqref="G3:H3">
    <cfRule type="cellIs" dxfId="18245" priority="19540" operator="equal">
      <formula>"C-Off-H"</formula>
    </cfRule>
    <cfRule type="cellIs" dxfId="18244" priority="19541" operator="equal">
      <formula>"C-Off"</formula>
    </cfRule>
    <cfRule type="cellIs" dxfId="18243" priority="19542" operator="equal">
      <formula>"CL-H"</formula>
    </cfRule>
    <cfRule type="cellIs" dxfId="18242" priority="19543" operator="equal">
      <formula>"EL-H"</formula>
    </cfRule>
    <cfRule type="cellIs" dxfId="18241" priority="19544" operator="equal">
      <formula>"CL"</formula>
    </cfRule>
    <cfRule type="cellIs" dxfId="18240" priority="19545" operator="equal">
      <formula>"EL"</formula>
    </cfRule>
  </conditionalFormatting>
  <conditionalFormatting sqref="G3:H3">
    <cfRule type="containsText" dxfId="18239" priority="19534" operator="containsText" text="S">
      <formula>NOT(ISERROR(SEARCH("S",G3)))</formula>
    </cfRule>
    <cfRule type="containsText" dxfId="18238" priority="19535" operator="containsText" text="P">
      <formula>NOT(ISERROR(SEARCH("P",G3)))</formula>
    </cfRule>
    <cfRule type="containsText" dxfId="18237" priority="19536" operator="containsText" text="H">
      <formula>NOT(ISERROR(SEARCH("H",G3)))</formula>
    </cfRule>
    <cfRule type="containsText" dxfId="18236" priority="19538" operator="containsText" text="&quot;H&quot;">
      <formula>NOT(ISERROR(SEARCH("""H""",G3)))</formula>
    </cfRule>
    <cfRule type="containsText" dxfId="18235" priority="19539" operator="containsText" text="&quot;A&quot;">
      <formula>NOT(ISERROR(SEARCH("""A""",G3)))</formula>
    </cfRule>
  </conditionalFormatting>
  <conditionalFormatting sqref="G3:H3">
    <cfRule type="containsText" dxfId="18234" priority="19537" operator="containsText" text="A-H">
      <formula>NOT(ISERROR(SEARCH("A-H",G3)))</formula>
    </cfRule>
  </conditionalFormatting>
  <conditionalFormatting sqref="K3">
    <cfRule type="cellIs" dxfId="18233" priority="19528" operator="equal">
      <formula>"C-Off-H"</formula>
    </cfRule>
    <cfRule type="cellIs" dxfId="18232" priority="19529" operator="equal">
      <formula>"C-Off"</formula>
    </cfRule>
    <cfRule type="cellIs" dxfId="18231" priority="19530" operator="equal">
      <formula>"CL-H"</formula>
    </cfRule>
    <cfRule type="cellIs" dxfId="18230" priority="19531" operator="equal">
      <formula>"EL-H"</formula>
    </cfRule>
    <cfRule type="cellIs" dxfId="18229" priority="19532" operator="equal">
      <formula>"CL"</formula>
    </cfRule>
    <cfRule type="cellIs" dxfId="18228" priority="19533" operator="equal">
      <formula>"EL"</formula>
    </cfRule>
  </conditionalFormatting>
  <conditionalFormatting sqref="J3:K3">
    <cfRule type="cellIs" dxfId="18227" priority="19522" operator="equal">
      <formula>"C-Off-H"</formula>
    </cfRule>
    <cfRule type="cellIs" dxfId="18226" priority="19523" operator="equal">
      <formula>"C-Off"</formula>
    </cfRule>
    <cfRule type="cellIs" dxfId="18225" priority="19524" operator="equal">
      <formula>"CL-H"</formula>
    </cfRule>
    <cfRule type="cellIs" dxfId="18224" priority="19525" operator="equal">
      <formula>"EL-H"</formula>
    </cfRule>
    <cfRule type="cellIs" dxfId="18223" priority="19526" operator="equal">
      <formula>"CL"</formula>
    </cfRule>
    <cfRule type="cellIs" dxfId="18222" priority="19527" operator="equal">
      <formula>"EL"</formula>
    </cfRule>
  </conditionalFormatting>
  <conditionalFormatting sqref="J3:K3">
    <cfRule type="containsText" dxfId="18221" priority="19516" operator="containsText" text="S">
      <formula>NOT(ISERROR(SEARCH("S",J3)))</formula>
    </cfRule>
    <cfRule type="containsText" dxfId="18220" priority="19517" operator="containsText" text="P">
      <formula>NOT(ISERROR(SEARCH("P",J3)))</formula>
    </cfRule>
    <cfRule type="containsText" dxfId="18219" priority="19518" operator="containsText" text="H">
      <formula>NOT(ISERROR(SEARCH("H",J3)))</formula>
    </cfRule>
    <cfRule type="containsText" dxfId="18218" priority="19520" operator="containsText" text="&quot;H&quot;">
      <formula>NOT(ISERROR(SEARCH("""H""",J3)))</formula>
    </cfRule>
    <cfRule type="containsText" dxfId="18217" priority="19521" operator="containsText" text="&quot;A&quot;">
      <formula>NOT(ISERROR(SEARCH("""A""",J3)))</formula>
    </cfRule>
  </conditionalFormatting>
  <conditionalFormatting sqref="J3:K3">
    <cfRule type="containsText" dxfId="18216" priority="19519" operator="containsText" text="A-H">
      <formula>NOT(ISERROR(SEARCH("A-H",J3)))</formula>
    </cfRule>
  </conditionalFormatting>
  <conditionalFormatting sqref="N3">
    <cfRule type="cellIs" dxfId="18215" priority="19510" operator="equal">
      <formula>"C-Off-H"</formula>
    </cfRule>
    <cfRule type="cellIs" dxfId="18214" priority="19511" operator="equal">
      <formula>"C-Off"</formula>
    </cfRule>
    <cfRule type="cellIs" dxfId="18213" priority="19512" operator="equal">
      <formula>"CL-H"</formula>
    </cfRule>
    <cfRule type="cellIs" dxfId="18212" priority="19513" operator="equal">
      <formula>"EL-H"</formula>
    </cfRule>
    <cfRule type="cellIs" dxfId="18211" priority="19514" operator="equal">
      <formula>"CL"</formula>
    </cfRule>
    <cfRule type="cellIs" dxfId="18210" priority="19515" operator="equal">
      <formula>"EL"</formula>
    </cfRule>
  </conditionalFormatting>
  <conditionalFormatting sqref="M3:N3">
    <cfRule type="cellIs" dxfId="18209" priority="19504" operator="equal">
      <formula>"C-Off-H"</formula>
    </cfRule>
    <cfRule type="cellIs" dxfId="18208" priority="19505" operator="equal">
      <formula>"C-Off"</formula>
    </cfRule>
    <cfRule type="cellIs" dxfId="18207" priority="19506" operator="equal">
      <formula>"CL-H"</formula>
    </cfRule>
    <cfRule type="cellIs" dxfId="18206" priority="19507" operator="equal">
      <formula>"EL-H"</formula>
    </cfRule>
    <cfRule type="cellIs" dxfId="18205" priority="19508" operator="equal">
      <formula>"CL"</formula>
    </cfRule>
    <cfRule type="cellIs" dxfId="18204" priority="19509" operator="equal">
      <formula>"EL"</formula>
    </cfRule>
  </conditionalFormatting>
  <conditionalFormatting sqref="M3:N3">
    <cfRule type="containsText" dxfId="18203" priority="19498" operator="containsText" text="S">
      <formula>NOT(ISERROR(SEARCH("S",M3)))</formula>
    </cfRule>
    <cfRule type="containsText" dxfId="18202" priority="19499" operator="containsText" text="P">
      <formula>NOT(ISERROR(SEARCH("P",M3)))</formula>
    </cfRule>
    <cfRule type="containsText" dxfId="18201" priority="19500" operator="containsText" text="H">
      <formula>NOT(ISERROR(SEARCH("H",M3)))</formula>
    </cfRule>
    <cfRule type="containsText" dxfId="18200" priority="19502" operator="containsText" text="&quot;H&quot;">
      <formula>NOT(ISERROR(SEARCH("""H""",M3)))</formula>
    </cfRule>
    <cfRule type="containsText" dxfId="18199" priority="19503" operator="containsText" text="&quot;A&quot;">
      <formula>NOT(ISERROR(SEARCH("""A""",M3)))</formula>
    </cfRule>
  </conditionalFormatting>
  <conditionalFormatting sqref="M3:N3">
    <cfRule type="containsText" dxfId="18198" priority="19501" operator="containsText" text="A-H">
      <formula>NOT(ISERROR(SEARCH("A-H",M3)))</formula>
    </cfRule>
  </conditionalFormatting>
  <conditionalFormatting sqref="K4">
    <cfRule type="cellIs" dxfId="18197" priority="19492" operator="equal">
      <formula>"C-Off-H"</formula>
    </cfRule>
    <cfRule type="cellIs" dxfId="18196" priority="19493" operator="equal">
      <formula>"C-Off"</formula>
    </cfRule>
    <cfRule type="cellIs" dxfId="18195" priority="19494" operator="equal">
      <formula>"CL-H"</formula>
    </cfRule>
    <cfRule type="cellIs" dxfId="18194" priority="19495" operator="equal">
      <formula>"EL-H"</formula>
    </cfRule>
    <cfRule type="cellIs" dxfId="18193" priority="19496" operator="equal">
      <formula>"CL"</formula>
    </cfRule>
    <cfRule type="cellIs" dxfId="18192" priority="19497" operator="equal">
      <formula>"EL"</formula>
    </cfRule>
  </conditionalFormatting>
  <conditionalFormatting sqref="K4">
    <cfRule type="containsText" dxfId="18191" priority="19491" operator="containsText" text="A-H">
      <formula>NOT(ISERROR(SEARCH("A-H",K4)))</formula>
    </cfRule>
  </conditionalFormatting>
  <conditionalFormatting sqref="K4">
    <cfRule type="containsText" dxfId="18190" priority="19486" operator="containsText" text="S">
      <formula>NOT(ISERROR(SEARCH("S",K4)))</formula>
    </cfRule>
    <cfRule type="containsText" dxfId="18189" priority="19487" operator="containsText" text="P">
      <formula>NOT(ISERROR(SEARCH("P",K4)))</formula>
    </cfRule>
    <cfRule type="containsText" dxfId="18188" priority="19488" operator="containsText" text="H">
      <formula>NOT(ISERROR(SEARCH("H",K4)))</formula>
    </cfRule>
    <cfRule type="containsText" dxfId="18187" priority="19489" operator="containsText" text="&quot;H&quot;">
      <formula>NOT(ISERROR(SEARCH("""H""",K4)))</formula>
    </cfRule>
    <cfRule type="containsText" dxfId="18186" priority="19490" operator="containsText" text="&quot;A&quot;">
      <formula>NOT(ISERROR(SEARCH("""A""",K4)))</formula>
    </cfRule>
  </conditionalFormatting>
  <conditionalFormatting sqref="DC9 CQ9:CW9 M9:N9 CX8:CX10 Z8:Z10 CN8:CN9">
    <cfRule type="cellIs" dxfId="18185" priority="19454" operator="equal">
      <formula>"C-Off-H"</formula>
    </cfRule>
    <cfRule type="cellIs" dxfId="18184" priority="19455" operator="equal">
      <formula>"C-Off"</formula>
    </cfRule>
    <cfRule type="cellIs" dxfId="18183" priority="19456" operator="equal">
      <formula>"CL-H"</formula>
    </cfRule>
    <cfRule type="cellIs" dxfId="18182" priority="19457" operator="equal">
      <formula>"EL-H"</formula>
    </cfRule>
    <cfRule type="cellIs" dxfId="18181" priority="19458" operator="equal">
      <formula>"CL"</formula>
    </cfRule>
    <cfRule type="cellIs" dxfId="18180" priority="19459" operator="equal">
      <formula>"EL"</formula>
    </cfRule>
  </conditionalFormatting>
  <conditionalFormatting sqref="CQ9:CW9 M9:N9 CY9:DA9 DC9 CX8:CX10 Z8:Z10 CN8:CN9">
    <cfRule type="containsText" dxfId="18179" priority="19453" operator="containsText" text="A-H">
      <formula>NOT(ISERROR(SEARCH("A-H",M8)))</formula>
    </cfRule>
  </conditionalFormatting>
  <conditionalFormatting sqref="CQ9:CW9 CY9:DA9 DC9 CX8:CX10 CN8:CN9">
    <cfRule type="containsText" dxfId="18178" priority="19452" operator="containsText" text="A">
      <formula>NOT(ISERROR(SEARCH("A",CN8)))</formula>
    </cfRule>
  </conditionalFormatting>
  <conditionalFormatting sqref="DA9 CY9">
    <cfRule type="cellIs" dxfId="18177" priority="19446" stopIfTrue="1" operator="equal">
      <formula>"C-Off-H"</formula>
    </cfRule>
    <cfRule type="cellIs" dxfId="18176" priority="19447" stopIfTrue="1" operator="equal">
      <formula>"C-Off"</formula>
    </cfRule>
    <cfRule type="cellIs" dxfId="18175" priority="19448" stopIfTrue="1" operator="equal">
      <formula>"CL-H"</formula>
    </cfRule>
    <cfRule type="cellIs" dxfId="18174" priority="19449" stopIfTrue="1" operator="equal">
      <formula>"EL-H"</formula>
    </cfRule>
    <cfRule type="cellIs" dxfId="18173" priority="19450" stopIfTrue="1" operator="equal">
      <formula>"CL"</formula>
    </cfRule>
    <cfRule type="cellIs" dxfId="18172" priority="19451" stopIfTrue="1" operator="equal">
      <formula>"EL"</formula>
    </cfRule>
  </conditionalFormatting>
  <conditionalFormatting sqref="CZ9">
    <cfRule type="cellIs" dxfId="18171" priority="19440" stopIfTrue="1" operator="equal">
      <formula>"C-Off-H"</formula>
    </cfRule>
    <cfRule type="cellIs" dxfId="18170" priority="19441" stopIfTrue="1" operator="equal">
      <formula>"C-Off"</formula>
    </cfRule>
    <cfRule type="cellIs" dxfId="18169" priority="19442" stopIfTrue="1" operator="equal">
      <formula>"CL-H"</formula>
    </cfRule>
    <cfRule type="cellIs" dxfId="18168" priority="19443" stopIfTrue="1" operator="equal">
      <formula>"EL-H"</formula>
    </cfRule>
    <cfRule type="cellIs" dxfId="18167" priority="19444" stopIfTrue="1" operator="equal">
      <formula>"CL"</formula>
    </cfRule>
    <cfRule type="cellIs" dxfId="18166" priority="19445" stopIfTrue="1" operator="equal">
      <formula>"EL"</formula>
    </cfRule>
  </conditionalFormatting>
  <conditionalFormatting sqref="M9:N9 Z8:Z10 CN8:CN9">
    <cfRule type="containsText" dxfId="18165" priority="19435" operator="containsText" text="S">
      <formula>NOT(ISERROR(SEARCH("S",M8)))</formula>
    </cfRule>
    <cfRule type="containsText" dxfId="18164" priority="19436" operator="containsText" text="P">
      <formula>NOT(ISERROR(SEARCH("P",M8)))</formula>
    </cfRule>
    <cfRule type="containsText" dxfId="18163" priority="19437" operator="containsText" text="H">
      <formula>NOT(ISERROR(SEARCH("H",M8)))</formula>
    </cfRule>
    <cfRule type="containsText" dxfId="18162" priority="19438" operator="containsText" text="&quot;H&quot;">
      <formula>NOT(ISERROR(SEARCH("""H""",M8)))</formula>
    </cfRule>
    <cfRule type="containsText" dxfId="18161" priority="19439" operator="containsText" text="&quot;A&quot;">
      <formula>NOT(ISERROR(SEARCH("""A""",M8)))</formula>
    </cfRule>
  </conditionalFormatting>
  <conditionalFormatting sqref="DD9">
    <cfRule type="cellIs" dxfId="18160" priority="19429" operator="equal">
      <formula>"C-Off-H"</formula>
    </cfRule>
    <cfRule type="cellIs" dxfId="18159" priority="19430" operator="equal">
      <formula>"C-Off"</formula>
    </cfRule>
    <cfRule type="cellIs" dxfId="18158" priority="19431" operator="equal">
      <formula>"CL-H"</formula>
    </cfRule>
    <cfRule type="cellIs" dxfId="18157" priority="19432" operator="equal">
      <formula>"EL-H"</formula>
    </cfRule>
    <cfRule type="cellIs" dxfId="18156" priority="19433" operator="equal">
      <formula>"CL"</formula>
    </cfRule>
    <cfRule type="cellIs" dxfId="18155" priority="19434" operator="equal">
      <formula>"EL"</formula>
    </cfRule>
  </conditionalFormatting>
  <conditionalFormatting sqref="DD9">
    <cfRule type="containsText" dxfId="18154" priority="19428" operator="containsText" text="A">
      <formula>NOT(ISERROR(SEARCH("A",DD9)))</formula>
    </cfRule>
  </conditionalFormatting>
  <conditionalFormatting sqref="DD9">
    <cfRule type="containsText" dxfId="18153" priority="19427" operator="containsText" text="A-H">
      <formula>NOT(ISERROR(SEARCH("A-H",DD9)))</formula>
    </cfRule>
  </conditionalFormatting>
  <conditionalFormatting sqref="AI9">
    <cfRule type="cellIs" dxfId="18152" priority="19421" operator="equal">
      <formula>"C-Off-H"</formula>
    </cfRule>
    <cfRule type="cellIs" dxfId="18151" priority="19422" operator="equal">
      <formula>"C-Off"</formula>
    </cfRule>
    <cfRule type="cellIs" dxfId="18150" priority="19423" operator="equal">
      <formula>"CL-H"</formula>
    </cfRule>
    <cfRule type="cellIs" dxfId="18149" priority="19424" operator="equal">
      <formula>"EL-H"</formula>
    </cfRule>
    <cfRule type="cellIs" dxfId="18148" priority="19425" operator="equal">
      <formula>"CL"</formula>
    </cfRule>
    <cfRule type="cellIs" dxfId="18147" priority="19426" operator="equal">
      <formula>"EL"</formula>
    </cfRule>
  </conditionalFormatting>
  <conditionalFormatting sqref="AH9:AI9">
    <cfRule type="cellIs" dxfId="18146" priority="19415" operator="equal">
      <formula>"C-Off-H"</formula>
    </cfRule>
    <cfRule type="cellIs" dxfId="18145" priority="19416" operator="equal">
      <formula>"C-Off"</formula>
    </cfRule>
    <cfRule type="cellIs" dxfId="18144" priority="19417" operator="equal">
      <formula>"CL-H"</formula>
    </cfRule>
    <cfRule type="cellIs" dxfId="18143" priority="19418" operator="equal">
      <formula>"EL-H"</formula>
    </cfRule>
    <cfRule type="cellIs" dxfId="18142" priority="19419" operator="equal">
      <formula>"CL"</formula>
    </cfRule>
    <cfRule type="cellIs" dxfId="18141" priority="19420" operator="equal">
      <formula>"EL"</formula>
    </cfRule>
  </conditionalFormatting>
  <conditionalFormatting sqref="AH9:AI9">
    <cfRule type="containsText" dxfId="18140" priority="19409" operator="containsText" text="S">
      <formula>NOT(ISERROR(SEARCH("S",AH9)))</formula>
    </cfRule>
    <cfRule type="containsText" dxfId="18139" priority="19410" operator="containsText" text="P">
      <formula>NOT(ISERROR(SEARCH("P",AH9)))</formula>
    </cfRule>
    <cfRule type="containsText" dxfId="18138" priority="19411" operator="containsText" text="H">
      <formula>NOT(ISERROR(SEARCH("H",AH9)))</formula>
    </cfRule>
    <cfRule type="containsText" dxfId="18137" priority="19413" operator="containsText" text="&quot;H&quot;">
      <formula>NOT(ISERROR(SEARCH("""H""",AH9)))</formula>
    </cfRule>
    <cfRule type="containsText" dxfId="18136" priority="19414" operator="containsText" text="&quot;A&quot;">
      <formula>NOT(ISERROR(SEARCH("""A""",AH9)))</formula>
    </cfRule>
  </conditionalFormatting>
  <conditionalFormatting sqref="AH9:AI9">
    <cfRule type="containsText" dxfId="18135" priority="19412" operator="containsText" text="A-H">
      <formula>NOT(ISERROR(SEARCH("A-H",AH9)))</formula>
    </cfRule>
  </conditionalFormatting>
  <conditionalFormatting sqref="AU9">
    <cfRule type="cellIs" dxfId="18134" priority="19403" operator="equal">
      <formula>"C-Off-H"</formula>
    </cfRule>
    <cfRule type="cellIs" dxfId="18133" priority="19404" operator="equal">
      <formula>"C-Off"</formula>
    </cfRule>
    <cfRule type="cellIs" dxfId="18132" priority="19405" operator="equal">
      <formula>"CL-H"</formula>
    </cfRule>
    <cfRule type="cellIs" dxfId="18131" priority="19406" operator="equal">
      <formula>"EL-H"</formula>
    </cfRule>
    <cfRule type="cellIs" dxfId="18130" priority="19407" operator="equal">
      <formula>"CL"</formula>
    </cfRule>
    <cfRule type="cellIs" dxfId="18129" priority="19408" operator="equal">
      <formula>"EL"</formula>
    </cfRule>
  </conditionalFormatting>
  <conditionalFormatting sqref="AT9:AU9">
    <cfRule type="cellIs" dxfId="18128" priority="19397" operator="equal">
      <formula>"C-Off-H"</formula>
    </cfRule>
    <cfRule type="cellIs" dxfId="18127" priority="19398" operator="equal">
      <formula>"C-Off"</formula>
    </cfRule>
    <cfRule type="cellIs" dxfId="18126" priority="19399" operator="equal">
      <formula>"CL-H"</formula>
    </cfRule>
    <cfRule type="cellIs" dxfId="18125" priority="19400" operator="equal">
      <formula>"EL-H"</formula>
    </cfRule>
    <cfRule type="cellIs" dxfId="18124" priority="19401" operator="equal">
      <formula>"CL"</formula>
    </cfRule>
    <cfRule type="cellIs" dxfId="18123" priority="19402" operator="equal">
      <formula>"EL"</formula>
    </cfRule>
  </conditionalFormatting>
  <conditionalFormatting sqref="AT9:AU9">
    <cfRule type="containsText" dxfId="18122" priority="19391" operator="containsText" text="S">
      <formula>NOT(ISERROR(SEARCH("S",AT9)))</formula>
    </cfRule>
    <cfRule type="containsText" dxfId="18121" priority="19392" operator="containsText" text="P">
      <formula>NOT(ISERROR(SEARCH("P",AT9)))</formula>
    </cfRule>
    <cfRule type="containsText" dxfId="18120" priority="19393" operator="containsText" text="H">
      <formula>NOT(ISERROR(SEARCH("H",AT9)))</formula>
    </cfRule>
    <cfRule type="containsText" dxfId="18119" priority="19395" operator="containsText" text="&quot;H&quot;">
      <formula>NOT(ISERROR(SEARCH("""H""",AT9)))</formula>
    </cfRule>
    <cfRule type="containsText" dxfId="18118" priority="19396" operator="containsText" text="&quot;A&quot;">
      <formula>NOT(ISERROR(SEARCH("""A""",AT9)))</formula>
    </cfRule>
  </conditionalFormatting>
  <conditionalFormatting sqref="AT9:AU9">
    <cfRule type="containsText" dxfId="18117" priority="19394" operator="containsText" text="A-H">
      <formula>NOT(ISERROR(SEARCH("A-H",AT9)))</formula>
    </cfRule>
  </conditionalFormatting>
  <conditionalFormatting sqref="E9">
    <cfRule type="cellIs" dxfId="18116" priority="19385" operator="equal">
      <formula>"C-Off-H"</formula>
    </cfRule>
    <cfRule type="cellIs" dxfId="18115" priority="19386" operator="equal">
      <formula>"C-Off"</formula>
    </cfRule>
    <cfRule type="cellIs" dxfId="18114" priority="19387" operator="equal">
      <formula>"CL-H"</formula>
    </cfRule>
    <cfRule type="cellIs" dxfId="18113" priority="19388" operator="equal">
      <formula>"EL-H"</formula>
    </cfRule>
    <cfRule type="cellIs" dxfId="18112" priority="19389" operator="equal">
      <formula>"CL"</formula>
    </cfRule>
    <cfRule type="cellIs" dxfId="18111" priority="19390" operator="equal">
      <formula>"EL"</formula>
    </cfRule>
  </conditionalFormatting>
  <conditionalFormatting sqref="D9:E9">
    <cfRule type="cellIs" dxfId="18110" priority="19379" operator="equal">
      <formula>"C-Off-H"</formula>
    </cfRule>
    <cfRule type="cellIs" dxfId="18109" priority="19380" operator="equal">
      <formula>"C-Off"</formula>
    </cfRule>
    <cfRule type="cellIs" dxfId="18108" priority="19381" operator="equal">
      <formula>"CL-H"</formula>
    </cfRule>
    <cfRule type="cellIs" dxfId="18107" priority="19382" operator="equal">
      <formula>"EL-H"</formula>
    </cfRule>
    <cfRule type="cellIs" dxfId="18106" priority="19383" operator="equal">
      <formula>"CL"</formula>
    </cfRule>
    <cfRule type="cellIs" dxfId="18105" priority="19384" operator="equal">
      <formula>"EL"</formula>
    </cfRule>
  </conditionalFormatting>
  <conditionalFormatting sqref="D9:E9">
    <cfRule type="containsText" dxfId="18104" priority="19373" operator="containsText" text="S">
      <formula>NOT(ISERROR(SEARCH("S",D9)))</formula>
    </cfRule>
    <cfRule type="containsText" dxfId="18103" priority="19374" operator="containsText" text="P">
      <formula>NOT(ISERROR(SEARCH("P",D9)))</formula>
    </cfRule>
    <cfRule type="containsText" dxfId="18102" priority="19375" operator="containsText" text="H">
      <formula>NOT(ISERROR(SEARCH("H",D9)))</formula>
    </cfRule>
    <cfRule type="containsText" dxfId="18101" priority="19377" operator="containsText" text="&quot;H&quot;">
      <formula>NOT(ISERROR(SEARCH("""H""",D9)))</formula>
    </cfRule>
    <cfRule type="containsText" dxfId="18100" priority="19378" operator="containsText" text="&quot;A&quot;">
      <formula>NOT(ISERROR(SEARCH("""A""",D9)))</formula>
    </cfRule>
  </conditionalFormatting>
  <conditionalFormatting sqref="D9:E9">
    <cfRule type="containsText" dxfId="18099" priority="19376" operator="containsText" text="A-H">
      <formula>NOT(ISERROR(SEARCH("A-H",D9)))</formula>
    </cfRule>
  </conditionalFormatting>
  <conditionalFormatting sqref="Y9">
    <cfRule type="cellIs" dxfId="18098" priority="19367" operator="equal">
      <formula>"C-Off-H"</formula>
    </cfRule>
    <cfRule type="cellIs" dxfId="18097" priority="19368" operator="equal">
      <formula>"C-Off"</formula>
    </cfRule>
    <cfRule type="cellIs" dxfId="18096" priority="19369" operator="equal">
      <formula>"CL-H"</formula>
    </cfRule>
    <cfRule type="cellIs" dxfId="18095" priority="19370" operator="equal">
      <formula>"EL-H"</formula>
    </cfRule>
    <cfRule type="cellIs" dxfId="18094" priority="19371" operator="equal">
      <formula>"CL"</formula>
    </cfRule>
    <cfRule type="cellIs" dxfId="18093" priority="19372" operator="equal">
      <formula>"EL"</formula>
    </cfRule>
  </conditionalFormatting>
  <conditionalFormatting sqref="Y9">
    <cfRule type="containsText" dxfId="18092" priority="19361" operator="containsText" text="S">
      <formula>NOT(ISERROR(SEARCH("S",Y9)))</formula>
    </cfRule>
    <cfRule type="containsText" dxfId="18091" priority="19362" operator="containsText" text="P">
      <formula>NOT(ISERROR(SEARCH("P",Y9)))</formula>
    </cfRule>
    <cfRule type="containsText" dxfId="18090" priority="19363" operator="containsText" text="H">
      <formula>NOT(ISERROR(SEARCH("H",Y9)))</formula>
    </cfRule>
    <cfRule type="containsText" dxfId="18089" priority="19365" operator="containsText" text="&quot;H&quot;">
      <formula>NOT(ISERROR(SEARCH("""H""",Y9)))</formula>
    </cfRule>
    <cfRule type="containsText" dxfId="18088" priority="19366" operator="containsText" text="&quot;A&quot;">
      <formula>NOT(ISERROR(SEARCH("""A""",Y9)))</formula>
    </cfRule>
  </conditionalFormatting>
  <conditionalFormatting sqref="Y9">
    <cfRule type="containsText" dxfId="18087" priority="19364" operator="containsText" text="A-H">
      <formula>NOT(ISERROR(SEARCH("A-H",Y9)))</formula>
    </cfRule>
  </conditionalFormatting>
  <conditionalFormatting sqref="AF9">
    <cfRule type="cellIs" dxfId="18086" priority="19355" operator="equal">
      <formula>"C-Off-H"</formula>
    </cfRule>
    <cfRule type="cellIs" dxfId="18085" priority="19356" operator="equal">
      <formula>"C-Off"</formula>
    </cfRule>
    <cfRule type="cellIs" dxfId="18084" priority="19357" operator="equal">
      <formula>"CL-H"</formula>
    </cfRule>
    <cfRule type="cellIs" dxfId="18083" priority="19358" operator="equal">
      <formula>"EL-H"</formula>
    </cfRule>
    <cfRule type="cellIs" dxfId="18082" priority="19359" operator="equal">
      <formula>"CL"</formula>
    </cfRule>
    <cfRule type="cellIs" dxfId="18081" priority="19360" operator="equal">
      <formula>"EL"</formula>
    </cfRule>
  </conditionalFormatting>
  <conditionalFormatting sqref="AF9">
    <cfRule type="containsText" dxfId="18080" priority="19349" operator="containsText" text="S">
      <formula>NOT(ISERROR(SEARCH("S",AF9)))</formula>
    </cfRule>
    <cfRule type="containsText" dxfId="18079" priority="19350" operator="containsText" text="P">
      <formula>NOT(ISERROR(SEARCH("P",AF9)))</formula>
    </cfRule>
    <cfRule type="containsText" dxfId="18078" priority="19351" operator="containsText" text="H">
      <formula>NOT(ISERROR(SEARCH("H",AF9)))</formula>
    </cfRule>
    <cfRule type="containsText" dxfId="18077" priority="19353" operator="containsText" text="&quot;H&quot;">
      <formula>NOT(ISERROR(SEARCH("""H""",AF9)))</formula>
    </cfRule>
    <cfRule type="containsText" dxfId="18076" priority="19354" operator="containsText" text="&quot;A&quot;">
      <formula>NOT(ISERROR(SEARCH("""A""",AF9)))</formula>
    </cfRule>
  </conditionalFormatting>
  <conditionalFormatting sqref="AF9">
    <cfRule type="containsText" dxfId="18075" priority="19352" operator="containsText" text="A-H">
      <formula>NOT(ISERROR(SEARCH("A-H",AF9)))</formula>
    </cfRule>
  </conditionalFormatting>
  <conditionalFormatting sqref="BO9:BP9">
    <cfRule type="cellIs" dxfId="18074" priority="19343" operator="equal">
      <formula>"C-Off-H"</formula>
    </cfRule>
    <cfRule type="cellIs" dxfId="18073" priority="19344" operator="equal">
      <formula>"C-Off"</formula>
    </cfRule>
    <cfRule type="cellIs" dxfId="18072" priority="19345" operator="equal">
      <formula>"CL-H"</formula>
    </cfRule>
    <cfRule type="cellIs" dxfId="18071" priority="19346" operator="equal">
      <formula>"EL-H"</formula>
    </cfRule>
    <cfRule type="cellIs" dxfId="18070" priority="19347" operator="equal">
      <formula>"CL"</formula>
    </cfRule>
    <cfRule type="cellIs" dxfId="18069" priority="19348" operator="equal">
      <formula>"EL"</formula>
    </cfRule>
  </conditionalFormatting>
  <conditionalFormatting sqref="BO9:BP9">
    <cfRule type="cellIs" dxfId="18068" priority="19337" operator="equal">
      <formula>"C-Off-H"</formula>
    </cfRule>
    <cfRule type="cellIs" dxfId="18067" priority="19338" operator="equal">
      <formula>"C-Off"</formula>
    </cfRule>
    <cfRule type="cellIs" dxfId="18066" priority="19339" operator="equal">
      <formula>"CL-H"</formula>
    </cfRule>
    <cfRule type="cellIs" dxfId="18065" priority="19340" operator="equal">
      <formula>"EL-H"</formula>
    </cfRule>
    <cfRule type="cellIs" dxfId="18064" priority="19341" operator="equal">
      <formula>"CL"</formula>
    </cfRule>
    <cfRule type="cellIs" dxfId="18063" priority="19342" operator="equal">
      <formula>"EL"</formula>
    </cfRule>
  </conditionalFormatting>
  <conditionalFormatting sqref="BO9:BP9">
    <cfRule type="containsText" dxfId="18062" priority="19331" operator="containsText" text="S">
      <formula>NOT(ISERROR(SEARCH("S",BO9)))</formula>
    </cfRule>
    <cfRule type="containsText" dxfId="18061" priority="19332" operator="containsText" text="P">
      <formula>NOT(ISERROR(SEARCH("P",BO9)))</formula>
    </cfRule>
    <cfRule type="containsText" dxfId="18060" priority="19333" operator="containsText" text="H">
      <formula>NOT(ISERROR(SEARCH("H",BO9)))</formula>
    </cfRule>
    <cfRule type="containsText" dxfId="18059" priority="19335" operator="containsText" text="&quot;H&quot;">
      <formula>NOT(ISERROR(SEARCH("""H""",BO9)))</formula>
    </cfRule>
    <cfRule type="containsText" dxfId="18058" priority="19336" operator="containsText" text="&quot;A&quot;">
      <formula>NOT(ISERROR(SEARCH("""A""",BO9)))</formula>
    </cfRule>
  </conditionalFormatting>
  <conditionalFormatting sqref="BO9:BP9">
    <cfRule type="containsText" dxfId="18057" priority="19334" operator="containsText" text="A-H">
      <formula>NOT(ISERROR(SEARCH("A-H",BO9)))</formula>
    </cfRule>
  </conditionalFormatting>
  <conditionalFormatting sqref="CM9">
    <cfRule type="cellIs" dxfId="18056" priority="19325" operator="equal">
      <formula>"C-Off-H"</formula>
    </cfRule>
    <cfRule type="cellIs" dxfId="18055" priority="19326" operator="equal">
      <formula>"C-Off"</formula>
    </cfRule>
    <cfRule type="cellIs" dxfId="18054" priority="19327" operator="equal">
      <formula>"CL-H"</formula>
    </cfRule>
    <cfRule type="cellIs" dxfId="18053" priority="19328" operator="equal">
      <formula>"EL-H"</formula>
    </cfRule>
    <cfRule type="cellIs" dxfId="18052" priority="19329" operator="equal">
      <formula>"CL"</formula>
    </cfRule>
    <cfRule type="cellIs" dxfId="18051" priority="19330" operator="equal">
      <formula>"EL"</formula>
    </cfRule>
  </conditionalFormatting>
  <conditionalFormatting sqref="CM9">
    <cfRule type="cellIs" dxfId="18050" priority="19319" operator="equal">
      <formula>"C-Off-H"</formula>
    </cfRule>
    <cfRule type="cellIs" dxfId="18049" priority="19320" operator="equal">
      <formula>"C-Off"</formula>
    </cfRule>
    <cfRule type="cellIs" dxfId="18048" priority="19321" operator="equal">
      <formula>"CL-H"</formula>
    </cfRule>
    <cfRule type="cellIs" dxfId="18047" priority="19322" operator="equal">
      <formula>"EL-H"</formula>
    </cfRule>
    <cfRule type="cellIs" dxfId="18046" priority="19323" operator="equal">
      <formula>"CL"</formula>
    </cfRule>
    <cfRule type="cellIs" dxfId="18045" priority="19324" operator="equal">
      <formula>"EL"</formula>
    </cfRule>
  </conditionalFormatting>
  <conditionalFormatting sqref="CM9">
    <cfRule type="containsText" dxfId="18044" priority="19313" operator="containsText" text="S">
      <formula>NOT(ISERROR(SEARCH("S",CM9)))</formula>
    </cfRule>
    <cfRule type="containsText" dxfId="18043" priority="19314" operator="containsText" text="P">
      <formula>NOT(ISERROR(SEARCH("P",CM9)))</formula>
    </cfRule>
    <cfRule type="containsText" dxfId="18042" priority="19315" operator="containsText" text="H">
      <formula>NOT(ISERROR(SEARCH("H",CM9)))</formula>
    </cfRule>
    <cfRule type="containsText" dxfId="18041" priority="19317" operator="containsText" text="&quot;H&quot;">
      <formula>NOT(ISERROR(SEARCH("""H""",CM9)))</formula>
    </cfRule>
    <cfRule type="containsText" dxfId="18040" priority="19318" operator="containsText" text="&quot;A&quot;">
      <formula>NOT(ISERROR(SEARCH("""A""",CM9)))</formula>
    </cfRule>
  </conditionalFormatting>
  <conditionalFormatting sqref="CM9">
    <cfRule type="containsText" dxfId="18039" priority="19316" operator="containsText" text="A-H">
      <formula>NOT(ISERROR(SEARCH("A-H",CM9)))</formula>
    </cfRule>
  </conditionalFormatting>
  <conditionalFormatting sqref="V9:W9">
    <cfRule type="cellIs" dxfId="18038" priority="19283" operator="equal">
      <formula>"C-Off-H"</formula>
    </cfRule>
    <cfRule type="cellIs" dxfId="18037" priority="19284" operator="equal">
      <formula>"C-Off"</formula>
    </cfRule>
    <cfRule type="cellIs" dxfId="18036" priority="19285" operator="equal">
      <formula>"CL-H"</formula>
    </cfRule>
    <cfRule type="cellIs" dxfId="18035" priority="19286" operator="equal">
      <formula>"EL-H"</formula>
    </cfRule>
    <cfRule type="cellIs" dxfId="18034" priority="19287" operator="equal">
      <formula>"CL"</formula>
    </cfRule>
    <cfRule type="cellIs" dxfId="18033" priority="19288" operator="equal">
      <formula>"EL"</formula>
    </cfRule>
  </conditionalFormatting>
  <conditionalFormatting sqref="V9:W9">
    <cfRule type="containsText" dxfId="18032" priority="19277" operator="containsText" text="S">
      <formula>NOT(ISERROR(SEARCH("S",V9)))</formula>
    </cfRule>
    <cfRule type="containsText" dxfId="18031" priority="19278" operator="containsText" text="P">
      <formula>NOT(ISERROR(SEARCH("P",V9)))</formula>
    </cfRule>
    <cfRule type="containsText" dxfId="18030" priority="19279" operator="containsText" text="H">
      <formula>NOT(ISERROR(SEARCH("H",V9)))</formula>
    </cfRule>
    <cfRule type="containsText" dxfId="18029" priority="19281" operator="containsText" text="&quot;H&quot;">
      <formula>NOT(ISERROR(SEARCH("""H""",V9)))</formula>
    </cfRule>
    <cfRule type="containsText" dxfId="18028" priority="19282" operator="containsText" text="&quot;A&quot;">
      <formula>NOT(ISERROR(SEARCH("""A""",V9)))</formula>
    </cfRule>
  </conditionalFormatting>
  <conditionalFormatting sqref="V9:W9">
    <cfRule type="containsText" dxfId="18027" priority="19280" operator="containsText" text="A-H">
      <formula>NOT(ISERROR(SEARCH("A-H",V9)))</formula>
    </cfRule>
  </conditionalFormatting>
  <conditionalFormatting sqref="P9:Q9">
    <cfRule type="cellIs" dxfId="18026" priority="19307" operator="equal">
      <formula>"C-Off-H"</formula>
    </cfRule>
    <cfRule type="cellIs" dxfId="18025" priority="19308" operator="equal">
      <formula>"C-Off"</formula>
    </cfRule>
    <cfRule type="cellIs" dxfId="18024" priority="19309" operator="equal">
      <formula>"CL-H"</formula>
    </cfRule>
    <cfRule type="cellIs" dxfId="18023" priority="19310" operator="equal">
      <formula>"EL-H"</formula>
    </cfRule>
    <cfRule type="cellIs" dxfId="18022" priority="19311" operator="equal">
      <formula>"CL"</formula>
    </cfRule>
    <cfRule type="cellIs" dxfId="18021" priority="19312" operator="equal">
      <formula>"EL"</formula>
    </cfRule>
  </conditionalFormatting>
  <conditionalFormatting sqref="P9:Q9">
    <cfRule type="containsText" dxfId="18020" priority="19301" operator="containsText" text="S">
      <formula>NOT(ISERROR(SEARCH("S",P9)))</formula>
    </cfRule>
    <cfRule type="containsText" dxfId="18019" priority="19302" operator="containsText" text="P">
      <formula>NOT(ISERROR(SEARCH("P",P9)))</formula>
    </cfRule>
    <cfRule type="containsText" dxfId="18018" priority="19303" operator="containsText" text="H">
      <formula>NOT(ISERROR(SEARCH("H",P9)))</formula>
    </cfRule>
    <cfRule type="containsText" dxfId="18017" priority="19305" operator="containsText" text="&quot;H&quot;">
      <formula>NOT(ISERROR(SEARCH("""H""",P9)))</formula>
    </cfRule>
    <cfRule type="containsText" dxfId="18016" priority="19306" operator="containsText" text="&quot;A&quot;">
      <formula>NOT(ISERROR(SEARCH("""A""",P9)))</formula>
    </cfRule>
  </conditionalFormatting>
  <conditionalFormatting sqref="P9:Q9">
    <cfRule type="containsText" dxfId="18015" priority="19304" operator="containsText" text="A-H">
      <formula>NOT(ISERROR(SEARCH("A-H",P9)))</formula>
    </cfRule>
  </conditionalFormatting>
  <conditionalFormatting sqref="S9:T9">
    <cfRule type="cellIs" dxfId="18014" priority="19295" operator="equal">
      <formula>"C-Off-H"</formula>
    </cfRule>
    <cfRule type="cellIs" dxfId="18013" priority="19296" operator="equal">
      <formula>"C-Off"</formula>
    </cfRule>
    <cfRule type="cellIs" dxfId="18012" priority="19297" operator="equal">
      <formula>"CL-H"</formula>
    </cfRule>
    <cfRule type="cellIs" dxfId="18011" priority="19298" operator="equal">
      <formula>"EL-H"</formula>
    </cfRule>
    <cfRule type="cellIs" dxfId="18010" priority="19299" operator="equal">
      <formula>"CL"</formula>
    </cfRule>
    <cfRule type="cellIs" dxfId="18009" priority="19300" operator="equal">
      <formula>"EL"</formula>
    </cfRule>
  </conditionalFormatting>
  <conditionalFormatting sqref="S9:T9">
    <cfRule type="containsText" dxfId="18008" priority="19289" operator="containsText" text="S">
      <formula>NOT(ISERROR(SEARCH("S",S9)))</formula>
    </cfRule>
    <cfRule type="containsText" dxfId="18007" priority="19290" operator="containsText" text="P">
      <formula>NOT(ISERROR(SEARCH("P",S9)))</formula>
    </cfRule>
    <cfRule type="containsText" dxfId="18006" priority="19291" operator="containsText" text="H">
      <formula>NOT(ISERROR(SEARCH("H",S9)))</formula>
    </cfRule>
    <cfRule type="containsText" dxfId="18005" priority="19293" operator="containsText" text="&quot;H&quot;">
      <formula>NOT(ISERROR(SEARCH("""H""",S9)))</formula>
    </cfRule>
    <cfRule type="containsText" dxfId="18004" priority="19294" operator="containsText" text="&quot;A&quot;">
      <formula>NOT(ISERROR(SEARCH("""A""",S9)))</formula>
    </cfRule>
  </conditionalFormatting>
  <conditionalFormatting sqref="S9:T9">
    <cfRule type="containsText" dxfId="18003" priority="19292" operator="containsText" text="A-H">
      <formula>NOT(ISERROR(SEARCH("A-H",S9)))</formula>
    </cfRule>
  </conditionalFormatting>
  <conditionalFormatting sqref="AB9:AC9">
    <cfRule type="cellIs" dxfId="18002" priority="19271" operator="equal">
      <formula>"C-Off-H"</formula>
    </cfRule>
    <cfRule type="cellIs" dxfId="18001" priority="19272" operator="equal">
      <formula>"C-Off"</formula>
    </cfRule>
    <cfRule type="cellIs" dxfId="18000" priority="19273" operator="equal">
      <formula>"CL-H"</formula>
    </cfRule>
    <cfRule type="cellIs" dxfId="17999" priority="19274" operator="equal">
      <formula>"EL-H"</formula>
    </cfRule>
    <cfRule type="cellIs" dxfId="17998" priority="19275" operator="equal">
      <formula>"CL"</formula>
    </cfRule>
    <cfRule type="cellIs" dxfId="17997" priority="19276" operator="equal">
      <formula>"EL"</formula>
    </cfRule>
  </conditionalFormatting>
  <conditionalFormatting sqref="AB9:AC9">
    <cfRule type="containsText" dxfId="17996" priority="19265" operator="containsText" text="S">
      <formula>NOT(ISERROR(SEARCH("S",AB9)))</formula>
    </cfRule>
    <cfRule type="containsText" dxfId="17995" priority="19266" operator="containsText" text="P">
      <formula>NOT(ISERROR(SEARCH("P",AB9)))</formula>
    </cfRule>
    <cfRule type="containsText" dxfId="17994" priority="19267" operator="containsText" text="H">
      <formula>NOT(ISERROR(SEARCH("H",AB9)))</formula>
    </cfRule>
    <cfRule type="containsText" dxfId="17993" priority="19269" operator="containsText" text="&quot;H&quot;">
      <formula>NOT(ISERROR(SEARCH("""H""",AB9)))</formula>
    </cfRule>
    <cfRule type="containsText" dxfId="17992" priority="19270" operator="containsText" text="&quot;A&quot;">
      <formula>NOT(ISERROR(SEARCH("""A""",AB9)))</formula>
    </cfRule>
  </conditionalFormatting>
  <conditionalFormatting sqref="AB9:AC9">
    <cfRule type="containsText" dxfId="17991" priority="19268" operator="containsText" text="A-H">
      <formula>NOT(ISERROR(SEARCH("A-H",AB9)))</formula>
    </cfRule>
  </conditionalFormatting>
  <conditionalFormatting sqref="AE9">
    <cfRule type="cellIs" dxfId="17990" priority="19259" operator="equal">
      <formula>"C-Off-H"</formula>
    </cfRule>
    <cfRule type="cellIs" dxfId="17989" priority="19260" operator="equal">
      <formula>"C-Off"</formula>
    </cfRule>
    <cfRule type="cellIs" dxfId="17988" priority="19261" operator="equal">
      <formula>"CL-H"</formula>
    </cfRule>
    <cfRule type="cellIs" dxfId="17987" priority="19262" operator="equal">
      <formula>"EL-H"</formula>
    </cfRule>
    <cfRule type="cellIs" dxfId="17986" priority="19263" operator="equal">
      <formula>"CL"</formula>
    </cfRule>
    <cfRule type="cellIs" dxfId="17985" priority="19264" operator="equal">
      <formula>"EL"</formula>
    </cfRule>
  </conditionalFormatting>
  <conditionalFormatting sqref="AE9">
    <cfRule type="containsText" dxfId="17984" priority="19253" operator="containsText" text="S">
      <formula>NOT(ISERROR(SEARCH("S",AE9)))</formula>
    </cfRule>
    <cfRule type="containsText" dxfId="17983" priority="19254" operator="containsText" text="P">
      <formula>NOT(ISERROR(SEARCH("P",AE9)))</formula>
    </cfRule>
    <cfRule type="containsText" dxfId="17982" priority="19255" operator="containsText" text="H">
      <formula>NOT(ISERROR(SEARCH("H",AE9)))</formula>
    </cfRule>
    <cfRule type="containsText" dxfId="17981" priority="19257" operator="containsText" text="&quot;H&quot;">
      <formula>NOT(ISERROR(SEARCH("""H""",AE9)))</formula>
    </cfRule>
    <cfRule type="containsText" dxfId="17980" priority="19258" operator="containsText" text="&quot;A&quot;">
      <formula>NOT(ISERROR(SEARCH("""A""",AE9)))</formula>
    </cfRule>
  </conditionalFormatting>
  <conditionalFormatting sqref="AE9">
    <cfRule type="containsText" dxfId="17979" priority="19256" operator="containsText" text="A-H">
      <formula>NOT(ISERROR(SEARCH("A-H",AE9)))</formula>
    </cfRule>
  </conditionalFormatting>
  <conditionalFormatting sqref="AK9:AL9">
    <cfRule type="cellIs" dxfId="17978" priority="19247" operator="equal">
      <formula>"C-Off-H"</formula>
    </cfRule>
    <cfRule type="cellIs" dxfId="17977" priority="19248" operator="equal">
      <formula>"C-Off"</formula>
    </cfRule>
    <cfRule type="cellIs" dxfId="17976" priority="19249" operator="equal">
      <formula>"CL-H"</formula>
    </cfRule>
    <cfRule type="cellIs" dxfId="17975" priority="19250" operator="equal">
      <formula>"EL-H"</formula>
    </cfRule>
    <cfRule type="cellIs" dxfId="17974" priority="19251" operator="equal">
      <formula>"CL"</formula>
    </cfRule>
    <cfRule type="cellIs" dxfId="17973" priority="19252" operator="equal">
      <formula>"EL"</formula>
    </cfRule>
  </conditionalFormatting>
  <conditionalFormatting sqref="AK9:AL9">
    <cfRule type="containsText" dxfId="17972" priority="19241" operator="containsText" text="S">
      <formula>NOT(ISERROR(SEARCH("S",AK9)))</formula>
    </cfRule>
    <cfRule type="containsText" dxfId="17971" priority="19242" operator="containsText" text="P">
      <formula>NOT(ISERROR(SEARCH("P",AK9)))</formula>
    </cfRule>
    <cfRule type="containsText" dxfId="17970" priority="19243" operator="containsText" text="H">
      <formula>NOT(ISERROR(SEARCH("H",AK9)))</formula>
    </cfRule>
    <cfRule type="containsText" dxfId="17969" priority="19245" operator="containsText" text="&quot;H&quot;">
      <formula>NOT(ISERROR(SEARCH("""H""",AK9)))</formula>
    </cfRule>
    <cfRule type="containsText" dxfId="17968" priority="19246" operator="containsText" text="&quot;A&quot;">
      <formula>NOT(ISERROR(SEARCH("""A""",AK9)))</formula>
    </cfRule>
  </conditionalFormatting>
  <conditionalFormatting sqref="AK9:AL9">
    <cfRule type="containsText" dxfId="17967" priority="19244" operator="containsText" text="A-H">
      <formula>NOT(ISERROR(SEARCH("A-H",AK9)))</formula>
    </cfRule>
  </conditionalFormatting>
  <conditionalFormatting sqref="AN9:AO9">
    <cfRule type="cellIs" dxfId="17966" priority="19235" operator="equal">
      <formula>"C-Off-H"</formula>
    </cfRule>
    <cfRule type="cellIs" dxfId="17965" priority="19236" operator="equal">
      <formula>"C-Off"</formula>
    </cfRule>
    <cfRule type="cellIs" dxfId="17964" priority="19237" operator="equal">
      <formula>"CL-H"</formula>
    </cfRule>
    <cfRule type="cellIs" dxfId="17963" priority="19238" operator="equal">
      <formula>"EL-H"</formula>
    </cfRule>
    <cfRule type="cellIs" dxfId="17962" priority="19239" operator="equal">
      <formula>"CL"</formula>
    </cfRule>
    <cfRule type="cellIs" dxfId="17961" priority="19240" operator="equal">
      <formula>"EL"</formula>
    </cfRule>
  </conditionalFormatting>
  <conditionalFormatting sqref="AN9:AO9">
    <cfRule type="containsText" dxfId="17960" priority="19229" operator="containsText" text="S">
      <formula>NOT(ISERROR(SEARCH("S",AN9)))</formula>
    </cfRule>
    <cfRule type="containsText" dxfId="17959" priority="19230" operator="containsText" text="P">
      <formula>NOT(ISERROR(SEARCH("P",AN9)))</formula>
    </cfRule>
    <cfRule type="containsText" dxfId="17958" priority="19231" operator="containsText" text="H">
      <formula>NOT(ISERROR(SEARCH("H",AN9)))</formula>
    </cfRule>
    <cfRule type="containsText" dxfId="17957" priority="19233" operator="containsText" text="&quot;H&quot;">
      <formula>NOT(ISERROR(SEARCH("""H""",AN9)))</formula>
    </cfRule>
    <cfRule type="containsText" dxfId="17956" priority="19234" operator="containsText" text="&quot;A&quot;">
      <formula>NOT(ISERROR(SEARCH("""A""",AN9)))</formula>
    </cfRule>
  </conditionalFormatting>
  <conditionalFormatting sqref="AN9:AO9">
    <cfRule type="containsText" dxfId="17955" priority="19232" operator="containsText" text="A-H">
      <formula>NOT(ISERROR(SEARCH("A-H",AN9)))</formula>
    </cfRule>
  </conditionalFormatting>
  <conditionalFormatting sqref="AQ9:AR9">
    <cfRule type="cellIs" dxfId="17954" priority="19223" operator="equal">
      <formula>"C-Off-H"</formula>
    </cfRule>
    <cfRule type="cellIs" dxfId="17953" priority="19224" operator="equal">
      <formula>"C-Off"</formula>
    </cfRule>
    <cfRule type="cellIs" dxfId="17952" priority="19225" operator="equal">
      <formula>"CL-H"</formula>
    </cfRule>
    <cfRule type="cellIs" dxfId="17951" priority="19226" operator="equal">
      <formula>"EL-H"</formula>
    </cfRule>
    <cfRule type="cellIs" dxfId="17950" priority="19227" operator="equal">
      <formula>"CL"</formula>
    </cfRule>
    <cfRule type="cellIs" dxfId="17949" priority="19228" operator="equal">
      <formula>"EL"</formula>
    </cfRule>
  </conditionalFormatting>
  <conditionalFormatting sqref="AQ9:AR9">
    <cfRule type="containsText" dxfId="17948" priority="19217" operator="containsText" text="S">
      <formula>NOT(ISERROR(SEARCH("S",AQ9)))</formula>
    </cfRule>
    <cfRule type="containsText" dxfId="17947" priority="19218" operator="containsText" text="P">
      <formula>NOT(ISERROR(SEARCH("P",AQ9)))</formula>
    </cfRule>
    <cfRule type="containsText" dxfId="17946" priority="19219" operator="containsText" text="H">
      <formula>NOT(ISERROR(SEARCH("H",AQ9)))</formula>
    </cfRule>
    <cfRule type="containsText" dxfId="17945" priority="19221" operator="containsText" text="&quot;H&quot;">
      <formula>NOT(ISERROR(SEARCH("""H""",AQ9)))</formula>
    </cfRule>
    <cfRule type="containsText" dxfId="17944" priority="19222" operator="containsText" text="&quot;A&quot;">
      <formula>NOT(ISERROR(SEARCH("""A""",AQ9)))</formula>
    </cfRule>
  </conditionalFormatting>
  <conditionalFormatting sqref="AQ9:AR9">
    <cfRule type="containsText" dxfId="17943" priority="19220" operator="containsText" text="A-H">
      <formula>NOT(ISERROR(SEARCH("A-H",AQ9)))</formula>
    </cfRule>
  </conditionalFormatting>
  <conditionalFormatting sqref="AW9:AX9">
    <cfRule type="cellIs" dxfId="17942" priority="19211" operator="equal">
      <formula>"C-Off-H"</formula>
    </cfRule>
    <cfRule type="cellIs" dxfId="17941" priority="19212" operator="equal">
      <formula>"C-Off"</formula>
    </cfRule>
    <cfRule type="cellIs" dxfId="17940" priority="19213" operator="equal">
      <formula>"CL-H"</formula>
    </cfRule>
    <cfRule type="cellIs" dxfId="17939" priority="19214" operator="equal">
      <formula>"EL-H"</formula>
    </cfRule>
    <cfRule type="cellIs" dxfId="17938" priority="19215" operator="equal">
      <formula>"CL"</formula>
    </cfRule>
    <cfRule type="cellIs" dxfId="17937" priority="19216" operator="equal">
      <formula>"EL"</formula>
    </cfRule>
  </conditionalFormatting>
  <conditionalFormatting sqref="AW9:AX9">
    <cfRule type="containsText" dxfId="17936" priority="19205" operator="containsText" text="S">
      <formula>NOT(ISERROR(SEARCH("S",AW9)))</formula>
    </cfRule>
    <cfRule type="containsText" dxfId="17935" priority="19206" operator="containsText" text="P">
      <formula>NOT(ISERROR(SEARCH("P",AW9)))</formula>
    </cfRule>
    <cfRule type="containsText" dxfId="17934" priority="19207" operator="containsText" text="H">
      <formula>NOT(ISERROR(SEARCH("H",AW9)))</formula>
    </cfRule>
    <cfRule type="containsText" dxfId="17933" priority="19209" operator="containsText" text="&quot;H&quot;">
      <formula>NOT(ISERROR(SEARCH("""H""",AW9)))</formula>
    </cfRule>
    <cfRule type="containsText" dxfId="17932" priority="19210" operator="containsText" text="&quot;A&quot;">
      <formula>NOT(ISERROR(SEARCH("""A""",AW9)))</formula>
    </cfRule>
  </conditionalFormatting>
  <conditionalFormatting sqref="AW9:AX9">
    <cfRule type="containsText" dxfId="17931" priority="19208" operator="containsText" text="A-H">
      <formula>NOT(ISERROR(SEARCH("A-H",AW9)))</formula>
    </cfRule>
  </conditionalFormatting>
  <conditionalFormatting sqref="AZ9:BA9">
    <cfRule type="cellIs" dxfId="17930" priority="19199" operator="equal">
      <formula>"C-Off-H"</formula>
    </cfRule>
    <cfRule type="cellIs" dxfId="17929" priority="19200" operator="equal">
      <formula>"C-Off"</formula>
    </cfRule>
    <cfRule type="cellIs" dxfId="17928" priority="19201" operator="equal">
      <formula>"CL-H"</formula>
    </cfRule>
    <cfRule type="cellIs" dxfId="17927" priority="19202" operator="equal">
      <formula>"EL-H"</formula>
    </cfRule>
    <cfRule type="cellIs" dxfId="17926" priority="19203" operator="equal">
      <formula>"CL"</formula>
    </cfRule>
    <cfRule type="cellIs" dxfId="17925" priority="19204" operator="equal">
      <formula>"EL"</formula>
    </cfRule>
  </conditionalFormatting>
  <conditionalFormatting sqref="AZ9:BA9">
    <cfRule type="containsText" dxfId="17924" priority="19193" operator="containsText" text="S">
      <formula>NOT(ISERROR(SEARCH("S",AZ9)))</formula>
    </cfRule>
    <cfRule type="containsText" dxfId="17923" priority="19194" operator="containsText" text="P">
      <formula>NOT(ISERROR(SEARCH("P",AZ9)))</formula>
    </cfRule>
    <cfRule type="containsText" dxfId="17922" priority="19195" operator="containsText" text="H">
      <formula>NOT(ISERROR(SEARCH("H",AZ9)))</formula>
    </cfRule>
    <cfRule type="containsText" dxfId="17921" priority="19197" operator="containsText" text="&quot;H&quot;">
      <formula>NOT(ISERROR(SEARCH("""H""",AZ9)))</formula>
    </cfRule>
    <cfRule type="containsText" dxfId="17920" priority="19198" operator="containsText" text="&quot;A&quot;">
      <formula>NOT(ISERROR(SEARCH("""A""",AZ9)))</formula>
    </cfRule>
  </conditionalFormatting>
  <conditionalFormatting sqref="AZ9:BA9">
    <cfRule type="containsText" dxfId="17919" priority="19196" operator="containsText" text="A-H">
      <formula>NOT(ISERROR(SEARCH("A-H",AZ9)))</formula>
    </cfRule>
  </conditionalFormatting>
  <conditionalFormatting sqref="BC9:BD9">
    <cfRule type="cellIs" dxfId="17918" priority="19187" operator="equal">
      <formula>"C-Off-H"</formula>
    </cfRule>
    <cfRule type="cellIs" dxfId="17917" priority="19188" operator="equal">
      <formula>"C-Off"</formula>
    </cfRule>
    <cfRule type="cellIs" dxfId="17916" priority="19189" operator="equal">
      <formula>"CL-H"</formula>
    </cfRule>
    <cfRule type="cellIs" dxfId="17915" priority="19190" operator="equal">
      <formula>"EL-H"</formula>
    </cfRule>
    <cfRule type="cellIs" dxfId="17914" priority="19191" operator="equal">
      <formula>"CL"</formula>
    </cfRule>
    <cfRule type="cellIs" dxfId="17913" priority="19192" operator="equal">
      <formula>"EL"</formula>
    </cfRule>
  </conditionalFormatting>
  <conditionalFormatting sqref="BC9:BD9">
    <cfRule type="containsText" dxfId="17912" priority="19181" operator="containsText" text="S">
      <formula>NOT(ISERROR(SEARCH("S",BC9)))</formula>
    </cfRule>
    <cfRule type="containsText" dxfId="17911" priority="19182" operator="containsText" text="P">
      <formula>NOT(ISERROR(SEARCH("P",BC9)))</formula>
    </cfRule>
    <cfRule type="containsText" dxfId="17910" priority="19183" operator="containsText" text="H">
      <formula>NOT(ISERROR(SEARCH("H",BC9)))</formula>
    </cfRule>
    <cfRule type="containsText" dxfId="17909" priority="19185" operator="containsText" text="&quot;H&quot;">
      <formula>NOT(ISERROR(SEARCH("""H""",BC9)))</formula>
    </cfRule>
    <cfRule type="containsText" dxfId="17908" priority="19186" operator="containsText" text="&quot;A&quot;">
      <formula>NOT(ISERROR(SEARCH("""A""",BC9)))</formula>
    </cfRule>
  </conditionalFormatting>
  <conditionalFormatting sqref="BC9:BD9">
    <cfRule type="containsText" dxfId="17907" priority="19184" operator="containsText" text="A-H">
      <formula>NOT(ISERROR(SEARCH("A-H",BC9)))</formula>
    </cfRule>
  </conditionalFormatting>
  <conditionalFormatting sqref="BF9:BG9">
    <cfRule type="cellIs" dxfId="17906" priority="19175" operator="equal">
      <formula>"C-Off-H"</formula>
    </cfRule>
    <cfRule type="cellIs" dxfId="17905" priority="19176" operator="equal">
      <formula>"C-Off"</formula>
    </cfRule>
    <cfRule type="cellIs" dxfId="17904" priority="19177" operator="equal">
      <formula>"CL-H"</formula>
    </cfRule>
    <cfRule type="cellIs" dxfId="17903" priority="19178" operator="equal">
      <formula>"EL-H"</formula>
    </cfRule>
    <cfRule type="cellIs" dxfId="17902" priority="19179" operator="equal">
      <formula>"CL"</formula>
    </cfRule>
    <cfRule type="cellIs" dxfId="17901" priority="19180" operator="equal">
      <formula>"EL"</formula>
    </cfRule>
  </conditionalFormatting>
  <conditionalFormatting sqref="BF9:BG9">
    <cfRule type="containsText" dxfId="17900" priority="19169" operator="containsText" text="S">
      <formula>NOT(ISERROR(SEARCH("S",BF9)))</formula>
    </cfRule>
    <cfRule type="containsText" dxfId="17899" priority="19170" operator="containsText" text="P">
      <formula>NOT(ISERROR(SEARCH("P",BF9)))</formula>
    </cfRule>
    <cfRule type="containsText" dxfId="17898" priority="19171" operator="containsText" text="H">
      <formula>NOT(ISERROR(SEARCH("H",BF9)))</formula>
    </cfRule>
    <cfRule type="containsText" dxfId="17897" priority="19173" operator="containsText" text="&quot;H&quot;">
      <formula>NOT(ISERROR(SEARCH("""H""",BF9)))</formula>
    </cfRule>
    <cfRule type="containsText" dxfId="17896" priority="19174" operator="containsText" text="&quot;A&quot;">
      <formula>NOT(ISERROR(SEARCH("""A""",BF9)))</formula>
    </cfRule>
  </conditionalFormatting>
  <conditionalFormatting sqref="BF9:BG9">
    <cfRule type="containsText" dxfId="17895" priority="19172" operator="containsText" text="A-H">
      <formula>NOT(ISERROR(SEARCH("A-H",BF9)))</formula>
    </cfRule>
  </conditionalFormatting>
  <conditionalFormatting sqref="BI9:BJ9">
    <cfRule type="cellIs" dxfId="17894" priority="19163" operator="equal">
      <formula>"C-Off-H"</formula>
    </cfRule>
    <cfRule type="cellIs" dxfId="17893" priority="19164" operator="equal">
      <formula>"C-Off"</formula>
    </cfRule>
    <cfRule type="cellIs" dxfId="17892" priority="19165" operator="equal">
      <formula>"CL-H"</formula>
    </cfRule>
    <cfRule type="cellIs" dxfId="17891" priority="19166" operator="equal">
      <formula>"EL-H"</formula>
    </cfRule>
    <cfRule type="cellIs" dxfId="17890" priority="19167" operator="equal">
      <formula>"CL"</formula>
    </cfRule>
    <cfRule type="cellIs" dxfId="17889" priority="19168" operator="equal">
      <formula>"EL"</formula>
    </cfRule>
  </conditionalFormatting>
  <conditionalFormatting sqref="BI9:BJ9">
    <cfRule type="containsText" dxfId="17888" priority="19157" operator="containsText" text="S">
      <formula>NOT(ISERROR(SEARCH("S",BI9)))</formula>
    </cfRule>
    <cfRule type="containsText" dxfId="17887" priority="19158" operator="containsText" text="P">
      <formula>NOT(ISERROR(SEARCH("P",BI9)))</formula>
    </cfRule>
    <cfRule type="containsText" dxfId="17886" priority="19159" operator="containsText" text="H">
      <formula>NOT(ISERROR(SEARCH("H",BI9)))</formula>
    </cfRule>
    <cfRule type="containsText" dxfId="17885" priority="19161" operator="containsText" text="&quot;H&quot;">
      <formula>NOT(ISERROR(SEARCH("""H""",BI9)))</formula>
    </cfRule>
    <cfRule type="containsText" dxfId="17884" priority="19162" operator="containsText" text="&quot;A&quot;">
      <formula>NOT(ISERROR(SEARCH("""A""",BI9)))</formula>
    </cfRule>
  </conditionalFormatting>
  <conditionalFormatting sqref="BI9:BJ9">
    <cfRule type="containsText" dxfId="17883" priority="19160" operator="containsText" text="A-H">
      <formula>NOT(ISERROR(SEARCH("A-H",BI9)))</formula>
    </cfRule>
  </conditionalFormatting>
  <conditionalFormatting sqref="BL9:BM9">
    <cfRule type="cellIs" dxfId="17882" priority="19151" operator="equal">
      <formula>"C-Off-H"</formula>
    </cfRule>
    <cfRule type="cellIs" dxfId="17881" priority="19152" operator="equal">
      <formula>"C-Off"</formula>
    </cfRule>
    <cfRule type="cellIs" dxfId="17880" priority="19153" operator="equal">
      <formula>"CL-H"</formula>
    </cfRule>
    <cfRule type="cellIs" dxfId="17879" priority="19154" operator="equal">
      <formula>"EL-H"</formula>
    </cfRule>
    <cfRule type="cellIs" dxfId="17878" priority="19155" operator="equal">
      <formula>"CL"</formula>
    </cfRule>
    <cfRule type="cellIs" dxfId="17877" priority="19156" operator="equal">
      <formula>"EL"</formula>
    </cfRule>
  </conditionalFormatting>
  <conditionalFormatting sqref="BL9:BM9">
    <cfRule type="containsText" dxfId="17876" priority="19145" operator="containsText" text="S">
      <formula>NOT(ISERROR(SEARCH("S",BL9)))</formula>
    </cfRule>
    <cfRule type="containsText" dxfId="17875" priority="19146" operator="containsText" text="P">
      <formula>NOT(ISERROR(SEARCH("P",BL9)))</formula>
    </cfRule>
    <cfRule type="containsText" dxfId="17874" priority="19147" operator="containsText" text="H">
      <formula>NOT(ISERROR(SEARCH("H",BL9)))</formula>
    </cfRule>
    <cfRule type="containsText" dxfId="17873" priority="19149" operator="containsText" text="&quot;H&quot;">
      <formula>NOT(ISERROR(SEARCH("""H""",BL9)))</formula>
    </cfRule>
    <cfRule type="containsText" dxfId="17872" priority="19150" operator="containsText" text="&quot;A&quot;">
      <formula>NOT(ISERROR(SEARCH("""A""",BL9)))</formula>
    </cfRule>
  </conditionalFormatting>
  <conditionalFormatting sqref="BL9:BM9">
    <cfRule type="containsText" dxfId="17871" priority="19148" operator="containsText" text="A-H">
      <formula>NOT(ISERROR(SEARCH("A-H",BL9)))</formula>
    </cfRule>
  </conditionalFormatting>
  <conditionalFormatting sqref="BR9:BS9">
    <cfRule type="cellIs" dxfId="17870" priority="19139" operator="equal">
      <formula>"C-Off-H"</formula>
    </cfRule>
    <cfRule type="cellIs" dxfId="17869" priority="19140" operator="equal">
      <formula>"C-Off"</formula>
    </cfRule>
    <cfRule type="cellIs" dxfId="17868" priority="19141" operator="equal">
      <formula>"CL-H"</formula>
    </cfRule>
    <cfRule type="cellIs" dxfId="17867" priority="19142" operator="equal">
      <formula>"EL-H"</formula>
    </cfRule>
    <cfRule type="cellIs" dxfId="17866" priority="19143" operator="equal">
      <formula>"CL"</formula>
    </cfRule>
    <cfRule type="cellIs" dxfId="17865" priority="19144" operator="equal">
      <formula>"EL"</formula>
    </cfRule>
  </conditionalFormatting>
  <conditionalFormatting sqref="BR9:BS9">
    <cfRule type="containsText" dxfId="17864" priority="19133" operator="containsText" text="S">
      <formula>NOT(ISERROR(SEARCH("S",BR9)))</formula>
    </cfRule>
    <cfRule type="containsText" dxfId="17863" priority="19134" operator="containsText" text="P">
      <formula>NOT(ISERROR(SEARCH("P",BR9)))</formula>
    </cfRule>
    <cfRule type="containsText" dxfId="17862" priority="19135" operator="containsText" text="H">
      <formula>NOT(ISERROR(SEARCH("H",BR9)))</formula>
    </cfRule>
    <cfRule type="containsText" dxfId="17861" priority="19137" operator="containsText" text="&quot;H&quot;">
      <formula>NOT(ISERROR(SEARCH("""H""",BR9)))</formula>
    </cfRule>
    <cfRule type="containsText" dxfId="17860" priority="19138" operator="containsText" text="&quot;A&quot;">
      <formula>NOT(ISERROR(SEARCH("""A""",BR9)))</formula>
    </cfRule>
  </conditionalFormatting>
  <conditionalFormatting sqref="BR9:BS9">
    <cfRule type="containsText" dxfId="17859" priority="19136" operator="containsText" text="A-H">
      <formula>NOT(ISERROR(SEARCH("A-H",BR9)))</formula>
    </cfRule>
  </conditionalFormatting>
  <conditionalFormatting sqref="BU9:BV9">
    <cfRule type="cellIs" dxfId="17858" priority="19127" operator="equal">
      <formula>"C-Off-H"</formula>
    </cfRule>
    <cfRule type="cellIs" dxfId="17857" priority="19128" operator="equal">
      <formula>"C-Off"</formula>
    </cfRule>
    <cfRule type="cellIs" dxfId="17856" priority="19129" operator="equal">
      <formula>"CL-H"</formula>
    </cfRule>
    <cfRule type="cellIs" dxfId="17855" priority="19130" operator="equal">
      <formula>"EL-H"</formula>
    </cfRule>
    <cfRule type="cellIs" dxfId="17854" priority="19131" operator="equal">
      <formula>"CL"</formula>
    </cfRule>
    <cfRule type="cellIs" dxfId="17853" priority="19132" operator="equal">
      <formula>"EL"</formula>
    </cfRule>
  </conditionalFormatting>
  <conditionalFormatting sqref="BU9:BV9">
    <cfRule type="containsText" dxfId="17852" priority="19121" operator="containsText" text="S">
      <formula>NOT(ISERROR(SEARCH("S",BU9)))</formula>
    </cfRule>
    <cfRule type="containsText" dxfId="17851" priority="19122" operator="containsText" text="P">
      <formula>NOT(ISERROR(SEARCH("P",BU9)))</formula>
    </cfRule>
    <cfRule type="containsText" dxfId="17850" priority="19123" operator="containsText" text="H">
      <formula>NOT(ISERROR(SEARCH("H",BU9)))</formula>
    </cfRule>
    <cfRule type="containsText" dxfId="17849" priority="19125" operator="containsText" text="&quot;H&quot;">
      <formula>NOT(ISERROR(SEARCH("""H""",BU9)))</formula>
    </cfRule>
    <cfRule type="containsText" dxfId="17848" priority="19126" operator="containsText" text="&quot;A&quot;">
      <formula>NOT(ISERROR(SEARCH("""A""",BU9)))</formula>
    </cfRule>
  </conditionalFormatting>
  <conditionalFormatting sqref="BU9:BV9">
    <cfRule type="containsText" dxfId="17847" priority="19124" operator="containsText" text="A-H">
      <formula>NOT(ISERROR(SEARCH("A-H",BU9)))</formula>
    </cfRule>
  </conditionalFormatting>
  <conditionalFormatting sqref="BY9">
    <cfRule type="cellIs" dxfId="17846" priority="19115" operator="equal">
      <formula>"C-Off-H"</formula>
    </cfRule>
    <cfRule type="cellIs" dxfId="17845" priority="19116" operator="equal">
      <formula>"C-Off"</formula>
    </cfRule>
    <cfRule type="cellIs" dxfId="17844" priority="19117" operator="equal">
      <formula>"CL-H"</formula>
    </cfRule>
    <cfRule type="cellIs" dxfId="17843" priority="19118" operator="equal">
      <formula>"EL-H"</formula>
    </cfRule>
    <cfRule type="cellIs" dxfId="17842" priority="19119" operator="equal">
      <formula>"CL"</formula>
    </cfRule>
    <cfRule type="cellIs" dxfId="17841" priority="19120" operator="equal">
      <formula>"EL"</formula>
    </cfRule>
  </conditionalFormatting>
  <conditionalFormatting sqref="BY9">
    <cfRule type="containsText" dxfId="17840" priority="19109" operator="containsText" text="S">
      <formula>NOT(ISERROR(SEARCH("S",BY9)))</formula>
    </cfRule>
    <cfRule type="containsText" dxfId="17839" priority="19110" operator="containsText" text="P">
      <formula>NOT(ISERROR(SEARCH("P",BY9)))</formula>
    </cfRule>
    <cfRule type="containsText" dxfId="17838" priority="19111" operator="containsText" text="H">
      <formula>NOT(ISERROR(SEARCH("H",BY9)))</formula>
    </cfRule>
    <cfRule type="containsText" dxfId="17837" priority="19113" operator="containsText" text="&quot;H&quot;">
      <formula>NOT(ISERROR(SEARCH("""H""",BY9)))</formula>
    </cfRule>
    <cfRule type="containsText" dxfId="17836" priority="19114" operator="containsText" text="&quot;A&quot;">
      <formula>NOT(ISERROR(SEARCH("""A""",BY9)))</formula>
    </cfRule>
  </conditionalFormatting>
  <conditionalFormatting sqref="BY9">
    <cfRule type="containsText" dxfId="17835" priority="19112" operator="containsText" text="A-H">
      <formula>NOT(ISERROR(SEARCH("A-H",BY9)))</formula>
    </cfRule>
  </conditionalFormatting>
  <conditionalFormatting sqref="BX9">
    <cfRule type="cellIs" dxfId="17834" priority="19103" operator="equal">
      <formula>"C-Off-H"</formula>
    </cfRule>
    <cfRule type="cellIs" dxfId="17833" priority="19104" operator="equal">
      <formula>"C-Off"</formula>
    </cfRule>
    <cfRule type="cellIs" dxfId="17832" priority="19105" operator="equal">
      <formula>"CL-H"</formula>
    </cfRule>
    <cfRule type="cellIs" dxfId="17831" priority="19106" operator="equal">
      <formula>"EL-H"</formula>
    </cfRule>
    <cfRule type="cellIs" dxfId="17830" priority="19107" operator="equal">
      <formula>"CL"</formula>
    </cfRule>
    <cfRule type="cellIs" dxfId="17829" priority="19108" operator="equal">
      <formula>"EL"</formula>
    </cfRule>
  </conditionalFormatting>
  <conditionalFormatting sqref="BX9">
    <cfRule type="containsText" dxfId="17828" priority="19097" operator="containsText" text="S">
      <formula>NOT(ISERROR(SEARCH("S",BX9)))</formula>
    </cfRule>
    <cfRule type="containsText" dxfId="17827" priority="19098" operator="containsText" text="P">
      <formula>NOT(ISERROR(SEARCH("P",BX9)))</formula>
    </cfRule>
    <cfRule type="containsText" dxfId="17826" priority="19099" operator="containsText" text="H">
      <formula>NOT(ISERROR(SEARCH("H",BX9)))</formula>
    </cfRule>
    <cfRule type="containsText" dxfId="17825" priority="19101" operator="containsText" text="&quot;H&quot;">
      <formula>NOT(ISERROR(SEARCH("""H""",BX9)))</formula>
    </cfRule>
    <cfRule type="containsText" dxfId="17824" priority="19102" operator="containsText" text="&quot;A&quot;">
      <formula>NOT(ISERROR(SEARCH("""A""",BX9)))</formula>
    </cfRule>
  </conditionalFormatting>
  <conditionalFormatting sqref="BX9">
    <cfRule type="containsText" dxfId="17823" priority="19100" operator="containsText" text="A-H">
      <formula>NOT(ISERROR(SEARCH("A-H",BX9)))</formula>
    </cfRule>
  </conditionalFormatting>
  <conditionalFormatting sqref="J9:K9">
    <cfRule type="cellIs" dxfId="17822" priority="19091" operator="equal">
      <formula>"C-Off-H"</formula>
    </cfRule>
    <cfRule type="cellIs" dxfId="17821" priority="19092" operator="equal">
      <formula>"C-Off"</formula>
    </cfRule>
    <cfRule type="cellIs" dxfId="17820" priority="19093" operator="equal">
      <formula>"CL-H"</formula>
    </cfRule>
    <cfRule type="cellIs" dxfId="17819" priority="19094" operator="equal">
      <formula>"EL-H"</formula>
    </cfRule>
    <cfRule type="cellIs" dxfId="17818" priority="19095" operator="equal">
      <formula>"CL"</formula>
    </cfRule>
    <cfRule type="cellIs" dxfId="17817" priority="19096" operator="equal">
      <formula>"EL"</formula>
    </cfRule>
  </conditionalFormatting>
  <conditionalFormatting sqref="J9:K9">
    <cfRule type="containsText" dxfId="17816" priority="19085" operator="containsText" text="S">
      <formula>NOT(ISERROR(SEARCH("S",J9)))</formula>
    </cfRule>
    <cfRule type="containsText" dxfId="17815" priority="19086" operator="containsText" text="P">
      <formula>NOT(ISERROR(SEARCH("P",J9)))</formula>
    </cfRule>
    <cfRule type="containsText" dxfId="17814" priority="19087" operator="containsText" text="H">
      <formula>NOT(ISERROR(SEARCH("H",J9)))</formula>
    </cfRule>
    <cfRule type="containsText" dxfId="17813" priority="19089" operator="containsText" text="&quot;H&quot;">
      <formula>NOT(ISERROR(SEARCH("""H""",J9)))</formula>
    </cfRule>
    <cfRule type="containsText" dxfId="17812" priority="19090" operator="containsText" text="&quot;A&quot;">
      <formula>NOT(ISERROR(SEARCH("""A""",J9)))</formula>
    </cfRule>
  </conditionalFormatting>
  <conditionalFormatting sqref="J9:K9">
    <cfRule type="containsText" dxfId="17811" priority="19088" operator="containsText" text="A-H">
      <formula>NOT(ISERROR(SEARCH("A-H",J9)))</formula>
    </cfRule>
  </conditionalFormatting>
  <conditionalFormatting sqref="DC10 M10:N10 CQ10:CW10">
    <cfRule type="cellIs" dxfId="17810" priority="19079" operator="equal">
      <formula>"C-Off-H"</formula>
    </cfRule>
    <cfRule type="cellIs" dxfId="17809" priority="19080" operator="equal">
      <formula>"C-Off"</formula>
    </cfRule>
    <cfRule type="cellIs" dxfId="17808" priority="19081" operator="equal">
      <formula>"CL-H"</formula>
    </cfRule>
    <cfRule type="cellIs" dxfId="17807" priority="19082" operator="equal">
      <formula>"EL-H"</formula>
    </cfRule>
    <cfRule type="cellIs" dxfId="17806" priority="19083" operator="equal">
      <formula>"CL"</formula>
    </cfRule>
    <cfRule type="cellIs" dxfId="17805" priority="19084" operator="equal">
      <formula>"EL"</formula>
    </cfRule>
  </conditionalFormatting>
  <conditionalFormatting sqref="M10:N10 CQ10:CW10 CY10:DA10 DC10">
    <cfRule type="containsText" dxfId="17804" priority="19078" operator="containsText" text="A-H">
      <formula>NOT(ISERROR(SEARCH("A-H",M10)))</formula>
    </cfRule>
  </conditionalFormatting>
  <conditionalFormatting sqref="CQ10:CW10 CY10:DA10 DC10">
    <cfRule type="containsText" dxfId="17803" priority="19077" operator="containsText" text="A">
      <formula>NOT(ISERROR(SEARCH("A",CQ10)))</formula>
    </cfRule>
  </conditionalFormatting>
  <conditionalFormatting sqref="CY10 DA10">
    <cfRule type="cellIs" dxfId="17802" priority="19071" stopIfTrue="1" operator="equal">
      <formula>"C-Off-H"</formula>
    </cfRule>
    <cfRule type="cellIs" dxfId="17801" priority="19072" stopIfTrue="1" operator="equal">
      <formula>"C-Off"</formula>
    </cfRule>
    <cfRule type="cellIs" dxfId="17800" priority="19073" stopIfTrue="1" operator="equal">
      <formula>"CL-H"</formula>
    </cfRule>
    <cfRule type="cellIs" dxfId="17799" priority="19074" stopIfTrue="1" operator="equal">
      <formula>"EL-H"</formula>
    </cfRule>
    <cfRule type="cellIs" dxfId="17798" priority="19075" stopIfTrue="1" operator="equal">
      <formula>"CL"</formula>
    </cfRule>
    <cfRule type="cellIs" dxfId="17797" priority="19076" stopIfTrue="1" operator="equal">
      <formula>"EL"</formula>
    </cfRule>
  </conditionalFormatting>
  <conditionalFormatting sqref="CZ10">
    <cfRule type="cellIs" dxfId="17796" priority="19065" stopIfTrue="1" operator="equal">
      <formula>"C-Off-H"</formula>
    </cfRule>
    <cfRule type="cellIs" dxfId="17795" priority="19066" stopIfTrue="1" operator="equal">
      <formula>"C-Off"</formula>
    </cfRule>
    <cfRule type="cellIs" dxfId="17794" priority="19067" stopIfTrue="1" operator="equal">
      <formula>"CL-H"</formula>
    </cfRule>
    <cfRule type="cellIs" dxfId="17793" priority="19068" stopIfTrue="1" operator="equal">
      <formula>"EL-H"</formula>
    </cfRule>
    <cfRule type="cellIs" dxfId="17792" priority="19069" stopIfTrue="1" operator="equal">
      <formula>"CL"</formula>
    </cfRule>
    <cfRule type="cellIs" dxfId="17791" priority="19070" stopIfTrue="1" operator="equal">
      <formula>"EL"</formula>
    </cfRule>
  </conditionalFormatting>
  <conditionalFormatting sqref="M10:N10">
    <cfRule type="containsText" dxfId="17790" priority="19060" operator="containsText" text="S">
      <formula>NOT(ISERROR(SEARCH("S",M10)))</formula>
    </cfRule>
    <cfRule type="containsText" dxfId="17789" priority="19061" operator="containsText" text="P">
      <formula>NOT(ISERROR(SEARCH("P",M10)))</formula>
    </cfRule>
    <cfRule type="containsText" dxfId="17788" priority="19062" operator="containsText" text="H">
      <formula>NOT(ISERROR(SEARCH("H",M10)))</formula>
    </cfRule>
    <cfRule type="containsText" dxfId="17787" priority="19063" operator="containsText" text="&quot;H&quot;">
      <formula>NOT(ISERROR(SEARCH("""H""",M10)))</formula>
    </cfRule>
    <cfRule type="containsText" dxfId="17786" priority="19064" operator="containsText" text="&quot;A&quot;">
      <formula>NOT(ISERROR(SEARCH("""A""",M10)))</formula>
    </cfRule>
  </conditionalFormatting>
  <conditionalFormatting sqref="DD10">
    <cfRule type="cellIs" dxfId="17785" priority="19054" operator="equal">
      <formula>"C-Off-H"</formula>
    </cfRule>
    <cfRule type="cellIs" dxfId="17784" priority="19055" operator="equal">
      <formula>"C-Off"</formula>
    </cfRule>
    <cfRule type="cellIs" dxfId="17783" priority="19056" operator="equal">
      <formula>"CL-H"</formula>
    </cfRule>
    <cfRule type="cellIs" dxfId="17782" priority="19057" operator="equal">
      <formula>"EL-H"</formula>
    </cfRule>
    <cfRule type="cellIs" dxfId="17781" priority="19058" operator="equal">
      <formula>"CL"</formula>
    </cfRule>
    <cfRule type="cellIs" dxfId="17780" priority="19059" operator="equal">
      <formula>"EL"</formula>
    </cfRule>
  </conditionalFormatting>
  <conditionalFormatting sqref="DD10">
    <cfRule type="containsText" dxfId="17779" priority="19053" operator="containsText" text="A">
      <formula>NOT(ISERROR(SEARCH("A",DD10)))</formula>
    </cfRule>
  </conditionalFormatting>
  <conditionalFormatting sqref="DD10">
    <cfRule type="containsText" dxfId="17778" priority="19052" operator="containsText" text="A-H">
      <formula>NOT(ISERROR(SEARCH("A-H",DD10)))</formula>
    </cfRule>
  </conditionalFormatting>
  <conditionalFormatting sqref="AI10">
    <cfRule type="cellIs" dxfId="17777" priority="19046" operator="equal">
      <formula>"C-Off-H"</formula>
    </cfRule>
    <cfRule type="cellIs" dxfId="17776" priority="19047" operator="equal">
      <formula>"C-Off"</formula>
    </cfRule>
    <cfRule type="cellIs" dxfId="17775" priority="19048" operator="equal">
      <formula>"CL-H"</formula>
    </cfRule>
    <cfRule type="cellIs" dxfId="17774" priority="19049" operator="equal">
      <formula>"EL-H"</formula>
    </cfRule>
    <cfRule type="cellIs" dxfId="17773" priority="19050" operator="equal">
      <formula>"CL"</formula>
    </cfRule>
    <cfRule type="cellIs" dxfId="17772" priority="19051" operator="equal">
      <formula>"EL"</formula>
    </cfRule>
  </conditionalFormatting>
  <conditionalFormatting sqref="AH10:AI10">
    <cfRule type="cellIs" dxfId="17771" priority="19040" operator="equal">
      <formula>"C-Off-H"</formula>
    </cfRule>
    <cfRule type="cellIs" dxfId="17770" priority="19041" operator="equal">
      <formula>"C-Off"</formula>
    </cfRule>
    <cfRule type="cellIs" dxfId="17769" priority="19042" operator="equal">
      <formula>"CL-H"</formula>
    </cfRule>
    <cfRule type="cellIs" dxfId="17768" priority="19043" operator="equal">
      <formula>"EL-H"</formula>
    </cfRule>
    <cfRule type="cellIs" dxfId="17767" priority="19044" operator="equal">
      <formula>"CL"</formula>
    </cfRule>
    <cfRule type="cellIs" dxfId="17766" priority="19045" operator="equal">
      <formula>"EL"</formula>
    </cfRule>
  </conditionalFormatting>
  <conditionalFormatting sqref="AH10:AI10">
    <cfRule type="containsText" dxfId="17765" priority="19034" operator="containsText" text="S">
      <formula>NOT(ISERROR(SEARCH("S",AH10)))</formula>
    </cfRule>
    <cfRule type="containsText" dxfId="17764" priority="19035" operator="containsText" text="P">
      <formula>NOT(ISERROR(SEARCH("P",AH10)))</formula>
    </cfRule>
    <cfRule type="containsText" dxfId="17763" priority="19036" operator="containsText" text="H">
      <formula>NOT(ISERROR(SEARCH("H",AH10)))</formula>
    </cfRule>
    <cfRule type="containsText" dxfId="17762" priority="19038" operator="containsText" text="&quot;H&quot;">
      <formula>NOT(ISERROR(SEARCH("""H""",AH10)))</formula>
    </cfRule>
    <cfRule type="containsText" dxfId="17761" priority="19039" operator="containsText" text="&quot;A&quot;">
      <formula>NOT(ISERROR(SEARCH("""A""",AH10)))</formula>
    </cfRule>
  </conditionalFormatting>
  <conditionalFormatting sqref="AH10:AI10">
    <cfRule type="containsText" dxfId="17760" priority="19037" operator="containsText" text="A-H">
      <formula>NOT(ISERROR(SEARCH("A-H",AH10)))</formula>
    </cfRule>
  </conditionalFormatting>
  <conditionalFormatting sqref="AU10">
    <cfRule type="cellIs" dxfId="17759" priority="19028" operator="equal">
      <formula>"C-Off-H"</formula>
    </cfRule>
    <cfRule type="cellIs" dxfId="17758" priority="19029" operator="equal">
      <formula>"C-Off"</formula>
    </cfRule>
    <cfRule type="cellIs" dxfId="17757" priority="19030" operator="equal">
      <formula>"CL-H"</formula>
    </cfRule>
    <cfRule type="cellIs" dxfId="17756" priority="19031" operator="equal">
      <formula>"EL-H"</formula>
    </cfRule>
    <cfRule type="cellIs" dxfId="17755" priority="19032" operator="equal">
      <formula>"CL"</formula>
    </cfRule>
    <cfRule type="cellIs" dxfId="17754" priority="19033" operator="equal">
      <formula>"EL"</formula>
    </cfRule>
  </conditionalFormatting>
  <conditionalFormatting sqref="AT10:AU10">
    <cfRule type="cellIs" dxfId="17753" priority="19022" operator="equal">
      <formula>"C-Off-H"</formula>
    </cfRule>
    <cfRule type="cellIs" dxfId="17752" priority="19023" operator="equal">
      <formula>"C-Off"</formula>
    </cfRule>
    <cfRule type="cellIs" dxfId="17751" priority="19024" operator="equal">
      <formula>"CL-H"</formula>
    </cfRule>
    <cfRule type="cellIs" dxfId="17750" priority="19025" operator="equal">
      <formula>"EL-H"</formula>
    </cfRule>
    <cfRule type="cellIs" dxfId="17749" priority="19026" operator="equal">
      <formula>"CL"</formula>
    </cfRule>
    <cfRule type="cellIs" dxfId="17748" priority="19027" operator="equal">
      <formula>"EL"</formula>
    </cfRule>
  </conditionalFormatting>
  <conditionalFormatting sqref="AT10:AU10">
    <cfRule type="containsText" dxfId="17747" priority="19016" operator="containsText" text="S">
      <formula>NOT(ISERROR(SEARCH("S",AT10)))</formula>
    </cfRule>
    <cfRule type="containsText" dxfId="17746" priority="19017" operator="containsText" text="P">
      <formula>NOT(ISERROR(SEARCH("P",AT10)))</formula>
    </cfRule>
    <cfRule type="containsText" dxfId="17745" priority="19018" operator="containsText" text="H">
      <formula>NOT(ISERROR(SEARCH("H",AT10)))</formula>
    </cfRule>
    <cfRule type="containsText" dxfId="17744" priority="19020" operator="containsText" text="&quot;H&quot;">
      <formula>NOT(ISERROR(SEARCH("""H""",AT10)))</formula>
    </cfRule>
    <cfRule type="containsText" dxfId="17743" priority="19021" operator="containsText" text="&quot;A&quot;">
      <formula>NOT(ISERROR(SEARCH("""A""",AT10)))</formula>
    </cfRule>
  </conditionalFormatting>
  <conditionalFormatting sqref="AT10:AU10">
    <cfRule type="containsText" dxfId="17742" priority="19019" operator="containsText" text="A-H">
      <formula>NOT(ISERROR(SEARCH("A-H",AT10)))</formula>
    </cfRule>
  </conditionalFormatting>
  <conditionalFormatting sqref="E10">
    <cfRule type="cellIs" dxfId="17741" priority="19010" operator="equal">
      <formula>"C-Off-H"</formula>
    </cfRule>
    <cfRule type="cellIs" dxfId="17740" priority="19011" operator="equal">
      <formula>"C-Off"</formula>
    </cfRule>
    <cfRule type="cellIs" dxfId="17739" priority="19012" operator="equal">
      <formula>"CL-H"</formula>
    </cfRule>
    <cfRule type="cellIs" dxfId="17738" priority="19013" operator="equal">
      <formula>"EL-H"</formula>
    </cfRule>
    <cfRule type="cellIs" dxfId="17737" priority="19014" operator="equal">
      <formula>"CL"</formula>
    </cfRule>
    <cfRule type="cellIs" dxfId="17736" priority="19015" operator="equal">
      <formula>"EL"</formula>
    </cfRule>
  </conditionalFormatting>
  <conditionalFormatting sqref="D10:E10">
    <cfRule type="cellIs" dxfId="17735" priority="19004" operator="equal">
      <formula>"C-Off-H"</formula>
    </cfRule>
    <cfRule type="cellIs" dxfId="17734" priority="19005" operator="equal">
      <formula>"C-Off"</formula>
    </cfRule>
    <cfRule type="cellIs" dxfId="17733" priority="19006" operator="equal">
      <formula>"CL-H"</formula>
    </cfRule>
    <cfRule type="cellIs" dxfId="17732" priority="19007" operator="equal">
      <formula>"EL-H"</formula>
    </cfRule>
    <cfRule type="cellIs" dxfId="17731" priority="19008" operator="equal">
      <formula>"CL"</formula>
    </cfRule>
    <cfRule type="cellIs" dxfId="17730" priority="19009" operator="equal">
      <formula>"EL"</formula>
    </cfRule>
  </conditionalFormatting>
  <conditionalFormatting sqref="D10:E10">
    <cfRule type="containsText" dxfId="17729" priority="18998" operator="containsText" text="S">
      <formula>NOT(ISERROR(SEARCH("S",D10)))</formula>
    </cfRule>
    <cfRule type="containsText" dxfId="17728" priority="18999" operator="containsText" text="P">
      <formula>NOT(ISERROR(SEARCH("P",D10)))</formula>
    </cfRule>
    <cfRule type="containsText" dxfId="17727" priority="19000" operator="containsText" text="H">
      <formula>NOT(ISERROR(SEARCH("H",D10)))</formula>
    </cfRule>
    <cfRule type="containsText" dxfId="17726" priority="19002" operator="containsText" text="&quot;H&quot;">
      <formula>NOT(ISERROR(SEARCH("""H""",D10)))</formula>
    </cfRule>
    <cfRule type="containsText" dxfId="17725" priority="19003" operator="containsText" text="&quot;A&quot;">
      <formula>NOT(ISERROR(SEARCH("""A""",D10)))</formula>
    </cfRule>
  </conditionalFormatting>
  <conditionalFormatting sqref="D10:E10">
    <cfRule type="containsText" dxfId="17724" priority="19001" operator="containsText" text="A-H">
      <formula>NOT(ISERROR(SEARCH("A-H",D10)))</formula>
    </cfRule>
  </conditionalFormatting>
  <conditionalFormatting sqref="Y10">
    <cfRule type="cellIs" dxfId="17723" priority="18992" operator="equal">
      <formula>"C-Off-H"</formula>
    </cfRule>
    <cfRule type="cellIs" dxfId="17722" priority="18993" operator="equal">
      <formula>"C-Off"</formula>
    </cfRule>
    <cfRule type="cellIs" dxfId="17721" priority="18994" operator="equal">
      <formula>"CL-H"</formula>
    </cfRule>
    <cfRule type="cellIs" dxfId="17720" priority="18995" operator="equal">
      <formula>"EL-H"</formula>
    </cfRule>
    <cfRule type="cellIs" dxfId="17719" priority="18996" operator="equal">
      <formula>"CL"</formula>
    </cfRule>
    <cfRule type="cellIs" dxfId="17718" priority="18997" operator="equal">
      <formula>"EL"</formula>
    </cfRule>
  </conditionalFormatting>
  <conditionalFormatting sqref="Y10">
    <cfRule type="containsText" dxfId="17717" priority="18986" operator="containsText" text="S">
      <formula>NOT(ISERROR(SEARCH("S",Y10)))</formula>
    </cfRule>
    <cfRule type="containsText" dxfId="17716" priority="18987" operator="containsText" text="P">
      <formula>NOT(ISERROR(SEARCH("P",Y10)))</formula>
    </cfRule>
    <cfRule type="containsText" dxfId="17715" priority="18988" operator="containsText" text="H">
      <formula>NOT(ISERROR(SEARCH("H",Y10)))</formula>
    </cfRule>
    <cfRule type="containsText" dxfId="17714" priority="18990" operator="containsText" text="&quot;H&quot;">
      <formula>NOT(ISERROR(SEARCH("""H""",Y10)))</formula>
    </cfRule>
    <cfRule type="containsText" dxfId="17713" priority="18991" operator="containsText" text="&quot;A&quot;">
      <formula>NOT(ISERROR(SEARCH("""A""",Y10)))</formula>
    </cfRule>
  </conditionalFormatting>
  <conditionalFormatting sqref="Y10">
    <cfRule type="containsText" dxfId="17712" priority="18989" operator="containsText" text="A-H">
      <formula>NOT(ISERROR(SEARCH("A-H",Y10)))</formula>
    </cfRule>
  </conditionalFormatting>
  <conditionalFormatting sqref="AF10">
    <cfRule type="cellIs" dxfId="17711" priority="18980" operator="equal">
      <formula>"C-Off-H"</formula>
    </cfRule>
    <cfRule type="cellIs" dxfId="17710" priority="18981" operator="equal">
      <formula>"C-Off"</formula>
    </cfRule>
    <cfRule type="cellIs" dxfId="17709" priority="18982" operator="equal">
      <formula>"CL-H"</formula>
    </cfRule>
    <cfRule type="cellIs" dxfId="17708" priority="18983" operator="equal">
      <formula>"EL-H"</formula>
    </cfRule>
    <cfRule type="cellIs" dxfId="17707" priority="18984" operator="equal">
      <formula>"CL"</formula>
    </cfRule>
    <cfRule type="cellIs" dxfId="17706" priority="18985" operator="equal">
      <formula>"EL"</formula>
    </cfRule>
  </conditionalFormatting>
  <conditionalFormatting sqref="AF10">
    <cfRule type="containsText" dxfId="17705" priority="18974" operator="containsText" text="S">
      <formula>NOT(ISERROR(SEARCH("S",AF10)))</formula>
    </cfRule>
    <cfRule type="containsText" dxfId="17704" priority="18975" operator="containsText" text="P">
      <formula>NOT(ISERROR(SEARCH("P",AF10)))</formula>
    </cfRule>
    <cfRule type="containsText" dxfId="17703" priority="18976" operator="containsText" text="H">
      <formula>NOT(ISERROR(SEARCH("H",AF10)))</formula>
    </cfRule>
    <cfRule type="containsText" dxfId="17702" priority="18978" operator="containsText" text="&quot;H&quot;">
      <formula>NOT(ISERROR(SEARCH("""H""",AF10)))</formula>
    </cfRule>
    <cfRule type="containsText" dxfId="17701" priority="18979" operator="containsText" text="&quot;A&quot;">
      <formula>NOT(ISERROR(SEARCH("""A""",AF10)))</formula>
    </cfRule>
  </conditionalFormatting>
  <conditionalFormatting sqref="AF10">
    <cfRule type="containsText" dxfId="17700" priority="18977" operator="containsText" text="A-H">
      <formula>NOT(ISERROR(SEARCH("A-H",AF10)))</formula>
    </cfRule>
  </conditionalFormatting>
  <conditionalFormatting sqref="BO10:BP10">
    <cfRule type="cellIs" dxfId="17699" priority="18968" operator="equal">
      <formula>"C-Off-H"</formula>
    </cfRule>
    <cfRule type="cellIs" dxfId="17698" priority="18969" operator="equal">
      <formula>"C-Off"</formula>
    </cfRule>
    <cfRule type="cellIs" dxfId="17697" priority="18970" operator="equal">
      <formula>"CL-H"</formula>
    </cfRule>
    <cfRule type="cellIs" dxfId="17696" priority="18971" operator="equal">
      <formula>"EL-H"</formula>
    </cfRule>
    <cfRule type="cellIs" dxfId="17695" priority="18972" operator="equal">
      <formula>"CL"</formula>
    </cfRule>
    <cfRule type="cellIs" dxfId="17694" priority="18973" operator="equal">
      <formula>"EL"</formula>
    </cfRule>
  </conditionalFormatting>
  <conditionalFormatting sqref="BO10:BP10">
    <cfRule type="cellIs" dxfId="17693" priority="18962" operator="equal">
      <formula>"C-Off-H"</formula>
    </cfRule>
    <cfRule type="cellIs" dxfId="17692" priority="18963" operator="equal">
      <formula>"C-Off"</formula>
    </cfRule>
    <cfRule type="cellIs" dxfId="17691" priority="18964" operator="equal">
      <formula>"CL-H"</formula>
    </cfRule>
    <cfRule type="cellIs" dxfId="17690" priority="18965" operator="equal">
      <formula>"EL-H"</formula>
    </cfRule>
    <cfRule type="cellIs" dxfId="17689" priority="18966" operator="equal">
      <formula>"CL"</formula>
    </cfRule>
    <cfRule type="cellIs" dxfId="17688" priority="18967" operator="equal">
      <formula>"EL"</formula>
    </cfRule>
  </conditionalFormatting>
  <conditionalFormatting sqref="BO10:BP10">
    <cfRule type="containsText" dxfId="17687" priority="18956" operator="containsText" text="S">
      <formula>NOT(ISERROR(SEARCH("S",BO10)))</formula>
    </cfRule>
    <cfRule type="containsText" dxfId="17686" priority="18957" operator="containsText" text="P">
      <formula>NOT(ISERROR(SEARCH("P",BO10)))</formula>
    </cfRule>
    <cfRule type="containsText" dxfId="17685" priority="18958" operator="containsText" text="H">
      <formula>NOT(ISERROR(SEARCH("H",BO10)))</formula>
    </cfRule>
    <cfRule type="containsText" dxfId="17684" priority="18960" operator="containsText" text="&quot;H&quot;">
      <formula>NOT(ISERROR(SEARCH("""H""",BO10)))</formula>
    </cfRule>
    <cfRule type="containsText" dxfId="17683" priority="18961" operator="containsText" text="&quot;A&quot;">
      <formula>NOT(ISERROR(SEARCH("""A""",BO10)))</formula>
    </cfRule>
  </conditionalFormatting>
  <conditionalFormatting sqref="BO10:BP10">
    <cfRule type="containsText" dxfId="17682" priority="18959" operator="containsText" text="A-H">
      <formula>NOT(ISERROR(SEARCH("A-H",BO10)))</formula>
    </cfRule>
  </conditionalFormatting>
  <conditionalFormatting sqref="CM10">
    <cfRule type="cellIs" dxfId="17681" priority="18950" operator="equal">
      <formula>"C-Off-H"</formula>
    </cfRule>
    <cfRule type="cellIs" dxfId="17680" priority="18951" operator="equal">
      <formula>"C-Off"</formula>
    </cfRule>
    <cfRule type="cellIs" dxfId="17679" priority="18952" operator="equal">
      <formula>"CL-H"</formula>
    </cfRule>
    <cfRule type="cellIs" dxfId="17678" priority="18953" operator="equal">
      <formula>"EL-H"</formula>
    </cfRule>
    <cfRule type="cellIs" dxfId="17677" priority="18954" operator="equal">
      <formula>"CL"</formula>
    </cfRule>
    <cfRule type="cellIs" dxfId="17676" priority="18955" operator="equal">
      <formula>"EL"</formula>
    </cfRule>
  </conditionalFormatting>
  <conditionalFormatting sqref="CM10">
    <cfRule type="cellIs" dxfId="17675" priority="18944" operator="equal">
      <formula>"C-Off-H"</formula>
    </cfRule>
    <cfRule type="cellIs" dxfId="17674" priority="18945" operator="equal">
      <formula>"C-Off"</formula>
    </cfRule>
    <cfRule type="cellIs" dxfId="17673" priority="18946" operator="equal">
      <formula>"CL-H"</formula>
    </cfRule>
    <cfRule type="cellIs" dxfId="17672" priority="18947" operator="equal">
      <formula>"EL-H"</formula>
    </cfRule>
    <cfRule type="cellIs" dxfId="17671" priority="18948" operator="equal">
      <formula>"CL"</formula>
    </cfRule>
    <cfRule type="cellIs" dxfId="17670" priority="18949" operator="equal">
      <formula>"EL"</formula>
    </cfRule>
  </conditionalFormatting>
  <conditionalFormatting sqref="CM10">
    <cfRule type="containsText" dxfId="17669" priority="18938" operator="containsText" text="S">
      <formula>NOT(ISERROR(SEARCH("S",CM10)))</formula>
    </cfRule>
    <cfRule type="containsText" dxfId="17668" priority="18939" operator="containsText" text="P">
      <formula>NOT(ISERROR(SEARCH("P",CM10)))</formula>
    </cfRule>
    <cfRule type="containsText" dxfId="17667" priority="18940" operator="containsText" text="H">
      <formula>NOT(ISERROR(SEARCH("H",CM10)))</formula>
    </cfRule>
    <cfRule type="containsText" dxfId="17666" priority="18942" operator="containsText" text="&quot;H&quot;">
      <formula>NOT(ISERROR(SEARCH("""H""",CM10)))</formula>
    </cfRule>
    <cfRule type="containsText" dxfId="17665" priority="18943" operator="containsText" text="&quot;A&quot;">
      <formula>NOT(ISERROR(SEARCH("""A""",CM10)))</formula>
    </cfRule>
  </conditionalFormatting>
  <conditionalFormatting sqref="CM10">
    <cfRule type="containsText" dxfId="17664" priority="18941" operator="containsText" text="A-H">
      <formula>NOT(ISERROR(SEARCH("A-H",CM10)))</formula>
    </cfRule>
  </conditionalFormatting>
  <conditionalFormatting sqref="V10:W10">
    <cfRule type="cellIs" dxfId="17663" priority="18908" operator="equal">
      <formula>"C-Off-H"</formula>
    </cfRule>
    <cfRule type="cellIs" dxfId="17662" priority="18909" operator="equal">
      <formula>"C-Off"</formula>
    </cfRule>
    <cfRule type="cellIs" dxfId="17661" priority="18910" operator="equal">
      <formula>"CL-H"</formula>
    </cfRule>
    <cfRule type="cellIs" dxfId="17660" priority="18911" operator="equal">
      <formula>"EL-H"</formula>
    </cfRule>
    <cfRule type="cellIs" dxfId="17659" priority="18912" operator="equal">
      <formula>"CL"</formula>
    </cfRule>
    <cfRule type="cellIs" dxfId="17658" priority="18913" operator="equal">
      <formula>"EL"</formula>
    </cfRule>
  </conditionalFormatting>
  <conditionalFormatting sqref="V10:W10">
    <cfRule type="containsText" dxfId="17657" priority="18902" operator="containsText" text="S">
      <formula>NOT(ISERROR(SEARCH("S",V10)))</formula>
    </cfRule>
    <cfRule type="containsText" dxfId="17656" priority="18903" operator="containsText" text="P">
      <formula>NOT(ISERROR(SEARCH("P",V10)))</formula>
    </cfRule>
    <cfRule type="containsText" dxfId="17655" priority="18904" operator="containsText" text="H">
      <formula>NOT(ISERROR(SEARCH("H",V10)))</formula>
    </cfRule>
    <cfRule type="containsText" dxfId="17654" priority="18906" operator="containsText" text="&quot;H&quot;">
      <formula>NOT(ISERROR(SEARCH("""H""",V10)))</formula>
    </cfRule>
    <cfRule type="containsText" dxfId="17653" priority="18907" operator="containsText" text="&quot;A&quot;">
      <formula>NOT(ISERROR(SEARCH("""A""",V10)))</formula>
    </cfRule>
  </conditionalFormatting>
  <conditionalFormatting sqref="V10:W10">
    <cfRule type="containsText" dxfId="17652" priority="18905" operator="containsText" text="A-H">
      <formula>NOT(ISERROR(SEARCH("A-H",V10)))</formula>
    </cfRule>
  </conditionalFormatting>
  <conditionalFormatting sqref="P10:Q10">
    <cfRule type="cellIs" dxfId="17651" priority="18932" operator="equal">
      <formula>"C-Off-H"</formula>
    </cfRule>
    <cfRule type="cellIs" dxfId="17650" priority="18933" operator="equal">
      <formula>"C-Off"</formula>
    </cfRule>
    <cfRule type="cellIs" dxfId="17649" priority="18934" operator="equal">
      <formula>"CL-H"</formula>
    </cfRule>
    <cfRule type="cellIs" dxfId="17648" priority="18935" operator="equal">
      <formula>"EL-H"</formula>
    </cfRule>
    <cfRule type="cellIs" dxfId="17647" priority="18936" operator="equal">
      <formula>"CL"</formula>
    </cfRule>
    <cfRule type="cellIs" dxfId="17646" priority="18937" operator="equal">
      <formula>"EL"</formula>
    </cfRule>
  </conditionalFormatting>
  <conditionalFormatting sqref="P10:Q10">
    <cfRule type="containsText" dxfId="17645" priority="18926" operator="containsText" text="S">
      <formula>NOT(ISERROR(SEARCH("S",P10)))</formula>
    </cfRule>
    <cfRule type="containsText" dxfId="17644" priority="18927" operator="containsText" text="P">
      <formula>NOT(ISERROR(SEARCH("P",P10)))</formula>
    </cfRule>
    <cfRule type="containsText" dxfId="17643" priority="18928" operator="containsText" text="H">
      <formula>NOT(ISERROR(SEARCH("H",P10)))</formula>
    </cfRule>
    <cfRule type="containsText" dxfId="17642" priority="18930" operator="containsText" text="&quot;H&quot;">
      <formula>NOT(ISERROR(SEARCH("""H""",P10)))</formula>
    </cfRule>
    <cfRule type="containsText" dxfId="17641" priority="18931" operator="containsText" text="&quot;A&quot;">
      <formula>NOT(ISERROR(SEARCH("""A""",P10)))</formula>
    </cfRule>
  </conditionalFormatting>
  <conditionalFormatting sqref="P10:Q10">
    <cfRule type="containsText" dxfId="17640" priority="18929" operator="containsText" text="A-H">
      <formula>NOT(ISERROR(SEARCH("A-H",P10)))</formula>
    </cfRule>
  </conditionalFormatting>
  <conditionalFormatting sqref="S10:T10">
    <cfRule type="cellIs" dxfId="17639" priority="18920" operator="equal">
      <formula>"C-Off-H"</formula>
    </cfRule>
    <cfRule type="cellIs" dxfId="17638" priority="18921" operator="equal">
      <formula>"C-Off"</formula>
    </cfRule>
    <cfRule type="cellIs" dxfId="17637" priority="18922" operator="equal">
      <formula>"CL-H"</formula>
    </cfRule>
    <cfRule type="cellIs" dxfId="17636" priority="18923" operator="equal">
      <formula>"EL-H"</formula>
    </cfRule>
    <cfRule type="cellIs" dxfId="17635" priority="18924" operator="equal">
      <formula>"CL"</formula>
    </cfRule>
    <cfRule type="cellIs" dxfId="17634" priority="18925" operator="equal">
      <formula>"EL"</formula>
    </cfRule>
  </conditionalFormatting>
  <conditionalFormatting sqref="S10:T10">
    <cfRule type="containsText" dxfId="17633" priority="18914" operator="containsText" text="S">
      <formula>NOT(ISERROR(SEARCH("S",S10)))</formula>
    </cfRule>
    <cfRule type="containsText" dxfId="17632" priority="18915" operator="containsText" text="P">
      <formula>NOT(ISERROR(SEARCH("P",S10)))</formula>
    </cfRule>
    <cfRule type="containsText" dxfId="17631" priority="18916" operator="containsText" text="H">
      <formula>NOT(ISERROR(SEARCH("H",S10)))</formula>
    </cfRule>
    <cfRule type="containsText" dxfId="17630" priority="18918" operator="containsText" text="&quot;H&quot;">
      <formula>NOT(ISERROR(SEARCH("""H""",S10)))</formula>
    </cfRule>
    <cfRule type="containsText" dxfId="17629" priority="18919" operator="containsText" text="&quot;A&quot;">
      <formula>NOT(ISERROR(SEARCH("""A""",S10)))</formula>
    </cfRule>
  </conditionalFormatting>
  <conditionalFormatting sqref="S10:T10">
    <cfRule type="containsText" dxfId="17628" priority="18917" operator="containsText" text="A-H">
      <formula>NOT(ISERROR(SEARCH("A-H",S10)))</formula>
    </cfRule>
  </conditionalFormatting>
  <conditionalFormatting sqref="AB10:AC10">
    <cfRule type="cellIs" dxfId="17627" priority="18896" operator="equal">
      <formula>"C-Off-H"</formula>
    </cfRule>
    <cfRule type="cellIs" dxfId="17626" priority="18897" operator="equal">
      <formula>"C-Off"</formula>
    </cfRule>
    <cfRule type="cellIs" dxfId="17625" priority="18898" operator="equal">
      <formula>"CL-H"</formula>
    </cfRule>
    <cfRule type="cellIs" dxfId="17624" priority="18899" operator="equal">
      <formula>"EL-H"</formula>
    </cfRule>
    <cfRule type="cellIs" dxfId="17623" priority="18900" operator="equal">
      <formula>"CL"</formula>
    </cfRule>
    <cfRule type="cellIs" dxfId="17622" priority="18901" operator="equal">
      <formula>"EL"</formula>
    </cfRule>
  </conditionalFormatting>
  <conditionalFormatting sqref="AB10:AC10">
    <cfRule type="containsText" dxfId="17621" priority="18890" operator="containsText" text="S">
      <formula>NOT(ISERROR(SEARCH("S",AB10)))</formula>
    </cfRule>
    <cfRule type="containsText" dxfId="17620" priority="18891" operator="containsText" text="P">
      <formula>NOT(ISERROR(SEARCH("P",AB10)))</formula>
    </cfRule>
    <cfRule type="containsText" dxfId="17619" priority="18892" operator="containsText" text="H">
      <formula>NOT(ISERROR(SEARCH("H",AB10)))</formula>
    </cfRule>
    <cfRule type="containsText" dxfId="17618" priority="18894" operator="containsText" text="&quot;H&quot;">
      <formula>NOT(ISERROR(SEARCH("""H""",AB10)))</formula>
    </cfRule>
    <cfRule type="containsText" dxfId="17617" priority="18895" operator="containsText" text="&quot;A&quot;">
      <formula>NOT(ISERROR(SEARCH("""A""",AB10)))</formula>
    </cfRule>
  </conditionalFormatting>
  <conditionalFormatting sqref="AB10:AC10">
    <cfRule type="containsText" dxfId="17616" priority="18893" operator="containsText" text="A-H">
      <formula>NOT(ISERROR(SEARCH("A-H",AB10)))</formula>
    </cfRule>
  </conditionalFormatting>
  <conditionalFormatting sqref="AE10">
    <cfRule type="cellIs" dxfId="17615" priority="18884" operator="equal">
      <formula>"C-Off-H"</formula>
    </cfRule>
    <cfRule type="cellIs" dxfId="17614" priority="18885" operator="equal">
      <formula>"C-Off"</formula>
    </cfRule>
    <cfRule type="cellIs" dxfId="17613" priority="18886" operator="equal">
      <formula>"CL-H"</formula>
    </cfRule>
    <cfRule type="cellIs" dxfId="17612" priority="18887" operator="equal">
      <formula>"EL-H"</formula>
    </cfRule>
    <cfRule type="cellIs" dxfId="17611" priority="18888" operator="equal">
      <formula>"CL"</formula>
    </cfRule>
    <cfRule type="cellIs" dxfId="17610" priority="18889" operator="equal">
      <formula>"EL"</formula>
    </cfRule>
  </conditionalFormatting>
  <conditionalFormatting sqref="AE10">
    <cfRule type="containsText" dxfId="17609" priority="18878" operator="containsText" text="S">
      <formula>NOT(ISERROR(SEARCH("S",AE10)))</formula>
    </cfRule>
    <cfRule type="containsText" dxfId="17608" priority="18879" operator="containsText" text="P">
      <formula>NOT(ISERROR(SEARCH("P",AE10)))</formula>
    </cfRule>
    <cfRule type="containsText" dxfId="17607" priority="18880" operator="containsText" text="H">
      <formula>NOT(ISERROR(SEARCH("H",AE10)))</formula>
    </cfRule>
    <cfRule type="containsText" dxfId="17606" priority="18882" operator="containsText" text="&quot;H&quot;">
      <formula>NOT(ISERROR(SEARCH("""H""",AE10)))</formula>
    </cfRule>
    <cfRule type="containsText" dxfId="17605" priority="18883" operator="containsText" text="&quot;A&quot;">
      <formula>NOT(ISERROR(SEARCH("""A""",AE10)))</formula>
    </cfRule>
  </conditionalFormatting>
  <conditionalFormatting sqref="AE10">
    <cfRule type="containsText" dxfId="17604" priority="18881" operator="containsText" text="A-H">
      <formula>NOT(ISERROR(SEARCH("A-H",AE10)))</formula>
    </cfRule>
  </conditionalFormatting>
  <conditionalFormatting sqref="AK10:AL10">
    <cfRule type="cellIs" dxfId="17603" priority="18872" operator="equal">
      <formula>"C-Off-H"</formula>
    </cfRule>
    <cfRule type="cellIs" dxfId="17602" priority="18873" operator="equal">
      <formula>"C-Off"</formula>
    </cfRule>
    <cfRule type="cellIs" dxfId="17601" priority="18874" operator="equal">
      <formula>"CL-H"</formula>
    </cfRule>
    <cfRule type="cellIs" dxfId="17600" priority="18875" operator="equal">
      <formula>"EL-H"</formula>
    </cfRule>
    <cfRule type="cellIs" dxfId="17599" priority="18876" operator="equal">
      <formula>"CL"</formula>
    </cfRule>
    <cfRule type="cellIs" dxfId="17598" priority="18877" operator="equal">
      <formula>"EL"</formula>
    </cfRule>
  </conditionalFormatting>
  <conditionalFormatting sqref="AK10:AL10">
    <cfRule type="containsText" dxfId="17597" priority="18866" operator="containsText" text="S">
      <formula>NOT(ISERROR(SEARCH("S",AK10)))</formula>
    </cfRule>
    <cfRule type="containsText" dxfId="17596" priority="18867" operator="containsText" text="P">
      <formula>NOT(ISERROR(SEARCH("P",AK10)))</formula>
    </cfRule>
    <cfRule type="containsText" dxfId="17595" priority="18868" operator="containsText" text="H">
      <formula>NOT(ISERROR(SEARCH("H",AK10)))</formula>
    </cfRule>
    <cfRule type="containsText" dxfId="17594" priority="18870" operator="containsText" text="&quot;H&quot;">
      <formula>NOT(ISERROR(SEARCH("""H""",AK10)))</formula>
    </cfRule>
    <cfRule type="containsText" dxfId="17593" priority="18871" operator="containsText" text="&quot;A&quot;">
      <formula>NOT(ISERROR(SEARCH("""A""",AK10)))</formula>
    </cfRule>
  </conditionalFormatting>
  <conditionalFormatting sqref="AK10:AL10">
    <cfRule type="containsText" dxfId="17592" priority="18869" operator="containsText" text="A-H">
      <formula>NOT(ISERROR(SEARCH("A-H",AK10)))</formula>
    </cfRule>
  </conditionalFormatting>
  <conditionalFormatting sqref="AN10:AO10">
    <cfRule type="cellIs" dxfId="17591" priority="18860" operator="equal">
      <formula>"C-Off-H"</formula>
    </cfRule>
    <cfRule type="cellIs" dxfId="17590" priority="18861" operator="equal">
      <formula>"C-Off"</formula>
    </cfRule>
    <cfRule type="cellIs" dxfId="17589" priority="18862" operator="equal">
      <formula>"CL-H"</formula>
    </cfRule>
    <cfRule type="cellIs" dxfId="17588" priority="18863" operator="equal">
      <formula>"EL-H"</formula>
    </cfRule>
    <cfRule type="cellIs" dxfId="17587" priority="18864" operator="equal">
      <formula>"CL"</formula>
    </cfRule>
    <cfRule type="cellIs" dxfId="17586" priority="18865" operator="equal">
      <formula>"EL"</formula>
    </cfRule>
  </conditionalFormatting>
  <conditionalFormatting sqref="AN10:AO10">
    <cfRule type="containsText" dxfId="17585" priority="18854" operator="containsText" text="S">
      <formula>NOT(ISERROR(SEARCH("S",AN10)))</formula>
    </cfRule>
    <cfRule type="containsText" dxfId="17584" priority="18855" operator="containsText" text="P">
      <formula>NOT(ISERROR(SEARCH("P",AN10)))</formula>
    </cfRule>
    <cfRule type="containsText" dxfId="17583" priority="18856" operator="containsText" text="H">
      <formula>NOT(ISERROR(SEARCH("H",AN10)))</formula>
    </cfRule>
    <cfRule type="containsText" dxfId="17582" priority="18858" operator="containsText" text="&quot;H&quot;">
      <formula>NOT(ISERROR(SEARCH("""H""",AN10)))</formula>
    </cfRule>
    <cfRule type="containsText" dxfId="17581" priority="18859" operator="containsText" text="&quot;A&quot;">
      <formula>NOT(ISERROR(SEARCH("""A""",AN10)))</formula>
    </cfRule>
  </conditionalFormatting>
  <conditionalFormatting sqref="AN10:AO10">
    <cfRule type="containsText" dxfId="17580" priority="18857" operator="containsText" text="A-H">
      <formula>NOT(ISERROR(SEARCH("A-H",AN10)))</formula>
    </cfRule>
  </conditionalFormatting>
  <conditionalFormatting sqref="AQ10:AR10">
    <cfRule type="cellIs" dxfId="17579" priority="18848" operator="equal">
      <formula>"C-Off-H"</formula>
    </cfRule>
    <cfRule type="cellIs" dxfId="17578" priority="18849" operator="equal">
      <formula>"C-Off"</formula>
    </cfRule>
    <cfRule type="cellIs" dxfId="17577" priority="18850" operator="equal">
      <formula>"CL-H"</formula>
    </cfRule>
    <cfRule type="cellIs" dxfId="17576" priority="18851" operator="equal">
      <formula>"EL-H"</formula>
    </cfRule>
    <cfRule type="cellIs" dxfId="17575" priority="18852" operator="equal">
      <formula>"CL"</formula>
    </cfRule>
    <cfRule type="cellIs" dxfId="17574" priority="18853" operator="equal">
      <formula>"EL"</formula>
    </cfRule>
  </conditionalFormatting>
  <conditionalFormatting sqref="AQ10:AR10">
    <cfRule type="containsText" dxfId="17573" priority="18842" operator="containsText" text="S">
      <formula>NOT(ISERROR(SEARCH("S",AQ10)))</formula>
    </cfRule>
    <cfRule type="containsText" dxfId="17572" priority="18843" operator="containsText" text="P">
      <formula>NOT(ISERROR(SEARCH("P",AQ10)))</formula>
    </cfRule>
    <cfRule type="containsText" dxfId="17571" priority="18844" operator="containsText" text="H">
      <formula>NOT(ISERROR(SEARCH("H",AQ10)))</formula>
    </cfRule>
    <cfRule type="containsText" dxfId="17570" priority="18846" operator="containsText" text="&quot;H&quot;">
      <formula>NOT(ISERROR(SEARCH("""H""",AQ10)))</formula>
    </cfRule>
    <cfRule type="containsText" dxfId="17569" priority="18847" operator="containsText" text="&quot;A&quot;">
      <formula>NOT(ISERROR(SEARCH("""A""",AQ10)))</formula>
    </cfRule>
  </conditionalFormatting>
  <conditionalFormatting sqref="AQ10:AR10">
    <cfRule type="containsText" dxfId="17568" priority="18845" operator="containsText" text="A-H">
      <formula>NOT(ISERROR(SEARCH("A-H",AQ10)))</formula>
    </cfRule>
  </conditionalFormatting>
  <conditionalFormatting sqref="AW10:AX10">
    <cfRule type="cellIs" dxfId="17567" priority="18836" operator="equal">
      <formula>"C-Off-H"</formula>
    </cfRule>
    <cfRule type="cellIs" dxfId="17566" priority="18837" operator="equal">
      <formula>"C-Off"</formula>
    </cfRule>
    <cfRule type="cellIs" dxfId="17565" priority="18838" operator="equal">
      <formula>"CL-H"</formula>
    </cfRule>
    <cfRule type="cellIs" dxfId="17564" priority="18839" operator="equal">
      <formula>"EL-H"</formula>
    </cfRule>
    <cfRule type="cellIs" dxfId="17563" priority="18840" operator="equal">
      <formula>"CL"</formula>
    </cfRule>
    <cfRule type="cellIs" dxfId="17562" priority="18841" operator="equal">
      <formula>"EL"</formula>
    </cfRule>
  </conditionalFormatting>
  <conditionalFormatting sqref="AW10:AX10">
    <cfRule type="containsText" dxfId="17561" priority="18830" operator="containsText" text="S">
      <formula>NOT(ISERROR(SEARCH("S",AW10)))</formula>
    </cfRule>
    <cfRule type="containsText" dxfId="17560" priority="18831" operator="containsText" text="P">
      <formula>NOT(ISERROR(SEARCH("P",AW10)))</formula>
    </cfRule>
    <cfRule type="containsText" dxfId="17559" priority="18832" operator="containsText" text="H">
      <formula>NOT(ISERROR(SEARCH("H",AW10)))</formula>
    </cfRule>
    <cfRule type="containsText" dxfId="17558" priority="18834" operator="containsText" text="&quot;H&quot;">
      <formula>NOT(ISERROR(SEARCH("""H""",AW10)))</formula>
    </cfRule>
    <cfRule type="containsText" dxfId="17557" priority="18835" operator="containsText" text="&quot;A&quot;">
      <formula>NOT(ISERROR(SEARCH("""A""",AW10)))</formula>
    </cfRule>
  </conditionalFormatting>
  <conditionalFormatting sqref="AW10:AX10">
    <cfRule type="containsText" dxfId="17556" priority="18833" operator="containsText" text="A-H">
      <formula>NOT(ISERROR(SEARCH("A-H",AW10)))</formula>
    </cfRule>
  </conditionalFormatting>
  <conditionalFormatting sqref="AZ10:BA10">
    <cfRule type="cellIs" dxfId="17555" priority="18824" operator="equal">
      <formula>"C-Off-H"</formula>
    </cfRule>
    <cfRule type="cellIs" dxfId="17554" priority="18825" operator="equal">
      <formula>"C-Off"</formula>
    </cfRule>
    <cfRule type="cellIs" dxfId="17553" priority="18826" operator="equal">
      <formula>"CL-H"</formula>
    </cfRule>
    <cfRule type="cellIs" dxfId="17552" priority="18827" operator="equal">
      <formula>"EL-H"</formula>
    </cfRule>
    <cfRule type="cellIs" dxfId="17551" priority="18828" operator="equal">
      <formula>"CL"</formula>
    </cfRule>
    <cfRule type="cellIs" dxfId="17550" priority="18829" operator="equal">
      <formula>"EL"</formula>
    </cfRule>
  </conditionalFormatting>
  <conditionalFormatting sqref="AZ10:BA10">
    <cfRule type="containsText" dxfId="17549" priority="18818" operator="containsText" text="S">
      <formula>NOT(ISERROR(SEARCH("S",AZ10)))</formula>
    </cfRule>
    <cfRule type="containsText" dxfId="17548" priority="18819" operator="containsText" text="P">
      <formula>NOT(ISERROR(SEARCH("P",AZ10)))</formula>
    </cfRule>
    <cfRule type="containsText" dxfId="17547" priority="18820" operator="containsText" text="H">
      <formula>NOT(ISERROR(SEARCH("H",AZ10)))</formula>
    </cfRule>
    <cfRule type="containsText" dxfId="17546" priority="18822" operator="containsText" text="&quot;H&quot;">
      <formula>NOT(ISERROR(SEARCH("""H""",AZ10)))</formula>
    </cfRule>
    <cfRule type="containsText" dxfId="17545" priority="18823" operator="containsText" text="&quot;A&quot;">
      <formula>NOT(ISERROR(SEARCH("""A""",AZ10)))</formula>
    </cfRule>
  </conditionalFormatting>
  <conditionalFormatting sqref="AZ10:BA10">
    <cfRule type="containsText" dxfId="17544" priority="18821" operator="containsText" text="A-H">
      <formula>NOT(ISERROR(SEARCH("A-H",AZ10)))</formula>
    </cfRule>
  </conditionalFormatting>
  <conditionalFormatting sqref="BC10:BD10">
    <cfRule type="cellIs" dxfId="17543" priority="18812" operator="equal">
      <formula>"C-Off-H"</formula>
    </cfRule>
    <cfRule type="cellIs" dxfId="17542" priority="18813" operator="equal">
      <formula>"C-Off"</formula>
    </cfRule>
    <cfRule type="cellIs" dxfId="17541" priority="18814" operator="equal">
      <formula>"CL-H"</formula>
    </cfRule>
    <cfRule type="cellIs" dxfId="17540" priority="18815" operator="equal">
      <formula>"EL-H"</formula>
    </cfRule>
    <cfRule type="cellIs" dxfId="17539" priority="18816" operator="equal">
      <formula>"CL"</formula>
    </cfRule>
    <cfRule type="cellIs" dxfId="17538" priority="18817" operator="equal">
      <formula>"EL"</formula>
    </cfRule>
  </conditionalFormatting>
  <conditionalFormatting sqref="BC10:BD10">
    <cfRule type="containsText" dxfId="17537" priority="18806" operator="containsText" text="S">
      <formula>NOT(ISERROR(SEARCH("S",BC10)))</formula>
    </cfRule>
    <cfRule type="containsText" dxfId="17536" priority="18807" operator="containsText" text="P">
      <formula>NOT(ISERROR(SEARCH("P",BC10)))</formula>
    </cfRule>
    <cfRule type="containsText" dxfId="17535" priority="18808" operator="containsText" text="H">
      <formula>NOT(ISERROR(SEARCH("H",BC10)))</formula>
    </cfRule>
    <cfRule type="containsText" dxfId="17534" priority="18810" operator="containsText" text="&quot;H&quot;">
      <formula>NOT(ISERROR(SEARCH("""H""",BC10)))</formula>
    </cfRule>
    <cfRule type="containsText" dxfId="17533" priority="18811" operator="containsText" text="&quot;A&quot;">
      <formula>NOT(ISERROR(SEARCH("""A""",BC10)))</formula>
    </cfRule>
  </conditionalFormatting>
  <conditionalFormatting sqref="BC10:BD10">
    <cfRule type="containsText" dxfId="17532" priority="18809" operator="containsText" text="A-H">
      <formula>NOT(ISERROR(SEARCH("A-H",BC10)))</formula>
    </cfRule>
  </conditionalFormatting>
  <conditionalFormatting sqref="BF10:BG10">
    <cfRule type="cellIs" dxfId="17531" priority="18800" operator="equal">
      <formula>"C-Off-H"</formula>
    </cfRule>
    <cfRule type="cellIs" dxfId="17530" priority="18801" operator="equal">
      <formula>"C-Off"</formula>
    </cfRule>
    <cfRule type="cellIs" dxfId="17529" priority="18802" operator="equal">
      <formula>"CL-H"</formula>
    </cfRule>
    <cfRule type="cellIs" dxfId="17528" priority="18803" operator="equal">
      <formula>"EL-H"</formula>
    </cfRule>
    <cfRule type="cellIs" dxfId="17527" priority="18804" operator="equal">
      <formula>"CL"</formula>
    </cfRule>
    <cfRule type="cellIs" dxfId="17526" priority="18805" operator="equal">
      <formula>"EL"</formula>
    </cfRule>
  </conditionalFormatting>
  <conditionalFormatting sqref="BF10:BG10">
    <cfRule type="containsText" dxfId="17525" priority="18794" operator="containsText" text="S">
      <formula>NOT(ISERROR(SEARCH("S",BF10)))</formula>
    </cfRule>
    <cfRule type="containsText" dxfId="17524" priority="18795" operator="containsText" text="P">
      <formula>NOT(ISERROR(SEARCH("P",BF10)))</formula>
    </cfRule>
    <cfRule type="containsText" dxfId="17523" priority="18796" operator="containsText" text="H">
      <formula>NOT(ISERROR(SEARCH("H",BF10)))</formula>
    </cfRule>
    <cfRule type="containsText" dxfId="17522" priority="18798" operator="containsText" text="&quot;H&quot;">
      <formula>NOT(ISERROR(SEARCH("""H""",BF10)))</formula>
    </cfRule>
    <cfRule type="containsText" dxfId="17521" priority="18799" operator="containsText" text="&quot;A&quot;">
      <formula>NOT(ISERROR(SEARCH("""A""",BF10)))</formula>
    </cfRule>
  </conditionalFormatting>
  <conditionalFormatting sqref="BF10:BG10">
    <cfRule type="containsText" dxfId="17520" priority="18797" operator="containsText" text="A-H">
      <formula>NOT(ISERROR(SEARCH("A-H",BF10)))</formula>
    </cfRule>
  </conditionalFormatting>
  <conditionalFormatting sqref="BI10:BJ10">
    <cfRule type="cellIs" dxfId="17519" priority="18788" operator="equal">
      <formula>"C-Off-H"</formula>
    </cfRule>
    <cfRule type="cellIs" dxfId="17518" priority="18789" operator="equal">
      <formula>"C-Off"</formula>
    </cfRule>
    <cfRule type="cellIs" dxfId="17517" priority="18790" operator="equal">
      <formula>"CL-H"</formula>
    </cfRule>
    <cfRule type="cellIs" dxfId="17516" priority="18791" operator="equal">
      <formula>"EL-H"</formula>
    </cfRule>
    <cfRule type="cellIs" dxfId="17515" priority="18792" operator="equal">
      <formula>"CL"</formula>
    </cfRule>
    <cfRule type="cellIs" dxfId="17514" priority="18793" operator="equal">
      <formula>"EL"</formula>
    </cfRule>
  </conditionalFormatting>
  <conditionalFormatting sqref="BI10:BJ10">
    <cfRule type="containsText" dxfId="17513" priority="18782" operator="containsText" text="S">
      <formula>NOT(ISERROR(SEARCH("S",BI10)))</formula>
    </cfRule>
    <cfRule type="containsText" dxfId="17512" priority="18783" operator="containsText" text="P">
      <formula>NOT(ISERROR(SEARCH("P",BI10)))</formula>
    </cfRule>
    <cfRule type="containsText" dxfId="17511" priority="18784" operator="containsText" text="H">
      <formula>NOT(ISERROR(SEARCH("H",BI10)))</formula>
    </cfRule>
    <cfRule type="containsText" dxfId="17510" priority="18786" operator="containsText" text="&quot;H&quot;">
      <formula>NOT(ISERROR(SEARCH("""H""",BI10)))</formula>
    </cfRule>
    <cfRule type="containsText" dxfId="17509" priority="18787" operator="containsText" text="&quot;A&quot;">
      <formula>NOT(ISERROR(SEARCH("""A""",BI10)))</formula>
    </cfRule>
  </conditionalFormatting>
  <conditionalFormatting sqref="BI10:BJ10">
    <cfRule type="containsText" dxfId="17508" priority="18785" operator="containsText" text="A-H">
      <formula>NOT(ISERROR(SEARCH("A-H",BI10)))</formula>
    </cfRule>
  </conditionalFormatting>
  <conditionalFormatting sqref="BL10:BM10">
    <cfRule type="cellIs" dxfId="17507" priority="18776" operator="equal">
      <formula>"C-Off-H"</formula>
    </cfRule>
    <cfRule type="cellIs" dxfId="17506" priority="18777" operator="equal">
      <formula>"C-Off"</formula>
    </cfRule>
    <cfRule type="cellIs" dxfId="17505" priority="18778" operator="equal">
      <formula>"CL-H"</formula>
    </cfRule>
    <cfRule type="cellIs" dxfId="17504" priority="18779" operator="equal">
      <formula>"EL-H"</formula>
    </cfRule>
    <cfRule type="cellIs" dxfId="17503" priority="18780" operator="equal">
      <formula>"CL"</formula>
    </cfRule>
    <cfRule type="cellIs" dxfId="17502" priority="18781" operator="equal">
      <formula>"EL"</formula>
    </cfRule>
  </conditionalFormatting>
  <conditionalFormatting sqref="BL10:BM10">
    <cfRule type="containsText" dxfId="17501" priority="18770" operator="containsText" text="S">
      <formula>NOT(ISERROR(SEARCH("S",BL10)))</formula>
    </cfRule>
    <cfRule type="containsText" dxfId="17500" priority="18771" operator="containsText" text="P">
      <formula>NOT(ISERROR(SEARCH("P",BL10)))</formula>
    </cfRule>
    <cfRule type="containsText" dxfId="17499" priority="18772" operator="containsText" text="H">
      <formula>NOT(ISERROR(SEARCH("H",BL10)))</formula>
    </cfRule>
    <cfRule type="containsText" dxfId="17498" priority="18774" operator="containsText" text="&quot;H&quot;">
      <formula>NOT(ISERROR(SEARCH("""H""",BL10)))</formula>
    </cfRule>
    <cfRule type="containsText" dxfId="17497" priority="18775" operator="containsText" text="&quot;A&quot;">
      <formula>NOT(ISERROR(SEARCH("""A""",BL10)))</formula>
    </cfRule>
  </conditionalFormatting>
  <conditionalFormatting sqref="BL10:BM10">
    <cfRule type="containsText" dxfId="17496" priority="18773" operator="containsText" text="A-H">
      <formula>NOT(ISERROR(SEARCH("A-H",BL10)))</formula>
    </cfRule>
  </conditionalFormatting>
  <conditionalFormatting sqref="BR10:BS10">
    <cfRule type="cellIs" dxfId="17495" priority="18764" operator="equal">
      <formula>"C-Off-H"</formula>
    </cfRule>
    <cfRule type="cellIs" dxfId="17494" priority="18765" operator="equal">
      <formula>"C-Off"</formula>
    </cfRule>
    <cfRule type="cellIs" dxfId="17493" priority="18766" operator="equal">
      <formula>"CL-H"</formula>
    </cfRule>
    <cfRule type="cellIs" dxfId="17492" priority="18767" operator="equal">
      <formula>"EL-H"</formula>
    </cfRule>
    <cfRule type="cellIs" dxfId="17491" priority="18768" operator="equal">
      <formula>"CL"</formula>
    </cfRule>
    <cfRule type="cellIs" dxfId="17490" priority="18769" operator="equal">
      <formula>"EL"</formula>
    </cfRule>
  </conditionalFormatting>
  <conditionalFormatting sqref="BR10:BS10">
    <cfRule type="containsText" dxfId="17489" priority="18758" operator="containsText" text="S">
      <formula>NOT(ISERROR(SEARCH("S",BR10)))</formula>
    </cfRule>
    <cfRule type="containsText" dxfId="17488" priority="18759" operator="containsText" text="P">
      <formula>NOT(ISERROR(SEARCH("P",BR10)))</formula>
    </cfRule>
    <cfRule type="containsText" dxfId="17487" priority="18760" operator="containsText" text="H">
      <formula>NOT(ISERROR(SEARCH("H",BR10)))</formula>
    </cfRule>
    <cfRule type="containsText" dxfId="17486" priority="18762" operator="containsText" text="&quot;H&quot;">
      <formula>NOT(ISERROR(SEARCH("""H""",BR10)))</formula>
    </cfRule>
    <cfRule type="containsText" dxfId="17485" priority="18763" operator="containsText" text="&quot;A&quot;">
      <formula>NOT(ISERROR(SEARCH("""A""",BR10)))</formula>
    </cfRule>
  </conditionalFormatting>
  <conditionalFormatting sqref="BR10:BS10">
    <cfRule type="containsText" dxfId="17484" priority="18761" operator="containsText" text="A-H">
      <formula>NOT(ISERROR(SEARCH("A-H",BR10)))</formula>
    </cfRule>
  </conditionalFormatting>
  <conditionalFormatting sqref="BU10:BV10">
    <cfRule type="cellIs" dxfId="17483" priority="18752" operator="equal">
      <formula>"C-Off-H"</formula>
    </cfRule>
    <cfRule type="cellIs" dxfId="17482" priority="18753" operator="equal">
      <formula>"C-Off"</formula>
    </cfRule>
    <cfRule type="cellIs" dxfId="17481" priority="18754" operator="equal">
      <formula>"CL-H"</formula>
    </cfRule>
    <cfRule type="cellIs" dxfId="17480" priority="18755" operator="equal">
      <formula>"EL-H"</formula>
    </cfRule>
    <cfRule type="cellIs" dxfId="17479" priority="18756" operator="equal">
      <formula>"CL"</formula>
    </cfRule>
    <cfRule type="cellIs" dxfId="17478" priority="18757" operator="equal">
      <formula>"EL"</formula>
    </cfRule>
  </conditionalFormatting>
  <conditionalFormatting sqref="BU10:BV10">
    <cfRule type="containsText" dxfId="17477" priority="18746" operator="containsText" text="S">
      <formula>NOT(ISERROR(SEARCH("S",BU10)))</formula>
    </cfRule>
    <cfRule type="containsText" dxfId="17476" priority="18747" operator="containsText" text="P">
      <formula>NOT(ISERROR(SEARCH("P",BU10)))</formula>
    </cfRule>
    <cfRule type="containsText" dxfId="17475" priority="18748" operator="containsText" text="H">
      <formula>NOT(ISERROR(SEARCH("H",BU10)))</formula>
    </cfRule>
    <cfRule type="containsText" dxfId="17474" priority="18750" operator="containsText" text="&quot;H&quot;">
      <formula>NOT(ISERROR(SEARCH("""H""",BU10)))</formula>
    </cfRule>
    <cfRule type="containsText" dxfId="17473" priority="18751" operator="containsText" text="&quot;A&quot;">
      <formula>NOT(ISERROR(SEARCH("""A""",BU10)))</formula>
    </cfRule>
  </conditionalFormatting>
  <conditionalFormatting sqref="BU10:BV10">
    <cfRule type="containsText" dxfId="17472" priority="18749" operator="containsText" text="A-H">
      <formula>NOT(ISERROR(SEARCH("A-H",BU10)))</formula>
    </cfRule>
  </conditionalFormatting>
  <conditionalFormatting sqref="BY10">
    <cfRule type="cellIs" dxfId="17471" priority="18740" operator="equal">
      <formula>"C-Off-H"</formula>
    </cfRule>
    <cfRule type="cellIs" dxfId="17470" priority="18741" operator="equal">
      <formula>"C-Off"</formula>
    </cfRule>
    <cfRule type="cellIs" dxfId="17469" priority="18742" operator="equal">
      <formula>"CL-H"</formula>
    </cfRule>
    <cfRule type="cellIs" dxfId="17468" priority="18743" operator="equal">
      <formula>"EL-H"</formula>
    </cfRule>
    <cfRule type="cellIs" dxfId="17467" priority="18744" operator="equal">
      <formula>"CL"</formula>
    </cfRule>
    <cfRule type="cellIs" dxfId="17466" priority="18745" operator="equal">
      <formula>"EL"</formula>
    </cfRule>
  </conditionalFormatting>
  <conditionalFormatting sqref="BY10">
    <cfRule type="containsText" dxfId="17465" priority="18734" operator="containsText" text="S">
      <formula>NOT(ISERROR(SEARCH("S",BY10)))</formula>
    </cfRule>
    <cfRule type="containsText" dxfId="17464" priority="18735" operator="containsText" text="P">
      <formula>NOT(ISERROR(SEARCH("P",BY10)))</formula>
    </cfRule>
    <cfRule type="containsText" dxfId="17463" priority="18736" operator="containsText" text="H">
      <formula>NOT(ISERROR(SEARCH("H",BY10)))</formula>
    </cfRule>
    <cfRule type="containsText" dxfId="17462" priority="18738" operator="containsText" text="&quot;H&quot;">
      <formula>NOT(ISERROR(SEARCH("""H""",BY10)))</formula>
    </cfRule>
    <cfRule type="containsText" dxfId="17461" priority="18739" operator="containsText" text="&quot;A&quot;">
      <formula>NOT(ISERROR(SEARCH("""A""",BY10)))</formula>
    </cfRule>
  </conditionalFormatting>
  <conditionalFormatting sqref="BY10">
    <cfRule type="containsText" dxfId="17460" priority="18737" operator="containsText" text="A-H">
      <formula>NOT(ISERROR(SEARCH("A-H",BY10)))</formula>
    </cfRule>
  </conditionalFormatting>
  <conditionalFormatting sqref="BX10">
    <cfRule type="cellIs" dxfId="17459" priority="18728" operator="equal">
      <formula>"C-Off-H"</formula>
    </cfRule>
    <cfRule type="cellIs" dxfId="17458" priority="18729" operator="equal">
      <formula>"C-Off"</formula>
    </cfRule>
    <cfRule type="cellIs" dxfId="17457" priority="18730" operator="equal">
      <formula>"CL-H"</formula>
    </cfRule>
    <cfRule type="cellIs" dxfId="17456" priority="18731" operator="equal">
      <formula>"EL-H"</formula>
    </cfRule>
    <cfRule type="cellIs" dxfId="17455" priority="18732" operator="equal">
      <formula>"CL"</formula>
    </cfRule>
    <cfRule type="cellIs" dxfId="17454" priority="18733" operator="equal">
      <formula>"EL"</formula>
    </cfRule>
  </conditionalFormatting>
  <conditionalFormatting sqref="BX10">
    <cfRule type="containsText" dxfId="17453" priority="18722" operator="containsText" text="S">
      <formula>NOT(ISERROR(SEARCH("S",BX10)))</formula>
    </cfRule>
    <cfRule type="containsText" dxfId="17452" priority="18723" operator="containsText" text="P">
      <formula>NOT(ISERROR(SEARCH("P",BX10)))</formula>
    </cfRule>
    <cfRule type="containsText" dxfId="17451" priority="18724" operator="containsText" text="H">
      <formula>NOT(ISERROR(SEARCH("H",BX10)))</formula>
    </cfRule>
    <cfRule type="containsText" dxfId="17450" priority="18726" operator="containsText" text="&quot;H&quot;">
      <formula>NOT(ISERROR(SEARCH("""H""",BX10)))</formula>
    </cfRule>
    <cfRule type="containsText" dxfId="17449" priority="18727" operator="containsText" text="&quot;A&quot;">
      <formula>NOT(ISERROR(SEARCH("""A""",BX10)))</formula>
    </cfRule>
  </conditionalFormatting>
  <conditionalFormatting sqref="BX10">
    <cfRule type="containsText" dxfId="17448" priority="18725" operator="containsText" text="A-H">
      <formula>NOT(ISERROR(SEARCH("A-H",BX10)))</formula>
    </cfRule>
  </conditionalFormatting>
  <conditionalFormatting sqref="J10:K10">
    <cfRule type="cellIs" dxfId="17447" priority="18716" operator="equal">
      <formula>"C-Off-H"</formula>
    </cfRule>
    <cfRule type="cellIs" dxfId="17446" priority="18717" operator="equal">
      <formula>"C-Off"</formula>
    </cfRule>
    <cfRule type="cellIs" dxfId="17445" priority="18718" operator="equal">
      <formula>"CL-H"</formula>
    </cfRule>
    <cfRule type="cellIs" dxfId="17444" priority="18719" operator="equal">
      <formula>"EL-H"</formula>
    </cfRule>
    <cfRule type="cellIs" dxfId="17443" priority="18720" operator="equal">
      <formula>"CL"</formula>
    </cfRule>
    <cfRule type="cellIs" dxfId="17442" priority="18721" operator="equal">
      <formula>"EL"</formula>
    </cfRule>
  </conditionalFormatting>
  <conditionalFormatting sqref="J10:K10">
    <cfRule type="containsText" dxfId="17441" priority="18710" operator="containsText" text="S">
      <formula>NOT(ISERROR(SEARCH("S",J10)))</formula>
    </cfRule>
    <cfRule type="containsText" dxfId="17440" priority="18711" operator="containsText" text="P">
      <formula>NOT(ISERROR(SEARCH("P",J10)))</formula>
    </cfRule>
    <cfRule type="containsText" dxfId="17439" priority="18712" operator="containsText" text="H">
      <formula>NOT(ISERROR(SEARCH("H",J10)))</formula>
    </cfRule>
    <cfRule type="containsText" dxfId="17438" priority="18714" operator="containsText" text="&quot;H&quot;">
      <formula>NOT(ISERROR(SEARCH("""H""",J10)))</formula>
    </cfRule>
    <cfRule type="containsText" dxfId="17437" priority="18715" operator="containsText" text="&quot;A&quot;">
      <formula>NOT(ISERROR(SEARCH("""A""",J10)))</formula>
    </cfRule>
  </conditionalFormatting>
  <conditionalFormatting sqref="J10:K10">
    <cfRule type="containsText" dxfId="17436" priority="18713" operator="containsText" text="A-H">
      <formula>NOT(ISERROR(SEARCH("A-H",J10)))</formula>
    </cfRule>
  </conditionalFormatting>
  <conditionalFormatting sqref="M8:N8 DC8 CQ8:CW8">
    <cfRule type="cellIs" dxfId="17435" priority="18704" operator="equal">
      <formula>"C-Off-H"</formula>
    </cfRule>
    <cfRule type="cellIs" dxfId="17434" priority="18705" operator="equal">
      <formula>"C-Off"</formula>
    </cfRule>
    <cfRule type="cellIs" dxfId="17433" priority="18706" operator="equal">
      <formula>"CL-H"</formula>
    </cfRule>
    <cfRule type="cellIs" dxfId="17432" priority="18707" operator="equal">
      <formula>"EL-H"</formula>
    </cfRule>
    <cfRule type="cellIs" dxfId="17431" priority="18708" operator="equal">
      <formula>"CL"</formula>
    </cfRule>
    <cfRule type="cellIs" dxfId="17430" priority="18709" operator="equal">
      <formula>"EL"</formula>
    </cfRule>
  </conditionalFormatting>
  <conditionalFormatting sqref="M8:N8 DC8 CQ8:CW8 CY8:DA8">
    <cfRule type="containsText" dxfId="17429" priority="18703" operator="containsText" text="A-H">
      <formula>NOT(ISERROR(SEARCH("A-H",M8)))</formula>
    </cfRule>
  </conditionalFormatting>
  <conditionalFormatting sqref="DC8 CQ8:CW8 CY8:DA8">
    <cfRule type="containsText" dxfId="17428" priority="18702" operator="containsText" text="A">
      <formula>NOT(ISERROR(SEARCH("A",CQ8)))</formula>
    </cfRule>
  </conditionalFormatting>
  <conditionalFormatting sqref="CY8 DA8">
    <cfRule type="cellIs" dxfId="17427" priority="18696" stopIfTrue="1" operator="equal">
      <formula>"C-Off-H"</formula>
    </cfRule>
    <cfRule type="cellIs" dxfId="17426" priority="18697" stopIfTrue="1" operator="equal">
      <formula>"C-Off"</formula>
    </cfRule>
    <cfRule type="cellIs" dxfId="17425" priority="18698" stopIfTrue="1" operator="equal">
      <formula>"CL-H"</formula>
    </cfRule>
    <cfRule type="cellIs" dxfId="17424" priority="18699" stopIfTrue="1" operator="equal">
      <formula>"EL-H"</formula>
    </cfRule>
    <cfRule type="cellIs" dxfId="17423" priority="18700" stopIfTrue="1" operator="equal">
      <formula>"CL"</formula>
    </cfRule>
    <cfRule type="cellIs" dxfId="17422" priority="18701" stopIfTrue="1" operator="equal">
      <formula>"EL"</formula>
    </cfRule>
  </conditionalFormatting>
  <conditionalFormatting sqref="CZ8">
    <cfRule type="cellIs" dxfId="17421" priority="18690" stopIfTrue="1" operator="equal">
      <formula>"C-Off-H"</formula>
    </cfRule>
    <cfRule type="cellIs" dxfId="17420" priority="18691" stopIfTrue="1" operator="equal">
      <formula>"C-Off"</formula>
    </cfRule>
    <cfRule type="cellIs" dxfId="17419" priority="18692" stopIfTrue="1" operator="equal">
      <formula>"CL-H"</formula>
    </cfRule>
    <cfRule type="cellIs" dxfId="17418" priority="18693" stopIfTrue="1" operator="equal">
      <formula>"EL-H"</formula>
    </cfRule>
    <cfRule type="cellIs" dxfId="17417" priority="18694" stopIfTrue="1" operator="equal">
      <formula>"CL"</formula>
    </cfRule>
    <cfRule type="cellIs" dxfId="17416" priority="18695" stopIfTrue="1" operator="equal">
      <formula>"EL"</formula>
    </cfRule>
  </conditionalFormatting>
  <conditionalFormatting sqref="M8:N8">
    <cfRule type="containsText" dxfId="17415" priority="18685" operator="containsText" text="S">
      <formula>NOT(ISERROR(SEARCH("S",M8)))</formula>
    </cfRule>
    <cfRule type="containsText" dxfId="17414" priority="18686" operator="containsText" text="P">
      <formula>NOT(ISERROR(SEARCH("P",M8)))</formula>
    </cfRule>
    <cfRule type="containsText" dxfId="17413" priority="18687" operator="containsText" text="H">
      <formula>NOT(ISERROR(SEARCH("H",M8)))</formula>
    </cfRule>
    <cfRule type="containsText" dxfId="17412" priority="18688" operator="containsText" text="&quot;H&quot;">
      <formula>NOT(ISERROR(SEARCH("""H""",M8)))</formula>
    </cfRule>
    <cfRule type="containsText" dxfId="17411" priority="18689" operator="containsText" text="&quot;A&quot;">
      <formula>NOT(ISERROR(SEARCH("""A""",M8)))</formula>
    </cfRule>
  </conditionalFormatting>
  <conditionalFormatting sqref="DD8">
    <cfRule type="cellIs" dxfId="17410" priority="18679" operator="equal">
      <formula>"C-Off-H"</formula>
    </cfRule>
    <cfRule type="cellIs" dxfId="17409" priority="18680" operator="equal">
      <formula>"C-Off"</formula>
    </cfRule>
    <cfRule type="cellIs" dxfId="17408" priority="18681" operator="equal">
      <formula>"CL-H"</formula>
    </cfRule>
    <cfRule type="cellIs" dxfId="17407" priority="18682" operator="equal">
      <formula>"EL-H"</formula>
    </cfRule>
    <cfRule type="cellIs" dxfId="17406" priority="18683" operator="equal">
      <formula>"CL"</formula>
    </cfRule>
    <cfRule type="cellIs" dxfId="17405" priority="18684" operator="equal">
      <formula>"EL"</formula>
    </cfRule>
  </conditionalFormatting>
  <conditionalFormatting sqref="DD8">
    <cfRule type="containsText" dxfId="17404" priority="18678" operator="containsText" text="A">
      <formula>NOT(ISERROR(SEARCH("A",DD8)))</formula>
    </cfRule>
  </conditionalFormatting>
  <conditionalFormatting sqref="DD8">
    <cfRule type="containsText" dxfId="17403" priority="18677" operator="containsText" text="A-H">
      <formula>NOT(ISERROR(SEARCH("A-H",DD8)))</formula>
    </cfRule>
  </conditionalFormatting>
  <conditionalFormatting sqref="AI8">
    <cfRule type="cellIs" dxfId="17402" priority="18671" operator="equal">
      <formula>"C-Off-H"</formula>
    </cfRule>
    <cfRule type="cellIs" dxfId="17401" priority="18672" operator="equal">
      <formula>"C-Off"</formula>
    </cfRule>
    <cfRule type="cellIs" dxfId="17400" priority="18673" operator="equal">
      <formula>"CL-H"</formula>
    </cfRule>
    <cfRule type="cellIs" dxfId="17399" priority="18674" operator="equal">
      <formula>"EL-H"</formula>
    </cfRule>
    <cfRule type="cellIs" dxfId="17398" priority="18675" operator="equal">
      <formula>"CL"</formula>
    </cfRule>
    <cfRule type="cellIs" dxfId="17397" priority="18676" operator="equal">
      <formula>"EL"</formula>
    </cfRule>
  </conditionalFormatting>
  <conditionalFormatting sqref="AH8:AI8">
    <cfRule type="cellIs" dxfId="17396" priority="18665" operator="equal">
      <formula>"C-Off-H"</formula>
    </cfRule>
    <cfRule type="cellIs" dxfId="17395" priority="18666" operator="equal">
      <formula>"C-Off"</formula>
    </cfRule>
    <cfRule type="cellIs" dxfId="17394" priority="18667" operator="equal">
      <formula>"CL-H"</formula>
    </cfRule>
    <cfRule type="cellIs" dxfId="17393" priority="18668" operator="equal">
      <formula>"EL-H"</formula>
    </cfRule>
    <cfRule type="cellIs" dxfId="17392" priority="18669" operator="equal">
      <formula>"CL"</formula>
    </cfRule>
    <cfRule type="cellIs" dxfId="17391" priority="18670" operator="equal">
      <formula>"EL"</formula>
    </cfRule>
  </conditionalFormatting>
  <conditionalFormatting sqref="AH8:AI8">
    <cfRule type="containsText" dxfId="17390" priority="18659" operator="containsText" text="S">
      <formula>NOT(ISERROR(SEARCH("S",AH8)))</formula>
    </cfRule>
    <cfRule type="containsText" dxfId="17389" priority="18660" operator="containsText" text="P">
      <formula>NOT(ISERROR(SEARCH("P",AH8)))</formula>
    </cfRule>
    <cfRule type="containsText" dxfId="17388" priority="18661" operator="containsText" text="H">
      <formula>NOT(ISERROR(SEARCH("H",AH8)))</formula>
    </cfRule>
    <cfRule type="containsText" dxfId="17387" priority="18663" operator="containsText" text="&quot;H&quot;">
      <formula>NOT(ISERROR(SEARCH("""H""",AH8)))</formula>
    </cfRule>
    <cfRule type="containsText" dxfId="17386" priority="18664" operator="containsText" text="&quot;A&quot;">
      <formula>NOT(ISERROR(SEARCH("""A""",AH8)))</formula>
    </cfRule>
  </conditionalFormatting>
  <conditionalFormatting sqref="AH8:AI8">
    <cfRule type="containsText" dxfId="17385" priority="18662" operator="containsText" text="A-H">
      <formula>NOT(ISERROR(SEARCH("A-H",AH8)))</formula>
    </cfRule>
  </conditionalFormatting>
  <conditionalFormatting sqref="AU8">
    <cfRule type="cellIs" dxfId="17384" priority="18653" operator="equal">
      <formula>"C-Off-H"</formula>
    </cfRule>
    <cfRule type="cellIs" dxfId="17383" priority="18654" operator="equal">
      <formula>"C-Off"</formula>
    </cfRule>
    <cfRule type="cellIs" dxfId="17382" priority="18655" operator="equal">
      <formula>"CL-H"</formula>
    </cfRule>
    <cfRule type="cellIs" dxfId="17381" priority="18656" operator="equal">
      <formula>"EL-H"</formula>
    </cfRule>
    <cfRule type="cellIs" dxfId="17380" priority="18657" operator="equal">
      <formula>"CL"</formula>
    </cfRule>
    <cfRule type="cellIs" dxfId="17379" priority="18658" operator="equal">
      <formula>"EL"</formula>
    </cfRule>
  </conditionalFormatting>
  <conditionalFormatting sqref="AT8:AU8">
    <cfRule type="cellIs" dxfId="17378" priority="18647" operator="equal">
      <formula>"C-Off-H"</formula>
    </cfRule>
    <cfRule type="cellIs" dxfId="17377" priority="18648" operator="equal">
      <formula>"C-Off"</formula>
    </cfRule>
    <cfRule type="cellIs" dxfId="17376" priority="18649" operator="equal">
      <formula>"CL-H"</formula>
    </cfRule>
    <cfRule type="cellIs" dxfId="17375" priority="18650" operator="equal">
      <formula>"EL-H"</formula>
    </cfRule>
    <cfRule type="cellIs" dxfId="17374" priority="18651" operator="equal">
      <formula>"CL"</formula>
    </cfRule>
    <cfRule type="cellIs" dxfId="17373" priority="18652" operator="equal">
      <formula>"EL"</formula>
    </cfRule>
  </conditionalFormatting>
  <conditionalFormatting sqref="AT8:AU8">
    <cfRule type="containsText" dxfId="17372" priority="18641" operator="containsText" text="S">
      <formula>NOT(ISERROR(SEARCH("S",AT8)))</formula>
    </cfRule>
    <cfRule type="containsText" dxfId="17371" priority="18642" operator="containsText" text="P">
      <formula>NOT(ISERROR(SEARCH("P",AT8)))</formula>
    </cfRule>
    <cfRule type="containsText" dxfId="17370" priority="18643" operator="containsText" text="H">
      <formula>NOT(ISERROR(SEARCH("H",AT8)))</formula>
    </cfRule>
    <cfRule type="containsText" dxfId="17369" priority="18645" operator="containsText" text="&quot;H&quot;">
      <formula>NOT(ISERROR(SEARCH("""H""",AT8)))</formula>
    </cfRule>
    <cfRule type="containsText" dxfId="17368" priority="18646" operator="containsText" text="&quot;A&quot;">
      <formula>NOT(ISERROR(SEARCH("""A""",AT8)))</formula>
    </cfRule>
  </conditionalFormatting>
  <conditionalFormatting sqref="AT8:AU8">
    <cfRule type="containsText" dxfId="17367" priority="18644" operator="containsText" text="A-H">
      <formula>NOT(ISERROR(SEARCH("A-H",AT8)))</formula>
    </cfRule>
  </conditionalFormatting>
  <conditionalFormatting sqref="E8">
    <cfRule type="cellIs" dxfId="17366" priority="18635" operator="equal">
      <formula>"C-Off-H"</formula>
    </cfRule>
    <cfRule type="cellIs" dxfId="17365" priority="18636" operator="equal">
      <formula>"C-Off"</formula>
    </cfRule>
    <cfRule type="cellIs" dxfId="17364" priority="18637" operator="equal">
      <formula>"CL-H"</formula>
    </cfRule>
    <cfRule type="cellIs" dxfId="17363" priority="18638" operator="equal">
      <formula>"EL-H"</formula>
    </cfRule>
    <cfRule type="cellIs" dxfId="17362" priority="18639" operator="equal">
      <formula>"CL"</formula>
    </cfRule>
    <cfRule type="cellIs" dxfId="17361" priority="18640" operator="equal">
      <formula>"EL"</formula>
    </cfRule>
  </conditionalFormatting>
  <conditionalFormatting sqref="D8:E8">
    <cfRule type="cellIs" dxfId="17360" priority="18629" operator="equal">
      <formula>"C-Off-H"</formula>
    </cfRule>
    <cfRule type="cellIs" dxfId="17359" priority="18630" operator="equal">
      <formula>"C-Off"</formula>
    </cfRule>
    <cfRule type="cellIs" dxfId="17358" priority="18631" operator="equal">
      <formula>"CL-H"</formula>
    </cfRule>
    <cfRule type="cellIs" dxfId="17357" priority="18632" operator="equal">
      <formula>"EL-H"</formula>
    </cfRule>
    <cfRule type="cellIs" dxfId="17356" priority="18633" operator="equal">
      <formula>"CL"</formula>
    </cfRule>
    <cfRule type="cellIs" dxfId="17355" priority="18634" operator="equal">
      <formula>"EL"</formula>
    </cfRule>
  </conditionalFormatting>
  <conditionalFormatting sqref="D8:E8">
    <cfRule type="containsText" dxfId="17354" priority="18623" operator="containsText" text="S">
      <formula>NOT(ISERROR(SEARCH("S",D8)))</formula>
    </cfRule>
    <cfRule type="containsText" dxfId="17353" priority="18624" operator="containsText" text="P">
      <formula>NOT(ISERROR(SEARCH("P",D8)))</formula>
    </cfRule>
    <cfRule type="containsText" dxfId="17352" priority="18625" operator="containsText" text="H">
      <formula>NOT(ISERROR(SEARCH("H",D8)))</formula>
    </cfRule>
    <cfRule type="containsText" dxfId="17351" priority="18627" operator="containsText" text="&quot;H&quot;">
      <formula>NOT(ISERROR(SEARCH("""H""",D8)))</formula>
    </cfRule>
    <cfRule type="containsText" dxfId="17350" priority="18628" operator="containsText" text="&quot;A&quot;">
      <formula>NOT(ISERROR(SEARCH("""A""",D8)))</formula>
    </cfRule>
  </conditionalFormatting>
  <conditionalFormatting sqref="D8:E8">
    <cfRule type="containsText" dxfId="17349" priority="18626" operator="containsText" text="A-H">
      <formula>NOT(ISERROR(SEARCH("A-H",D8)))</formula>
    </cfRule>
  </conditionalFormatting>
  <conditionalFormatting sqref="Y8">
    <cfRule type="cellIs" dxfId="17348" priority="18617" operator="equal">
      <formula>"C-Off-H"</formula>
    </cfRule>
    <cfRule type="cellIs" dxfId="17347" priority="18618" operator="equal">
      <formula>"C-Off"</formula>
    </cfRule>
    <cfRule type="cellIs" dxfId="17346" priority="18619" operator="equal">
      <formula>"CL-H"</formula>
    </cfRule>
    <cfRule type="cellIs" dxfId="17345" priority="18620" operator="equal">
      <formula>"EL-H"</formula>
    </cfRule>
    <cfRule type="cellIs" dxfId="17344" priority="18621" operator="equal">
      <formula>"CL"</formula>
    </cfRule>
    <cfRule type="cellIs" dxfId="17343" priority="18622" operator="equal">
      <formula>"EL"</formula>
    </cfRule>
  </conditionalFormatting>
  <conditionalFormatting sqref="Y8">
    <cfRule type="containsText" dxfId="17342" priority="18611" operator="containsText" text="S">
      <formula>NOT(ISERROR(SEARCH("S",Y8)))</formula>
    </cfRule>
    <cfRule type="containsText" dxfId="17341" priority="18612" operator="containsText" text="P">
      <formula>NOT(ISERROR(SEARCH("P",Y8)))</formula>
    </cfRule>
    <cfRule type="containsText" dxfId="17340" priority="18613" operator="containsText" text="H">
      <formula>NOT(ISERROR(SEARCH("H",Y8)))</formula>
    </cfRule>
    <cfRule type="containsText" dxfId="17339" priority="18615" operator="containsText" text="&quot;H&quot;">
      <formula>NOT(ISERROR(SEARCH("""H""",Y8)))</formula>
    </cfRule>
    <cfRule type="containsText" dxfId="17338" priority="18616" operator="containsText" text="&quot;A&quot;">
      <formula>NOT(ISERROR(SEARCH("""A""",Y8)))</formula>
    </cfRule>
  </conditionalFormatting>
  <conditionalFormatting sqref="Y8">
    <cfRule type="containsText" dxfId="17337" priority="18614" operator="containsText" text="A-H">
      <formula>NOT(ISERROR(SEARCH("A-H",Y8)))</formula>
    </cfRule>
  </conditionalFormatting>
  <conditionalFormatting sqref="AF8">
    <cfRule type="cellIs" dxfId="17336" priority="18605" operator="equal">
      <formula>"C-Off-H"</formula>
    </cfRule>
    <cfRule type="cellIs" dxfId="17335" priority="18606" operator="equal">
      <formula>"C-Off"</formula>
    </cfRule>
    <cfRule type="cellIs" dxfId="17334" priority="18607" operator="equal">
      <formula>"CL-H"</formula>
    </cfRule>
    <cfRule type="cellIs" dxfId="17333" priority="18608" operator="equal">
      <formula>"EL-H"</formula>
    </cfRule>
    <cfRule type="cellIs" dxfId="17332" priority="18609" operator="equal">
      <formula>"CL"</formula>
    </cfRule>
    <cfRule type="cellIs" dxfId="17331" priority="18610" operator="equal">
      <formula>"EL"</formula>
    </cfRule>
  </conditionalFormatting>
  <conditionalFormatting sqref="AF8">
    <cfRule type="containsText" dxfId="17330" priority="18599" operator="containsText" text="S">
      <formula>NOT(ISERROR(SEARCH("S",AF8)))</formula>
    </cfRule>
    <cfRule type="containsText" dxfId="17329" priority="18600" operator="containsText" text="P">
      <formula>NOT(ISERROR(SEARCH("P",AF8)))</formula>
    </cfRule>
    <cfRule type="containsText" dxfId="17328" priority="18601" operator="containsText" text="H">
      <formula>NOT(ISERROR(SEARCH("H",AF8)))</formula>
    </cfRule>
    <cfRule type="containsText" dxfId="17327" priority="18603" operator="containsText" text="&quot;H&quot;">
      <formula>NOT(ISERROR(SEARCH("""H""",AF8)))</formula>
    </cfRule>
    <cfRule type="containsText" dxfId="17326" priority="18604" operator="containsText" text="&quot;A&quot;">
      <formula>NOT(ISERROR(SEARCH("""A""",AF8)))</formula>
    </cfRule>
  </conditionalFormatting>
  <conditionalFormatting sqref="AF8">
    <cfRule type="containsText" dxfId="17325" priority="18602" operator="containsText" text="A-H">
      <formula>NOT(ISERROR(SEARCH("A-H",AF8)))</formula>
    </cfRule>
  </conditionalFormatting>
  <conditionalFormatting sqref="BO8:BP8">
    <cfRule type="cellIs" dxfId="17324" priority="18593" operator="equal">
      <formula>"C-Off-H"</formula>
    </cfRule>
    <cfRule type="cellIs" dxfId="17323" priority="18594" operator="equal">
      <formula>"C-Off"</formula>
    </cfRule>
    <cfRule type="cellIs" dxfId="17322" priority="18595" operator="equal">
      <formula>"CL-H"</formula>
    </cfRule>
    <cfRule type="cellIs" dxfId="17321" priority="18596" operator="equal">
      <formula>"EL-H"</formula>
    </cfRule>
    <cfRule type="cellIs" dxfId="17320" priority="18597" operator="equal">
      <formula>"CL"</formula>
    </cfRule>
    <cfRule type="cellIs" dxfId="17319" priority="18598" operator="equal">
      <formula>"EL"</formula>
    </cfRule>
  </conditionalFormatting>
  <conditionalFormatting sqref="BO8:BP8">
    <cfRule type="cellIs" dxfId="17318" priority="18587" operator="equal">
      <formula>"C-Off-H"</formula>
    </cfRule>
    <cfRule type="cellIs" dxfId="17317" priority="18588" operator="equal">
      <formula>"C-Off"</formula>
    </cfRule>
    <cfRule type="cellIs" dxfId="17316" priority="18589" operator="equal">
      <formula>"CL-H"</formula>
    </cfRule>
    <cfRule type="cellIs" dxfId="17315" priority="18590" operator="equal">
      <formula>"EL-H"</formula>
    </cfRule>
    <cfRule type="cellIs" dxfId="17314" priority="18591" operator="equal">
      <formula>"CL"</formula>
    </cfRule>
    <cfRule type="cellIs" dxfId="17313" priority="18592" operator="equal">
      <formula>"EL"</formula>
    </cfRule>
  </conditionalFormatting>
  <conditionalFormatting sqref="BO8:BP8">
    <cfRule type="containsText" dxfId="17312" priority="18581" operator="containsText" text="S">
      <formula>NOT(ISERROR(SEARCH("S",BO8)))</formula>
    </cfRule>
    <cfRule type="containsText" dxfId="17311" priority="18582" operator="containsText" text="P">
      <formula>NOT(ISERROR(SEARCH("P",BO8)))</formula>
    </cfRule>
    <cfRule type="containsText" dxfId="17310" priority="18583" operator="containsText" text="H">
      <formula>NOT(ISERROR(SEARCH("H",BO8)))</formula>
    </cfRule>
    <cfRule type="containsText" dxfId="17309" priority="18585" operator="containsText" text="&quot;H&quot;">
      <formula>NOT(ISERROR(SEARCH("""H""",BO8)))</formula>
    </cfRule>
    <cfRule type="containsText" dxfId="17308" priority="18586" operator="containsText" text="&quot;A&quot;">
      <formula>NOT(ISERROR(SEARCH("""A""",BO8)))</formula>
    </cfRule>
  </conditionalFormatting>
  <conditionalFormatting sqref="BO8:BP8">
    <cfRule type="containsText" dxfId="17307" priority="18584" operator="containsText" text="A-H">
      <formula>NOT(ISERROR(SEARCH("A-H",BO8)))</formula>
    </cfRule>
  </conditionalFormatting>
  <conditionalFormatting sqref="CM8">
    <cfRule type="cellIs" dxfId="17306" priority="18575" operator="equal">
      <formula>"C-Off-H"</formula>
    </cfRule>
    <cfRule type="cellIs" dxfId="17305" priority="18576" operator="equal">
      <formula>"C-Off"</formula>
    </cfRule>
    <cfRule type="cellIs" dxfId="17304" priority="18577" operator="equal">
      <formula>"CL-H"</formula>
    </cfRule>
    <cfRule type="cellIs" dxfId="17303" priority="18578" operator="equal">
      <formula>"EL-H"</formula>
    </cfRule>
    <cfRule type="cellIs" dxfId="17302" priority="18579" operator="equal">
      <formula>"CL"</formula>
    </cfRule>
    <cfRule type="cellIs" dxfId="17301" priority="18580" operator="equal">
      <formula>"EL"</formula>
    </cfRule>
  </conditionalFormatting>
  <conditionalFormatting sqref="CM8">
    <cfRule type="cellIs" dxfId="17300" priority="18569" operator="equal">
      <formula>"C-Off-H"</formula>
    </cfRule>
    <cfRule type="cellIs" dxfId="17299" priority="18570" operator="equal">
      <formula>"C-Off"</formula>
    </cfRule>
    <cfRule type="cellIs" dxfId="17298" priority="18571" operator="equal">
      <formula>"CL-H"</formula>
    </cfRule>
    <cfRule type="cellIs" dxfId="17297" priority="18572" operator="equal">
      <formula>"EL-H"</formula>
    </cfRule>
    <cfRule type="cellIs" dxfId="17296" priority="18573" operator="equal">
      <formula>"CL"</formula>
    </cfRule>
    <cfRule type="cellIs" dxfId="17295" priority="18574" operator="equal">
      <formula>"EL"</formula>
    </cfRule>
  </conditionalFormatting>
  <conditionalFormatting sqref="CM8">
    <cfRule type="containsText" dxfId="17294" priority="18563" operator="containsText" text="S">
      <formula>NOT(ISERROR(SEARCH("S",CM8)))</formula>
    </cfRule>
    <cfRule type="containsText" dxfId="17293" priority="18564" operator="containsText" text="P">
      <formula>NOT(ISERROR(SEARCH("P",CM8)))</formula>
    </cfRule>
    <cfRule type="containsText" dxfId="17292" priority="18565" operator="containsText" text="H">
      <formula>NOT(ISERROR(SEARCH("H",CM8)))</formula>
    </cfRule>
    <cfRule type="containsText" dxfId="17291" priority="18567" operator="containsText" text="&quot;H&quot;">
      <formula>NOT(ISERROR(SEARCH("""H""",CM8)))</formula>
    </cfRule>
    <cfRule type="containsText" dxfId="17290" priority="18568" operator="containsText" text="&quot;A&quot;">
      <formula>NOT(ISERROR(SEARCH("""A""",CM8)))</formula>
    </cfRule>
  </conditionalFormatting>
  <conditionalFormatting sqref="CM8">
    <cfRule type="containsText" dxfId="17289" priority="18566" operator="containsText" text="A-H">
      <formula>NOT(ISERROR(SEARCH("A-H",CM8)))</formula>
    </cfRule>
  </conditionalFormatting>
  <conditionalFormatting sqref="V8:W8">
    <cfRule type="cellIs" dxfId="17288" priority="18533" operator="equal">
      <formula>"C-Off-H"</formula>
    </cfRule>
    <cfRule type="cellIs" dxfId="17287" priority="18534" operator="equal">
      <formula>"C-Off"</formula>
    </cfRule>
    <cfRule type="cellIs" dxfId="17286" priority="18535" operator="equal">
      <formula>"CL-H"</formula>
    </cfRule>
    <cfRule type="cellIs" dxfId="17285" priority="18536" operator="equal">
      <formula>"EL-H"</formula>
    </cfRule>
    <cfRule type="cellIs" dxfId="17284" priority="18537" operator="equal">
      <formula>"CL"</formula>
    </cfRule>
    <cfRule type="cellIs" dxfId="17283" priority="18538" operator="equal">
      <formula>"EL"</formula>
    </cfRule>
  </conditionalFormatting>
  <conditionalFormatting sqref="V8:W8">
    <cfRule type="containsText" dxfId="17282" priority="18527" operator="containsText" text="S">
      <formula>NOT(ISERROR(SEARCH("S",V8)))</formula>
    </cfRule>
    <cfRule type="containsText" dxfId="17281" priority="18528" operator="containsText" text="P">
      <formula>NOT(ISERROR(SEARCH("P",V8)))</formula>
    </cfRule>
    <cfRule type="containsText" dxfId="17280" priority="18529" operator="containsText" text="H">
      <formula>NOT(ISERROR(SEARCH("H",V8)))</formula>
    </cfRule>
    <cfRule type="containsText" dxfId="17279" priority="18531" operator="containsText" text="&quot;H&quot;">
      <formula>NOT(ISERROR(SEARCH("""H""",V8)))</formula>
    </cfRule>
    <cfRule type="containsText" dxfId="17278" priority="18532" operator="containsText" text="&quot;A&quot;">
      <formula>NOT(ISERROR(SEARCH("""A""",V8)))</formula>
    </cfRule>
  </conditionalFormatting>
  <conditionalFormatting sqref="V8:W8">
    <cfRule type="containsText" dxfId="17277" priority="18530" operator="containsText" text="A-H">
      <formula>NOT(ISERROR(SEARCH("A-H",V8)))</formula>
    </cfRule>
  </conditionalFormatting>
  <conditionalFormatting sqref="P8:Q8">
    <cfRule type="cellIs" dxfId="17276" priority="18557" operator="equal">
      <formula>"C-Off-H"</formula>
    </cfRule>
    <cfRule type="cellIs" dxfId="17275" priority="18558" operator="equal">
      <formula>"C-Off"</formula>
    </cfRule>
    <cfRule type="cellIs" dxfId="17274" priority="18559" operator="equal">
      <formula>"CL-H"</formula>
    </cfRule>
    <cfRule type="cellIs" dxfId="17273" priority="18560" operator="equal">
      <formula>"EL-H"</formula>
    </cfRule>
    <cfRule type="cellIs" dxfId="17272" priority="18561" operator="equal">
      <formula>"CL"</formula>
    </cfRule>
    <cfRule type="cellIs" dxfId="17271" priority="18562" operator="equal">
      <formula>"EL"</formula>
    </cfRule>
  </conditionalFormatting>
  <conditionalFormatting sqref="P8:Q8">
    <cfRule type="containsText" dxfId="17270" priority="18551" operator="containsText" text="S">
      <formula>NOT(ISERROR(SEARCH("S",P8)))</formula>
    </cfRule>
    <cfRule type="containsText" dxfId="17269" priority="18552" operator="containsText" text="P">
      <formula>NOT(ISERROR(SEARCH("P",P8)))</formula>
    </cfRule>
    <cfRule type="containsText" dxfId="17268" priority="18553" operator="containsText" text="H">
      <formula>NOT(ISERROR(SEARCH("H",P8)))</formula>
    </cfRule>
    <cfRule type="containsText" dxfId="17267" priority="18555" operator="containsText" text="&quot;H&quot;">
      <formula>NOT(ISERROR(SEARCH("""H""",P8)))</formula>
    </cfRule>
    <cfRule type="containsText" dxfId="17266" priority="18556" operator="containsText" text="&quot;A&quot;">
      <formula>NOT(ISERROR(SEARCH("""A""",P8)))</formula>
    </cfRule>
  </conditionalFormatting>
  <conditionalFormatting sqref="P8:Q8">
    <cfRule type="containsText" dxfId="17265" priority="18554" operator="containsText" text="A-H">
      <formula>NOT(ISERROR(SEARCH("A-H",P8)))</formula>
    </cfRule>
  </conditionalFormatting>
  <conditionalFormatting sqref="S8:T8">
    <cfRule type="cellIs" dxfId="17264" priority="18545" operator="equal">
      <formula>"C-Off-H"</formula>
    </cfRule>
    <cfRule type="cellIs" dxfId="17263" priority="18546" operator="equal">
      <formula>"C-Off"</formula>
    </cfRule>
    <cfRule type="cellIs" dxfId="17262" priority="18547" operator="equal">
      <formula>"CL-H"</formula>
    </cfRule>
    <cfRule type="cellIs" dxfId="17261" priority="18548" operator="equal">
      <formula>"EL-H"</formula>
    </cfRule>
    <cfRule type="cellIs" dxfId="17260" priority="18549" operator="equal">
      <formula>"CL"</formula>
    </cfRule>
    <cfRule type="cellIs" dxfId="17259" priority="18550" operator="equal">
      <formula>"EL"</formula>
    </cfRule>
  </conditionalFormatting>
  <conditionalFormatting sqref="S8:T8">
    <cfRule type="containsText" dxfId="17258" priority="18539" operator="containsText" text="S">
      <formula>NOT(ISERROR(SEARCH("S",S8)))</formula>
    </cfRule>
    <cfRule type="containsText" dxfId="17257" priority="18540" operator="containsText" text="P">
      <formula>NOT(ISERROR(SEARCH("P",S8)))</formula>
    </cfRule>
    <cfRule type="containsText" dxfId="17256" priority="18541" operator="containsText" text="H">
      <formula>NOT(ISERROR(SEARCH("H",S8)))</formula>
    </cfRule>
    <cfRule type="containsText" dxfId="17255" priority="18543" operator="containsText" text="&quot;H&quot;">
      <formula>NOT(ISERROR(SEARCH("""H""",S8)))</formula>
    </cfRule>
    <cfRule type="containsText" dxfId="17254" priority="18544" operator="containsText" text="&quot;A&quot;">
      <formula>NOT(ISERROR(SEARCH("""A""",S8)))</formula>
    </cfRule>
  </conditionalFormatting>
  <conditionalFormatting sqref="S8:T8">
    <cfRule type="containsText" dxfId="17253" priority="18542" operator="containsText" text="A-H">
      <formula>NOT(ISERROR(SEARCH("A-H",S8)))</formula>
    </cfRule>
  </conditionalFormatting>
  <conditionalFormatting sqref="AB8:AC8">
    <cfRule type="cellIs" dxfId="17252" priority="18521" operator="equal">
      <formula>"C-Off-H"</formula>
    </cfRule>
    <cfRule type="cellIs" dxfId="17251" priority="18522" operator="equal">
      <formula>"C-Off"</formula>
    </cfRule>
    <cfRule type="cellIs" dxfId="17250" priority="18523" operator="equal">
      <formula>"CL-H"</formula>
    </cfRule>
    <cfRule type="cellIs" dxfId="17249" priority="18524" operator="equal">
      <formula>"EL-H"</formula>
    </cfRule>
    <cfRule type="cellIs" dxfId="17248" priority="18525" operator="equal">
      <formula>"CL"</formula>
    </cfRule>
    <cfRule type="cellIs" dxfId="17247" priority="18526" operator="equal">
      <formula>"EL"</formula>
    </cfRule>
  </conditionalFormatting>
  <conditionalFormatting sqref="AB8:AC8">
    <cfRule type="containsText" dxfId="17246" priority="18515" operator="containsText" text="S">
      <formula>NOT(ISERROR(SEARCH("S",AB8)))</formula>
    </cfRule>
    <cfRule type="containsText" dxfId="17245" priority="18516" operator="containsText" text="P">
      <formula>NOT(ISERROR(SEARCH("P",AB8)))</formula>
    </cfRule>
    <cfRule type="containsText" dxfId="17244" priority="18517" operator="containsText" text="H">
      <formula>NOT(ISERROR(SEARCH("H",AB8)))</formula>
    </cfRule>
    <cfRule type="containsText" dxfId="17243" priority="18519" operator="containsText" text="&quot;H&quot;">
      <formula>NOT(ISERROR(SEARCH("""H""",AB8)))</formula>
    </cfRule>
    <cfRule type="containsText" dxfId="17242" priority="18520" operator="containsText" text="&quot;A&quot;">
      <formula>NOT(ISERROR(SEARCH("""A""",AB8)))</formula>
    </cfRule>
  </conditionalFormatting>
  <conditionalFormatting sqref="AB8:AC8">
    <cfRule type="containsText" dxfId="17241" priority="18518" operator="containsText" text="A-H">
      <formula>NOT(ISERROR(SEARCH("A-H",AB8)))</formula>
    </cfRule>
  </conditionalFormatting>
  <conditionalFormatting sqref="AE8">
    <cfRule type="cellIs" dxfId="17240" priority="18509" operator="equal">
      <formula>"C-Off-H"</formula>
    </cfRule>
    <cfRule type="cellIs" dxfId="17239" priority="18510" operator="equal">
      <formula>"C-Off"</formula>
    </cfRule>
    <cfRule type="cellIs" dxfId="17238" priority="18511" operator="equal">
      <formula>"CL-H"</formula>
    </cfRule>
    <cfRule type="cellIs" dxfId="17237" priority="18512" operator="equal">
      <formula>"EL-H"</formula>
    </cfRule>
    <cfRule type="cellIs" dxfId="17236" priority="18513" operator="equal">
      <formula>"CL"</formula>
    </cfRule>
    <cfRule type="cellIs" dxfId="17235" priority="18514" operator="equal">
      <formula>"EL"</formula>
    </cfRule>
  </conditionalFormatting>
  <conditionalFormatting sqref="AE8">
    <cfRule type="containsText" dxfId="17234" priority="18503" operator="containsText" text="S">
      <formula>NOT(ISERROR(SEARCH("S",AE8)))</formula>
    </cfRule>
    <cfRule type="containsText" dxfId="17233" priority="18504" operator="containsText" text="P">
      <formula>NOT(ISERROR(SEARCH("P",AE8)))</formula>
    </cfRule>
    <cfRule type="containsText" dxfId="17232" priority="18505" operator="containsText" text="H">
      <formula>NOT(ISERROR(SEARCH("H",AE8)))</formula>
    </cfRule>
    <cfRule type="containsText" dxfId="17231" priority="18507" operator="containsText" text="&quot;H&quot;">
      <formula>NOT(ISERROR(SEARCH("""H""",AE8)))</formula>
    </cfRule>
    <cfRule type="containsText" dxfId="17230" priority="18508" operator="containsText" text="&quot;A&quot;">
      <formula>NOT(ISERROR(SEARCH("""A""",AE8)))</formula>
    </cfRule>
  </conditionalFormatting>
  <conditionalFormatting sqref="AE8">
    <cfRule type="containsText" dxfId="17229" priority="18506" operator="containsText" text="A-H">
      <formula>NOT(ISERROR(SEARCH("A-H",AE8)))</formula>
    </cfRule>
  </conditionalFormatting>
  <conditionalFormatting sqref="AK8:AL8">
    <cfRule type="cellIs" dxfId="17228" priority="18497" operator="equal">
      <formula>"C-Off-H"</formula>
    </cfRule>
    <cfRule type="cellIs" dxfId="17227" priority="18498" operator="equal">
      <formula>"C-Off"</formula>
    </cfRule>
    <cfRule type="cellIs" dxfId="17226" priority="18499" operator="equal">
      <formula>"CL-H"</formula>
    </cfRule>
    <cfRule type="cellIs" dxfId="17225" priority="18500" operator="equal">
      <formula>"EL-H"</formula>
    </cfRule>
    <cfRule type="cellIs" dxfId="17224" priority="18501" operator="equal">
      <formula>"CL"</formula>
    </cfRule>
    <cfRule type="cellIs" dxfId="17223" priority="18502" operator="equal">
      <formula>"EL"</formula>
    </cfRule>
  </conditionalFormatting>
  <conditionalFormatting sqref="AK8:AL8">
    <cfRule type="containsText" dxfId="17222" priority="18491" operator="containsText" text="S">
      <formula>NOT(ISERROR(SEARCH("S",AK8)))</formula>
    </cfRule>
    <cfRule type="containsText" dxfId="17221" priority="18492" operator="containsText" text="P">
      <formula>NOT(ISERROR(SEARCH("P",AK8)))</formula>
    </cfRule>
    <cfRule type="containsText" dxfId="17220" priority="18493" operator="containsText" text="H">
      <formula>NOT(ISERROR(SEARCH("H",AK8)))</formula>
    </cfRule>
    <cfRule type="containsText" dxfId="17219" priority="18495" operator="containsText" text="&quot;H&quot;">
      <formula>NOT(ISERROR(SEARCH("""H""",AK8)))</formula>
    </cfRule>
    <cfRule type="containsText" dxfId="17218" priority="18496" operator="containsText" text="&quot;A&quot;">
      <formula>NOT(ISERROR(SEARCH("""A""",AK8)))</formula>
    </cfRule>
  </conditionalFormatting>
  <conditionalFormatting sqref="AK8:AL8">
    <cfRule type="containsText" dxfId="17217" priority="18494" operator="containsText" text="A-H">
      <formula>NOT(ISERROR(SEARCH("A-H",AK8)))</formula>
    </cfRule>
  </conditionalFormatting>
  <conditionalFormatting sqref="AN8:AO8">
    <cfRule type="cellIs" dxfId="17216" priority="18485" operator="equal">
      <formula>"C-Off-H"</formula>
    </cfRule>
    <cfRule type="cellIs" dxfId="17215" priority="18486" operator="equal">
      <formula>"C-Off"</formula>
    </cfRule>
    <cfRule type="cellIs" dxfId="17214" priority="18487" operator="equal">
      <formula>"CL-H"</formula>
    </cfRule>
    <cfRule type="cellIs" dxfId="17213" priority="18488" operator="equal">
      <formula>"EL-H"</formula>
    </cfRule>
    <cfRule type="cellIs" dxfId="17212" priority="18489" operator="equal">
      <formula>"CL"</formula>
    </cfRule>
    <cfRule type="cellIs" dxfId="17211" priority="18490" operator="equal">
      <formula>"EL"</formula>
    </cfRule>
  </conditionalFormatting>
  <conditionalFormatting sqref="AN8:AO8">
    <cfRule type="containsText" dxfId="17210" priority="18479" operator="containsText" text="S">
      <formula>NOT(ISERROR(SEARCH("S",AN8)))</formula>
    </cfRule>
    <cfRule type="containsText" dxfId="17209" priority="18480" operator="containsText" text="P">
      <formula>NOT(ISERROR(SEARCH("P",AN8)))</formula>
    </cfRule>
    <cfRule type="containsText" dxfId="17208" priority="18481" operator="containsText" text="H">
      <formula>NOT(ISERROR(SEARCH("H",AN8)))</formula>
    </cfRule>
    <cfRule type="containsText" dxfId="17207" priority="18483" operator="containsText" text="&quot;H&quot;">
      <formula>NOT(ISERROR(SEARCH("""H""",AN8)))</formula>
    </cfRule>
    <cfRule type="containsText" dxfId="17206" priority="18484" operator="containsText" text="&quot;A&quot;">
      <formula>NOT(ISERROR(SEARCH("""A""",AN8)))</formula>
    </cfRule>
  </conditionalFormatting>
  <conditionalFormatting sqref="AN8:AO8">
    <cfRule type="containsText" dxfId="17205" priority="18482" operator="containsText" text="A-H">
      <formula>NOT(ISERROR(SEARCH("A-H",AN8)))</formula>
    </cfRule>
  </conditionalFormatting>
  <conditionalFormatting sqref="AQ8:AR8">
    <cfRule type="cellIs" dxfId="17204" priority="18473" operator="equal">
      <formula>"C-Off-H"</formula>
    </cfRule>
    <cfRule type="cellIs" dxfId="17203" priority="18474" operator="equal">
      <formula>"C-Off"</formula>
    </cfRule>
    <cfRule type="cellIs" dxfId="17202" priority="18475" operator="equal">
      <formula>"CL-H"</formula>
    </cfRule>
    <cfRule type="cellIs" dxfId="17201" priority="18476" operator="equal">
      <formula>"EL-H"</formula>
    </cfRule>
    <cfRule type="cellIs" dxfId="17200" priority="18477" operator="equal">
      <formula>"CL"</formula>
    </cfRule>
    <cfRule type="cellIs" dxfId="17199" priority="18478" operator="equal">
      <formula>"EL"</formula>
    </cfRule>
  </conditionalFormatting>
  <conditionalFormatting sqref="AQ8:AR8">
    <cfRule type="containsText" dxfId="17198" priority="18467" operator="containsText" text="S">
      <formula>NOT(ISERROR(SEARCH("S",AQ8)))</formula>
    </cfRule>
    <cfRule type="containsText" dxfId="17197" priority="18468" operator="containsText" text="P">
      <formula>NOT(ISERROR(SEARCH("P",AQ8)))</formula>
    </cfRule>
    <cfRule type="containsText" dxfId="17196" priority="18469" operator="containsText" text="H">
      <formula>NOT(ISERROR(SEARCH("H",AQ8)))</formula>
    </cfRule>
    <cfRule type="containsText" dxfId="17195" priority="18471" operator="containsText" text="&quot;H&quot;">
      <formula>NOT(ISERROR(SEARCH("""H""",AQ8)))</formula>
    </cfRule>
    <cfRule type="containsText" dxfId="17194" priority="18472" operator="containsText" text="&quot;A&quot;">
      <formula>NOT(ISERROR(SEARCH("""A""",AQ8)))</formula>
    </cfRule>
  </conditionalFormatting>
  <conditionalFormatting sqref="AQ8:AR8">
    <cfRule type="containsText" dxfId="17193" priority="18470" operator="containsText" text="A-H">
      <formula>NOT(ISERROR(SEARCH("A-H",AQ8)))</formula>
    </cfRule>
  </conditionalFormatting>
  <conditionalFormatting sqref="AW8:AX8">
    <cfRule type="cellIs" dxfId="17192" priority="18461" operator="equal">
      <formula>"C-Off-H"</formula>
    </cfRule>
    <cfRule type="cellIs" dxfId="17191" priority="18462" operator="equal">
      <formula>"C-Off"</formula>
    </cfRule>
    <cfRule type="cellIs" dxfId="17190" priority="18463" operator="equal">
      <formula>"CL-H"</formula>
    </cfRule>
    <cfRule type="cellIs" dxfId="17189" priority="18464" operator="equal">
      <formula>"EL-H"</formula>
    </cfRule>
    <cfRule type="cellIs" dxfId="17188" priority="18465" operator="equal">
      <formula>"CL"</formula>
    </cfRule>
    <cfRule type="cellIs" dxfId="17187" priority="18466" operator="equal">
      <formula>"EL"</formula>
    </cfRule>
  </conditionalFormatting>
  <conditionalFormatting sqref="AW8:AX8">
    <cfRule type="containsText" dxfId="17186" priority="18455" operator="containsText" text="S">
      <formula>NOT(ISERROR(SEARCH("S",AW8)))</formula>
    </cfRule>
    <cfRule type="containsText" dxfId="17185" priority="18456" operator="containsText" text="P">
      <formula>NOT(ISERROR(SEARCH("P",AW8)))</formula>
    </cfRule>
    <cfRule type="containsText" dxfId="17184" priority="18457" operator="containsText" text="H">
      <formula>NOT(ISERROR(SEARCH("H",AW8)))</formula>
    </cfRule>
    <cfRule type="containsText" dxfId="17183" priority="18459" operator="containsText" text="&quot;H&quot;">
      <formula>NOT(ISERROR(SEARCH("""H""",AW8)))</formula>
    </cfRule>
    <cfRule type="containsText" dxfId="17182" priority="18460" operator="containsText" text="&quot;A&quot;">
      <formula>NOT(ISERROR(SEARCH("""A""",AW8)))</formula>
    </cfRule>
  </conditionalFormatting>
  <conditionalFormatting sqref="AW8:AX8">
    <cfRule type="containsText" dxfId="17181" priority="18458" operator="containsText" text="A-H">
      <formula>NOT(ISERROR(SEARCH("A-H",AW8)))</formula>
    </cfRule>
  </conditionalFormatting>
  <conditionalFormatting sqref="AZ8:BA8">
    <cfRule type="cellIs" dxfId="17180" priority="18449" operator="equal">
      <formula>"C-Off-H"</formula>
    </cfRule>
    <cfRule type="cellIs" dxfId="17179" priority="18450" operator="equal">
      <formula>"C-Off"</formula>
    </cfRule>
    <cfRule type="cellIs" dxfId="17178" priority="18451" operator="equal">
      <formula>"CL-H"</formula>
    </cfRule>
    <cfRule type="cellIs" dxfId="17177" priority="18452" operator="equal">
      <formula>"EL-H"</formula>
    </cfRule>
    <cfRule type="cellIs" dxfId="17176" priority="18453" operator="equal">
      <formula>"CL"</formula>
    </cfRule>
    <cfRule type="cellIs" dxfId="17175" priority="18454" operator="equal">
      <formula>"EL"</formula>
    </cfRule>
  </conditionalFormatting>
  <conditionalFormatting sqref="AZ8:BA8">
    <cfRule type="containsText" dxfId="17174" priority="18443" operator="containsText" text="S">
      <formula>NOT(ISERROR(SEARCH("S",AZ8)))</formula>
    </cfRule>
    <cfRule type="containsText" dxfId="17173" priority="18444" operator="containsText" text="P">
      <formula>NOT(ISERROR(SEARCH("P",AZ8)))</formula>
    </cfRule>
    <cfRule type="containsText" dxfId="17172" priority="18445" operator="containsText" text="H">
      <formula>NOT(ISERROR(SEARCH("H",AZ8)))</formula>
    </cfRule>
    <cfRule type="containsText" dxfId="17171" priority="18447" operator="containsText" text="&quot;H&quot;">
      <formula>NOT(ISERROR(SEARCH("""H""",AZ8)))</formula>
    </cfRule>
    <cfRule type="containsText" dxfId="17170" priority="18448" operator="containsText" text="&quot;A&quot;">
      <formula>NOT(ISERROR(SEARCH("""A""",AZ8)))</formula>
    </cfRule>
  </conditionalFormatting>
  <conditionalFormatting sqref="AZ8:BA8">
    <cfRule type="containsText" dxfId="17169" priority="18446" operator="containsText" text="A-H">
      <formula>NOT(ISERROR(SEARCH("A-H",AZ8)))</formula>
    </cfRule>
  </conditionalFormatting>
  <conditionalFormatting sqref="BC8:BD8">
    <cfRule type="cellIs" dxfId="17168" priority="18437" operator="equal">
      <formula>"C-Off-H"</formula>
    </cfRule>
    <cfRule type="cellIs" dxfId="17167" priority="18438" operator="equal">
      <formula>"C-Off"</formula>
    </cfRule>
    <cfRule type="cellIs" dxfId="17166" priority="18439" operator="equal">
      <formula>"CL-H"</formula>
    </cfRule>
    <cfRule type="cellIs" dxfId="17165" priority="18440" operator="equal">
      <formula>"EL-H"</formula>
    </cfRule>
    <cfRule type="cellIs" dxfId="17164" priority="18441" operator="equal">
      <formula>"CL"</formula>
    </cfRule>
    <cfRule type="cellIs" dxfId="17163" priority="18442" operator="equal">
      <formula>"EL"</formula>
    </cfRule>
  </conditionalFormatting>
  <conditionalFormatting sqref="BC8:BD8">
    <cfRule type="containsText" dxfId="17162" priority="18431" operator="containsText" text="S">
      <formula>NOT(ISERROR(SEARCH("S",BC8)))</formula>
    </cfRule>
    <cfRule type="containsText" dxfId="17161" priority="18432" operator="containsText" text="P">
      <formula>NOT(ISERROR(SEARCH("P",BC8)))</formula>
    </cfRule>
    <cfRule type="containsText" dxfId="17160" priority="18433" operator="containsText" text="H">
      <formula>NOT(ISERROR(SEARCH("H",BC8)))</formula>
    </cfRule>
    <cfRule type="containsText" dxfId="17159" priority="18435" operator="containsText" text="&quot;H&quot;">
      <formula>NOT(ISERROR(SEARCH("""H""",BC8)))</formula>
    </cfRule>
    <cfRule type="containsText" dxfId="17158" priority="18436" operator="containsText" text="&quot;A&quot;">
      <formula>NOT(ISERROR(SEARCH("""A""",BC8)))</formula>
    </cfRule>
  </conditionalFormatting>
  <conditionalFormatting sqref="BC8:BD8">
    <cfRule type="containsText" dxfId="17157" priority="18434" operator="containsText" text="A-H">
      <formula>NOT(ISERROR(SEARCH("A-H",BC8)))</formula>
    </cfRule>
  </conditionalFormatting>
  <conditionalFormatting sqref="BF8:BG8">
    <cfRule type="cellIs" dxfId="17156" priority="18425" operator="equal">
      <formula>"C-Off-H"</formula>
    </cfRule>
    <cfRule type="cellIs" dxfId="17155" priority="18426" operator="equal">
      <formula>"C-Off"</formula>
    </cfRule>
    <cfRule type="cellIs" dxfId="17154" priority="18427" operator="equal">
      <formula>"CL-H"</formula>
    </cfRule>
    <cfRule type="cellIs" dxfId="17153" priority="18428" operator="equal">
      <formula>"EL-H"</formula>
    </cfRule>
    <cfRule type="cellIs" dxfId="17152" priority="18429" operator="equal">
      <formula>"CL"</formula>
    </cfRule>
    <cfRule type="cellIs" dxfId="17151" priority="18430" operator="equal">
      <formula>"EL"</formula>
    </cfRule>
  </conditionalFormatting>
  <conditionalFormatting sqref="BF8:BG8">
    <cfRule type="containsText" dxfId="17150" priority="18419" operator="containsText" text="S">
      <formula>NOT(ISERROR(SEARCH("S",BF8)))</formula>
    </cfRule>
    <cfRule type="containsText" dxfId="17149" priority="18420" operator="containsText" text="P">
      <formula>NOT(ISERROR(SEARCH("P",BF8)))</formula>
    </cfRule>
    <cfRule type="containsText" dxfId="17148" priority="18421" operator="containsText" text="H">
      <formula>NOT(ISERROR(SEARCH("H",BF8)))</formula>
    </cfRule>
    <cfRule type="containsText" dxfId="17147" priority="18423" operator="containsText" text="&quot;H&quot;">
      <formula>NOT(ISERROR(SEARCH("""H""",BF8)))</formula>
    </cfRule>
    <cfRule type="containsText" dxfId="17146" priority="18424" operator="containsText" text="&quot;A&quot;">
      <formula>NOT(ISERROR(SEARCH("""A""",BF8)))</formula>
    </cfRule>
  </conditionalFormatting>
  <conditionalFormatting sqref="BF8:BG8">
    <cfRule type="containsText" dxfId="17145" priority="18422" operator="containsText" text="A-H">
      <formula>NOT(ISERROR(SEARCH("A-H",BF8)))</formula>
    </cfRule>
  </conditionalFormatting>
  <conditionalFormatting sqref="BI8:BJ8">
    <cfRule type="cellIs" dxfId="17144" priority="18413" operator="equal">
      <formula>"C-Off-H"</formula>
    </cfRule>
    <cfRule type="cellIs" dxfId="17143" priority="18414" operator="equal">
      <formula>"C-Off"</formula>
    </cfRule>
    <cfRule type="cellIs" dxfId="17142" priority="18415" operator="equal">
      <formula>"CL-H"</formula>
    </cfRule>
    <cfRule type="cellIs" dxfId="17141" priority="18416" operator="equal">
      <formula>"EL-H"</formula>
    </cfRule>
    <cfRule type="cellIs" dxfId="17140" priority="18417" operator="equal">
      <formula>"CL"</formula>
    </cfRule>
    <cfRule type="cellIs" dxfId="17139" priority="18418" operator="equal">
      <formula>"EL"</formula>
    </cfRule>
  </conditionalFormatting>
  <conditionalFormatting sqref="BI8:BJ8">
    <cfRule type="containsText" dxfId="17138" priority="18407" operator="containsText" text="S">
      <formula>NOT(ISERROR(SEARCH("S",BI8)))</formula>
    </cfRule>
    <cfRule type="containsText" dxfId="17137" priority="18408" operator="containsText" text="P">
      <formula>NOT(ISERROR(SEARCH("P",BI8)))</formula>
    </cfRule>
    <cfRule type="containsText" dxfId="17136" priority="18409" operator="containsText" text="H">
      <formula>NOT(ISERROR(SEARCH("H",BI8)))</formula>
    </cfRule>
    <cfRule type="containsText" dxfId="17135" priority="18411" operator="containsText" text="&quot;H&quot;">
      <formula>NOT(ISERROR(SEARCH("""H""",BI8)))</formula>
    </cfRule>
    <cfRule type="containsText" dxfId="17134" priority="18412" operator="containsText" text="&quot;A&quot;">
      <formula>NOT(ISERROR(SEARCH("""A""",BI8)))</formula>
    </cfRule>
  </conditionalFormatting>
  <conditionalFormatting sqref="BI8:BJ8">
    <cfRule type="containsText" dxfId="17133" priority="18410" operator="containsText" text="A-H">
      <formula>NOT(ISERROR(SEARCH("A-H",BI8)))</formula>
    </cfRule>
  </conditionalFormatting>
  <conditionalFormatting sqref="BL8:BM8">
    <cfRule type="cellIs" dxfId="17132" priority="18401" operator="equal">
      <formula>"C-Off-H"</formula>
    </cfRule>
    <cfRule type="cellIs" dxfId="17131" priority="18402" operator="equal">
      <formula>"C-Off"</formula>
    </cfRule>
    <cfRule type="cellIs" dxfId="17130" priority="18403" operator="equal">
      <formula>"CL-H"</formula>
    </cfRule>
    <cfRule type="cellIs" dxfId="17129" priority="18404" operator="equal">
      <formula>"EL-H"</formula>
    </cfRule>
    <cfRule type="cellIs" dxfId="17128" priority="18405" operator="equal">
      <formula>"CL"</formula>
    </cfRule>
    <cfRule type="cellIs" dxfId="17127" priority="18406" operator="equal">
      <formula>"EL"</formula>
    </cfRule>
  </conditionalFormatting>
  <conditionalFormatting sqref="BL8:BM8">
    <cfRule type="containsText" dxfId="17126" priority="18395" operator="containsText" text="S">
      <formula>NOT(ISERROR(SEARCH("S",BL8)))</formula>
    </cfRule>
    <cfRule type="containsText" dxfId="17125" priority="18396" operator="containsText" text="P">
      <formula>NOT(ISERROR(SEARCH("P",BL8)))</formula>
    </cfRule>
    <cfRule type="containsText" dxfId="17124" priority="18397" operator="containsText" text="H">
      <formula>NOT(ISERROR(SEARCH("H",BL8)))</formula>
    </cfRule>
    <cfRule type="containsText" dxfId="17123" priority="18399" operator="containsText" text="&quot;H&quot;">
      <formula>NOT(ISERROR(SEARCH("""H""",BL8)))</formula>
    </cfRule>
    <cfRule type="containsText" dxfId="17122" priority="18400" operator="containsText" text="&quot;A&quot;">
      <formula>NOT(ISERROR(SEARCH("""A""",BL8)))</formula>
    </cfRule>
  </conditionalFormatting>
  <conditionalFormatting sqref="BL8:BM8">
    <cfRule type="containsText" dxfId="17121" priority="18398" operator="containsText" text="A-H">
      <formula>NOT(ISERROR(SEARCH("A-H",BL8)))</formula>
    </cfRule>
  </conditionalFormatting>
  <conditionalFormatting sqref="BR8:BS8">
    <cfRule type="cellIs" dxfId="17120" priority="18389" operator="equal">
      <formula>"C-Off-H"</formula>
    </cfRule>
    <cfRule type="cellIs" dxfId="17119" priority="18390" operator="equal">
      <formula>"C-Off"</formula>
    </cfRule>
    <cfRule type="cellIs" dxfId="17118" priority="18391" operator="equal">
      <formula>"CL-H"</formula>
    </cfRule>
    <cfRule type="cellIs" dxfId="17117" priority="18392" operator="equal">
      <formula>"EL-H"</formula>
    </cfRule>
    <cfRule type="cellIs" dxfId="17116" priority="18393" operator="equal">
      <formula>"CL"</formula>
    </cfRule>
    <cfRule type="cellIs" dxfId="17115" priority="18394" operator="equal">
      <formula>"EL"</formula>
    </cfRule>
  </conditionalFormatting>
  <conditionalFormatting sqref="BR8:BS8">
    <cfRule type="containsText" dxfId="17114" priority="18383" operator="containsText" text="S">
      <formula>NOT(ISERROR(SEARCH("S",BR8)))</formula>
    </cfRule>
    <cfRule type="containsText" dxfId="17113" priority="18384" operator="containsText" text="P">
      <formula>NOT(ISERROR(SEARCH("P",BR8)))</formula>
    </cfRule>
    <cfRule type="containsText" dxfId="17112" priority="18385" operator="containsText" text="H">
      <formula>NOT(ISERROR(SEARCH("H",BR8)))</formula>
    </cfRule>
    <cfRule type="containsText" dxfId="17111" priority="18387" operator="containsText" text="&quot;H&quot;">
      <formula>NOT(ISERROR(SEARCH("""H""",BR8)))</formula>
    </cfRule>
    <cfRule type="containsText" dxfId="17110" priority="18388" operator="containsText" text="&quot;A&quot;">
      <formula>NOT(ISERROR(SEARCH("""A""",BR8)))</formula>
    </cfRule>
  </conditionalFormatting>
  <conditionalFormatting sqref="BR8:BS8">
    <cfRule type="containsText" dxfId="17109" priority="18386" operator="containsText" text="A-H">
      <formula>NOT(ISERROR(SEARCH("A-H",BR8)))</formula>
    </cfRule>
  </conditionalFormatting>
  <conditionalFormatting sqref="BU8:BV8">
    <cfRule type="cellIs" dxfId="17108" priority="18377" operator="equal">
      <formula>"C-Off-H"</formula>
    </cfRule>
    <cfRule type="cellIs" dxfId="17107" priority="18378" operator="equal">
      <formula>"C-Off"</formula>
    </cfRule>
    <cfRule type="cellIs" dxfId="17106" priority="18379" operator="equal">
      <formula>"CL-H"</formula>
    </cfRule>
    <cfRule type="cellIs" dxfId="17105" priority="18380" operator="equal">
      <formula>"EL-H"</formula>
    </cfRule>
    <cfRule type="cellIs" dxfId="17104" priority="18381" operator="equal">
      <formula>"CL"</formula>
    </cfRule>
    <cfRule type="cellIs" dxfId="17103" priority="18382" operator="equal">
      <formula>"EL"</formula>
    </cfRule>
  </conditionalFormatting>
  <conditionalFormatting sqref="BU8:BV8">
    <cfRule type="containsText" dxfId="17102" priority="18371" operator="containsText" text="S">
      <formula>NOT(ISERROR(SEARCH("S",BU8)))</formula>
    </cfRule>
    <cfRule type="containsText" dxfId="17101" priority="18372" operator="containsText" text="P">
      <formula>NOT(ISERROR(SEARCH("P",BU8)))</formula>
    </cfRule>
    <cfRule type="containsText" dxfId="17100" priority="18373" operator="containsText" text="H">
      <formula>NOT(ISERROR(SEARCH("H",BU8)))</formula>
    </cfRule>
    <cfRule type="containsText" dxfId="17099" priority="18375" operator="containsText" text="&quot;H&quot;">
      <formula>NOT(ISERROR(SEARCH("""H""",BU8)))</formula>
    </cfRule>
    <cfRule type="containsText" dxfId="17098" priority="18376" operator="containsText" text="&quot;A&quot;">
      <formula>NOT(ISERROR(SEARCH("""A""",BU8)))</formula>
    </cfRule>
  </conditionalFormatting>
  <conditionalFormatting sqref="BU8:BV8">
    <cfRule type="containsText" dxfId="17097" priority="18374" operator="containsText" text="A-H">
      <formula>NOT(ISERROR(SEARCH("A-H",BU8)))</formula>
    </cfRule>
  </conditionalFormatting>
  <conditionalFormatting sqref="BY8">
    <cfRule type="cellIs" dxfId="17096" priority="18365" operator="equal">
      <formula>"C-Off-H"</formula>
    </cfRule>
    <cfRule type="cellIs" dxfId="17095" priority="18366" operator="equal">
      <formula>"C-Off"</formula>
    </cfRule>
    <cfRule type="cellIs" dxfId="17094" priority="18367" operator="equal">
      <formula>"CL-H"</formula>
    </cfRule>
    <cfRule type="cellIs" dxfId="17093" priority="18368" operator="equal">
      <formula>"EL-H"</formula>
    </cfRule>
    <cfRule type="cellIs" dxfId="17092" priority="18369" operator="equal">
      <formula>"CL"</formula>
    </cfRule>
    <cfRule type="cellIs" dxfId="17091" priority="18370" operator="equal">
      <formula>"EL"</formula>
    </cfRule>
  </conditionalFormatting>
  <conditionalFormatting sqref="BY8">
    <cfRule type="containsText" dxfId="17090" priority="18359" operator="containsText" text="S">
      <formula>NOT(ISERROR(SEARCH("S",BY8)))</formula>
    </cfRule>
    <cfRule type="containsText" dxfId="17089" priority="18360" operator="containsText" text="P">
      <formula>NOT(ISERROR(SEARCH("P",BY8)))</formula>
    </cfRule>
    <cfRule type="containsText" dxfId="17088" priority="18361" operator="containsText" text="H">
      <formula>NOT(ISERROR(SEARCH("H",BY8)))</formula>
    </cfRule>
    <cfRule type="containsText" dxfId="17087" priority="18363" operator="containsText" text="&quot;H&quot;">
      <formula>NOT(ISERROR(SEARCH("""H""",BY8)))</formula>
    </cfRule>
    <cfRule type="containsText" dxfId="17086" priority="18364" operator="containsText" text="&quot;A&quot;">
      <formula>NOT(ISERROR(SEARCH("""A""",BY8)))</formula>
    </cfRule>
  </conditionalFormatting>
  <conditionalFormatting sqref="BY8">
    <cfRule type="containsText" dxfId="17085" priority="18362" operator="containsText" text="A-H">
      <formula>NOT(ISERROR(SEARCH("A-H",BY8)))</formula>
    </cfRule>
  </conditionalFormatting>
  <conditionalFormatting sqref="BX8">
    <cfRule type="cellIs" dxfId="17084" priority="18353" operator="equal">
      <formula>"C-Off-H"</formula>
    </cfRule>
    <cfRule type="cellIs" dxfId="17083" priority="18354" operator="equal">
      <formula>"C-Off"</formula>
    </cfRule>
    <cfRule type="cellIs" dxfId="17082" priority="18355" operator="equal">
      <formula>"CL-H"</formula>
    </cfRule>
    <cfRule type="cellIs" dxfId="17081" priority="18356" operator="equal">
      <formula>"EL-H"</formula>
    </cfRule>
    <cfRule type="cellIs" dxfId="17080" priority="18357" operator="equal">
      <formula>"CL"</formula>
    </cfRule>
    <cfRule type="cellIs" dxfId="17079" priority="18358" operator="equal">
      <formula>"EL"</formula>
    </cfRule>
  </conditionalFormatting>
  <conditionalFormatting sqref="BX8">
    <cfRule type="containsText" dxfId="17078" priority="18347" operator="containsText" text="S">
      <formula>NOT(ISERROR(SEARCH("S",BX8)))</formula>
    </cfRule>
    <cfRule type="containsText" dxfId="17077" priority="18348" operator="containsText" text="P">
      <formula>NOT(ISERROR(SEARCH("P",BX8)))</formula>
    </cfRule>
    <cfRule type="containsText" dxfId="17076" priority="18349" operator="containsText" text="H">
      <formula>NOT(ISERROR(SEARCH("H",BX8)))</formula>
    </cfRule>
    <cfRule type="containsText" dxfId="17075" priority="18351" operator="containsText" text="&quot;H&quot;">
      <formula>NOT(ISERROR(SEARCH("""H""",BX8)))</formula>
    </cfRule>
    <cfRule type="containsText" dxfId="17074" priority="18352" operator="containsText" text="&quot;A&quot;">
      <formula>NOT(ISERROR(SEARCH("""A""",BX8)))</formula>
    </cfRule>
  </conditionalFormatting>
  <conditionalFormatting sqref="BX8">
    <cfRule type="containsText" dxfId="17073" priority="18350" operator="containsText" text="A-H">
      <formula>NOT(ISERROR(SEARCH("A-H",BX8)))</formula>
    </cfRule>
  </conditionalFormatting>
  <conditionalFormatting sqref="J8">
    <cfRule type="cellIs" dxfId="17072" priority="18341" operator="equal">
      <formula>"C-Off-H"</formula>
    </cfRule>
    <cfRule type="cellIs" dxfId="17071" priority="18342" operator="equal">
      <formula>"C-Off"</formula>
    </cfRule>
    <cfRule type="cellIs" dxfId="17070" priority="18343" operator="equal">
      <formula>"CL-H"</formula>
    </cfRule>
    <cfRule type="cellIs" dxfId="17069" priority="18344" operator="equal">
      <formula>"EL-H"</formula>
    </cfRule>
    <cfRule type="cellIs" dxfId="17068" priority="18345" operator="equal">
      <formula>"CL"</formula>
    </cfRule>
    <cfRule type="cellIs" dxfId="17067" priority="18346" operator="equal">
      <formula>"EL"</formula>
    </cfRule>
  </conditionalFormatting>
  <conditionalFormatting sqref="J8">
    <cfRule type="containsText" dxfId="17066" priority="18335" operator="containsText" text="S">
      <formula>NOT(ISERROR(SEARCH("S",J8)))</formula>
    </cfRule>
    <cfRule type="containsText" dxfId="17065" priority="18336" operator="containsText" text="P">
      <formula>NOT(ISERROR(SEARCH("P",J8)))</formula>
    </cfRule>
    <cfRule type="containsText" dxfId="17064" priority="18337" operator="containsText" text="H">
      <formula>NOT(ISERROR(SEARCH("H",J8)))</formula>
    </cfRule>
    <cfRule type="containsText" dxfId="17063" priority="18339" operator="containsText" text="&quot;H&quot;">
      <formula>NOT(ISERROR(SEARCH("""H""",J8)))</formula>
    </cfRule>
    <cfRule type="containsText" dxfId="17062" priority="18340" operator="containsText" text="&quot;A&quot;">
      <formula>NOT(ISERROR(SEARCH("""A""",J8)))</formula>
    </cfRule>
  </conditionalFormatting>
  <conditionalFormatting sqref="J8">
    <cfRule type="containsText" dxfId="17061" priority="18338" operator="containsText" text="A-H">
      <formula>NOT(ISERROR(SEARCH("A-H",J8)))</formula>
    </cfRule>
  </conditionalFormatting>
  <conditionalFormatting sqref="CN10">
    <cfRule type="cellIs" dxfId="17060" priority="18329" operator="equal">
      <formula>"C-Off-H"</formula>
    </cfRule>
    <cfRule type="cellIs" dxfId="17059" priority="18330" operator="equal">
      <formula>"C-Off"</formula>
    </cfRule>
    <cfRule type="cellIs" dxfId="17058" priority="18331" operator="equal">
      <formula>"CL-H"</formula>
    </cfRule>
    <cfRule type="cellIs" dxfId="17057" priority="18332" operator="equal">
      <formula>"EL-H"</formula>
    </cfRule>
    <cfRule type="cellIs" dxfId="17056" priority="18333" operator="equal">
      <formula>"CL"</formula>
    </cfRule>
    <cfRule type="cellIs" dxfId="17055" priority="18334" operator="equal">
      <formula>"EL"</formula>
    </cfRule>
  </conditionalFormatting>
  <conditionalFormatting sqref="CN10">
    <cfRule type="containsText" dxfId="17054" priority="18328" operator="containsText" text="A-H">
      <formula>NOT(ISERROR(SEARCH("A-H",CN10)))</formula>
    </cfRule>
  </conditionalFormatting>
  <conditionalFormatting sqref="CN10">
    <cfRule type="containsText" dxfId="17053" priority="18327" operator="containsText" text="A">
      <formula>NOT(ISERROR(SEARCH("A",CN10)))</formula>
    </cfRule>
  </conditionalFormatting>
  <conditionalFormatting sqref="CN10">
    <cfRule type="containsText" dxfId="17052" priority="18322" operator="containsText" text="S">
      <formula>NOT(ISERROR(SEARCH("S",CN10)))</formula>
    </cfRule>
    <cfRule type="containsText" dxfId="17051" priority="18323" operator="containsText" text="P">
      <formula>NOT(ISERROR(SEARCH("P",CN10)))</formula>
    </cfRule>
    <cfRule type="containsText" dxfId="17050" priority="18324" operator="containsText" text="H">
      <formula>NOT(ISERROR(SEARCH("H",CN10)))</formula>
    </cfRule>
    <cfRule type="containsText" dxfId="17049" priority="18325" operator="containsText" text="&quot;H&quot;">
      <formula>NOT(ISERROR(SEARCH("""H""",CN10)))</formula>
    </cfRule>
    <cfRule type="containsText" dxfId="17048" priority="18326" operator="containsText" text="&quot;A&quot;">
      <formula>NOT(ISERROR(SEARCH("""A""",CN10)))</formula>
    </cfRule>
  </conditionalFormatting>
  <conditionalFormatting sqref="CA9:CB9">
    <cfRule type="cellIs" dxfId="17047" priority="18316" operator="equal">
      <formula>"C-Off-H"</formula>
    </cfRule>
    <cfRule type="cellIs" dxfId="17046" priority="18317" operator="equal">
      <formula>"C-Off"</formula>
    </cfRule>
    <cfRule type="cellIs" dxfId="17045" priority="18318" operator="equal">
      <formula>"CL-H"</formula>
    </cfRule>
    <cfRule type="cellIs" dxfId="17044" priority="18319" operator="equal">
      <formula>"EL-H"</formula>
    </cfRule>
    <cfRule type="cellIs" dxfId="17043" priority="18320" operator="equal">
      <formula>"CL"</formula>
    </cfRule>
    <cfRule type="cellIs" dxfId="17042" priority="18321" operator="equal">
      <formula>"EL"</formula>
    </cfRule>
  </conditionalFormatting>
  <conditionalFormatting sqref="CA9:CB9">
    <cfRule type="containsText" dxfId="17041" priority="18310" operator="containsText" text="S">
      <formula>NOT(ISERROR(SEARCH("S",CA9)))</formula>
    </cfRule>
    <cfRule type="containsText" dxfId="17040" priority="18311" operator="containsText" text="P">
      <formula>NOT(ISERROR(SEARCH("P",CA9)))</formula>
    </cfRule>
    <cfRule type="containsText" dxfId="17039" priority="18312" operator="containsText" text="H">
      <formula>NOT(ISERROR(SEARCH("H",CA9)))</formula>
    </cfRule>
    <cfRule type="containsText" dxfId="17038" priority="18314" operator="containsText" text="&quot;H&quot;">
      <formula>NOT(ISERROR(SEARCH("""H""",CA9)))</formula>
    </cfRule>
    <cfRule type="containsText" dxfId="17037" priority="18315" operator="containsText" text="&quot;A&quot;">
      <formula>NOT(ISERROR(SEARCH("""A""",CA9)))</formula>
    </cfRule>
  </conditionalFormatting>
  <conditionalFormatting sqref="CA9:CB9">
    <cfRule type="containsText" dxfId="17036" priority="18313" operator="containsText" text="A-H">
      <formula>NOT(ISERROR(SEARCH("A-H",CA9)))</formula>
    </cfRule>
  </conditionalFormatting>
  <conditionalFormatting sqref="CD9:CE9">
    <cfRule type="cellIs" dxfId="17035" priority="18304" operator="equal">
      <formula>"C-Off-H"</formula>
    </cfRule>
    <cfRule type="cellIs" dxfId="17034" priority="18305" operator="equal">
      <formula>"C-Off"</formula>
    </cfRule>
    <cfRule type="cellIs" dxfId="17033" priority="18306" operator="equal">
      <formula>"CL-H"</formula>
    </cfRule>
    <cfRule type="cellIs" dxfId="17032" priority="18307" operator="equal">
      <formula>"EL-H"</formula>
    </cfRule>
    <cfRule type="cellIs" dxfId="17031" priority="18308" operator="equal">
      <formula>"CL"</formula>
    </cfRule>
    <cfRule type="cellIs" dxfId="17030" priority="18309" operator="equal">
      <formula>"EL"</formula>
    </cfRule>
  </conditionalFormatting>
  <conditionalFormatting sqref="CD9:CE9">
    <cfRule type="containsText" dxfId="17029" priority="18298" operator="containsText" text="S">
      <formula>NOT(ISERROR(SEARCH("S",CD9)))</formula>
    </cfRule>
    <cfRule type="containsText" dxfId="17028" priority="18299" operator="containsText" text="P">
      <formula>NOT(ISERROR(SEARCH("P",CD9)))</formula>
    </cfRule>
    <cfRule type="containsText" dxfId="17027" priority="18300" operator="containsText" text="H">
      <formula>NOT(ISERROR(SEARCH("H",CD9)))</formula>
    </cfRule>
    <cfRule type="containsText" dxfId="17026" priority="18302" operator="containsText" text="&quot;H&quot;">
      <formula>NOT(ISERROR(SEARCH("""H""",CD9)))</formula>
    </cfRule>
    <cfRule type="containsText" dxfId="17025" priority="18303" operator="containsText" text="&quot;A&quot;">
      <formula>NOT(ISERROR(SEARCH("""A""",CD9)))</formula>
    </cfRule>
  </conditionalFormatting>
  <conditionalFormatting sqref="CD9:CE9">
    <cfRule type="containsText" dxfId="17024" priority="18301" operator="containsText" text="A-H">
      <formula>NOT(ISERROR(SEARCH("A-H",CD9)))</formula>
    </cfRule>
  </conditionalFormatting>
  <conditionalFormatting sqref="CH9">
    <cfRule type="cellIs" dxfId="17023" priority="18292" operator="equal">
      <formula>"C-Off-H"</formula>
    </cfRule>
    <cfRule type="cellIs" dxfId="17022" priority="18293" operator="equal">
      <formula>"C-Off"</formula>
    </cfRule>
    <cfRule type="cellIs" dxfId="17021" priority="18294" operator="equal">
      <formula>"CL-H"</formula>
    </cfRule>
    <cfRule type="cellIs" dxfId="17020" priority="18295" operator="equal">
      <formula>"EL-H"</formula>
    </cfRule>
    <cfRule type="cellIs" dxfId="17019" priority="18296" operator="equal">
      <formula>"CL"</formula>
    </cfRule>
    <cfRule type="cellIs" dxfId="17018" priority="18297" operator="equal">
      <formula>"EL"</formula>
    </cfRule>
  </conditionalFormatting>
  <conditionalFormatting sqref="CH9">
    <cfRule type="containsText" dxfId="17017" priority="18286" operator="containsText" text="S">
      <formula>NOT(ISERROR(SEARCH("S",CH9)))</formula>
    </cfRule>
    <cfRule type="containsText" dxfId="17016" priority="18287" operator="containsText" text="P">
      <formula>NOT(ISERROR(SEARCH("P",CH9)))</formula>
    </cfRule>
    <cfRule type="containsText" dxfId="17015" priority="18288" operator="containsText" text="H">
      <formula>NOT(ISERROR(SEARCH("H",CH9)))</formula>
    </cfRule>
    <cfRule type="containsText" dxfId="17014" priority="18290" operator="containsText" text="&quot;H&quot;">
      <formula>NOT(ISERROR(SEARCH("""H""",CH9)))</formula>
    </cfRule>
    <cfRule type="containsText" dxfId="17013" priority="18291" operator="containsText" text="&quot;A&quot;">
      <formula>NOT(ISERROR(SEARCH("""A""",CH9)))</formula>
    </cfRule>
  </conditionalFormatting>
  <conditionalFormatting sqref="CH9">
    <cfRule type="containsText" dxfId="17012" priority="18289" operator="containsText" text="A-H">
      <formula>NOT(ISERROR(SEARCH("A-H",CH9)))</formula>
    </cfRule>
  </conditionalFormatting>
  <conditionalFormatting sqref="CG9">
    <cfRule type="cellIs" dxfId="17011" priority="18280" operator="equal">
      <formula>"C-Off-H"</formula>
    </cfRule>
    <cfRule type="cellIs" dxfId="17010" priority="18281" operator="equal">
      <formula>"C-Off"</formula>
    </cfRule>
    <cfRule type="cellIs" dxfId="17009" priority="18282" operator="equal">
      <formula>"CL-H"</formula>
    </cfRule>
    <cfRule type="cellIs" dxfId="17008" priority="18283" operator="equal">
      <formula>"EL-H"</formula>
    </cfRule>
    <cfRule type="cellIs" dxfId="17007" priority="18284" operator="equal">
      <formula>"CL"</formula>
    </cfRule>
    <cfRule type="cellIs" dxfId="17006" priority="18285" operator="equal">
      <formula>"EL"</formula>
    </cfRule>
  </conditionalFormatting>
  <conditionalFormatting sqref="CG9">
    <cfRule type="containsText" dxfId="17005" priority="18274" operator="containsText" text="S">
      <formula>NOT(ISERROR(SEARCH("S",CG9)))</formula>
    </cfRule>
    <cfRule type="containsText" dxfId="17004" priority="18275" operator="containsText" text="P">
      <formula>NOT(ISERROR(SEARCH("P",CG9)))</formula>
    </cfRule>
    <cfRule type="containsText" dxfId="17003" priority="18276" operator="containsText" text="H">
      <formula>NOT(ISERROR(SEARCH("H",CG9)))</formula>
    </cfRule>
    <cfRule type="containsText" dxfId="17002" priority="18278" operator="containsText" text="&quot;H&quot;">
      <formula>NOT(ISERROR(SEARCH("""H""",CG9)))</formula>
    </cfRule>
    <cfRule type="containsText" dxfId="17001" priority="18279" operator="containsText" text="&quot;A&quot;">
      <formula>NOT(ISERROR(SEARCH("""A""",CG9)))</formula>
    </cfRule>
  </conditionalFormatting>
  <conditionalFormatting sqref="CG9">
    <cfRule type="containsText" dxfId="17000" priority="18277" operator="containsText" text="A-H">
      <formula>NOT(ISERROR(SEARCH("A-H",CG9)))</formula>
    </cfRule>
  </conditionalFormatting>
  <conditionalFormatting sqref="CA10:CB10">
    <cfRule type="cellIs" dxfId="16999" priority="18268" operator="equal">
      <formula>"C-Off-H"</formula>
    </cfRule>
    <cfRule type="cellIs" dxfId="16998" priority="18269" operator="equal">
      <formula>"C-Off"</formula>
    </cfRule>
    <cfRule type="cellIs" dxfId="16997" priority="18270" operator="equal">
      <formula>"CL-H"</formula>
    </cfRule>
    <cfRule type="cellIs" dxfId="16996" priority="18271" operator="equal">
      <formula>"EL-H"</formula>
    </cfRule>
    <cfRule type="cellIs" dxfId="16995" priority="18272" operator="equal">
      <formula>"CL"</formula>
    </cfRule>
    <cfRule type="cellIs" dxfId="16994" priority="18273" operator="equal">
      <formula>"EL"</formula>
    </cfRule>
  </conditionalFormatting>
  <conditionalFormatting sqref="CA10:CB10">
    <cfRule type="containsText" dxfId="16993" priority="18262" operator="containsText" text="S">
      <formula>NOT(ISERROR(SEARCH("S",CA10)))</formula>
    </cfRule>
    <cfRule type="containsText" dxfId="16992" priority="18263" operator="containsText" text="P">
      <formula>NOT(ISERROR(SEARCH("P",CA10)))</formula>
    </cfRule>
    <cfRule type="containsText" dxfId="16991" priority="18264" operator="containsText" text="H">
      <formula>NOT(ISERROR(SEARCH("H",CA10)))</formula>
    </cfRule>
    <cfRule type="containsText" dxfId="16990" priority="18266" operator="containsText" text="&quot;H&quot;">
      <formula>NOT(ISERROR(SEARCH("""H""",CA10)))</formula>
    </cfRule>
    <cfRule type="containsText" dxfId="16989" priority="18267" operator="containsText" text="&quot;A&quot;">
      <formula>NOT(ISERROR(SEARCH("""A""",CA10)))</formula>
    </cfRule>
  </conditionalFormatting>
  <conditionalFormatting sqref="CA10:CB10">
    <cfRule type="containsText" dxfId="16988" priority="18265" operator="containsText" text="A-H">
      <formula>NOT(ISERROR(SEARCH("A-H",CA10)))</formula>
    </cfRule>
  </conditionalFormatting>
  <conditionalFormatting sqref="CD10:CE10">
    <cfRule type="cellIs" dxfId="16987" priority="18256" operator="equal">
      <formula>"C-Off-H"</formula>
    </cfRule>
    <cfRule type="cellIs" dxfId="16986" priority="18257" operator="equal">
      <formula>"C-Off"</formula>
    </cfRule>
    <cfRule type="cellIs" dxfId="16985" priority="18258" operator="equal">
      <formula>"CL-H"</formula>
    </cfRule>
    <cfRule type="cellIs" dxfId="16984" priority="18259" operator="equal">
      <formula>"EL-H"</formula>
    </cfRule>
    <cfRule type="cellIs" dxfId="16983" priority="18260" operator="equal">
      <formula>"CL"</formula>
    </cfRule>
    <cfRule type="cellIs" dxfId="16982" priority="18261" operator="equal">
      <formula>"EL"</formula>
    </cfRule>
  </conditionalFormatting>
  <conditionalFormatting sqref="CD10:CE10">
    <cfRule type="containsText" dxfId="16981" priority="18250" operator="containsText" text="S">
      <formula>NOT(ISERROR(SEARCH("S",CD10)))</formula>
    </cfRule>
    <cfRule type="containsText" dxfId="16980" priority="18251" operator="containsText" text="P">
      <formula>NOT(ISERROR(SEARCH("P",CD10)))</formula>
    </cfRule>
    <cfRule type="containsText" dxfId="16979" priority="18252" operator="containsText" text="H">
      <formula>NOT(ISERROR(SEARCH("H",CD10)))</formula>
    </cfRule>
    <cfRule type="containsText" dxfId="16978" priority="18254" operator="containsText" text="&quot;H&quot;">
      <formula>NOT(ISERROR(SEARCH("""H""",CD10)))</formula>
    </cfRule>
    <cfRule type="containsText" dxfId="16977" priority="18255" operator="containsText" text="&quot;A&quot;">
      <formula>NOT(ISERROR(SEARCH("""A""",CD10)))</formula>
    </cfRule>
  </conditionalFormatting>
  <conditionalFormatting sqref="CD10:CE10">
    <cfRule type="containsText" dxfId="16976" priority="18253" operator="containsText" text="A-H">
      <formula>NOT(ISERROR(SEARCH("A-H",CD10)))</formula>
    </cfRule>
  </conditionalFormatting>
  <conditionalFormatting sqref="CH10">
    <cfRule type="cellIs" dxfId="16975" priority="18244" operator="equal">
      <formula>"C-Off-H"</formula>
    </cfRule>
    <cfRule type="cellIs" dxfId="16974" priority="18245" operator="equal">
      <formula>"C-Off"</formula>
    </cfRule>
    <cfRule type="cellIs" dxfId="16973" priority="18246" operator="equal">
      <formula>"CL-H"</formula>
    </cfRule>
    <cfRule type="cellIs" dxfId="16972" priority="18247" operator="equal">
      <formula>"EL-H"</formula>
    </cfRule>
    <cfRule type="cellIs" dxfId="16971" priority="18248" operator="equal">
      <formula>"CL"</formula>
    </cfRule>
    <cfRule type="cellIs" dxfId="16970" priority="18249" operator="equal">
      <formula>"EL"</formula>
    </cfRule>
  </conditionalFormatting>
  <conditionalFormatting sqref="CH10">
    <cfRule type="containsText" dxfId="16969" priority="18238" operator="containsText" text="S">
      <formula>NOT(ISERROR(SEARCH("S",CH10)))</formula>
    </cfRule>
    <cfRule type="containsText" dxfId="16968" priority="18239" operator="containsText" text="P">
      <formula>NOT(ISERROR(SEARCH("P",CH10)))</formula>
    </cfRule>
    <cfRule type="containsText" dxfId="16967" priority="18240" operator="containsText" text="H">
      <formula>NOT(ISERROR(SEARCH("H",CH10)))</formula>
    </cfRule>
    <cfRule type="containsText" dxfId="16966" priority="18242" operator="containsText" text="&quot;H&quot;">
      <formula>NOT(ISERROR(SEARCH("""H""",CH10)))</formula>
    </cfRule>
    <cfRule type="containsText" dxfId="16965" priority="18243" operator="containsText" text="&quot;A&quot;">
      <formula>NOT(ISERROR(SEARCH("""A""",CH10)))</formula>
    </cfRule>
  </conditionalFormatting>
  <conditionalFormatting sqref="CH10">
    <cfRule type="containsText" dxfId="16964" priority="18241" operator="containsText" text="A-H">
      <formula>NOT(ISERROR(SEARCH("A-H",CH10)))</formula>
    </cfRule>
  </conditionalFormatting>
  <conditionalFormatting sqref="CG10">
    <cfRule type="cellIs" dxfId="16963" priority="18232" operator="equal">
      <formula>"C-Off-H"</formula>
    </cfRule>
    <cfRule type="cellIs" dxfId="16962" priority="18233" operator="equal">
      <formula>"C-Off"</formula>
    </cfRule>
    <cfRule type="cellIs" dxfId="16961" priority="18234" operator="equal">
      <formula>"CL-H"</formula>
    </cfRule>
    <cfRule type="cellIs" dxfId="16960" priority="18235" operator="equal">
      <formula>"EL-H"</formula>
    </cfRule>
    <cfRule type="cellIs" dxfId="16959" priority="18236" operator="equal">
      <formula>"CL"</formula>
    </cfRule>
    <cfRule type="cellIs" dxfId="16958" priority="18237" operator="equal">
      <formula>"EL"</formula>
    </cfRule>
  </conditionalFormatting>
  <conditionalFormatting sqref="CG10">
    <cfRule type="containsText" dxfId="16957" priority="18226" operator="containsText" text="S">
      <formula>NOT(ISERROR(SEARCH("S",CG10)))</formula>
    </cfRule>
    <cfRule type="containsText" dxfId="16956" priority="18227" operator="containsText" text="P">
      <formula>NOT(ISERROR(SEARCH("P",CG10)))</formula>
    </cfRule>
    <cfRule type="containsText" dxfId="16955" priority="18228" operator="containsText" text="H">
      <formula>NOT(ISERROR(SEARCH("H",CG10)))</formula>
    </cfRule>
    <cfRule type="containsText" dxfId="16954" priority="18230" operator="containsText" text="&quot;H&quot;">
      <formula>NOT(ISERROR(SEARCH("""H""",CG10)))</formula>
    </cfRule>
    <cfRule type="containsText" dxfId="16953" priority="18231" operator="containsText" text="&quot;A&quot;">
      <formula>NOT(ISERROR(SEARCH("""A""",CG10)))</formula>
    </cfRule>
  </conditionalFormatting>
  <conditionalFormatting sqref="CG10">
    <cfRule type="containsText" dxfId="16952" priority="18229" operator="containsText" text="A-H">
      <formula>NOT(ISERROR(SEARCH("A-H",CG10)))</formula>
    </cfRule>
  </conditionalFormatting>
  <conditionalFormatting sqref="CA8:CB8">
    <cfRule type="cellIs" dxfId="16951" priority="18220" operator="equal">
      <formula>"C-Off-H"</formula>
    </cfRule>
    <cfRule type="cellIs" dxfId="16950" priority="18221" operator="equal">
      <formula>"C-Off"</formula>
    </cfRule>
    <cfRule type="cellIs" dxfId="16949" priority="18222" operator="equal">
      <formula>"CL-H"</formula>
    </cfRule>
    <cfRule type="cellIs" dxfId="16948" priority="18223" operator="equal">
      <formula>"EL-H"</formula>
    </cfRule>
    <cfRule type="cellIs" dxfId="16947" priority="18224" operator="equal">
      <formula>"CL"</formula>
    </cfRule>
    <cfRule type="cellIs" dxfId="16946" priority="18225" operator="equal">
      <formula>"EL"</formula>
    </cfRule>
  </conditionalFormatting>
  <conditionalFormatting sqref="CA8:CB8">
    <cfRule type="containsText" dxfId="16945" priority="18214" operator="containsText" text="S">
      <formula>NOT(ISERROR(SEARCH("S",CA8)))</formula>
    </cfRule>
    <cfRule type="containsText" dxfId="16944" priority="18215" operator="containsText" text="P">
      <formula>NOT(ISERROR(SEARCH("P",CA8)))</formula>
    </cfRule>
    <cfRule type="containsText" dxfId="16943" priority="18216" operator="containsText" text="H">
      <formula>NOT(ISERROR(SEARCH("H",CA8)))</formula>
    </cfRule>
    <cfRule type="containsText" dxfId="16942" priority="18218" operator="containsText" text="&quot;H&quot;">
      <formula>NOT(ISERROR(SEARCH("""H""",CA8)))</formula>
    </cfRule>
    <cfRule type="containsText" dxfId="16941" priority="18219" operator="containsText" text="&quot;A&quot;">
      <formula>NOT(ISERROR(SEARCH("""A""",CA8)))</formula>
    </cfRule>
  </conditionalFormatting>
  <conditionalFormatting sqref="CA8:CB8">
    <cfRule type="containsText" dxfId="16940" priority="18217" operator="containsText" text="A-H">
      <formula>NOT(ISERROR(SEARCH("A-H",CA8)))</formula>
    </cfRule>
  </conditionalFormatting>
  <conditionalFormatting sqref="CD8:CE8">
    <cfRule type="cellIs" dxfId="16939" priority="18208" operator="equal">
      <formula>"C-Off-H"</formula>
    </cfRule>
    <cfRule type="cellIs" dxfId="16938" priority="18209" operator="equal">
      <formula>"C-Off"</formula>
    </cfRule>
    <cfRule type="cellIs" dxfId="16937" priority="18210" operator="equal">
      <formula>"CL-H"</formula>
    </cfRule>
    <cfRule type="cellIs" dxfId="16936" priority="18211" operator="equal">
      <formula>"EL-H"</formula>
    </cfRule>
    <cfRule type="cellIs" dxfId="16935" priority="18212" operator="equal">
      <formula>"CL"</formula>
    </cfRule>
    <cfRule type="cellIs" dxfId="16934" priority="18213" operator="equal">
      <formula>"EL"</formula>
    </cfRule>
  </conditionalFormatting>
  <conditionalFormatting sqref="CD8:CE8">
    <cfRule type="containsText" dxfId="16933" priority="18202" operator="containsText" text="S">
      <formula>NOT(ISERROR(SEARCH("S",CD8)))</formula>
    </cfRule>
    <cfRule type="containsText" dxfId="16932" priority="18203" operator="containsText" text="P">
      <formula>NOT(ISERROR(SEARCH("P",CD8)))</formula>
    </cfRule>
    <cfRule type="containsText" dxfId="16931" priority="18204" operator="containsText" text="H">
      <formula>NOT(ISERROR(SEARCH("H",CD8)))</formula>
    </cfRule>
    <cfRule type="containsText" dxfId="16930" priority="18206" operator="containsText" text="&quot;H&quot;">
      <formula>NOT(ISERROR(SEARCH("""H""",CD8)))</formula>
    </cfRule>
    <cfRule type="containsText" dxfId="16929" priority="18207" operator="containsText" text="&quot;A&quot;">
      <formula>NOT(ISERROR(SEARCH("""A""",CD8)))</formula>
    </cfRule>
  </conditionalFormatting>
  <conditionalFormatting sqref="CD8:CE8">
    <cfRule type="containsText" dxfId="16928" priority="18205" operator="containsText" text="A-H">
      <formula>NOT(ISERROR(SEARCH("A-H",CD8)))</formula>
    </cfRule>
  </conditionalFormatting>
  <conditionalFormatting sqref="CH8">
    <cfRule type="cellIs" dxfId="16927" priority="18196" operator="equal">
      <formula>"C-Off-H"</formula>
    </cfRule>
    <cfRule type="cellIs" dxfId="16926" priority="18197" operator="equal">
      <formula>"C-Off"</formula>
    </cfRule>
    <cfRule type="cellIs" dxfId="16925" priority="18198" operator="equal">
      <formula>"CL-H"</formula>
    </cfRule>
    <cfRule type="cellIs" dxfId="16924" priority="18199" operator="equal">
      <formula>"EL-H"</formula>
    </cfRule>
    <cfRule type="cellIs" dxfId="16923" priority="18200" operator="equal">
      <formula>"CL"</formula>
    </cfRule>
    <cfRule type="cellIs" dxfId="16922" priority="18201" operator="equal">
      <formula>"EL"</formula>
    </cfRule>
  </conditionalFormatting>
  <conditionalFormatting sqref="CH8">
    <cfRule type="containsText" dxfId="16921" priority="18190" operator="containsText" text="S">
      <formula>NOT(ISERROR(SEARCH("S",CH8)))</formula>
    </cfRule>
    <cfRule type="containsText" dxfId="16920" priority="18191" operator="containsText" text="P">
      <formula>NOT(ISERROR(SEARCH("P",CH8)))</formula>
    </cfRule>
    <cfRule type="containsText" dxfId="16919" priority="18192" operator="containsText" text="H">
      <formula>NOT(ISERROR(SEARCH("H",CH8)))</formula>
    </cfRule>
    <cfRule type="containsText" dxfId="16918" priority="18194" operator="containsText" text="&quot;H&quot;">
      <formula>NOT(ISERROR(SEARCH("""H""",CH8)))</formula>
    </cfRule>
    <cfRule type="containsText" dxfId="16917" priority="18195" operator="containsText" text="&quot;A&quot;">
      <formula>NOT(ISERROR(SEARCH("""A""",CH8)))</formula>
    </cfRule>
  </conditionalFormatting>
  <conditionalFormatting sqref="CH8">
    <cfRule type="containsText" dxfId="16916" priority="18193" operator="containsText" text="A-H">
      <formula>NOT(ISERROR(SEARCH("A-H",CH8)))</formula>
    </cfRule>
  </conditionalFormatting>
  <conditionalFormatting sqref="CG8">
    <cfRule type="cellIs" dxfId="16915" priority="18184" operator="equal">
      <formula>"C-Off-H"</formula>
    </cfRule>
    <cfRule type="cellIs" dxfId="16914" priority="18185" operator="equal">
      <formula>"C-Off"</formula>
    </cfRule>
    <cfRule type="cellIs" dxfId="16913" priority="18186" operator="equal">
      <formula>"CL-H"</formula>
    </cfRule>
    <cfRule type="cellIs" dxfId="16912" priority="18187" operator="equal">
      <formula>"EL-H"</formula>
    </cfRule>
    <cfRule type="cellIs" dxfId="16911" priority="18188" operator="equal">
      <formula>"CL"</formula>
    </cfRule>
    <cfRule type="cellIs" dxfId="16910" priority="18189" operator="equal">
      <formula>"EL"</formula>
    </cfRule>
  </conditionalFormatting>
  <conditionalFormatting sqref="CG8">
    <cfRule type="containsText" dxfId="16909" priority="18178" operator="containsText" text="S">
      <formula>NOT(ISERROR(SEARCH("S",CG8)))</formula>
    </cfRule>
    <cfRule type="containsText" dxfId="16908" priority="18179" operator="containsText" text="P">
      <formula>NOT(ISERROR(SEARCH("P",CG8)))</formula>
    </cfRule>
    <cfRule type="containsText" dxfId="16907" priority="18180" operator="containsText" text="H">
      <formula>NOT(ISERROR(SEARCH("H",CG8)))</formula>
    </cfRule>
    <cfRule type="containsText" dxfId="16906" priority="18182" operator="containsText" text="&quot;H&quot;">
      <formula>NOT(ISERROR(SEARCH("""H""",CG8)))</formula>
    </cfRule>
    <cfRule type="containsText" dxfId="16905" priority="18183" operator="containsText" text="&quot;A&quot;">
      <formula>NOT(ISERROR(SEARCH("""A""",CG8)))</formula>
    </cfRule>
  </conditionalFormatting>
  <conditionalFormatting sqref="CG8">
    <cfRule type="containsText" dxfId="16904" priority="18181" operator="containsText" text="A-H">
      <formula>NOT(ISERROR(SEARCH("A-H",CG8)))</formula>
    </cfRule>
  </conditionalFormatting>
  <conditionalFormatting sqref="H9">
    <cfRule type="cellIs" dxfId="16903" priority="18172" operator="equal">
      <formula>"C-Off-H"</formula>
    </cfRule>
    <cfRule type="cellIs" dxfId="16902" priority="18173" operator="equal">
      <formula>"C-Off"</formula>
    </cfRule>
    <cfRule type="cellIs" dxfId="16901" priority="18174" operator="equal">
      <formula>"CL-H"</formula>
    </cfRule>
    <cfRule type="cellIs" dxfId="16900" priority="18175" operator="equal">
      <formula>"EL-H"</formula>
    </cfRule>
    <cfRule type="cellIs" dxfId="16899" priority="18176" operator="equal">
      <formula>"CL"</formula>
    </cfRule>
    <cfRule type="cellIs" dxfId="16898" priority="18177" operator="equal">
      <formula>"EL"</formula>
    </cfRule>
  </conditionalFormatting>
  <conditionalFormatting sqref="G9:H9">
    <cfRule type="cellIs" dxfId="16897" priority="18166" operator="equal">
      <formula>"C-Off-H"</formula>
    </cfRule>
    <cfRule type="cellIs" dxfId="16896" priority="18167" operator="equal">
      <formula>"C-Off"</formula>
    </cfRule>
    <cfRule type="cellIs" dxfId="16895" priority="18168" operator="equal">
      <formula>"CL-H"</formula>
    </cfRule>
    <cfRule type="cellIs" dxfId="16894" priority="18169" operator="equal">
      <formula>"EL-H"</formula>
    </cfRule>
    <cfRule type="cellIs" dxfId="16893" priority="18170" operator="equal">
      <formula>"CL"</formula>
    </cfRule>
    <cfRule type="cellIs" dxfId="16892" priority="18171" operator="equal">
      <formula>"EL"</formula>
    </cfRule>
  </conditionalFormatting>
  <conditionalFormatting sqref="G9:H9">
    <cfRule type="containsText" dxfId="16891" priority="18160" operator="containsText" text="S">
      <formula>NOT(ISERROR(SEARCH("S",G9)))</formula>
    </cfRule>
    <cfRule type="containsText" dxfId="16890" priority="18161" operator="containsText" text="P">
      <formula>NOT(ISERROR(SEARCH("P",G9)))</formula>
    </cfRule>
    <cfRule type="containsText" dxfId="16889" priority="18162" operator="containsText" text="H">
      <formula>NOT(ISERROR(SEARCH("H",G9)))</formula>
    </cfRule>
    <cfRule type="containsText" dxfId="16888" priority="18164" operator="containsText" text="&quot;H&quot;">
      <formula>NOT(ISERROR(SEARCH("""H""",G9)))</formula>
    </cfRule>
    <cfRule type="containsText" dxfId="16887" priority="18165" operator="containsText" text="&quot;A&quot;">
      <formula>NOT(ISERROR(SEARCH("""A""",G9)))</formula>
    </cfRule>
  </conditionalFormatting>
  <conditionalFormatting sqref="G9:H9">
    <cfRule type="containsText" dxfId="16886" priority="18163" operator="containsText" text="A-H">
      <formula>NOT(ISERROR(SEARCH("A-H",G9)))</formula>
    </cfRule>
  </conditionalFormatting>
  <conditionalFormatting sqref="H10">
    <cfRule type="cellIs" dxfId="16885" priority="18154" operator="equal">
      <formula>"C-Off-H"</formula>
    </cfRule>
    <cfRule type="cellIs" dxfId="16884" priority="18155" operator="equal">
      <formula>"C-Off"</formula>
    </cfRule>
    <cfRule type="cellIs" dxfId="16883" priority="18156" operator="equal">
      <formula>"CL-H"</formula>
    </cfRule>
    <cfRule type="cellIs" dxfId="16882" priority="18157" operator="equal">
      <formula>"EL-H"</formula>
    </cfRule>
    <cfRule type="cellIs" dxfId="16881" priority="18158" operator="equal">
      <formula>"CL"</formula>
    </cfRule>
    <cfRule type="cellIs" dxfId="16880" priority="18159" operator="equal">
      <formula>"EL"</formula>
    </cfRule>
  </conditionalFormatting>
  <conditionalFormatting sqref="G10:H10">
    <cfRule type="cellIs" dxfId="16879" priority="18148" operator="equal">
      <formula>"C-Off-H"</formula>
    </cfRule>
    <cfRule type="cellIs" dxfId="16878" priority="18149" operator="equal">
      <formula>"C-Off"</formula>
    </cfRule>
    <cfRule type="cellIs" dxfId="16877" priority="18150" operator="equal">
      <formula>"CL-H"</formula>
    </cfRule>
    <cfRule type="cellIs" dxfId="16876" priority="18151" operator="equal">
      <formula>"EL-H"</formula>
    </cfRule>
    <cfRule type="cellIs" dxfId="16875" priority="18152" operator="equal">
      <formula>"CL"</formula>
    </cfRule>
    <cfRule type="cellIs" dxfId="16874" priority="18153" operator="equal">
      <formula>"EL"</formula>
    </cfRule>
  </conditionalFormatting>
  <conditionalFormatting sqref="G10:H10">
    <cfRule type="containsText" dxfId="16873" priority="18142" operator="containsText" text="S">
      <formula>NOT(ISERROR(SEARCH("S",G10)))</formula>
    </cfRule>
    <cfRule type="containsText" dxfId="16872" priority="18143" operator="containsText" text="P">
      <formula>NOT(ISERROR(SEARCH("P",G10)))</formula>
    </cfRule>
    <cfRule type="containsText" dxfId="16871" priority="18144" operator="containsText" text="H">
      <formula>NOT(ISERROR(SEARCH("H",G10)))</formula>
    </cfRule>
    <cfRule type="containsText" dxfId="16870" priority="18146" operator="containsText" text="&quot;H&quot;">
      <formula>NOT(ISERROR(SEARCH("""H""",G10)))</formula>
    </cfRule>
    <cfRule type="containsText" dxfId="16869" priority="18147" operator="containsText" text="&quot;A&quot;">
      <formula>NOT(ISERROR(SEARCH("""A""",G10)))</formula>
    </cfRule>
  </conditionalFormatting>
  <conditionalFormatting sqref="G10:H10">
    <cfRule type="containsText" dxfId="16868" priority="18145" operator="containsText" text="A-H">
      <formula>NOT(ISERROR(SEARCH("A-H",G10)))</formula>
    </cfRule>
  </conditionalFormatting>
  <conditionalFormatting sqref="H8">
    <cfRule type="cellIs" dxfId="16867" priority="18136" operator="equal">
      <formula>"C-Off-H"</formula>
    </cfRule>
    <cfRule type="cellIs" dxfId="16866" priority="18137" operator="equal">
      <formula>"C-Off"</formula>
    </cfRule>
    <cfRule type="cellIs" dxfId="16865" priority="18138" operator="equal">
      <formula>"CL-H"</formula>
    </cfRule>
    <cfRule type="cellIs" dxfId="16864" priority="18139" operator="equal">
      <formula>"EL-H"</formula>
    </cfRule>
    <cfRule type="cellIs" dxfId="16863" priority="18140" operator="equal">
      <formula>"CL"</formula>
    </cfRule>
    <cfRule type="cellIs" dxfId="16862" priority="18141" operator="equal">
      <formula>"EL"</formula>
    </cfRule>
  </conditionalFormatting>
  <conditionalFormatting sqref="G8:H8">
    <cfRule type="cellIs" dxfId="16861" priority="18130" operator="equal">
      <formula>"C-Off-H"</formula>
    </cfRule>
    <cfRule type="cellIs" dxfId="16860" priority="18131" operator="equal">
      <formula>"C-Off"</formula>
    </cfRule>
    <cfRule type="cellIs" dxfId="16859" priority="18132" operator="equal">
      <formula>"CL-H"</formula>
    </cfRule>
    <cfRule type="cellIs" dxfId="16858" priority="18133" operator="equal">
      <formula>"EL-H"</formula>
    </cfRule>
    <cfRule type="cellIs" dxfId="16857" priority="18134" operator="equal">
      <formula>"CL"</formula>
    </cfRule>
    <cfRule type="cellIs" dxfId="16856" priority="18135" operator="equal">
      <formula>"EL"</formula>
    </cfRule>
  </conditionalFormatting>
  <conditionalFormatting sqref="G8:H8">
    <cfRule type="containsText" dxfId="16855" priority="18124" operator="containsText" text="S">
      <formula>NOT(ISERROR(SEARCH("S",G8)))</formula>
    </cfRule>
    <cfRule type="containsText" dxfId="16854" priority="18125" operator="containsText" text="P">
      <formula>NOT(ISERROR(SEARCH("P",G8)))</formula>
    </cfRule>
    <cfRule type="containsText" dxfId="16853" priority="18126" operator="containsText" text="H">
      <formula>NOT(ISERROR(SEARCH("H",G8)))</formula>
    </cfRule>
    <cfRule type="containsText" dxfId="16852" priority="18128" operator="containsText" text="&quot;H&quot;">
      <formula>NOT(ISERROR(SEARCH("""H""",G8)))</formula>
    </cfRule>
    <cfRule type="containsText" dxfId="16851" priority="18129" operator="containsText" text="&quot;A&quot;">
      <formula>NOT(ISERROR(SEARCH("""A""",G8)))</formula>
    </cfRule>
  </conditionalFormatting>
  <conditionalFormatting sqref="G8:H8">
    <cfRule type="containsText" dxfId="16850" priority="18127" operator="containsText" text="A-H">
      <formula>NOT(ISERROR(SEARCH("A-H",G8)))</formula>
    </cfRule>
  </conditionalFormatting>
  <conditionalFormatting sqref="CX7">
    <cfRule type="cellIs" dxfId="16849" priority="18051" operator="equal">
      <formula>"C-Off-H"</formula>
    </cfRule>
    <cfRule type="cellIs" dxfId="16848" priority="18052" operator="equal">
      <formula>"C-Off"</formula>
    </cfRule>
    <cfRule type="cellIs" dxfId="16847" priority="18053" operator="equal">
      <formula>"CL-H"</formula>
    </cfRule>
    <cfRule type="cellIs" dxfId="16846" priority="18054" operator="equal">
      <formula>"EL-H"</formula>
    </cfRule>
    <cfRule type="cellIs" dxfId="16845" priority="18055" operator="equal">
      <formula>"CL"</formula>
    </cfRule>
    <cfRule type="cellIs" dxfId="16844" priority="18056" operator="equal">
      <formula>"EL"</formula>
    </cfRule>
  </conditionalFormatting>
  <conditionalFormatting sqref="CX7">
    <cfRule type="containsText" dxfId="16843" priority="18050" operator="containsText" text="A-H">
      <formula>NOT(ISERROR(SEARCH("A-H",CX7)))</formula>
    </cfRule>
  </conditionalFormatting>
  <conditionalFormatting sqref="CX7">
    <cfRule type="containsText" dxfId="16842" priority="18049" operator="containsText" text="A">
      <formula>NOT(ISERROR(SEARCH("A",CX7)))</formula>
    </cfRule>
  </conditionalFormatting>
  <conditionalFormatting sqref="DC7 CP7:CW7">
    <cfRule type="cellIs" dxfId="16841" priority="18032" operator="equal">
      <formula>"C-Off-H"</formula>
    </cfRule>
    <cfRule type="cellIs" dxfId="16840" priority="18033" operator="equal">
      <formula>"C-Off"</formula>
    </cfRule>
    <cfRule type="cellIs" dxfId="16839" priority="18034" operator="equal">
      <formula>"CL-H"</formula>
    </cfRule>
    <cfRule type="cellIs" dxfId="16838" priority="18035" operator="equal">
      <formula>"EL-H"</formula>
    </cfRule>
    <cfRule type="cellIs" dxfId="16837" priority="18036" operator="equal">
      <formula>"CL"</formula>
    </cfRule>
    <cfRule type="cellIs" dxfId="16836" priority="18037" operator="equal">
      <formula>"EL"</formula>
    </cfRule>
  </conditionalFormatting>
  <conditionalFormatting sqref="DC7 CP7:CW7 CY7:DA7">
    <cfRule type="containsText" dxfId="16835" priority="18031" operator="containsText" text="A-H">
      <formula>NOT(ISERROR(SEARCH("A-H",CP7)))</formula>
    </cfRule>
  </conditionalFormatting>
  <conditionalFormatting sqref="DC7 CP7:CW7 CY7:DA7">
    <cfRule type="containsText" dxfId="16834" priority="18030" operator="containsText" text="A">
      <formula>NOT(ISERROR(SEARCH("A",CP7)))</formula>
    </cfRule>
  </conditionalFormatting>
  <conditionalFormatting sqref="CY7 DA7">
    <cfRule type="cellIs" dxfId="16833" priority="18024" stopIfTrue="1" operator="equal">
      <formula>"C-Off-H"</formula>
    </cfRule>
    <cfRule type="cellIs" dxfId="16832" priority="18025" stopIfTrue="1" operator="equal">
      <formula>"C-Off"</formula>
    </cfRule>
    <cfRule type="cellIs" dxfId="16831" priority="18026" stopIfTrue="1" operator="equal">
      <formula>"CL-H"</formula>
    </cfRule>
    <cfRule type="cellIs" dxfId="16830" priority="18027" stopIfTrue="1" operator="equal">
      <formula>"EL-H"</formula>
    </cfRule>
    <cfRule type="cellIs" dxfId="16829" priority="18028" stopIfTrue="1" operator="equal">
      <formula>"CL"</formula>
    </cfRule>
    <cfRule type="cellIs" dxfId="16828" priority="18029" stopIfTrue="1" operator="equal">
      <formula>"EL"</formula>
    </cfRule>
  </conditionalFormatting>
  <conditionalFormatting sqref="CZ7">
    <cfRule type="cellIs" dxfId="16827" priority="18018" stopIfTrue="1" operator="equal">
      <formula>"C-Off-H"</formula>
    </cfRule>
    <cfRule type="cellIs" dxfId="16826" priority="18019" stopIfTrue="1" operator="equal">
      <formula>"C-Off"</formula>
    </cfRule>
    <cfRule type="cellIs" dxfId="16825" priority="18020" stopIfTrue="1" operator="equal">
      <formula>"CL-H"</formula>
    </cfRule>
    <cfRule type="cellIs" dxfId="16824" priority="18021" stopIfTrue="1" operator="equal">
      <formula>"EL-H"</formula>
    </cfRule>
    <cfRule type="cellIs" dxfId="16823" priority="18022" stopIfTrue="1" operator="equal">
      <formula>"CL"</formula>
    </cfRule>
    <cfRule type="cellIs" dxfId="16822" priority="18023" stopIfTrue="1" operator="equal">
      <formula>"EL"</formula>
    </cfRule>
  </conditionalFormatting>
  <conditionalFormatting sqref="DD7">
    <cfRule type="cellIs" dxfId="16821" priority="18007" operator="equal">
      <formula>"C-Off-H"</formula>
    </cfRule>
    <cfRule type="cellIs" dxfId="16820" priority="18008" operator="equal">
      <formula>"C-Off"</formula>
    </cfRule>
    <cfRule type="cellIs" dxfId="16819" priority="18009" operator="equal">
      <formula>"CL-H"</formula>
    </cfRule>
    <cfRule type="cellIs" dxfId="16818" priority="18010" operator="equal">
      <formula>"EL-H"</formula>
    </cfRule>
    <cfRule type="cellIs" dxfId="16817" priority="18011" operator="equal">
      <formula>"CL"</formula>
    </cfRule>
    <cfRule type="cellIs" dxfId="16816" priority="18012" operator="equal">
      <formula>"EL"</formula>
    </cfRule>
  </conditionalFormatting>
  <conditionalFormatting sqref="DD7">
    <cfRule type="containsText" dxfId="16815" priority="18006" operator="containsText" text="A">
      <formula>NOT(ISERROR(SEARCH("A",DD7)))</formula>
    </cfRule>
  </conditionalFormatting>
  <conditionalFormatting sqref="DD7">
    <cfRule type="containsText" dxfId="16814" priority="18005" operator="containsText" text="A-H">
      <formula>NOT(ISERROR(SEARCH("A-H",DD7)))</formula>
    </cfRule>
  </conditionalFormatting>
  <conditionalFormatting sqref="AI7">
    <cfRule type="cellIs" dxfId="16813" priority="17999" operator="equal">
      <formula>"C-Off-H"</formula>
    </cfRule>
    <cfRule type="cellIs" dxfId="16812" priority="18000" operator="equal">
      <formula>"C-Off"</formula>
    </cfRule>
    <cfRule type="cellIs" dxfId="16811" priority="18001" operator="equal">
      <formula>"CL-H"</formula>
    </cfRule>
    <cfRule type="cellIs" dxfId="16810" priority="18002" operator="equal">
      <formula>"EL-H"</formula>
    </cfRule>
    <cfRule type="cellIs" dxfId="16809" priority="18003" operator="equal">
      <formula>"CL"</formula>
    </cfRule>
    <cfRule type="cellIs" dxfId="16808" priority="18004" operator="equal">
      <formula>"EL"</formula>
    </cfRule>
  </conditionalFormatting>
  <conditionalFormatting sqref="AH7:AI7">
    <cfRule type="cellIs" dxfId="16807" priority="17993" operator="equal">
      <formula>"C-Off-H"</formula>
    </cfRule>
    <cfRule type="cellIs" dxfId="16806" priority="17994" operator="equal">
      <formula>"C-Off"</formula>
    </cfRule>
    <cfRule type="cellIs" dxfId="16805" priority="17995" operator="equal">
      <formula>"CL-H"</formula>
    </cfRule>
    <cfRule type="cellIs" dxfId="16804" priority="17996" operator="equal">
      <formula>"EL-H"</formula>
    </cfRule>
    <cfRule type="cellIs" dxfId="16803" priority="17997" operator="equal">
      <formula>"CL"</formula>
    </cfRule>
    <cfRule type="cellIs" dxfId="16802" priority="17998" operator="equal">
      <formula>"EL"</formula>
    </cfRule>
  </conditionalFormatting>
  <conditionalFormatting sqref="AH7:AI7">
    <cfRule type="containsText" dxfId="16801" priority="17987" operator="containsText" text="S">
      <formula>NOT(ISERROR(SEARCH("S",AH7)))</formula>
    </cfRule>
    <cfRule type="containsText" dxfId="16800" priority="17988" operator="containsText" text="P">
      <formula>NOT(ISERROR(SEARCH("P",AH7)))</formula>
    </cfRule>
    <cfRule type="containsText" dxfId="16799" priority="17989" operator="containsText" text="H">
      <formula>NOT(ISERROR(SEARCH("H",AH7)))</formula>
    </cfRule>
    <cfRule type="containsText" dxfId="16798" priority="17991" operator="containsText" text="&quot;H&quot;">
      <formula>NOT(ISERROR(SEARCH("""H""",AH7)))</formula>
    </cfRule>
    <cfRule type="containsText" dxfId="16797" priority="17992" operator="containsText" text="&quot;A&quot;">
      <formula>NOT(ISERROR(SEARCH("""A""",AH7)))</formula>
    </cfRule>
  </conditionalFormatting>
  <conditionalFormatting sqref="AH7:AI7">
    <cfRule type="containsText" dxfId="16796" priority="17990" operator="containsText" text="A-H">
      <formula>NOT(ISERROR(SEARCH("A-H",AH7)))</formula>
    </cfRule>
  </conditionalFormatting>
  <conditionalFormatting sqref="AU7">
    <cfRule type="cellIs" dxfId="16795" priority="17981" operator="equal">
      <formula>"C-Off-H"</formula>
    </cfRule>
    <cfRule type="cellIs" dxfId="16794" priority="17982" operator="equal">
      <formula>"C-Off"</formula>
    </cfRule>
    <cfRule type="cellIs" dxfId="16793" priority="17983" operator="equal">
      <formula>"CL-H"</formula>
    </cfRule>
    <cfRule type="cellIs" dxfId="16792" priority="17984" operator="equal">
      <formula>"EL-H"</formula>
    </cfRule>
    <cfRule type="cellIs" dxfId="16791" priority="17985" operator="equal">
      <formula>"CL"</formula>
    </cfRule>
    <cfRule type="cellIs" dxfId="16790" priority="17986" operator="equal">
      <formula>"EL"</formula>
    </cfRule>
  </conditionalFormatting>
  <conditionalFormatting sqref="AT7:AU7">
    <cfRule type="cellIs" dxfId="16789" priority="17975" operator="equal">
      <formula>"C-Off-H"</formula>
    </cfRule>
    <cfRule type="cellIs" dxfId="16788" priority="17976" operator="equal">
      <formula>"C-Off"</formula>
    </cfRule>
    <cfRule type="cellIs" dxfId="16787" priority="17977" operator="equal">
      <formula>"CL-H"</formula>
    </cfRule>
    <cfRule type="cellIs" dxfId="16786" priority="17978" operator="equal">
      <formula>"EL-H"</formula>
    </cfRule>
    <cfRule type="cellIs" dxfId="16785" priority="17979" operator="equal">
      <formula>"CL"</formula>
    </cfRule>
    <cfRule type="cellIs" dxfId="16784" priority="17980" operator="equal">
      <formula>"EL"</formula>
    </cfRule>
  </conditionalFormatting>
  <conditionalFormatting sqref="AT7:AU7">
    <cfRule type="containsText" dxfId="16783" priority="17969" operator="containsText" text="S">
      <formula>NOT(ISERROR(SEARCH("S",AT7)))</formula>
    </cfRule>
    <cfRule type="containsText" dxfId="16782" priority="17970" operator="containsText" text="P">
      <formula>NOT(ISERROR(SEARCH("P",AT7)))</formula>
    </cfRule>
    <cfRule type="containsText" dxfId="16781" priority="17971" operator="containsText" text="H">
      <formula>NOT(ISERROR(SEARCH("H",AT7)))</formula>
    </cfRule>
    <cfRule type="containsText" dxfId="16780" priority="17973" operator="containsText" text="&quot;H&quot;">
      <formula>NOT(ISERROR(SEARCH("""H""",AT7)))</formula>
    </cfRule>
    <cfRule type="containsText" dxfId="16779" priority="17974" operator="containsText" text="&quot;A&quot;">
      <formula>NOT(ISERROR(SEARCH("""A""",AT7)))</formula>
    </cfRule>
  </conditionalFormatting>
  <conditionalFormatting sqref="AT7:AU7">
    <cfRule type="containsText" dxfId="16778" priority="17972" operator="containsText" text="A-H">
      <formula>NOT(ISERROR(SEARCH("A-H",AT7)))</formula>
    </cfRule>
  </conditionalFormatting>
  <conditionalFormatting sqref="E7">
    <cfRule type="cellIs" dxfId="16777" priority="17963" operator="equal">
      <formula>"C-Off-H"</formula>
    </cfRule>
    <cfRule type="cellIs" dxfId="16776" priority="17964" operator="equal">
      <formula>"C-Off"</formula>
    </cfRule>
    <cfRule type="cellIs" dxfId="16775" priority="17965" operator="equal">
      <formula>"CL-H"</formula>
    </cfRule>
    <cfRule type="cellIs" dxfId="16774" priority="17966" operator="equal">
      <formula>"EL-H"</formula>
    </cfRule>
    <cfRule type="cellIs" dxfId="16773" priority="17967" operator="equal">
      <formula>"CL"</formula>
    </cfRule>
    <cfRule type="cellIs" dxfId="16772" priority="17968" operator="equal">
      <formula>"EL"</formula>
    </cfRule>
  </conditionalFormatting>
  <conditionalFormatting sqref="D7:E7">
    <cfRule type="cellIs" dxfId="16771" priority="17957" operator="equal">
      <formula>"C-Off-H"</formula>
    </cfRule>
    <cfRule type="cellIs" dxfId="16770" priority="17958" operator="equal">
      <formula>"C-Off"</formula>
    </cfRule>
    <cfRule type="cellIs" dxfId="16769" priority="17959" operator="equal">
      <formula>"CL-H"</formula>
    </cfRule>
    <cfRule type="cellIs" dxfId="16768" priority="17960" operator="equal">
      <formula>"EL-H"</formula>
    </cfRule>
    <cfRule type="cellIs" dxfId="16767" priority="17961" operator="equal">
      <formula>"CL"</formula>
    </cfRule>
    <cfRule type="cellIs" dxfId="16766" priority="17962" operator="equal">
      <formula>"EL"</formula>
    </cfRule>
  </conditionalFormatting>
  <conditionalFormatting sqref="D7:E7">
    <cfRule type="containsText" dxfId="16765" priority="17951" operator="containsText" text="S">
      <formula>NOT(ISERROR(SEARCH("S",D7)))</formula>
    </cfRule>
    <cfRule type="containsText" dxfId="16764" priority="17952" operator="containsText" text="P">
      <formula>NOT(ISERROR(SEARCH("P",D7)))</formula>
    </cfRule>
    <cfRule type="containsText" dxfId="16763" priority="17953" operator="containsText" text="H">
      <formula>NOT(ISERROR(SEARCH("H",D7)))</formula>
    </cfRule>
    <cfRule type="containsText" dxfId="16762" priority="17955" operator="containsText" text="&quot;H&quot;">
      <formula>NOT(ISERROR(SEARCH("""H""",D7)))</formula>
    </cfRule>
    <cfRule type="containsText" dxfId="16761" priority="17956" operator="containsText" text="&quot;A&quot;">
      <formula>NOT(ISERROR(SEARCH("""A""",D7)))</formula>
    </cfRule>
  </conditionalFormatting>
  <conditionalFormatting sqref="D7:E7">
    <cfRule type="containsText" dxfId="16760" priority="17954" operator="containsText" text="A-H">
      <formula>NOT(ISERROR(SEARCH("A-H",D7)))</formula>
    </cfRule>
  </conditionalFormatting>
  <conditionalFormatting sqref="Z7">
    <cfRule type="cellIs" dxfId="16759" priority="17945" operator="equal">
      <formula>"C-Off-H"</formula>
    </cfRule>
    <cfRule type="cellIs" dxfId="16758" priority="17946" operator="equal">
      <formula>"C-Off"</formula>
    </cfRule>
    <cfRule type="cellIs" dxfId="16757" priority="17947" operator="equal">
      <formula>"CL-H"</formula>
    </cfRule>
    <cfRule type="cellIs" dxfId="16756" priority="17948" operator="equal">
      <formula>"EL-H"</formula>
    </cfRule>
    <cfRule type="cellIs" dxfId="16755" priority="17949" operator="equal">
      <formula>"CL"</formula>
    </cfRule>
    <cfRule type="cellIs" dxfId="16754" priority="17950" operator="equal">
      <formula>"EL"</formula>
    </cfRule>
  </conditionalFormatting>
  <conditionalFormatting sqref="Z7">
    <cfRule type="containsText" dxfId="16753" priority="17939" operator="containsText" text="S">
      <formula>NOT(ISERROR(SEARCH("S",Z7)))</formula>
    </cfRule>
    <cfRule type="containsText" dxfId="16752" priority="17940" operator="containsText" text="P">
      <formula>NOT(ISERROR(SEARCH("P",Z7)))</formula>
    </cfRule>
    <cfRule type="containsText" dxfId="16751" priority="17941" operator="containsText" text="H">
      <formula>NOT(ISERROR(SEARCH("H",Z7)))</formula>
    </cfRule>
    <cfRule type="containsText" dxfId="16750" priority="17943" operator="containsText" text="&quot;H&quot;">
      <formula>NOT(ISERROR(SEARCH("""H""",Z7)))</formula>
    </cfRule>
    <cfRule type="containsText" dxfId="16749" priority="17944" operator="containsText" text="&quot;A&quot;">
      <formula>NOT(ISERROR(SEARCH("""A""",Z7)))</formula>
    </cfRule>
  </conditionalFormatting>
  <conditionalFormatting sqref="Z7">
    <cfRule type="containsText" dxfId="16748" priority="17942" operator="containsText" text="A-H">
      <formula>NOT(ISERROR(SEARCH("A-H",Z7)))</formula>
    </cfRule>
  </conditionalFormatting>
  <conditionalFormatting sqref="Y7">
    <cfRule type="cellIs" dxfId="16747" priority="17933" operator="equal">
      <formula>"C-Off-H"</formula>
    </cfRule>
    <cfRule type="cellIs" dxfId="16746" priority="17934" operator="equal">
      <formula>"C-Off"</formula>
    </cfRule>
    <cfRule type="cellIs" dxfId="16745" priority="17935" operator="equal">
      <formula>"CL-H"</formula>
    </cfRule>
    <cfRule type="cellIs" dxfId="16744" priority="17936" operator="equal">
      <formula>"EL-H"</formula>
    </cfRule>
    <cfRule type="cellIs" dxfId="16743" priority="17937" operator="equal">
      <formula>"CL"</formula>
    </cfRule>
    <cfRule type="cellIs" dxfId="16742" priority="17938" operator="equal">
      <formula>"EL"</formula>
    </cfRule>
  </conditionalFormatting>
  <conditionalFormatting sqref="Y7">
    <cfRule type="containsText" dxfId="16741" priority="17927" operator="containsText" text="S">
      <formula>NOT(ISERROR(SEARCH("S",Y7)))</formula>
    </cfRule>
    <cfRule type="containsText" dxfId="16740" priority="17928" operator="containsText" text="P">
      <formula>NOT(ISERROR(SEARCH("P",Y7)))</formula>
    </cfRule>
    <cfRule type="containsText" dxfId="16739" priority="17929" operator="containsText" text="H">
      <formula>NOT(ISERROR(SEARCH("H",Y7)))</formula>
    </cfRule>
    <cfRule type="containsText" dxfId="16738" priority="17931" operator="containsText" text="&quot;H&quot;">
      <formula>NOT(ISERROR(SEARCH("""H""",Y7)))</formula>
    </cfRule>
    <cfRule type="containsText" dxfId="16737" priority="17932" operator="containsText" text="&quot;A&quot;">
      <formula>NOT(ISERROR(SEARCH("""A""",Y7)))</formula>
    </cfRule>
  </conditionalFormatting>
  <conditionalFormatting sqref="Y7">
    <cfRule type="containsText" dxfId="16736" priority="17930" operator="containsText" text="A-H">
      <formula>NOT(ISERROR(SEARCH("A-H",Y7)))</formula>
    </cfRule>
  </conditionalFormatting>
  <conditionalFormatting sqref="AF7">
    <cfRule type="cellIs" dxfId="16735" priority="17921" operator="equal">
      <formula>"C-Off-H"</formula>
    </cfRule>
    <cfRule type="cellIs" dxfId="16734" priority="17922" operator="equal">
      <formula>"C-Off"</formula>
    </cfRule>
    <cfRule type="cellIs" dxfId="16733" priority="17923" operator="equal">
      <formula>"CL-H"</formula>
    </cfRule>
    <cfRule type="cellIs" dxfId="16732" priority="17924" operator="equal">
      <formula>"EL-H"</formula>
    </cfRule>
    <cfRule type="cellIs" dxfId="16731" priority="17925" operator="equal">
      <formula>"CL"</formula>
    </cfRule>
    <cfRule type="cellIs" dxfId="16730" priority="17926" operator="equal">
      <formula>"EL"</formula>
    </cfRule>
  </conditionalFormatting>
  <conditionalFormatting sqref="AF7">
    <cfRule type="containsText" dxfId="16729" priority="17915" operator="containsText" text="S">
      <formula>NOT(ISERROR(SEARCH("S",AF7)))</formula>
    </cfRule>
    <cfRule type="containsText" dxfId="16728" priority="17916" operator="containsText" text="P">
      <formula>NOT(ISERROR(SEARCH("P",AF7)))</formula>
    </cfRule>
    <cfRule type="containsText" dxfId="16727" priority="17917" operator="containsText" text="H">
      <formula>NOT(ISERROR(SEARCH("H",AF7)))</formula>
    </cfRule>
    <cfRule type="containsText" dxfId="16726" priority="17919" operator="containsText" text="&quot;H&quot;">
      <formula>NOT(ISERROR(SEARCH("""H""",AF7)))</formula>
    </cfRule>
    <cfRule type="containsText" dxfId="16725" priority="17920" operator="containsText" text="&quot;A&quot;">
      <formula>NOT(ISERROR(SEARCH("""A""",AF7)))</formula>
    </cfRule>
  </conditionalFormatting>
  <conditionalFormatting sqref="AF7">
    <cfRule type="containsText" dxfId="16724" priority="17918" operator="containsText" text="A-H">
      <formula>NOT(ISERROR(SEARCH("A-H",AF7)))</formula>
    </cfRule>
  </conditionalFormatting>
  <conditionalFormatting sqref="BO7:BP7">
    <cfRule type="cellIs" dxfId="16723" priority="17909" operator="equal">
      <formula>"C-Off-H"</formula>
    </cfRule>
    <cfRule type="cellIs" dxfId="16722" priority="17910" operator="equal">
      <formula>"C-Off"</formula>
    </cfRule>
    <cfRule type="cellIs" dxfId="16721" priority="17911" operator="equal">
      <formula>"CL-H"</formula>
    </cfRule>
    <cfRule type="cellIs" dxfId="16720" priority="17912" operator="equal">
      <formula>"EL-H"</formula>
    </cfRule>
    <cfRule type="cellIs" dxfId="16719" priority="17913" operator="equal">
      <formula>"CL"</formula>
    </cfRule>
    <cfRule type="cellIs" dxfId="16718" priority="17914" operator="equal">
      <formula>"EL"</formula>
    </cfRule>
  </conditionalFormatting>
  <conditionalFormatting sqref="BO7:BP7">
    <cfRule type="cellIs" dxfId="16717" priority="17903" operator="equal">
      <formula>"C-Off-H"</formula>
    </cfRule>
    <cfRule type="cellIs" dxfId="16716" priority="17904" operator="equal">
      <formula>"C-Off"</formula>
    </cfRule>
    <cfRule type="cellIs" dxfId="16715" priority="17905" operator="equal">
      <formula>"CL-H"</formula>
    </cfRule>
    <cfRule type="cellIs" dxfId="16714" priority="17906" operator="equal">
      <formula>"EL-H"</formula>
    </cfRule>
    <cfRule type="cellIs" dxfId="16713" priority="17907" operator="equal">
      <formula>"CL"</formula>
    </cfRule>
    <cfRule type="cellIs" dxfId="16712" priority="17908" operator="equal">
      <formula>"EL"</formula>
    </cfRule>
  </conditionalFormatting>
  <conditionalFormatting sqref="BO7:BP7">
    <cfRule type="containsText" dxfId="16711" priority="17897" operator="containsText" text="S">
      <formula>NOT(ISERROR(SEARCH("S",BO7)))</formula>
    </cfRule>
    <cfRule type="containsText" dxfId="16710" priority="17898" operator="containsText" text="P">
      <formula>NOT(ISERROR(SEARCH("P",BO7)))</formula>
    </cfRule>
    <cfRule type="containsText" dxfId="16709" priority="17899" operator="containsText" text="H">
      <formula>NOT(ISERROR(SEARCH("H",BO7)))</formula>
    </cfRule>
    <cfRule type="containsText" dxfId="16708" priority="17901" operator="containsText" text="&quot;H&quot;">
      <formula>NOT(ISERROR(SEARCH("""H""",BO7)))</formula>
    </cfRule>
    <cfRule type="containsText" dxfId="16707" priority="17902" operator="containsText" text="&quot;A&quot;">
      <formula>NOT(ISERROR(SEARCH("""A""",BO7)))</formula>
    </cfRule>
  </conditionalFormatting>
  <conditionalFormatting sqref="BO7:BP7">
    <cfRule type="containsText" dxfId="16706" priority="17900" operator="containsText" text="A-H">
      <formula>NOT(ISERROR(SEARCH("A-H",BO7)))</formula>
    </cfRule>
  </conditionalFormatting>
  <conditionalFormatting sqref="CM7">
    <cfRule type="cellIs" dxfId="16705" priority="17891" operator="equal">
      <formula>"C-Off-H"</formula>
    </cfRule>
    <cfRule type="cellIs" dxfId="16704" priority="17892" operator="equal">
      <formula>"C-Off"</formula>
    </cfRule>
    <cfRule type="cellIs" dxfId="16703" priority="17893" operator="equal">
      <formula>"CL-H"</formula>
    </cfRule>
    <cfRule type="cellIs" dxfId="16702" priority="17894" operator="equal">
      <formula>"EL-H"</formula>
    </cfRule>
    <cfRule type="cellIs" dxfId="16701" priority="17895" operator="equal">
      <formula>"CL"</formula>
    </cfRule>
    <cfRule type="cellIs" dxfId="16700" priority="17896" operator="equal">
      <formula>"EL"</formula>
    </cfRule>
  </conditionalFormatting>
  <conditionalFormatting sqref="CM7">
    <cfRule type="cellIs" dxfId="16699" priority="17885" operator="equal">
      <formula>"C-Off-H"</formula>
    </cfRule>
    <cfRule type="cellIs" dxfId="16698" priority="17886" operator="equal">
      <formula>"C-Off"</formula>
    </cfRule>
    <cfRule type="cellIs" dxfId="16697" priority="17887" operator="equal">
      <formula>"CL-H"</formula>
    </cfRule>
    <cfRule type="cellIs" dxfId="16696" priority="17888" operator="equal">
      <formula>"EL-H"</formula>
    </cfRule>
    <cfRule type="cellIs" dxfId="16695" priority="17889" operator="equal">
      <formula>"CL"</formula>
    </cfRule>
    <cfRule type="cellIs" dxfId="16694" priority="17890" operator="equal">
      <formula>"EL"</formula>
    </cfRule>
  </conditionalFormatting>
  <conditionalFormatting sqref="CM7">
    <cfRule type="containsText" dxfId="16693" priority="17879" operator="containsText" text="S">
      <formula>NOT(ISERROR(SEARCH("S",CM7)))</formula>
    </cfRule>
    <cfRule type="containsText" dxfId="16692" priority="17880" operator="containsText" text="P">
      <formula>NOT(ISERROR(SEARCH("P",CM7)))</formula>
    </cfRule>
    <cfRule type="containsText" dxfId="16691" priority="17881" operator="containsText" text="H">
      <formula>NOT(ISERROR(SEARCH("H",CM7)))</formula>
    </cfRule>
    <cfRule type="containsText" dxfId="16690" priority="17883" operator="containsText" text="&quot;H&quot;">
      <formula>NOT(ISERROR(SEARCH("""H""",CM7)))</formula>
    </cfRule>
    <cfRule type="containsText" dxfId="16689" priority="17884" operator="containsText" text="&quot;A&quot;">
      <formula>NOT(ISERROR(SEARCH("""A""",CM7)))</formula>
    </cfRule>
  </conditionalFormatting>
  <conditionalFormatting sqref="CM7">
    <cfRule type="containsText" dxfId="16688" priority="17882" operator="containsText" text="A-H">
      <formula>NOT(ISERROR(SEARCH("A-H",CM7)))</formula>
    </cfRule>
  </conditionalFormatting>
  <conditionalFormatting sqref="V7:W7">
    <cfRule type="cellIs" dxfId="16687" priority="17849" operator="equal">
      <formula>"C-Off-H"</formula>
    </cfRule>
    <cfRule type="cellIs" dxfId="16686" priority="17850" operator="equal">
      <formula>"C-Off"</formula>
    </cfRule>
    <cfRule type="cellIs" dxfId="16685" priority="17851" operator="equal">
      <formula>"CL-H"</formula>
    </cfRule>
    <cfRule type="cellIs" dxfId="16684" priority="17852" operator="equal">
      <formula>"EL-H"</formula>
    </cfRule>
    <cfRule type="cellIs" dxfId="16683" priority="17853" operator="equal">
      <formula>"CL"</formula>
    </cfRule>
    <cfRule type="cellIs" dxfId="16682" priority="17854" operator="equal">
      <formula>"EL"</formula>
    </cfRule>
  </conditionalFormatting>
  <conditionalFormatting sqref="V7:W7">
    <cfRule type="containsText" dxfId="16681" priority="17843" operator="containsText" text="S">
      <formula>NOT(ISERROR(SEARCH("S",V7)))</formula>
    </cfRule>
    <cfRule type="containsText" dxfId="16680" priority="17844" operator="containsText" text="P">
      <formula>NOT(ISERROR(SEARCH("P",V7)))</formula>
    </cfRule>
    <cfRule type="containsText" dxfId="16679" priority="17845" operator="containsText" text="H">
      <formula>NOT(ISERROR(SEARCH("H",V7)))</formula>
    </cfRule>
    <cfRule type="containsText" dxfId="16678" priority="17847" operator="containsText" text="&quot;H&quot;">
      <formula>NOT(ISERROR(SEARCH("""H""",V7)))</formula>
    </cfRule>
    <cfRule type="containsText" dxfId="16677" priority="17848" operator="containsText" text="&quot;A&quot;">
      <formula>NOT(ISERROR(SEARCH("""A""",V7)))</formula>
    </cfRule>
  </conditionalFormatting>
  <conditionalFormatting sqref="V7:W7">
    <cfRule type="containsText" dxfId="16676" priority="17846" operator="containsText" text="A-H">
      <formula>NOT(ISERROR(SEARCH("A-H",V7)))</formula>
    </cfRule>
  </conditionalFormatting>
  <conditionalFormatting sqref="P7:Q7">
    <cfRule type="cellIs" dxfId="16675" priority="17873" operator="equal">
      <formula>"C-Off-H"</formula>
    </cfRule>
    <cfRule type="cellIs" dxfId="16674" priority="17874" operator="equal">
      <formula>"C-Off"</formula>
    </cfRule>
    <cfRule type="cellIs" dxfId="16673" priority="17875" operator="equal">
      <formula>"CL-H"</formula>
    </cfRule>
    <cfRule type="cellIs" dxfId="16672" priority="17876" operator="equal">
      <formula>"EL-H"</formula>
    </cfRule>
    <cfRule type="cellIs" dxfId="16671" priority="17877" operator="equal">
      <formula>"CL"</formula>
    </cfRule>
    <cfRule type="cellIs" dxfId="16670" priority="17878" operator="equal">
      <formula>"EL"</formula>
    </cfRule>
  </conditionalFormatting>
  <conditionalFormatting sqref="P7:Q7">
    <cfRule type="containsText" dxfId="16669" priority="17867" operator="containsText" text="S">
      <formula>NOT(ISERROR(SEARCH("S",P7)))</formula>
    </cfRule>
    <cfRule type="containsText" dxfId="16668" priority="17868" operator="containsText" text="P">
      <formula>NOT(ISERROR(SEARCH("P",P7)))</formula>
    </cfRule>
    <cfRule type="containsText" dxfId="16667" priority="17869" operator="containsText" text="H">
      <formula>NOT(ISERROR(SEARCH("H",P7)))</formula>
    </cfRule>
    <cfRule type="containsText" dxfId="16666" priority="17871" operator="containsText" text="&quot;H&quot;">
      <formula>NOT(ISERROR(SEARCH("""H""",P7)))</formula>
    </cfRule>
    <cfRule type="containsText" dxfId="16665" priority="17872" operator="containsText" text="&quot;A&quot;">
      <formula>NOT(ISERROR(SEARCH("""A""",P7)))</formula>
    </cfRule>
  </conditionalFormatting>
  <conditionalFormatting sqref="P7:Q7">
    <cfRule type="containsText" dxfId="16664" priority="17870" operator="containsText" text="A-H">
      <formula>NOT(ISERROR(SEARCH("A-H",P7)))</formula>
    </cfRule>
  </conditionalFormatting>
  <conditionalFormatting sqref="S7:T7">
    <cfRule type="cellIs" dxfId="16663" priority="17861" operator="equal">
      <formula>"C-Off-H"</formula>
    </cfRule>
    <cfRule type="cellIs" dxfId="16662" priority="17862" operator="equal">
      <formula>"C-Off"</formula>
    </cfRule>
    <cfRule type="cellIs" dxfId="16661" priority="17863" operator="equal">
      <formula>"CL-H"</formula>
    </cfRule>
    <cfRule type="cellIs" dxfId="16660" priority="17864" operator="equal">
      <formula>"EL-H"</formula>
    </cfRule>
    <cfRule type="cellIs" dxfId="16659" priority="17865" operator="equal">
      <formula>"CL"</formula>
    </cfRule>
    <cfRule type="cellIs" dxfId="16658" priority="17866" operator="equal">
      <formula>"EL"</formula>
    </cfRule>
  </conditionalFormatting>
  <conditionalFormatting sqref="S7:T7">
    <cfRule type="containsText" dxfId="16657" priority="17855" operator="containsText" text="S">
      <formula>NOT(ISERROR(SEARCH("S",S7)))</formula>
    </cfRule>
    <cfRule type="containsText" dxfId="16656" priority="17856" operator="containsText" text="P">
      <formula>NOT(ISERROR(SEARCH("P",S7)))</formula>
    </cfRule>
    <cfRule type="containsText" dxfId="16655" priority="17857" operator="containsText" text="H">
      <formula>NOT(ISERROR(SEARCH("H",S7)))</formula>
    </cfRule>
    <cfRule type="containsText" dxfId="16654" priority="17859" operator="containsText" text="&quot;H&quot;">
      <formula>NOT(ISERROR(SEARCH("""H""",S7)))</formula>
    </cfRule>
    <cfRule type="containsText" dxfId="16653" priority="17860" operator="containsText" text="&quot;A&quot;">
      <formula>NOT(ISERROR(SEARCH("""A""",S7)))</formula>
    </cfRule>
  </conditionalFormatting>
  <conditionalFormatting sqref="S7:T7">
    <cfRule type="containsText" dxfId="16652" priority="17858" operator="containsText" text="A-H">
      <formula>NOT(ISERROR(SEARCH("A-H",S7)))</formula>
    </cfRule>
  </conditionalFormatting>
  <conditionalFormatting sqref="AB7:AC7">
    <cfRule type="cellIs" dxfId="16651" priority="17837" operator="equal">
      <formula>"C-Off-H"</formula>
    </cfRule>
    <cfRule type="cellIs" dxfId="16650" priority="17838" operator="equal">
      <formula>"C-Off"</formula>
    </cfRule>
    <cfRule type="cellIs" dxfId="16649" priority="17839" operator="equal">
      <formula>"CL-H"</formula>
    </cfRule>
    <cfRule type="cellIs" dxfId="16648" priority="17840" operator="equal">
      <formula>"EL-H"</formula>
    </cfRule>
    <cfRule type="cellIs" dxfId="16647" priority="17841" operator="equal">
      <formula>"CL"</formula>
    </cfRule>
    <cfRule type="cellIs" dxfId="16646" priority="17842" operator="equal">
      <formula>"EL"</formula>
    </cfRule>
  </conditionalFormatting>
  <conditionalFormatting sqref="AB7:AC7">
    <cfRule type="containsText" dxfId="16645" priority="17831" operator="containsText" text="S">
      <formula>NOT(ISERROR(SEARCH("S",AB7)))</formula>
    </cfRule>
    <cfRule type="containsText" dxfId="16644" priority="17832" operator="containsText" text="P">
      <formula>NOT(ISERROR(SEARCH("P",AB7)))</formula>
    </cfRule>
    <cfRule type="containsText" dxfId="16643" priority="17833" operator="containsText" text="H">
      <formula>NOT(ISERROR(SEARCH("H",AB7)))</formula>
    </cfRule>
    <cfRule type="containsText" dxfId="16642" priority="17835" operator="containsText" text="&quot;H&quot;">
      <formula>NOT(ISERROR(SEARCH("""H""",AB7)))</formula>
    </cfRule>
    <cfRule type="containsText" dxfId="16641" priority="17836" operator="containsText" text="&quot;A&quot;">
      <formula>NOT(ISERROR(SEARCH("""A""",AB7)))</formula>
    </cfRule>
  </conditionalFormatting>
  <conditionalFormatting sqref="AB7:AC7">
    <cfRule type="containsText" dxfId="16640" priority="17834" operator="containsText" text="A-H">
      <formula>NOT(ISERROR(SEARCH("A-H",AB7)))</formula>
    </cfRule>
  </conditionalFormatting>
  <conditionalFormatting sqref="AE7">
    <cfRule type="cellIs" dxfId="16639" priority="17825" operator="equal">
      <formula>"C-Off-H"</formula>
    </cfRule>
    <cfRule type="cellIs" dxfId="16638" priority="17826" operator="equal">
      <formula>"C-Off"</formula>
    </cfRule>
    <cfRule type="cellIs" dxfId="16637" priority="17827" operator="equal">
      <formula>"CL-H"</formula>
    </cfRule>
    <cfRule type="cellIs" dxfId="16636" priority="17828" operator="equal">
      <formula>"EL-H"</formula>
    </cfRule>
    <cfRule type="cellIs" dxfId="16635" priority="17829" operator="equal">
      <formula>"CL"</formula>
    </cfRule>
    <cfRule type="cellIs" dxfId="16634" priority="17830" operator="equal">
      <formula>"EL"</formula>
    </cfRule>
  </conditionalFormatting>
  <conditionalFormatting sqref="AE7">
    <cfRule type="containsText" dxfId="16633" priority="17819" operator="containsText" text="S">
      <formula>NOT(ISERROR(SEARCH("S",AE7)))</formula>
    </cfRule>
    <cfRule type="containsText" dxfId="16632" priority="17820" operator="containsText" text="P">
      <formula>NOT(ISERROR(SEARCH("P",AE7)))</formula>
    </cfRule>
    <cfRule type="containsText" dxfId="16631" priority="17821" operator="containsText" text="H">
      <formula>NOT(ISERROR(SEARCH("H",AE7)))</formula>
    </cfRule>
    <cfRule type="containsText" dxfId="16630" priority="17823" operator="containsText" text="&quot;H&quot;">
      <formula>NOT(ISERROR(SEARCH("""H""",AE7)))</formula>
    </cfRule>
    <cfRule type="containsText" dxfId="16629" priority="17824" operator="containsText" text="&quot;A&quot;">
      <formula>NOT(ISERROR(SEARCH("""A""",AE7)))</formula>
    </cfRule>
  </conditionalFormatting>
  <conditionalFormatting sqref="AE7">
    <cfRule type="containsText" dxfId="16628" priority="17822" operator="containsText" text="A-H">
      <formula>NOT(ISERROR(SEARCH("A-H",AE7)))</formula>
    </cfRule>
  </conditionalFormatting>
  <conditionalFormatting sqref="AK7:AL7">
    <cfRule type="cellIs" dxfId="16627" priority="17813" operator="equal">
      <formula>"C-Off-H"</formula>
    </cfRule>
    <cfRule type="cellIs" dxfId="16626" priority="17814" operator="equal">
      <formula>"C-Off"</formula>
    </cfRule>
    <cfRule type="cellIs" dxfId="16625" priority="17815" operator="equal">
      <formula>"CL-H"</formula>
    </cfRule>
    <cfRule type="cellIs" dxfId="16624" priority="17816" operator="equal">
      <formula>"EL-H"</formula>
    </cfRule>
    <cfRule type="cellIs" dxfId="16623" priority="17817" operator="equal">
      <formula>"CL"</formula>
    </cfRule>
    <cfRule type="cellIs" dxfId="16622" priority="17818" operator="equal">
      <formula>"EL"</formula>
    </cfRule>
  </conditionalFormatting>
  <conditionalFormatting sqref="AK7:AL7">
    <cfRule type="containsText" dxfId="16621" priority="17807" operator="containsText" text="S">
      <formula>NOT(ISERROR(SEARCH("S",AK7)))</formula>
    </cfRule>
    <cfRule type="containsText" dxfId="16620" priority="17808" operator="containsText" text="P">
      <formula>NOT(ISERROR(SEARCH("P",AK7)))</formula>
    </cfRule>
    <cfRule type="containsText" dxfId="16619" priority="17809" operator="containsText" text="H">
      <formula>NOT(ISERROR(SEARCH("H",AK7)))</formula>
    </cfRule>
    <cfRule type="containsText" dxfId="16618" priority="17811" operator="containsText" text="&quot;H&quot;">
      <formula>NOT(ISERROR(SEARCH("""H""",AK7)))</formula>
    </cfRule>
    <cfRule type="containsText" dxfId="16617" priority="17812" operator="containsText" text="&quot;A&quot;">
      <formula>NOT(ISERROR(SEARCH("""A""",AK7)))</formula>
    </cfRule>
  </conditionalFormatting>
  <conditionalFormatting sqref="AK7:AL7">
    <cfRule type="containsText" dxfId="16616" priority="17810" operator="containsText" text="A-H">
      <formula>NOT(ISERROR(SEARCH("A-H",AK7)))</formula>
    </cfRule>
  </conditionalFormatting>
  <conditionalFormatting sqref="AN7:AO7">
    <cfRule type="cellIs" dxfId="16615" priority="17801" operator="equal">
      <formula>"C-Off-H"</formula>
    </cfRule>
    <cfRule type="cellIs" dxfId="16614" priority="17802" operator="equal">
      <formula>"C-Off"</formula>
    </cfRule>
    <cfRule type="cellIs" dxfId="16613" priority="17803" operator="equal">
      <formula>"CL-H"</formula>
    </cfRule>
    <cfRule type="cellIs" dxfId="16612" priority="17804" operator="equal">
      <formula>"EL-H"</formula>
    </cfRule>
    <cfRule type="cellIs" dxfId="16611" priority="17805" operator="equal">
      <formula>"CL"</formula>
    </cfRule>
    <cfRule type="cellIs" dxfId="16610" priority="17806" operator="equal">
      <formula>"EL"</formula>
    </cfRule>
  </conditionalFormatting>
  <conditionalFormatting sqref="AN7:AO7">
    <cfRule type="containsText" dxfId="16609" priority="17795" operator="containsText" text="S">
      <formula>NOT(ISERROR(SEARCH("S",AN7)))</formula>
    </cfRule>
    <cfRule type="containsText" dxfId="16608" priority="17796" operator="containsText" text="P">
      <formula>NOT(ISERROR(SEARCH("P",AN7)))</formula>
    </cfRule>
    <cfRule type="containsText" dxfId="16607" priority="17797" operator="containsText" text="H">
      <formula>NOT(ISERROR(SEARCH("H",AN7)))</formula>
    </cfRule>
    <cfRule type="containsText" dxfId="16606" priority="17799" operator="containsText" text="&quot;H&quot;">
      <formula>NOT(ISERROR(SEARCH("""H""",AN7)))</formula>
    </cfRule>
    <cfRule type="containsText" dxfId="16605" priority="17800" operator="containsText" text="&quot;A&quot;">
      <formula>NOT(ISERROR(SEARCH("""A""",AN7)))</formula>
    </cfRule>
  </conditionalFormatting>
  <conditionalFormatting sqref="AN7:AO7">
    <cfRule type="containsText" dxfId="16604" priority="17798" operator="containsText" text="A-H">
      <formula>NOT(ISERROR(SEARCH("A-H",AN7)))</formula>
    </cfRule>
  </conditionalFormatting>
  <conditionalFormatting sqref="AQ7:AR7">
    <cfRule type="cellIs" dxfId="16603" priority="17789" operator="equal">
      <formula>"C-Off-H"</formula>
    </cfRule>
    <cfRule type="cellIs" dxfId="16602" priority="17790" operator="equal">
      <formula>"C-Off"</formula>
    </cfRule>
    <cfRule type="cellIs" dxfId="16601" priority="17791" operator="equal">
      <formula>"CL-H"</formula>
    </cfRule>
    <cfRule type="cellIs" dxfId="16600" priority="17792" operator="equal">
      <formula>"EL-H"</formula>
    </cfRule>
    <cfRule type="cellIs" dxfId="16599" priority="17793" operator="equal">
      <formula>"CL"</formula>
    </cfRule>
    <cfRule type="cellIs" dxfId="16598" priority="17794" operator="equal">
      <formula>"EL"</formula>
    </cfRule>
  </conditionalFormatting>
  <conditionalFormatting sqref="AQ7:AR7">
    <cfRule type="containsText" dxfId="16597" priority="17783" operator="containsText" text="S">
      <formula>NOT(ISERROR(SEARCH("S",AQ7)))</formula>
    </cfRule>
    <cfRule type="containsText" dxfId="16596" priority="17784" operator="containsText" text="P">
      <formula>NOT(ISERROR(SEARCH("P",AQ7)))</formula>
    </cfRule>
    <cfRule type="containsText" dxfId="16595" priority="17785" operator="containsText" text="H">
      <formula>NOT(ISERROR(SEARCH("H",AQ7)))</formula>
    </cfRule>
    <cfRule type="containsText" dxfId="16594" priority="17787" operator="containsText" text="&quot;H&quot;">
      <formula>NOT(ISERROR(SEARCH("""H""",AQ7)))</formula>
    </cfRule>
    <cfRule type="containsText" dxfId="16593" priority="17788" operator="containsText" text="&quot;A&quot;">
      <formula>NOT(ISERROR(SEARCH("""A""",AQ7)))</formula>
    </cfRule>
  </conditionalFormatting>
  <conditionalFormatting sqref="AQ7:AR7">
    <cfRule type="containsText" dxfId="16592" priority="17786" operator="containsText" text="A-H">
      <formula>NOT(ISERROR(SEARCH("A-H",AQ7)))</formula>
    </cfRule>
  </conditionalFormatting>
  <conditionalFormatting sqref="AW7:AX7">
    <cfRule type="cellIs" dxfId="16591" priority="17777" operator="equal">
      <formula>"C-Off-H"</formula>
    </cfRule>
    <cfRule type="cellIs" dxfId="16590" priority="17778" operator="equal">
      <formula>"C-Off"</formula>
    </cfRule>
    <cfRule type="cellIs" dxfId="16589" priority="17779" operator="equal">
      <formula>"CL-H"</formula>
    </cfRule>
    <cfRule type="cellIs" dxfId="16588" priority="17780" operator="equal">
      <formula>"EL-H"</formula>
    </cfRule>
    <cfRule type="cellIs" dxfId="16587" priority="17781" operator="equal">
      <formula>"CL"</formula>
    </cfRule>
    <cfRule type="cellIs" dxfId="16586" priority="17782" operator="equal">
      <formula>"EL"</formula>
    </cfRule>
  </conditionalFormatting>
  <conditionalFormatting sqref="AW7:AX7">
    <cfRule type="containsText" dxfId="16585" priority="17771" operator="containsText" text="S">
      <formula>NOT(ISERROR(SEARCH("S",AW7)))</formula>
    </cfRule>
    <cfRule type="containsText" dxfId="16584" priority="17772" operator="containsText" text="P">
      <formula>NOT(ISERROR(SEARCH("P",AW7)))</formula>
    </cfRule>
    <cfRule type="containsText" dxfId="16583" priority="17773" operator="containsText" text="H">
      <formula>NOT(ISERROR(SEARCH("H",AW7)))</formula>
    </cfRule>
    <cfRule type="containsText" dxfId="16582" priority="17775" operator="containsText" text="&quot;H&quot;">
      <formula>NOT(ISERROR(SEARCH("""H""",AW7)))</formula>
    </cfRule>
    <cfRule type="containsText" dxfId="16581" priority="17776" operator="containsText" text="&quot;A&quot;">
      <formula>NOT(ISERROR(SEARCH("""A""",AW7)))</formula>
    </cfRule>
  </conditionalFormatting>
  <conditionalFormatting sqref="AW7:AX7">
    <cfRule type="containsText" dxfId="16580" priority="17774" operator="containsText" text="A-H">
      <formula>NOT(ISERROR(SEARCH("A-H",AW7)))</formula>
    </cfRule>
  </conditionalFormatting>
  <conditionalFormatting sqref="AZ7:BA7">
    <cfRule type="cellIs" dxfId="16579" priority="17765" operator="equal">
      <formula>"C-Off-H"</formula>
    </cfRule>
    <cfRule type="cellIs" dxfId="16578" priority="17766" operator="equal">
      <formula>"C-Off"</formula>
    </cfRule>
    <cfRule type="cellIs" dxfId="16577" priority="17767" operator="equal">
      <formula>"CL-H"</formula>
    </cfRule>
    <cfRule type="cellIs" dxfId="16576" priority="17768" operator="equal">
      <formula>"EL-H"</formula>
    </cfRule>
    <cfRule type="cellIs" dxfId="16575" priority="17769" operator="equal">
      <formula>"CL"</formula>
    </cfRule>
    <cfRule type="cellIs" dxfId="16574" priority="17770" operator="equal">
      <formula>"EL"</formula>
    </cfRule>
  </conditionalFormatting>
  <conditionalFormatting sqref="AZ7:BA7">
    <cfRule type="containsText" dxfId="16573" priority="17759" operator="containsText" text="S">
      <formula>NOT(ISERROR(SEARCH("S",AZ7)))</formula>
    </cfRule>
    <cfRule type="containsText" dxfId="16572" priority="17760" operator="containsText" text="P">
      <formula>NOT(ISERROR(SEARCH("P",AZ7)))</formula>
    </cfRule>
    <cfRule type="containsText" dxfId="16571" priority="17761" operator="containsText" text="H">
      <formula>NOT(ISERROR(SEARCH("H",AZ7)))</formula>
    </cfRule>
    <cfRule type="containsText" dxfId="16570" priority="17763" operator="containsText" text="&quot;H&quot;">
      <formula>NOT(ISERROR(SEARCH("""H""",AZ7)))</formula>
    </cfRule>
    <cfRule type="containsText" dxfId="16569" priority="17764" operator="containsText" text="&quot;A&quot;">
      <formula>NOT(ISERROR(SEARCH("""A""",AZ7)))</formula>
    </cfRule>
  </conditionalFormatting>
  <conditionalFormatting sqref="AZ7:BA7">
    <cfRule type="containsText" dxfId="16568" priority="17762" operator="containsText" text="A-H">
      <formula>NOT(ISERROR(SEARCH("A-H",AZ7)))</formula>
    </cfRule>
  </conditionalFormatting>
  <conditionalFormatting sqref="BC7:BD7">
    <cfRule type="cellIs" dxfId="16567" priority="17753" operator="equal">
      <formula>"C-Off-H"</formula>
    </cfRule>
    <cfRule type="cellIs" dxfId="16566" priority="17754" operator="equal">
      <formula>"C-Off"</formula>
    </cfRule>
    <cfRule type="cellIs" dxfId="16565" priority="17755" operator="equal">
      <formula>"CL-H"</formula>
    </cfRule>
    <cfRule type="cellIs" dxfId="16564" priority="17756" operator="equal">
      <formula>"EL-H"</formula>
    </cfRule>
    <cfRule type="cellIs" dxfId="16563" priority="17757" operator="equal">
      <formula>"CL"</formula>
    </cfRule>
    <cfRule type="cellIs" dxfId="16562" priority="17758" operator="equal">
      <formula>"EL"</formula>
    </cfRule>
  </conditionalFormatting>
  <conditionalFormatting sqref="BC7:BD7">
    <cfRule type="containsText" dxfId="16561" priority="17747" operator="containsText" text="S">
      <formula>NOT(ISERROR(SEARCH("S",BC7)))</formula>
    </cfRule>
    <cfRule type="containsText" dxfId="16560" priority="17748" operator="containsText" text="P">
      <formula>NOT(ISERROR(SEARCH("P",BC7)))</formula>
    </cfRule>
    <cfRule type="containsText" dxfId="16559" priority="17749" operator="containsText" text="H">
      <formula>NOT(ISERROR(SEARCH("H",BC7)))</formula>
    </cfRule>
    <cfRule type="containsText" dxfId="16558" priority="17751" operator="containsText" text="&quot;H&quot;">
      <formula>NOT(ISERROR(SEARCH("""H""",BC7)))</formula>
    </cfRule>
    <cfRule type="containsText" dxfId="16557" priority="17752" operator="containsText" text="&quot;A&quot;">
      <formula>NOT(ISERROR(SEARCH("""A""",BC7)))</formula>
    </cfRule>
  </conditionalFormatting>
  <conditionalFormatting sqref="BC7:BD7">
    <cfRule type="containsText" dxfId="16556" priority="17750" operator="containsText" text="A-H">
      <formula>NOT(ISERROR(SEARCH("A-H",BC7)))</formula>
    </cfRule>
  </conditionalFormatting>
  <conditionalFormatting sqref="BF7:BG7">
    <cfRule type="cellIs" dxfId="16555" priority="17741" operator="equal">
      <formula>"C-Off-H"</formula>
    </cfRule>
    <cfRule type="cellIs" dxfId="16554" priority="17742" operator="equal">
      <formula>"C-Off"</formula>
    </cfRule>
    <cfRule type="cellIs" dxfId="16553" priority="17743" operator="equal">
      <formula>"CL-H"</formula>
    </cfRule>
    <cfRule type="cellIs" dxfId="16552" priority="17744" operator="equal">
      <formula>"EL-H"</formula>
    </cfRule>
    <cfRule type="cellIs" dxfId="16551" priority="17745" operator="equal">
      <formula>"CL"</formula>
    </cfRule>
    <cfRule type="cellIs" dxfId="16550" priority="17746" operator="equal">
      <formula>"EL"</formula>
    </cfRule>
  </conditionalFormatting>
  <conditionalFormatting sqref="BF7:BG7">
    <cfRule type="containsText" dxfId="16549" priority="17735" operator="containsText" text="S">
      <formula>NOT(ISERROR(SEARCH("S",BF7)))</formula>
    </cfRule>
    <cfRule type="containsText" dxfId="16548" priority="17736" operator="containsText" text="P">
      <formula>NOT(ISERROR(SEARCH("P",BF7)))</formula>
    </cfRule>
    <cfRule type="containsText" dxfId="16547" priority="17737" operator="containsText" text="H">
      <formula>NOT(ISERROR(SEARCH("H",BF7)))</formula>
    </cfRule>
    <cfRule type="containsText" dxfId="16546" priority="17739" operator="containsText" text="&quot;H&quot;">
      <formula>NOT(ISERROR(SEARCH("""H""",BF7)))</formula>
    </cfRule>
    <cfRule type="containsText" dxfId="16545" priority="17740" operator="containsText" text="&quot;A&quot;">
      <formula>NOT(ISERROR(SEARCH("""A""",BF7)))</formula>
    </cfRule>
  </conditionalFormatting>
  <conditionalFormatting sqref="BF7:BG7">
    <cfRule type="containsText" dxfId="16544" priority="17738" operator="containsText" text="A-H">
      <formula>NOT(ISERROR(SEARCH("A-H",BF7)))</formula>
    </cfRule>
  </conditionalFormatting>
  <conditionalFormatting sqref="BI7:BJ7">
    <cfRule type="cellIs" dxfId="16543" priority="17729" operator="equal">
      <formula>"C-Off-H"</formula>
    </cfRule>
    <cfRule type="cellIs" dxfId="16542" priority="17730" operator="equal">
      <formula>"C-Off"</formula>
    </cfRule>
    <cfRule type="cellIs" dxfId="16541" priority="17731" operator="equal">
      <formula>"CL-H"</formula>
    </cfRule>
    <cfRule type="cellIs" dxfId="16540" priority="17732" operator="equal">
      <formula>"EL-H"</formula>
    </cfRule>
    <cfRule type="cellIs" dxfId="16539" priority="17733" operator="equal">
      <formula>"CL"</formula>
    </cfRule>
    <cfRule type="cellIs" dxfId="16538" priority="17734" operator="equal">
      <formula>"EL"</formula>
    </cfRule>
  </conditionalFormatting>
  <conditionalFormatting sqref="BI7:BJ7">
    <cfRule type="containsText" dxfId="16537" priority="17723" operator="containsText" text="S">
      <formula>NOT(ISERROR(SEARCH("S",BI7)))</formula>
    </cfRule>
    <cfRule type="containsText" dxfId="16536" priority="17724" operator="containsText" text="P">
      <formula>NOT(ISERROR(SEARCH("P",BI7)))</formula>
    </cfRule>
    <cfRule type="containsText" dxfId="16535" priority="17725" operator="containsText" text="H">
      <formula>NOT(ISERROR(SEARCH("H",BI7)))</formula>
    </cfRule>
    <cfRule type="containsText" dxfId="16534" priority="17727" operator="containsText" text="&quot;H&quot;">
      <formula>NOT(ISERROR(SEARCH("""H""",BI7)))</formula>
    </cfRule>
    <cfRule type="containsText" dxfId="16533" priority="17728" operator="containsText" text="&quot;A&quot;">
      <formula>NOT(ISERROR(SEARCH("""A""",BI7)))</formula>
    </cfRule>
  </conditionalFormatting>
  <conditionalFormatting sqref="BI7:BJ7">
    <cfRule type="containsText" dxfId="16532" priority="17726" operator="containsText" text="A-H">
      <formula>NOT(ISERROR(SEARCH("A-H",BI7)))</formula>
    </cfRule>
  </conditionalFormatting>
  <conditionalFormatting sqref="BL7:BM7">
    <cfRule type="cellIs" dxfId="16531" priority="17717" operator="equal">
      <formula>"C-Off-H"</formula>
    </cfRule>
    <cfRule type="cellIs" dxfId="16530" priority="17718" operator="equal">
      <formula>"C-Off"</formula>
    </cfRule>
    <cfRule type="cellIs" dxfId="16529" priority="17719" operator="equal">
      <formula>"CL-H"</formula>
    </cfRule>
    <cfRule type="cellIs" dxfId="16528" priority="17720" operator="equal">
      <formula>"EL-H"</formula>
    </cfRule>
    <cfRule type="cellIs" dxfId="16527" priority="17721" operator="equal">
      <formula>"CL"</formula>
    </cfRule>
    <cfRule type="cellIs" dxfId="16526" priority="17722" operator="equal">
      <formula>"EL"</formula>
    </cfRule>
  </conditionalFormatting>
  <conditionalFormatting sqref="BL7:BM7">
    <cfRule type="containsText" dxfId="16525" priority="17711" operator="containsText" text="S">
      <formula>NOT(ISERROR(SEARCH("S",BL7)))</formula>
    </cfRule>
    <cfRule type="containsText" dxfId="16524" priority="17712" operator="containsText" text="P">
      <formula>NOT(ISERROR(SEARCH("P",BL7)))</formula>
    </cfRule>
    <cfRule type="containsText" dxfId="16523" priority="17713" operator="containsText" text="H">
      <formula>NOT(ISERROR(SEARCH("H",BL7)))</formula>
    </cfRule>
    <cfRule type="containsText" dxfId="16522" priority="17715" operator="containsText" text="&quot;H&quot;">
      <formula>NOT(ISERROR(SEARCH("""H""",BL7)))</formula>
    </cfRule>
    <cfRule type="containsText" dxfId="16521" priority="17716" operator="containsText" text="&quot;A&quot;">
      <formula>NOT(ISERROR(SEARCH("""A""",BL7)))</formula>
    </cfRule>
  </conditionalFormatting>
  <conditionalFormatting sqref="BL7:BM7">
    <cfRule type="containsText" dxfId="16520" priority="17714" operator="containsText" text="A-H">
      <formula>NOT(ISERROR(SEARCH("A-H",BL7)))</formula>
    </cfRule>
  </conditionalFormatting>
  <conditionalFormatting sqref="BR7:BS7">
    <cfRule type="cellIs" dxfId="16519" priority="17705" operator="equal">
      <formula>"C-Off-H"</formula>
    </cfRule>
    <cfRule type="cellIs" dxfId="16518" priority="17706" operator="equal">
      <formula>"C-Off"</formula>
    </cfRule>
    <cfRule type="cellIs" dxfId="16517" priority="17707" operator="equal">
      <formula>"CL-H"</formula>
    </cfRule>
    <cfRule type="cellIs" dxfId="16516" priority="17708" operator="equal">
      <formula>"EL-H"</formula>
    </cfRule>
    <cfRule type="cellIs" dxfId="16515" priority="17709" operator="equal">
      <formula>"CL"</formula>
    </cfRule>
    <cfRule type="cellIs" dxfId="16514" priority="17710" operator="equal">
      <formula>"EL"</formula>
    </cfRule>
  </conditionalFormatting>
  <conditionalFormatting sqref="BR7:BS7">
    <cfRule type="containsText" dxfId="16513" priority="17699" operator="containsText" text="S">
      <formula>NOT(ISERROR(SEARCH("S",BR7)))</formula>
    </cfRule>
    <cfRule type="containsText" dxfId="16512" priority="17700" operator="containsText" text="P">
      <formula>NOT(ISERROR(SEARCH("P",BR7)))</formula>
    </cfRule>
    <cfRule type="containsText" dxfId="16511" priority="17701" operator="containsText" text="H">
      <formula>NOT(ISERROR(SEARCH("H",BR7)))</formula>
    </cfRule>
    <cfRule type="containsText" dxfId="16510" priority="17703" operator="containsText" text="&quot;H&quot;">
      <formula>NOT(ISERROR(SEARCH("""H""",BR7)))</formula>
    </cfRule>
    <cfRule type="containsText" dxfId="16509" priority="17704" operator="containsText" text="&quot;A&quot;">
      <formula>NOT(ISERROR(SEARCH("""A""",BR7)))</formula>
    </cfRule>
  </conditionalFormatting>
  <conditionalFormatting sqref="BR7:BS7">
    <cfRule type="containsText" dxfId="16508" priority="17702" operator="containsText" text="A-H">
      <formula>NOT(ISERROR(SEARCH("A-H",BR7)))</formula>
    </cfRule>
  </conditionalFormatting>
  <conditionalFormatting sqref="BU7:BV7">
    <cfRule type="cellIs" dxfId="16507" priority="17693" operator="equal">
      <formula>"C-Off-H"</formula>
    </cfRule>
    <cfRule type="cellIs" dxfId="16506" priority="17694" operator="equal">
      <formula>"C-Off"</formula>
    </cfRule>
    <cfRule type="cellIs" dxfId="16505" priority="17695" operator="equal">
      <formula>"CL-H"</formula>
    </cfRule>
    <cfRule type="cellIs" dxfId="16504" priority="17696" operator="equal">
      <formula>"EL-H"</formula>
    </cfRule>
    <cfRule type="cellIs" dxfId="16503" priority="17697" operator="equal">
      <formula>"CL"</formula>
    </cfRule>
    <cfRule type="cellIs" dxfId="16502" priority="17698" operator="equal">
      <formula>"EL"</formula>
    </cfRule>
  </conditionalFormatting>
  <conditionalFormatting sqref="BU7:BV7">
    <cfRule type="containsText" dxfId="16501" priority="17687" operator="containsText" text="S">
      <formula>NOT(ISERROR(SEARCH("S",BU7)))</formula>
    </cfRule>
    <cfRule type="containsText" dxfId="16500" priority="17688" operator="containsText" text="P">
      <formula>NOT(ISERROR(SEARCH("P",BU7)))</formula>
    </cfRule>
    <cfRule type="containsText" dxfId="16499" priority="17689" operator="containsText" text="H">
      <formula>NOT(ISERROR(SEARCH("H",BU7)))</formula>
    </cfRule>
    <cfRule type="containsText" dxfId="16498" priority="17691" operator="containsText" text="&quot;H&quot;">
      <formula>NOT(ISERROR(SEARCH("""H""",BU7)))</formula>
    </cfRule>
    <cfRule type="containsText" dxfId="16497" priority="17692" operator="containsText" text="&quot;A&quot;">
      <formula>NOT(ISERROR(SEARCH("""A""",BU7)))</formula>
    </cfRule>
  </conditionalFormatting>
  <conditionalFormatting sqref="BU7:BV7">
    <cfRule type="containsText" dxfId="16496" priority="17690" operator="containsText" text="A-H">
      <formula>NOT(ISERROR(SEARCH("A-H",BU7)))</formula>
    </cfRule>
  </conditionalFormatting>
  <conditionalFormatting sqref="BY7">
    <cfRule type="cellIs" dxfId="16495" priority="17681" operator="equal">
      <formula>"C-Off-H"</formula>
    </cfRule>
    <cfRule type="cellIs" dxfId="16494" priority="17682" operator="equal">
      <formula>"C-Off"</formula>
    </cfRule>
    <cfRule type="cellIs" dxfId="16493" priority="17683" operator="equal">
      <formula>"CL-H"</formula>
    </cfRule>
    <cfRule type="cellIs" dxfId="16492" priority="17684" operator="equal">
      <formula>"EL-H"</formula>
    </cfRule>
    <cfRule type="cellIs" dxfId="16491" priority="17685" operator="equal">
      <formula>"CL"</formula>
    </cfRule>
    <cfRule type="cellIs" dxfId="16490" priority="17686" operator="equal">
      <formula>"EL"</formula>
    </cfRule>
  </conditionalFormatting>
  <conditionalFormatting sqref="BY7">
    <cfRule type="containsText" dxfId="16489" priority="17675" operator="containsText" text="S">
      <formula>NOT(ISERROR(SEARCH("S",BY7)))</formula>
    </cfRule>
    <cfRule type="containsText" dxfId="16488" priority="17676" operator="containsText" text="P">
      <formula>NOT(ISERROR(SEARCH("P",BY7)))</formula>
    </cfRule>
    <cfRule type="containsText" dxfId="16487" priority="17677" operator="containsText" text="H">
      <formula>NOT(ISERROR(SEARCH("H",BY7)))</formula>
    </cfRule>
    <cfRule type="containsText" dxfId="16486" priority="17679" operator="containsText" text="&quot;H&quot;">
      <formula>NOT(ISERROR(SEARCH("""H""",BY7)))</formula>
    </cfRule>
    <cfRule type="containsText" dxfId="16485" priority="17680" operator="containsText" text="&quot;A&quot;">
      <formula>NOT(ISERROR(SEARCH("""A""",BY7)))</formula>
    </cfRule>
  </conditionalFormatting>
  <conditionalFormatting sqref="BY7">
    <cfRule type="containsText" dxfId="16484" priority="17678" operator="containsText" text="A-H">
      <formula>NOT(ISERROR(SEARCH("A-H",BY7)))</formula>
    </cfRule>
  </conditionalFormatting>
  <conditionalFormatting sqref="BX7">
    <cfRule type="cellIs" dxfId="16483" priority="17669" operator="equal">
      <formula>"C-Off-H"</formula>
    </cfRule>
    <cfRule type="cellIs" dxfId="16482" priority="17670" operator="equal">
      <formula>"C-Off"</formula>
    </cfRule>
    <cfRule type="cellIs" dxfId="16481" priority="17671" operator="equal">
      <formula>"CL-H"</formula>
    </cfRule>
    <cfRule type="cellIs" dxfId="16480" priority="17672" operator="equal">
      <formula>"EL-H"</formula>
    </cfRule>
    <cfRule type="cellIs" dxfId="16479" priority="17673" operator="equal">
      <formula>"CL"</formula>
    </cfRule>
    <cfRule type="cellIs" dxfId="16478" priority="17674" operator="equal">
      <formula>"EL"</formula>
    </cfRule>
  </conditionalFormatting>
  <conditionalFormatting sqref="BX7">
    <cfRule type="containsText" dxfId="16477" priority="17663" operator="containsText" text="S">
      <formula>NOT(ISERROR(SEARCH("S",BX7)))</formula>
    </cfRule>
    <cfRule type="containsText" dxfId="16476" priority="17664" operator="containsText" text="P">
      <formula>NOT(ISERROR(SEARCH("P",BX7)))</formula>
    </cfRule>
    <cfRule type="containsText" dxfId="16475" priority="17665" operator="containsText" text="H">
      <formula>NOT(ISERROR(SEARCH("H",BX7)))</formula>
    </cfRule>
    <cfRule type="containsText" dxfId="16474" priority="17667" operator="containsText" text="&quot;H&quot;">
      <formula>NOT(ISERROR(SEARCH("""H""",BX7)))</formula>
    </cfRule>
    <cfRule type="containsText" dxfId="16473" priority="17668" operator="containsText" text="&quot;A&quot;">
      <formula>NOT(ISERROR(SEARCH("""A""",BX7)))</formula>
    </cfRule>
  </conditionalFormatting>
  <conditionalFormatting sqref="BX7">
    <cfRule type="containsText" dxfId="16472" priority="17666" operator="containsText" text="A-H">
      <formula>NOT(ISERROR(SEARCH("A-H",BX7)))</formula>
    </cfRule>
  </conditionalFormatting>
  <conditionalFormatting sqref="CN7">
    <cfRule type="cellIs" dxfId="16471" priority="17657" operator="equal">
      <formula>"C-Off-H"</formula>
    </cfRule>
    <cfRule type="cellIs" dxfId="16470" priority="17658" operator="equal">
      <formula>"C-Off"</formula>
    </cfRule>
    <cfRule type="cellIs" dxfId="16469" priority="17659" operator="equal">
      <formula>"CL-H"</formula>
    </cfRule>
    <cfRule type="cellIs" dxfId="16468" priority="17660" operator="equal">
      <formula>"EL-H"</formula>
    </cfRule>
    <cfRule type="cellIs" dxfId="16467" priority="17661" operator="equal">
      <formula>"CL"</formula>
    </cfRule>
    <cfRule type="cellIs" dxfId="16466" priority="17662" operator="equal">
      <formula>"EL"</formula>
    </cfRule>
  </conditionalFormatting>
  <conditionalFormatting sqref="CN7">
    <cfRule type="containsText" dxfId="16465" priority="17656" operator="containsText" text="A-H">
      <formula>NOT(ISERROR(SEARCH("A-H",CN7)))</formula>
    </cfRule>
  </conditionalFormatting>
  <conditionalFormatting sqref="CN7">
    <cfRule type="containsText" dxfId="16464" priority="17655" operator="containsText" text="A">
      <formula>NOT(ISERROR(SEARCH("A",CN7)))</formula>
    </cfRule>
  </conditionalFormatting>
  <conditionalFormatting sqref="CN7">
    <cfRule type="containsText" dxfId="16463" priority="17650" operator="containsText" text="S">
      <formula>NOT(ISERROR(SEARCH("S",CN7)))</formula>
    </cfRule>
    <cfRule type="containsText" dxfId="16462" priority="17651" operator="containsText" text="P">
      <formula>NOT(ISERROR(SEARCH("P",CN7)))</formula>
    </cfRule>
    <cfRule type="containsText" dxfId="16461" priority="17652" operator="containsText" text="H">
      <formula>NOT(ISERROR(SEARCH("H",CN7)))</formula>
    </cfRule>
    <cfRule type="containsText" dxfId="16460" priority="17653" operator="containsText" text="&quot;H&quot;">
      <formula>NOT(ISERROR(SEARCH("""H""",CN7)))</formula>
    </cfRule>
    <cfRule type="containsText" dxfId="16459" priority="17654" operator="containsText" text="&quot;A&quot;">
      <formula>NOT(ISERROR(SEARCH("""A""",CN7)))</formula>
    </cfRule>
  </conditionalFormatting>
  <conditionalFormatting sqref="CA7:CB7">
    <cfRule type="cellIs" dxfId="16458" priority="17644" operator="equal">
      <formula>"C-Off-H"</formula>
    </cfRule>
    <cfRule type="cellIs" dxfId="16457" priority="17645" operator="equal">
      <formula>"C-Off"</formula>
    </cfRule>
    <cfRule type="cellIs" dxfId="16456" priority="17646" operator="equal">
      <formula>"CL-H"</formula>
    </cfRule>
    <cfRule type="cellIs" dxfId="16455" priority="17647" operator="equal">
      <formula>"EL-H"</formula>
    </cfRule>
    <cfRule type="cellIs" dxfId="16454" priority="17648" operator="equal">
      <formula>"CL"</formula>
    </cfRule>
    <cfRule type="cellIs" dxfId="16453" priority="17649" operator="equal">
      <formula>"EL"</formula>
    </cfRule>
  </conditionalFormatting>
  <conditionalFormatting sqref="CA7:CB7">
    <cfRule type="containsText" dxfId="16452" priority="17638" operator="containsText" text="S">
      <formula>NOT(ISERROR(SEARCH("S",CA7)))</formula>
    </cfRule>
    <cfRule type="containsText" dxfId="16451" priority="17639" operator="containsText" text="P">
      <formula>NOT(ISERROR(SEARCH("P",CA7)))</formula>
    </cfRule>
    <cfRule type="containsText" dxfId="16450" priority="17640" operator="containsText" text="H">
      <formula>NOT(ISERROR(SEARCH("H",CA7)))</formula>
    </cfRule>
    <cfRule type="containsText" dxfId="16449" priority="17642" operator="containsText" text="&quot;H&quot;">
      <formula>NOT(ISERROR(SEARCH("""H""",CA7)))</formula>
    </cfRule>
    <cfRule type="containsText" dxfId="16448" priority="17643" operator="containsText" text="&quot;A&quot;">
      <formula>NOT(ISERROR(SEARCH("""A""",CA7)))</formula>
    </cfRule>
  </conditionalFormatting>
  <conditionalFormatting sqref="CA7:CB7">
    <cfRule type="containsText" dxfId="16447" priority="17641" operator="containsText" text="A-H">
      <formula>NOT(ISERROR(SEARCH("A-H",CA7)))</formula>
    </cfRule>
  </conditionalFormatting>
  <conditionalFormatting sqref="CD7:CE7">
    <cfRule type="cellIs" dxfId="16446" priority="17632" operator="equal">
      <formula>"C-Off-H"</formula>
    </cfRule>
    <cfRule type="cellIs" dxfId="16445" priority="17633" operator="equal">
      <formula>"C-Off"</formula>
    </cfRule>
    <cfRule type="cellIs" dxfId="16444" priority="17634" operator="equal">
      <formula>"CL-H"</formula>
    </cfRule>
    <cfRule type="cellIs" dxfId="16443" priority="17635" operator="equal">
      <formula>"EL-H"</formula>
    </cfRule>
    <cfRule type="cellIs" dxfId="16442" priority="17636" operator="equal">
      <formula>"CL"</formula>
    </cfRule>
    <cfRule type="cellIs" dxfId="16441" priority="17637" operator="equal">
      <formula>"EL"</formula>
    </cfRule>
  </conditionalFormatting>
  <conditionalFormatting sqref="CD7:CE7">
    <cfRule type="containsText" dxfId="16440" priority="17626" operator="containsText" text="S">
      <formula>NOT(ISERROR(SEARCH("S",CD7)))</formula>
    </cfRule>
    <cfRule type="containsText" dxfId="16439" priority="17627" operator="containsText" text="P">
      <formula>NOT(ISERROR(SEARCH("P",CD7)))</formula>
    </cfRule>
    <cfRule type="containsText" dxfId="16438" priority="17628" operator="containsText" text="H">
      <formula>NOT(ISERROR(SEARCH("H",CD7)))</formula>
    </cfRule>
    <cfRule type="containsText" dxfId="16437" priority="17630" operator="containsText" text="&quot;H&quot;">
      <formula>NOT(ISERROR(SEARCH("""H""",CD7)))</formula>
    </cfRule>
    <cfRule type="containsText" dxfId="16436" priority="17631" operator="containsText" text="&quot;A&quot;">
      <formula>NOT(ISERROR(SEARCH("""A""",CD7)))</formula>
    </cfRule>
  </conditionalFormatting>
  <conditionalFormatting sqref="CD7:CE7">
    <cfRule type="containsText" dxfId="16435" priority="17629" operator="containsText" text="A-H">
      <formula>NOT(ISERROR(SEARCH("A-H",CD7)))</formula>
    </cfRule>
  </conditionalFormatting>
  <conditionalFormatting sqref="CH7">
    <cfRule type="cellIs" dxfId="16434" priority="17620" operator="equal">
      <formula>"C-Off-H"</formula>
    </cfRule>
    <cfRule type="cellIs" dxfId="16433" priority="17621" operator="equal">
      <formula>"C-Off"</formula>
    </cfRule>
    <cfRule type="cellIs" dxfId="16432" priority="17622" operator="equal">
      <formula>"CL-H"</formula>
    </cfRule>
    <cfRule type="cellIs" dxfId="16431" priority="17623" operator="equal">
      <formula>"EL-H"</formula>
    </cfRule>
    <cfRule type="cellIs" dxfId="16430" priority="17624" operator="equal">
      <formula>"CL"</formula>
    </cfRule>
    <cfRule type="cellIs" dxfId="16429" priority="17625" operator="equal">
      <formula>"EL"</formula>
    </cfRule>
  </conditionalFormatting>
  <conditionalFormatting sqref="CH7">
    <cfRule type="containsText" dxfId="16428" priority="17614" operator="containsText" text="S">
      <formula>NOT(ISERROR(SEARCH("S",CH7)))</formula>
    </cfRule>
    <cfRule type="containsText" dxfId="16427" priority="17615" operator="containsText" text="P">
      <formula>NOT(ISERROR(SEARCH("P",CH7)))</formula>
    </cfRule>
    <cfRule type="containsText" dxfId="16426" priority="17616" operator="containsText" text="H">
      <formula>NOT(ISERROR(SEARCH("H",CH7)))</formula>
    </cfRule>
    <cfRule type="containsText" dxfId="16425" priority="17618" operator="containsText" text="&quot;H&quot;">
      <formula>NOT(ISERROR(SEARCH("""H""",CH7)))</formula>
    </cfRule>
    <cfRule type="containsText" dxfId="16424" priority="17619" operator="containsText" text="&quot;A&quot;">
      <formula>NOT(ISERROR(SEARCH("""A""",CH7)))</formula>
    </cfRule>
  </conditionalFormatting>
  <conditionalFormatting sqref="CH7">
    <cfRule type="containsText" dxfId="16423" priority="17617" operator="containsText" text="A-H">
      <formula>NOT(ISERROR(SEARCH("A-H",CH7)))</formula>
    </cfRule>
  </conditionalFormatting>
  <conditionalFormatting sqref="CG7">
    <cfRule type="cellIs" dxfId="16422" priority="17608" operator="equal">
      <formula>"C-Off-H"</formula>
    </cfRule>
    <cfRule type="cellIs" dxfId="16421" priority="17609" operator="equal">
      <formula>"C-Off"</formula>
    </cfRule>
    <cfRule type="cellIs" dxfId="16420" priority="17610" operator="equal">
      <formula>"CL-H"</formula>
    </cfRule>
    <cfRule type="cellIs" dxfId="16419" priority="17611" operator="equal">
      <formula>"EL-H"</formula>
    </cfRule>
    <cfRule type="cellIs" dxfId="16418" priority="17612" operator="equal">
      <formula>"CL"</formula>
    </cfRule>
    <cfRule type="cellIs" dxfId="16417" priority="17613" operator="equal">
      <formula>"EL"</formula>
    </cfRule>
  </conditionalFormatting>
  <conditionalFormatting sqref="CG7">
    <cfRule type="containsText" dxfId="16416" priority="17602" operator="containsText" text="S">
      <formula>NOT(ISERROR(SEARCH("S",CG7)))</formula>
    </cfRule>
    <cfRule type="containsText" dxfId="16415" priority="17603" operator="containsText" text="P">
      <formula>NOT(ISERROR(SEARCH("P",CG7)))</formula>
    </cfRule>
    <cfRule type="containsText" dxfId="16414" priority="17604" operator="containsText" text="H">
      <formula>NOT(ISERROR(SEARCH("H",CG7)))</formula>
    </cfRule>
    <cfRule type="containsText" dxfId="16413" priority="17606" operator="containsText" text="&quot;H&quot;">
      <formula>NOT(ISERROR(SEARCH("""H""",CG7)))</formula>
    </cfRule>
    <cfRule type="containsText" dxfId="16412" priority="17607" operator="containsText" text="&quot;A&quot;">
      <formula>NOT(ISERROR(SEARCH("""A""",CG7)))</formula>
    </cfRule>
  </conditionalFormatting>
  <conditionalFormatting sqref="CG7">
    <cfRule type="containsText" dxfId="16411" priority="17605" operator="containsText" text="A-H">
      <formula>NOT(ISERROR(SEARCH("A-H",CG7)))</formula>
    </cfRule>
  </conditionalFormatting>
  <conditionalFormatting sqref="H7">
    <cfRule type="cellIs" dxfId="16410" priority="17565" operator="equal">
      <formula>"C-Off-H"</formula>
    </cfRule>
    <cfRule type="cellIs" dxfId="16409" priority="17566" operator="equal">
      <formula>"C-Off"</formula>
    </cfRule>
    <cfRule type="cellIs" dxfId="16408" priority="17567" operator="equal">
      <formula>"CL-H"</formula>
    </cfRule>
    <cfRule type="cellIs" dxfId="16407" priority="17568" operator="equal">
      <formula>"EL-H"</formula>
    </cfRule>
    <cfRule type="cellIs" dxfId="16406" priority="17569" operator="equal">
      <formula>"CL"</formula>
    </cfRule>
    <cfRule type="cellIs" dxfId="16405" priority="17570" operator="equal">
      <formula>"EL"</formula>
    </cfRule>
  </conditionalFormatting>
  <conditionalFormatting sqref="G7:H7">
    <cfRule type="cellIs" dxfId="16404" priority="17559" operator="equal">
      <formula>"C-Off-H"</formula>
    </cfRule>
    <cfRule type="cellIs" dxfId="16403" priority="17560" operator="equal">
      <formula>"C-Off"</formula>
    </cfRule>
    <cfRule type="cellIs" dxfId="16402" priority="17561" operator="equal">
      <formula>"CL-H"</formula>
    </cfRule>
    <cfRule type="cellIs" dxfId="16401" priority="17562" operator="equal">
      <formula>"EL-H"</formula>
    </cfRule>
    <cfRule type="cellIs" dxfId="16400" priority="17563" operator="equal">
      <formula>"CL"</formula>
    </cfRule>
    <cfRule type="cellIs" dxfId="16399" priority="17564" operator="equal">
      <formula>"EL"</formula>
    </cfRule>
  </conditionalFormatting>
  <conditionalFormatting sqref="G7:H7">
    <cfRule type="containsText" dxfId="16398" priority="17553" operator="containsText" text="S">
      <formula>NOT(ISERROR(SEARCH("S",G7)))</formula>
    </cfRule>
    <cfRule type="containsText" dxfId="16397" priority="17554" operator="containsText" text="P">
      <formula>NOT(ISERROR(SEARCH("P",G7)))</formula>
    </cfRule>
    <cfRule type="containsText" dxfId="16396" priority="17555" operator="containsText" text="H">
      <formula>NOT(ISERROR(SEARCH("H",G7)))</formula>
    </cfRule>
    <cfRule type="containsText" dxfId="16395" priority="17557" operator="containsText" text="&quot;H&quot;">
      <formula>NOT(ISERROR(SEARCH("""H""",G7)))</formula>
    </cfRule>
    <cfRule type="containsText" dxfId="16394" priority="17558" operator="containsText" text="&quot;A&quot;">
      <formula>NOT(ISERROR(SEARCH("""A""",G7)))</formula>
    </cfRule>
  </conditionalFormatting>
  <conditionalFormatting sqref="G7:H7">
    <cfRule type="containsText" dxfId="16393" priority="17556" operator="containsText" text="A-H">
      <formula>NOT(ISERROR(SEARCH("A-H",G7)))</formula>
    </cfRule>
  </conditionalFormatting>
  <conditionalFormatting sqref="K7">
    <cfRule type="cellIs" dxfId="16392" priority="17547" operator="equal">
      <formula>"C-Off-H"</formula>
    </cfRule>
    <cfRule type="cellIs" dxfId="16391" priority="17548" operator="equal">
      <formula>"C-Off"</formula>
    </cfRule>
    <cfRule type="cellIs" dxfId="16390" priority="17549" operator="equal">
      <formula>"CL-H"</formula>
    </cfRule>
    <cfRule type="cellIs" dxfId="16389" priority="17550" operator="equal">
      <formula>"EL-H"</formula>
    </cfRule>
    <cfRule type="cellIs" dxfId="16388" priority="17551" operator="equal">
      <formula>"CL"</formula>
    </cfRule>
    <cfRule type="cellIs" dxfId="16387" priority="17552" operator="equal">
      <formula>"EL"</formula>
    </cfRule>
  </conditionalFormatting>
  <conditionalFormatting sqref="J7:K7">
    <cfRule type="cellIs" dxfId="16386" priority="17541" operator="equal">
      <formula>"C-Off-H"</formula>
    </cfRule>
    <cfRule type="cellIs" dxfId="16385" priority="17542" operator="equal">
      <formula>"C-Off"</formula>
    </cfRule>
    <cfRule type="cellIs" dxfId="16384" priority="17543" operator="equal">
      <formula>"CL-H"</formula>
    </cfRule>
    <cfRule type="cellIs" dxfId="16383" priority="17544" operator="equal">
      <formula>"EL-H"</formula>
    </cfRule>
    <cfRule type="cellIs" dxfId="16382" priority="17545" operator="equal">
      <formula>"CL"</formula>
    </cfRule>
    <cfRule type="cellIs" dxfId="16381" priority="17546" operator="equal">
      <formula>"EL"</formula>
    </cfRule>
  </conditionalFormatting>
  <conditionalFormatting sqref="J7:K7">
    <cfRule type="containsText" dxfId="16380" priority="17535" operator="containsText" text="S">
      <formula>NOT(ISERROR(SEARCH("S",J7)))</formula>
    </cfRule>
    <cfRule type="containsText" dxfId="16379" priority="17536" operator="containsText" text="P">
      <formula>NOT(ISERROR(SEARCH("P",J7)))</formula>
    </cfRule>
    <cfRule type="containsText" dxfId="16378" priority="17537" operator="containsText" text="H">
      <formula>NOT(ISERROR(SEARCH("H",J7)))</formula>
    </cfRule>
    <cfRule type="containsText" dxfId="16377" priority="17539" operator="containsText" text="&quot;H&quot;">
      <formula>NOT(ISERROR(SEARCH("""H""",J7)))</formula>
    </cfRule>
    <cfRule type="containsText" dxfId="16376" priority="17540" operator="containsText" text="&quot;A&quot;">
      <formula>NOT(ISERROR(SEARCH("""A""",J7)))</formula>
    </cfRule>
  </conditionalFormatting>
  <conditionalFormatting sqref="J7:K7">
    <cfRule type="containsText" dxfId="16375" priority="17538" operator="containsText" text="A-H">
      <formula>NOT(ISERROR(SEARCH("A-H",J7)))</formula>
    </cfRule>
  </conditionalFormatting>
  <conditionalFormatting sqref="N7">
    <cfRule type="cellIs" dxfId="16374" priority="17529" operator="equal">
      <formula>"C-Off-H"</formula>
    </cfRule>
    <cfRule type="cellIs" dxfId="16373" priority="17530" operator="equal">
      <formula>"C-Off"</formula>
    </cfRule>
    <cfRule type="cellIs" dxfId="16372" priority="17531" operator="equal">
      <formula>"CL-H"</formula>
    </cfRule>
    <cfRule type="cellIs" dxfId="16371" priority="17532" operator="equal">
      <formula>"EL-H"</formula>
    </cfRule>
    <cfRule type="cellIs" dxfId="16370" priority="17533" operator="equal">
      <formula>"CL"</formula>
    </cfRule>
    <cfRule type="cellIs" dxfId="16369" priority="17534" operator="equal">
      <formula>"EL"</formula>
    </cfRule>
  </conditionalFormatting>
  <conditionalFormatting sqref="M7:N7">
    <cfRule type="cellIs" dxfId="16368" priority="17523" operator="equal">
      <formula>"C-Off-H"</formula>
    </cfRule>
    <cfRule type="cellIs" dxfId="16367" priority="17524" operator="equal">
      <formula>"C-Off"</formula>
    </cfRule>
    <cfRule type="cellIs" dxfId="16366" priority="17525" operator="equal">
      <formula>"CL-H"</formula>
    </cfRule>
    <cfRule type="cellIs" dxfId="16365" priority="17526" operator="equal">
      <formula>"EL-H"</formula>
    </cfRule>
    <cfRule type="cellIs" dxfId="16364" priority="17527" operator="equal">
      <formula>"CL"</formula>
    </cfRule>
    <cfRule type="cellIs" dxfId="16363" priority="17528" operator="equal">
      <formula>"EL"</formula>
    </cfRule>
  </conditionalFormatting>
  <conditionalFormatting sqref="M7:N7">
    <cfRule type="containsText" dxfId="16362" priority="17517" operator="containsText" text="S">
      <formula>NOT(ISERROR(SEARCH("S",M7)))</formula>
    </cfRule>
    <cfRule type="containsText" dxfId="16361" priority="17518" operator="containsText" text="P">
      <formula>NOT(ISERROR(SEARCH("P",M7)))</formula>
    </cfRule>
    <cfRule type="containsText" dxfId="16360" priority="17519" operator="containsText" text="H">
      <formula>NOT(ISERROR(SEARCH("H",M7)))</formula>
    </cfRule>
    <cfRule type="containsText" dxfId="16359" priority="17521" operator="containsText" text="&quot;H&quot;">
      <formula>NOT(ISERROR(SEARCH("""H""",M7)))</formula>
    </cfRule>
    <cfRule type="containsText" dxfId="16358" priority="17522" operator="containsText" text="&quot;A&quot;">
      <formula>NOT(ISERROR(SEARCH("""A""",M7)))</formula>
    </cfRule>
  </conditionalFormatting>
  <conditionalFormatting sqref="M7:N7">
    <cfRule type="containsText" dxfId="16357" priority="17520" operator="containsText" text="A-H">
      <formula>NOT(ISERROR(SEARCH("A-H",M7)))</formula>
    </cfRule>
  </conditionalFormatting>
  <conditionalFormatting sqref="K8">
    <cfRule type="cellIs" dxfId="16356" priority="17511" operator="equal">
      <formula>"C-Off-H"</formula>
    </cfRule>
    <cfRule type="cellIs" dxfId="16355" priority="17512" operator="equal">
      <formula>"C-Off"</formula>
    </cfRule>
    <cfRule type="cellIs" dxfId="16354" priority="17513" operator="equal">
      <formula>"CL-H"</formula>
    </cfRule>
    <cfRule type="cellIs" dxfId="16353" priority="17514" operator="equal">
      <formula>"EL-H"</formula>
    </cfRule>
    <cfRule type="cellIs" dxfId="16352" priority="17515" operator="equal">
      <formula>"CL"</formula>
    </cfRule>
    <cfRule type="cellIs" dxfId="16351" priority="17516" operator="equal">
      <formula>"EL"</formula>
    </cfRule>
  </conditionalFormatting>
  <conditionalFormatting sqref="K8">
    <cfRule type="containsText" dxfId="16350" priority="17510" operator="containsText" text="A-H">
      <formula>NOT(ISERROR(SEARCH("A-H",K8)))</formula>
    </cfRule>
  </conditionalFormatting>
  <conditionalFormatting sqref="K8">
    <cfRule type="containsText" dxfId="16349" priority="17505" operator="containsText" text="S">
      <formula>NOT(ISERROR(SEARCH("S",K8)))</formula>
    </cfRule>
    <cfRule type="containsText" dxfId="16348" priority="17506" operator="containsText" text="P">
      <formula>NOT(ISERROR(SEARCH("P",K8)))</formula>
    </cfRule>
    <cfRule type="containsText" dxfId="16347" priority="17507" operator="containsText" text="H">
      <formula>NOT(ISERROR(SEARCH("H",K8)))</formula>
    </cfRule>
    <cfRule type="containsText" dxfId="16346" priority="17508" operator="containsText" text="&quot;H&quot;">
      <formula>NOT(ISERROR(SEARCH("""H""",K8)))</formula>
    </cfRule>
    <cfRule type="containsText" dxfId="16345" priority="17509" operator="containsText" text="&quot;A&quot;">
      <formula>NOT(ISERROR(SEARCH("""A""",K8)))</formula>
    </cfRule>
  </conditionalFormatting>
  <conditionalFormatting sqref="DC13 CQ13:CW13 M13:N13 CX12:CX14 Z12:Z14 CN12:CN13">
    <cfRule type="cellIs" dxfId="16344" priority="17473" operator="equal">
      <formula>"C-Off-H"</formula>
    </cfRule>
    <cfRule type="cellIs" dxfId="16343" priority="17474" operator="equal">
      <formula>"C-Off"</formula>
    </cfRule>
    <cfRule type="cellIs" dxfId="16342" priority="17475" operator="equal">
      <formula>"CL-H"</formula>
    </cfRule>
    <cfRule type="cellIs" dxfId="16341" priority="17476" operator="equal">
      <formula>"EL-H"</formula>
    </cfRule>
    <cfRule type="cellIs" dxfId="16340" priority="17477" operator="equal">
      <formula>"CL"</formula>
    </cfRule>
    <cfRule type="cellIs" dxfId="16339" priority="17478" operator="equal">
      <formula>"EL"</formula>
    </cfRule>
  </conditionalFormatting>
  <conditionalFormatting sqref="CQ13:CW13 M13:N13 CY13:DA13 DC13 CX12:CX14 Z12:Z14 CN12:CN13">
    <cfRule type="containsText" dxfId="16338" priority="17472" operator="containsText" text="A-H">
      <formula>NOT(ISERROR(SEARCH("A-H",M12)))</formula>
    </cfRule>
  </conditionalFormatting>
  <conditionalFormatting sqref="CQ13:CW13 CY13:DA13 DC13 CX12:CX14 CN12:CN13">
    <cfRule type="containsText" dxfId="16337" priority="17471" operator="containsText" text="A">
      <formula>NOT(ISERROR(SEARCH("A",CN12)))</formula>
    </cfRule>
  </conditionalFormatting>
  <conditionalFormatting sqref="DA13 CY13">
    <cfRule type="cellIs" dxfId="16336" priority="17465" stopIfTrue="1" operator="equal">
      <formula>"C-Off-H"</formula>
    </cfRule>
    <cfRule type="cellIs" dxfId="16335" priority="17466" stopIfTrue="1" operator="equal">
      <formula>"C-Off"</formula>
    </cfRule>
    <cfRule type="cellIs" dxfId="16334" priority="17467" stopIfTrue="1" operator="equal">
      <formula>"CL-H"</formula>
    </cfRule>
    <cfRule type="cellIs" dxfId="16333" priority="17468" stopIfTrue="1" operator="equal">
      <formula>"EL-H"</formula>
    </cfRule>
    <cfRule type="cellIs" dxfId="16332" priority="17469" stopIfTrue="1" operator="equal">
      <formula>"CL"</formula>
    </cfRule>
    <cfRule type="cellIs" dxfId="16331" priority="17470" stopIfTrue="1" operator="equal">
      <formula>"EL"</formula>
    </cfRule>
  </conditionalFormatting>
  <conditionalFormatting sqref="CZ13">
    <cfRule type="cellIs" dxfId="16330" priority="17459" stopIfTrue="1" operator="equal">
      <formula>"C-Off-H"</formula>
    </cfRule>
    <cfRule type="cellIs" dxfId="16329" priority="17460" stopIfTrue="1" operator="equal">
      <formula>"C-Off"</formula>
    </cfRule>
    <cfRule type="cellIs" dxfId="16328" priority="17461" stopIfTrue="1" operator="equal">
      <formula>"CL-H"</formula>
    </cfRule>
    <cfRule type="cellIs" dxfId="16327" priority="17462" stopIfTrue="1" operator="equal">
      <formula>"EL-H"</formula>
    </cfRule>
    <cfRule type="cellIs" dxfId="16326" priority="17463" stopIfTrue="1" operator="equal">
      <formula>"CL"</formula>
    </cfRule>
    <cfRule type="cellIs" dxfId="16325" priority="17464" stopIfTrue="1" operator="equal">
      <formula>"EL"</formula>
    </cfRule>
  </conditionalFormatting>
  <conditionalFormatting sqref="M13:N13 Z12:Z14 CN12:CN13">
    <cfRule type="containsText" dxfId="16324" priority="17454" operator="containsText" text="S">
      <formula>NOT(ISERROR(SEARCH("S",M12)))</formula>
    </cfRule>
    <cfRule type="containsText" dxfId="16323" priority="17455" operator="containsText" text="P">
      <formula>NOT(ISERROR(SEARCH("P",M12)))</formula>
    </cfRule>
    <cfRule type="containsText" dxfId="16322" priority="17456" operator="containsText" text="H">
      <formula>NOT(ISERROR(SEARCH("H",M12)))</formula>
    </cfRule>
    <cfRule type="containsText" dxfId="16321" priority="17457" operator="containsText" text="&quot;H&quot;">
      <formula>NOT(ISERROR(SEARCH("""H""",M12)))</formula>
    </cfRule>
    <cfRule type="containsText" dxfId="16320" priority="17458" operator="containsText" text="&quot;A&quot;">
      <formula>NOT(ISERROR(SEARCH("""A""",M12)))</formula>
    </cfRule>
  </conditionalFormatting>
  <conditionalFormatting sqref="DD13">
    <cfRule type="cellIs" dxfId="16319" priority="17448" operator="equal">
      <formula>"C-Off-H"</formula>
    </cfRule>
    <cfRule type="cellIs" dxfId="16318" priority="17449" operator="equal">
      <formula>"C-Off"</formula>
    </cfRule>
    <cfRule type="cellIs" dxfId="16317" priority="17450" operator="equal">
      <formula>"CL-H"</formula>
    </cfRule>
    <cfRule type="cellIs" dxfId="16316" priority="17451" operator="equal">
      <formula>"EL-H"</formula>
    </cfRule>
    <cfRule type="cellIs" dxfId="16315" priority="17452" operator="equal">
      <formula>"CL"</formula>
    </cfRule>
    <cfRule type="cellIs" dxfId="16314" priority="17453" operator="equal">
      <formula>"EL"</formula>
    </cfRule>
  </conditionalFormatting>
  <conditionalFormatting sqref="DD13">
    <cfRule type="containsText" dxfId="16313" priority="17447" operator="containsText" text="A">
      <formula>NOT(ISERROR(SEARCH("A",DD13)))</formula>
    </cfRule>
  </conditionalFormatting>
  <conditionalFormatting sqref="DD13">
    <cfRule type="containsText" dxfId="16312" priority="17446" operator="containsText" text="A-H">
      <formula>NOT(ISERROR(SEARCH("A-H",DD13)))</formula>
    </cfRule>
  </conditionalFormatting>
  <conditionalFormatting sqref="AI13">
    <cfRule type="cellIs" dxfId="16311" priority="17440" operator="equal">
      <formula>"C-Off-H"</formula>
    </cfRule>
    <cfRule type="cellIs" dxfId="16310" priority="17441" operator="equal">
      <formula>"C-Off"</formula>
    </cfRule>
    <cfRule type="cellIs" dxfId="16309" priority="17442" operator="equal">
      <formula>"CL-H"</formula>
    </cfRule>
    <cfRule type="cellIs" dxfId="16308" priority="17443" operator="equal">
      <formula>"EL-H"</formula>
    </cfRule>
    <cfRule type="cellIs" dxfId="16307" priority="17444" operator="equal">
      <formula>"CL"</formula>
    </cfRule>
    <cfRule type="cellIs" dxfId="16306" priority="17445" operator="equal">
      <formula>"EL"</formula>
    </cfRule>
  </conditionalFormatting>
  <conditionalFormatting sqref="AH13:AI13">
    <cfRule type="cellIs" dxfId="16305" priority="17434" operator="equal">
      <formula>"C-Off-H"</formula>
    </cfRule>
    <cfRule type="cellIs" dxfId="16304" priority="17435" operator="equal">
      <formula>"C-Off"</formula>
    </cfRule>
    <cfRule type="cellIs" dxfId="16303" priority="17436" operator="equal">
      <formula>"CL-H"</formula>
    </cfRule>
    <cfRule type="cellIs" dxfId="16302" priority="17437" operator="equal">
      <formula>"EL-H"</formula>
    </cfRule>
    <cfRule type="cellIs" dxfId="16301" priority="17438" operator="equal">
      <formula>"CL"</formula>
    </cfRule>
    <cfRule type="cellIs" dxfId="16300" priority="17439" operator="equal">
      <formula>"EL"</formula>
    </cfRule>
  </conditionalFormatting>
  <conditionalFormatting sqref="AH13:AI13">
    <cfRule type="containsText" dxfId="16299" priority="17428" operator="containsText" text="S">
      <formula>NOT(ISERROR(SEARCH("S",AH13)))</formula>
    </cfRule>
    <cfRule type="containsText" dxfId="16298" priority="17429" operator="containsText" text="P">
      <formula>NOT(ISERROR(SEARCH("P",AH13)))</formula>
    </cfRule>
    <cfRule type="containsText" dxfId="16297" priority="17430" operator="containsText" text="H">
      <formula>NOT(ISERROR(SEARCH("H",AH13)))</formula>
    </cfRule>
    <cfRule type="containsText" dxfId="16296" priority="17432" operator="containsText" text="&quot;H&quot;">
      <formula>NOT(ISERROR(SEARCH("""H""",AH13)))</formula>
    </cfRule>
    <cfRule type="containsText" dxfId="16295" priority="17433" operator="containsText" text="&quot;A&quot;">
      <formula>NOT(ISERROR(SEARCH("""A""",AH13)))</formula>
    </cfRule>
  </conditionalFormatting>
  <conditionalFormatting sqref="AH13:AI13">
    <cfRule type="containsText" dxfId="16294" priority="17431" operator="containsText" text="A-H">
      <formula>NOT(ISERROR(SEARCH("A-H",AH13)))</formula>
    </cfRule>
  </conditionalFormatting>
  <conditionalFormatting sqref="AU13">
    <cfRule type="cellIs" dxfId="16293" priority="17422" operator="equal">
      <formula>"C-Off-H"</formula>
    </cfRule>
    <cfRule type="cellIs" dxfId="16292" priority="17423" operator="equal">
      <formula>"C-Off"</formula>
    </cfRule>
    <cfRule type="cellIs" dxfId="16291" priority="17424" operator="equal">
      <formula>"CL-H"</formula>
    </cfRule>
    <cfRule type="cellIs" dxfId="16290" priority="17425" operator="equal">
      <formula>"EL-H"</formula>
    </cfRule>
    <cfRule type="cellIs" dxfId="16289" priority="17426" operator="equal">
      <formula>"CL"</formula>
    </cfRule>
    <cfRule type="cellIs" dxfId="16288" priority="17427" operator="equal">
      <formula>"EL"</formula>
    </cfRule>
  </conditionalFormatting>
  <conditionalFormatting sqref="AT13:AU13">
    <cfRule type="cellIs" dxfId="16287" priority="17416" operator="equal">
      <formula>"C-Off-H"</formula>
    </cfRule>
    <cfRule type="cellIs" dxfId="16286" priority="17417" operator="equal">
      <formula>"C-Off"</formula>
    </cfRule>
    <cfRule type="cellIs" dxfId="16285" priority="17418" operator="equal">
      <formula>"CL-H"</formula>
    </cfRule>
    <cfRule type="cellIs" dxfId="16284" priority="17419" operator="equal">
      <formula>"EL-H"</formula>
    </cfRule>
    <cfRule type="cellIs" dxfId="16283" priority="17420" operator="equal">
      <formula>"CL"</formula>
    </cfRule>
    <cfRule type="cellIs" dxfId="16282" priority="17421" operator="equal">
      <formula>"EL"</formula>
    </cfRule>
  </conditionalFormatting>
  <conditionalFormatting sqref="AT13:AU13">
    <cfRule type="containsText" dxfId="16281" priority="17410" operator="containsText" text="S">
      <formula>NOT(ISERROR(SEARCH("S",AT13)))</formula>
    </cfRule>
    <cfRule type="containsText" dxfId="16280" priority="17411" operator="containsText" text="P">
      <formula>NOT(ISERROR(SEARCH("P",AT13)))</formula>
    </cfRule>
    <cfRule type="containsText" dxfId="16279" priority="17412" operator="containsText" text="H">
      <formula>NOT(ISERROR(SEARCH("H",AT13)))</formula>
    </cfRule>
    <cfRule type="containsText" dxfId="16278" priority="17414" operator="containsText" text="&quot;H&quot;">
      <formula>NOT(ISERROR(SEARCH("""H""",AT13)))</formula>
    </cfRule>
    <cfRule type="containsText" dxfId="16277" priority="17415" operator="containsText" text="&quot;A&quot;">
      <formula>NOT(ISERROR(SEARCH("""A""",AT13)))</formula>
    </cfRule>
  </conditionalFormatting>
  <conditionalFormatting sqref="AT13:AU13">
    <cfRule type="containsText" dxfId="16276" priority="17413" operator="containsText" text="A-H">
      <formula>NOT(ISERROR(SEARCH("A-H",AT13)))</formula>
    </cfRule>
  </conditionalFormatting>
  <conditionalFormatting sqref="E13">
    <cfRule type="cellIs" dxfId="16275" priority="17404" operator="equal">
      <formula>"C-Off-H"</formula>
    </cfRule>
    <cfRule type="cellIs" dxfId="16274" priority="17405" operator="equal">
      <formula>"C-Off"</formula>
    </cfRule>
    <cfRule type="cellIs" dxfId="16273" priority="17406" operator="equal">
      <formula>"CL-H"</formula>
    </cfRule>
    <cfRule type="cellIs" dxfId="16272" priority="17407" operator="equal">
      <formula>"EL-H"</formula>
    </cfRule>
    <cfRule type="cellIs" dxfId="16271" priority="17408" operator="equal">
      <formula>"CL"</formula>
    </cfRule>
    <cfRule type="cellIs" dxfId="16270" priority="17409" operator="equal">
      <formula>"EL"</formula>
    </cfRule>
  </conditionalFormatting>
  <conditionalFormatting sqref="D13:E13">
    <cfRule type="cellIs" dxfId="16269" priority="17398" operator="equal">
      <formula>"C-Off-H"</formula>
    </cfRule>
    <cfRule type="cellIs" dxfId="16268" priority="17399" operator="equal">
      <formula>"C-Off"</formula>
    </cfRule>
    <cfRule type="cellIs" dxfId="16267" priority="17400" operator="equal">
      <formula>"CL-H"</formula>
    </cfRule>
    <cfRule type="cellIs" dxfId="16266" priority="17401" operator="equal">
      <formula>"EL-H"</formula>
    </cfRule>
    <cfRule type="cellIs" dxfId="16265" priority="17402" operator="equal">
      <formula>"CL"</formula>
    </cfRule>
    <cfRule type="cellIs" dxfId="16264" priority="17403" operator="equal">
      <formula>"EL"</formula>
    </cfRule>
  </conditionalFormatting>
  <conditionalFormatting sqref="D13:E13">
    <cfRule type="containsText" dxfId="16263" priority="17392" operator="containsText" text="S">
      <formula>NOT(ISERROR(SEARCH("S",D13)))</formula>
    </cfRule>
    <cfRule type="containsText" dxfId="16262" priority="17393" operator="containsText" text="P">
      <formula>NOT(ISERROR(SEARCH("P",D13)))</formula>
    </cfRule>
    <cfRule type="containsText" dxfId="16261" priority="17394" operator="containsText" text="H">
      <formula>NOT(ISERROR(SEARCH("H",D13)))</formula>
    </cfRule>
    <cfRule type="containsText" dxfId="16260" priority="17396" operator="containsText" text="&quot;H&quot;">
      <formula>NOT(ISERROR(SEARCH("""H""",D13)))</formula>
    </cfRule>
    <cfRule type="containsText" dxfId="16259" priority="17397" operator="containsText" text="&quot;A&quot;">
      <formula>NOT(ISERROR(SEARCH("""A""",D13)))</formula>
    </cfRule>
  </conditionalFormatting>
  <conditionalFormatting sqref="D13:E13">
    <cfRule type="containsText" dxfId="16258" priority="17395" operator="containsText" text="A-H">
      <formula>NOT(ISERROR(SEARCH("A-H",D13)))</formula>
    </cfRule>
  </conditionalFormatting>
  <conditionalFormatting sqref="Y13">
    <cfRule type="cellIs" dxfId="16257" priority="17386" operator="equal">
      <formula>"C-Off-H"</formula>
    </cfRule>
    <cfRule type="cellIs" dxfId="16256" priority="17387" operator="equal">
      <formula>"C-Off"</formula>
    </cfRule>
    <cfRule type="cellIs" dxfId="16255" priority="17388" operator="equal">
      <formula>"CL-H"</formula>
    </cfRule>
    <cfRule type="cellIs" dxfId="16254" priority="17389" operator="equal">
      <formula>"EL-H"</formula>
    </cfRule>
    <cfRule type="cellIs" dxfId="16253" priority="17390" operator="equal">
      <formula>"CL"</formula>
    </cfRule>
    <cfRule type="cellIs" dxfId="16252" priority="17391" operator="equal">
      <formula>"EL"</formula>
    </cfRule>
  </conditionalFormatting>
  <conditionalFormatting sqref="Y13">
    <cfRule type="containsText" dxfId="16251" priority="17380" operator="containsText" text="S">
      <formula>NOT(ISERROR(SEARCH("S",Y13)))</formula>
    </cfRule>
    <cfRule type="containsText" dxfId="16250" priority="17381" operator="containsText" text="P">
      <formula>NOT(ISERROR(SEARCH("P",Y13)))</formula>
    </cfRule>
    <cfRule type="containsText" dxfId="16249" priority="17382" operator="containsText" text="H">
      <formula>NOT(ISERROR(SEARCH("H",Y13)))</formula>
    </cfRule>
    <cfRule type="containsText" dxfId="16248" priority="17384" operator="containsText" text="&quot;H&quot;">
      <formula>NOT(ISERROR(SEARCH("""H""",Y13)))</formula>
    </cfRule>
    <cfRule type="containsText" dxfId="16247" priority="17385" operator="containsText" text="&quot;A&quot;">
      <formula>NOT(ISERROR(SEARCH("""A""",Y13)))</formula>
    </cfRule>
  </conditionalFormatting>
  <conditionalFormatting sqref="Y13">
    <cfRule type="containsText" dxfId="16246" priority="17383" operator="containsText" text="A-H">
      <formula>NOT(ISERROR(SEARCH("A-H",Y13)))</formula>
    </cfRule>
  </conditionalFormatting>
  <conditionalFormatting sqref="AF13">
    <cfRule type="cellIs" dxfId="16245" priority="17374" operator="equal">
      <formula>"C-Off-H"</formula>
    </cfRule>
    <cfRule type="cellIs" dxfId="16244" priority="17375" operator="equal">
      <formula>"C-Off"</formula>
    </cfRule>
    <cfRule type="cellIs" dxfId="16243" priority="17376" operator="equal">
      <formula>"CL-H"</formula>
    </cfRule>
    <cfRule type="cellIs" dxfId="16242" priority="17377" operator="equal">
      <formula>"EL-H"</formula>
    </cfRule>
    <cfRule type="cellIs" dxfId="16241" priority="17378" operator="equal">
      <formula>"CL"</formula>
    </cfRule>
    <cfRule type="cellIs" dxfId="16240" priority="17379" operator="equal">
      <formula>"EL"</formula>
    </cfRule>
  </conditionalFormatting>
  <conditionalFormatting sqref="AF13">
    <cfRule type="containsText" dxfId="16239" priority="17368" operator="containsText" text="S">
      <formula>NOT(ISERROR(SEARCH("S",AF13)))</formula>
    </cfRule>
    <cfRule type="containsText" dxfId="16238" priority="17369" operator="containsText" text="P">
      <formula>NOT(ISERROR(SEARCH("P",AF13)))</formula>
    </cfRule>
    <cfRule type="containsText" dxfId="16237" priority="17370" operator="containsText" text="H">
      <formula>NOT(ISERROR(SEARCH("H",AF13)))</formula>
    </cfRule>
    <cfRule type="containsText" dxfId="16236" priority="17372" operator="containsText" text="&quot;H&quot;">
      <formula>NOT(ISERROR(SEARCH("""H""",AF13)))</formula>
    </cfRule>
    <cfRule type="containsText" dxfId="16235" priority="17373" operator="containsText" text="&quot;A&quot;">
      <formula>NOT(ISERROR(SEARCH("""A""",AF13)))</formula>
    </cfRule>
  </conditionalFormatting>
  <conditionalFormatting sqref="AF13">
    <cfRule type="containsText" dxfId="16234" priority="17371" operator="containsText" text="A-H">
      <formula>NOT(ISERROR(SEARCH("A-H",AF13)))</formula>
    </cfRule>
  </conditionalFormatting>
  <conditionalFormatting sqref="BO13:BP13">
    <cfRule type="cellIs" dxfId="16233" priority="17362" operator="equal">
      <formula>"C-Off-H"</formula>
    </cfRule>
    <cfRule type="cellIs" dxfId="16232" priority="17363" operator="equal">
      <formula>"C-Off"</formula>
    </cfRule>
    <cfRule type="cellIs" dxfId="16231" priority="17364" operator="equal">
      <formula>"CL-H"</formula>
    </cfRule>
    <cfRule type="cellIs" dxfId="16230" priority="17365" operator="equal">
      <formula>"EL-H"</formula>
    </cfRule>
    <cfRule type="cellIs" dxfId="16229" priority="17366" operator="equal">
      <formula>"CL"</formula>
    </cfRule>
    <cfRule type="cellIs" dxfId="16228" priority="17367" operator="equal">
      <formula>"EL"</formula>
    </cfRule>
  </conditionalFormatting>
  <conditionalFormatting sqref="BO13:BP13">
    <cfRule type="cellIs" dxfId="16227" priority="17356" operator="equal">
      <formula>"C-Off-H"</formula>
    </cfRule>
    <cfRule type="cellIs" dxfId="16226" priority="17357" operator="equal">
      <formula>"C-Off"</formula>
    </cfRule>
    <cfRule type="cellIs" dxfId="16225" priority="17358" operator="equal">
      <formula>"CL-H"</formula>
    </cfRule>
    <cfRule type="cellIs" dxfId="16224" priority="17359" operator="equal">
      <formula>"EL-H"</formula>
    </cfRule>
    <cfRule type="cellIs" dxfId="16223" priority="17360" operator="equal">
      <formula>"CL"</formula>
    </cfRule>
    <cfRule type="cellIs" dxfId="16222" priority="17361" operator="equal">
      <formula>"EL"</formula>
    </cfRule>
  </conditionalFormatting>
  <conditionalFormatting sqref="BO13:BP13">
    <cfRule type="containsText" dxfId="16221" priority="17350" operator="containsText" text="S">
      <formula>NOT(ISERROR(SEARCH("S",BO13)))</formula>
    </cfRule>
    <cfRule type="containsText" dxfId="16220" priority="17351" operator="containsText" text="P">
      <formula>NOT(ISERROR(SEARCH("P",BO13)))</formula>
    </cfRule>
    <cfRule type="containsText" dxfId="16219" priority="17352" operator="containsText" text="H">
      <formula>NOT(ISERROR(SEARCH("H",BO13)))</formula>
    </cfRule>
    <cfRule type="containsText" dxfId="16218" priority="17354" operator="containsText" text="&quot;H&quot;">
      <formula>NOT(ISERROR(SEARCH("""H""",BO13)))</formula>
    </cfRule>
    <cfRule type="containsText" dxfId="16217" priority="17355" operator="containsText" text="&quot;A&quot;">
      <formula>NOT(ISERROR(SEARCH("""A""",BO13)))</formula>
    </cfRule>
  </conditionalFormatting>
  <conditionalFormatting sqref="BO13:BP13">
    <cfRule type="containsText" dxfId="16216" priority="17353" operator="containsText" text="A-H">
      <formula>NOT(ISERROR(SEARCH("A-H",BO13)))</formula>
    </cfRule>
  </conditionalFormatting>
  <conditionalFormatting sqref="CM13">
    <cfRule type="cellIs" dxfId="16215" priority="17344" operator="equal">
      <formula>"C-Off-H"</formula>
    </cfRule>
    <cfRule type="cellIs" dxfId="16214" priority="17345" operator="equal">
      <formula>"C-Off"</formula>
    </cfRule>
    <cfRule type="cellIs" dxfId="16213" priority="17346" operator="equal">
      <formula>"CL-H"</formula>
    </cfRule>
    <cfRule type="cellIs" dxfId="16212" priority="17347" operator="equal">
      <formula>"EL-H"</formula>
    </cfRule>
    <cfRule type="cellIs" dxfId="16211" priority="17348" operator="equal">
      <formula>"CL"</formula>
    </cfRule>
    <cfRule type="cellIs" dxfId="16210" priority="17349" operator="equal">
      <formula>"EL"</formula>
    </cfRule>
  </conditionalFormatting>
  <conditionalFormatting sqref="CM13">
    <cfRule type="cellIs" dxfId="16209" priority="17338" operator="equal">
      <formula>"C-Off-H"</formula>
    </cfRule>
    <cfRule type="cellIs" dxfId="16208" priority="17339" operator="equal">
      <formula>"C-Off"</formula>
    </cfRule>
    <cfRule type="cellIs" dxfId="16207" priority="17340" operator="equal">
      <formula>"CL-H"</formula>
    </cfRule>
    <cfRule type="cellIs" dxfId="16206" priority="17341" operator="equal">
      <formula>"EL-H"</formula>
    </cfRule>
    <cfRule type="cellIs" dxfId="16205" priority="17342" operator="equal">
      <formula>"CL"</formula>
    </cfRule>
    <cfRule type="cellIs" dxfId="16204" priority="17343" operator="equal">
      <formula>"EL"</formula>
    </cfRule>
  </conditionalFormatting>
  <conditionalFormatting sqref="CM13">
    <cfRule type="containsText" dxfId="16203" priority="17332" operator="containsText" text="S">
      <formula>NOT(ISERROR(SEARCH("S",CM13)))</formula>
    </cfRule>
    <cfRule type="containsText" dxfId="16202" priority="17333" operator="containsText" text="P">
      <formula>NOT(ISERROR(SEARCH("P",CM13)))</formula>
    </cfRule>
    <cfRule type="containsText" dxfId="16201" priority="17334" operator="containsText" text="H">
      <formula>NOT(ISERROR(SEARCH("H",CM13)))</formula>
    </cfRule>
    <cfRule type="containsText" dxfId="16200" priority="17336" operator="containsText" text="&quot;H&quot;">
      <formula>NOT(ISERROR(SEARCH("""H""",CM13)))</formula>
    </cfRule>
    <cfRule type="containsText" dxfId="16199" priority="17337" operator="containsText" text="&quot;A&quot;">
      <formula>NOT(ISERROR(SEARCH("""A""",CM13)))</formula>
    </cfRule>
  </conditionalFormatting>
  <conditionalFormatting sqref="CM13">
    <cfRule type="containsText" dxfId="16198" priority="17335" operator="containsText" text="A-H">
      <formula>NOT(ISERROR(SEARCH("A-H",CM13)))</formula>
    </cfRule>
  </conditionalFormatting>
  <conditionalFormatting sqref="V13:W13">
    <cfRule type="cellIs" dxfId="16197" priority="17302" operator="equal">
      <formula>"C-Off-H"</formula>
    </cfRule>
    <cfRule type="cellIs" dxfId="16196" priority="17303" operator="equal">
      <formula>"C-Off"</formula>
    </cfRule>
    <cfRule type="cellIs" dxfId="16195" priority="17304" operator="equal">
      <formula>"CL-H"</formula>
    </cfRule>
    <cfRule type="cellIs" dxfId="16194" priority="17305" operator="equal">
      <formula>"EL-H"</formula>
    </cfRule>
    <cfRule type="cellIs" dxfId="16193" priority="17306" operator="equal">
      <formula>"CL"</formula>
    </cfRule>
    <cfRule type="cellIs" dxfId="16192" priority="17307" operator="equal">
      <formula>"EL"</formula>
    </cfRule>
  </conditionalFormatting>
  <conditionalFormatting sqref="V13:W13">
    <cfRule type="containsText" dxfId="16191" priority="17296" operator="containsText" text="S">
      <formula>NOT(ISERROR(SEARCH("S",V13)))</formula>
    </cfRule>
    <cfRule type="containsText" dxfId="16190" priority="17297" operator="containsText" text="P">
      <formula>NOT(ISERROR(SEARCH("P",V13)))</formula>
    </cfRule>
    <cfRule type="containsText" dxfId="16189" priority="17298" operator="containsText" text="H">
      <formula>NOT(ISERROR(SEARCH("H",V13)))</formula>
    </cfRule>
    <cfRule type="containsText" dxfId="16188" priority="17300" operator="containsText" text="&quot;H&quot;">
      <formula>NOT(ISERROR(SEARCH("""H""",V13)))</formula>
    </cfRule>
    <cfRule type="containsText" dxfId="16187" priority="17301" operator="containsText" text="&quot;A&quot;">
      <formula>NOT(ISERROR(SEARCH("""A""",V13)))</formula>
    </cfRule>
  </conditionalFormatting>
  <conditionalFormatting sqref="V13:W13">
    <cfRule type="containsText" dxfId="16186" priority="17299" operator="containsText" text="A-H">
      <formula>NOT(ISERROR(SEARCH("A-H",V13)))</formula>
    </cfRule>
  </conditionalFormatting>
  <conditionalFormatting sqref="P13:Q13">
    <cfRule type="cellIs" dxfId="16185" priority="17326" operator="equal">
      <formula>"C-Off-H"</formula>
    </cfRule>
    <cfRule type="cellIs" dxfId="16184" priority="17327" operator="equal">
      <formula>"C-Off"</formula>
    </cfRule>
    <cfRule type="cellIs" dxfId="16183" priority="17328" operator="equal">
      <formula>"CL-H"</formula>
    </cfRule>
    <cfRule type="cellIs" dxfId="16182" priority="17329" operator="equal">
      <formula>"EL-H"</formula>
    </cfRule>
    <cfRule type="cellIs" dxfId="16181" priority="17330" operator="equal">
      <formula>"CL"</formula>
    </cfRule>
    <cfRule type="cellIs" dxfId="16180" priority="17331" operator="equal">
      <formula>"EL"</formula>
    </cfRule>
  </conditionalFormatting>
  <conditionalFormatting sqref="P13:Q13">
    <cfRule type="containsText" dxfId="16179" priority="17320" operator="containsText" text="S">
      <formula>NOT(ISERROR(SEARCH("S",P13)))</formula>
    </cfRule>
    <cfRule type="containsText" dxfId="16178" priority="17321" operator="containsText" text="P">
      <formula>NOT(ISERROR(SEARCH("P",P13)))</formula>
    </cfRule>
    <cfRule type="containsText" dxfId="16177" priority="17322" operator="containsText" text="H">
      <formula>NOT(ISERROR(SEARCH("H",P13)))</formula>
    </cfRule>
    <cfRule type="containsText" dxfId="16176" priority="17324" operator="containsText" text="&quot;H&quot;">
      <formula>NOT(ISERROR(SEARCH("""H""",P13)))</formula>
    </cfRule>
    <cfRule type="containsText" dxfId="16175" priority="17325" operator="containsText" text="&quot;A&quot;">
      <formula>NOT(ISERROR(SEARCH("""A""",P13)))</formula>
    </cfRule>
  </conditionalFormatting>
  <conditionalFormatting sqref="P13:Q13">
    <cfRule type="containsText" dxfId="16174" priority="17323" operator="containsText" text="A-H">
      <formula>NOT(ISERROR(SEARCH("A-H",P13)))</formula>
    </cfRule>
  </conditionalFormatting>
  <conditionalFormatting sqref="S13:T13">
    <cfRule type="cellIs" dxfId="16173" priority="17314" operator="equal">
      <formula>"C-Off-H"</formula>
    </cfRule>
    <cfRule type="cellIs" dxfId="16172" priority="17315" operator="equal">
      <formula>"C-Off"</formula>
    </cfRule>
    <cfRule type="cellIs" dxfId="16171" priority="17316" operator="equal">
      <formula>"CL-H"</formula>
    </cfRule>
    <cfRule type="cellIs" dxfId="16170" priority="17317" operator="equal">
      <formula>"EL-H"</formula>
    </cfRule>
    <cfRule type="cellIs" dxfId="16169" priority="17318" operator="equal">
      <formula>"CL"</formula>
    </cfRule>
    <cfRule type="cellIs" dxfId="16168" priority="17319" operator="equal">
      <formula>"EL"</formula>
    </cfRule>
  </conditionalFormatting>
  <conditionalFormatting sqref="S13:T13">
    <cfRule type="containsText" dxfId="16167" priority="17308" operator="containsText" text="S">
      <formula>NOT(ISERROR(SEARCH("S",S13)))</formula>
    </cfRule>
    <cfRule type="containsText" dxfId="16166" priority="17309" operator="containsText" text="P">
      <formula>NOT(ISERROR(SEARCH("P",S13)))</formula>
    </cfRule>
    <cfRule type="containsText" dxfId="16165" priority="17310" operator="containsText" text="H">
      <formula>NOT(ISERROR(SEARCH("H",S13)))</formula>
    </cfRule>
    <cfRule type="containsText" dxfId="16164" priority="17312" operator="containsText" text="&quot;H&quot;">
      <formula>NOT(ISERROR(SEARCH("""H""",S13)))</formula>
    </cfRule>
    <cfRule type="containsText" dxfId="16163" priority="17313" operator="containsText" text="&quot;A&quot;">
      <formula>NOT(ISERROR(SEARCH("""A""",S13)))</formula>
    </cfRule>
  </conditionalFormatting>
  <conditionalFormatting sqref="S13:T13">
    <cfRule type="containsText" dxfId="16162" priority="17311" operator="containsText" text="A-H">
      <formula>NOT(ISERROR(SEARCH("A-H",S13)))</formula>
    </cfRule>
  </conditionalFormatting>
  <conditionalFormatting sqref="AB13:AC13">
    <cfRule type="cellIs" dxfId="16161" priority="17290" operator="equal">
      <formula>"C-Off-H"</formula>
    </cfRule>
    <cfRule type="cellIs" dxfId="16160" priority="17291" operator="equal">
      <formula>"C-Off"</formula>
    </cfRule>
    <cfRule type="cellIs" dxfId="16159" priority="17292" operator="equal">
      <formula>"CL-H"</formula>
    </cfRule>
    <cfRule type="cellIs" dxfId="16158" priority="17293" operator="equal">
      <formula>"EL-H"</formula>
    </cfRule>
    <cfRule type="cellIs" dxfId="16157" priority="17294" operator="equal">
      <formula>"CL"</formula>
    </cfRule>
    <cfRule type="cellIs" dxfId="16156" priority="17295" operator="equal">
      <formula>"EL"</formula>
    </cfRule>
  </conditionalFormatting>
  <conditionalFormatting sqref="AB13:AC13">
    <cfRule type="containsText" dxfId="16155" priority="17284" operator="containsText" text="S">
      <formula>NOT(ISERROR(SEARCH("S",AB13)))</formula>
    </cfRule>
    <cfRule type="containsText" dxfId="16154" priority="17285" operator="containsText" text="P">
      <formula>NOT(ISERROR(SEARCH("P",AB13)))</formula>
    </cfRule>
    <cfRule type="containsText" dxfId="16153" priority="17286" operator="containsText" text="H">
      <formula>NOT(ISERROR(SEARCH("H",AB13)))</formula>
    </cfRule>
    <cfRule type="containsText" dxfId="16152" priority="17288" operator="containsText" text="&quot;H&quot;">
      <formula>NOT(ISERROR(SEARCH("""H""",AB13)))</formula>
    </cfRule>
    <cfRule type="containsText" dxfId="16151" priority="17289" operator="containsText" text="&quot;A&quot;">
      <formula>NOT(ISERROR(SEARCH("""A""",AB13)))</formula>
    </cfRule>
  </conditionalFormatting>
  <conditionalFormatting sqref="AB13:AC13">
    <cfRule type="containsText" dxfId="16150" priority="17287" operator="containsText" text="A-H">
      <formula>NOT(ISERROR(SEARCH("A-H",AB13)))</formula>
    </cfRule>
  </conditionalFormatting>
  <conditionalFormatting sqref="AE13">
    <cfRule type="cellIs" dxfId="16149" priority="17278" operator="equal">
      <formula>"C-Off-H"</formula>
    </cfRule>
    <cfRule type="cellIs" dxfId="16148" priority="17279" operator="equal">
      <formula>"C-Off"</formula>
    </cfRule>
    <cfRule type="cellIs" dxfId="16147" priority="17280" operator="equal">
      <formula>"CL-H"</formula>
    </cfRule>
    <cfRule type="cellIs" dxfId="16146" priority="17281" operator="equal">
      <formula>"EL-H"</formula>
    </cfRule>
    <cfRule type="cellIs" dxfId="16145" priority="17282" operator="equal">
      <formula>"CL"</formula>
    </cfRule>
    <cfRule type="cellIs" dxfId="16144" priority="17283" operator="equal">
      <formula>"EL"</formula>
    </cfRule>
  </conditionalFormatting>
  <conditionalFormatting sqref="AE13">
    <cfRule type="containsText" dxfId="16143" priority="17272" operator="containsText" text="S">
      <formula>NOT(ISERROR(SEARCH("S",AE13)))</formula>
    </cfRule>
    <cfRule type="containsText" dxfId="16142" priority="17273" operator="containsText" text="P">
      <formula>NOT(ISERROR(SEARCH("P",AE13)))</formula>
    </cfRule>
    <cfRule type="containsText" dxfId="16141" priority="17274" operator="containsText" text="H">
      <formula>NOT(ISERROR(SEARCH("H",AE13)))</formula>
    </cfRule>
    <cfRule type="containsText" dxfId="16140" priority="17276" operator="containsText" text="&quot;H&quot;">
      <formula>NOT(ISERROR(SEARCH("""H""",AE13)))</formula>
    </cfRule>
    <cfRule type="containsText" dxfId="16139" priority="17277" operator="containsText" text="&quot;A&quot;">
      <formula>NOT(ISERROR(SEARCH("""A""",AE13)))</formula>
    </cfRule>
  </conditionalFormatting>
  <conditionalFormatting sqref="AE13">
    <cfRule type="containsText" dxfId="16138" priority="17275" operator="containsText" text="A-H">
      <formula>NOT(ISERROR(SEARCH("A-H",AE13)))</formula>
    </cfRule>
  </conditionalFormatting>
  <conditionalFormatting sqref="AK13:AL13">
    <cfRule type="cellIs" dxfId="16137" priority="17266" operator="equal">
      <formula>"C-Off-H"</formula>
    </cfRule>
    <cfRule type="cellIs" dxfId="16136" priority="17267" operator="equal">
      <formula>"C-Off"</formula>
    </cfRule>
    <cfRule type="cellIs" dxfId="16135" priority="17268" operator="equal">
      <formula>"CL-H"</formula>
    </cfRule>
    <cfRule type="cellIs" dxfId="16134" priority="17269" operator="equal">
      <formula>"EL-H"</formula>
    </cfRule>
    <cfRule type="cellIs" dxfId="16133" priority="17270" operator="equal">
      <formula>"CL"</formula>
    </cfRule>
    <cfRule type="cellIs" dxfId="16132" priority="17271" operator="equal">
      <formula>"EL"</formula>
    </cfRule>
  </conditionalFormatting>
  <conditionalFormatting sqref="AK13:AL13">
    <cfRule type="containsText" dxfId="16131" priority="17260" operator="containsText" text="S">
      <formula>NOT(ISERROR(SEARCH("S",AK13)))</formula>
    </cfRule>
    <cfRule type="containsText" dxfId="16130" priority="17261" operator="containsText" text="P">
      <formula>NOT(ISERROR(SEARCH("P",AK13)))</formula>
    </cfRule>
    <cfRule type="containsText" dxfId="16129" priority="17262" operator="containsText" text="H">
      <formula>NOT(ISERROR(SEARCH("H",AK13)))</formula>
    </cfRule>
    <cfRule type="containsText" dxfId="16128" priority="17264" operator="containsText" text="&quot;H&quot;">
      <formula>NOT(ISERROR(SEARCH("""H""",AK13)))</formula>
    </cfRule>
    <cfRule type="containsText" dxfId="16127" priority="17265" operator="containsText" text="&quot;A&quot;">
      <formula>NOT(ISERROR(SEARCH("""A""",AK13)))</formula>
    </cfRule>
  </conditionalFormatting>
  <conditionalFormatting sqref="AK13:AL13">
    <cfRule type="containsText" dxfId="16126" priority="17263" operator="containsText" text="A-H">
      <formula>NOT(ISERROR(SEARCH("A-H",AK13)))</formula>
    </cfRule>
  </conditionalFormatting>
  <conditionalFormatting sqref="AN13:AO13">
    <cfRule type="cellIs" dxfId="16125" priority="17254" operator="equal">
      <formula>"C-Off-H"</formula>
    </cfRule>
    <cfRule type="cellIs" dxfId="16124" priority="17255" operator="equal">
      <formula>"C-Off"</formula>
    </cfRule>
    <cfRule type="cellIs" dxfId="16123" priority="17256" operator="equal">
      <formula>"CL-H"</formula>
    </cfRule>
    <cfRule type="cellIs" dxfId="16122" priority="17257" operator="equal">
      <formula>"EL-H"</formula>
    </cfRule>
    <cfRule type="cellIs" dxfId="16121" priority="17258" operator="equal">
      <formula>"CL"</formula>
    </cfRule>
    <cfRule type="cellIs" dxfId="16120" priority="17259" operator="equal">
      <formula>"EL"</formula>
    </cfRule>
  </conditionalFormatting>
  <conditionalFormatting sqref="AN13:AO13">
    <cfRule type="containsText" dxfId="16119" priority="17248" operator="containsText" text="S">
      <formula>NOT(ISERROR(SEARCH("S",AN13)))</formula>
    </cfRule>
    <cfRule type="containsText" dxfId="16118" priority="17249" operator="containsText" text="P">
      <formula>NOT(ISERROR(SEARCH("P",AN13)))</formula>
    </cfRule>
    <cfRule type="containsText" dxfId="16117" priority="17250" operator="containsText" text="H">
      <formula>NOT(ISERROR(SEARCH("H",AN13)))</formula>
    </cfRule>
    <cfRule type="containsText" dxfId="16116" priority="17252" operator="containsText" text="&quot;H&quot;">
      <formula>NOT(ISERROR(SEARCH("""H""",AN13)))</formula>
    </cfRule>
    <cfRule type="containsText" dxfId="16115" priority="17253" operator="containsText" text="&quot;A&quot;">
      <formula>NOT(ISERROR(SEARCH("""A""",AN13)))</formula>
    </cfRule>
  </conditionalFormatting>
  <conditionalFormatting sqref="AN13:AO13">
    <cfRule type="containsText" dxfId="16114" priority="17251" operator="containsText" text="A-H">
      <formula>NOT(ISERROR(SEARCH("A-H",AN13)))</formula>
    </cfRule>
  </conditionalFormatting>
  <conditionalFormatting sqref="AQ13:AR13">
    <cfRule type="cellIs" dxfId="16113" priority="17242" operator="equal">
      <formula>"C-Off-H"</formula>
    </cfRule>
    <cfRule type="cellIs" dxfId="16112" priority="17243" operator="equal">
      <formula>"C-Off"</formula>
    </cfRule>
    <cfRule type="cellIs" dxfId="16111" priority="17244" operator="equal">
      <formula>"CL-H"</formula>
    </cfRule>
    <cfRule type="cellIs" dxfId="16110" priority="17245" operator="equal">
      <formula>"EL-H"</formula>
    </cfRule>
    <cfRule type="cellIs" dxfId="16109" priority="17246" operator="equal">
      <formula>"CL"</formula>
    </cfRule>
    <cfRule type="cellIs" dxfId="16108" priority="17247" operator="equal">
      <formula>"EL"</formula>
    </cfRule>
  </conditionalFormatting>
  <conditionalFormatting sqref="AQ13:AR13">
    <cfRule type="containsText" dxfId="16107" priority="17236" operator="containsText" text="S">
      <formula>NOT(ISERROR(SEARCH("S",AQ13)))</formula>
    </cfRule>
    <cfRule type="containsText" dxfId="16106" priority="17237" operator="containsText" text="P">
      <formula>NOT(ISERROR(SEARCH("P",AQ13)))</formula>
    </cfRule>
    <cfRule type="containsText" dxfId="16105" priority="17238" operator="containsText" text="H">
      <formula>NOT(ISERROR(SEARCH("H",AQ13)))</formula>
    </cfRule>
    <cfRule type="containsText" dxfId="16104" priority="17240" operator="containsText" text="&quot;H&quot;">
      <formula>NOT(ISERROR(SEARCH("""H""",AQ13)))</formula>
    </cfRule>
    <cfRule type="containsText" dxfId="16103" priority="17241" operator="containsText" text="&quot;A&quot;">
      <formula>NOT(ISERROR(SEARCH("""A""",AQ13)))</formula>
    </cfRule>
  </conditionalFormatting>
  <conditionalFormatting sqref="AQ13:AR13">
    <cfRule type="containsText" dxfId="16102" priority="17239" operator="containsText" text="A-H">
      <formula>NOT(ISERROR(SEARCH("A-H",AQ13)))</formula>
    </cfRule>
  </conditionalFormatting>
  <conditionalFormatting sqref="AW13:AX13">
    <cfRule type="cellIs" dxfId="16101" priority="17230" operator="equal">
      <formula>"C-Off-H"</formula>
    </cfRule>
    <cfRule type="cellIs" dxfId="16100" priority="17231" operator="equal">
      <formula>"C-Off"</formula>
    </cfRule>
    <cfRule type="cellIs" dxfId="16099" priority="17232" operator="equal">
      <formula>"CL-H"</formula>
    </cfRule>
    <cfRule type="cellIs" dxfId="16098" priority="17233" operator="equal">
      <formula>"EL-H"</formula>
    </cfRule>
    <cfRule type="cellIs" dxfId="16097" priority="17234" operator="equal">
      <formula>"CL"</formula>
    </cfRule>
    <cfRule type="cellIs" dxfId="16096" priority="17235" operator="equal">
      <formula>"EL"</formula>
    </cfRule>
  </conditionalFormatting>
  <conditionalFormatting sqref="AW13:AX13">
    <cfRule type="containsText" dxfId="16095" priority="17224" operator="containsText" text="S">
      <formula>NOT(ISERROR(SEARCH("S",AW13)))</formula>
    </cfRule>
    <cfRule type="containsText" dxfId="16094" priority="17225" operator="containsText" text="P">
      <formula>NOT(ISERROR(SEARCH("P",AW13)))</formula>
    </cfRule>
    <cfRule type="containsText" dxfId="16093" priority="17226" operator="containsText" text="H">
      <formula>NOT(ISERROR(SEARCH("H",AW13)))</formula>
    </cfRule>
    <cfRule type="containsText" dxfId="16092" priority="17228" operator="containsText" text="&quot;H&quot;">
      <formula>NOT(ISERROR(SEARCH("""H""",AW13)))</formula>
    </cfRule>
    <cfRule type="containsText" dxfId="16091" priority="17229" operator="containsText" text="&quot;A&quot;">
      <formula>NOT(ISERROR(SEARCH("""A""",AW13)))</formula>
    </cfRule>
  </conditionalFormatting>
  <conditionalFormatting sqref="AW13:AX13">
    <cfRule type="containsText" dxfId="16090" priority="17227" operator="containsText" text="A-H">
      <formula>NOT(ISERROR(SEARCH("A-H",AW13)))</formula>
    </cfRule>
  </conditionalFormatting>
  <conditionalFormatting sqref="AZ13:BA13">
    <cfRule type="cellIs" dxfId="16089" priority="17218" operator="equal">
      <formula>"C-Off-H"</formula>
    </cfRule>
    <cfRule type="cellIs" dxfId="16088" priority="17219" operator="equal">
      <formula>"C-Off"</formula>
    </cfRule>
    <cfRule type="cellIs" dxfId="16087" priority="17220" operator="equal">
      <formula>"CL-H"</formula>
    </cfRule>
    <cfRule type="cellIs" dxfId="16086" priority="17221" operator="equal">
      <formula>"EL-H"</formula>
    </cfRule>
    <cfRule type="cellIs" dxfId="16085" priority="17222" operator="equal">
      <formula>"CL"</formula>
    </cfRule>
    <cfRule type="cellIs" dxfId="16084" priority="17223" operator="equal">
      <formula>"EL"</formula>
    </cfRule>
  </conditionalFormatting>
  <conditionalFormatting sqref="AZ13:BA13">
    <cfRule type="containsText" dxfId="16083" priority="17212" operator="containsText" text="S">
      <formula>NOT(ISERROR(SEARCH("S",AZ13)))</formula>
    </cfRule>
    <cfRule type="containsText" dxfId="16082" priority="17213" operator="containsText" text="P">
      <formula>NOT(ISERROR(SEARCH("P",AZ13)))</formula>
    </cfRule>
    <cfRule type="containsText" dxfId="16081" priority="17214" operator="containsText" text="H">
      <formula>NOT(ISERROR(SEARCH("H",AZ13)))</formula>
    </cfRule>
    <cfRule type="containsText" dxfId="16080" priority="17216" operator="containsText" text="&quot;H&quot;">
      <formula>NOT(ISERROR(SEARCH("""H""",AZ13)))</formula>
    </cfRule>
    <cfRule type="containsText" dxfId="16079" priority="17217" operator="containsText" text="&quot;A&quot;">
      <formula>NOT(ISERROR(SEARCH("""A""",AZ13)))</formula>
    </cfRule>
  </conditionalFormatting>
  <conditionalFormatting sqref="AZ13:BA13">
    <cfRule type="containsText" dxfId="16078" priority="17215" operator="containsText" text="A-H">
      <formula>NOT(ISERROR(SEARCH("A-H",AZ13)))</formula>
    </cfRule>
  </conditionalFormatting>
  <conditionalFormatting sqref="BC13:BD13">
    <cfRule type="cellIs" dxfId="16077" priority="17206" operator="equal">
      <formula>"C-Off-H"</formula>
    </cfRule>
    <cfRule type="cellIs" dxfId="16076" priority="17207" operator="equal">
      <formula>"C-Off"</formula>
    </cfRule>
    <cfRule type="cellIs" dxfId="16075" priority="17208" operator="equal">
      <formula>"CL-H"</formula>
    </cfRule>
    <cfRule type="cellIs" dxfId="16074" priority="17209" operator="equal">
      <formula>"EL-H"</formula>
    </cfRule>
    <cfRule type="cellIs" dxfId="16073" priority="17210" operator="equal">
      <formula>"CL"</formula>
    </cfRule>
    <cfRule type="cellIs" dxfId="16072" priority="17211" operator="equal">
      <formula>"EL"</formula>
    </cfRule>
  </conditionalFormatting>
  <conditionalFormatting sqref="BC13:BD13">
    <cfRule type="containsText" dxfId="16071" priority="17200" operator="containsText" text="S">
      <formula>NOT(ISERROR(SEARCH("S",BC13)))</formula>
    </cfRule>
    <cfRule type="containsText" dxfId="16070" priority="17201" operator="containsText" text="P">
      <formula>NOT(ISERROR(SEARCH("P",BC13)))</formula>
    </cfRule>
    <cfRule type="containsText" dxfId="16069" priority="17202" operator="containsText" text="H">
      <formula>NOT(ISERROR(SEARCH("H",BC13)))</formula>
    </cfRule>
    <cfRule type="containsText" dxfId="16068" priority="17204" operator="containsText" text="&quot;H&quot;">
      <formula>NOT(ISERROR(SEARCH("""H""",BC13)))</formula>
    </cfRule>
    <cfRule type="containsText" dxfId="16067" priority="17205" operator="containsText" text="&quot;A&quot;">
      <formula>NOT(ISERROR(SEARCH("""A""",BC13)))</formula>
    </cfRule>
  </conditionalFormatting>
  <conditionalFormatting sqref="BC13:BD13">
    <cfRule type="containsText" dxfId="16066" priority="17203" operator="containsText" text="A-H">
      <formula>NOT(ISERROR(SEARCH("A-H",BC13)))</formula>
    </cfRule>
  </conditionalFormatting>
  <conditionalFormatting sqref="BF13:BG13">
    <cfRule type="cellIs" dxfId="16065" priority="17194" operator="equal">
      <formula>"C-Off-H"</formula>
    </cfRule>
    <cfRule type="cellIs" dxfId="16064" priority="17195" operator="equal">
      <formula>"C-Off"</formula>
    </cfRule>
    <cfRule type="cellIs" dxfId="16063" priority="17196" operator="equal">
      <formula>"CL-H"</formula>
    </cfRule>
    <cfRule type="cellIs" dxfId="16062" priority="17197" operator="equal">
      <formula>"EL-H"</formula>
    </cfRule>
    <cfRule type="cellIs" dxfId="16061" priority="17198" operator="equal">
      <formula>"CL"</formula>
    </cfRule>
    <cfRule type="cellIs" dxfId="16060" priority="17199" operator="equal">
      <formula>"EL"</formula>
    </cfRule>
  </conditionalFormatting>
  <conditionalFormatting sqref="BF13:BG13">
    <cfRule type="containsText" dxfId="16059" priority="17188" operator="containsText" text="S">
      <formula>NOT(ISERROR(SEARCH("S",BF13)))</formula>
    </cfRule>
    <cfRule type="containsText" dxfId="16058" priority="17189" operator="containsText" text="P">
      <formula>NOT(ISERROR(SEARCH("P",BF13)))</formula>
    </cfRule>
    <cfRule type="containsText" dxfId="16057" priority="17190" operator="containsText" text="H">
      <formula>NOT(ISERROR(SEARCH("H",BF13)))</formula>
    </cfRule>
    <cfRule type="containsText" dxfId="16056" priority="17192" operator="containsText" text="&quot;H&quot;">
      <formula>NOT(ISERROR(SEARCH("""H""",BF13)))</formula>
    </cfRule>
    <cfRule type="containsText" dxfId="16055" priority="17193" operator="containsText" text="&quot;A&quot;">
      <formula>NOT(ISERROR(SEARCH("""A""",BF13)))</formula>
    </cfRule>
  </conditionalFormatting>
  <conditionalFormatting sqref="BF13:BG13">
    <cfRule type="containsText" dxfId="16054" priority="17191" operator="containsText" text="A-H">
      <formula>NOT(ISERROR(SEARCH("A-H",BF13)))</formula>
    </cfRule>
  </conditionalFormatting>
  <conditionalFormatting sqref="BI13:BJ13">
    <cfRule type="cellIs" dxfId="16053" priority="17182" operator="equal">
      <formula>"C-Off-H"</formula>
    </cfRule>
    <cfRule type="cellIs" dxfId="16052" priority="17183" operator="equal">
      <formula>"C-Off"</formula>
    </cfRule>
    <cfRule type="cellIs" dxfId="16051" priority="17184" operator="equal">
      <formula>"CL-H"</formula>
    </cfRule>
    <cfRule type="cellIs" dxfId="16050" priority="17185" operator="equal">
      <formula>"EL-H"</formula>
    </cfRule>
    <cfRule type="cellIs" dxfId="16049" priority="17186" operator="equal">
      <formula>"CL"</formula>
    </cfRule>
    <cfRule type="cellIs" dxfId="16048" priority="17187" operator="equal">
      <formula>"EL"</formula>
    </cfRule>
  </conditionalFormatting>
  <conditionalFormatting sqref="BI13:BJ13">
    <cfRule type="containsText" dxfId="16047" priority="17176" operator="containsText" text="S">
      <formula>NOT(ISERROR(SEARCH("S",BI13)))</formula>
    </cfRule>
    <cfRule type="containsText" dxfId="16046" priority="17177" operator="containsText" text="P">
      <formula>NOT(ISERROR(SEARCH("P",BI13)))</formula>
    </cfRule>
    <cfRule type="containsText" dxfId="16045" priority="17178" operator="containsText" text="H">
      <formula>NOT(ISERROR(SEARCH("H",BI13)))</formula>
    </cfRule>
    <cfRule type="containsText" dxfId="16044" priority="17180" operator="containsText" text="&quot;H&quot;">
      <formula>NOT(ISERROR(SEARCH("""H""",BI13)))</formula>
    </cfRule>
    <cfRule type="containsText" dxfId="16043" priority="17181" operator="containsText" text="&quot;A&quot;">
      <formula>NOT(ISERROR(SEARCH("""A""",BI13)))</formula>
    </cfRule>
  </conditionalFormatting>
  <conditionalFormatting sqref="BI13:BJ13">
    <cfRule type="containsText" dxfId="16042" priority="17179" operator="containsText" text="A-H">
      <formula>NOT(ISERROR(SEARCH("A-H",BI13)))</formula>
    </cfRule>
  </conditionalFormatting>
  <conditionalFormatting sqref="BL13:BM13">
    <cfRule type="cellIs" dxfId="16041" priority="17170" operator="equal">
      <formula>"C-Off-H"</formula>
    </cfRule>
    <cfRule type="cellIs" dxfId="16040" priority="17171" operator="equal">
      <formula>"C-Off"</formula>
    </cfRule>
    <cfRule type="cellIs" dxfId="16039" priority="17172" operator="equal">
      <formula>"CL-H"</formula>
    </cfRule>
    <cfRule type="cellIs" dxfId="16038" priority="17173" operator="equal">
      <formula>"EL-H"</formula>
    </cfRule>
    <cfRule type="cellIs" dxfId="16037" priority="17174" operator="equal">
      <formula>"CL"</formula>
    </cfRule>
    <cfRule type="cellIs" dxfId="16036" priority="17175" operator="equal">
      <formula>"EL"</formula>
    </cfRule>
  </conditionalFormatting>
  <conditionalFormatting sqref="BL13:BM13">
    <cfRule type="containsText" dxfId="16035" priority="17164" operator="containsText" text="S">
      <formula>NOT(ISERROR(SEARCH("S",BL13)))</formula>
    </cfRule>
    <cfRule type="containsText" dxfId="16034" priority="17165" operator="containsText" text="P">
      <formula>NOT(ISERROR(SEARCH("P",BL13)))</formula>
    </cfRule>
    <cfRule type="containsText" dxfId="16033" priority="17166" operator="containsText" text="H">
      <formula>NOT(ISERROR(SEARCH("H",BL13)))</formula>
    </cfRule>
    <cfRule type="containsText" dxfId="16032" priority="17168" operator="containsText" text="&quot;H&quot;">
      <formula>NOT(ISERROR(SEARCH("""H""",BL13)))</formula>
    </cfRule>
    <cfRule type="containsText" dxfId="16031" priority="17169" operator="containsText" text="&quot;A&quot;">
      <formula>NOT(ISERROR(SEARCH("""A""",BL13)))</formula>
    </cfRule>
  </conditionalFormatting>
  <conditionalFormatting sqref="BL13:BM13">
    <cfRule type="containsText" dxfId="16030" priority="17167" operator="containsText" text="A-H">
      <formula>NOT(ISERROR(SEARCH("A-H",BL13)))</formula>
    </cfRule>
  </conditionalFormatting>
  <conditionalFormatting sqref="BR13:BS13">
    <cfRule type="cellIs" dxfId="16029" priority="17158" operator="equal">
      <formula>"C-Off-H"</formula>
    </cfRule>
    <cfRule type="cellIs" dxfId="16028" priority="17159" operator="equal">
      <formula>"C-Off"</formula>
    </cfRule>
    <cfRule type="cellIs" dxfId="16027" priority="17160" operator="equal">
      <formula>"CL-H"</formula>
    </cfRule>
    <cfRule type="cellIs" dxfId="16026" priority="17161" operator="equal">
      <formula>"EL-H"</formula>
    </cfRule>
    <cfRule type="cellIs" dxfId="16025" priority="17162" operator="equal">
      <formula>"CL"</formula>
    </cfRule>
    <cfRule type="cellIs" dxfId="16024" priority="17163" operator="equal">
      <formula>"EL"</formula>
    </cfRule>
  </conditionalFormatting>
  <conditionalFormatting sqref="BR13:BS13">
    <cfRule type="containsText" dxfId="16023" priority="17152" operator="containsText" text="S">
      <formula>NOT(ISERROR(SEARCH("S",BR13)))</formula>
    </cfRule>
    <cfRule type="containsText" dxfId="16022" priority="17153" operator="containsText" text="P">
      <formula>NOT(ISERROR(SEARCH("P",BR13)))</formula>
    </cfRule>
    <cfRule type="containsText" dxfId="16021" priority="17154" operator="containsText" text="H">
      <formula>NOT(ISERROR(SEARCH("H",BR13)))</formula>
    </cfRule>
    <cfRule type="containsText" dxfId="16020" priority="17156" operator="containsText" text="&quot;H&quot;">
      <formula>NOT(ISERROR(SEARCH("""H""",BR13)))</formula>
    </cfRule>
    <cfRule type="containsText" dxfId="16019" priority="17157" operator="containsText" text="&quot;A&quot;">
      <formula>NOT(ISERROR(SEARCH("""A""",BR13)))</formula>
    </cfRule>
  </conditionalFormatting>
  <conditionalFormatting sqref="BR13:BS13">
    <cfRule type="containsText" dxfId="16018" priority="17155" operator="containsText" text="A-H">
      <formula>NOT(ISERROR(SEARCH("A-H",BR13)))</formula>
    </cfRule>
  </conditionalFormatting>
  <conditionalFormatting sqref="BU13:BV13">
    <cfRule type="cellIs" dxfId="16017" priority="17146" operator="equal">
      <formula>"C-Off-H"</formula>
    </cfRule>
    <cfRule type="cellIs" dxfId="16016" priority="17147" operator="equal">
      <formula>"C-Off"</formula>
    </cfRule>
    <cfRule type="cellIs" dxfId="16015" priority="17148" operator="equal">
      <formula>"CL-H"</formula>
    </cfRule>
    <cfRule type="cellIs" dxfId="16014" priority="17149" operator="equal">
      <formula>"EL-H"</formula>
    </cfRule>
    <cfRule type="cellIs" dxfId="16013" priority="17150" operator="equal">
      <formula>"CL"</formula>
    </cfRule>
    <cfRule type="cellIs" dxfId="16012" priority="17151" operator="equal">
      <formula>"EL"</formula>
    </cfRule>
  </conditionalFormatting>
  <conditionalFormatting sqref="BU13:BV13">
    <cfRule type="containsText" dxfId="16011" priority="17140" operator="containsText" text="S">
      <formula>NOT(ISERROR(SEARCH("S",BU13)))</formula>
    </cfRule>
    <cfRule type="containsText" dxfId="16010" priority="17141" operator="containsText" text="P">
      <formula>NOT(ISERROR(SEARCH("P",BU13)))</formula>
    </cfRule>
    <cfRule type="containsText" dxfId="16009" priority="17142" operator="containsText" text="H">
      <formula>NOT(ISERROR(SEARCH("H",BU13)))</formula>
    </cfRule>
    <cfRule type="containsText" dxfId="16008" priority="17144" operator="containsText" text="&quot;H&quot;">
      <formula>NOT(ISERROR(SEARCH("""H""",BU13)))</formula>
    </cfRule>
    <cfRule type="containsText" dxfId="16007" priority="17145" operator="containsText" text="&quot;A&quot;">
      <formula>NOT(ISERROR(SEARCH("""A""",BU13)))</formula>
    </cfRule>
  </conditionalFormatting>
  <conditionalFormatting sqref="BU13:BV13">
    <cfRule type="containsText" dxfId="16006" priority="17143" operator="containsText" text="A-H">
      <formula>NOT(ISERROR(SEARCH("A-H",BU13)))</formula>
    </cfRule>
  </conditionalFormatting>
  <conditionalFormatting sqref="BY13">
    <cfRule type="cellIs" dxfId="16005" priority="17134" operator="equal">
      <formula>"C-Off-H"</formula>
    </cfRule>
    <cfRule type="cellIs" dxfId="16004" priority="17135" operator="equal">
      <formula>"C-Off"</formula>
    </cfRule>
    <cfRule type="cellIs" dxfId="16003" priority="17136" operator="equal">
      <formula>"CL-H"</formula>
    </cfRule>
    <cfRule type="cellIs" dxfId="16002" priority="17137" operator="equal">
      <formula>"EL-H"</formula>
    </cfRule>
    <cfRule type="cellIs" dxfId="16001" priority="17138" operator="equal">
      <formula>"CL"</formula>
    </cfRule>
    <cfRule type="cellIs" dxfId="16000" priority="17139" operator="equal">
      <formula>"EL"</formula>
    </cfRule>
  </conditionalFormatting>
  <conditionalFormatting sqref="BY13">
    <cfRule type="containsText" dxfId="15999" priority="17128" operator="containsText" text="S">
      <formula>NOT(ISERROR(SEARCH("S",BY13)))</formula>
    </cfRule>
    <cfRule type="containsText" dxfId="15998" priority="17129" operator="containsText" text="P">
      <formula>NOT(ISERROR(SEARCH("P",BY13)))</formula>
    </cfRule>
    <cfRule type="containsText" dxfId="15997" priority="17130" operator="containsText" text="H">
      <formula>NOT(ISERROR(SEARCH("H",BY13)))</formula>
    </cfRule>
    <cfRule type="containsText" dxfId="15996" priority="17132" operator="containsText" text="&quot;H&quot;">
      <formula>NOT(ISERROR(SEARCH("""H""",BY13)))</formula>
    </cfRule>
    <cfRule type="containsText" dxfId="15995" priority="17133" operator="containsText" text="&quot;A&quot;">
      <formula>NOT(ISERROR(SEARCH("""A""",BY13)))</formula>
    </cfRule>
  </conditionalFormatting>
  <conditionalFormatting sqref="BY13">
    <cfRule type="containsText" dxfId="15994" priority="17131" operator="containsText" text="A-H">
      <formula>NOT(ISERROR(SEARCH("A-H",BY13)))</formula>
    </cfRule>
  </conditionalFormatting>
  <conditionalFormatting sqref="BX13">
    <cfRule type="cellIs" dxfId="15993" priority="17122" operator="equal">
      <formula>"C-Off-H"</formula>
    </cfRule>
    <cfRule type="cellIs" dxfId="15992" priority="17123" operator="equal">
      <formula>"C-Off"</formula>
    </cfRule>
    <cfRule type="cellIs" dxfId="15991" priority="17124" operator="equal">
      <formula>"CL-H"</formula>
    </cfRule>
    <cfRule type="cellIs" dxfId="15990" priority="17125" operator="equal">
      <formula>"EL-H"</formula>
    </cfRule>
    <cfRule type="cellIs" dxfId="15989" priority="17126" operator="equal">
      <formula>"CL"</formula>
    </cfRule>
    <cfRule type="cellIs" dxfId="15988" priority="17127" operator="equal">
      <formula>"EL"</formula>
    </cfRule>
  </conditionalFormatting>
  <conditionalFormatting sqref="BX13">
    <cfRule type="containsText" dxfId="15987" priority="17116" operator="containsText" text="S">
      <formula>NOT(ISERROR(SEARCH("S",BX13)))</formula>
    </cfRule>
    <cfRule type="containsText" dxfId="15986" priority="17117" operator="containsText" text="P">
      <formula>NOT(ISERROR(SEARCH("P",BX13)))</formula>
    </cfRule>
    <cfRule type="containsText" dxfId="15985" priority="17118" operator="containsText" text="H">
      <formula>NOT(ISERROR(SEARCH("H",BX13)))</formula>
    </cfRule>
    <cfRule type="containsText" dxfId="15984" priority="17120" operator="containsText" text="&quot;H&quot;">
      <formula>NOT(ISERROR(SEARCH("""H""",BX13)))</formula>
    </cfRule>
    <cfRule type="containsText" dxfId="15983" priority="17121" operator="containsText" text="&quot;A&quot;">
      <formula>NOT(ISERROR(SEARCH("""A""",BX13)))</formula>
    </cfRule>
  </conditionalFormatting>
  <conditionalFormatting sqref="BX13">
    <cfRule type="containsText" dxfId="15982" priority="17119" operator="containsText" text="A-H">
      <formula>NOT(ISERROR(SEARCH("A-H",BX13)))</formula>
    </cfRule>
  </conditionalFormatting>
  <conditionalFormatting sqref="J13:K13">
    <cfRule type="cellIs" dxfId="15981" priority="17110" operator="equal">
      <formula>"C-Off-H"</formula>
    </cfRule>
    <cfRule type="cellIs" dxfId="15980" priority="17111" operator="equal">
      <formula>"C-Off"</formula>
    </cfRule>
    <cfRule type="cellIs" dxfId="15979" priority="17112" operator="equal">
      <formula>"CL-H"</formula>
    </cfRule>
    <cfRule type="cellIs" dxfId="15978" priority="17113" operator="equal">
      <formula>"EL-H"</formula>
    </cfRule>
    <cfRule type="cellIs" dxfId="15977" priority="17114" operator="equal">
      <formula>"CL"</formula>
    </cfRule>
    <cfRule type="cellIs" dxfId="15976" priority="17115" operator="equal">
      <formula>"EL"</formula>
    </cfRule>
  </conditionalFormatting>
  <conditionalFormatting sqref="J13:K13">
    <cfRule type="containsText" dxfId="15975" priority="17104" operator="containsText" text="S">
      <formula>NOT(ISERROR(SEARCH("S",J13)))</formula>
    </cfRule>
    <cfRule type="containsText" dxfId="15974" priority="17105" operator="containsText" text="P">
      <formula>NOT(ISERROR(SEARCH("P",J13)))</formula>
    </cfRule>
    <cfRule type="containsText" dxfId="15973" priority="17106" operator="containsText" text="H">
      <formula>NOT(ISERROR(SEARCH("H",J13)))</formula>
    </cfRule>
    <cfRule type="containsText" dxfId="15972" priority="17108" operator="containsText" text="&quot;H&quot;">
      <formula>NOT(ISERROR(SEARCH("""H""",J13)))</formula>
    </cfRule>
    <cfRule type="containsText" dxfId="15971" priority="17109" operator="containsText" text="&quot;A&quot;">
      <formula>NOT(ISERROR(SEARCH("""A""",J13)))</formula>
    </cfRule>
  </conditionalFormatting>
  <conditionalFormatting sqref="J13:K13">
    <cfRule type="containsText" dxfId="15970" priority="17107" operator="containsText" text="A-H">
      <formula>NOT(ISERROR(SEARCH("A-H",J13)))</formula>
    </cfRule>
  </conditionalFormatting>
  <conditionalFormatting sqref="DC14 M14:N14 CQ14:CW14">
    <cfRule type="cellIs" dxfId="15969" priority="17098" operator="equal">
      <formula>"C-Off-H"</formula>
    </cfRule>
    <cfRule type="cellIs" dxfId="15968" priority="17099" operator="equal">
      <formula>"C-Off"</formula>
    </cfRule>
    <cfRule type="cellIs" dxfId="15967" priority="17100" operator="equal">
      <formula>"CL-H"</formula>
    </cfRule>
    <cfRule type="cellIs" dxfId="15966" priority="17101" operator="equal">
      <formula>"EL-H"</formula>
    </cfRule>
    <cfRule type="cellIs" dxfId="15965" priority="17102" operator="equal">
      <formula>"CL"</formula>
    </cfRule>
    <cfRule type="cellIs" dxfId="15964" priority="17103" operator="equal">
      <formula>"EL"</formula>
    </cfRule>
  </conditionalFormatting>
  <conditionalFormatting sqref="M14:N14 CQ14:CW14 CY14:DA14 DC14">
    <cfRule type="containsText" dxfId="15963" priority="17097" operator="containsText" text="A-H">
      <formula>NOT(ISERROR(SEARCH("A-H",M14)))</formula>
    </cfRule>
  </conditionalFormatting>
  <conditionalFormatting sqref="CQ14:CW14 CY14:DA14 DC14">
    <cfRule type="containsText" dxfId="15962" priority="17096" operator="containsText" text="A">
      <formula>NOT(ISERROR(SEARCH("A",CQ14)))</formula>
    </cfRule>
  </conditionalFormatting>
  <conditionalFormatting sqref="CY14 DA14">
    <cfRule type="cellIs" dxfId="15961" priority="17090" stopIfTrue="1" operator="equal">
      <formula>"C-Off-H"</formula>
    </cfRule>
    <cfRule type="cellIs" dxfId="15960" priority="17091" stopIfTrue="1" operator="equal">
      <formula>"C-Off"</formula>
    </cfRule>
    <cfRule type="cellIs" dxfId="15959" priority="17092" stopIfTrue="1" operator="equal">
      <formula>"CL-H"</formula>
    </cfRule>
    <cfRule type="cellIs" dxfId="15958" priority="17093" stopIfTrue="1" operator="equal">
      <formula>"EL-H"</formula>
    </cfRule>
    <cfRule type="cellIs" dxfId="15957" priority="17094" stopIfTrue="1" operator="equal">
      <formula>"CL"</formula>
    </cfRule>
    <cfRule type="cellIs" dxfId="15956" priority="17095" stopIfTrue="1" operator="equal">
      <formula>"EL"</formula>
    </cfRule>
  </conditionalFormatting>
  <conditionalFormatting sqref="CZ14">
    <cfRule type="cellIs" dxfId="15955" priority="17084" stopIfTrue="1" operator="equal">
      <formula>"C-Off-H"</formula>
    </cfRule>
    <cfRule type="cellIs" dxfId="15954" priority="17085" stopIfTrue="1" operator="equal">
      <formula>"C-Off"</formula>
    </cfRule>
    <cfRule type="cellIs" dxfId="15953" priority="17086" stopIfTrue="1" operator="equal">
      <formula>"CL-H"</formula>
    </cfRule>
    <cfRule type="cellIs" dxfId="15952" priority="17087" stopIfTrue="1" operator="equal">
      <formula>"EL-H"</formula>
    </cfRule>
    <cfRule type="cellIs" dxfId="15951" priority="17088" stopIfTrue="1" operator="equal">
      <formula>"CL"</formula>
    </cfRule>
    <cfRule type="cellIs" dxfId="15950" priority="17089" stopIfTrue="1" operator="equal">
      <formula>"EL"</formula>
    </cfRule>
  </conditionalFormatting>
  <conditionalFormatting sqref="M14:N14">
    <cfRule type="containsText" dxfId="15949" priority="17079" operator="containsText" text="S">
      <formula>NOT(ISERROR(SEARCH("S",M14)))</formula>
    </cfRule>
    <cfRule type="containsText" dxfId="15948" priority="17080" operator="containsText" text="P">
      <formula>NOT(ISERROR(SEARCH("P",M14)))</formula>
    </cfRule>
    <cfRule type="containsText" dxfId="15947" priority="17081" operator="containsText" text="H">
      <formula>NOT(ISERROR(SEARCH("H",M14)))</formula>
    </cfRule>
    <cfRule type="containsText" dxfId="15946" priority="17082" operator="containsText" text="&quot;H&quot;">
      <formula>NOT(ISERROR(SEARCH("""H""",M14)))</formula>
    </cfRule>
    <cfRule type="containsText" dxfId="15945" priority="17083" operator="containsText" text="&quot;A&quot;">
      <formula>NOT(ISERROR(SEARCH("""A""",M14)))</formula>
    </cfRule>
  </conditionalFormatting>
  <conditionalFormatting sqref="DD14">
    <cfRule type="cellIs" dxfId="15944" priority="17073" operator="equal">
      <formula>"C-Off-H"</formula>
    </cfRule>
    <cfRule type="cellIs" dxfId="15943" priority="17074" operator="equal">
      <formula>"C-Off"</formula>
    </cfRule>
    <cfRule type="cellIs" dxfId="15942" priority="17075" operator="equal">
      <formula>"CL-H"</formula>
    </cfRule>
    <cfRule type="cellIs" dxfId="15941" priority="17076" operator="equal">
      <formula>"EL-H"</formula>
    </cfRule>
    <cfRule type="cellIs" dxfId="15940" priority="17077" operator="equal">
      <formula>"CL"</formula>
    </cfRule>
    <cfRule type="cellIs" dxfId="15939" priority="17078" operator="equal">
      <formula>"EL"</formula>
    </cfRule>
  </conditionalFormatting>
  <conditionalFormatting sqref="DD14">
    <cfRule type="containsText" dxfId="15938" priority="17072" operator="containsText" text="A">
      <formula>NOT(ISERROR(SEARCH("A",DD14)))</formula>
    </cfRule>
  </conditionalFormatting>
  <conditionalFormatting sqref="DD14">
    <cfRule type="containsText" dxfId="15937" priority="17071" operator="containsText" text="A-H">
      <formula>NOT(ISERROR(SEARCH("A-H",DD14)))</formula>
    </cfRule>
  </conditionalFormatting>
  <conditionalFormatting sqref="AI14">
    <cfRule type="cellIs" dxfId="15936" priority="17065" operator="equal">
      <formula>"C-Off-H"</formula>
    </cfRule>
    <cfRule type="cellIs" dxfId="15935" priority="17066" operator="equal">
      <formula>"C-Off"</formula>
    </cfRule>
    <cfRule type="cellIs" dxfId="15934" priority="17067" operator="equal">
      <formula>"CL-H"</formula>
    </cfRule>
    <cfRule type="cellIs" dxfId="15933" priority="17068" operator="equal">
      <formula>"EL-H"</formula>
    </cfRule>
    <cfRule type="cellIs" dxfId="15932" priority="17069" operator="equal">
      <formula>"CL"</formula>
    </cfRule>
    <cfRule type="cellIs" dxfId="15931" priority="17070" operator="equal">
      <formula>"EL"</formula>
    </cfRule>
  </conditionalFormatting>
  <conditionalFormatting sqref="AH14:AI14">
    <cfRule type="cellIs" dxfId="15930" priority="17059" operator="equal">
      <formula>"C-Off-H"</formula>
    </cfRule>
    <cfRule type="cellIs" dxfId="15929" priority="17060" operator="equal">
      <formula>"C-Off"</formula>
    </cfRule>
    <cfRule type="cellIs" dxfId="15928" priority="17061" operator="equal">
      <formula>"CL-H"</formula>
    </cfRule>
    <cfRule type="cellIs" dxfId="15927" priority="17062" operator="equal">
      <formula>"EL-H"</formula>
    </cfRule>
    <cfRule type="cellIs" dxfId="15926" priority="17063" operator="equal">
      <formula>"CL"</formula>
    </cfRule>
    <cfRule type="cellIs" dxfId="15925" priority="17064" operator="equal">
      <formula>"EL"</formula>
    </cfRule>
  </conditionalFormatting>
  <conditionalFormatting sqref="AH14:AI14">
    <cfRule type="containsText" dxfId="15924" priority="17053" operator="containsText" text="S">
      <formula>NOT(ISERROR(SEARCH("S",AH14)))</formula>
    </cfRule>
    <cfRule type="containsText" dxfId="15923" priority="17054" operator="containsText" text="P">
      <formula>NOT(ISERROR(SEARCH("P",AH14)))</formula>
    </cfRule>
    <cfRule type="containsText" dxfId="15922" priority="17055" operator="containsText" text="H">
      <formula>NOT(ISERROR(SEARCH("H",AH14)))</formula>
    </cfRule>
    <cfRule type="containsText" dxfId="15921" priority="17057" operator="containsText" text="&quot;H&quot;">
      <formula>NOT(ISERROR(SEARCH("""H""",AH14)))</formula>
    </cfRule>
    <cfRule type="containsText" dxfId="15920" priority="17058" operator="containsText" text="&quot;A&quot;">
      <formula>NOT(ISERROR(SEARCH("""A""",AH14)))</formula>
    </cfRule>
  </conditionalFormatting>
  <conditionalFormatting sqref="AH14:AI14">
    <cfRule type="containsText" dxfId="15919" priority="17056" operator="containsText" text="A-H">
      <formula>NOT(ISERROR(SEARCH("A-H",AH14)))</formula>
    </cfRule>
  </conditionalFormatting>
  <conditionalFormatting sqref="AU14">
    <cfRule type="cellIs" dxfId="15918" priority="17047" operator="equal">
      <formula>"C-Off-H"</formula>
    </cfRule>
    <cfRule type="cellIs" dxfId="15917" priority="17048" operator="equal">
      <formula>"C-Off"</formula>
    </cfRule>
    <cfRule type="cellIs" dxfId="15916" priority="17049" operator="equal">
      <formula>"CL-H"</formula>
    </cfRule>
    <cfRule type="cellIs" dxfId="15915" priority="17050" operator="equal">
      <formula>"EL-H"</formula>
    </cfRule>
    <cfRule type="cellIs" dxfId="15914" priority="17051" operator="equal">
      <formula>"CL"</formula>
    </cfRule>
    <cfRule type="cellIs" dxfId="15913" priority="17052" operator="equal">
      <formula>"EL"</formula>
    </cfRule>
  </conditionalFormatting>
  <conditionalFormatting sqref="AT14:AU14">
    <cfRule type="cellIs" dxfId="15912" priority="17041" operator="equal">
      <formula>"C-Off-H"</formula>
    </cfRule>
    <cfRule type="cellIs" dxfId="15911" priority="17042" operator="equal">
      <formula>"C-Off"</formula>
    </cfRule>
    <cfRule type="cellIs" dxfId="15910" priority="17043" operator="equal">
      <formula>"CL-H"</formula>
    </cfRule>
    <cfRule type="cellIs" dxfId="15909" priority="17044" operator="equal">
      <formula>"EL-H"</formula>
    </cfRule>
    <cfRule type="cellIs" dxfId="15908" priority="17045" operator="equal">
      <formula>"CL"</formula>
    </cfRule>
    <cfRule type="cellIs" dxfId="15907" priority="17046" operator="equal">
      <formula>"EL"</formula>
    </cfRule>
  </conditionalFormatting>
  <conditionalFormatting sqref="AT14:AU14">
    <cfRule type="containsText" dxfId="15906" priority="17035" operator="containsText" text="S">
      <formula>NOT(ISERROR(SEARCH("S",AT14)))</formula>
    </cfRule>
    <cfRule type="containsText" dxfId="15905" priority="17036" operator="containsText" text="P">
      <formula>NOT(ISERROR(SEARCH("P",AT14)))</formula>
    </cfRule>
    <cfRule type="containsText" dxfId="15904" priority="17037" operator="containsText" text="H">
      <formula>NOT(ISERROR(SEARCH("H",AT14)))</formula>
    </cfRule>
    <cfRule type="containsText" dxfId="15903" priority="17039" operator="containsText" text="&quot;H&quot;">
      <formula>NOT(ISERROR(SEARCH("""H""",AT14)))</formula>
    </cfRule>
    <cfRule type="containsText" dxfId="15902" priority="17040" operator="containsText" text="&quot;A&quot;">
      <formula>NOT(ISERROR(SEARCH("""A""",AT14)))</formula>
    </cfRule>
  </conditionalFormatting>
  <conditionalFormatting sqref="AT14:AU14">
    <cfRule type="containsText" dxfId="15901" priority="17038" operator="containsText" text="A-H">
      <formula>NOT(ISERROR(SEARCH("A-H",AT14)))</formula>
    </cfRule>
  </conditionalFormatting>
  <conditionalFormatting sqref="E14">
    <cfRule type="cellIs" dxfId="15900" priority="17029" operator="equal">
      <formula>"C-Off-H"</formula>
    </cfRule>
    <cfRule type="cellIs" dxfId="15899" priority="17030" operator="equal">
      <formula>"C-Off"</formula>
    </cfRule>
    <cfRule type="cellIs" dxfId="15898" priority="17031" operator="equal">
      <formula>"CL-H"</formula>
    </cfRule>
    <cfRule type="cellIs" dxfId="15897" priority="17032" operator="equal">
      <formula>"EL-H"</formula>
    </cfRule>
    <cfRule type="cellIs" dxfId="15896" priority="17033" operator="equal">
      <formula>"CL"</formula>
    </cfRule>
    <cfRule type="cellIs" dxfId="15895" priority="17034" operator="equal">
      <formula>"EL"</formula>
    </cfRule>
  </conditionalFormatting>
  <conditionalFormatting sqref="D14:E14">
    <cfRule type="cellIs" dxfId="15894" priority="17023" operator="equal">
      <formula>"C-Off-H"</formula>
    </cfRule>
    <cfRule type="cellIs" dxfId="15893" priority="17024" operator="equal">
      <formula>"C-Off"</formula>
    </cfRule>
    <cfRule type="cellIs" dxfId="15892" priority="17025" operator="equal">
      <formula>"CL-H"</formula>
    </cfRule>
    <cfRule type="cellIs" dxfId="15891" priority="17026" operator="equal">
      <formula>"EL-H"</formula>
    </cfRule>
    <cfRule type="cellIs" dxfId="15890" priority="17027" operator="equal">
      <formula>"CL"</formula>
    </cfRule>
    <cfRule type="cellIs" dxfId="15889" priority="17028" operator="equal">
      <formula>"EL"</formula>
    </cfRule>
  </conditionalFormatting>
  <conditionalFormatting sqref="D14:E14">
    <cfRule type="containsText" dxfId="15888" priority="17017" operator="containsText" text="S">
      <formula>NOT(ISERROR(SEARCH("S",D14)))</formula>
    </cfRule>
    <cfRule type="containsText" dxfId="15887" priority="17018" operator="containsText" text="P">
      <formula>NOT(ISERROR(SEARCH("P",D14)))</formula>
    </cfRule>
    <cfRule type="containsText" dxfId="15886" priority="17019" operator="containsText" text="H">
      <formula>NOT(ISERROR(SEARCH("H",D14)))</formula>
    </cfRule>
    <cfRule type="containsText" dxfId="15885" priority="17021" operator="containsText" text="&quot;H&quot;">
      <formula>NOT(ISERROR(SEARCH("""H""",D14)))</formula>
    </cfRule>
    <cfRule type="containsText" dxfId="15884" priority="17022" operator="containsText" text="&quot;A&quot;">
      <formula>NOT(ISERROR(SEARCH("""A""",D14)))</formula>
    </cfRule>
  </conditionalFormatting>
  <conditionalFormatting sqref="D14:E14">
    <cfRule type="containsText" dxfId="15883" priority="17020" operator="containsText" text="A-H">
      <formula>NOT(ISERROR(SEARCH("A-H",D14)))</formula>
    </cfRule>
  </conditionalFormatting>
  <conditionalFormatting sqref="Y14">
    <cfRule type="cellIs" dxfId="15882" priority="17011" operator="equal">
      <formula>"C-Off-H"</formula>
    </cfRule>
    <cfRule type="cellIs" dxfId="15881" priority="17012" operator="equal">
      <formula>"C-Off"</formula>
    </cfRule>
    <cfRule type="cellIs" dxfId="15880" priority="17013" operator="equal">
      <formula>"CL-H"</formula>
    </cfRule>
    <cfRule type="cellIs" dxfId="15879" priority="17014" operator="equal">
      <formula>"EL-H"</formula>
    </cfRule>
    <cfRule type="cellIs" dxfId="15878" priority="17015" operator="equal">
      <formula>"CL"</formula>
    </cfRule>
    <cfRule type="cellIs" dxfId="15877" priority="17016" operator="equal">
      <formula>"EL"</formula>
    </cfRule>
  </conditionalFormatting>
  <conditionalFormatting sqref="Y14">
    <cfRule type="containsText" dxfId="15876" priority="17005" operator="containsText" text="S">
      <formula>NOT(ISERROR(SEARCH("S",Y14)))</formula>
    </cfRule>
    <cfRule type="containsText" dxfId="15875" priority="17006" operator="containsText" text="P">
      <formula>NOT(ISERROR(SEARCH("P",Y14)))</formula>
    </cfRule>
    <cfRule type="containsText" dxfId="15874" priority="17007" operator="containsText" text="H">
      <formula>NOT(ISERROR(SEARCH("H",Y14)))</formula>
    </cfRule>
    <cfRule type="containsText" dxfId="15873" priority="17009" operator="containsText" text="&quot;H&quot;">
      <formula>NOT(ISERROR(SEARCH("""H""",Y14)))</formula>
    </cfRule>
    <cfRule type="containsText" dxfId="15872" priority="17010" operator="containsText" text="&quot;A&quot;">
      <formula>NOT(ISERROR(SEARCH("""A""",Y14)))</formula>
    </cfRule>
  </conditionalFormatting>
  <conditionalFormatting sqref="Y14">
    <cfRule type="containsText" dxfId="15871" priority="17008" operator="containsText" text="A-H">
      <formula>NOT(ISERROR(SEARCH("A-H",Y14)))</formula>
    </cfRule>
  </conditionalFormatting>
  <conditionalFormatting sqref="AF14">
    <cfRule type="cellIs" dxfId="15870" priority="16999" operator="equal">
      <formula>"C-Off-H"</formula>
    </cfRule>
    <cfRule type="cellIs" dxfId="15869" priority="17000" operator="equal">
      <formula>"C-Off"</formula>
    </cfRule>
    <cfRule type="cellIs" dxfId="15868" priority="17001" operator="equal">
      <formula>"CL-H"</formula>
    </cfRule>
    <cfRule type="cellIs" dxfId="15867" priority="17002" operator="equal">
      <formula>"EL-H"</formula>
    </cfRule>
    <cfRule type="cellIs" dxfId="15866" priority="17003" operator="equal">
      <formula>"CL"</formula>
    </cfRule>
    <cfRule type="cellIs" dxfId="15865" priority="17004" operator="equal">
      <formula>"EL"</formula>
    </cfRule>
  </conditionalFormatting>
  <conditionalFormatting sqref="AF14">
    <cfRule type="containsText" dxfId="15864" priority="16993" operator="containsText" text="S">
      <formula>NOT(ISERROR(SEARCH("S",AF14)))</formula>
    </cfRule>
    <cfRule type="containsText" dxfId="15863" priority="16994" operator="containsText" text="P">
      <formula>NOT(ISERROR(SEARCH("P",AF14)))</formula>
    </cfRule>
    <cfRule type="containsText" dxfId="15862" priority="16995" operator="containsText" text="H">
      <formula>NOT(ISERROR(SEARCH("H",AF14)))</formula>
    </cfRule>
    <cfRule type="containsText" dxfId="15861" priority="16997" operator="containsText" text="&quot;H&quot;">
      <formula>NOT(ISERROR(SEARCH("""H""",AF14)))</formula>
    </cfRule>
    <cfRule type="containsText" dxfId="15860" priority="16998" operator="containsText" text="&quot;A&quot;">
      <formula>NOT(ISERROR(SEARCH("""A""",AF14)))</formula>
    </cfRule>
  </conditionalFormatting>
  <conditionalFormatting sqref="AF14">
    <cfRule type="containsText" dxfId="15859" priority="16996" operator="containsText" text="A-H">
      <formula>NOT(ISERROR(SEARCH("A-H",AF14)))</formula>
    </cfRule>
  </conditionalFormatting>
  <conditionalFormatting sqref="BO14:BP14">
    <cfRule type="cellIs" dxfId="15858" priority="16987" operator="equal">
      <formula>"C-Off-H"</formula>
    </cfRule>
    <cfRule type="cellIs" dxfId="15857" priority="16988" operator="equal">
      <formula>"C-Off"</formula>
    </cfRule>
    <cfRule type="cellIs" dxfId="15856" priority="16989" operator="equal">
      <formula>"CL-H"</formula>
    </cfRule>
    <cfRule type="cellIs" dxfId="15855" priority="16990" operator="equal">
      <formula>"EL-H"</formula>
    </cfRule>
    <cfRule type="cellIs" dxfId="15854" priority="16991" operator="equal">
      <formula>"CL"</formula>
    </cfRule>
    <cfRule type="cellIs" dxfId="15853" priority="16992" operator="equal">
      <formula>"EL"</formula>
    </cfRule>
  </conditionalFormatting>
  <conditionalFormatting sqref="BO14:BP14">
    <cfRule type="cellIs" dxfId="15852" priority="16981" operator="equal">
      <formula>"C-Off-H"</formula>
    </cfRule>
    <cfRule type="cellIs" dxfId="15851" priority="16982" operator="equal">
      <formula>"C-Off"</formula>
    </cfRule>
    <cfRule type="cellIs" dxfId="15850" priority="16983" operator="equal">
      <formula>"CL-H"</formula>
    </cfRule>
    <cfRule type="cellIs" dxfId="15849" priority="16984" operator="equal">
      <formula>"EL-H"</formula>
    </cfRule>
    <cfRule type="cellIs" dxfId="15848" priority="16985" operator="equal">
      <formula>"CL"</formula>
    </cfRule>
    <cfRule type="cellIs" dxfId="15847" priority="16986" operator="equal">
      <formula>"EL"</formula>
    </cfRule>
  </conditionalFormatting>
  <conditionalFormatting sqref="BO14:BP14">
    <cfRule type="containsText" dxfId="15846" priority="16975" operator="containsText" text="S">
      <formula>NOT(ISERROR(SEARCH("S",BO14)))</formula>
    </cfRule>
    <cfRule type="containsText" dxfId="15845" priority="16976" operator="containsText" text="P">
      <formula>NOT(ISERROR(SEARCH("P",BO14)))</formula>
    </cfRule>
    <cfRule type="containsText" dxfId="15844" priority="16977" operator="containsText" text="H">
      <formula>NOT(ISERROR(SEARCH("H",BO14)))</formula>
    </cfRule>
    <cfRule type="containsText" dxfId="15843" priority="16979" operator="containsText" text="&quot;H&quot;">
      <formula>NOT(ISERROR(SEARCH("""H""",BO14)))</formula>
    </cfRule>
    <cfRule type="containsText" dxfId="15842" priority="16980" operator="containsText" text="&quot;A&quot;">
      <formula>NOT(ISERROR(SEARCH("""A""",BO14)))</formula>
    </cfRule>
  </conditionalFormatting>
  <conditionalFormatting sqref="BO14:BP14">
    <cfRule type="containsText" dxfId="15841" priority="16978" operator="containsText" text="A-H">
      <formula>NOT(ISERROR(SEARCH("A-H",BO14)))</formula>
    </cfRule>
  </conditionalFormatting>
  <conditionalFormatting sqref="CM14">
    <cfRule type="cellIs" dxfId="15840" priority="16969" operator="equal">
      <formula>"C-Off-H"</formula>
    </cfRule>
    <cfRule type="cellIs" dxfId="15839" priority="16970" operator="equal">
      <formula>"C-Off"</formula>
    </cfRule>
    <cfRule type="cellIs" dxfId="15838" priority="16971" operator="equal">
      <formula>"CL-H"</formula>
    </cfRule>
    <cfRule type="cellIs" dxfId="15837" priority="16972" operator="equal">
      <formula>"EL-H"</formula>
    </cfRule>
    <cfRule type="cellIs" dxfId="15836" priority="16973" operator="equal">
      <formula>"CL"</formula>
    </cfRule>
    <cfRule type="cellIs" dxfId="15835" priority="16974" operator="equal">
      <formula>"EL"</formula>
    </cfRule>
  </conditionalFormatting>
  <conditionalFormatting sqref="CM14">
    <cfRule type="cellIs" dxfId="15834" priority="16963" operator="equal">
      <formula>"C-Off-H"</formula>
    </cfRule>
    <cfRule type="cellIs" dxfId="15833" priority="16964" operator="equal">
      <formula>"C-Off"</formula>
    </cfRule>
    <cfRule type="cellIs" dxfId="15832" priority="16965" operator="equal">
      <formula>"CL-H"</formula>
    </cfRule>
    <cfRule type="cellIs" dxfId="15831" priority="16966" operator="equal">
      <formula>"EL-H"</formula>
    </cfRule>
    <cfRule type="cellIs" dxfId="15830" priority="16967" operator="equal">
      <formula>"CL"</formula>
    </cfRule>
    <cfRule type="cellIs" dxfId="15829" priority="16968" operator="equal">
      <formula>"EL"</formula>
    </cfRule>
  </conditionalFormatting>
  <conditionalFormatting sqref="CM14">
    <cfRule type="containsText" dxfId="15828" priority="16957" operator="containsText" text="S">
      <formula>NOT(ISERROR(SEARCH("S",CM14)))</formula>
    </cfRule>
    <cfRule type="containsText" dxfId="15827" priority="16958" operator="containsText" text="P">
      <formula>NOT(ISERROR(SEARCH("P",CM14)))</formula>
    </cfRule>
    <cfRule type="containsText" dxfId="15826" priority="16959" operator="containsText" text="H">
      <formula>NOT(ISERROR(SEARCH("H",CM14)))</formula>
    </cfRule>
    <cfRule type="containsText" dxfId="15825" priority="16961" operator="containsText" text="&quot;H&quot;">
      <formula>NOT(ISERROR(SEARCH("""H""",CM14)))</formula>
    </cfRule>
    <cfRule type="containsText" dxfId="15824" priority="16962" operator="containsText" text="&quot;A&quot;">
      <formula>NOT(ISERROR(SEARCH("""A""",CM14)))</formula>
    </cfRule>
  </conditionalFormatting>
  <conditionalFormatting sqref="CM14">
    <cfRule type="containsText" dxfId="15823" priority="16960" operator="containsText" text="A-H">
      <formula>NOT(ISERROR(SEARCH("A-H",CM14)))</formula>
    </cfRule>
  </conditionalFormatting>
  <conditionalFormatting sqref="V14:W14">
    <cfRule type="cellIs" dxfId="15822" priority="16927" operator="equal">
      <formula>"C-Off-H"</formula>
    </cfRule>
    <cfRule type="cellIs" dxfId="15821" priority="16928" operator="equal">
      <formula>"C-Off"</formula>
    </cfRule>
    <cfRule type="cellIs" dxfId="15820" priority="16929" operator="equal">
      <formula>"CL-H"</formula>
    </cfRule>
    <cfRule type="cellIs" dxfId="15819" priority="16930" operator="equal">
      <formula>"EL-H"</formula>
    </cfRule>
    <cfRule type="cellIs" dxfId="15818" priority="16931" operator="equal">
      <formula>"CL"</formula>
    </cfRule>
    <cfRule type="cellIs" dxfId="15817" priority="16932" operator="equal">
      <formula>"EL"</formula>
    </cfRule>
  </conditionalFormatting>
  <conditionalFormatting sqref="V14:W14">
    <cfRule type="containsText" dxfId="15816" priority="16921" operator="containsText" text="S">
      <formula>NOT(ISERROR(SEARCH("S",V14)))</formula>
    </cfRule>
    <cfRule type="containsText" dxfId="15815" priority="16922" operator="containsText" text="P">
      <formula>NOT(ISERROR(SEARCH("P",V14)))</formula>
    </cfRule>
    <cfRule type="containsText" dxfId="15814" priority="16923" operator="containsText" text="H">
      <formula>NOT(ISERROR(SEARCH("H",V14)))</formula>
    </cfRule>
    <cfRule type="containsText" dxfId="15813" priority="16925" operator="containsText" text="&quot;H&quot;">
      <formula>NOT(ISERROR(SEARCH("""H""",V14)))</formula>
    </cfRule>
    <cfRule type="containsText" dxfId="15812" priority="16926" operator="containsText" text="&quot;A&quot;">
      <formula>NOT(ISERROR(SEARCH("""A""",V14)))</formula>
    </cfRule>
  </conditionalFormatting>
  <conditionalFormatting sqref="V14:W14">
    <cfRule type="containsText" dxfId="15811" priority="16924" operator="containsText" text="A-H">
      <formula>NOT(ISERROR(SEARCH("A-H",V14)))</formula>
    </cfRule>
  </conditionalFormatting>
  <conditionalFormatting sqref="P14:Q14">
    <cfRule type="cellIs" dxfId="15810" priority="16951" operator="equal">
      <formula>"C-Off-H"</formula>
    </cfRule>
    <cfRule type="cellIs" dxfId="15809" priority="16952" operator="equal">
      <formula>"C-Off"</formula>
    </cfRule>
    <cfRule type="cellIs" dxfId="15808" priority="16953" operator="equal">
      <formula>"CL-H"</formula>
    </cfRule>
    <cfRule type="cellIs" dxfId="15807" priority="16954" operator="equal">
      <formula>"EL-H"</formula>
    </cfRule>
    <cfRule type="cellIs" dxfId="15806" priority="16955" operator="equal">
      <formula>"CL"</formula>
    </cfRule>
    <cfRule type="cellIs" dxfId="15805" priority="16956" operator="equal">
      <formula>"EL"</formula>
    </cfRule>
  </conditionalFormatting>
  <conditionalFormatting sqref="P14:Q14">
    <cfRule type="containsText" dxfId="15804" priority="16945" operator="containsText" text="S">
      <formula>NOT(ISERROR(SEARCH("S",P14)))</formula>
    </cfRule>
    <cfRule type="containsText" dxfId="15803" priority="16946" operator="containsText" text="P">
      <formula>NOT(ISERROR(SEARCH("P",P14)))</formula>
    </cfRule>
    <cfRule type="containsText" dxfId="15802" priority="16947" operator="containsText" text="H">
      <formula>NOT(ISERROR(SEARCH("H",P14)))</formula>
    </cfRule>
    <cfRule type="containsText" dxfId="15801" priority="16949" operator="containsText" text="&quot;H&quot;">
      <formula>NOT(ISERROR(SEARCH("""H""",P14)))</formula>
    </cfRule>
    <cfRule type="containsText" dxfId="15800" priority="16950" operator="containsText" text="&quot;A&quot;">
      <formula>NOT(ISERROR(SEARCH("""A""",P14)))</formula>
    </cfRule>
  </conditionalFormatting>
  <conditionalFormatting sqref="P14:Q14">
    <cfRule type="containsText" dxfId="15799" priority="16948" operator="containsText" text="A-H">
      <formula>NOT(ISERROR(SEARCH("A-H",P14)))</formula>
    </cfRule>
  </conditionalFormatting>
  <conditionalFormatting sqref="S14:T14">
    <cfRule type="cellIs" dxfId="15798" priority="16939" operator="equal">
      <formula>"C-Off-H"</formula>
    </cfRule>
    <cfRule type="cellIs" dxfId="15797" priority="16940" operator="equal">
      <formula>"C-Off"</formula>
    </cfRule>
    <cfRule type="cellIs" dxfId="15796" priority="16941" operator="equal">
      <formula>"CL-H"</formula>
    </cfRule>
    <cfRule type="cellIs" dxfId="15795" priority="16942" operator="equal">
      <formula>"EL-H"</formula>
    </cfRule>
    <cfRule type="cellIs" dxfId="15794" priority="16943" operator="equal">
      <formula>"CL"</formula>
    </cfRule>
    <cfRule type="cellIs" dxfId="15793" priority="16944" operator="equal">
      <formula>"EL"</formula>
    </cfRule>
  </conditionalFormatting>
  <conditionalFormatting sqref="S14:T14">
    <cfRule type="containsText" dxfId="15792" priority="16933" operator="containsText" text="S">
      <formula>NOT(ISERROR(SEARCH("S",S14)))</formula>
    </cfRule>
    <cfRule type="containsText" dxfId="15791" priority="16934" operator="containsText" text="P">
      <formula>NOT(ISERROR(SEARCH("P",S14)))</formula>
    </cfRule>
    <cfRule type="containsText" dxfId="15790" priority="16935" operator="containsText" text="H">
      <formula>NOT(ISERROR(SEARCH("H",S14)))</formula>
    </cfRule>
    <cfRule type="containsText" dxfId="15789" priority="16937" operator="containsText" text="&quot;H&quot;">
      <formula>NOT(ISERROR(SEARCH("""H""",S14)))</formula>
    </cfRule>
    <cfRule type="containsText" dxfId="15788" priority="16938" operator="containsText" text="&quot;A&quot;">
      <formula>NOT(ISERROR(SEARCH("""A""",S14)))</formula>
    </cfRule>
  </conditionalFormatting>
  <conditionalFormatting sqref="S14:T14">
    <cfRule type="containsText" dxfId="15787" priority="16936" operator="containsText" text="A-H">
      <formula>NOT(ISERROR(SEARCH("A-H",S14)))</formula>
    </cfRule>
  </conditionalFormatting>
  <conditionalFormatting sqref="AB14:AC14">
    <cfRule type="cellIs" dxfId="15786" priority="16915" operator="equal">
      <formula>"C-Off-H"</formula>
    </cfRule>
    <cfRule type="cellIs" dxfId="15785" priority="16916" operator="equal">
      <formula>"C-Off"</formula>
    </cfRule>
    <cfRule type="cellIs" dxfId="15784" priority="16917" operator="equal">
      <formula>"CL-H"</formula>
    </cfRule>
    <cfRule type="cellIs" dxfId="15783" priority="16918" operator="equal">
      <formula>"EL-H"</formula>
    </cfRule>
    <cfRule type="cellIs" dxfId="15782" priority="16919" operator="equal">
      <formula>"CL"</formula>
    </cfRule>
    <cfRule type="cellIs" dxfId="15781" priority="16920" operator="equal">
      <formula>"EL"</formula>
    </cfRule>
  </conditionalFormatting>
  <conditionalFormatting sqref="AB14:AC14">
    <cfRule type="containsText" dxfId="15780" priority="16909" operator="containsText" text="S">
      <formula>NOT(ISERROR(SEARCH("S",AB14)))</formula>
    </cfRule>
    <cfRule type="containsText" dxfId="15779" priority="16910" operator="containsText" text="P">
      <formula>NOT(ISERROR(SEARCH("P",AB14)))</formula>
    </cfRule>
    <cfRule type="containsText" dxfId="15778" priority="16911" operator="containsText" text="H">
      <formula>NOT(ISERROR(SEARCH("H",AB14)))</formula>
    </cfRule>
    <cfRule type="containsText" dxfId="15777" priority="16913" operator="containsText" text="&quot;H&quot;">
      <formula>NOT(ISERROR(SEARCH("""H""",AB14)))</formula>
    </cfRule>
    <cfRule type="containsText" dxfId="15776" priority="16914" operator="containsText" text="&quot;A&quot;">
      <formula>NOT(ISERROR(SEARCH("""A""",AB14)))</formula>
    </cfRule>
  </conditionalFormatting>
  <conditionalFormatting sqref="AB14:AC14">
    <cfRule type="containsText" dxfId="15775" priority="16912" operator="containsText" text="A-H">
      <formula>NOT(ISERROR(SEARCH("A-H",AB14)))</formula>
    </cfRule>
  </conditionalFormatting>
  <conditionalFormatting sqref="AE14">
    <cfRule type="cellIs" dxfId="15774" priority="16903" operator="equal">
      <formula>"C-Off-H"</formula>
    </cfRule>
    <cfRule type="cellIs" dxfId="15773" priority="16904" operator="equal">
      <formula>"C-Off"</formula>
    </cfRule>
    <cfRule type="cellIs" dxfId="15772" priority="16905" operator="equal">
      <formula>"CL-H"</formula>
    </cfRule>
    <cfRule type="cellIs" dxfId="15771" priority="16906" operator="equal">
      <formula>"EL-H"</formula>
    </cfRule>
    <cfRule type="cellIs" dxfId="15770" priority="16907" operator="equal">
      <formula>"CL"</formula>
    </cfRule>
    <cfRule type="cellIs" dxfId="15769" priority="16908" operator="equal">
      <formula>"EL"</formula>
    </cfRule>
  </conditionalFormatting>
  <conditionalFormatting sqref="AE14">
    <cfRule type="containsText" dxfId="15768" priority="16897" operator="containsText" text="S">
      <formula>NOT(ISERROR(SEARCH("S",AE14)))</formula>
    </cfRule>
    <cfRule type="containsText" dxfId="15767" priority="16898" operator="containsText" text="P">
      <formula>NOT(ISERROR(SEARCH("P",AE14)))</formula>
    </cfRule>
    <cfRule type="containsText" dxfId="15766" priority="16899" operator="containsText" text="H">
      <formula>NOT(ISERROR(SEARCH("H",AE14)))</formula>
    </cfRule>
    <cfRule type="containsText" dxfId="15765" priority="16901" operator="containsText" text="&quot;H&quot;">
      <formula>NOT(ISERROR(SEARCH("""H""",AE14)))</formula>
    </cfRule>
    <cfRule type="containsText" dxfId="15764" priority="16902" operator="containsText" text="&quot;A&quot;">
      <formula>NOT(ISERROR(SEARCH("""A""",AE14)))</formula>
    </cfRule>
  </conditionalFormatting>
  <conditionalFormatting sqref="AE14">
    <cfRule type="containsText" dxfId="15763" priority="16900" operator="containsText" text="A-H">
      <formula>NOT(ISERROR(SEARCH("A-H",AE14)))</formula>
    </cfRule>
  </conditionalFormatting>
  <conditionalFormatting sqref="AK14:AL14">
    <cfRule type="cellIs" dxfId="15762" priority="16891" operator="equal">
      <formula>"C-Off-H"</formula>
    </cfRule>
    <cfRule type="cellIs" dxfId="15761" priority="16892" operator="equal">
      <formula>"C-Off"</formula>
    </cfRule>
    <cfRule type="cellIs" dxfId="15760" priority="16893" operator="equal">
      <formula>"CL-H"</formula>
    </cfRule>
    <cfRule type="cellIs" dxfId="15759" priority="16894" operator="equal">
      <formula>"EL-H"</formula>
    </cfRule>
    <cfRule type="cellIs" dxfId="15758" priority="16895" operator="equal">
      <formula>"CL"</formula>
    </cfRule>
    <cfRule type="cellIs" dxfId="15757" priority="16896" operator="equal">
      <formula>"EL"</formula>
    </cfRule>
  </conditionalFormatting>
  <conditionalFormatting sqref="AK14:AL14">
    <cfRule type="containsText" dxfId="15756" priority="16885" operator="containsText" text="S">
      <formula>NOT(ISERROR(SEARCH("S",AK14)))</formula>
    </cfRule>
    <cfRule type="containsText" dxfId="15755" priority="16886" operator="containsText" text="P">
      <formula>NOT(ISERROR(SEARCH("P",AK14)))</formula>
    </cfRule>
    <cfRule type="containsText" dxfId="15754" priority="16887" operator="containsText" text="H">
      <formula>NOT(ISERROR(SEARCH("H",AK14)))</formula>
    </cfRule>
    <cfRule type="containsText" dxfId="15753" priority="16889" operator="containsText" text="&quot;H&quot;">
      <formula>NOT(ISERROR(SEARCH("""H""",AK14)))</formula>
    </cfRule>
    <cfRule type="containsText" dxfId="15752" priority="16890" operator="containsText" text="&quot;A&quot;">
      <formula>NOT(ISERROR(SEARCH("""A""",AK14)))</formula>
    </cfRule>
  </conditionalFormatting>
  <conditionalFormatting sqref="AK14:AL14">
    <cfRule type="containsText" dxfId="15751" priority="16888" operator="containsText" text="A-H">
      <formula>NOT(ISERROR(SEARCH("A-H",AK14)))</formula>
    </cfRule>
  </conditionalFormatting>
  <conditionalFormatting sqref="AN14:AO14">
    <cfRule type="cellIs" dxfId="15750" priority="16879" operator="equal">
      <formula>"C-Off-H"</formula>
    </cfRule>
    <cfRule type="cellIs" dxfId="15749" priority="16880" operator="equal">
      <formula>"C-Off"</formula>
    </cfRule>
    <cfRule type="cellIs" dxfId="15748" priority="16881" operator="equal">
      <formula>"CL-H"</formula>
    </cfRule>
    <cfRule type="cellIs" dxfId="15747" priority="16882" operator="equal">
      <formula>"EL-H"</formula>
    </cfRule>
    <cfRule type="cellIs" dxfId="15746" priority="16883" operator="equal">
      <formula>"CL"</formula>
    </cfRule>
    <cfRule type="cellIs" dxfId="15745" priority="16884" operator="equal">
      <formula>"EL"</formula>
    </cfRule>
  </conditionalFormatting>
  <conditionalFormatting sqref="AN14:AO14">
    <cfRule type="containsText" dxfId="15744" priority="16873" operator="containsText" text="S">
      <formula>NOT(ISERROR(SEARCH("S",AN14)))</formula>
    </cfRule>
    <cfRule type="containsText" dxfId="15743" priority="16874" operator="containsText" text="P">
      <formula>NOT(ISERROR(SEARCH("P",AN14)))</formula>
    </cfRule>
    <cfRule type="containsText" dxfId="15742" priority="16875" operator="containsText" text="H">
      <formula>NOT(ISERROR(SEARCH("H",AN14)))</formula>
    </cfRule>
    <cfRule type="containsText" dxfId="15741" priority="16877" operator="containsText" text="&quot;H&quot;">
      <formula>NOT(ISERROR(SEARCH("""H""",AN14)))</formula>
    </cfRule>
    <cfRule type="containsText" dxfId="15740" priority="16878" operator="containsText" text="&quot;A&quot;">
      <formula>NOT(ISERROR(SEARCH("""A""",AN14)))</formula>
    </cfRule>
  </conditionalFormatting>
  <conditionalFormatting sqref="AN14:AO14">
    <cfRule type="containsText" dxfId="15739" priority="16876" operator="containsText" text="A-H">
      <formula>NOT(ISERROR(SEARCH("A-H",AN14)))</formula>
    </cfRule>
  </conditionalFormatting>
  <conditionalFormatting sqref="AQ14:AR14">
    <cfRule type="cellIs" dxfId="15738" priority="16867" operator="equal">
      <formula>"C-Off-H"</formula>
    </cfRule>
    <cfRule type="cellIs" dxfId="15737" priority="16868" operator="equal">
      <formula>"C-Off"</formula>
    </cfRule>
    <cfRule type="cellIs" dxfId="15736" priority="16869" operator="equal">
      <formula>"CL-H"</formula>
    </cfRule>
    <cfRule type="cellIs" dxfId="15735" priority="16870" operator="equal">
      <formula>"EL-H"</formula>
    </cfRule>
    <cfRule type="cellIs" dxfId="15734" priority="16871" operator="equal">
      <formula>"CL"</formula>
    </cfRule>
    <cfRule type="cellIs" dxfId="15733" priority="16872" operator="equal">
      <formula>"EL"</formula>
    </cfRule>
  </conditionalFormatting>
  <conditionalFormatting sqref="AQ14:AR14">
    <cfRule type="containsText" dxfId="15732" priority="16861" operator="containsText" text="S">
      <formula>NOT(ISERROR(SEARCH("S",AQ14)))</formula>
    </cfRule>
    <cfRule type="containsText" dxfId="15731" priority="16862" operator="containsText" text="P">
      <formula>NOT(ISERROR(SEARCH("P",AQ14)))</formula>
    </cfRule>
    <cfRule type="containsText" dxfId="15730" priority="16863" operator="containsText" text="H">
      <formula>NOT(ISERROR(SEARCH("H",AQ14)))</formula>
    </cfRule>
    <cfRule type="containsText" dxfId="15729" priority="16865" operator="containsText" text="&quot;H&quot;">
      <formula>NOT(ISERROR(SEARCH("""H""",AQ14)))</formula>
    </cfRule>
    <cfRule type="containsText" dxfId="15728" priority="16866" operator="containsText" text="&quot;A&quot;">
      <formula>NOT(ISERROR(SEARCH("""A""",AQ14)))</formula>
    </cfRule>
  </conditionalFormatting>
  <conditionalFormatting sqref="AQ14:AR14">
    <cfRule type="containsText" dxfId="15727" priority="16864" operator="containsText" text="A-H">
      <formula>NOT(ISERROR(SEARCH("A-H",AQ14)))</formula>
    </cfRule>
  </conditionalFormatting>
  <conditionalFormatting sqref="AW14:AX14">
    <cfRule type="cellIs" dxfId="15726" priority="16855" operator="equal">
      <formula>"C-Off-H"</formula>
    </cfRule>
    <cfRule type="cellIs" dxfId="15725" priority="16856" operator="equal">
      <formula>"C-Off"</formula>
    </cfRule>
    <cfRule type="cellIs" dxfId="15724" priority="16857" operator="equal">
      <formula>"CL-H"</formula>
    </cfRule>
    <cfRule type="cellIs" dxfId="15723" priority="16858" operator="equal">
      <formula>"EL-H"</formula>
    </cfRule>
    <cfRule type="cellIs" dxfId="15722" priority="16859" operator="equal">
      <formula>"CL"</formula>
    </cfRule>
    <cfRule type="cellIs" dxfId="15721" priority="16860" operator="equal">
      <formula>"EL"</formula>
    </cfRule>
  </conditionalFormatting>
  <conditionalFormatting sqref="AW14:AX14">
    <cfRule type="containsText" dxfId="15720" priority="16849" operator="containsText" text="S">
      <formula>NOT(ISERROR(SEARCH("S",AW14)))</formula>
    </cfRule>
    <cfRule type="containsText" dxfId="15719" priority="16850" operator="containsText" text="P">
      <formula>NOT(ISERROR(SEARCH("P",AW14)))</formula>
    </cfRule>
    <cfRule type="containsText" dxfId="15718" priority="16851" operator="containsText" text="H">
      <formula>NOT(ISERROR(SEARCH("H",AW14)))</formula>
    </cfRule>
    <cfRule type="containsText" dxfId="15717" priority="16853" operator="containsText" text="&quot;H&quot;">
      <formula>NOT(ISERROR(SEARCH("""H""",AW14)))</formula>
    </cfRule>
    <cfRule type="containsText" dxfId="15716" priority="16854" operator="containsText" text="&quot;A&quot;">
      <formula>NOT(ISERROR(SEARCH("""A""",AW14)))</formula>
    </cfRule>
  </conditionalFormatting>
  <conditionalFormatting sqref="AW14:AX14">
    <cfRule type="containsText" dxfId="15715" priority="16852" operator="containsText" text="A-H">
      <formula>NOT(ISERROR(SEARCH("A-H",AW14)))</formula>
    </cfRule>
  </conditionalFormatting>
  <conditionalFormatting sqref="AZ14:BA14">
    <cfRule type="cellIs" dxfId="15714" priority="16843" operator="equal">
      <formula>"C-Off-H"</formula>
    </cfRule>
    <cfRule type="cellIs" dxfId="15713" priority="16844" operator="equal">
      <formula>"C-Off"</formula>
    </cfRule>
    <cfRule type="cellIs" dxfId="15712" priority="16845" operator="equal">
      <formula>"CL-H"</formula>
    </cfRule>
    <cfRule type="cellIs" dxfId="15711" priority="16846" operator="equal">
      <formula>"EL-H"</formula>
    </cfRule>
    <cfRule type="cellIs" dxfId="15710" priority="16847" operator="equal">
      <formula>"CL"</formula>
    </cfRule>
    <cfRule type="cellIs" dxfId="15709" priority="16848" operator="equal">
      <formula>"EL"</formula>
    </cfRule>
  </conditionalFormatting>
  <conditionalFormatting sqref="AZ14:BA14">
    <cfRule type="containsText" dxfId="15708" priority="16837" operator="containsText" text="S">
      <formula>NOT(ISERROR(SEARCH("S",AZ14)))</formula>
    </cfRule>
    <cfRule type="containsText" dxfId="15707" priority="16838" operator="containsText" text="P">
      <formula>NOT(ISERROR(SEARCH("P",AZ14)))</formula>
    </cfRule>
    <cfRule type="containsText" dxfId="15706" priority="16839" operator="containsText" text="H">
      <formula>NOT(ISERROR(SEARCH("H",AZ14)))</formula>
    </cfRule>
    <cfRule type="containsText" dxfId="15705" priority="16841" operator="containsText" text="&quot;H&quot;">
      <formula>NOT(ISERROR(SEARCH("""H""",AZ14)))</formula>
    </cfRule>
    <cfRule type="containsText" dxfId="15704" priority="16842" operator="containsText" text="&quot;A&quot;">
      <formula>NOT(ISERROR(SEARCH("""A""",AZ14)))</formula>
    </cfRule>
  </conditionalFormatting>
  <conditionalFormatting sqref="AZ14:BA14">
    <cfRule type="containsText" dxfId="15703" priority="16840" operator="containsText" text="A-H">
      <formula>NOT(ISERROR(SEARCH("A-H",AZ14)))</formula>
    </cfRule>
  </conditionalFormatting>
  <conditionalFormatting sqref="BC14:BD14">
    <cfRule type="cellIs" dxfId="15702" priority="16831" operator="equal">
      <formula>"C-Off-H"</formula>
    </cfRule>
    <cfRule type="cellIs" dxfId="15701" priority="16832" operator="equal">
      <formula>"C-Off"</formula>
    </cfRule>
    <cfRule type="cellIs" dxfId="15700" priority="16833" operator="equal">
      <formula>"CL-H"</formula>
    </cfRule>
    <cfRule type="cellIs" dxfId="15699" priority="16834" operator="equal">
      <formula>"EL-H"</formula>
    </cfRule>
    <cfRule type="cellIs" dxfId="15698" priority="16835" operator="equal">
      <formula>"CL"</formula>
    </cfRule>
    <cfRule type="cellIs" dxfId="15697" priority="16836" operator="equal">
      <formula>"EL"</formula>
    </cfRule>
  </conditionalFormatting>
  <conditionalFormatting sqref="BC14:BD14">
    <cfRule type="containsText" dxfId="15696" priority="16825" operator="containsText" text="S">
      <formula>NOT(ISERROR(SEARCH("S",BC14)))</formula>
    </cfRule>
    <cfRule type="containsText" dxfId="15695" priority="16826" operator="containsText" text="P">
      <formula>NOT(ISERROR(SEARCH("P",BC14)))</formula>
    </cfRule>
    <cfRule type="containsText" dxfId="15694" priority="16827" operator="containsText" text="H">
      <formula>NOT(ISERROR(SEARCH("H",BC14)))</formula>
    </cfRule>
    <cfRule type="containsText" dxfId="15693" priority="16829" operator="containsText" text="&quot;H&quot;">
      <formula>NOT(ISERROR(SEARCH("""H""",BC14)))</formula>
    </cfRule>
    <cfRule type="containsText" dxfId="15692" priority="16830" operator="containsText" text="&quot;A&quot;">
      <formula>NOT(ISERROR(SEARCH("""A""",BC14)))</formula>
    </cfRule>
  </conditionalFormatting>
  <conditionalFormatting sqref="BC14:BD14">
    <cfRule type="containsText" dxfId="15691" priority="16828" operator="containsText" text="A-H">
      <formula>NOT(ISERROR(SEARCH("A-H",BC14)))</formula>
    </cfRule>
  </conditionalFormatting>
  <conditionalFormatting sqref="BF14:BG14">
    <cfRule type="cellIs" dxfId="15690" priority="16819" operator="equal">
      <formula>"C-Off-H"</formula>
    </cfRule>
    <cfRule type="cellIs" dxfId="15689" priority="16820" operator="equal">
      <formula>"C-Off"</formula>
    </cfRule>
    <cfRule type="cellIs" dxfId="15688" priority="16821" operator="equal">
      <formula>"CL-H"</formula>
    </cfRule>
    <cfRule type="cellIs" dxfId="15687" priority="16822" operator="equal">
      <formula>"EL-H"</formula>
    </cfRule>
    <cfRule type="cellIs" dxfId="15686" priority="16823" operator="equal">
      <formula>"CL"</formula>
    </cfRule>
    <cfRule type="cellIs" dxfId="15685" priority="16824" operator="equal">
      <formula>"EL"</formula>
    </cfRule>
  </conditionalFormatting>
  <conditionalFormatting sqref="BF14:BG14">
    <cfRule type="containsText" dxfId="15684" priority="16813" operator="containsText" text="S">
      <formula>NOT(ISERROR(SEARCH("S",BF14)))</formula>
    </cfRule>
    <cfRule type="containsText" dxfId="15683" priority="16814" operator="containsText" text="P">
      <formula>NOT(ISERROR(SEARCH("P",BF14)))</formula>
    </cfRule>
    <cfRule type="containsText" dxfId="15682" priority="16815" operator="containsText" text="H">
      <formula>NOT(ISERROR(SEARCH("H",BF14)))</formula>
    </cfRule>
    <cfRule type="containsText" dxfId="15681" priority="16817" operator="containsText" text="&quot;H&quot;">
      <formula>NOT(ISERROR(SEARCH("""H""",BF14)))</formula>
    </cfRule>
    <cfRule type="containsText" dxfId="15680" priority="16818" operator="containsText" text="&quot;A&quot;">
      <formula>NOT(ISERROR(SEARCH("""A""",BF14)))</formula>
    </cfRule>
  </conditionalFormatting>
  <conditionalFormatting sqref="BF14:BG14">
    <cfRule type="containsText" dxfId="15679" priority="16816" operator="containsText" text="A-H">
      <formula>NOT(ISERROR(SEARCH("A-H",BF14)))</formula>
    </cfRule>
  </conditionalFormatting>
  <conditionalFormatting sqref="BI14:BJ14">
    <cfRule type="cellIs" dxfId="15678" priority="16807" operator="equal">
      <formula>"C-Off-H"</formula>
    </cfRule>
    <cfRule type="cellIs" dxfId="15677" priority="16808" operator="equal">
      <formula>"C-Off"</formula>
    </cfRule>
    <cfRule type="cellIs" dxfId="15676" priority="16809" operator="equal">
      <formula>"CL-H"</formula>
    </cfRule>
    <cfRule type="cellIs" dxfId="15675" priority="16810" operator="equal">
      <formula>"EL-H"</formula>
    </cfRule>
    <cfRule type="cellIs" dxfId="15674" priority="16811" operator="equal">
      <formula>"CL"</formula>
    </cfRule>
    <cfRule type="cellIs" dxfId="15673" priority="16812" operator="equal">
      <formula>"EL"</formula>
    </cfRule>
  </conditionalFormatting>
  <conditionalFormatting sqref="BI14:BJ14">
    <cfRule type="containsText" dxfId="15672" priority="16801" operator="containsText" text="S">
      <formula>NOT(ISERROR(SEARCH("S",BI14)))</formula>
    </cfRule>
    <cfRule type="containsText" dxfId="15671" priority="16802" operator="containsText" text="P">
      <formula>NOT(ISERROR(SEARCH("P",BI14)))</formula>
    </cfRule>
    <cfRule type="containsText" dxfId="15670" priority="16803" operator="containsText" text="H">
      <formula>NOT(ISERROR(SEARCH("H",BI14)))</formula>
    </cfRule>
    <cfRule type="containsText" dxfId="15669" priority="16805" operator="containsText" text="&quot;H&quot;">
      <formula>NOT(ISERROR(SEARCH("""H""",BI14)))</formula>
    </cfRule>
    <cfRule type="containsText" dxfId="15668" priority="16806" operator="containsText" text="&quot;A&quot;">
      <formula>NOT(ISERROR(SEARCH("""A""",BI14)))</formula>
    </cfRule>
  </conditionalFormatting>
  <conditionalFormatting sqref="BI14:BJ14">
    <cfRule type="containsText" dxfId="15667" priority="16804" operator="containsText" text="A-H">
      <formula>NOT(ISERROR(SEARCH("A-H",BI14)))</formula>
    </cfRule>
  </conditionalFormatting>
  <conditionalFormatting sqref="BL14:BM14">
    <cfRule type="cellIs" dxfId="15666" priority="16795" operator="equal">
      <formula>"C-Off-H"</formula>
    </cfRule>
    <cfRule type="cellIs" dxfId="15665" priority="16796" operator="equal">
      <formula>"C-Off"</formula>
    </cfRule>
    <cfRule type="cellIs" dxfId="15664" priority="16797" operator="equal">
      <formula>"CL-H"</formula>
    </cfRule>
    <cfRule type="cellIs" dxfId="15663" priority="16798" operator="equal">
      <formula>"EL-H"</formula>
    </cfRule>
    <cfRule type="cellIs" dxfId="15662" priority="16799" operator="equal">
      <formula>"CL"</formula>
    </cfRule>
    <cfRule type="cellIs" dxfId="15661" priority="16800" operator="equal">
      <formula>"EL"</formula>
    </cfRule>
  </conditionalFormatting>
  <conditionalFormatting sqref="BL14:BM14">
    <cfRule type="containsText" dxfId="15660" priority="16789" operator="containsText" text="S">
      <formula>NOT(ISERROR(SEARCH("S",BL14)))</formula>
    </cfRule>
    <cfRule type="containsText" dxfId="15659" priority="16790" operator="containsText" text="P">
      <formula>NOT(ISERROR(SEARCH("P",BL14)))</formula>
    </cfRule>
    <cfRule type="containsText" dxfId="15658" priority="16791" operator="containsText" text="H">
      <formula>NOT(ISERROR(SEARCH("H",BL14)))</formula>
    </cfRule>
    <cfRule type="containsText" dxfId="15657" priority="16793" operator="containsText" text="&quot;H&quot;">
      <formula>NOT(ISERROR(SEARCH("""H""",BL14)))</formula>
    </cfRule>
    <cfRule type="containsText" dxfId="15656" priority="16794" operator="containsText" text="&quot;A&quot;">
      <formula>NOT(ISERROR(SEARCH("""A""",BL14)))</formula>
    </cfRule>
  </conditionalFormatting>
  <conditionalFormatting sqref="BL14:BM14">
    <cfRule type="containsText" dxfId="15655" priority="16792" operator="containsText" text="A-H">
      <formula>NOT(ISERROR(SEARCH("A-H",BL14)))</formula>
    </cfRule>
  </conditionalFormatting>
  <conditionalFormatting sqref="BR14:BS14">
    <cfRule type="cellIs" dxfId="15654" priority="16783" operator="equal">
      <formula>"C-Off-H"</formula>
    </cfRule>
    <cfRule type="cellIs" dxfId="15653" priority="16784" operator="equal">
      <formula>"C-Off"</formula>
    </cfRule>
    <cfRule type="cellIs" dxfId="15652" priority="16785" operator="equal">
      <formula>"CL-H"</formula>
    </cfRule>
    <cfRule type="cellIs" dxfId="15651" priority="16786" operator="equal">
      <formula>"EL-H"</formula>
    </cfRule>
    <cfRule type="cellIs" dxfId="15650" priority="16787" operator="equal">
      <formula>"CL"</formula>
    </cfRule>
    <cfRule type="cellIs" dxfId="15649" priority="16788" operator="equal">
      <formula>"EL"</formula>
    </cfRule>
  </conditionalFormatting>
  <conditionalFormatting sqref="BR14:BS14">
    <cfRule type="containsText" dxfId="15648" priority="16777" operator="containsText" text="S">
      <formula>NOT(ISERROR(SEARCH("S",BR14)))</formula>
    </cfRule>
    <cfRule type="containsText" dxfId="15647" priority="16778" operator="containsText" text="P">
      <formula>NOT(ISERROR(SEARCH("P",BR14)))</formula>
    </cfRule>
    <cfRule type="containsText" dxfId="15646" priority="16779" operator="containsText" text="H">
      <formula>NOT(ISERROR(SEARCH("H",BR14)))</formula>
    </cfRule>
    <cfRule type="containsText" dxfId="15645" priority="16781" operator="containsText" text="&quot;H&quot;">
      <formula>NOT(ISERROR(SEARCH("""H""",BR14)))</formula>
    </cfRule>
    <cfRule type="containsText" dxfId="15644" priority="16782" operator="containsText" text="&quot;A&quot;">
      <formula>NOT(ISERROR(SEARCH("""A""",BR14)))</formula>
    </cfRule>
  </conditionalFormatting>
  <conditionalFormatting sqref="BR14:BS14">
    <cfRule type="containsText" dxfId="15643" priority="16780" operator="containsText" text="A-H">
      <formula>NOT(ISERROR(SEARCH("A-H",BR14)))</formula>
    </cfRule>
  </conditionalFormatting>
  <conditionalFormatting sqref="BU14:BV14">
    <cfRule type="cellIs" dxfId="15642" priority="16771" operator="equal">
      <formula>"C-Off-H"</formula>
    </cfRule>
    <cfRule type="cellIs" dxfId="15641" priority="16772" operator="equal">
      <formula>"C-Off"</formula>
    </cfRule>
    <cfRule type="cellIs" dxfId="15640" priority="16773" operator="equal">
      <formula>"CL-H"</formula>
    </cfRule>
    <cfRule type="cellIs" dxfId="15639" priority="16774" operator="equal">
      <formula>"EL-H"</formula>
    </cfRule>
    <cfRule type="cellIs" dxfId="15638" priority="16775" operator="equal">
      <formula>"CL"</formula>
    </cfRule>
    <cfRule type="cellIs" dxfId="15637" priority="16776" operator="equal">
      <formula>"EL"</formula>
    </cfRule>
  </conditionalFormatting>
  <conditionalFormatting sqref="BU14:BV14">
    <cfRule type="containsText" dxfId="15636" priority="16765" operator="containsText" text="S">
      <formula>NOT(ISERROR(SEARCH("S",BU14)))</formula>
    </cfRule>
    <cfRule type="containsText" dxfId="15635" priority="16766" operator="containsText" text="P">
      <formula>NOT(ISERROR(SEARCH("P",BU14)))</formula>
    </cfRule>
    <cfRule type="containsText" dxfId="15634" priority="16767" operator="containsText" text="H">
      <formula>NOT(ISERROR(SEARCH("H",BU14)))</formula>
    </cfRule>
    <cfRule type="containsText" dxfId="15633" priority="16769" operator="containsText" text="&quot;H&quot;">
      <formula>NOT(ISERROR(SEARCH("""H""",BU14)))</formula>
    </cfRule>
    <cfRule type="containsText" dxfId="15632" priority="16770" operator="containsText" text="&quot;A&quot;">
      <formula>NOT(ISERROR(SEARCH("""A""",BU14)))</formula>
    </cfRule>
  </conditionalFormatting>
  <conditionalFormatting sqref="BU14:BV14">
    <cfRule type="containsText" dxfId="15631" priority="16768" operator="containsText" text="A-H">
      <formula>NOT(ISERROR(SEARCH("A-H",BU14)))</formula>
    </cfRule>
  </conditionalFormatting>
  <conditionalFormatting sqref="BY14">
    <cfRule type="cellIs" dxfId="15630" priority="16759" operator="equal">
      <formula>"C-Off-H"</formula>
    </cfRule>
    <cfRule type="cellIs" dxfId="15629" priority="16760" operator="equal">
      <formula>"C-Off"</formula>
    </cfRule>
    <cfRule type="cellIs" dxfId="15628" priority="16761" operator="equal">
      <formula>"CL-H"</formula>
    </cfRule>
    <cfRule type="cellIs" dxfId="15627" priority="16762" operator="equal">
      <formula>"EL-H"</formula>
    </cfRule>
    <cfRule type="cellIs" dxfId="15626" priority="16763" operator="equal">
      <formula>"CL"</formula>
    </cfRule>
    <cfRule type="cellIs" dxfId="15625" priority="16764" operator="equal">
      <formula>"EL"</formula>
    </cfRule>
  </conditionalFormatting>
  <conditionalFormatting sqref="BY14">
    <cfRule type="containsText" dxfId="15624" priority="16753" operator="containsText" text="S">
      <formula>NOT(ISERROR(SEARCH("S",BY14)))</formula>
    </cfRule>
    <cfRule type="containsText" dxfId="15623" priority="16754" operator="containsText" text="P">
      <formula>NOT(ISERROR(SEARCH("P",BY14)))</formula>
    </cfRule>
    <cfRule type="containsText" dxfId="15622" priority="16755" operator="containsText" text="H">
      <formula>NOT(ISERROR(SEARCH("H",BY14)))</formula>
    </cfRule>
    <cfRule type="containsText" dxfId="15621" priority="16757" operator="containsText" text="&quot;H&quot;">
      <formula>NOT(ISERROR(SEARCH("""H""",BY14)))</formula>
    </cfRule>
    <cfRule type="containsText" dxfId="15620" priority="16758" operator="containsText" text="&quot;A&quot;">
      <formula>NOT(ISERROR(SEARCH("""A""",BY14)))</formula>
    </cfRule>
  </conditionalFormatting>
  <conditionalFormatting sqref="BY14">
    <cfRule type="containsText" dxfId="15619" priority="16756" operator="containsText" text="A-H">
      <formula>NOT(ISERROR(SEARCH("A-H",BY14)))</formula>
    </cfRule>
  </conditionalFormatting>
  <conditionalFormatting sqref="BX14">
    <cfRule type="cellIs" dxfId="15618" priority="16747" operator="equal">
      <formula>"C-Off-H"</formula>
    </cfRule>
    <cfRule type="cellIs" dxfId="15617" priority="16748" operator="equal">
      <formula>"C-Off"</formula>
    </cfRule>
    <cfRule type="cellIs" dxfId="15616" priority="16749" operator="equal">
      <formula>"CL-H"</formula>
    </cfRule>
    <cfRule type="cellIs" dxfId="15615" priority="16750" operator="equal">
      <formula>"EL-H"</formula>
    </cfRule>
    <cfRule type="cellIs" dxfId="15614" priority="16751" operator="equal">
      <formula>"CL"</formula>
    </cfRule>
    <cfRule type="cellIs" dxfId="15613" priority="16752" operator="equal">
      <formula>"EL"</formula>
    </cfRule>
  </conditionalFormatting>
  <conditionalFormatting sqref="BX14">
    <cfRule type="containsText" dxfId="15612" priority="16741" operator="containsText" text="S">
      <formula>NOT(ISERROR(SEARCH("S",BX14)))</formula>
    </cfRule>
    <cfRule type="containsText" dxfId="15611" priority="16742" operator="containsText" text="P">
      <formula>NOT(ISERROR(SEARCH("P",BX14)))</formula>
    </cfRule>
    <cfRule type="containsText" dxfId="15610" priority="16743" operator="containsText" text="H">
      <formula>NOT(ISERROR(SEARCH("H",BX14)))</formula>
    </cfRule>
    <cfRule type="containsText" dxfId="15609" priority="16745" operator="containsText" text="&quot;H&quot;">
      <formula>NOT(ISERROR(SEARCH("""H""",BX14)))</formula>
    </cfRule>
    <cfRule type="containsText" dxfId="15608" priority="16746" operator="containsText" text="&quot;A&quot;">
      <formula>NOT(ISERROR(SEARCH("""A""",BX14)))</formula>
    </cfRule>
  </conditionalFormatting>
  <conditionalFormatting sqref="BX14">
    <cfRule type="containsText" dxfId="15607" priority="16744" operator="containsText" text="A-H">
      <formula>NOT(ISERROR(SEARCH("A-H",BX14)))</formula>
    </cfRule>
  </conditionalFormatting>
  <conditionalFormatting sqref="J14:K14">
    <cfRule type="cellIs" dxfId="15606" priority="16735" operator="equal">
      <formula>"C-Off-H"</formula>
    </cfRule>
    <cfRule type="cellIs" dxfId="15605" priority="16736" operator="equal">
      <formula>"C-Off"</formula>
    </cfRule>
    <cfRule type="cellIs" dxfId="15604" priority="16737" operator="equal">
      <formula>"CL-H"</formula>
    </cfRule>
    <cfRule type="cellIs" dxfId="15603" priority="16738" operator="equal">
      <formula>"EL-H"</formula>
    </cfRule>
    <cfRule type="cellIs" dxfId="15602" priority="16739" operator="equal">
      <formula>"CL"</formula>
    </cfRule>
    <cfRule type="cellIs" dxfId="15601" priority="16740" operator="equal">
      <formula>"EL"</formula>
    </cfRule>
  </conditionalFormatting>
  <conditionalFormatting sqref="J14:K14">
    <cfRule type="containsText" dxfId="15600" priority="16729" operator="containsText" text="S">
      <formula>NOT(ISERROR(SEARCH("S",J14)))</formula>
    </cfRule>
    <cfRule type="containsText" dxfId="15599" priority="16730" operator="containsText" text="P">
      <formula>NOT(ISERROR(SEARCH("P",J14)))</formula>
    </cfRule>
    <cfRule type="containsText" dxfId="15598" priority="16731" operator="containsText" text="H">
      <formula>NOT(ISERROR(SEARCH("H",J14)))</formula>
    </cfRule>
    <cfRule type="containsText" dxfId="15597" priority="16733" operator="containsText" text="&quot;H&quot;">
      <formula>NOT(ISERROR(SEARCH("""H""",J14)))</formula>
    </cfRule>
    <cfRule type="containsText" dxfId="15596" priority="16734" operator="containsText" text="&quot;A&quot;">
      <formula>NOT(ISERROR(SEARCH("""A""",J14)))</formula>
    </cfRule>
  </conditionalFormatting>
  <conditionalFormatting sqref="J14:K14">
    <cfRule type="containsText" dxfId="15595" priority="16732" operator="containsText" text="A-H">
      <formula>NOT(ISERROR(SEARCH("A-H",J14)))</formula>
    </cfRule>
  </conditionalFormatting>
  <conditionalFormatting sqref="M12:N12 DC12 CQ12:CW12">
    <cfRule type="cellIs" dxfId="15594" priority="16723" operator="equal">
      <formula>"C-Off-H"</formula>
    </cfRule>
    <cfRule type="cellIs" dxfId="15593" priority="16724" operator="equal">
      <formula>"C-Off"</formula>
    </cfRule>
    <cfRule type="cellIs" dxfId="15592" priority="16725" operator="equal">
      <formula>"CL-H"</formula>
    </cfRule>
    <cfRule type="cellIs" dxfId="15591" priority="16726" operator="equal">
      <formula>"EL-H"</formula>
    </cfRule>
    <cfRule type="cellIs" dxfId="15590" priority="16727" operator="equal">
      <formula>"CL"</formula>
    </cfRule>
    <cfRule type="cellIs" dxfId="15589" priority="16728" operator="equal">
      <formula>"EL"</formula>
    </cfRule>
  </conditionalFormatting>
  <conditionalFormatting sqref="M12:N12 DC12 CQ12:CW12 CY12:DA12">
    <cfRule type="containsText" dxfId="15588" priority="16722" operator="containsText" text="A-H">
      <formula>NOT(ISERROR(SEARCH("A-H",M12)))</formula>
    </cfRule>
  </conditionalFormatting>
  <conditionalFormatting sqref="DC12 CQ12:CW12 CY12:DA12">
    <cfRule type="containsText" dxfId="15587" priority="16721" operator="containsText" text="A">
      <formula>NOT(ISERROR(SEARCH("A",CQ12)))</formula>
    </cfRule>
  </conditionalFormatting>
  <conditionalFormatting sqref="CY12 DA12">
    <cfRule type="cellIs" dxfId="15586" priority="16715" stopIfTrue="1" operator="equal">
      <formula>"C-Off-H"</formula>
    </cfRule>
    <cfRule type="cellIs" dxfId="15585" priority="16716" stopIfTrue="1" operator="equal">
      <formula>"C-Off"</formula>
    </cfRule>
    <cfRule type="cellIs" dxfId="15584" priority="16717" stopIfTrue="1" operator="equal">
      <formula>"CL-H"</formula>
    </cfRule>
    <cfRule type="cellIs" dxfId="15583" priority="16718" stopIfTrue="1" operator="equal">
      <formula>"EL-H"</formula>
    </cfRule>
    <cfRule type="cellIs" dxfId="15582" priority="16719" stopIfTrue="1" operator="equal">
      <formula>"CL"</formula>
    </cfRule>
    <cfRule type="cellIs" dxfId="15581" priority="16720" stopIfTrue="1" operator="equal">
      <formula>"EL"</formula>
    </cfRule>
  </conditionalFormatting>
  <conditionalFormatting sqref="CZ12">
    <cfRule type="cellIs" dxfId="15580" priority="16709" stopIfTrue="1" operator="equal">
      <formula>"C-Off-H"</formula>
    </cfRule>
    <cfRule type="cellIs" dxfId="15579" priority="16710" stopIfTrue="1" operator="equal">
      <formula>"C-Off"</formula>
    </cfRule>
    <cfRule type="cellIs" dxfId="15578" priority="16711" stopIfTrue="1" operator="equal">
      <formula>"CL-H"</formula>
    </cfRule>
    <cfRule type="cellIs" dxfId="15577" priority="16712" stopIfTrue="1" operator="equal">
      <formula>"EL-H"</formula>
    </cfRule>
    <cfRule type="cellIs" dxfId="15576" priority="16713" stopIfTrue="1" operator="equal">
      <formula>"CL"</formula>
    </cfRule>
    <cfRule type="cellIs" dxfId="15575" priority="16714" stopIfTrue="1" operator="equal">
      <formula>"EL"</formula>
    </cfRule>
  </conditionalFormatting>
  <conditionalFormatting sqref="M12:N12">
    <cfRule type="containsText" dxfId="15574" priority="16704" operator="containsText" text="S">
      <formula>NOT(ISERROR(SEARCH("S",M12)))</formula>
    </cfRule>
    <cfRule type="containsText" dxfId="15573" priority="16705" operator="containsText" text="P">
      <formula>NOT(ISERROR(SEARCH("P",M12)))</formula>
    </cfRule>
    <cfRule type="containsText" dxfId="15572" priority="16706" operator="containsText" text="H">
      <formula>NOT(ISERROR(SEARCH("H",M12)))</formula>
    </cfRule>
    <cfRule type="containsText" dxfId="15571" priority="16707" operator="containsText" text="&quot;H&quot;">
      <formula>NOT(ISERROR(SEARCH("""H""",M12)))</formula>
    </cfRule>
    <cfRule type="containsText" dxfId="15570" priority="16708" operator="containsText" text="&quot;A&quot;">
      <formula>NOT(ISERROR(SEARCH("""A""",M12)))</formula>
    </cfRule>
  </conditionalFormatting>
  <conditionalFormatting sqref="DD12">
    <cfRule type="cellIs" dxfId="15569" priority="16698" operator="equal">
      <formula>"C-Off-H"</formula>
    </cfRule>
    <cfRule type="cellIs" dxfId="15568" priority="16699" operator="equal">
      <formula>"C-Off"</formula>
    </cfRule>
    <cfRule type="cellIs" dxfId="15567" priority="16700" operator="equal">
      <formula>"CL-H"</formula>
    </cfRule>
    <cfRule type="cellIs" dxfId="15566" priority="16701" operator="equal">
      <formula>"EL-H"</formula>
    </cfRule>
    <cfRule type="cellIs" dxfId="15565" priority="16702" operator="equal">
      <formula>"CL"</formula>
    </cfRule>
    <cfRule type="cellIs" dxfId="15564" priority="16703" operator="equal">
      <formula>"EL"</formula>
    </cfRule>
  </conditionalFormatting>
  <conditionalFormatting sqref="DD12">
    <cfRule type="containsText" dxfId="15563" priority="16697" operator="containsText" text="A">
      <formula>NOT(ISERROR(SEARCH("A",DD12)))</formula>
    </cfRule>
  </conditionalFormatting>
  <conditionalFormatting sqref="DD12">
    <cfRule type="containsText" dxfId="15562" priority="16696" operator="containsText" text="A-H">
      <formula>NOT(ISERROR(SEARCH("A-H",DD12)))</formula>
    </cfRule>
  </conditionalFormatting>
  <conditionalFormatting sqref="AI12">
    <cfRule type="cellIs" dxfId="15561" priority="16690" operator="equal">
      <formula>"C-Off-H"</formula>
    </cfRule>
    <cfRule type="cellIs" dxfId="15560" priority="16691" operator="equal">
      <formula>"C-Off"</formula>
    </cfRule>
    <cfRule type="cellIs" dxfId="15559" priority="16692" operator="equal">
      <formula>"CL-H"</formula>
    </cfRule>
    <cfRule type="cellIs" dxfId="15558" priority="16693" operator="equal">
      <formula>"EL-H"</formula>
    </cfRule>
    <cfRule type="cellIs" dxfId="15557" priority="16694" operator="equal">
      <formula>"CL"</formula>
    </cfRule>
    <cfRule type="cellIs" dxfId="15556" priority="16695" operator="equal">
      <formula>"EL"</formula>
    </cfRule>
  </conditionalFormatting>
  <conditionalFormatting sqref="AH12:AI12">
    <cfRule type="cellIs" dxfId="15555" priority="16684" operator="equal">
      <formula>"C-Off-H"</formula>
    </cfRule>
    <cfRule type="cellIs" dxfId="15554" priority="16685" operator="equal">
      <formula>"C-Off"</formula>
    </cfRule>
    <cfRule type="cellIs" dxfId="15553" priority="16686" operator="equal">
      <formula>"CL-H"</formula>
    </cfRule>
    <cfRule type="cellIs" dxfId="15552" priority="16687" operator="equal">
      <formula>"EL-H"</formula>
    </cfRule>
    <cfRule type="cellIs" dxfId="15551" priority="16688" operator="equal">
      <formula>"CL"</formula>
    </cfRule>
    <cfRule type="cellIs" dxfId="15550" priority="16689" operator="equal">
      <formula>"EL"</formula>
    </cfRule>
  </conditionalFormatting>
  <conditionalFormatting sqref="AH12:AI12">
    <cfRule type="containsText" dxfId="15549" priority="16678" operator="containsText" text="S">
      <formula>NOT(ISERROR(SEARCH("S",AH12)))</formula>
    </cfRule>
    <cfRule type="containsText" dxfId="15548" priority="16679" operator="containsText" text="P">
      <formula>NOT(ISERROR(SEARCH("P",AH12)))</formula>
    </cfRule>
    <cfRule type="containsText" dxfId="15547" priority="16680" operator="containsText" text="H">
      <formula>NOT(ISERROR(SEARCH("H",AH12)))</formula>
    </cfRule>
    <cfRule type="containsText" dxfId="15546" priority="16682" operator="containsText" text="&quot;H&quot;">
      <formula>NOT(ISERROR(SEARCH("""H""",AH12)))</formula>
    </cfRule>
    <cfRule type="containsText" dxfId="15545" priority="16683" operator="containsText" text="&quot;A&quot;">
      <formula>NOT(ISERROR(SEARCH("""A""",AH12)))</formula>
    </cfRule>
  </conditionalFormatting>
  <conditionalFormatting sqref="AH12:AI12">
    <cfRule type="containsText" dxfId="15544" priority="16681" operator="containsText" text="A-H">
      <formula>NOT(ISERROR(SEARCH("A-H",AH12)))</formula>
    </cfRule>
  </conditionalFormatting>
  <conditionalFormatting sqref="AU12">
    <cfRule type="cellIs" dxfId="15543" priority="16672" operator="equal">
      <formula>"C-Off-H"</formula>
    </cfRule>
    <cfRule type="cellIs" dxfId="15542" priority="16673" operator="equal">
      <formula>"C-Off"</formula>
    </cfRule>
    <cfRule type="cellIs" dxfId="15541" priority="16674" operator="equal">
      <formula>"CL-H"</formula>
    </cfRule>
    <cfRule type="cellIs" dxfId="15540" priority="16675" operator="equal">
      <formula>"EL-H"</formula>
    </cfRule>
    <cfRule type="cellIs" dxfId="15539" priority="16676" operator="equal">
      <formula>"CL"</formula>
    </cfRule>
    <cfRule type="cellIs" dxfId="15538" priority="16677" operator="equal">
      <formula>"EL"</formula>
    </cfRule>
  </conditionalFormatting>
  <conditionalFormatting sqref="AT12:AU12">
    <cfRule type="cellIs" dxfId="15537" priority="16666" operator="equal">
      <formula>"C-Off-H"</formula>
    </cfRule>
    <cfRule type="cellIs" dxfId="15536" priority="16667" operator="equal">
      <formula>"C-Off"</formula>
    </cfRule>
    <cfRule type="cellIs" dxfId="15535" priority="16668" operator="equal">
      <formula>"CL-H"</formula>
    </cfRule>
    <cfRule type="cellIs" dxfId="15534" priority="16669" operator="equal">
      <formula>"EL-H"</formula>
    </cfRule>
    <cfRule type="cellIs" dxfId="15533" priority="16670" operator="equal">
      <formula>"CL"</formula>
    </cfRule>
    <cfRule type="cellIs" dxfId="15532" priority="16671" operator="equal">
      <formula>"EL"</formula>
    </cfRule>
  </conditionalFormatting>
  <conditionalFormatting sqref="AT12:AU12">
    <cfRule type="containsText" dxfId="15531" priority="16660" operator="containsText" text="S">
      <formula>NOT(ISERROR(SEARCH("S",AT12)))</formula>
    </cfRule>
    <cfRule type="containsText" dxfId="15530" priority="16661" operator="containsText" text="P">
      <formula>NOT(ISERROR(SEARCH("P",AT12)))</formula>
    </cfRule>
    <cfRule type="containsText" dxfId="15529" priority="16662" operator="containsText" text="H">
      <formula>NOT(ISERROR(SEARCH("H",AT12)))</formula>
    </cfRule>
    <cfRule type="containsText" dxfId="15528" priority="16664" operator="containsText" text="&quot;H&quot;">
      <formula>NOT(ISERROR(SEARCH("""H""",AT12)))</formula>
    </cfRule>
    <cfRule type="containsText" dxfId="15527" priority="16665" operator="containsText" text="&quot;A&quot;">
      <formula>NOT(ISERROR(SEARCH("""A""",AT12)))</formula>
    </cfRule>
  </conditionalFormatting>
  <conditionalFormatting sqref="AT12:AU12">
    <cfRule type="containsText" dxfId="15526" priority="16663" operator="containsText" text="A-H">
      <formula>NOT(ISERROR(SEARCH("A-H",AT12)))</formula>
    </cfRule>
  </conditionalFormatting>
  <conditionalFormatting sqref="E12">
    <cfRule type="cellIs" dxfId="15525" priority="16654" operator="equal">
      <formula>"C-Off-H"</formula>
    </cfRule>
    <cfRule type="cellIs" dxfId="15524" priority="16655" operator="equal">
      <formula>"C-Off"</formula>
    </cfRule>
    <cfRule type="cellIs" dxfId="15523" priority="16656" operator="equal">
      <formula>"CL-H"</formula>
    </cfRule>
    <cfRule type="cellIs" dxfId="15522" priority="16657" operator="equal">
      <formula>"EL-H"</formula>
    </cfRule>
    <cfRule type="cellIs" dxfId="15521" priority="16658" operator="equal">
      <formula>"CL"</formula>
    </cfRule>
    <cfRule type="cellIs" dxfId="15520" priority="16659" operator="equal">
      <formula>"EL"</formula>
    </cfRule>
  </conditionalFormatting>
  <conditionalFormatting sqref="D12:E12">
    <cfRule type="cellIs" dxfId="15519" priority="16648" operator="equal">
      <formula>"C-Off-H"</formula>
    </cfRule>
    <cfRule type="cellIs" dxfId="15518" priority="16649" operator="equal">
      <formula>"C-Off"</formula>
    </cfRule>
    <cfRule type="cellIs" dxfId="15517" priority="16650" operator="equal">
      <formula>"CL-H"</formula>
    </cfRule>
    <cfRule type="cellIs" dxfId="15516" priority="16651" operator="equal">
      <formula>"EL-H"</formula>
    </cfRule>
    <cfRule type="cellIs" dxfId="15515" priority="16652" operator="equal">
      <formula>"CL"</formula>
    </cfRule>
    <cfRule type="cellIs" dxfId="15514" priority="16653" operator="equal">
      <formula>"EL"</formula>
    </cfRule>
  </conditionalFormatting>
  <conditionalFormatting sqref="D12:E12">
    <cfRule type="containsText" dxfId="15513" priority="16642" operator="containsText" text="S">
      <formula>NOT(ISERROR(SEARCH("S",D12)))</formula>
    </cfRule>
    <cfRule type="containsText" dxfId="15512" priority="16643" operator="containsText" text="P">
      <formula>NOT(ISERROR(SEARCH("P",D12)))</formula>
    </cfRule>
    <cfRule type="containsText" dxfId="15511" priority="16644" operator="containsText" text="H">
      <formula>NOT(ISERROR(SEARCH("H",D12)))</formula>
    </cfRule>
    <cfRule type="containsText" dxfId="15510" priority="16646" operator="containsText" text="&quot;H&quot;">
      <formula>NOT(ISERROR(SEARCH("""H""",D12)))</formula>
    </cfRule>
    <cfRule type="containsText" dxfId="15509" priority="16647" operator="containsText" text="&quot;A&quot;">
      <formula>NOT(ISERROR(SEARCH("""A""",D12)))</formula>
    </cfRule>
  </conditionalFormatting>
  <conditionalFormatting sqref="D12:E12">
    <cfRule type="containsText" dxfId="15508" priority="16645" operator="containsText" text="A-H">
      <formula>NOT(ISERROR(SEARCH("A-H",D12)))</formula>
    </cfRule>
  </conditionalFormatting>
  <conditionalFormatting sqref="Y12">
    <cfRule type="cellIs" dxfId="15507" priority="16636" operator="equal">
      <formula>"C-Off-H"</formula>
    </cfRule>
    <cfRule type="cellIs" dxfId="15506" priority="16637" operator="equal">
      <formula>"C-Off"</formula>
    </cfRule>
    <cfRule type="cellIs" dxfId="15505" priority="16638" operator="equal">
      <formula>"CL-H"</formula>
    </cfRule>
    <cfRule type="cellIs" dxfId="15504" priority="16639" operator="equal">
      <formula>"EL-H"</formula>
    </cfRule>
    <cfRule type="cellIs" dxfId="15503" priority="16640" operator="equal">
      <formula>"CL"</formula>
    </cfRule>
    <cfRule type="cellIs" dxfId="15502" priority="16641" operator="equal">
      <formula>"EL"</formula>
    </cfRule>
  </conditionalFormatting>
  <conditionalFormatting sqref="Y12">
    <cfRule type="containsText" dxfId="15501" priority="16630" operator="containsText" text="S">
      <formula>NOT(ISERROR(SEARCH("S",Y12)))</formula>
    </cfRule>
    <cfRule type="containsText" dxfId="15500" priority="16631" operator="containsText" text="P">
      <formula>NOT(ISERROR(SEARCH("P",Y12)))</formula>
    </cfRule>
    <cfRule type="containsText" dxfId="15499" priority="16632" operator="containsText" text="H">
      <formula>NOT(ISERROR(SEARCH("H",Y12)))</formula>
    </cfRule>
    <cfRule type="containsText" dxfId="15498" priority="16634" operator="containsText" text="&quot;H&quot;">
      <formula>NOT(ISERROR(SEARCH("""H""",Y12)))</formula>
    </cfRule>
    <cfRule type="containsText" dxfId="15497" priority="16635" operator="containsText" text="&quot;A&quot;">
      <formula>NOT(ISERROR(SEARCH("""A""",Y12)))</formula>
    </cfRule>
  </conditionalFormatting>
  <conditionalFormatting sqref="Y12">
    <cfRule type="containsText" dxfId="15496" priority="16633" operator="containsText" text="A-H">
      <formula>NOT(ISERROR(SEARCH("A-H",Y12)))</formula>
    </cfRule>
  </conditionalFormatting>
  <conditionalFormatting sqref="AF12">
    <cfRule type="cellIs" dxfId="15495" priority="16624" operator="equal">
      <formula>"C-Off-H"</formula>
    </cfRule>
    <cfRule type="cellIs" dxfId="15494" priority="16625" operator="equal">
      <formula>"C-Off"</formula>
    </cfRule>
    <cfRule type="cellIs" dxfId="15493" priority="16626" operator="equal">
      <formula>"CL-H"</formula>
    </cfRule>
    <cfRule type="cellIs" dxfId="15492" priority="16627" operator="equal">
      <formula>"EL-H"</formula>
    </cfRule>
    <cfRule type="cellIs" dxfId="15491" priority="16628" operator="equal">
      <formula>"CL"</formula>
    </cfRule>
    <cfRule type="cellIs" dxfId="15490" priority="16629" operator="equal">
      <formula>"EL"</formula>
    </cfRule>
  </conditionalFormatting>
  <conditionalFormatting sqref="AF12">
    <cfRule type="containsText" dxfId="15489" priority="16618" operator="containsText" text="S">
      <formula>NOT(ISERROR(SEARCH("S",AF12)))</formula>
    </cfRule>
    <cfRule type="containsText" dxfId="15488" priority="16619" operator="containsText" text="P">
      <formula>NOT(ISERROR(SEARCH("P",AF12)))</formula>
    </cfRule>
    <cfRule type="containsText" dxfId="15487" priority="16620" operator="containsText" text="H">
      <formula>NOT(ISERROR(SEARCH("H",AF12)))</formula>
    </cfRule>
    <cfRule type="containsText" dxfId="15486" priority="16622" operator="containsText" text="&quot;H&quot;">
      <formula>NOT(ISERROR(SEARCH("""H""",AF12)))</formula>
    </cfRule>
    <cfRule type="containsText" dxfId="15485" priority="16623" operator="containsText" text="&quot;A&quot;">
      <formula>NOT(ISERROR(SEARCH("""A""",AF12)))</formula>
    </cfRule>
  </conditionalFormatting>
  <conditionalFormatting sqref="AF12">
    <cfRule type="containsText" dxfId="15484" priority="16621" operator="containsText" text="A-H">
      <formula>NOT(ISERROR(SEARCH("A-H",AF12)))</formula>
    </cfRule>
  </conditionalFormatting>
  <conditionalFormatting sqref="BO12:BP12">
    <cfRule type="cellIs" dxfId="15483" priority="16612" operator="equal">
      <formula>"C-Off-H"</formula>
    </cfRule>
    <cfRule type="cellIs" dxfId="15482" priority="16613" operator="equal">
      <formula>"C-Off"</formula>
    </cfRule>
    <cfRule type="cellIs" dxfId="15481" priority="16614" operator="equal">
      <formula>"CL-H"</formula>
    </cfRule>
    <cfRule type="cellIs" dxfId="15480" priority="16615" operator="equal">
      <formula>"EL-H"</formula>
    </cfRule>
    <cfRule type="cellIs" dxfId="15479" priority="16616" operator="equal">
      <formula>"CL"</formula>
    </cfRule>
    <cfRule type="cellIs" dxfId="15478" priority="16617" operator="equal">
      <formula>"EL"</formula>
    </cfRule>
  </conditionalFormatting>
  <conditionalFormatting sqref="BO12:BP12">
    <cfRule type="cellIs" dxfId="15477" priority="16606" operator="equal">
      <formula>"C-Off-H"</formula>
    </cfRule>
    <cfRule type="cellIs" dxfId="15476" priority="16607" operator="equal">
      <formula>"C-Off"</formula>
    </cfRule>
    <cfRule type="cellIs" dxfId="15475" priority="16608" operator="equal">
      <formula>"CL-H"</formula>
    </cfRule>
    <cfRule type="cellIs" dxfId="15474" priority="16609" operator="equal">
      <formula>"EL-H"</formula>
    </cfRule>
    <cfRule type="cellIs" dxfId="15473" priority="16610" operator="equal">
      <formula>"CL"</formula>
    </cfRule>
    <cfRule type="cellIs" dxfId="15472" priority="16611" operator="equal">
      <formula>"EL"</formula>
    </cfRule>
  </conditionalFormatting>
  <conditionalFormatting sqref="BO12:BP12">
    <cfRule type="containsText" dxfId="15471" priority="16600" operator="containsText" text="S">
      <formula>NOT(ISERROR(SEARCH("S",BO12)))</formula>
    </cfRule>
    <cfRule type="containsText" dxfId="15470" priority="16601" operator="containsText" text="P">
      <formula>NOT(ISERROR(SEARCH("P",BO12)))</formula>
    </cfRule>
    <cfRule type="containsText" dxfId="15469" priority="16602" operator="containsText" text="H">
      <formula>NOT(ISERROR(SEARCH("H",BO12)))</formula>
    </cfRule>
    <cfRule type="containsText" dxfId="15468" priority="16604" operator="containsText" text="&quot;H&quot;">
      <formula>NOT(ISERROR(SEARCH("""H""",BO12)))</formula>
    </cfRule>
    <cfRule type="containsText" dxfId="15467" priority="16605" operator="containsText" text="&quot;A&quot;">
      <formula>NOT(ISERROR(SEARCH("""A""",BO12)))</formula>
    </cfRule>
  </conditionalFormatting>
  <conditionalFormatting sqref="BO12:BP12">
    <cfRule type="containsText" dxfId="15466" priority="16603" operator="containsText" text="A-H">
      <formula>NOT(ISERROR(SEARCH("A-H",BO12)))</formula>
    </cfRule>
  </conditionalFormatting>
  <conditionalFormatting sqref="CM12">
    <cfRule type="cellIs" dxfId="15465" priority="16594" operator="equal">
      <formula>"C-Off-H"</formula>
    </cfRule>
    <cfRule type="cellIs" dxfId="15464" priority="16595" operator="equal">
      <formula>"C-Off"</formula>
    </cfRule>
    <cfRule type="cellIs" dxfId="15463" priority="16596" operator="equal">
      <formula>"CL-H"</formula>
    </cfRule>
    <cfRule type="cellIs" dxfId="15462" priority="16597" operator="equal">
      <formula>"EL-H"</formula>
    </cfRule>
    <cfRule type="cellIs" dxfId="15461" priority="16598" operator="equal">
      <formula>"CL"</formula>
    </cfRule>
    <cfRule type="cellIs" dxfId="15460" priority="16599" operator="equal">
      <formula>"EL"</formula>
    </cfRule>
  </conditionalFormatting>
  <conditionalFormatting sqref="CM12">
    <cfRule type="cellIs" dxfId="15459" priority="16588" operator="equal">
      <formula>"C-Off-H"</formula>
    </cfRule>
    <cfRule type="cellIs" dxfId="15458" priority="16589" operator="equal">
      <formula>"C-Off"</formula>
    </cfRule>
    <cfRule type="cellIs" dxfId="15457" priority="16590" operator="equal">
      <formula>"CL-H"</formula>
    </cfRule>
    <cfRule type="cellIs" dxfId="15456" priority="16591" operator="equal">
      <formula>"EL-H"</formula>
    </cfRule>
    <cfRule type="cellIs" dxfId="15455" priority="16592" operator="equal">
      <formula>"CL"</formula>
    </cfRule>
    <cfRule type="cellIs" dxfId="15454" priority="16593" operator="equal">
      <formula>"EL"</formula>
    </cfRule>
  </conditionalFormatting>
  <conditionalFormatting sqref="CM12">
    <cfRule type="containsText" dxfId="15453" priority="16582" operator="containsText" text="S">
      <formula>NOT(ISERROR(SEARCH("S",CM12)))</formula>
    </cfRule>
    <cfRule type="containsText" dxfId="15452" priority="16583" operator="containsText" text="P">
      <formula>NOT(ISERROR(SEARCH("P",CM12)))</formula>
    </cfRule>
    <cfRule type="containsText" dxfId="15451" priority="16584" operator="containsText" text="H">
      <formula>NOT(ISERROR(SEARCH("H",CM12)))</formula>
    </cfRule>
    <cfRule type="containsText" dxfId="15450" priority="16586" operator="containsText" text="&quot;H&quot;">
      <formula>NOT(ISERROR(SEARCH("""H""",CM12)))</formula>
    </cfRule>
    <cfRule type="containsText" dxfId="15449" priority="16587" operator="containsText" text="&quot;A&quot;">
      <formula>NOT(ISERROR(SEARCH("""A""",CM12)))</formula>
    </cfRule>
  </conditionalFormatting>
  <conditionalFormatting sqref="CM12">
    <cfRule type="containsText" dxfId="15448" priority="16585" operator="containsText" text="A-H">
      <formula>NOT(ISERROR(SEARCH("A-H",CM12)))</formula>
    </cfRule>
  </conditionalFormatting>
  <conditionalFormatting sqref="V12:W12">
    <cfRule type="cellIs" dxfId="15447" priority="16552" operator="equal">
      <formula>"C-Off-H"</formula>
    </cfRule>
    <cfRule type="cellIs" dxfId="15446" priority="16553" operator="equal">
      <formula>"C-Off"</formula>
    </cfRule>
    <cfRule type="cellIs" dxfId="15445" priority="16554" operator="equal">
      <formula>"CL-H"</formula>
    </cfRule>
    <cfRule type="cellIs" dxfId="15444" priority="16555" operator="equal">
      <formula>"EL-H"</formula>
    </cfRule>
    <cfRule type="cellIs" dxfId="15443" priority="16556" operator="equal">
      <formula>"CL"</formula>
    </cfRule>
    <cfRule type="cellIs" dxfId="15442" priority="16557" operator="equal">
      <formula>"EL"</formula>
    </cfRule>
  </conditionalFormatting>
  <conditionalFormatting sqref="V12:W12">
    <cfRule type="containsText" dxfId="15441" priority="16546" operator="containsText" text="S">
      <formula>NOT(ISERROR(SEARCH("S",V12)))</formula>
    </cfRule>
    <cfRule type="containsText" dxfId="15440" priority="16547" operator="containsText" text="P">
      <formula>NOT(ISERROR(SEARCH("P",V12)))</formula>
    </cfRule>
    <cfRule type="containsText" dxfId="15439" priority="16548" operator="containsText" text="H">
      <formula>NOT(ISERROR(SEARCH("H",V12)))</formula>
    </cfRule>
    <cfRule type="containsText" dxfId="15438" priority="16550" operator="containsText" text="&quot;H&quot;">
      <formula>NOT(ISERROR(SEARCH("""H""",V12)))</formula>
    </cfRule>
    <cfRule type="containsText" dxfId="15437" priority="16551" operator="containsText" text="&quot;A&quot;">
      <formula>NOT(ISERROR(SEARCH("""A""",V12)))</formula>
    </cfRule>
  </conditionalFormatting>
  <conditionalFormatting sqref="V12:W12">
    <cfRule type="containsText" dxfId="15436" priority="16549" operator="containsText" text="A-H">
      <formula>NOT(ISERROR(SEARCH("A-H",V12)))</formula>
    </cfRule>
  </conditionalFormatting>
  <conditionalFormatting sqref="P12:Q12">
    <cfRule type="cellIs" dxfId="15435" priority="16576" operator="equal">
      <formula>"C-Off-H"</formula>
    </cfRule>
    <cfRule type="cellIs" dxfId="15434" priority="16577" operator="equal">
      <formula>"C-Off"</formula>
    </cfRule>
    <cfRule type="cellIs" dxfId="15433" priority="16578" operator="equal">
      <formula>"CL-H"</formula>
    </cfRule>
    <cfRule type="cellIs" dxfId="15432" priority="16579" operator="equal">
      <formula>"EL-H"</formula>
    </cfRule>
    <cfRule type="cellIs" dxfId="15431" priority="16580" operator="equal">
      <formula>"CL"</formula>
    </cfRule>
    <cfRule type="cellIs" dxfId="15430" priority="16581" operator="equal">
      <formula>"EL"</formula>
    </cfRule>
  </conditionalFormatting>
  <conditionalFormatting sqref="P12:Q12">
    <cfRule type="containsText" dxfId="15429" priority="16570" operator="containsText" text="S">
      <formula>NOT(ISERROR(SEARCH("S",P12)))</formula>
    </cfRule>
    <cfRule type="containsText" dxfId="15428" priority="16571" operator="containsText" text="P">
      <formula>NOT(ISERROR(SEARCH("P",P12)))</formula>
    </cfRule>
    <cfRule type="containsText" dxfId="15427" priority="16572" operator="containsText" text="H">
      <formula>NOT(ISERROR(SEARCH("H",P12)))</formula>
    </cfRule>
    <cfRule type="containsText" dxfId="15426" priority="16574" operator="containsText" text="&quot;H&quot;">
      <formula>NOT(ISERROR(SEARCH("""H""",P12)))</formula>
    </cfRule>
    <cfRule type="containsText" dxfId="15425" priority="16575" operator="containsText" text="&quot;A&quot;">
      <formula>NOT(ISERROR(SEARCH("""A""",P12)))</formula>
    </cfRule>
  </conditionalFormatting>
  <conditionalFormatting sqref="P12:Q12">
    <cfRule type="containsText" dxfId="15424" priority="16573" operator="containsText" text="A-H">
      <formula>NOT(ISERROR(SEARCH("A-H",P12)))</formula>
    </cfRule>
  </conditionalFormatting>
  <conditionalFormatting sqref="S12:T12">
    <cfRule type="cellIs" dxfId="15423" priority="16564" operator="equal">
      <formula>"C-Off-H"</formula>
    </cfRule>
    <cfRule type="cellIs" dxfId="15422" priority="16565" operator="equal">
      <formula>"C-Off"</formula>
    </cfRule>
    <cfRule type="cellIs" dxfId="15421" priority="16566" operator="equal">
      <formula>"CL-H"</formula>
    </cfRule>
    <cfRule type="cellIs" dxfId="15420" priority="16567" operator="equal">
      <formula>"EL-H"</formula>
    </cfRule>
    <cfRule type="cellIs" dxfId="15419" priority="16568" operator="equal">
      <formula>"CL"</formula>
    </cfRule>
    <cfRule type="cellIs" dxfId="15418" priority="16569" operator="equal">
      <formula>"EL"</formula>
    </cfRule>
  </conditionalFormatting>
  <conditionalFormatting sqref="S12:T12">
    <cfRule type="containsText" dxfId="15417" priority="16558" operator="containsText" text="S">
      <formula>NOT(ISERROR(SEARCH("S",S12)))</formula>
    </cfRule>
    <cfRule type="containsText" dxfId="15416" priority="16559" operator="containsText" text="P">
      <formula>NOT(ISERROR(SEARCH("P",S12)))</formula>
    </cfRule>
    <cfRule type="containsText" dxfId="15415" priority="16560" operator="containsText" text="H">
      <formula>NOT(ISERROR(SEARCH("H",S12)))</formula>
    </cfRule>
    <cfRule type="containsText" dxfId="15414" priority="16562" operator="containsText" text="&quot;H&quot;">
      <formula>NOT(ISERROR(SEARCH("""H""",S12)))</formula>
    </cfRule>
    <cfRule type="containsText" dxfId="15413" priority="16563" operator="containsText" text="&quot;A&quot;">
      <formula>NOT(ISERROR(SEARCH("""A""",S12)))</formula>
    </cfRule>
  </conditionalFormatting>
  <conditionalFormatting sqref="S12:T12">
    <cfRule type="containsText" dxfId="15412" priority="16561" operator="containsText" text="A-H">
      <formula>NOT(ISERROR(SEARCH("A-H",S12)))</formula>
    </cfRule>
  </conditionalFormatting>
  <conditionalFormatting sqref="AB12:AC12">
    <cfRule type="cellIs" dxfId="15411" priority="16540" operator="equal">
      <formula>"C-Off-H"</formula>
    </cfRule>
    <cfRule type="cellIs" dxfId="15410" priority="16541" operator="equal">
      <formula>"C-Off"</formula>
    </cfRule>
    <cfRule type="cellIs" dxfId="15409" priority="16542" operator="equal">
      <formula>"CL-H"</formula>
    </cfRule>
    <cfRule type="cellIs" dxfId="15408" priority="16543" operator="equal">
      <formula>"EL-H"</formula>
    </cfRule>
    <cfRule type="cellIs" dxfId="15407" priority="16544" operator="equal">
      <formula>"CL"</formula>
    </cfRule>
    <cfRule type="cellIs" dxfId="15406" priority="16545" operator="equal">
      <formula>"EL"</formula>
    </cfRule>
  </conditionalFormatting>
  <conditionalFormatting sqref="AB12:AC12">
    <cfRule type="containsText" dxfId="15405" priority="16534" operator="containsText" text="S">
      <formula>NOT(ISERROR(SEARCH("S",AB12)))</formula>
    </cfRule>
    <cfRule type="containsText" dxfId="15404" priority="16535" operator="containsText" text="P">
      <formula>NOT(ISERROR(SEARCH("P",AB12)))</formula>
    </cfRule>
    <cfRule type="containsText" dxfId="15403" priority="16536" operator="containsText" text="H">
      <formula>NOT(ISERROR(SEARCH("H",AB12)))</formula>
    </cfRule>
    <cfRule type="containsText" dxfId="15402" priority="16538" operator="containsText" text="&quot;H&quot;">
      <formula>NOT(ISERROR(SEARCH("""H""",AB12)))</formula>
    </cfRule>
    <cfRule type="containsText" dxfId="15401" priority="16539" operator="containsText" text="&quot;A&quot;">
      <formula>NOT(ISERROR(SEARCH("""A""",AB12)))</formula>
    </cfRule>
  </conditionalFormatting>
  <conditionalFormatting sqref="AB12:AC12">
    <cfRule type="containsText" dxfId="15400" priority="16537" operator="containsText" text="A-H">
      <formula>NOT(ISERROR(SEARCH("A-H",AB12)))</formula>
    </cfRule>
  </conditionalFormatting>
  <conditionalFormatting sqref="AE12">
    <cfRule type="cellIs" dxfId="15399" priority="16528" operator="equal">
      <formula>"C-Off-H"</formula>
    </cfRule>
    <cfRule type="cellIs" dxfId="15398" priority="16529" operator="equal">
      <formula>"C-Off"</formula>
    </cfRule>
    <cfRule type="cellIs" dxfId="15397" priority="16530" operator="equal">
      <formula>"CL-H"</formula>
    </cfRule>
    <cfRule type="cellIs" dxfId="15396" priority="16531" operator="equal">
      <formula>"EL-H"</formula>
    </cfRule>
    <cfRule type="cellIs" dxfId="15395" priority="16532" operator="equal">
      <formula>"CL"</formula>
    </cfRule>
    <cfRule type="cellIs" dxfId="15394" priority="16533" operator="equal">
      <formula>"EL"</formula>
    </cfRule>
  </conditionalFormatting>
  <conditionalFormatting sqref="AE12">
    <cfRule type="containsText" dxfId="15393" priority="16522" operator="containsText" text="S">
      <formula>NOT(ISERROR(SEARCH("S",AE12)))</formula>
    </cfRule>
    <cfRule type="containsText" dxfId="15392" priority="16523" operator="containsText" text="P">
      <formula>NOT(ISERROR(SEARCH("P",AE12)))</formula>
    </cfRule>
    <cfRule type="containsText" dxfId="15391" priority="16524" operator="containsText" text="H">
      <formula>NOT(ISERROR(SEARCH("H",AE12)))</formula>
    </cfRule>
    <cfRule type="containsText" dxfId="15390" priority="16526" operator="containsText" text="&quot;H&quot;">
      <formula>NOT(ISERROR(SEARCH("""H""",AE12)))</formula>
    </cfRule>
    <cfRule type="containsText" dxfId="15389" priority="16527" operator="containsText" text="&quot;A&quot;">
      <formula>NOT(ISERROR(SEARCH("""A""",AE12)))</formula>
    </cfRule>
  </conditionalFormatting>
  <conditionalFormatting sqref="AE12">
    <cfRule type="containsText" dxfId="15388" priority="16525" operator="containsText" text="A-H">
      <formula>NOT(ISERROR(SEARCH("A-H",AE12)))</formula>
    </cfRule>
  </conditionalFormatting>
  <conditionalFormatting sqref="AK12:AL12">
    <cfRule type="cellIs" dxfId="15387" priority="16516" operator="equal">
      <formula>"C-Off-H"</formula>
    </cfRule>
    <cfRule type="cellIs" dxfId="15386" priority="16517" operator="equal">
      <formula>"C-Off"</formula>
    </cfRule>
    <cfRule type="cellIs" dxfId="15385" priority="16518" operator="equal">
      <formula>"CL-H"</formula>
    </cfRule>
    <cfRule type="cellIs" dxfId="15384" priority="16519" operator="equal">
      <formula>"EL-H"</formula>
    </cfRule>
    <cfRule type="cellIs" dxfId="15383" priority="16520" operator="equal">
      <formula>"CL"</formula>
    </cfRule>
    <cfRule type="cellIs" dxfId="15382" priority="16521" operator="equal">
      <formula>"EL"</formula>
    </cfRule>
  </conditionalFormatting>
  <conditionalFormatting sqref="AK12:AL12">
    <cfRule type="containsText" dxfId="15381" priority="16510" operator="containsText" text="S">
      <formula>NOT(ISERROR(SEARCH("S",AK12)))</formula>
    </cfRule>
    <cfRule type="containsText" dxfId="15380" priority="16511" operator="containsText" text="P">
      <formula>NOT(ISERROR(SEARCH("P",AK12)))</formula>
    </cfRule>
    <cfRule type="containsText" dxfId="15379" priority="16512" operator="containsText" text="H">
      <formula>NOT(ISERROR(SEARCH("H",AK12)))</formula>
    </cfRule>
    <cfRule type="containsText" dxfId="15378" priority="16514" operator="containsText" text="&quot;H&quot;">
      <formula>NOT(ISERROR(SEARCH("""H""",AK12)))</formula>
    </cfRule>
    <cfRule type="containsText" dxfId="15377" priority="16515" operator="containsText" text="&quot;A&quot;">
      <formula>NOT(ISERROR(SEARCH("""A""",AK12)))</formula>
    </cfRule>
  </conditionalFormatting>
  <conditionalFormatting sqref="AK12:AL12">
    <cfRule type="containsText" dxfId="15376" priority="16513" operator="containsText" text="A-H">
      <formula>NOT(ISERROR(SEARCH("A-H",AK12)))</formula>
    </cfRule>
  </conditionalFormatting>
  <conditionalFormatting sqref="AN12:AO12">
    <cfRule type="cellIs" dxfId="15375" priority="16504" operator="equal">
      <formula>"C-Off-H"</formula>
    </cfRule>
    <cfRule type="cellIs" dxfId="15374" priority="16505" operator="equal">
      <formula>"C-Off"</formula>
    </cfRule>
    <cfRule type="cellIs" dxfId="15373" priority="16506" operator="equal">
      <formula>"CL-H"</formula>
    </cfRule>
    <cfRule type="cellIs" dxfId="15372" priority="16507" operator="equal">
      <formula>"EL-H"</formula>
    </cfRule>
    <cfRule type="cellIs" dxfId="15371" priority="16508" operator="equal">
      <formula>"CL"</formula>
    </cfRule>
    <cfRule type="cellIs" dxfId="15370" priority="16509" operator="equal">
      <formula>"EL"</formula>
    </cfRule>
  </conditionalFormatting>
  <conditionalFormatting sqref="AN12:AO12">
    <cfRule type="containsText" dxfId="15369" priority="16498" operator="containsText" text="S">
      <formula>NOT(ISERROR(SEARCH("S",AN12)))</formula>
    </cfRule>
    <cfRule type="containsText" dxfId="15368" priority="16499" operator="containsText" text="P">
      <formula>NOT(ISERROR(SEARCH("P",AN12)))</formula>
    </cfRule>
    <cfRule type="containsText" dxfId="15367" priority="16500" operator="containsText" text="H">
      <formula>NOT(ISERROR(SEARCH("H",AN12)))</formula>
    </cfRule>
    <cfRule type="containsText" dxfId="15366" priority="16502" operator="containsText" text="&quot;H&quot;">
      <formula>NOT(ISERROR(SEARCH("""H""",AN12)))</formula>
    </cfRule>
    <cfRule type="containsText" dxfId="15365" priority="16503" operator="containsText" text="&quot;A&quot;">
      <formula>NOT(ISERROR(SEARCH("""A""",AN12)))</formula>
    </cfRule>
  </conditionalFormatting>
  <conditionalFormatting sqref="AN12:AO12">
    <cfRule type="containsText" dxfId="15364" priority="16501" operator="containsText" text="A-H">
      <formula>NOT(ISERROR(SEARCH("A-H",AN12)))</formula>
    </cfRule>
  </conditionalFormatting>
  <conditionalFormatting sqref="AQ12:AR12">
    <cfRule type="cellIs" dxfId="15363" priority="16492" operator="equal">
      <formula>"C-Off-H"</formula>
    </cfRule>
    <cfRule type="cellIs" dxfId="15362" priority="16493" operator="equal">
      <formula>"C-Off"</formula>
    </cfRule>
    <cfRule type="cellIs" dxfId="15361" priority="16494" operator="equal">
      <formula>"CL-H"</formula>
    </cfRule>
    <cfRule type="cellIs" dxfId="15360" priority="16495" operator="equal">
      <formula>"EL-H"</formula>
    </cfRule>
    <cfRule type="cellIs" dxfId="15359" priority="16496" operator="equal">
      <formula>"CL"</formula>
    </cfRule>
    <cfRule type="cellIs" dxfId="15358" priority="16497" operator="equal">
      <formula>"EL"</formula>
    </cfRule>
  </conditionalFormatting>
  <conditionalFormatting sqref="AQ12:AR12">
    <cfRule type="containsText" dxfId="15357" priority="16486" operator="containsText" text="S">
      <formula>NOT(ISERROR(SEARCH("S",AQ12)))</formula>
    </cfRule>
    <cfRule type="containsText" dxfId="15356" priority="16487" operator="containsText" text="P">
      <formula>NOT(ISERROR(SEARCH("P",AQ12)))</formula>
    </cfRule>
    <cfRule type="containsText" dxfId="15355" priority="16488" operator="containsText" text="H">
      <formula>NOT(ISERROR(SEARCH("H",AQ12)))</formula>
    </cfRule>
    <cfRule type="containsText" dxfId="15354" priority="16490" operator="containsText" text="&quot;H&quot;">
      <formula>NOT(ISERROR(SEARCH("""H""",AQ12)))</formula>
    </cfRule>
    <cfRule type="containsText" dxfId="15353" priority="16491" operator="containsText" text="&quot;A&quot;">
      <formula>NOT(ISERROR(SEARCH("""A""",AQ12)))</formula>
    </cfRule>
  </conditionalFormatting>
  <conditionalFormatting sqref="AQ12:AR12">
    <cfRule type="containsText" dxfId="15352" priority="16489" operator="containsText" text="A-H">
      <formula>NOT(ISERROR(SEARCH("A-H",AQ12)))</formula>
    </cfRule>
  </conditionalFormatting>
  <conditionalFormatting sqref="AW12:AX12">
    <cfRule type="cellIs" dxfId="15351" priority="16480" operator="equal">
      <formula>"C-Off-H"</formula>
    </cfRule>
    <cfRule type="cellIs" dxfId="15350" priority="16481" operator="equal">
      <formula>"C-Off"</formula>
    </cfRule>
    <cfRule type="cellIs" dxfId="15349" priority="16482" operator="equal">
      <formula>"CL-H"</formula>
    </cfRule>
    <cfRule type="cellIs" dxfId="15348" priority="16483" operator="equal">
      <formula>"EL-H"</formula>
    </cfRule>
    <cfRule type="cellIs" dxfId="15347" priority="16484" operator="equal">
      <formula>"CL"</formula>
    </cfRule>
    <cfRule type="cellIs" dxfId="15346" priority="16485" operator="equal">
      <formula>"EL"</formula>
    </cfRule>
  </conditionalFormatting>
  <conditionalFormatting sqref="AW12:AX12">
    <cfRule type="containsText" dxfId="15345" priority="16474" operator="containsText" text="S">
      <formula>NOT(ISERROR(SEARCH("S",AW12)))</formula>
    </cfRule>
    <cfRule type="containsText" dxfId="15344" priority="16475" operator="containsText" text="P">
      <formula>NOT(ISERROR(SEARCH("P",AW12)))</formula>
    </cfRule>
    <cfRule type="containsText" dxfId="15343" priority="16476" operator="containsText" text="H">
      <formula>NOT(ISERROR(SEARCH("H",AW12)))</formula>
    </cfRule>
    <cfRule type="containsText" dxfId="15342" priority="16478" operator="containsText" text="&quot;H&quot;">
      <formula>NOT(ISERROR(SEARCH("""H""",AW12)))</formula>
    </cfRule>
    <cfRule type="containsText" dxfId="15341" priority="16479" operator="containsText" text="&quot;A&quot;">
      <formula>NOT(ISERROR(SEARCH("""A""",AW12)))</formula>
    </cfRule>
  </conditionalFormatting>
  <conditionalFormatting sqref="AW12:AX12">
    <cfRule type="containsText" dxfId="15340" priority="16477" operator="containsText" text="A-H">
      <formula>NOT(ISERROR(SEARCH("A-H",AW12)))</formula>
    </cfRule>
  </conditionalFormatting>
  <conditionalFormatting sqref="AZ12:BA12">
    <cfRule type="cellIs" dxfId="15339" priority="16468" operator="equal">
      <formula>"C-Off-H"</formula>
    </cfRule>
    <cfRule type="cellIs" dxfId="15338" priority="16469" operator="equal">
      <formula>"C-Off"</formula>
    </cfRule>
    <cfRule type="cellIs" dxfId="15337" priority="16470" operator="equal">
      <formula>"CL-H"</formula>
    </cfRule>
    <cfRule type="cellIs" dxfId="15336" priority="16471" operator="equal">
      <formula>"EL-H"</formula>
    </cfRule>
    <cfRule type="cellIs" dxfId="15335" priority="16472" operator="equal">
      <formula>"CL"</formula>
    </cfRule>
    <cfRule type="cellIs" dxfId="15334" priority="16473" operator="equal">
      <formula>"EL"</formula>
    </cfRule>
  </conditionalFormatting>
  <conditionalFormatting sqref="AZ12:BA12">
    <cfRule type="containsText" dxfId="15333" priority="16462" operator="containsText" text="S">
      <formula>NOT(ISERROR(SEARCH("S",AZ12)))</formula>
    </cfRule>
    <cfRule type="containsText" dxfId="15332" priority="16463" operator="containsText" text="P">
      <formula>NOT(ISERROR(SEARCH("P",AZ12)))</formula>
    </cfRule>
    <cfRule type="containsText" dxfId="15331" priority="16464" operator="containsText" text="H">
      <formula>NOT(ISERROR(SEARCH("H",AZ12)))</formula>
    </cfRule>
    <cfRule type="containsText" dxfId="15330" priority="16466" operator="containsText" text="&quot;H&quot;">
      <formula>NOT(ISERROR(SEARCH("""H""",AZ12)))</formula>
    </cfRule>
    <cfRule type="containsText" dxfId="15329" priority="16467" operator="containsText" text="&quot;A&quot;">
      <formula>NOT(ISERROR(SEARCH("""A""",AZ12)))</formula>
    </cfRule>
  </conditionalFormatting>
  <conditionalFormatting sqref="AZ12:BA12">
    <cfRule type="containsText" dxfId="15328" priority="16465" operator="containsText" text="A-H">
      <formula>NOT(ISERROR(SEARCH("A-H",AZ12)))</formula>
    </cfRule>
  </conditionalFormatting>
  <conditionalFormatting sqref="BC12:BD12">
    <cfRule type="cellIs" dxfId="15327" priority="16456" operator="equal">
      <formula>"C-Off-H"</formula>
    </cfRule>
    <cfRule type="cellIs" dxfId="15326" priority="16457" operator="equal">
      <formula>"C-Off"</formula>
    </cfRule>
    <cfRule type="cellIs" dxfId="15325" priority="16458" operator="equal">
      <formula>"CL-H"</formula>
    </cfRule>
    <cfRule type="cellIs" dxfId="15324" priority="16459" operator="equal">
      <formula>"EL-H"</formula>
    </cfRule>
    <cfRule type="cellIs" dxfId="15323" priority="16460" operator="equal">
      <formula>"CL"</formula>
    </cfRule>
    <cfRule type="cellIs" dxfId="15322" priority="16461" operator="equal">
      <formula>"EL"</formula>
    </cfRule>
  </conditionalFormatting>
  <conditionalFormatting sqref="BC12:BD12">
    <cfRule type="containsText" dxfId="15321" priority="16450" operator="containsText" text="S">
      <formula>NOT(ISERROR(SEARCH("S",BC12)))</formula>
    </cfRule>
    <cfRule type="containsText" dxfId="15320" priority="16451" operator="containsText" text="P">
      <formula>NOT(ISERROR(SEARCH("P",BC12)))</formula>
    </cfRule>
    <cfRule type="containsText" dxfId="15319" priority="16452" operator="containsText" text="H">
      <formula>NOT(ISERROR(SEARCH("H",BC12)))</formula>
    </cfRule>
    <cfRule type="containsText" dxfId="15318" priority="16454" operator="containsText" text="&quot;H&quot;">
      <formula>NOT(ISERROR(SEARCH("""H""",BC12)))</formula>
    </cfRule>
    <cfRule type="containsText" dxfId="15317" priority="16455" operator="containsText" text="&quot;A&quot;">
      <formula>NOT(ISERROR(SEARCH("""A""",BC12)))</formula>
    </cfRule>
  </conditionalFormatting>
  <conditionalFormatting sqref="BC12:BD12">
    <cfRule type="containsText" dxfId="15316" priority="16453" operator="containsText" text="A-H">
      <formula>NOT(ISERROR(SEARCH("A-H",BC12)))</formula>
    </cfRule>
  </conditionalFormatting>
  <conditionalFormatting sqref="BF12:BG12">
    <cfRule type="cellIs" dxfId="15315" priority="16444" operator="equal">
      <formula>"C-Off-H"</formula>
    </cfRule>
    <cfRule type="cellIs" dxfId="15314" priority="16445" operator="equal">
      <formula>"C-Off"</formula>
    </cfRule>
    <cfRule type="cellIs" dxfId="15313" priority="16446" operator="equal">
      <formula>"CL-H"</formula>
    </cfRule>
    <cfRule type="cellIs" dxfId="15312" priority="16447" operator="equal">
      <formula>"EL-H"</formula>
    </cfRule>
    <cfRule type="cellIs" dxfId="15311" priority="16448" operator="equal">
      <formula>"CL"</formula>
    </cfRule>
    <cfRule type="cellIs" dxfId="15310" priority="16449" operator="equal">
      <formula>"EL"</formula>
    </cfRule>
  </conditionalFormatting>
  <conditionalFormatting sqref="BF12:BG12">
    <cfRule type="containsText" dxfId="15309" priority="16438" operator="containsText" text="S">
      <formula>NOT(ISERROR(SEARCH("S",BF12)))</formula>
    </cfRule>
    <cfRule type="containsText" dxfId="15308" priority="16439" operator="containsText" text="P">
      <formula>NOT(ISERROR(SEARCH("P",BF12)))</formula>
    </cfRule>
    <cfRule type="containsText" dxfId="15307" priority="16440" operator="containsText" text="H">
      <formula>NOT(ISERROR(SEARCH("H",BF12)))</formula>
    </cfRule>
    <cfRule type="containsText" dxfId="15306" priority="16442" operator="containsText" text="&quot;H&quot;">
      <formula>NOT(ISERROR(SEARCH("""H""",BF12)))</formula>
    </cfRule>
    <cfRule type="containsText" dxfId="15305" priority="16443" operator="containsText" text="&quot;A&quot;">
      <formula>NOT(ISERROR(SEARCH("""A""",BF12)))</formula>
    </cfRule>
  </conditionalFormatting>
  <conditionalFormatting sqref="BF12:BG12">
    <cfRule type="containsText" dxfId="15304" priority="16441" operator="containsText" text="A-H">
      <formula>NOT(ISERROR(SEARCH("A-H",BF12)))</formula>
    </cfRule>
  </conditionalFormatting>
  <conditionalFormatting sqref="BI12:BJ12">
    <cfRule type="cellIs" dxfId="15303" priority="16432" operator="equal">
      <formula>"C-Off-H"</formula>
    </cfRule>
    <cfRule type="cellIs" dxfId="15302" priority="16433" operator="equal">
      <formula>"C-Off"</formula>
    </cfRule>
    <cfRule type="cellIs" dxfId="15301" priority="16434" operator="equal">
      <formula>"CL-H"</formula>
    </cfRule>
    <cfRule type="cellIs" dxfId="15300" priority="16435" operator="equal">
      <formula>"EL-H"</formula>
    </cfRule>
    <cfRule type="cellIs" dxfId="15299" priority="16436" operator="equal">
      <formula>"CL"</formula>
    </cfRule>
    <cfRule type="cellIs" dxfId="15298" priority="16437" operator="equal">
      <formula>"EL"</formula>
    </cfRule>
  </conditionalFormatting>
  <conditionalFormatting sqref="BI12:BJ12">
    <cfRule type="containsText" dxfId="15297" priority="16426" operator="containsText" text="S">
      <formula>NOT(ISERROR(SEARCH("S",BI12)))</formula>
    </cfRule>
    <cfRule type="containsText" dxfId="15296" priority="16427" operator="containsText" text="P">
      <formula>NOT(ISERROR(SEARCH("P",BI12)))</formula>
    </cfRule>
    <cfRule type="containsText" dxfId="15295" priority="16428" operator="containsText" text="H">
      <formula>NOT(ISERROR(SEARCH("H",BI12)))</formula>
    </cfRule>
    <cfRule type="containsText" dxfId="15294" priority="16430" operator="containsText" text="&quot;H&quot;">
      <formula>NOT(ISERROR(SEARCH("""H""",BI12)))</formula>
    </cfRule>
    <cfRule type="containsText" dxfId="15293" priority="16431" operator="containsText" text="&quot;A&quot;">
      <formula>NOT(ISERROR(SEARCH("""A""",BI12)))</formula>
    </cfRule>
  </conditionalFormatting>
  <conditionalFormatting sqref="BI12:BJ12">
    <cfRule type="containsText" dxfId="15292" priority="16429" operator="containsText" text="A-H">
      <formula>NOT(ISERROR(SEARCH("A-H",BI12)))</formula>
    </cfRule>
  </conditionalFormatting>
  <conditionalFormatting sqref="BL12:BM12">
    <cfRule type="cellIs" dxfId="15291" priority="16420" operator="equal">
      <formula>"C-Off-H"</formula>
    </cfRule>
    <cfRule type="cellIs" dxfId="15290" priority="16421" operator="equal">
      <formula>"C-Off"</formula>
    </cfRule>
    <cfRule type="cellIs" dxfId="15289" priority="16422" operator="equal">
      <formula>"CL-H"</formula>
    </cfRule>
    <cfRule type="cellIs" dxfId="15288" priority="16423" operator="equal">
      <formula>"EL-H"</formula>
    </cfRule>
    <cfRule type="cellIs" dxfId="15287" priority="16424" operator="equal">
      <formula>"CL"</formula>
    </cfRule>
    <cfRule type="cellIs" dxfId="15286" priority="16425" operator="equal">
      <formula>"EL"</formula>
    </cfRule>
  </conditionalFormatting>
  <conditionalFormatting sqref="BL12:BM12">
    <cfRule type="containsText" dxfId="15285" priority="16414" operator="containsText" text="S">
      <formula>NOT(ISERROR(SEARCH("S",BL12)))</formula>
    </cfRule>
    <cfRule type="containsText" dxfId="15284" priority="16415" operator="containsText" text="P">
      <formula>NOT(ISERROR(SEARCH("P",BL12)))</formula>
    </cfRule>
    <cfRule type="containsText" dxfId="15283" priority="16416" operator="containsText" text="H">
      <formula>NOT(ISERROR(SEARCH("H",BL12)))</formula>
    </cfRule>
    <cfRule type="containsText" dxfId="15282" priority="16418" operator="containsText" text="&quot;H&quot;">
      <formula>NOT(ISERROR(SEARCH("""H""",BL12)))</formula>
    </cfRule>
    <cfRule type="containsText" dxfId="15281" priority="16419" operator="containsText" text="&quot;A&quot;">
      <formula>NOT(ISERROR(SEARCH("""A""",BL12)))</formula>
    </cfRule>
  </conditionalFormatting>
  <conditionalFormatting sqref="BL12:BM12">
    <cfRule type="containsText" dxfId="15280" priority="16417" operator="containsText" text="A-H">
      <formula>NOT(ISERROR(SEARCH("A-H",BL12)))</formula>
    </cfRule>
  </conditionalFormatting>
  <conditionalFormatting sqref="BR12:BS12">
    <cfRule type="cellIs" dxfId="15279" priority="16408" operator="equal">
      <formula>"C-Off-H"</formula>
    </cfRule>
    <cfRule type="cellIs" dxfId="15278" priority="16409" operator="equal">
      <formula>"C-Off"</formula>
    </cfRule>
    <cfRule type="cellIs" dxfId="15277" priority="16410" operator="equal">
      <formula>"CL-H"</formula>
    </cfRule>
    <cfRule type="cellIs" dxfId="15276" priority="16411" operator="equal">
      <formula>"EL-H"</formula>
    </cfRule>
    <cfRule type="cellIs" dxfId="15275" priority="16412" operator="equal">
      <formula>"CL"</formula>
    </cfRule>
    <cfRule type="cellIs" dxfId="15274" priority="16413" operator="equal">
      <formula>"EL"</formula>
    </cfRule>
  </conditionalFormatting>
  <conditionalFormatting sqref="BR12:BS12">
    <cfRule type="containsText" dxfId="15273" priority="16402" operator="containsText" text="S">
      <formula>NOT(ISERROR(SEARCH("S",BR12)))</formula>
    </cfRule>
    <cfRule type="containsText" dxfId="15272" priority="16403" operator="containsText" text="P">
      <formula>NOT(ISERROR(SEARCH("P",BR12)))</formula>
    </cfRule>
    <cfRule type="containsText" dxfId="15271" priority="16404" operator="containsText" text="H">
      <formula>NOT(ISERROR(SEARCH("H",BR12)))</formula>
    </cfRule>
    <cfRule type="containsText" dxfId="15270" priority="16406" operator="containsText" text="&quot;H&quot;">
      <formula>NOT(ISERROR(SEARCH("""H""",BR12)))</formula>
    </cfRule>
    <cfRule type="containsText" dxfId="15269" priority="16407" operator="containsText" text="&quot;A&quot;">
      <formula>NOT(ISERROR(SEARCH("""A""",BR12)))</formula>
    </cfRule>
  </conditionalFormatting>
  <conditionalFormatting sqref="BR12:BS12">
    <cfRule type="containsText" dxfId="15268" priority="16405" operator="containsText" text="A-H">
      <formula>NOT(ISERROR(SEARCH("A-H",BR12)))</formula>
    </cfRule>
  </conditionalFormatting>
  <conditionalFormatting sqref="BU12:BV12">
    <cfRule type="cellIs" dxfId="15267" priority="16396" operator="equal">
      <formula>"C-Off-H"</formula>
    </cfRule>
    <cfRule type="cellIs" dxfId="15266" priority="16397" operator="equal">
      <formula>"C-Off"</formula>
    </cfRule>
    <cfRule type="cellIs" dxfId="15265" priority="16398" operator="equal">
      <formula>"CL-H"</formula>
    </cfRule>
    <cfRule type="cellIs" dxfId="15264" priority="16399" operator="equal">
      <formula>"EL-H"</formula>
    </cfRule>
    <cfRule type="cellIs" dxfId="15263" priority="16400" operator="equal">
      <formula>"CL"</formula>
    </cfRule>
    <cfRule type="cellIs" dxfId="15262" priority="16401" operator="equal">
      <formula>"EL"</formula>
    </cfRule>
  </conditionalFormatting>
  <conditionalFormatting sqref="BU12:BV12">
    <cfRule type="containsText" dxfId="15261" priority="16390" operator="containsText" text="S">
      <formula>NOT(ISERROR(SEARCH("S",BU12)))</formula>
    </cfRule>
    <cfRule type="containsText" dxfId="15260" priority="16391" operator="containsText" text="P">
      <formula>NOT(ISERROR(SEARCH("P",BU12)))</formula>
    </cfRule>
    <cfRule type="containsText" dxfId="15259" priority="16392" operator="containsText" text="H">
      <formula>NOT(ISERROR(SEARCH("H",BU12)))</formula>
    </cfRule>
    <cfRule type="containsText" dxfId="15258" priority="16394" operator="containsText" text="&quot;H&quot;">
      <formula>NOT(ISERROR(SEARCH("""H""",BU12)))</formula>
    </cfRule>
    <cfRule type="containsText" dxfId="15257" priority="16395" operator="containsText" text="&quot;A&quot;">
      <formula>NOT(ISERROR(SEARCH("""A""",BU12)))</formula>
    </cfRule>
  </conditionalFormatting>
  <conditionalFormatting sqref="BU12:BV12">
    <cfRule type="containsText" dxfId="15256" priority="16393" operator="containsText" text="A-H">
      <formula>NOT(ISERROR(SEARCH("A-H",BU12)))</formula>
    </cfRule>
  </conditionalFormatting>
  <conditionalFormatting sqref="BY12">
    <cfRule type="cellIs" dxfId="15255" priority="16384" operator="equal">
      <formula>"C-Off-H"</formula>
    </cfRule>
    <cfRule type="cellIs" dxfId="15254" priority="16385" operator="equal">
      <formula>"C-Off"</formula>
    </cfRule>
    <cfRule type="cellIs" dxfId="15253" priority="16386" operator="equal">
      <formula>"CL-H"</formula>
    </cfRule>
    <cfRule type="cellIs" dxfId="15252" priority="16387" operator="equal">
      <formula>"EL-H"</formula>
    </cfRule>
    <cfRule type="cellIs" dxfId="15251" priority="16388" operator="equal">
      <formula>"CL"</formula>
    </cfRule>
    <cfRule type="cellIs" dxfId="15250" priority="16389" operator="equal">
      <formula>"EL"</formula>
    </cfRule>
  </conditionalFormatting>
  <conditionalFormatting sqref="BY12">
    <cfRule type="containsText" dxfId="15249" priority="16378" operator="containsText" text="S">
      <formula>NOT(ISERROR(SEARCH("S",BY12)))</formula>
    </cfRule>
    <cfRule type="containsText" dxfId="15248" priority="16379" operator="containsText" text="P">
      <formula>NOT(ISERROR(SEARCH("P",BY12)))</formula>
    </cfRule>
    <cfRule type="containsText" dxfId="15247" priority="16380" operator="containsText" text="H">
      <formula>NOT(ISERROR(SEARCH("H",BY12)))</formula>
    </cfRule>
    <cfRule type="containsText" dxfId="15246" priority="16382" operator="containsText" text="&quot;H&quot;">
      <formula>NOT(ISERROR(SEARCH("""H""",BY12)))</formula>
    </cfRule>
    <cfRule type="containsText" dxfId="15245" priority="16383" operator="containsText" text="&quot;A&quot;">
      <formula>NOT(ISERROR(SEARCH("""A""",BY12)))</formula>
    </cfRule>
  </conditionalFormatting>
  <conditionalFormatting sqref="BY12">
    <cfRule type="containsText" dxfId="15244" priority="16381" operator="containsText" text="A-H">
      <formula>NOT(ISERROR(SEARCH("A-H",BY12)))</formula>
    </cfRule>
  </conditionalFormatting>
  <conditionalFormatting sqref="BX12">
    <cfRule type="cellIs" dxfId="15243" priority="16372" operator="equal">
      <formula>"C-Off-H"</formula>
    </cfRule>
    <cfRule type="cellIs" dxfId="15242" priority="16373" operator="equal">
      <formula>"C-Off"</formula>
    </cfRule>
    <cfRule type="cellIs" dxfId="15241" priority="16374" operator="equal">
      <formula>"CL-H"</formula>
    </cfRule>
    <cfRule type="cellIs" dxfId="15240" priority="16375" operator="equal">
      <formula>"EL-H"</formula>
    </cfRule>
    <cfRule type="cellIs" dxfId="15239" priority="16376" operator="equal">
      <formula>"CL"</formula>
    </cfRule>
    <cfRule type="cellIs" dxfId="15238" priority="16377" operator="equal">
      <formula>"EL"</formula>
    </cfRule>
  </conditionalFormatting>
  <conditionalFormatting sqref="BX12">
    <cfRule type="containsText" dxfId="15237" priority="16366" operator="containsText" text="S">
      <formula>NOT(ISERROR(SEARCH("S",BX12)))</formula>
    </cfRule>
    <cfRule type="containsText" dxfId="15236" priority="16367" operator="containsText" text="P">
      <formula>NOT(ISERROR(SEARCH("P",BX12)))</formula>
    </cfRule>
    <cfRule type="containsText" dxfId="15235" priority="16368" operator="containsText" text="H">
      <formula>NOT(ISERROR(SEARCH("H",BX12)))</formula>
    </cfRule>
    <cfRule type="containsText" dxfId="15234" priority="16370" operator="containsText" text="&quot;H&quot;">
      <formula>NOT(ISERROR(SEARCH("""H""",BX12)))</formula>
    </cfRule>
    <cfRule type="containsText" dxfId="15233" priority="16371" operator="containsText" text="&quot;A&quot;">
      <formula>NOT(ISERROR(SEARCH("""A""",BX12)))</formula>
    </cfRule>
  </conditionalFormatting>
  <conditionalFormatting sqref="BX12">
    <cfRule type="containsText" dxfId="15232" priority="16369" operator="containsText" text="A-H">
      <formula>NOT(ISERROR(SEARCH("A-H",BX12)))</formula>
    </cfRule>
  </conditionalFormatting>
  <conditionalFormatting sqref="J12">
    <cfRule type="cellIs" dxfId="15231" priority="16360" operator="equal">
      <formula>"C-Off-H"</formula>
    </cfRule>
    <cfRule type="cellIs" dxfId="15230" priority="16361" operator="equal">
      <formula>"C-Off"</formula>
    </cfRule>
    <cfRule type="cellIs" dxfId="15229" priority="16362" operator="equal">
      <formula>"CL-H"</formula>
    </cfRule>
    <cfRule type="cellIs" dxfId="15228" priority="16363" operator="equal">
      <formula>"EL-H"</formula>
    </cfRule>
    <cfRule type="cellIs" dxfId="15227" priority="16364" operator="equal">
      <formula>"CL"</formula>
    </cfRule>
    <cfRule type="cellIs" dxfId="15226" priority="16365" operator="equal">
      <formula>"EL"</formula>
    </cfRule>
  </conditionalFormatting>
  <conditionalFormatting sqref="J12">
    <cfRule type="containsText" dxfId="15225" priority="16354" operator="containsText" text="S">
      <formula>NOT(ISERROR(SEARCH("S",J12)))</formula>
    </cfRule>
    <cfRule type="containsText" dxfId="15224" priority="16355" operator="containsText" text="P">
      <formula>NOT(ISERROR(SEARCH("P",J12)))</formula>
    </cfRule>
    <cfRule type="containsText" dxfId="15223" priority="16356" operator="containsText" text="H">
      <formula>NOT(ISERROR(SEARCH("H",J12)))</formula>
    </cfRule>
    <cfRule type="containsText" dxfId="15222" priority="16358" operator="containsText" text="&quot;H&quot;">
      <formula>NOT(ISERROR(SEARCH("""H""",J12)))</formula>
    </cfRule>
    <cfRule type="containsText" dxfId="15221" priority="16359" operator="containsText" text="&quot;A&quot;">
      <formula>NOT(ISERROR(SEARCH("""A""",J12)))</formula>
    </cfRule>
  </conditionalFormatting>
  <conditionalFormatting sqref="J12">
    <cfRule type="containsText" dxfId="15220" priority="16357" operator="containsText" text="A-H">
      <formula>NOT(ISERROR(SEARCH("A-H",J12)))</formula>
    </cfRule>
  </conditionalFormatting>
  <conditionalFormatting sqref="CN14">
    <cfRule type="cellIs" dxfId="15219" priority="16348" operator="equal">
      <formula>"C-Off-H"</formula>
    </cfRule>
    <cfRule type="cellIs" dxfId="15218" priority="16349" operator="equal">
      <formula>"C-Off"</formula>
    </cfRule>
    <cfRule type="cellIs" dxfId="15217" priority="16350" operator="equal">
      <formula>"CL-H"</formula>
    </cfRule>
    <cfRule type="cellIs" dxfId="15216" priority="16351" operator="equal">
      <formula>"EL-H"</formula>
    </cfRule>
    <cfRule type="cellIs" dxfId="15215" priority="16352" operator="equal">
      <formula>"CL"</formula>
    </cfRule>
    <cfRule type="cellIs" dxfId="15214" priority="16353" operator="equal">
      <formula>"EL"</formula>
    </cfRule>
  </conditionalFormatting>
  <conditionalFormatting sqref="CN14">
    <cfRule type="containsText" dxfId="15213" priority="16347" operator="containsText" text="A-H">
      <formula>NOT(ISERROR(SEARCH("A-H",CN14)))</formula>
    </cfRule>
  </conditionalFormatting>
  <conditionalFormatting sqref="CN14">
    <cfRule type="containsText" dxfId="15212" priority="16346" operator="containsText" text="A">
      <formula>NOT(ISERROR(SEARCH("A",CN14)))</formula>
    </cfRule>
  </conditionalFormatting>
  <conditionalFormatting sqref="CN14">
    <cfRule type="containsText" dxfId="15211" priority="16341" operator="containsText" text="S">
      <formula>NOT(ISERROR(SEARCH("S",CN14)))</formula>
    </cfRule>
    <cfRule type="containsText" dxfId="15210" priority="16342" operator="containsText" text="P">
      <formula>NOT(ISERROR(SEARCH("P",CN14)))</formula>
    </cfRule>
    <cfRule type="containsText" dxfId="15209" priority="16343" operator="containsText" text="H">
      <formula>NOT(ISERROR(SEARCH("H",CN14)))</formula>
    </cfRule>
    <cfRule type="containsText" dxfId="15208" priority="16344" operator="containsText" text="&quot;H&quot;">
      <formula>NOT(ISERROR(SEARCH("""H""",CN14)))</formula>
    </cfRule>
    <cfRule type="containsText" dxfId="15207" priority="16345" operator="containsText" text="&quot;A&quot;">
      <formula>NOT(ISERROR(SEARCH("""A""",CN14)))</formula>
    </cfRule>
  </conditionalFormatting>
  <conditionalFormatting sqref="CA13:CB13">
    <cfRule type="cellIs" dxfId="15206" priority="16335" operator="equal">
      <formula>"C-Off-H"</formula>
    </cfRule>
    <cfRule type="cellIs" dxfId="15205" priority="16336" operator="equal">
      <formula>"C-Off"</formula>
    </cfRule>
    <cfRule type="cellIs" dxfId="15204" priority="16337" operator="equal">
      <formula>"CL-H"</formula>
    </cfRule>
    <cfRule type="cellIs" dxfId="15203" priority="16338" operator="equal">
      <formula>"EL-H"</formula>
    </cfRule>
    <cfRule type="cellIs" dxfId="15202" priority="16339" operator="equal">
      <formula>"CL"</formula>
    </cfRule>
    <cfRule type="cellIs" dxfId="15201" priority="16340" operator="equal">
      <formula>"EL"</formula>
    </cfRule>
  </conditionalFormatting>
  <conditionalFormatting sqref="CA13:CB13">
    <cfRule type="containsText" dxfId="15200" priority="16329" operator="containsText" text="S">
      <formula>NOT(ISERROR(SEARCH("S",CA13)))</formula>
    </cfRule>
    <cfRule type="containsText" dxfId="15199" priority="16330" operator="containsText" text="P">
      <formula>NOT(ISERROR(SEARCH("P",CA13)))</formula>
    </cfRule>
    <cfRule type="containsText" dxfId="15198" priority="16331" operator="containsText" text="H">
      <formula>NOT(ISERROR(SEARCH("H",CA13)))</formula>
    </cfRule>
    <cfRule type="containsText" dxfId="15197" priority="16333" operator="containsText" text="&quot;H&quot;">
      <formula>NOT(ISERROR(SEARCH("""H""",CA13)))</formula>
    </cfRule>
    <cfRule type="containsText" dxfId="15196" priority="16334" operator="containsText" text="&quot;A&quot;">
      <formula>NOT(ISERROR(SEARCH("""A""",CA13)))</formula>
    </cfRule>
  </conditionalFormatting>
  <conditionalFormatting sqref="CA13:CB13">
    <cfRule type="containsText" dxfId="15195" priority="16332" operator="containsText" text="A-H">
      <formula>NOT(ISERROR(SEARCH("A-H",CA13)))</formula>
    </cfRule>
  </conditionalFormatting>
  <conditionalFormatting sqref="CD13:CE13">
    <cfRule type="cellIs" dxfId="15194" priority="16323" operator="equal">
      <formula>"C-Off-H"</formula>
    </cfRule>
    <cfRule type="cellIs" dxfId="15193" priority="16324" operator="equal">
      <formula>"C-Off"</formula>
    </cfRule>
    <cfRule type="cellIs" dxfId="15192" priority="16325" operator="equal">
      <formula>"CL-H"</formula>
    </cfRule>
    <cfRule type="cellIs" dxfId="15191" priority="16326" operator="equal">
      <formula>"EL-H"</formula>
    </cfRule>
    <cfRule type="cellIs" dxfId="15190" priority="16327" operator="equal">
      <formula>"CL"</formula>
    </cfRule>
    <cfRule type="cellIs" dxfId="15189" priority="16328" operator="equal">
      <formula>"EL"</formula>
    </cfRule>
  </conditionalFormatting>
  <conditionalFormatting sqref="CD13:CE13">
    <cfRule type="containsText" dxfId="15188" priority="16317" operator="containsText" text="S">
      <formula>NOT(ISERROR(SEARCH("S",CD13)))</formula>
    </cfRule>
    <cfRule type="containsText" dxfId="15187" priority="16318" operator="containsText" text="P">
      <formula>NOT(ISERROR(SEARCH("P",CD13)))</formula>
    </cfRule>
    <cfRule type="containsText" dxfId="15186" priority="16319" operator="containsText" text="H">
      <formula>NOT(ISERROR(SEARCH("H",CD13)))</formula>
    </cfRule>
    <cfRule type="containsText" dxfId="15185" priority="16321" operator="containsText" text="&quot;H&quot;">
      <formula>NOT(ISERROR(SEARCH("""H""",CD13)))</formula>
    </cfRule>
    <cfRule type="containsText" dxfId="15184" priority="16322" operator="containsText" text="&quot;A&quot;">
      <formula>NOT(ISERROR(SEARCH("""A""",CD13)))</formula>
    </cfRule>
  </conditionalFormatting>
  <conditionalFormatting sqref="CD13:CE13">
    <cfRule type="containsText" dxfId="15183" priority="16320" operator="containsText" text="A-H">
      <formula>NOT(ISERROR(SEARCH("A-H",CD13)))</formula>
    </cfRule>
  </conditionalFormatting>
  <conditionalFormatting sqref="CH13">
    <cfRule type="cellIs" dxfId="15182" priority="16311" operator="equal">
      <formula>"C-Off-H"</formula>
    </cfRule>
    <cfRule type="cellIs" dxfId="15181" priority="16312" operator="equal">
      <formula>"C-Off"</formula>
    </cfRule>
    <cfRule type="cellIs" dxfId="15180" priority="16313" operator="equal">
      <formula>"CL-H"</formula>
    </cfRule>
    <cfRule type="cellIs" dxfId="15179" priority="16314" operator="equal">
      <formula>"EL-H"</formula>
    </cfRule>
    <cfRule type="cellIs" dxfId="15178" priority="16315" operator="equal">
      <formula>"CL"</formula>
    </cfRule>
    <cfRule type="cellIs" dxfId="15177" priority="16316" operator="equal">
      <formula>"EL"</formula>
    </cfRule>
  </conditionalFormatting>
  <conditionalFormatting sqref="CH13">
    <cfRule type="containsText" dxfId="15176" priority="16305" operator="containsText" text="S">
      <formula>NOT(ISERROR(SEARCH("S",CH13)))</formula>
    </cfRule>
    <cfRule type="containsText" dxfId="15175" priority="16306" operator="containsText" text="P">
      <formula>NOT(ISERROR(SEARCH("P",CH13)))</formula>
    </cfRule>
    <cfRule type="containsText" dxfId="15174" priority="16307" operator="containsText" text="H">
      <formula>NOT(ISERROR(SEARCH("H",CH13)))</formula>
    </cfRule>
    <cfRule type="containsText" dxfId="15173" priority="16309" operator="containsText" text="&quot;H&quot;">
      <formula>NOT(ISERROR(SEARCH("""H""",CH13)))</formula>
    </cfRule>
    <cfRule type="containsText" dxfId="15172" priority="16310" operator="containsText" text="&quot;A&quot;">
      <formula>NOT(ISERROR(SEARCH("""A""",CH13)))</formula>
    </cfRule>
  </conditionalFormatting>
  <conditionalFormatting sqref="CH13">
    <cfRule type="containsText" dxfId="15171" priority="16308" operator="containsText" text="A-H">
      <formula>NOT(ISERROR(SEARCH("A-H",CH13)))</formula>
    </cfRule>
  </conditionalFormatting>
  <conditionalFormatting sqref="CG13">
    <cfRule type="cellIs" dxfId="15170" priority="16299" operator="equal">
      <formula>"C-Off-H"</formula>
    </cfRule>
    <cfRule type="cellIs" dxfId="15169" priority="16300" operator="equal">
      <formula>"C-Off"</formula>
    </cfRule>
    <cfRule type="cellIs" dxfId="15168" priority="16301" operator="equal">
      <formula>"CL-H"</formula>
    </cfRule>
    <cfRule type="cellIs" dxfId="15167" priority="16302" operator="equal">
      <formula>"EL-H"</formula>
    </cfRule>
    <cfRule type="cellIs" dxfId="15166" priority="16303" operator="equal">
      <formula>"CL"</formula>
    </cfRule>
    <cfRule type="cellIs" dxfId="15165" priority="16304" operator="equal">
      <formula>"EL"</formula>
    </cfRule>
  </conditionalFormatting>
  <conditionalFormatting sqref="CG13">
    <cfRule type="containsText" dxfId="15164" priority="16293" operator="containsText" text="S">
      <formula>NOT(ISERROR(SEARCH("S",CG13)))</formula>
    </cfRule>
    <cfRule type="containsText" dxfId="15163" priority="16294" operator="containsText" text="P">
      <formula>NOT(ISERROR(SEARCH("P",CG13)))</formula>
    </cfRule>
    <cfRule type="containsText" dxfId="15162" priority="16295" operator="containsText" text="H">
      <formula>NOT(ISERROR(SEARCH("H",CG13)))</formula>
    </cfRule>
    <cfRule type="containsText" dxfId="15161" priority="16297" operator="containsText" text="&quot;H&quot;">
      <formula>NOT(ISERROR(SEARCH("""H""",CG13)))</formula>
    </cfRule>
    <cfRule type="containsText" dxfId="15160" priority="16298" operator="containsText" text="&quot;A&quot;">
      <formula>NOT(ISERROR(SEARCH("""A""",CG13)))</formula>
    </cfRule>
  </conditionalFormatting>
  <conditionalFormatting sqref="CG13">
    <cfRule type="containsText" dxfId="15159" priority="16296" operator="containsText" text="A-H">
      <formula>NOT(ISERROR(SEARCH("A-H",CG13)))</formula>
    </cfRule>
  </conditionalFormatting>
  <conditionalFormatting sqref="CA14:CB14">
    <cfRule type="cellIs" dxfId="15158" priority="16287" operator="equal">
      <formula>"C-Off-H"</formula>
    </cfRule>
    <cfRule type="cellIs" dxfId="15157" priority="16288" operator="equal">
      <formula>"C-Off"</formula>
    </cfRule>
    <cfRule type="cellIs" dxfId="15156" priority="16289" operator="equal">
      <formula>"CL-H"</formula>
    </cfRule>
    <cfRule type="cellIs" dxfId="15155" priority="16290" operator="equal">
      <formula>"EL-H"</formula>
    </cfRule>
    <cfRule type="cellIs" dxfId="15154" priority="16291" operator="equal">
      <formula>"CL"</formula>
    </cfRule>
    <cfRule type="cellIs" dxfId="15153" priority="16292" operator="equal">
      <formula>"EL"</formula>
    </cfRule>
  </conditionalFormatting>
  <conditionalFormatting sqref="CA14:CB14">
    <cfRule type="containsText" dxfId="15152" priority="16281" operator="containsText" text="S">
      <formula>NOT(ISERROR(SEARCH("S",CA14)))</formula>
    </cfRule>
    <cfRule type="containsText" dxfId="15151" priority="16282" operator="containsText" text="P">
      <formula>NOT(ISERROR(SEARCH("P",CA14)))</formula>
    </cfRule>
    <cfRule type="containsText" dxfId="15150" priority="16283" operator="containsText" text="H">
      <formula>NOT(ISERROR(SEARCH("H",CA14)))</formula>
    </cfRule>
    <cfRule type="containsText" dxfId="15149" priority="16285" operator="containsText" text="&quot;H&quot;">
      <formula>NOT(ISERROR(SEARCH("""H""",CA14)))</formula>
    </cfRule>
    <cfRule type="containsText" dxfId="15148" priority="16286" operator="containsText" text="&quot;A&quot;">
      <formula>NOT(ISERROR(SEARCH("""A""",CA14)))</formula>
    </cfRule>
  </conditionalFormatting>
  <conditionalFormatting sqref="CA14:CB14">
    <cfRule type="containsText" dxfId="15147" priority="16284" operator="containsText" text="A-H">
      <formula>NOT(ISERROR(SEARCH("A-H",CA14)))</formula>
    </cfRule>
  </conditionalFormatting>
  <conditionalFormatting sqref="CD14:CE14">
    <cfRule type="cellIs" dxfId="15146" priority="16275" operator="equal">
      <formula>"C-Off-H"</formula>
    </cfRule>
    <cfRule type="cellIs" dxfId="15145" priority="16276" operator="equal">
      <formula>"C-Off"</formula>
    </cfRule>
    <cfRule type="cellIs" dxfId="15144" priority="16277" operator="equal">
      <formula>"CL-H"</formula>
    </cfRule>
    <cfRule type="cellIs" dxfId="15143" priority="16278" operator="equal">
      <formula>"EL-H"</formula>
    </cfRule>
    <cfRule type="cellIs" dxfId="15142" priority="16279" operator="equal">
      <formula>"CL"</formula>
    </cfRule>
    <cfRule type="cellIs" dxfId="15141" priority="16280" operator="equal">
      <formula>"EL"</formula>
    </cfRule>
  </conditionalFormatting>
  <conditionalFormatting sqref="CD14:CE14">
    <cfRule type="containsText" dxfId="15140" priority="16269" operator="containsText" text="S">
      <formula>NOT(ISERROR(SEARCH("S",CD14)))</formula>
    </cfRule>
    <cfRule type="containsText" dxfId="15139" priority="16270" operator="containsText" text="P">
      <formula>NOT(ISERROR(SEARCH("P",CD14)))</formula>
    </cfRule>
    <cfRule type="containsText" dxfId="15138" priority="16271" operator="containsText" text="H">
      <formula>NOT(ISERROR(SEARCH("H",CD14)))</formula>
    </cfRule>
    <cfRule type="containsText" dxfId="15137" priority="16273" operator="containsText" text="&quot;H&quot;">
      <formula>NOT(ISERROR(SEARCH("""H""",CD14)))</formula>
    </cfRule>
    <cfRule type="containsText" dxfId="15136" priority="16274" operator="containsText" text="&quot;A&quot;">
      <formula>NOT(ISERROR(SEARCH("""A""",CD14)))</formula>
    </cfRule>
  </conditionalFormatting>
  <conditionalFormatting sqref="CD14:CE14">
    <cfRule type="containsText" dxfId="15135" priority="16272" operator="containsText" text="A-H">
      <formula>NOT(ISERROR(SEARCH("A-H",CD14)))</formula>
    </cfRule>
  </conditionalFormatting>
  <conditionalFormatting sqref="CH14">
    <cfRule type="cellIs" dxfId="15134" priority="16263" operator="equal">
      <formula>"C-Off-H"</formula>
    </cfRule>
    <cfRule type="cellIs" dxfId="15133" priority="16264" operator="equal">
      <formula>"C-Off"</formula>
    </cfRule>
    <cfRule type="cellIs" dxfId="15132" priority="16265" operator="equal">
      <formula>"CL-H"</formula>
    </cfRule>
    <cfRule type="cellIs" dxfId="15131" priority="16266" operator="equal">
      <formula>"EL-H"</formula>
    </cfRule>
    <cfRule type="cellIs" dxfId="15130" priority="16267" operator="equal">
      <formula>"CL"</formula>
    </cfRule>
    <cfRule type="cellIs" dxfId="15129" priority="16268" operator="equal">
      <formula>"EL"</formula>
    </cfRule>
  </conditionalFormatting>
  <conditionalFormatting sqref="CH14">
    <cfRule type="containsText" dxfId="15128" priority="16257" operator="containsText" text="S">
      <formula>NOT(ISERROR(SEARCH("S",CH14)))</formula>
    </cfRule>
    <cfRule type="containsText" dxfId="15127" priority="16258" operator="containsText" text="P">
      <formula>NOT(ISERROR(SEARCH("P",CH14)))</formula>
    </cfRule>
    <cfRule type="containsText" dxfId="15126" priority="16259" operator="containsText" text="H">
      <formula>NOT(ISERROR(SEARCH("H",CH14)))</formula>
    </cfRule>
    <cfRule type="containsText" dxfId="15125" priority="16261" operator="containsText" text="&quot;H&quot;">
      <formula>NOT(ISERROR(SEARCH("""H""",CH14)))</formula>
    </cfRule>
    <cfRule type="containsText" dxfId="15124" priority="16262" operator="containsText" text="&quot;A&quot;">
      <formula>NOT(ISERROR(SEARCH("""A""",CH14)))</formula>
    </cfRule>
  </conditionalFormatting>
  <conditionalFormatting sqref="CH14">
    <cfRule type="containsText" dxfId="15123" priority="16260" operator="containsText" text="A-H">
      <formula>NOT(ISERROR(SEARCH("A-H",CH14)))</formula>
    </cfRule>
  </conditionalFormatting>
  <conditionalFormatting sqref="CG14">
    <cfRule type="cellIs" dxfId="15122" priority="16251" operator="equal">
      <formula>"C-Off-H"</formula>
    </cfRule>
    <cfRule type="cellIs" dxfId="15121" priority="16252" operator="equal">
      <formula>"C-Off"</formula>
    </cfRule>
    <cfRule type="cellIs" dxfId="15120" priority="16253" operator="equal">
      <formula>"CL-H"</formula>
    </cfRule>
    <cfRule type="cellIs" dxfId="15119" priority="16254" operator="equal">
      <formula>"EL-H"</formula>
    </cfRule>
    <cfRule type="cellIs" dxfId="15118" priority="16255" operator="equal">
      <formula>"CL"</formula>
    </cfRule>
    <cfRule type="cellIs" dxfId="15117" priority="16256" operator="equal">
      <formula>"EL"</formula>
    </cfRule>
  </conditionalFormatting>
  <conditionalFormatting sqref="CG14">
    <cfRule type="containsText" dxfId="15116" priority="16245" operator="containsText" text="S">
      <formula>NOT(ISERROR(SEARCH("S",CG14)))</formula>
    </cfRule>
    <cfRule type="containsText" dxfId="15115" priority="16246" operator="containsText" text="P">
      <formula>NOT(ISERROR(SEARCH("P",CG14)))</formula>
    </cfRule>
    <cfRule type="containsText" dxfId="15114" priority="16247" operator="containsText" text="H">
      <formula>NOT(ISERROR(SEARCH("H",CG14)))</formula>
    </cfRule>
    <cfRule type="containsText" dxfId="15113" priority="16249" operator="containsText" text="&quot;H&quot;">
      <formula>NOT(ISERROR(SEARCH("""H""",CG14)))</formula>
    </cfRule>
    <cfRule type="containsText" dxfId="15112" priority="16250" operator="containsText" text="&quot;A&quot;">
      <formula>NOT(ISERROR(SEARCH("""A""",CG14)))</formula>
    </cfRule>
  </conditionalFormatting>
  <conditionalFormatting sqref="CG14">
    <cfRule type="containsText" dxfId="15111" priority="16248" operator="containsText" text="A-H">
      <formula>NOT(ISERROR(SEARCH("A-H",CG14)))</formula>
    </cfRule>
  </conditionalFormatting>
  <conditionalFormatting sqref="CA12:CB12">
    <cfRule type="cellIs" dxfId="15110" priority="16239" operator="equal">
      <formula>"C-Off-H"</formula>
    </cfRule>
    <cfRule type="cellIs" dxfId="15109" priority="16240" operator="equal">
      <formula>"C-Off"</formula>
    </cfRule>
    <cfRule type="cellIs" dxfId="15108" priority="16241" operator="equal">
      <formula>"CL-H"</formula>
    </cfRule>
    <cfRule type="cellIs" dxfId="15107" priority="16242" operator="equal">
      <formula>"EL-H"</formula>
    </cfRule>
    <cfRule type="cellIs" dxfId="15106" priority="16243" operator="equal">
      <formula>"CL"</formula>
    </cfRule>
    <cfRule type="cellIs" dxfId="15105" priority="16244" operator="equal">
      <formula>"EL"</formula>
    </cfRule>
  </conditionalFormatting>
  <conditionalFormatting sqref="CA12:CB12">
    <cfRule type="containsText" dxfId="15104" priority="16233" operator="containsText" text="S">
      <formula>NOT(ISERROR(SEARCH("S",CA12)))</formula>
    </cfRule>
    <cfRule type="containsText" dxfId="15103" priority="16234" operator="containsText" text="P">
      <formula>NOT(ISERROR(SEARCH("P",CA12)))</formula>
    </cfRule>
    <cfRule type="containsText" dxfId="15102" priority="16235" operator="containsText" text="H">
      <formula>NOT(ISERROR(SEARCH("H",CA12)))</formula>
    </cfRule>
    <cfRule type="containsText" dxfId="15101" priority="16237" operator="containsText" text="&quot;H&quot;">
      <formula>NOT(ISERROR(SEARCH("""H""",CA12)))</formula>
    </cfRule>
    <cfRule type="containsText" dxfId="15100" priority="16238" operator="containsText" text="&quot;A&quot;">
      <formula>NOT(ISERROR(SEARCH("""A""",CA12)))</formula>
    </cfRule>
  </conditionalFormatting>
  <conditionalFormatting sqref="CA12:CB12">
    <cfRule type="containsText" dxfId="15099" priority="16236" operator="containsText" text="A-H">
      <formula>NOT(ISERROR(SEARCH("A-H",CA12)))</formula>
    </cfRule>
  </conditionalFormatting>
  <conditionalFormatting sqref="CD12:CE12">
    <cfRule type="cellIs" dxfId="15098" priority="16227" operator="equal">
      <formula>"C-Off-H"</formula>
    </cfRule>
    <cfRule type="cellIs" dxfId="15097" priority="16228" operator="equal">
      <formula>"C-Off"</formula>
    </cfRule>
    <cfRule type="cellIs" dxfId="15096" priority="16229" operator="equal">
      <formula>"CL-H"</formula>
    </cfRule>
    <cfRule type="cellIs" dxfId="15095" priority="16230" operator="equal">
      <formula>"EL-H"</formula>
    </cfRule>
    <cfRule type="cellIs" dxfId="15094" priority="16231" operator="equal">
      <formula>"CL"</formula>
    </cfRule>
    <cfRule type="cellIs" dxfId="15093" priority="16232" operator="equal">
      <formula>"EL"</formula>
    </cfRule>
  </conditionalFormatting>
  <conditionalFormatting sqref="CD12:CE12">
    <cfRule type="containsText" dxfId="15092" priority="16221" operator="containsText" text="S">
      <formula>NOT(ISERROR(SEARCH("S",CD12)))</formula>
    </cfRule>
    <cfRule type="containsText" dxfId="15091" priority="16222" operator="containsText" text="P">
      <formula>NOT(ISERROR(SEARCH("P",CD12)))</formula>
    </cfRule>
    <cfRule type="containsText" dxfId="15090" priority="16223" operator="containsText" text="H">
      <formula>NOT(ISERROR(SEARCH("H",CD12)))</formula>
    </cfRule>
    <cfRule type="containsText" dxfId="15089" priority="16225" operator="containsText" text="&quot;H&quot;">
      <formula>NOT(ISERROR(SEARCH("""H""",CD12)))</formula>
    </cfRule>
    <cfRule type="containsText" dxfId="15088" priority="16226" operator="containsText" text="&quot;A&quot;">
      <formula>NOT(ISERROR(SEARCH("""A""",CD12)))</formula>
    </cfRule>
  </conditionalFormatting>
  <conditionalFormatting sqref="CD12:CE12">
    <cfRule type="containsText" dxfId="15087" priority="16224" operator="containsText" text="A-H">
      <formula>NOT(ISERROR(SEARCH("A-H",CD12)))</formula>
    </cfRule>
  </conditionalFormatting>
  <conditionalFormatting sqref="CH12">
    <cfRule type="cellIs" dxfId="15086" priority="16215" operator="equal">
      <formula>"C-Off-H"</formula>
    </cfRule>
    <cfRule type="cellIs" dxfId="15085" priority="16216" operator="equal">
      <formula>"C-Off"</formula>
    </cfRule>
    <cfRule type="cellIs" dxfId="15084" priority="16217" operator="equal">
      <formula>"CL-H"</formula>
    </cfRule>
    <cfRule type="cellIs" dxfId="15083" priority="16218" operator="equal">
      <formula>"EL-H"</formula>
    </cfRule>
    <cfRule type="cellIs" dxfId="15082" priority="16219" operator="equal">
      <formula>"CL"</formula>
    </cfRule>
    <cfRule type="cellIs" dxfId="15081" priority="16220" operator="equal">
      <formula>"EL"</formula>
    </cfRule>
  </conditionalFormatting>
  <conditionalFormatting sqref="CH12">
    <cfRule type="containsText" dxfId="15080" priority="16209" operator="containsText" text="S">
      <formula>NOT(ISERROR(SEARCH("S",CH12)))</formula>
    </cfRule>
    <cfRule type="containsText" dxfId="15079" priority="16210" operator="containsText" text="P">
      <formula>NOT(ISERROR(SEARCH("P",CH12)))</formula>
    </cfRule>
    <cfRule type="containsText" dxfId="15078" priority="16211" operator="containsText" text="H">
      <formula>NOT(ISERROR(SEARCH("H",CH12)))</formula>
    </cfRule>
    <cfRule type="containsText" dxfId="15077" priority="16213" operator="containsText" text="&quot;H&quot;">
      <formula>NOT(ISERROR(SEARCH("""H""",CH12)))</formula>
    </cfRule>
    <cfRule type="containsText" dxfId="15076" priority="16214" operator="containsText" text="&quot;A&quot;">
      <formula>NOT(ISERROR(SEARCH("""A""",CH12)))</formula>
    </cfRule>
  </conditionalFormatting>
  <conditionalFormatting sqref="CH12">
    <cfRule type="containsText" dxfId="15075" priority="16212" operator="containsText" text="A-H">
      <formula>NOT(ISERROR(SEARCH("A-H",CH12)))</formula>
    </cfRule>
  </conditionalFormatting>
  <conditionalFormatting sqref="CG12">
    <cfRule type="cellIs" dxfId="15074" priority="16203" operator="equal">
      <formula>"C-Off-H"</formula>
    </cfRule>
    <cfRule type="cellIs" dxfId="15073" priority="16204" operator="equal">
      <formula>"C-Off"</formula>
    </cfRule>
    <cfRule type="cellIs" dxfId="15072" priority="16205" operator="equal">
      <formula>"CL-H"</formula>
    </cfRule>
    <cfRule type="cellIs" dxfId="15071" priority="16206" operator="equal">
      <formula>"EL-H"</formula>
    </cfRule>
    <cfRule type="cellIs" dxfId="15070" priority="16207" operator="equal">
      <formula>"CL"</formula>
    </cfRule>
    <cfRule type="cellIs" dxfId="15069" priority="16208" operator="equal">
      <formula>"EL"</formula>
    </cfRule>
  </conditionalFormatting>
  <conditionalFormatting sqref="CG12">
    <cfRule type="containsText" dxfId="15068" priority="16197" operator="containsText" text="S">
      <formula>NOT(ISERROR(SEARCH("S",CG12)))</formula>
    </cfRule>
    <cfRule type="containsText" dxfId="15067" priority="16198" operator="containsText" text="P">
      <formula>NOT(ISERROR(SEARCH("P",CG12)))</formula>
    </cfRule>
    <cfRule type="containsText" dxfId="15066" priority="16199" operator="containsText" text="H">
      <formula>NOT(ISERROR(SEARCH("H",CG12)))</formula>
    </cfRule>
    <cfRule type="containsText" dxfId="15065" priority="16201" operator="containsText" text="&quot;H&quot;">
      <formula>NOT(ISERROR(SEARCH("""H""",CG12)))</formula>
    </cfRule>
    <cfRule type="containsText" dxfId="15064" priority="16202" operator="containsText" text="&quot;A&quot;">
      <formula>NOT(ISERROR(SEARCH("""A""",CG12)))</formula>
    </cfRule>
  </conditionalFormatting>
  <conditionalFormatting sqref="CG12">
    <cfRule type="containsText" dxfId="15063" priority="16200" operator="containsText" text="A-H">
      <formula>NOT(ISERROR(SEARCH("A-H",CG12)))</formula>
    </cfRule>
  </conditionalFormatting>
  <conditionalFormatting sqref="H13">
    <cfRule type="cellIs" dxfId="15062" priority="16191" operator="equal">
      <formula>"C-Off-H"</formula>
    </cfRule>
    <cfRule type="cellIs" dxfId="15061" priority="16192" operator="equal">
      <formula>"C-Off"</formula>
    </cfRule>
    <cfRule type="cellIs" dxfId="15060" priority="16193" operator="equal">
      <formula>"CL-H"</formula>
    </cfRule>
    <cfRule type="cellIs" dxfId="15059" priority="16194" operator="equal">
      <formula>"EL-H"</formula>
    </cfRule>
    <cfRule type="cellIs" dxfId="15058" priority="16195" operator="equal">
      <formula>"CL"</formula>
    </cfRule>
    <cfRule type="cellIs" dxfId="15057" priority="16196" operator="equal">
      <formula>"EL"</formula>
    </cfRule>
  </conditionalFormatting>
  <conditionalFormatting sqref="G13:H13">
    <cfRule type="cellIs" dxfId="15056" priority="16185" operator="equal">
      <formula>"C-Off-H"</formula>
    </cfRule>
    <cfRule type="cellIs" dxfId="15055" priority="16186" operator="equal">
      <formula>"C-Off"</formula>
    </cfRule>
    <cfRule type="cellIs" dxfId="15054" priority="16187" operator="equal">
      <formula>"CL-H"</formula>
    </cfRule>
    <cfRule type="cellIs" dxfId="15053" priority="16188" operator="equal">
      <formula>"EL-H"</formula>
    </cfRule>
    <cfRule type="cellIs" dxfId="15052" priority="16189" operator="equal">
      <formula>"CL"</formula>
    </cfRule>
    <cfRule type="cellIs" dxfId="15051" priority="16190" operator="equal">
      <formula>"EL"</formula>
    </cfRule>
  </conditionalFormatting>
  <conditionalFormatting sqref="G13:H13">
    <cfRule type="containsText" dxfId="15050" priority="16179" operator="containsText" text="S">
      <formula>NOT(ISERROR(SEARCH("S",G13)))</formula>
    </cfRule>
    <cfRule type="containsText" dxfId="15049" priority="16180" operator="containsText" text="P">
      <formula>NOT(ISERROR(SEARCH("P",G13)))</formula>
    </cfRule>
    <cfRule type="containsText" dxfId="15048" priority="16181" operator="containsText" text="H">
      <formula>NOT(ISERROR(SEARCH("H",G13)))</formula>
    </cfRule>
    <cfRule type="containsText" dxfId="15047" priority="16183" operator="containsText" text="&quot;H&quot;">
      <formula>NOT(ISERROR(SEARCH("""H""",G13)))</formula>
    </cfRule>
    <cfRule type="containsText" dxfId="15046" priority="16184" operator="containsText" text="&quot;A&quot;">
      <formula>NOT(ISERROR(SEARCH("""A""",G13)))</formula>
    </cfRule>
  </conditionalFormatting>
  <conditionalFormatting sqref="G13:H13">
    <cfRule type="containsText" dxfId="15045" priority="16182" operator="containsText" text="A-H">
      <formula>NOT(ISERROR(SEARCH("A-H",G13)))</formula>
    </cfRule>
  </conditionalFormatting>
  <conditionalFormatting sqref="H14">
    <cfRule type="cellIs" dxfId="15044" priority="16173" operator="equal">
      <formula>"C-Off-H"</formula>
    </cfRule>
    <cfRule type="cellIs" dxfId="15043" priority="16174" operator="equal">
      <formula>"C-Off"</formula>
    </cfRule>
    <cfRule type="cellIs" dxfId="15042" priority="16175" operator="equal">
      <formula>"CL-H"</formula>
    </cfRule>
    <cfRule type="cellIs" dxfId="15041" priority="16176" operator="equal">
      <formula>"EL-H"</formula>
    </cfRule>
    <cfRule type="cellIs" dxfId="15040" priority="16177" operator="equal">
      <formula>"CL"</formula>
    </cfRule>
    <cfRule type="cellIs" dxfId="15039" priority="16178" operator="equal">
      <formula>"EL"</formula>
    </cfRule>
  </conditionalFormatting>
  <conditionalFormatting sqref="G14:H14">
    <cfRule type="cellIs" dxfId="15038" priority="16167" operator="equal">
      <formula>"C-Off-H"</formula>
    </cfRule>
    <cfRule type="cellIs" dxfId="15037" priority="16168" operator="equal">
      <formula>"C-Off"</formula>
    </cfRule>
    <cfRule type="cellIs" dxfId="15036" priority="16169" operator="equal">
      <formula>"CL-H"</formula>
    </cfRule>
    <cfRule type="cellIs" dxfId="15035" priority="16170" operator="equal">
      <formula>"EL-H"</formula>
    </cfRule>
    <cfRule type="cellIs" dxfId="15034" priority="16171" operator="equal">
      <formula>"CL"</formula>
    </cfRule>
    <cfRule type="cellIs" dxfId="15033" priority="16172" operator="equal">
      <formula>"EL"</formula>
    </cfRule>
  </conditionalFormatting>
  <conditionalFormatting sqref="G14:H14">
    <cfRule type="containsText" dxfId="15032" priority="16161" operator="containsText" text="S">
      <formula>NOT(ISERROR(SEARCH("S",G14)))</formula>
    </cfRule>
    <cfRule type="containsText" dxfId="15031" priority="16162" operator="containsText" text="P">
      <formula>NOT(ISERROR(SEARCH("P",G14)))</formula>
    </cfRule>
    <cfRule type="containsText" dxfId="15030" priority="16163" operator="containsText" text="H">
      <formula>NOT(ISERROR(SEARCH("H",G14)))</formula>
    </cfRule>
    <cfRule type="containsText" dxfId="15029" priority="16165" operator="containsText" text="&quot;H&quot;">
      <formula>NOT(ISERROR(SEARCH("""H""",G14)))</formula>
    </cfRule>
    <cfRule type="containsText" dxfId="15028" priority="16166" operator="containsText" text="&quot;A&quot;">
      <formula>NOT(ISERROR(SEARCH("""A""",G14)))</formula>
    </cfRule>
  </conditionalFormatting>
  <conditionalFormatting sqref="G14:H14">
    <cfRule type="containsText" dxfId="15027" priority="16164" operator="containsText" text="A-H">
      <formula>NOT(ISERROR(SEARCH("A-H",G14)))</formula>
    </cfRule>
  </conditionalFormatting>
  <conditionalFormatting sqref="H12">
    <cfRule type="cellIs" dxfId="15026" priority="16155" operator="equal">
      <formula>"C-Off-H"</formula>
    </cfRule>
    <cfRule type="cellIs" dxfId="15025" priority="16156" operator="equal">
      <formula>"C-Off"</formula>
    </cfRule>
    <cfRule type="cellIs" dxfId="15024" priority="16157" operator="equal">
      <formula>"CL-H"</formula>
    </cfRule>
    <cfRule type="cellIs" dxfId="15023" priority="16158" operator="equal">
      <formula>"EL-H"</formula>
    </cfRule>
    <cfRule type="cellIs" dxfId="15022" priority="16159" operator="equal">
      <formula>"CL"</formula>
    </cfRule>
    <cfRule type="cellIs" dxfId="15021" priority="16160" operator="equal">
      <formula>"EL"</formula>
    </cfRule>
  </conditionalFormatting>
  <conditionalFormatting sqref="G12:H12">
    <cfRule type="cellIs" dxfId="15020" priority="16149" operator="equal">
      <formula>"C-Off-H"</formula>
    </cfRule>
    <cfRule type="cellIs" dxfId="15019" priority="16150" operator="equal">
      <formula>"C-Off"</formula>
    </cfRule>
    <cfRule type="cellIs" dxfId="15018" priority="16151" operator="equal">
      <formula>"CL-H"</formula>
    </cfRule>
    <cfRule type="cellIs" dxfId="15017" priority="16152" operator="equal">
      <formula>"EL-H"</formula>
    </cfRule>
    <cfRule type="cellIs" dxfId="15016" priority="16153" operator="equal">
      <formula>"CL"</formula>
    </cfRule>
    <cfRule type="cellIs" dxfId="15015" priority="16154" operator="equal">
      <formula>"EL"</formula>
    </cfRule>
  </conditionalFormatting>
  <conditionalFormatting sqref="G12:H12">
    <cfRule type="containsText" dxfId="15014" priority="16143" operator="containsText" text="S">
      <formula>NOT(ISERROR(SEARCH("S",G12)))</formula>
    </cfRule>
    <cfRule type="containsText" dxfId="15013" priority="16144" operator="containsText" text="P">
      <formula>NOT(ISERROR(SEARCH("P",G12)))</formula>
    </cfRule>
    <cfRule type="containsText" dxfId="15012" priority="16145" operator="containsText" text="H">
      <formula>NOT(ISERROR(SEARCH("H",G12)))</formula>
    </cfRule>
    <cfRule type="containsText" dxfId="15011" priority="16147" operator="containsText" text="&quot;H&quot;">
      <formula>NOT(ISERROR(SEARCH("""H""",G12)))</formula>
    </cfRule>
    <cfRule type="containsText" dxfId="15010" priority="16148" operator="containsText" text="&quot;A&quot;">
      <formula>NOT(ISERROR(SEARCH("""A""",G12)))</formula>
    </cfRule>
  </conditionalFormatting>
  <conditionalFormatting sqref="G12:H12">
    <cfRule type="containsText" dxfId="15009" priority="16146" operator="containsText" text="A-H">
      <formula>NOT(ISERROR(SEARCH("A-H",G12)))</formula>
    </cfRule>
  </conditionalFormatting>
  <conditionalFormatting sqref="CX11">
    <cfRule type="cellIs" dxfId="15008" priority="16070" operator="equal">
      <formula>"C-Off-H"</formula>
    </cfRule>
    <cfRule type="cellIs" dxfId="15007" priority="16071" operator="equal">
      <formula>"C-Off"</formula>
    </cfRule>
    <cfRule type="cellIs" dxfId="15006" priority="16072" operator="equal">
      <formula>"CL-H"</formula>
    </cfRule>
    <cfRule type="cellIs" dxfId="15005" priority="16073" operator="equal">
      <formula>"EL-H"</formula>
    </cfRule>
    <cfRule type="cellIs" dxfId="15004" priority="16074" operator="equal">
      <formula>"CL"</formula>
    </cfRule>
    <cfRule type="cellIs" dxfId="15003" priority="16075" operator="equal">
      <formula>"EL"</formula>
    </cfRule>
  </conditionalFormatting>
  <conditionalFormatting sqref="CX11">
    <cfRule type="containsText" dxfId="15002" priority="16069" operator="containsText" text="A-H">
      <formula>NOT(ISERROR(SEARCH("A-H",CX11)))</formula>
    </cfRule>
  </conditionalFormatting>
  <conditionalFormatting sqref="CX11">
    <cfRule type="containsText" dxfId="15001" priority="16068" operator="containsText" text="A">
      <formula>NOT(ISERROR(SEARCH("A",CX11)))</formula>
    </cfRule>
  </conditionalFormatting>
  <conditionalFormatting sqref="DC11 CP11:CW11">
    <cfRule type="cellIs" dxfId="15000" priority="16051" operator="equal">
      <formula>"C-Off-H"</formula>
    </cfRule>
    <cfRule type="cellIs" dxfId="14999" priority="16052" operator="equal">
      <formula>"C-Off"</formula>
    </cfRule>
    <cfRule type="cellIs" dxfId="14998" priority="16053" operator="equal">
      <formula>"CL-H"</formula>
    </cfRule>
    <cfRule type="cellIs" dxfId="14997" priority="16054" operator="equal">
      <formula>"EL-H"</formula>
    </cfRule>
    <cfRule type="cellIs" dxfId="14996" priority="16055" operator="equal">
      <formula>"CL"</formula>
    </cfRule>
    <cfRule type="cellIs" dxfId="14995" priority="16056" operator="equal">
      <formula>"EL"</formula>
    </cfRule>
  </conditionalFormatting>
  <conditionalFormatting sqref="DC11 CP11:CW11 CY11:DA11">
    <cfRule type="containsText" dxfId="14994" priority="16050" operator="containsText" text="A-H">
      <formula>NOT(ISERROR(SEARCH("A-H",CP11)))</formula>
    </cfRule>
  </conditionalFormatting>
  <conditionalFormatting sqref="DC11 CP11:CW11 CY11:DA11">
    <cfRule type="containsText" dxfId="14993" priority="16049" operator="containsText" text="A">
      <formula>NOT(ISERROR(SEARCH("A",CP11)))</formula>
    </cfRule>
  </conditionalFormatting>
  <conditionalFormatting sqref="CY11 DA11">
    <cfRule type="cellIs" dxfId="14992" priority="16043" stopIfTrue="1" operator="equal">
      <formula>"C-Off-H"</formula>
    </cfRule>
    <cfRule type="cellIs" dxfId="14991" priority="16044" stopIfTrue="1" operator="equal">
      <formula>"C-Off"</formula>
    </cfRule>
    <cfRule type="cellIs" dxfId="14990" priority="16045" stopIfTrue="1" operator="equal">
      <formula>"CL-H"</formula>
    </cfRule>
    <cfRule type="cellIs" dxfId="14989" priority="16046" stopIfTrue="1" operator="equal">
      <formula>"EL-H"</formula>
    </cfRule>
    <cfRule type="cellIs" dxfId="14988" priority="16047" stopIfTrue="1" operator="equal">
      <formula>"CL"</formula>
    </cfRule>
    <cfRule type="cellIs" dxfId="14987" priority="16048" stopIfTrue="1" operator="equal">
      <formula>"EL"</formula>
    </cfRule>
  </conditionalFormatting>
  <conditionalFormatting sqref="CZ11">
    <cfRule type="cellIs" dxfId="14986" priority="16037" stopIfTrue="1" operator="equal">
      <formula>"C-Off-H"</formula>
    </cfRule>
    <cfRule type="cellIs" dxfId="14985" priority="16038" stopIfTrue="1" operator="equal">
      <formula>"C-Off"</formula>
    </cfRule>
    <cfRule type="cellIs" dxfId="14984" priority="16039" stopIfTrue="1" operator="equal">
      <formula>"CL-H"</formula>
    </cfRule>
    <cfRule type="cellIs" dxfId="14983" priority="16040" stopIfTrue="1" operator="equal">
      <formula>"EL-H"</formula>
    </cfRule>
    <cfRule type="cellIs" dxfId="14982" priority="16041" stopIfTrue="1" operator="equal">
      <formula>"CL"</formula>
    </cfRule>
    <cfRule type="cellIs" dxfId="14981" priority="16042" stopIfTrue="1" operator="equal">
      <formula>"EL"</formula>
    </cfRule>
  </conditionalFormatting>
  <conditionalFormatting sqref="DD11">
    <cfRule type="cellIs" dxfId="14980" priority="16026" operator="equal">
      <formula>"C-Off-H"</formula>
    </cfRule>
    <cfRule type="cellIs" dxfId="14979" priority="16027" operator="equal">
      <formula>"C-Off"</formula>
    </cfRule>
    <cfRule type="cellIs" dxfId="14978" priority="16028" operator="equal">
      <formula>"CL-H"</formula>
    </cfRule>
    <cfRule type="cellIs" dxfId="14977" priority="16029" operator="equal">
      <formula>"EL-H"</formula>
    </cfRule>
    <cfRule type="cellIs" dxfId="14976" priority="16030" operator="equal">
      <formula>"CL"</formula>
    </cfRule>
    <cfRule type="cellIs" dxfId="14975" priority="16031" operator="equal">
      <formula>"EL"</formula>
    </cfRule>
  </conditionalFormatting>
  <conditionalFormatting sqref="DD11">
    <cfRule type="containsText" dxfId="14974" priority="16025" operator="containsText" text="A">
      <formula>NOT(ISERROR(SEARCH("A",DD11)))</formula>
    </cfRule>
  </conditionalFormatting>
  <conditionalFormatting sqref="DD11">
    <cfRule type="containsText" dxfId="14973" priority="16024" operator="containsText" text="A-H">
      <formula>NOT(ISERROR(SEARCH("A-H",DD11)))</formula>
    </cfRule>
  </conditionalFormatting>
  <conditionalFormatting sqref="AI11">
    <cfRule type="cellIs" dxfId="14972" priority="16018" operator="equal">
      <formula>"C-Off-H"</formula>
    </cfRule>
    <cfRule type="cellIs" dxfId="14971" priority="16019" operator="equal">
      <formula>"C-Off"</formula>
    </cfRule>
    <cfRule type="cellIs" dxfId="14970" priority="16020" operator="equal">
      <formula>"CL-H"</formula>
    </cfRule>
    <cfRule type="cellIs" dxfId="14969" priority="16021" operator="equal">
      <formula>"EL-H"</formula>
    </cfRule>
    <cfRule type="cellIs" dxfId="14968" priority="16022" operator="equal">
      <formula>"CL"</formula>
    </cfRule>
    <cfRule type="cellIs" dxfId="14967" priority="16023" operator="equal">
      <formula>"EL"</formula>
    </cfRule>
  </conditionalFormatting>
  <conditionalFormatting sqref="AH11:AI11">
    <cfRule type="cellIs" dxfId="14966" priority="16012" operator="equal">
      <formula>"C-Off-H"</formula>
    </cfRule>
    <cfRule type="cellIs" dxfId="14965" priority="16013" operator="equal">
      <formula>"C-Off"</formula>
    </cfRule>
    <cfRule type="cellIs" dxfId="14964" priority="16014" operator="equal">
      <formula>"CL-H"</formula>
    </cfRule>
    <cfRule type="cellIs" dxfId="14963" priority="16015" operator="equal">
      <formula>"EL-H"</formula>
    </cfRule>
    <cfRule type="cellIs" dxfId="14962" priority="16016" operator="equal">
      <formula>"CL"</formula>
    </cfRule>
    <cfRule type="cellIs" dxfId="14961" priority="16017" operator="equal">
      <formula>"EL"</formula>
    </cfRule>
  </conditionalFormatting>
  <conditionalFormatting sqref="AH11:AI11">
    <cfRule type="containsText" dxfId="14960" priority="16006" operator="containsText" text="S">
      <formula>NOT(ISERROR(SEARCH("S",AH11)))</formula>
    </cfRule>
    <cfRule type="containsText" dxfId="14959" priority="16007" operator="containsText" text="P">
      <formula>NOT(ISERROR(SEARCH("P",AH11)))</formula>
    </cfRule>
    <cfRule type="containsText" dxfId="14958" priority="16008" operator="containsText" text="H">
      <formula>NOT(ISERROR(SEARCH("H",AH11)))</formula>
    </cfRule>
    <cfRule type="containsText" dxfId="14957" priority="16010" operator="containsText" text="&quot;H&quot;">
      <formula>NOT(ISERROR(SEARCH("""H""",AH11)))</formula>
    </cfRule>
    <cfRule type="containsText" dxfId="14956" priority="16011" operator="containsText" text="&quot;A&quot;">
      <formula>NOT(ISERROR(SEARCH("""A""",AH11)))</formula>
    </cfRule>
  </conditionalFormatting>
  <conditionalFormatting sqref="AH11:AI11">
    <cfRule type="containsText" dxfId="14955" priority="16009" operator="containsText" text="A-H">
      <formula>NOT(ISERROR(SEARCH("A-H",AH11)))</formula>
    </cfRule>
  </conditionalFormatting>
  <conditionalFormatting sqref="AU11">
    <cfRule type="cellIs" dxfId="14954" priority="16000" operator="equal">
      <formula>"C-Off-H"</formula>
    </cfRule>
    <cfRule type="cellIs" dxfId="14953" priority="16001" operator="equal">
      <formula>"C-Off"</formula>
    </cfRule>
    <cfRule type="cellIs" dxfId="14952" priority="16002" operator="equal">
      <formula>"CL-H"</formula>
    </cfRule>
    <cfRule type="cellIs" dxfId="14951" priority="16003" operator="equal">
      <formula>"EL-H"</formula>
    </cfRule>
    <cfRule type="cellIs" dxfId="14950" priority="16004" operator="equal">
      <formula>"CL"</formula>
    </cfRule>
    <cfRule type="cellIs" dxfId="14949" priority="16005" operator="equal">
      <formula>"EL"</formula>
    </cfRule>
  </conditionalFormatting>
  <conditionalFormatting sqref="AT11:AU11">
    <cfRule type="cellIs" dxfId="14948" priority="15994" operator="equal">
      <formula>"C-Off-H"</formula>
    </cfRule>
    <cfRule type="cellIs" dxfId="14947" priority="15995" operator="equal">
      <formula>"C-Off"</formula>
    </cfRule>
    <cfRule type="cellIs" dxfId="14946" priority="15996" operator="equal">
      <formula>"CL-H"</formula>
    </cfRule>
    <cfRule type="cellIs" dxfId="14945" priority="15997" operator="equal">
      <formula>"EL-H"</formula>
    </cfRule>
    <cfRule type="cellIs" dxfId="14944" priority="15998" operator="equal">
      <formula>"CL"</formula>
    </cfRule>
    <cfRule type="cellIs" dxfId="14943" priority="15999" operator="equal">
      <formula>"EL"</formula>
    </cfRule>
  </conditionalFormatting>
  <conditionalFormatting sqref="AT11:AU11">
    <cfRule type="containsText" dxfId="14942" priority="15988" operator="containsText" text="S">
      <formula>NOT(ISERROR(SEARCH("S",AT11)))</formula>
    </cfRule>
    <cfRule type="containsText" dxfId="14941" priority="15989" operator="containsText" text="P">
      <formula>NOT(ISERROR(SEARCH("P",AT11)))</formula>
    </cfRule>
    <cfRule type="containsText" dxfId="14940" priority="15990" operator="containsText" text="H">
      <formula>NOT(ISERROR(SEARCH("H",AT11)))</formula>
    </cfRule>
    <cfRule type="containsText" dxfId="14939" priority="15992" operator="containsText" text="&quot;H&quot;">
      <formula>NOT(ISERROR(SEARCH("""H""",AT11)))</formula>
    </cfRule>
    <cfRule type="containsText" dxfId="14938" priority="15993" operator="containsText" text="&quot;A&quot;">
      <formula>NOT(ISERROR(SEARCH("""A""",AT11)))</formula>
    </cfRule>
  </conditionalFormatting>
  <conditionalFormatting sqref="AT11:AU11">
    <cfRule type="containsText" dxfId="14937" priority="15991" operator="containsText" text="A-H">
      <formula>NOT(ISERROR(SEARCH("A-H",AT11)))</formula>
    </cfRule>
  </conditionalFormatting>
  <conditionalFormatting sqref="E11">
    <cfRule type="cellIs" dxfId="14936" priority="15982" operator="equal">
      <formula>"C-Off-H"</formula>
    </cfRule>
    <cfRule type="cellIs" dxfId="14935" priority="15983" operator="equal">
      <formula>"C-Off"</formula>
    </cfRule>
    <cfRule type="cellIs" dxfId="14934" priority="15984" operator="equal">
      <formula>"CL-H"</formula>
    </cfRule>
    <cfRule type="cellIs" dxfId="14933" priority="15985" operator="equal">
      <formula>"EL-H"</formula>
    </cfRule>
    <cfRule type="cellIs" dxfId="14932" priority="15986" operator="equal">
      <formula>"CL"</formula>
    </cfRule>
    <cfRule type="cellIs" dxfId="14931" priority="15987" operator="equal">
      <formula>"EL"</formula>
    </cfRule>
  </conditionalFormatting>
  <conditionalFormatting sqref="D11:E11">
    <cfRule type="cellIs" dxfId="14930" priority="15976" operator="equal">
      <formula>"C-Off-H"</formula>
    </cfRule>
    <cfRule type="cellIs" dxfId="14929" priority="15977" operator="equal">
      <formula>"C-Off"</formula>
    </cfRule>
    <cfRule type="cellIs" dxfId="14928" priority="15978" operator="equal">
      <formula>"CL-H"</formula>
    </cfRule>
    <cfRule type="cellIs" dxfId="14927" priority="15979" operator="equal">
      <formula>"EL-H"</formula>
    </cfRule>
    <cfRule type="cellIs" dxfId="14926" priority="15980" operator="equal">
      <formula>"CL"</formula>
    </cfRule>
    <cfRule type="cellIs" dxfId="14925" priority="15981" operator="equal">
      <formula>"EL"</formula>
    </cfRule>
  </conditionalFormatting>
  <conditionalFormatting sqref="D11:E11">
    <cfRule type="containsText" dxfId="14924" priority="15970" operator="containsText" text="S">
      <formula>NOT(ISERROR(SEARCH("S",D11)))</formula>
    </cfRule>
    <cfRule type="containsText" dxfId="14923" priority="15971" operator="containsText" text="P">
      <formula>NOT(ISERROR(SEARCH("P",D11)))</formula>
    </cfRule>
    <cfRule type="containsText" dxfId="14922" priority="15972" operator="containsText" text="H">
      <formula>NOT(ISERROR(SEARCH("H",D11)))</formula>
    </cfRule>
    <cfRule type="containsText" dxfId="14921" priority="15974" operator="containsText" text="&quot;H&quot;">
      <formula>NOT(ISERROR(SEARCH("""H""",D11)))</formula>
    </cfRule>
    <cfRule type="containsText" dxfId="14920" priority="15975" operator="containsText" text="&quot;A&quot;">
      <formula>NOT(ISERROR(SEARCH("""A""",D11)))</formula>
    </cfRule>
  </conditionalFormatting>
  <conditionalFormatting sqref="D11:E11">
    <cfRule type="containsText" dxfId="14919" priority="15973" operator="containsText" text="A-H">
      <formula>NOT(ISERROR(SEARCH("A-H",D11)))</formula>
    </cfRule>
  </conditionalFormatting>
  <conditionalFormatting sqref="Z11">
    <cfRule type="cellIs" dxfId="14918" priority="15964" operator="equal">
      <formula>"C-Off-H"</formula>
    </cfRule>
    <cfRule type="cellIs" dxfId="14917" priority="15965" operator="equal">
      <formula>"C-Off"</formula>
    </cfRule>
    <cfRule type="cellIs" dxfId="14916" priority="15966" operator="equal">
      <formula>"CL-H"</formula>
    </cfRule>
    <cfRule type="cellIs" dxfId="14915" priority="15967" operator="equal">
      <formula>"EL-H"</formula>
    </cfRule>
    <cfRule type="cellIs" dxfId="14914" priority="15968" operator="equal">
      <formula>"CL"</formula>
    </cfRule>
    <cfRule type="cellIs" dxfId="14913" priority="15969" operator="equal">
      <formula>"EL"</formula>
    </cfRule>
  </conditionalFormatting>
  <conditionalFormatting sqref="Z11">
    <cfRule type="containsText" dxfId="14912" priority="15958" operator="containsText" text="S">
      <formula>NOT(ISERROR(SEARCH("S",Z11)))</formula>
    </cfRule>
    <cfRule type="containsText" dxfId="14911" priority="15959" operator="containsText" text="P">
      <formula>NOT(ISERROR(SEARCH("P",Z11)))</formula>
    </cfRule>
    <cfRule type="containsText" dxfId="14910" priority="15960" operator="containsText" text="H">
      <formula>NOT(ISERROR(SEARCH("H",Z11)))</formula>
    </cfRule>
    <cfRule type="containsText" dxfId="14909" priority="15962" operator="containsText" text="&quot;H&quot;">
      <formula>NOT(ISERROR(SEARCH("""H""",Z11)))</formula>
    </cfRule>
    <cfRule type="containsText" dxfId="14908" priority="15963" operator="containsText" text="&quot;A&quot;">
      <formula>NOT(ISERROR(SEARCH("""A""",Z11)))</formula>
    </cfRule>
  </conditionalFormatting>
  <conditionalFormatting sqref="Z11">
    <cfRule type="containsText" dxfId="14907" priority="15961" operator="containsText" text="A-H">
      <formula>NOT(ISERROR(SEARCH("A-H",Z11)))</formula>
    </cfRule>
  </conditionalFormatting>
  <conditionalFormatting sqref="Y11">
    <cfRule type="cellIs" dxfId="14906" priority="15952" operator="equal">
      <formula>"C-Off-H"</formula>
    </cfRule>
    <cfRule type="cellIs" dxfId="14905" priority="15953" operator="equal">
      <formula>"C-Off"</formula>
    </cfRule>
    <cfRule type="cellIs" dxfId="14904" priority="15954" operator="equal">
      <formula>"CL-H"</formula>
    </cfRule>
    <cfRule type="cellIs" dxfId="14903" priority="15955" operator="equal">
      <formula>"EL-H"</formula>
    </cfRule>
    <cfRule type="cellIs" dxfId="14902" priority="15956" operator="equal">
      <formula>"CL"</formula>
    </cfRule>
    <cfRule type="cellIs" dxfId="14901" priority="15957" operator="equal">
      <formula>"EL"</formula>
    </cfRule>
  </conditionalFormatting>
  <conditionalFormatting sqref="Y11">
    <cfRule type="containsText" dxfId="14900" priority="15946" operator="containsText" text="S">
      <formula>NOT(ISERROR(SEARCH("S",Y11)))</formula>
    </cfRule>
    <cfRule type="containsText" dxfId="14899" priority="15947" operator="containsText" text="P">
      <formula>NOT(ISERROR(SEARCH("P",Y11)))</formula>
    </cfRule>
    <cfRule type="containsText" dxfId="14898" priority="15948" operator="containsText" text="H">
      <formula>NOT(ISERROR(SEARCH("H",Y11)))</formula>
    </cfRule>
    <cfRule type="containsText" dxfId="14897" priority="15950" operator="containsText" text="&quot;H&quot;">
      <formula>NOT(ISERROR(SEARCH("""H""",Y11)))</formula>
    </cfRule>
    <cfRule type="containsText" dxfId="14896" priority="15951" operator="containsText" text="&quot;A&quot;">
      <formula>NOT(ISERROR(SEARCH("""A""",Y11)))</formula>
    </cfRule>
  </conditionalFormatting>
  <conditionalFormatting sqref="Y11">
    <cfRule type="containsText" dxfId="14895" priority="15949" operator="containsText" text="A-H">
      <formula>NOT(ISERROR(SEARCH("A-H",Y11)))</formula>
    </cfRule>
  </conditionalFormatting>
  <conditionalFormatting sqref="AF11">
    <cfRule type="cellIs" dxfId="14894" priority="15940" operator="equal">
      <formula>"C-Off-H"</formula>
    </cfRule>
    <cfRule type="cellIs" dxfId="14893" priority="15941" operator="equal">
      <formula>"C-Off"</formula>
    </cfRule>
    <cfRule type="cellIs" dxfId="14892" priority="15942" operator="equal">
      <formula>"CL-H"</formula>
    </cfRule>
    <cfRule type="cellIs" dxfId="14891" priority="15943" operator="equal">
      <formula>"EL-H"</formula>
    </cfRule>
    <cfRule type="cellIs" dxfId="14890" priority="15944" operator="equal">
      <formula>"CL"</formula>
    </cfRule>
    <cfRule type="cellIs" dxfId="14889" priority="15945" operator="equal">
      <formula>"EL"</formula>
    </cfRule>
  </conditionalFormatting>
  <conditionalFormatting sqref="AF11">
    <cfRule type="containsText" dxfId="14888" priority="15934" operator="containsText" text="S">
      <formula>NOT(ISERROR(SEARCH("S",AF11)))</formula>
    </cfRule>
    <cfRule type="containsText" dxfId="14887" priority="15935" operator="containsText" text="P">
      <formula>NOT(ISERROR(SEARCH("P",AF11)))</formula>
    </cfRule>
    <cfRule type="containsText" dxfId="14886" priority="15936" operator="containsText" text="H">
      <formula>NOT(ISERROR(SEARCH("H",AF11)))</formula>
    </cfRule>
    <cfRule type="containsText" dxfId="14885" priority="15938" operator="containsText" text="&quot;H&quot;">
      <formula>NOT(ISERROR(SEARCH("""H""",AF11)))</formula>
    </cfRule>
    <cfRule type="containsText" dxfId="14884" priority="15939" operator="containsText" text="&quot;A&quot;">
      <formula>NOT(ISERROR(SEARCH("""A""",AF11)))</formula>
    </cfRule>
  </conditionalFormatting>
  <conditionalFormatting sqref="AF11">
    <cfRule type="containsText" dxfId="14883" priority="15937" operator="containsText" text="A-H">
      <formula>NOT(ISERROR(SEARCH("A-H",AF11)))</formula>
    </cfRule>
  </conditionalFormatting>
  <conditionalFormatting sqref="BO11:BP11">
    <cfRule type="cellIs" dxfId="14882" priority="15928" operator="equal">
      <formula>"C-Off-H"</formula>
    </cfRule>
    <cfRule type="cellIs" dxfId="14881" priority="15929" operator="equal">
      <formula>"C-Off"</formula>
    </cfRule>
    <cfRule type="cellIs" dxfId="14880" priority="15930" operator="equal">
      <formula>"CL-H"</formula>
    </cfRule>
    <cfRule type="cellIs" dxfId="14879" priority="15931" operator="equal">
      <formula>"EL-H"</formula>
    </cfRule>
    <cfRule type="cellIs" dxfId="14878" priority="15932" operator="equal">
      <formula>"CL"</formula>
    </cfRule>
    <cfRule type="cellIs" dxfId="14877" priority="15933" operator="equal">
      <formula>"EL"</formula>
    </cfRule>
  </conditionalFormatting>
  <conditionalFormatting sqref="BO11:BP11">
    <cfRule type="cellIs" dxfId="14876" priority="15922" operator="equal">
      <formula>"C-Off-H"</formula>
    </cfRule>
    <cfRule type="cellIs" dxfId="14875" priority="15923" operator="equal">
      <formula>"C-Off"</formula>
    </cfRule>
    <cfRule type="cellIs" dxfId="14874" priority="15924" operator="equal">
      <formula>"CL-H"</formula>
    </cfRule>
    <cfRule type="cellIs" dxfId="14873" priority="15925" operator="equal">
      <formula>"EL-H"</formula>
    </cfRule>
    <cfRule type="cellIs" dxfId="14872" priority="15926" operator="equal">
      <formula>"CL"</formula>
    </cfRule>
    <cfRule type="cellIs" dxfId="14871" priority="15927" operator="equal">
      <formula>"EL"</formula>
    </cfRule>
  </conditionalFormatting>
  <conditionalFormatting sqref="BO11:BP11">
    <cfRule type="containsText" dxfId="14870" priority="15916" operator="containsText" text="S">
      <formula>NOT(ISERROR(SEARCH("S",BO11)))</formula>
    </cfRule>
    <cfRule type="containsText" dxfId="14869" priority="15917" operator="containsText" text="P">
      <formula>NOT(ISERROR(SEARCH("P",BO11)))</formula>
    </cfRule>
    <cfRule type="containsText" dxfId="14868" priority="15918" operator="containsText" text="H">
      <formula>NOT(ISERROR(SEARCH("H",BO11)))</formula>
    </cfRule>
    <cfRule type="containsText" dxfId="14867" priority="15920" operator="containsText" text="&quot;H&quot;">
      <formula>NOT(ISERROR(SEARCH("""H""",BO11)))</formula>
    </cfRule>
    <cfRule type="containsText" dxfId="14866" priority="15921" operator="containsText" text="&quot;A&quot;">
      <formula>NOT(ISERROR(SEARCH("""A""",BO11)))</formula>
    </cfRule>
  </conditionalFormatting>
  <conditionalFormatting sqref="BO11:BP11">
    <cfRule type="containsText" dxfId="14865" priority="15919" operator="containsText" text="A-H">
      <formula>NOT(ISERROR(SEARCH("A-H",BO11)))</formula>
    </cfRule>
  </conditionalFormatting>
  <conditionalFormatting sqref="CM11">
    <cfRule type="cellIs" dxfId="14864" priority="15910" operator="equal">
      <formula>"C-Off-H"</formula>
    </cfRule>
    <cfRule type="cellIs" dxfId="14863" priority="15911" operator="equal">
      <formula>"C-Off"</formula>
    </cfRule>
    <cfRule type="cellIs" dxfId="14862" priority="15912" operator="equal">
      <formula>"CL-H"</formula>
    </cfRule>
    <cfRule type="cellIs" dxfId="14861" priority="15913" operator="equal">
      <formula>"EL-H"</formula>
    </cfRule>
    <cfRule type="cellIs" dxfId="14860" priority="15914" operator="equal">
      <formula>"CL"</formula>
    </cfRule>
    <cfRule type="cellIs" dxfId="14859" priority="15915" operator="equal">
      <formula>"EL"</formula>
    </cfRule>
  </conditionalFormatting>
  <conditionalFormatting sqref="CM11">
    <cfRule type="cellIs" dxfId="14858" priority="15904" operator="equal">
      <formula>"C-Off-H"</formula>
    </cfRule>
    <cfRule type="cellIs" dxfId="14857" priority="15905" operator="equal">
      <formula>"C-Off"</formula>
    </cfRule>
    <cfRule type="cellIs" dxfId="14856" priority="15906" operator="equal">
      <formula>"CL-H"</formula>
    </cfRule>
    <cfRule type="cellIs" dxfId="14855" priority="15907" operator="equal">
      <formula>"EL-H"</formula>
    </cfRule>
    <cfRule type="cellIs" dxfId="14854" priority="15908" operator="equal">
      <formula>"CL"</formula>
    </cfRule>
    <cfRule type="cellIs" dxfId="14853" priority="15909" operator="equal">
      <formula>"EL"</formula>
    </cfRule>
  </conditionalFormatting>
  <conditionalFormatting sqref="CM11">
    <cfRule type="containsText" dxfId="14852" priority="15898" operator="containsText" text="S">
      <formula>NOT(ISERROR(SEARCH("S",CM11)))</formula>
    </cfRule>
    <cfRule type="containsText" dxfId="14851" priority="15899" operator="containsText" text="P">
      <formula>NOT(ISERROR(SEARCH("P",CM11)))</formula>
    </cfRule>
    <cfRule type="containsText" dxfId="14850" priority="15900" operator="containsText" text="H">
      <formula>NOT(ISERROR(SEARCH("H",CM11)))</formula>
    </cfRule>
    <cfRule type="containsText" dxfId="14849" priority="15902" operator="containsText" text="&quot;H&quot;">
      <formula>NOT(ISERROR(SEARCH("""H""",CM11)))</formula>
    </cfRule>
    <cfRule type="containsText" dxfId="14848" priority="15903" operator="containsText" text="&quot;A&quot;">
      <formula>NOT(ISERROR(SEARCH("""A""",CM11)))</formula>
    </cfRule>
  </conditionalFormatting>
  <conditionalFormatting sqref="CM11">
    <cfRule type="containsText" dxfId="14847" priority="15901" operator="containsText" text="A-H">
      <formula>NOT(ISERROR(SEARCH("A-H",CM11)))</formula>
    </cfRule>
  </conditionalFormatting>
  <conditionalFormatting sqref="V11:W11">
    <cfRule type="cellIs" dxfId="14846" priority="15868" operator="equal">
      <formula>"C-Off-H"</formula>
    </cfRule>
    <cfRule type="cellIs" dxfId="14845" priority="15869" operator="equal">
      <formula>"C-Off"</formula>
    </cfRule>
    <cfRule type="cellIs" dxfId="14844" priority="15870" operator="equal">
      <formula>"CL-H"</formula>
    </cfRule>
    <cfRule type="cellIs" dxfId="14843" priority="15871" operator="equal">
      <formula>"EL-H"</formula>
    </cfRule>
    <cfRule type="cellIs" dxfId="14842" priority="15872" operator="equal">
      <formula>"CL"</formula>
    </cfRule>
    <cfRule type="cellIs" dxfId="14841" priority="15873" operator="equal">
      <formula>"EL"</formula>
    </cfRule>
  </conditionalFormatting>
  <conditionalFormatting sqref="V11:W11">
    <cfRule type="containsText" dxfId="14840" priority="15862" operator="containsText" text="S">
      <formula>NOT(ISERROR(SEARCH("S",V11)))</formula>
    </cfRule>
    <cfRule type="containsText" dxfId="14839" priority="15863" operator="containsText" text="P">
      <formula>NOT(ISERROR(SEARCH("P",V11)))</formula>
    </cfRule>
    <cfRule type="containsText" dxfId="14838" priority="15864" operator="containsText" text="H">
      <formula>NOT(ISERROR(SEARCH("H",V11)))</formula>
    </cfRule>
    <cfRule type="containsText" dxfId="14837" priority="15866" operator="containsText" text="&quot;H&quot;">
      <formula>NOT(ISERROR(SEARCH("""H""",V11)))</formula>
    </cfRule>
    <cfRule type="containsText" dxfId="14836" priority="15867" operator="containsText" text="&quot;A&quot;">
      <formula>NOT(ISERROR(SEARCH("""A""",V11)))</formula>
    </cfRule>
  </conditionalFormatting>
  <conditionalFormatting sqref="V11:W11">
    <cfRule type="containsText" dxfId="14835" priority="15865" operator="containsText" text="A-H">
      <formula>NOT(ISERROR(SEARCH("A-H",V11)))</formula>
    </cfRule>
  </conditionalFormatting>
  <conditionalFormatting sqref="P11:Q11">
    <cfRule type="cellIs" dxfId="14834" priority="15892" operator="equal">
      <formula>"C-Off-H"</formula>
    </cfRule>
    <cfRule type="cellIs" dxfId="14833" priority="15893" operator="equal">
      <formula>"C-Off"</formula>
    </cfRule>
    <cfRule type="cellIs" dxfId="14832" priority="15894" operator="equal">
      <formula>"CL-H"</formula>
    </cfRule>
    <cfRule type="cellIs" dxfId="14831" priority="15895" operator="equal">
      <formula>"EL-H"</formula>
    </cfRule>
    <cfRule type="cellIs" dxfId="14830" priority="15896" operator="equal">
      <formula>"CL"</formula>
    </cfRule>
    <cfRule type="cellIs" dxfId="14829" priority="15897" operator="equal">
      <formula>"EL"</formula>
    </cfRule>
  </conditionalFormatting>
  <conditionalFormatting sqref="P11:Q11">
    <cfRule type="containsText" dxfId="14828" priority="15886" operator="containsText" text="S">
      <formula>NOT(ISERROR(SEARCH("S",P11)))</formula>
    </cfRule>
    <cfRule type="containsText" dxfId="14827" priority="15887" operator="containsText" text="P">
      <formula>NOT(ISERROR(SEARCH("P",P11)))</formula>
    </cfRule>
    <cfRule type="containsText" dxfId="14826" priority="15888" operator="containsText" text="H">
      <formula>NOT(ISERROR(SEARCH("H",P11)))</formula>
    </cfRule>
    <cfRule type="containsText" dxfId="14825" priority="15890" operator="containsText" text="&quot;H&quot;">
      <formula>NOT(ISERROR(SEARCH("""H""",P11)))</formula>
    </cfRule>
    <cfRule type="containsText" dxfId="14824" priority="15891" operator="containsText" text="&quot;A&quot;">
      <formula>NOT(ISERROR(SEARCH("""A""",P11)))</formula>
    </cfRule>
  </conditionalFormatting>
  <conditionalFormatting sqref="P11:Q11">
    <cfRule type="containsText" dxfId="14823" priority="15889" operator="containsText" text="A-H">
      <formula>NOT(ISERROR(SEARCH("A-H",P11)))</formula>
    </cfRule>
  </conditionalFormatting>
  <conditionalFormatting sqref="S11:T11">
    <cfRule type="cellIs" dxfId="14822" priority="15880" operator="equal">
      <formula>"C-Off-H"</formula>
    </cfRule>
    <cfRule type="cellIs" dxfId="14821" priority="15881" operator="equal">
      <formula>"C-Off"</formula>
    </cfRule>
    <cfRule type="cellIs" dxfId="14820" priority="15882" operator="equal">
      <formula>"CL-H"</formula>
    </cfRule>
    <cfRule type="cellIs" dxfId="14819" priority="15883" operator="equal">
      <formula>"EL-H"</formula>
    </cfRule>
    <cfRule type="cellIs" dxfId="14818" priority="15884" operator="equal">
      <formula>"CL"</formula>
    </cfRule>
    <cfRule type="cellIs" dxfId="14817" priority="15885" operator="equal">
      <formula>"EL"</formula>
    </cfRule>
  </conditionalFormatting>
  <conditionalFormatting sqref="S11:T11">
    <cfRule type="containsText" dxfId="14816" priority="15874" operator="containsText" text="S">
      <formula>NOT(ISERROR(SEARCH("S",S11)))</formula>
    </cfRule>
    <cfRule type="containsText" dxfId="14815" priority="15875" operator="containsText" text="P">
      <formula>NOT(ISERROR(SEARCH("P",S11)))</formula>
    </cfRule>
    <cfRule type="containsText" dxfId="14814" priority="15876" operator="containsText" text="H">
      <formula>NOT(ISERROR(SEARCH("H",S11)))</formula>
    </cfRule>
    <cfRule type="containsText" dxfId="14813" priority="15878" operator="containsText" text="&quot;H&quot;">
      <formula>NOT(ISERROR(SEARCH("""H""",S11)))</formula>
    </cfRule>
    <cfRule type="containsText" dxfId="14812" priority="15879" operator="containsText" text="&quot;A&quot;">
      <formula>NOT(ISERROR(SEARCH("""A""",S11)))</formula>
    </cfRule>
  </conditionalFormatting>
  <conditionalFormatting sqref="S11:T11">
    <cfRule type="containsText" dxfId="14811" priority="15877" operator="containsText" text="A-H">
      <formula>NOT(ISERROR(SEARCH("A-H",S11)))</formula>
    </cfRule>
  </conditionalFormatting>
  <conditionalFormatting sqref="AB11:AC11">
    <cfRule type="cellIs" dxfId="14810" priority="15856" operator="equal">
      <formula>"C-Off-H"</formula>
    </cfRule>
    <cfRule type="cellIs" dxfId="14809" priority="15857" operator="equal">
      <formula>"C-Off"</formula>
    </cfRule>
    <cfRule type="cellIs" dxfId="14808" priority="15858" operator="equal">
      <formula>"CL-H"</formula>
    </cfRule>
    <cfRule type="cellIs" dxfId="14807" priority="15859" operator="equal">
      <formula>"EL-H"</formula>
    </cfRule>
    <cfRule type="cellIs" dxfId="14806" priority="15860" operator="equal">
      <formula>"CL"</formula>
    </cfRule>
    <cfRule type="cellIs" dxfId="14805" priority="15861" operator="equal">
      <formula>"EL"</formula>
    </cfRule>
  </conditionalFormatting>
  <conditionalFormatting sqref="AB11:AC11">
    <cfRule type="containsText" dxfId="14804" priority="15850" operator="containsText" text="S">
      <formula>NOT(ISERROR(SEARCH("S",AB11)))</formula>
    </cfRule>
    <cfRule type="containsText" dxfId="14803" priority="15851" operator="containsText" text="P">
      <formula>NOT(ISERROR(SEARCH("P",AB11)))</formula>
    </cfRule>
    <cfRule type="containsText" dxfId="14802" priority="15852" operator="containsText" text="H">
      <formula>NOT(ISERROR(SEARCH("H",AB11)))</formula>
    </cfRule>
    <cfRule type="containsText" dxfId="14801" priority="15854" operator="containsText" text="&quot;H&quot;">
      <formula>NOT(ISERROR(SEARCH("""H""",AB11)))</formula>
    </cfRule>
    <cfRule type="containsText" dxfId="14800" priority="15855" operator="containsText" text="&quot;A&quot;">
      <formula>NOT(ISERROR(SEARCH("""A""",AB11)))</formula>
    </cfRule>
  </conditionalFormatting>
  <conditionalFormatting sqref="AB11:AC11">
    <cfRule type="containsText" dxfId="14799" priority="15853" operator="containsText" text="A-H">
      <formula>NOT(ISERROR(SEARCH("A-H",AB11)))</formula>
    </cfRule>
  </conditionalFormatting>
  <conditionalFormatting sqref="AE11">
    <cfRule type="cellIs" dxfId="14798" priority="15844" operator="equal">
      <formula>"C-Off-H"</formula>
    </cfRule>
    <cfRule type="cellIs" dxfId="14797" priority="15845" operator="equal">
      <formula>"C-Off"</formula>
    </cfRule>
    <cfRule type="cellIs" dxfId="14796" priority="15846" operator="equal">
      <formula>"CL-H"</formula>
    </cfRule>
    <cfRule type="cellIs" dxfId="14795" priority="15847" operator="equal">
      <formula>"EL-H"</formula>
    </cfRule>
    <cfRule type="cellIs" dxfId="14794" priority="15848" operator="equal">
      <formula>"CL"</formula>
    </cfRule>
    <cfRule type="cellIs" dxfId="14793" priority="15849" operator="equal">
      <formula>"EL"</formula>
    </cfRule>
  </conditionalFormatting>
  <conditionalFormatting sqref="AE11">
    <cfRule type="containsText" dxfId="14792" priority="15838" operator="containsText" text="S">
      <formula>NOT(ISERROR(SEARCH("S",AE11)))</formula>
    </cfRule>
    <cfRule type="containsText" dxfId="14791" priority="15839" operator="containsText" text="P">
      <formula>NOT(ISERROR(SEARCH("P",AE11)))</formula>
    </cfRule>
    <cfRule type="containsText" dxfId="14790" priority="15840" operator="containsText" text="H">
      <formula>NOT(ISERROR(SEARCH("H",AE11)))</formula>
    </cfRule>
    <cfRule type="containsText" dxfId="14789" priority="15842" operator="containsText" text="&quot;H&quot;">
      <formula>NOT(ISERROR(SEARCH("""H""",AE11)))</formula>
    </cfRule>
    <cfRule type="containsText" dxfId="14788" priority="15843" operator="containsText" text="&quot;A&quot;">
      <formula>NOT(ISERROR(SEARCH("""A""",AE11)))</formula>
    </cfRule>
  </conditionalFormatting>
  <conditionalFormatting sqref="AE11">
    <cfRule type="containsText" dxfId="14787" priority="15841" operator="containsText" text="A-H">
      <formula>NOT(ISERROR(SEARCH("A-H",AE11)))</formula>
    </cfRule>
  </conditionalFormatting>
  <conditionalFormatting sqref="AK11:AL11">
    <cfRule type="cellIs" dxfId="14786" priority="15832" operator="equal">
      <formula>"C-Off-H"</formula>
    </cfRule>
    <cfRule type="cellIs" dxfId="14785" priority="15833" operator="equal">
      <formula>"C-Off"</formula>
    </cfRule>
    <cfRule type="cellIs" dxfId="14784" priority="15834" operator="equal">
      <formula>"CL-H"</formula>
    </cfRule>
    <cfRule type="cellIs" dxfId="14783" priority="15835" operator="equal">
      <formula>"EL-H"</formula>
    </cfRule>
    <cfRule type="cellIs" dxfId="14782" priority="15836" operator="equal">
      <formula>"CL"</formula>
    </cfRule>
    <cfRule type="cellIs" dxfId="14781" priority="15837" operator="equal">
      <formula>"EL"</formula>
    </cfRule>
  </conditionalFormatting>
  <conditionalFormatting sqref="AK11:AL11">
    <cfRule type="containsText" dxfId="14780" priority="15826" operator="containsText" text="S">
      <formula>NOT(ISERROR(SEARCH("S",AK11)))</formula>
    </cfRule>
    <cfRule type="containsText" dxfId="14779" priority="15827" operator="containsText" text="P">
      <formula>NOT(ISERROR(SEARCH("P",AK11)))</formula>
    </cfRule>
    <cfRule type="containsText" dxfId="14778" priority="15828" operator="containsText" text="H">
      <formula>NOT(ISERROR(SEARCH("H",AK11)))</formula>
    </cfRule>
    <cfRule type="containsText" dxfId="14777" priority="15830" operator="containsText" text="&quot;H&quot;">
      <formula>NOT(ISERROR(SEARCH("""H""",AK11)))</formula>
    </cfRule>
    <cfRule type="containsText" dxfId="14776" priority="15831" operator="containsText" text="&quot;A&quot;">
      <formula>NOT(ISERROR(SEARCH("""A""",AK11)))</formula>
    </cfRule>
  </conditionalFormatting>
  <conditionalFormatting sqref="AK11:AL11">
    <cfRule type="containsText" dxfId="14775" priority="15829" operator="containsText" text="A-H">
      <formula>NOT(ISERROR(SEARCH("A-H",AK11)))</formula>
    </cfRule>
  </conditionalFormatting>
  <conditionalFormatting sqref="AN11:AO11">
    <cfRule type="cellIs" dxfId="14774" priority="15820" operator="equal">
      <formula>"C-Off-H"</formula>
    </cfRule>
    <cfRule type="cellIs" dxfId="14773" priority="15821" operator="equal">
      <formula>"C-Off"</formula>
    </cfRule>
    <cfRule type="cellIs" dxfId="14772" priority="15822" operator="equal">
      <formula>"CL-H"</formula>
    </cfRule>
    <cfRule type="cellIs" dxfId="14771" priority="15823" operator="equal">
      <formula>"EL-H"</formula>
    </cfRule>
    <cfRule type="cellIs" dxfId="14770" priority="15824" operator="equal">
      <formula>"CL"</formula>
    </cfRule>
    <cfRule type="cellIs" dxfId="14769" priority="15825" operator="equal">
      <formula>"EL"</formula>
    </cfRule>
  </conditionalFormatting>
  <conditionalFormatting sqref="AN11:AO11">
    <cfRule type="containsText" dxfId="14768" priority="15814" operator="containsText" text="S">
      <formula>NOT(ISERROR(SEARCH("S",AN11)))</formula>
    </cfRule>
    <cfRule type="containsText" dxfId="14767" priority="15815" operator="containsText" text="P">
      <formula>NOT(ISERROR(SEARCH("P",AN11)))</formula>
    </cfRule>
    <cfRule type="containsText" dxfId="14766" priority="15816" operator="containsText" text="H">
      <formula>NOT(ISERROR(SEARCH("H",AN11)))</formula>
    </cfRule>
    <cfRule type="containsText" dxfId="14765" priority="15818" operator="containsText" text="&quot;H&quot;">
      <formula>NOT(ISERROR(SEARCH("""H""",AN11)))</formula>
    </cfRule>
    <cfRule type="containsText" dxfId="14764" priority="15819" operator="containsText" text="&quot;A&quot;">
      <formula>NOT(ISERROR(SEARCH("""A""",AN11)))</formula>
    </cfRule>
  </conditionalFormatting>
  <conditionalFormatting sqref="AN11:AO11">
    <cfRule type="containsText" dxfId="14763" priority="15817" operator="containsText" text="A-H">
      <formula>NOT(ISERROR(SEARCH("A-H",AN11)))</formula>
    </cfRule>
  </conditionalFormatting>
  <conditionalFormatting sqref="AQ11:AR11">
    <cfRule type="cellIs" dxfId="14762" priority="15808" operator="equal">
      <formula>"C-Off-H"</formula>
    </cfRule>
    <cfRule type="cellIs" dxfId="14761" priority="15809" operator="equal">
      <formula>"C-Off"</formula>
    </cfRule>
    <cfRule type="cellIs" dxfId="14760" priority="15810" operator="equal">
      <formula>"CL-H"</formula>
    </cfRule>
    <cfRule type="cellIs" dxfId="14759" priority="15811" operator="equal">
      <formula>"EL-H"</formula>
    </cfRule>
    <cfRule type="cellIs" dxfId="14758" priority="15812" operator="equal">
      <formula>"CL"</formula>
    </cfRule>
    <cfRule type="cellIs" dxfId="14757" priority="15813" operator="equal">
      <formula>"EL"</formula>
    </cfRule>
  </conditionalFormatting>
  <conditionalFormatting sqref="AQ11:AR11">
    <cfRule type="containsText" dxfId="14756" priority="15802" operator="containsText" text="S">
      <formula>NOT(ISERROR(SEARCH("S",AQ11)))</formula>
    </cfRule>
    <cfRule type="containsText" dxfId="14755" priority="15803" operator="containsText" text="P">
      <formula>NOT(ISERROR(SEARCH("P",AQ11)))</formula>
    </cfRule>
    <cfRule type="containsText" dxfId="14754" priority="15804" operator="containsText" text="H">
      <formula>NOT(ISERROR(SEARCH("H",AQ11)))</formula>
    </cfRule>
    <cfRule type="containsText" dxfId="14753" priority="15806" operator="containsText" text="&quot;H&quot;">
      <formula>NOT(ISERROR(SEARCH("""H""",AQ11)))</formula>
    </cfRule>
    <cfRule type="containsText" dxfId="14752" priority="15807" operator="containsText" text="&quot;A&quot;">
      <formula>NOT(ISERROR(SEARCH("""A""",AQ11)))</formula>
    </cfRule>
  </conditionalFormatting>
  <conditionalFormatting sqref="AQ11:AR11">
    <cfRule type="containsText" dxfId="14751" priority="15805" operator="containsText" text="A-H">
      <formula>NOT(ISERROR(SEARCH("A-H",AQ11)))</formula>
    </cfRule>
  </conditionalFormatting>
  <conditionalFormatting sqref="AW11:AX11">
    <cfRule type="cellIs" dxfId="14750" priority="15796" operator="equal">
      <formula>"C-Off-H"</formula>
    </cfRule>
    <cfRule type="cellIs" dxfId="14749" priority="15797" operator="equal">
      <formula>"C-Off"</formula>
    </cfRule>
    <cfRule type="cellIs" dxfId="14748" priority="15798" operator="equal">
      <formula>"CL-H"</formula>
    </cfRule>
    <cfRule type="cellIs" dxfId="14747" priority="15799" operator="equal">
      <formula>"EL-H"</formula>
    </cfRule>
    <cfRule type="cellIs" dxfId="14746" priority="15800" operator="equal">
      <formula>"CL"</formula>
    </cfRule>
    <cfRule type="cellIs" dxfId="14745" priority="15801" operator="equal">
      <formula>"EL"</formula>
    </cfRule>
  </conditionalFormatting>
  <conditionalFormatting sqref="AW11:AX11">
    <cfRule type="containsText" dxfId="14744" priority="15790" operator="containsText" text="S">
      <formula>NOT(ISERROR(SEARCH("S",AW11)))</formula>
    </cfRule>
    <cfRule type="containsText" dxfId="14743" priority="15791" operator="containsText" text="P">
      <formula>NOT(ISERROR(SEARCH("P",AW11)))</formula>
    </cfRule>
    <cfRule type="containsText" dxfId="14742" priority="15792" operator="containsText" text="H">
      <formula>NOT(ISERROR(SEARCH("H",AW11)))</formula>
    </cfRule>
    <cfRule type="containsText" dxfId="14741" priority="15794" operator="containsText" text="&quot;H&quot;">
      <formula>NOT(ISERROR(SEARCH("""H""",AW11)))</formula>
    </cfRule>
    <cfRule type="containsText" dxfId="14740" priority="15795" operator="containsText" text="&quot;A&quot;">
      <formula>NOT(ISERROR(SEARCH("""A""",AW11)))</formula>
    </cfRule>
  </conditionalFormatting>
  <conditionalFormatting sqref="AW11:AX11">
    <cfRule type="containsText" dxfId="14739" priority="15793" operator="containsText" text="A-H">
      <formula>NOT(ISERROR(SEARCH("A-H",AW11)))</formula>
    </cfRule>
  </conditionalFormatting>
  <conditionalFormatting sqref="AZ11:BA11">
    <cfRule type="cellIs" dxfId="14738" priority="15784" operator="equal">
      <formula>"C-Off-H"</formula>
    </cfRule>
    <cfRule type="cellIs" dxfId="14737" priority="15785" operator="equal">
      <formula>"C-Off"</formula>
    </cfRule>
    <cfRule type="cellIs" dxfId="14736" priority="15786" operator="equal">
      <formula>"CL-H"</formula>
    </cfRule>
    <cfRule type="cellIs" dxfId="14735" priority="15787" operator="equal">
      <formula>"EL-H"</formula>
    </cfRule>
    <cfRule type="cellIs" dxfId="14734" priority="15788" operator="equal">
      <formula>"CL"</formula>
    </cfRule>
    <cfRule type="cellIs" dxfId="14733" priority="15789" operator="equal">
      <formula>"EL"</formula>
    </cfRule>
  </conditionalFormatting>
  <conditionalFormatting sqref="AZ11:BA11">
    <cfRule type="containsText" dxfId="14732" priority="15778" operator="containsText" text="S">
      <formula>NOT(ISERROR(SEARCH("S",AZ11)))</formula>
    </cfRule>
    <cfRule type="containsText" dxfId="14731" priority="15779" operator="containsText" text="P">
      <formula>NOT(ISERROR(SEARCH("P",AZ11)))</formula>
    </cfRule>
    <cfRule type="containsText" dxfId="14730" priority="15780" operator="containsText" text="H">
      <formula>NOT(ISERROR(SEARCH("H",AZ11)))</formula>
    </cfRule>
    <cfRule type="containsText" dxfId="14729" priority="15782" operator="containsText" text="&quot;H&quot;">
      <formula>NOT(ISERROR(SEARCH("""H""",AZ11)))</formula>
    </cfRule>
    <cfRule type="containsText" dxfId="14728" priority="15783" operator="containsText" text="&quot;A&quot;">
      <formula>NOT(ISERROR(SEARCH("""A""",AZ11)))</formula>
    </cfRule>
  </conditionalFormatting>
  <conditionalFormatting sqref="AZ11:BA11">
    <cfRule type="containsText" dxfId="14727" priority="15781" operator="containsText" text="A-H">
      <formula>NOT(ISERROR(SEARCH("A-H",AZ11)))</formula>
    </cfRule>
  </conditionalFormatting>
  <conditionalFormatting sqref="BC11:BD11">
    <cfRule type="cellIs" dxfId="14726" priority="15772" operator="equal">
      <formula>"C-Off-H"</formula>
    </cfRule>
    <cfRule type="cellIs" dxfId="14725" priority="15773" operator="equal">
      <formula>"C-Off"</formula>
    </cfRule>
    <cfRule type="cellIs" dxfId="14724" priority="15774" operator="equal">
      <formula>"CL-H"</formula>
    </cfRule>
    <cfRule type="cellIs" dxfId="14723" priority="15775" operator="equal">
      <formula>"EL-H"</formula>
    </cfRule>
    <cfRule type="cellIs" dxfId="14722" priority="15776" operator="equal">
      <formula>"CL"</formula>
    </cfRule>
    <cfRule type="cellIs" dxfId="14721" priority="15777" operator="equal">
      <formula>"EL"</formula>
    </cfRule>
  </conditionalFormatting>
  <conditionalFormatting sqref="BC11:BD11">
    <cfRule type="containsText" dxfId="14720" priority="15766" operator="containsText" text="S">
      <formula>NOT(ISERROR(SEARCH("S",BC11)))</formula>
    </cfRule>
    <cfRule type="containsText" dxfId="14719" priority="15767" operator="containsText" text="P">
      <formula>NOT(ISERROR(SEARCH("P",BC11)))</formula>
    </cfRule>
    <cfRule type="containsText" dxfId="14718" priority="15768" operator="containsText" text="H">
      <formula>NOT(ISERROR(SEARCH("H",BC11)))</formula>
    </cfRule>
    <cfRule type="containsText" dxfId="14717" priority="15770" operator="containsText" text="&quot;H&quot;">
      <formula>NOT(ISERROR(SEARCH("""H""",BC11)))</formula>
    </cfRule>
    <cfRule type="containsText" dxfId="14716" priority="15771" operator="containsText" text="&quot;A&quot;">
      <formula>NOT(ISERROR(SEARCH("""A""",BC11)))</formula>
    </cfRule>
  </conditionalFormatting>
  <conditionalFormatting sqref="BC11:BD11">
    <cfRule type="containsText" dxfId="14715" priority="15769" operator="containsText" text="A-H">
      <formula>NOT(ISERROR(SEARCH("A-H",BC11)))</formula>
    </cfRule>
  </conditionalFormatting>
  <conditionalFormatting sqref="BF11:BG11">
    <cfRule type="cellIs" dxfId="14714" priority="15760" operator="equal">
      <formula>"C-Off-H"</formula>
    </cfRule>
    <cfRule type="cellIs" dxfId="14713" priority="15761" operator="equal">
      <formula>"C-Off"</formula>
    </cfRule>
    <cfRule type="cellIs" dxfId="14712" priority="15762" operator="equal">
      <formula>"CL-H"</formula>
    </cfRule>
    <cfRule type="cellIs" dxfId="14711" priority="15763" operator="equal">
      <formula>"EL-H"</formula>
    </cfRule>
    <cfRule type="cellIs" dxfId="14710" priority="15764" operator="equal">
      <formula>"CL"</formula>
    </cfRule>
    <cfRule type="cellIs" dxfId="14709" priority="15765" operator="equal">
      <formula>"EL"</formula>
    </cfRule>
  </conditionalFormatting>
  <conditionalFormatting sqref="BF11:BG11">
    <cfRule type="containsText" dxfId="14708" priority="15754" operator="containsText" text="S">
      <formula>NOT(ISERROR(SEARCH("S",BF11)))</formula>
    </cfRule>
    <cfRule type="containsText" dxfId="14707" priority="15755" operator="containsText" text="P">
      <formula>NOT(ISERROR(SEARCH("P",BF11)))</formula>
    </cfRule>
    <cfRule type="containsText" dxfId="14706" priority="15756" operator="containsText" text="H">
      <formula>NOT(ISERROR(SEARCH("H",BF11)))</formula>
    </cfRule>
    <cfRule type="containsText" dxfId="14705" priority="15758" operator="containsText" text="&quot;H&quot;">
      <formula>NOT(ISERROR(SEARCH("""H""",BF11)))</formula>
    </cfRule>
    <cfRule type="containsText" dxfId="14704" priority="15759" operator="containsText" text="&quot;A&quot;">
      <formula>NOT(ISERROR(SEARCH("""A""",BF11)))</formula>
    </cfRule>
  </conditionalFormatting>
  <conditionalFormatting sqref="BF11:BG11">
    <cfRule type="containsText" dxfId="14703" priority="15757" operator="containsText" text="A-H">
      <formula>NOT(ISERROR(SEARCH("A-H",BF11)))</formula>
    </cfRule>
  </conditionalFormatting>
  <conditionalFormatting sqref="BI11:BJ11">
    <cfRule type="cellIs" dxfId="14702" priority="15748" operator="equal">
      <formula>"C-Off-H"</formula>
    </cfRule>
    <cfRule type="cellIs" dxfId="14701" priority="15749" operator="equal">
      <formula>"C-Off"</formula>
    </cfRule>
    <cfRule type="cellIs" dxfId="14700" priority="15750" operator="equal">
      <formula>"CL-H"</formula>
    </cfRule>
    <cfRule type="cellIs" dxfId="14699" priority="15751" operator="equal">
      <formula>"EL-H"</formula>
    </cfRule>
    <cfRule type="cellIs" dxfId="14698" priority="15752" operator="equal">
      <formula>"CL"</formula>
    </cfRule>
    <cfRule type="cellIs" dxfId="14697" priority="15753" operator="equal">
      <formula>"EL"</formula>
    </cfRule>
  </conditionalFormatting>
  <conditionalFormatting sqref="BI11:BJ11">
    <cfRule type="containsText" dxfId="14696" priority="15742" operator="containsText" text="S">
      <formula>NOT(ISERROR(SEARCH("S",BI11)))</formula>
    </cfRule>
    <cfRule type="containsText" dxfId="14695" priority="15743" operator="containsText" text="P">
      <formula>NOT(ISERROR(SEARCH("P",BI11)))</formula>
    </cfRule>
    <cfRule type="containsText" dxfId="14694" priority="15744" operator="containsText" text="H">
      <formula>NOT(ISERROR(SEARCH("H",BI11)))</formula>
    </cfRule>
    <cfRule type="containsText" dxfId="14693" priority="15746" operator="containsText" text="&quot;H&quot;">
      <formula>NOT(ISERROR(SEARCH("""H""",BI11)))</formula>
    </cfRule>
    <cfRule type="containsText" dxfId="14692" priority="15747" operator="containsText" text="&quot;A&quot;">
      <formula>NOT(ISERROR(SEARCH("""A""",BI11)))</formula>
    </cfRule>
  </conditionalFormatting>
  <conditionalFormatting sqref="BI11:BJ11">
    <cfRule type="containsText" dxfId="14691" priority="15745" operator="containsText" text="A-H">
      <formula>NOT(ISERROR(SEARCH("A-H",BI11)))</formula>
    </cfRule>
  </conditionalFormatting>
  <conditionalFormatting sqref="BL11:BM11">
    <cfRule type="cellIs" dxfId="14690" priority="15736" operator="equal">
      <formula>"C-Off-H"</formula>
    </cfRule>
    <cfRule type="cellIs" dxfId="14689" priority="15737" operator="equal">
      <formula>"C-Off"</formula>
    </cfRule>
    <cfRule type="cellIs" dxfId="14688" priority="15738" operator="equal">
      <formula>"CL-H"</formula>
    </cfRule>
    <cfRule type="cellIs" dxfId="14687" priority="15739" operator="equal">
      <formula>"EL-H"</formula>
    </cfRule>
    <cfRule type="cellIs" dxfId="14686" priority="15740" operator="equal">
      <formula>"CL"</formula>
    </cfRule>
    <cfRule type="cellIs" dxfId="14685" priority="15741" operator="equal">
      <formula>"EL"</formula>
    </cfRule>
  </conditionalFormatting>
  <conditionalFormatting sqref="BL11:BM11">
    <cfRule type="containsText" dxfId="14684" priority="15730" operator="containsText" text="S">
      <formula>NOT(ISERROR(SEARCH("S",BL11)))</formula>
    </cfRule>
    <cfRule type="containsText" dxfId="14683" priority="15731" operator="containsText" text="P">
      <formula>NOT(ISERROR(SEARCH("P",BL11)))</formula>
    </cfRule>
    <cfRule type="containsText" dxfId="14682" priority="15732" operator="containsText" text="H">
      <formula>NOT(ISERROR(SEARCH("H",BL11)))</formula>
    </cfRule>
    <cfRule type="containsText" dxfId="14681" priority="15734" operator="containsText" text="&quot;H&quot;">
      <formula>NOT(ISERROR(SEARCH("""H""",BL11)))</formula>
    </cfRule>
    <cfRule type="containsText" dxfId="14680" priority="15735" operator="containsText" text="&quot;A&quot;">
      <formula>NOT(ISERROR(SEARCH("""A""",BL11)))</formula>
    </cfRule>
  </conditionalFormatting>
  <conditionalFormatting sqref="BL11:BM11">
    <cfRule type="containsText" dxfId="14679" priority="15733" operator="containsText" text="A-H">
      <formula>NOT(ISERROR(SEARCH("A-H",BL11)))</formula>
    </cfRule>
  </conditionalFormatting>
  <conditionalFormatting sqref="BR11:BS11">
    <cfRule type="cellIs" dxfId="14678" priority="15724" operator="equal">
      <formula>"C-Off-H"</formula>
    </cfRule>
    <cfRule type="cellIs" dxfId="14677" priority="15725" operator="equal">
      <formula>"C-Off"</formula>
    </cfRule>
    <cfRule type="cellIs" dxfId="14676" priority="15726" operator="equal">
      <formula>"CL-H"</formula>
    </cfRule>
    <cfRule type="cellIs" dxfId="14675" priority="15727" operator="equal">
      <formula>"EL-H"</formula>
    </cfRule>
    <cfRule type="cellIs" dxfId="14674" priority="15728" operator="equal">
      <formula>"CL"</formula>
    </cfRule>
    <cfRule type="cellIs" dxfId="14673" priority="15729" operator="equal">
      <formula>"EL"</formula>
    </cfRule>
  </conditionalFormatting>
  <conditionalFormatting sqref="BR11:BS11">
    <cfRule type="containsText" dxfId="14672" priority="15718" operator="containsText" text="S">
      <formula>NOT(ISERROR(SEARCH("S",BR11)))</formula>
    </cfRule>
    <cfRule type="containsText" dxfId="14671" priority="15719" operator="containsText" text="P">
      <formula>NOT(ISERROR(SEARCH("P",BR11)))</formula>
    </cfRule>
    <cfRule type="containsText" dxfId="14670" priority="15720" operator="containsText" text="H">
      <formula>NOT(ISERROR(SEARCH("H",BR11)))</formula>
    </cfRule>
    <cfRule type="containsText" dxfId="14669" priority="15722" operator="containsText" text="&quot;H&quot;">
      <formula>NOT(ISERROR(SEARCH("""H""",BR11)))</formula>
    </cfRule>
    <cfRule type="containsText" dxfId="14668" priority="15723" operator="containsText" text="&quot;A&quot;">
      <formula>NOT(ISERROR(SEARCH("""A""",BR11)))</formula>
    </cfRule>
  </conditionalFormatting>
  <conditionalFormatting sqref="BR11:BS11">
    <cfRule type="containsText" dxfId="14667" priority="15721" operator="containsText" text="A-H">
      <formula>NOT(ISERROR(SEARCH("A-H",BR11)))</formula>
    </cfRule>
  </conditionalFormatting>
  <conditionalFormatting sqref="BU11:BV11">
    <cfRule type="cellIs" dxfId="14666" priority="15712" operator="equal">
      <formula>"C-Off-H"</formula>
    </cfRule>
    <cfRule type="cellIs" dxfId="14665" priority="15713" operator="equal">
      <formula>"C-Off"</formula>
    </cfRule>
    <cfRule type="cellIs" dxfId="14664" priority="15714" operator="equal">
      <formula>"CL-H"</formula>
    </cfRule>
    <cfRule type="cellIs" dxfId="14663" priority="15715" operator="equal">
      <formula>"EL-H"</formula>
    </cfRule>
    <cfRule type="cellIs" dxfId="14662" priority="15716" operator="equal">
      <formula>"CL"</formula>
    </cfRule>
    <cfRule type="cellIs" dxfId="14661" priority="15717" operator="equal">
      <formula>"EL"</formula>
    </cfRule>
  </conditionalFormatting>
  <conditionalFormatting sqref="BU11:BV11">
    <cfRule type="containsText" dxfId="14660" priority="15706" operator="containsText" text="S">
      <formula>NOT(ISERROR(SEARCH("S",BU11)))</formula>
    </cfRule>
    <cfRule type="containsText" dxfId="14659" priority="15707" operator="containsText" text="P">
      <formula>NOT(ISERROR(SEARCH("P",BU11)))</formula>
    </cfRule>
    <cfRule type="containsText" dxfId="14658" priority="15708" operator="containsText" text="H">
      <formula>NOT(ISERROR(SEARCH("H",BU11)))</formula>
    </cfRule>
    <cfRule type="containsText" dxfId="14657" priority="15710" operator="containsText" text="&quot;H&quot;">
      <formula>NOT(ISERROR(SEARCH("""H""",BU11)))</formula>
    </cfRule>
    <cfRule type="containsText" dxfId="14656" priority="15711" operator="containsText" text="&quot;A&quot;">
      <formula>NOT(ISERROR(SEARCH("""A""",BU11)))</formula>
    </cfRule>
  </conditionalFormatting>
  <conditionalFormatting sqref="BU11:BV11">
    <cfRule type="containsText" dxfId="14655" priority="15709" operator="containsText" text="A-H">
      <formula>NOT(ISERROR(SEARCH("A-H",BU11)))</formula>
    </cfRule>
  </conditionalFormatting>
  <conditionalFormatting sqref="BY11">
    <cfRule type="cellIs" dxfId="14654" priority="15700" operator="equal">
      <formula>"C-Off-H"</formula>
    </cfRule>
    <cfRule type="cellIs" dxfId="14653" priority="15701" operator="equal">
      <formula>"C-Off"</formula>
    </cfRule>
    <cfRule type="cellIs" dxfId="14652" priority="15702" operator="equal">
      <formula>"CL-H"</formula>
    </cfRule>
    <cfRule type="cellIs" dxfId="14651" priority="15703" operator="equal">
      <formula>"EL-H"</formula>
    </cfRule>
    <cfRule type="cellIs" dxfId="14650" priority="15704" operator="equal">
      <formula>"CL"</formula>
    </cfRule>
    <cfRule type="cellIs" dxfId="14649" priority="15705" operator="equal">
      <formula>"EL"</formula>
    </cfRule>
  </conditionalFormatting>
  <conditionalFormatting sqref="BY11">
    <cfRule type="containsText" dxfId="14648" priority="15694" operator="containsText" text="S">
      <formula>NOT(ISERROR(SEARCH("S",BY11)))</formula>
    </cfRule>
    <cfRule type="containsText" dxfId="14647" priority="15695" operator="containsText" text="P">
      <formula>NOT(ISERROR(SEARCH("P",BY11)))</formula>
    </cfRule>
    <cfRule type="containsText" dxfId="14646" priority="15696" operator="containsText" text="H">
      <formula>NOT(ISERROR(SEARCH("H",BY11)))</formula>
    </cfRule>
    <cfRule type="containsText" dxfId="14645" priority="15698" operator="containsText" text="&quot;H&quot;">
      <formula>NOT(ISERROR(SEARCH("""H""",BY11)))</formula>
    </cfRule>
    <cfRule type="containsText" dxfId="14644" priority="15699" operator="containsText" text="&quot;A&quot;">
      <formula>NOT(ISERROR(SEARCH("""A""",BY11)))</formula>
    </cfRule>
  </conditionalFormatting>
  <conditionalFormatting sqref="BY11">
    <cfRule type="containsText" dxfId="14643" priority="15697" operator="containsText" text="A-H">
      <formula>NOT(ISERROR(SEARCH("A-H",BY11)))</formula>
    </cfRule>
  </conditionalFormatting>
  <conditionalFormatting sqref="BX11">
    <cfRule type="cellIs" dxfId="14642" priority="15688" operator="equal">
      <formula>"C-Off-H"</formula>
    </cfRule>
    <cfRule type="cellIs" dxfId="14641" priority="15689" operator="equal">
      <formula>"C-Off"</formula>
    </cfRule>
    <cfRule type="cellIs" dxfId="14640" priority="15690" operator="equal">
      <formula>"CL-H"</formula>
    </cfRule>
    <cfRule type="cellIs" dxfId="14639" priority="15691" operator="equal">
      <formula>"EL-H"</formula>
    </cfRule>
    <cfRule type="cellIs" dxfId="14638" priority="15692" operator="equal">
      <formula>"CL"</formula>
    </cfRule>
    <cfRule type="cellIs" dxfId="14637" priority="15693" operator="equal">
      <formula>"EL"</formula>
    </cfRule>
  </conditionalFormatting>
  <conditionalFormatting sqref="BX11">
    <cfRule type="containsText" dxfId="14636" priority="15682" operator="containsText" text="S">
      <formula>NOT(ISERROR(SEARCH("S",BX11)))</formula>
    </cfRule>
    <cfRule type="containsText" dxfId="14635" priority="15683" operator="containsText" text="P">
      <formula>NOT(ISERROR(SEARCH("P",BX11)))</formula>
    </cfRule>
    <cfRule type="containsText" dxfId="14634" priority="15684" operator="containsText" text="H">
      <formula>NOT(ISERROR(SEARCH("H",BX11)))</formula>
    </cfRule>
    <cfRule type="containsText" dxfId="14633" priority="15686" operator="containsText" text="&quot;H&quot;">
      <formula>NOT(ISERROR(SEARCH("""H""",BX11)))</formula>
    </cfRule>
    <cfRule type="containsText" dxfId="14632" priority="15687" operator="containsText" text="&quot;A&quot;">
      <formula>NOT(ISERROR(SEARCH("""A""",BX11)))</formula>
    </cfRule>
  </conditionalFormatting>
  <conditionalFormatting sqref="BX11">
    <cfRule type="containsText" dxfId="14631" priority="15685" operator="containsText" text="A-H">
      <formula>NOT(ISERROR(SEARCH("A-H",BX11)))</formula>
    </cfRule>
  </conditionalFormatting>
  <conditionalFormatting sqref="CN11">
    <cfRule type="cellIs" dxfId="14630" priority="15676" operator="equal">
      <formula>"C-Off-H"</formula>
    </cfRule>
    <cfRule type="cellIs" dxfId="14629" priority="15677" operator="equal">
      <formula>"C-Off"</formula>
    </cfRule>
    <cfRule type="cellIs" dxfId="14628" priority="15678" operator="equal">
      <formula>"CL-H"</formula>
    </cfRule>
    <cfRule type="cellIs" dxfId="14627" priority="15679" operator="equal">
      <formula>"EL-H"</formula>
    </cfRule>
    <cfRule type="cellIs" dxfId="14626" priority="15680" operator="equal">
      <formula>"CL"</formula>
    </cfRule>
    <cfRule type="cellIs" dxfId="14625" priority="15681" operator="equal">
      <formula>"EL"</formula>
    </cfRule>
  </conditionalFormatting>
  <conditionalFormatting sqref="CN11">
    <cfRule type="containsText" dxfId="14624" priority="15675" operator="containsText" text="A-H">
      <formula>NOT(ISERROR(SEARCH("A-H",CN11)))</formula>
    </cfRule>
  </conditionalFormatting>
  <conditionalFormatting sqref="CN11">
    <cfRule type="containsText" dxfId="14623" priority="15674" operator="containsText" text="A">
      <formula>NOT(ISERROR(SEARCH("A",CN11)))</formula>
    </cfRule>
  </conditionalFormatting>
  <conditionalFormatting sqref="CN11">
    <cfRule type="containsText" dxfId="14622" priority="15669" operator="containsText" text="S">
      <formula>NOT(ISERROR(SEARCH("S",CN11)))</formula>
    </cfRule>
    <cfRule type="containsText" dxfId="14621" priority="15670" operator="containsText" text="P">
      <formula>NOT(ISERROR(SEARCH("P",CN11)))</formula>
    </cfRule>
    <cfRule type="containsText" dxfId="14620" priority="15671" operator="containsText" text="H">
      <formula>NOT(ISERROR(SEARCH("H",CN11)))</formula>
    </cfRule>
    <cfRule type="containsText" dxfId="14619" priority="15672" operator="containsText" text="&quot;H&quot;">
      <formula>NOT(ISERROR(SEARCH("""H""",CN11)))</formula>
    </cfRule>
    <cfRule type="containsText" dxfId="14618" priority="15673" operator="containsText" text="&quot;A&quot;">
      <formula>NOT(ISERROR(SEARCH("""A""",CN11)))</formula>
    </cfRule>
  </conditionalFormatting>
  <conditionalFormatting sqref="CA11:CB11">
    <cfRule type="cellIs" dxfId="14617" priority="15663" operator="equal">
      <formula>"C-Off-H"</formula>
    </cfRule>
    <cfRule type="cellIs" dxfId="14616" priority="15664" operator="equal">
      <formula>"C-Off"</formula>
    </cfRule>
    <cfRule type="cellIs" dxfId="14615" priority="15665" operator="equal">
      <formula>"CL-H"</formula>
    </cfRule>
    <cfRule type="cellIs" dxfId="14614" priority="15666" operator="equal">
      <formula>"EL-H"</formula>
    </cfRule>
    <cfRule type="cellIs" dxfId="14613" priority="15667" operator="equal">
      <formula>"CL"</formula>
    </cfRule>
    <cfRule type="cellIs" dxfId="14612" priority="15668" operator="equal">
      <formula>"EL"</formula>
    </cfRule>
  </conditionalFormatting>
  <conditionalFormatting sqref="CA11:CB11">
    <cfRule type="containsText" dxfId="14611" priority="15657" operator="containsText" text="S">
      <formula>NOT(ISERROR(SEARCH("S",CA11)))</formula>
    </cfRule>
    <cfRule type="containsText" dxfId="14610" priority="15658" operator="containsText" text="P">
      <formula>NOT(ISERROR(SEARCH("P",CA11)))</formula>
    </cfRule>
    <cfRule type="containsText" dxfId="14609" priority="15659" operator="containsText" text="H">
      <formula>NOT(ISERROR(SEARCH("H",CA11)))</formula>
    </cfRule>
    <cfRule type="containsText" dxfId="14608" priority="15661" operator="containsText" text="&quot;H&quot;">
      <formula>NOT(ISERROR(SEARCH("""H""",CA11)))</formula>
    </cfRule>
    <cfRule type="containsText" dxfId="14607" priority="15662" operator="containsText" text="&quot;A&quot;">
      <formula>NOT(ISERROR(SEARCH("""A""",CA11)))</formula>
    </cfRule>
  </conditionalFormatting>
  <conditionalFormatting sqref="CA11:CB11">
    <cfRule type="containsText" dxfId="14606" priority="15660" operator="containsText" text="A-H">
      <formula>NOT(ISERROR(SEARCH("A-H",CA11)))</formula>
    </cfRule>
  </conditionalFormatting>
  <conditionalFormatting sqref="CD11:CE11">
    <cfRule type="cellIs" dxfId="14605" priority="15651" operator="equal">
      <formula>"C-Off-H"</formula>
    </cfRule>
    <cfRule type="cellIs" dxfId="14604" priority="15652" operator="equal">
      <formula>"C-Off"</formula>
    </cfRule>
    <cfRule type="cellIs" dxfId="14603" priority="15653" operator="equal">
      <formula>"CL-H"</formula>
    </cfRule>
    <cfRule type="cellIs" dxfId="14602" priority="15654" operator="equal">
      <formula>"EL-H"</formula>
    </cfRule>
    <cfRule type="cellIs" dxfId="14601" priority="15655" operator="equal">
      <formula>"CL"</formula>
    </cfRule>
    <cfRule type="cellIs" dxfId="14600" priority="15656" operator="equal">
      <formula>"EL"</formula>
    </cfRule>
  </conditionalFormatting>
  <conditionalFormatting sqref="CD11:CE11">
    <cfRule type="containsText" dxfId="14599" priority="15645" operator="containsText" text="S">
      <formula>NOT(ISERROR(SEARCH("S",CD11)))</formula>
    </cfRule>
    <cfRule type="containsText" dxfId="14598" priority="15646" operator="containsText" text="P">
      <formula>NOT(ISERROR(SEARCH("P",CD11)))</formula>
    </cfRule>
    <cfRule type="containsText" dxfId="14597" priority="15647" operator="containsText" text="H">
      <formula>NOT(ISERROR(SEARCH("H",CD11)))</formula>
    </cfRule>
    <cfRule type="containsText" dxfId="14596" priority="15649" operator="containsText" text="&quot;H&quot;">
      <formula>NOT(ISERROR(SEARCH("""H""",CD11)))</formula>
    </cfRule>
    <cfRule type="containsText" dxfId="14595" priority="15650" operator="containsText" text="&quot;A&quot;">
      <formula>NOT(ISERROR(SEARCH("""A""",CD11)))</formula>
    </cfRule>
  </conditionalFormatting>
  <conditionalFormatting sqref="CD11:CE11">
    <cfRule type="containsText" dxfId="14594" priority="15648" operator="containsText" text="A-H">
      <formula>NOT(ISERROR(SEARCH("A-H",CD11)))</formula>
    </cfRule>
  </conditionalFormatting>
  <conditionalFormatting sqref="CH11">
    <cfRule type="cellIs" dxfId="14593" priority="15639" operator="equal">
      <formula>"C-Off-H"</formula>
    </cfRule>
    <cfRule type="cellIs" dxfId="14592" priority="15640" operator="equal">
      <formula>"C-Off"</formula>
    </cfRule>
    <cfRule type="cellIs" dxfId="14591" priority="15641" operator="equal">
      <formula>"CL-H"</formula>
    </cfRule>
    <cfRule type="cellIs" dxfId="14590" priority="15642" operator="equal">
      <formula>"EL-H"</formula>
    </cfRule>
    <cfRule type="cellIs" dxfId="14589" priority="15643" operator="equal">
      <formula>"CL"</formula>
    </cfRule>
    <cfRule type="cellIs" dxfId="14588" priority="15644" operator="equal">
      <formula>"EL"</formula>
    </cfRule>
  </conditionalFormatting>
  <conditionalFormatting sqref="CH11">
    <cfRule type="containsText" dxfId="14587" priority="15633" operator="containsText" text="S">
      <formula>NOT(ISERROR(SEARCH("S",CH11)))</formula>
    </cfRule>
    <cfRule type="containsText" dxfId="14586" priority="15634" operator="containsText" text="P">
      <formula>NOT(ISERROR(SEARCH("P",CH11)))</formula>
    </cfRule>
    <cfRule type="containsText" dxfId="14585" priority="15635" operator="containsText" text="H">
      <formula>NOT(ISERROR(SEARCH("H",CH11)))</formula>
    </cfRule>
    <cfRule type="containsText" dxfId="14584" priority="15637" operator="containsText" text="&quot;H&quot;">
      <formula>NOT(ISERROR(SEARCH("""H""",CH11)))</formula>
    </cfRule>
    <cfRule type="containsText" dxfId="14583" priority="15638" operator="containsText" text="&quot;A&quot;">
      <formula>NOT(ISERROR(SEARCH("""A""",CH11)))</formula>
    </cfRule>
  </conditionalFormatting>
  <conditionalFormatting sqref="CH11">
    <cfRule type="containsText" dxfId="14582" priority="15636" operator="containsText" text="A-H">
      <formula>NOT(ISERROR(SEARCH("A-H",CH11)))</formula>
    </cfRule>
  </conditionalFormatting>
  <conditionalFormatting sqref="CG11">
    <cfRule type="cellIs" dxfId="14581" priority="15627" operator="equal">
      <formula>"C-Off-H"</formula>
    </cfRule>
    <cfRule type="cellIs" dxfId="14580" priority="15628" operator="equal">
      <formula>"C-Off"</formula>
    </cfRule>
    <cfRule type="cellIs" dxfId="14579" priority="15629" operator="equal">
      <formula>"CL-H"</formula>
    </cfRule>
    <cfRule type="cellIs" dxfId="14578" priority="15630" operator="equal">
      <formula>"EL-H"</formula>
    </cfRule>
    <cfRule type="cellIs" dxfId="14577" priority="15631" operator="equal">
      <formula>"CL"</formula>
    </cfRule>
    <cfRule type="cellIs" dxfId="14576" priority="15632" operator="equal">
      <formula>"EL"</formula>
    </cfRule>
  </conditionalFormatting>
  <conditionalFormatting sqref="CG11">
    <cfRule type="containsText" dxfId="14575" priority="15621" operator="containsText" text="S">
      <formula>NOT(ISERROR(SEARCH("S",CG11)))</formula>
    </cfRule>
    <cfRule type="containsText" dxfId="14574" priority="15622" operator="containsText" text="P">
      <formula>NOT(ISERROR(SEARCH("P",CG11)))</formula>
    </cfRule>
    <cfRule type="containsText" dxfId="14573" priority="15623" operator="containsText" text="H">
      <formula>NOT(ISERROR(SEARCH("H",CG11)))</formula>
    </cfRule>
    <cfRule type="containsText" dxfId="14572" priority="15625" operator="containsText" text="&quot;H&quot;">
      <formula>NOT(ISERROR(SEARCH("""H""",CG11)))</formula>
    </cfRule>
    <cfRule type="containsText" dxfId="14571" priority="15626" operator="containsText" text="&quot;A&quot;">
      <formula>NOT(ISERROR(SEARCH("""A""",CG11)))</formula>
    </cfRule>
  </conditionalFormatting>
  <conditionalFormatting sqref="CG11">
    <cfRule type="containsText" dxfId="14570" priority="15624" operator="containsText" text="A-H">
      <formula>NOT(ISERROR(SEARCH("A-H",CG11)))</formula>
    </cfRule>
  </conditionalFormatting>
  <conditionalFormatting sqref="H11">
    <cfRule type="cellIs" dxfId="14569" priority="15584" operator="equal">
      <formula>"C-Off-H"</formula>
    </cfRule>
    <cfRule type="cellIs" dxfId="14568" priority="15585" operator="equal">
      <formula>"C-Off"</formula>
    </cfRule>
    <cfRule type="cellIs" dxfId="14567" priority="15586" operator="equal">
      <formula>"CL-H"</formula>
    </cfRule>
    <cfRule type="cellIs" dxfId="14566" priority="15587" operator="equal">
      <formula>"EL-H"</formula>
    </cfRule>
    <cfRule type="cellIs" dxfId="14565" priority="15588" operator="equal">
      <formula>"CL"</formula>
    </cfRule>
    <cfRule type="cellIs" dxfId="14564" priority="15589" operator="equal">
      <formula>"EL"</formula>
    </cfRule>
  </conditionalFormatting>
  <conditionalFormatting sqref="G11:H11">
    <cfRule type="cellIs" dxfId="14563" priority="15578" operator="equal">
      <formula>"C-Off-H"</formula>
    </cfRule>
    <cfRule type="cellIs" dxfId="14562" priority="15579" operator="equal">
      <formula>"C-Off"</formula>
    </cfRule>
    <cfRule type="cellIs" dxfId="14561" priority="15580" operator="equal">
      <formula>"CL-H"</formula>
    </cfRule>
    <cfRule type="cellIs" dxfId="14560" priority="15581" operator="equal">
      <formula>"EL-H"</formula>
    </cfRule>
    <cfRule type="cellIs" dxfId="14559" priority="15582" operator="equal">
      <formula>"CL"</formula>
    </cfRule>
    <cfRule type="cellIs" dxfId="14558" priority="15583" operator="equal">
      <formula>"EL"</formula>
    </cfRule>
  </conditionalFormatting>
  <conditionalFormatting sqref="G11:H11">
    <cfRule type="containsText" dxfId="14557" priority="15572" operator="containsText" text="S">
      <formula>NOT(ISERROR(SEARCH("S",G11)))</formula>
    </cfRule>
    <cfRule type="containsText" dxfId="14556" priority="15573" operator="containsText" text="P">
      <formula>NOT(ISERROR(SEARCH("P",G11)))</formula>
    </cfRule>
    <cfRule type="containsText" dxfId="14555" priority="15574" operator="containsText" text="H">
      <formula>NOT(ISERROR(SEARCH("H",G11)))</formula>
    </cfRule>
    <cfRule type="containsText" dxfId="14554" priority="15576" operator="containsText" text="&quot;H&quot;">
      <formula>NOT(ISERROR(SEARCH("""H""",G11)))</formula>
    </cfRule>
    <cfRule type="containsText" dxfId="14553" priority="15577" operator="containsText" text="&quot;A&quot;">
      <formula>NOT(ISERROR(SEARCH("""A""",G11)))</formula>
    </cfRule>
  </conditionalFormatting>
  <conditionalFormatting sqref="G11:H11">
    <cfRule type="containsText" dxfId="14552" priority="15575" operator="containsText" text="A-H">
      <formula>NOT(ISERROR(SEARCH("A-H",G11)))</formula>
    </cfRule>
  </conditionalFormatting>
  <conditionalFormatting sqref="K11">
    <cfRule type="cellIs" dxfId="14551" priority="15566" operator="equal">
      <formula>"C-Off-H"</formula>
    </cfRule>
    <cfRule type="cellIs" dxfId="14550" priority="15567" operator="equal">
      <formula>"C-Off"</formula>
    </cfRule>
    <cfRule type="cellIs" dxfId="14549" priority="15568" operator="equal">
      <formula>"CL-H"</formula>
    </cfRule>
    <cfRule type="cellIs" dxfId="14548" priority="15569" operator="equal">
      <formula>"EL-H"</formula>
    </cfRule>
    <cfRule type="cellIs" dxfId="14547" priority="15570" operator="equal">
      <formula>"CL"</formula>
    </cfRule>
    <cfRule type="cellIs" dxfId="14546" priority="15571" operator="equal">
      <formula>"EL"</formula>
    </cfRule>
  </conditionalFormatting>
  <conditionalFormatting sqref="J11:K11">
    <cfRule type="cellIs" dxfId="14545" priority="15560" operator="equal">
      <formula>"C-Off-H"</formula>
    </cfRule>
    <cfRule type="cellIs" dxfId="14544" priority="15561" operator="equal">
      <formula>"C-Off"</formula>
    </cfRule>
    <cfRule type="cellIs" dxfId="14543" priority="15562" operator="equal">
      <formula>"CL-H"</formula>
    </cfRule>
    <cfRule type="cellIs" dxfId="14542" priority="15563" operator="equal">
      <formula>"EL-H"</formula>
    </cfRule>
    <cfRule type="cellIs" dxfId="14541" priority="15564" operator="equal">
      <formula>"CL"</formula>
    </cfRule>
    <cfRule type="cellIs" dxfId="14540" priority="15565" operator="equal">
      <formula>"EL"</formula>
    </cfRule>
  </conditionalFormatting>
  <conditionalFormatting sqref="J11:K11">
    <cfRule type="containsText" dxfId="14539" priority="15554" operator="containsText" text="S">
      <formula>NOT(ISERROR(SEARCH("S",J11)))</formula>
    </cfRule>
    <cfRule type="containsText" dxfId="14538" priority="15555" operator="containsText" text="P">
      <formula>NOT(ISERROR(SEARCH("P",J11)))</formula>
    </cfRule>
    <cfRule type="containsText" dxfId="14537" priority="15556" operator="containsText" text="H">
      <formula>NOT(ISERROR(SEARCH("H",J11)))</formula>
    </cfRule>
    <cfRule type="containsText" dxfId="14536" priority="15558" operator="containsText" text="&quot;H&quot;">
      <formula>NOT(ISERROR(SEARCH("""H""",J11)))</formula>
    </cfRule>
    <cfRule type="containsText" dxfId="14535" priority="15559" operator="containsText" text="&quot;A&quot;">
      <formula>NOT(ISERROR(SEARCH("""A""",J11)))</formula>
    </cfRule>
  </conditionalFormatting>
  <conditionalFormatting sqref="J11:K11">
    <cfRule type="containsText" dxfId="14534" priority="15557" operator="containsText" text="A-H">
      <formula>NOT(ISERROR(SEARCH("A-H",J11)))</formula>
    </cfRule>
  </conditionalFormatting>
  <conditionalFormatting sqref="N11">
    <cfRule type="cellIs" dxfId="14533" priority="15548" operator="equal">
      <formula>"C-Off-H"</formula>
    </cfRule>
    <cfRule type="cellIs" dxfId="14532" priority="15549" operator="equal">
      <formula>"C-Off"</formula>
    </cfRule>
    <cfRule type="cellIs" dxfId="14531" priority="15550" operator="equal">
      <formula>"CL-H"</formula>
    </cfRule>
    <cfRule type="cellIs" dxfId="14530" priority="15551" operator="equal">
      <formula>"EL-H"</formula>
    </cfRule>
    <cfRule type="cellIs" dxfId="14529" priority="15552" operator="equal">
      <formula>"CL"</formula>
    </cfRule>
    <cfRule type="cellIs" dxfId="14528" priority="15553" operator="equal">
      <formula>"EL"</formula>
    </cfRule>
  </conditionalFormatting>
  <conditionalFormatting sqref="M11:N11">
    <cfRule type="cellIs" dxfId="14527" priority="15542" operator="equal">
      <formula>"C-Off-H"</formula>
    </cfRule>
    <cfRule type="cellIs" dxfId="14526" priority="15543" operator="equal">
      <formula>"C-Off"</formula>
    </cfRule>
    <cfRule type="cellIs" dxfId="14525" priority="15544" operator="equal">
      <formula>"CL-H"</formula>
    </cfRule>
    <cfRule type="cellIs" dxfId="14524" priority="15545" operator="equal">
      <formula>"EL-H"</formula>
    </cfRule>
    <cfRule type="cellIs" dxfId="14523" priority="15546" operator="equal">
      <formula>"CL"</formula>
    </cfRule>
    <cfRule type="cellIs" dxfId="14522" priority="15547" operator="equal">
      <formula>"EL"</formula>
    </cfRule>
  </conditionalFormatting>
  <conditionalFormatting sqref="M11:N11">
    <cfRule type="containsText" dxfId="14521" priority="15536" operator="containsText" text="S">
      <formula>NOT(ISERROR(SEARCH("S",M11)))</formula>
    </cfRule>
    <cfRule type="containsText" dxfId="14520" priority="15537" operator="containsText" text="P">
      <formula>NOT(ISERROR(SEARCH("P",M11)))</formula>
    </cfRule>
    <cfRule type="containsText" dxfId="14519" priority="15538" operator="containsText" text="H">
      <formula>NOT(ISERROR(SEARCH("H",M11)))</formula>
    </cfRule>
    <cfRule type="containsText" dxfId="14518" priority="15540" operator="containsText" text="&quot;H&quot;">
      <formula>NOT(ISERROR(SEARCH("""H""",M11)))</formula>
    </cfRule>
    <cfRule type="containsText" dxfId="14517" priority="15541" operator="containsText" text="&quot;A&quot;">
      <formula>NOT(ISERROR(SEARCH("""A""",M11)))</formula>
    </cfRule>
  </conditionalFormatting>
  <conditionalFormatting sqref="M11:N11">
    <cfRule type="containsText" dxfId="14516" priority="15539" operator="containsText" text="A-H">
      <formula>NOT(ISERROR(SEARCH("A-H",M11)))</formula>
    </cfRule>
  </conditionalFormatting>
  <conditionalFormatting sqref="K12">
    <cfRule type="cellIs" dxfId="14515" priority="15530" operator="equal">
      <formula>"C-Off-H"</formula>
    </cfRule>
    <cfRule type="cellIs" dxfId="14514" priority="15531" operator="equal">
      <formula>"C-Off"</formula>
    </cfRule>
    <cfRule type="cellIs" dxfId="14513" priority="15532" operator="equal">
      <formula>"CL-H"</formula>
    </cfRule>
    <cfRule type="cellIs" dxfId="14512" priority="15533" operator="equal">
      <formula>"EL-H"</formula>
    </cfRule>
    <cfRule type="cellIs" dxfId="14511" priority="15534" operator="equal">
      <formula>"CL"</formula>
    </cfRule>
    <cfRule type="cellIs" dxfId="14510" priority="15535" operator="equal">
      <formula>"EL"</formula>
    </cfRule>
  </conditionalFormatting>
  <conditionalFormatting sqref="K12">
    <cfRule type="containsText" dxfId="14509" priority="15529" operator="containsText" text="A-H">
      <formula>NOT(ISERROR(SEARCH("A-H",K12)))</formula>
    </cfRule>
  </conditionalFormatting>
  <conditionalFormatting sqref="K12">
    <cfRule type="containsText" dxfId="14508" priority="15524" operator="containsText" text="S">
      <formula>NOT(ISERROR(SEARCH("S",K12)))</formula>
    </cfRule>
    <cfRule type="containsText" dxfId="14507" priority="15525" operator="containsText" text="P">
      <formula>NOT(ISERROR(SEARCH("P",K12)))</formula>
    </cfRule>
    <cfRule type="containsText" dxfId="14506" priority="15526" operator="containsText" text="H">
      <formula>NOT(ISERROR(SEARCH("H",K12)))</formula>
    </cfRule>
    <cfRule type="containsText" dxfId="14505" priority="15527" operator="containsText" text="&quot;H&quot;">
      <formula>NOT(ISERROR(SEARCH("""H""",K12)))</formula>
    </cfRule>
    <cfRule type="containsText" dxfId="14504" priority="15528" operator="containsText" text="&quot;A&quot;">
      <formula>NOT(ISERROR(SEARCH("""A""",K12)))</formula>
    </cfRule>
  </conditionalFormatting>
  <conditionalFormatting sqref="DC17 CQ17:CW17 M17:N17 CX16:CX18 Z16:Z18 CN16:CN17">
    <cfRule type="cellIs" dxfId="14503" priority="15492" operator="equal">
      <formula>"C-Off-H"</formula>
    </cfRule>
    <cfRule type="cellIs" dxfId="14502" priority="15493" operator="equal">
      <formula>"C-Off"</formula>
    </cfRule>
    <cfRule type="cellIs" dxfId="14501" priority="15494" operator="equal">
      <formula>"CL-H"</formula>
    </cfRule>
    <cfRule type="cellIs" dxfId="14500" priority="15495" operator="equal">
      <formula>"EL-H"</formula>
    </cfRule>
    <cfRule type="cellIs" dxfId="14499" priority="15496" operator="equal">
      <formula>"CL"</formula>
    </cfRule>
    <cfRule type="cellIs" dxfId="14498" priority="15497" operator="equal">
      <formula>"EL"</formula>
    </cfRule>
  </conditionalFormatting>
  <conditionalFormatting sqref="CQ17:CW17 M17:N17 CY17:DA17 DC17 CX16:CX18 Z16:Z18 CN16:CN17">
    <cfRule type="containsText" dxfId="14497" priority="15491" operator="containsText" text="A-H">
      <formula>NOT(ISERROR(SEARCH("A-H",M16)))</formula>
    </cfRule>
  </conditionalFormatting>
  <conditionalFormatting sqref="CQ17:CW17 CY17:DA17 DC17 CX16:CX18 CN16:CN17">
    <cfRule type="containsText" dxfId="14496" priority="15490" operator="containsText" text="A">
      <formula>NOT(ISERROR(SEARCH("A",CN16)))</formula>
    </cfRule>
  </conditionalFormatting>
  <conditionalFormatting sqref="DA17 CY17">
    <cfRule type="cellIs" dxfId="14495" priority="15484" stopIfTrue="1" operator="equal">
      <formula>"C-Off-H"</formula>
    </cfRule>
    <cfRule type="cellIs" dxfId="14494" priority="15485" stopIfTrue="1" operator="equal">
      <formula>"C-Off"</formula>
    </cfRule>
    <cfRule type="cellIs" dxfId="14493" priority="15486" stopIfTrue="1" operator="equal">
      <formula>"CL-H"</formula>
    </cfRule>
    <cfRule type="cellIs" dxfId="14492" priority="15487" stopIfTrue="1" operator="equal">
      <formula>"EL-H"</formula>
    </cfRule>
    <cfRule type="cellIs" dxfId="14491" priority="15488" stopIfTrue="1" operator="equal">
      <formula>"CL"</formula>
    </cfRule>
    <cfRule type="cellIs" dxfId="14490" priority="15489" stopIfTrue="1" operator="equal">
      <formula>"EL"</formula>
    </cfRule>
  </conditionalFormatting>
  <conditionalFormatting sqref="CZ17">
    <cfRule type="cellIs" dxfId="14489" priority="15478" stopIfTrue="1" operator="equal">
      <formula>"C-Off-H"</formula>
    </cfRule>
    <cfRule type="cellIs" dxfId="14488" priority="15479" stopIfTrue="1" operator="equal">
      <formula>"C-Off"</formula>
    </cfRule>
    <cfRule type="cellIs" dxfId="14487" priority="15480" stopIfTrue="1" operator="equal">
      <formula>"CL-H"</formula>
    </cfRule>
    <cfRule type="cellIs" dxfId="14486" priority="15481" stopIfTrue="1" operator="equal">
      <formula>"EL-H"</formula>
    </cfRule>
    <cfRule type="cellIs" dxfId="14485" priority="15482" stopIfTrue="1" operator="equal">
      <formula>"CL"</formula>
    </cfRule>
    <cfRule type="cellIs" dxfId="14484" priority="15483" stopIfTrue="1" operator="equal">
      <formula>"EL"</formula>
    </cfRule>
  </conditionalFormatting>
  <conditionalFormatting sqref="M17:N17 Z16:Z18 CN16:CN17">
    <cfRule type="containsText" dxfId="14483" priority="15473" operator="containsText" text="S">
      <formula>NOT(ISERROR(SEARCH("S",M16)))</formula>
    </cfRule>
    <cfRule type="containsText" dxfId="14482" priority="15474" operator="containsText" text="P">
      <formula>NOT(ISERROR(SEARCH("P",M16)))</formula>
    </cfRule>
    <cfRule type="containsText" dxfId="14481" priority="15475" operator="containsText" text="H">
      <formula>NOT(ISERROR(SEARCH("H",M16)))</formula>
    </cfRule>
    <cfRule type="containsText" dxfId="14480" priority="15476" operator="containsText" text="&quot;H&quot;">
      <formula>NOT(ISERROR(SEARCH("""H""",M16)))</formula>
    </cfRule>
    <cfRule type="containsText" dxfId="14479" priority="15477" operator="containsText" text="&quot;A&quot;">
      <formula>NOT(ISERROR(SEARCH("""A""",M16)))</formula>
    </cfRule>
  </conditionalFormatting>
  <conditionalFormatting sqref="DD17">
    <cfRule type="cellIs" dxfId="14478" priority="15467" operator="equal">
      <formula>"C-Off-H"</formula>
    </cfRule>
    <cfRule type="cellIs" dxfId="14477" priority="15468" operator="equal">
      <formula>"C-Off"</formula>
    </cfRule>
    <cfRule type="cellIs" dxfId="14476" priority="15469" operator="equal">
      <formula>"CL-H"</formula>
    </cfRule>
    <cfRule type="cellIs" dxfId="14475" priority="15470" operator="equal">
      <formula>"EL-H"</formula>
    </cfRule>
    <cfRule type="cellIs" dxfId="14474" priority="15471" operator="equal">
      <formula>"CL"</formula>
    </cfRule>
    <cfRule type="cellIs" dxfId="14473" priority="15472" operator="equal">
      <formula>"EL"</formula>
    </cfRule>
  </conditionalFormatting>
  <conditionalFormatting sqref="DD17">
    <cfRule type="containsText" dxfId="14472" priority="15466" operator="containsText" text="A">
      <formula>NOT(ISERROR(SEARCH("A",DD17)))</formula>
    </cfRule>
  </conditionalFormatting>
  <conditionalFormatting sqref="DD17">
    <cfRule type="containsText" dxfId="14471" priority="15465" operator="containsText" text="A-H">
      <formula>NOT(ISERROR(SEARCH("A-H",DD17)))</formula>
    </cfRule>
  </conditionalFormatting>
  <conditionalFormatting sqref="AI17">
    <cfRule type="cellIs" dxfId="14470" priority="15459" operator="equal">
      <formula>"C-Off-H"</formula>
    </cfRule>
    <cfRule type="cellIs" dxfId="14469" priority="15460" operator="equal">
      <formula>"C-Off"</formula>
    </cfRule>
    <cfRule type="cellIs" dxfId="14468" priority="15461" operator="equal">
      <formula>"CL-H"</formula>
    </cfRule>
    <cfRule type="cellIs" dxfId="14467" priority="15462" operator="equal">
      <formula>"EL-H"</formula>
    </cfRule>
    <cfRule type="cellIs" dxfId="14466" priority="15463" operator="equal">
      <formula>"CL"</formula>
    </cfRule>
    <cfRule type="cellIs" dxfId="14465" priority="15464" operator="equal">
      <formula>"EL"</formula>
    </cfRule>
  </conditionalFormatting>
  <conditionalFormatting sqref="AH17:AI17">
    <cfRule type="cellIs" dxfId="14464" priority="15453" operator="equal">
      <formula>"C-Off-H"</formula>
    </cfRule>
    <cfRule type="cellIs" dxfId="14463" priority="15454" operator="equal">
      <formula>"C-Off"</formula>
    </cfRule>
    <cfRule type="cellIs" dxfId="14462" priority="15455" operator="equal">
      <formula>"CL-H"</formula>
    </cfRule>
    <cfRule type="cellIs" dxfId="14461" priority="15456" operator="equal">
      <formula>"EL-H"</formula>
    </cfRule>
    <cfRule type="cellIs" dxfId="14460" priority="15457" operator="equal">
      <formula>"CL"</formula>
    </cfRule>
    <cfRule type="cellIs" dxfId="14459" priority="15458" operator="equal">
      <formula>"EL"</formula>
    </cfRule>
  </conditionalFormatting>
  <conditionalFormatting sqref="AH17:AI17">
    <cfRule type="containsText" dxfId="14458" priority="15447" operator="containsText" text="S">
      <formula>NOT(ISERROR(SEARCH("S",AH17)))</formula>
    </cfRule>
    <cfRule type="containsText" dxfId="14457" priority="15448" operator="containsText" text="P">
      <formula>NOT(ISERROR(SEARCH("P",AH17)))</formula>
    </cfRule>
    <cfRule type="containsText" dxfId="14456" priority="15449" operator="containsText" text="H">
      <formula>NOT(ISERROR(SEARCH("H",AH17)))</formula>
    </cfRule>
    <cfRule type="containsText" dxfId="14455" priority="15451" operator="containsText" text="&quot;H&quot;">
      <formula>NOT(ISERROR(SEARCH("""H""",AH17)))</formula>
    </cfRule>
    <cfRule type="containsText" dxfId="14454" priority="15452" operator="containsText" text="&quot;A&quot;">
      <formula>NOT(ISERROR(SEARCH("""A""",AH17)))</formula>
    </cfRule>
  </conditionalFormatting>
  <conditionalFormatting sqref="AH17:AI17">
    <cfRule type="containsText" dxfId="14453" priority="15450" operator="containsText" text="A-H">
      <formula>NOT(ISERROR(SEARCH("A-H",AH17)))</formula>
    </cfRule>
  </conditionalFormatting>
  <conditionalFormatting sqref="AU17">
    <cfRule type="cellIs" dxfId="14452" priority="15441" operator="equal">
      <formula>"C-Off-H"</formula>
    </cfRule>
    <cfRule type="cellIs" dxfId="14451" priority="15442" operator="equal">
      <formula>"C-Off"</formula>
    </cfRule>
    <cfRule type="cellIs" dxfId="14450" priority="15443" operator="equal">
      <formula>"CL-H"</formula>
    </cfRule>
    <cfRule type="cellIs" dxfId="14449" priority="15444" operator="equal">
      <formula>"EL-H"</formula>
    </cfRule>
    <cfRule type="cellIs" dxfId="14448" priority="15445" operator="equal">
      <formula>"CL"</formula>
    </cfRule>
    <cfRule type="cellIs" dxfId="14447" priority="15446" operator="equal">
      <formula>"EL"</formula>
    </cfRule>
  </conditionalFormatting>
  <conditionalFormatting sqref="AT17:AU17">
    <cfRule type="cellIs" dxfId="14446" priority="15435" operator="equal">
      <formula>"C-Off-H"</formula>
    </cfRule>
    <cfRule type="cellIs" dxfId="14445" priority="15436" operator="equal">
      <formula>"C-Off"</formula>
    </cfRule>
    <cfRule type="cellIs" dxfId="14444" priority="15437" operator="equal">
      <formula>"CL-H"</formula>
    </cfRule>
    <cfRule type="cellIs" dxfId="14443" priority="15438" operator="equal">
      <formula>"EL-H"</formula>
    </cfRule>
    <cfRule type="cellIs" dxfId="14442" priority="15439" operator="equal">
      <formula>"CL"</formula>
    </cfRule>
    <cfRule type="cellIs" dxfId="14441" priority="15440" operator="equal">
      <formula>"EL"</formula>
    </cfRule>
  </conditionalFormatting>
  <conditionalFormatting sqref="AT17:AU17">
    <cfRule type="containsText" dxfId="14440" priority="15429" operator="containsText" text="S">
      <formula>NOT(ISERROR(SEARCH("S",AT17)))</formula>
    </cfRule>
    <cfRule type="containsText" dxfId="14439" priority="15430" operator="containsText" text="P">
      <formula>NOT(ISERROR(SEARCH("P",AT17)))</formula>
    </cfRule>
    <cfRule type="containsText" dxfId="14438" priority="15431" operator="containsText" text="H">
      <formula>NOT(ISERROR(SEARCH("H",AT17)))</formula>
    </cfRule>
    <cfRule type="containsText" dxfId="14437" priority="15433" operator="containsText" text="&quot;H&quot;">
      <formula>NOT(ISERROR(SEARCH("""H""",AT17)))</formula>
    </cfRule>
    <cfRule type="containsText" dxfId="14436" priority="15434" operator="containsText" text="&quot;A&quot;">
      <formula>NOT(ISERROR(SEARCH("""A""",AT17)))</formula>
    </cfRule>
  </conditionalFormatting>
  <conditionalFormatting sqref="AT17:AU17">
    <cfRule type="containsText" dxfId="14435" priority="15432" operator="containsText" text="A-H">
      <formula>NOT(ISERROR(SEARCH("A-H",AT17)))</formula>
    </cfRule>
  </conditionalFormatting>
  <conditionalFormatting sqref="E17">
    <cfRule type="cellIs" dxfId="14434" priority="15423" operator="equal">
      <formula>"C-Off-H"</formula>
    </cfRule>
    <cfRule type="cellIs" dxfId="14433" priority="15424" operator="equal">
      <formula>"C-Off"</formula>
    </cfRule>
    <cfRule type="cellIs" dxfId="14432" priority="15425" operator="equal">
      <formula>"CL-H"</formula>
    </cfRule>
    <cfRule type="cellIs" dxfId="14431" priority="15426" operator="equal">
      <formula>"EL-H"</formula>
    </cfRule>
    <cfRule type="cellIs" dxfId="14430" priority="15427" operator="equal">
      <formula>"CL"</formula>
    </cfRule>
    <cfRule type="cellIs" dxfId="14429" priority="15428" operator="equal">
      <formula>"EL"</formula>
    </cfRule>
  </conditionalFormatting>
  <conditionalFormatting sqref="D17:E17">
    <cfRule type="cellIs" dxfId="14428" priority="15417" operator="equal">
      <formula>"C-Off-H"</formula>
    </cfRule>
    <cfRule type="cellIs" dxfId="14427" priority="15418" operator="equal">
      <formula>"C-Off"</formula>
    </cfRule>
    <cfRule type="cellIs" dxfId="14426" priority="15419" operator="equal">
      <formula>"CL-H"</formula>
    </cfRule>
    <cfRule type="cellIs" dxfId="14425" priority="15420" operator="equal">
      <formula>"EL-H"</formula>
    </cfRule>
    <cfRule type="cellIs" dxfId="14424" priority="15421" operator="equal">
      <formula>"CL"</formula>
    </cfRule>
    <cfRule type="cellIs" dxfId="14423" priority="15422" operator="equal">
      <formula>"EL"</formula>
    </cfRule>
  </conditionalFormatting>
  <conditionalFormatting sqref="D17:E17">
    <cfRule type="containsText" dxfId="14422" priority="15411" operator="containsText" text="S">
      <formula>NOT(ISERROR(SEARCH("S",D17)))</formula>
    </cfRule>
    <cfRule type="containsText" dxfId="14421" priority="15412" operator="containsText" text="P">
      <formula>NOT(ISERROR(SEARCH("P",D17)))</formula>
    </cfRule>
    <cfRule type="containsText" dxfId="14420" priority="15413" operator="containsText" text="H">
      <formula>NOT(ISERROR(SEARCH("H",D17)))</formula>
    </cfRule>
    <cfRule type="containsText" dxfId="14419" priority="15415" operator="containsText" text="&quot;H&quot;">
      <formula>NOT(ISERROR(SEARCH("""H""",D17)))</formula>
    </cfRule>
    <cfRule type="containsText" dxfId="14418" priority="15416" operator="containsText" text="&quot;A&quot;">
      <formula>NOT(ISERROR(SEARCH("""A""",D17)))</formula>
    </cfRule>
  </conditionalFormatting>
  <conditionalFormatting sqref="D17:E17">
    <cfRule type="containsText" dxfId="14417" priority="15414" operator="containsText" text="A-H">
      <formula>NOT(ISERROR(SEARCH("A-H",D17)))</formula>
    </cfRule>
  </conditionalFormatting>
  <conditionalFormatting sqref="Y17">
    <cfRule type="cellIs" dxfId="14416" priority="15405" operator="equal">
      <formula>"C-Off-H"</formula>
    </cfRule>
    <cfRule type="cellIs" dxfId="14415" priority="15406" operator="equal">
      <formula>"C-Off"</formula>
    </cfRule>
    <cfRule type="cellIs" dxfId="14414" priority="15407" operator="equal">
      <formula>"CL-H"</formula>
    </cfRule>
    <cfRule type="cellIs" dxfId="14413" priority="15408" operator="equal">
      <formula>"EL-H"</formula>
    </cfRule>
    <cfRule type="cellIs" dxfId="14412" priority="15409" operator="equal">
      <formula>"CL"</formula>
    </cfRule>
    <cfRule type="cellIs" dxfId="14411" priority="15410" operator="equal">
      <formula>"EL"</formula>
    </cfRule>
  </conditionalFormatting>
  <conditionalFormatting sqref="Y17">
    <cfRule type="containsText" dxfId="14410" priority="15399" operator="containsText" text="S">
      <formula>NOT(ISERROR(SEARCH("S",Y17)))</formula>
    </cfRule>
    <cfRule type="containsText" dxfId="14409" priority="15400" operator="containsText" text="P">
      <formula>NOT(ISERROR(SEARCH("P",Y17)))</formula>
    </cfRule>
    <cfRule type="containsText" dxfId="14408" priority="15401" operator="containsText" text="H">
      <formula>NOT(ISERROR(SEARCH("H",Y17)))</formula>
    </cfRule>
    <cfRule type="containsText" dxfId="14407" priority="15403" operator="containsText" text="&quot;H&quot;">
      <formula>NOT(ISERROR(SEARCH("""H""",Y17)))</formula>
    </cfRule>
    <cfRule type="containsText" dxfId="14406" priority="15404" operator="containsText" text="&quot;A&quot;">
      <formula>NOT(ISERROR(SEARCH("""A""",Y17)))</formula>
    </cfRule>
  </conditionalFormatting>
  <conditionalFormatting sqref="Y17">
    <cfRule type="containsText" dxfId="14405" priority="15402" operator="containsText" text="A-H">
      <formula>NOT(ISERROR(SEARCH("A-H",Y17)))</formula>
    </cfRule>
  </conditionalFormatting>
  <conditionalFormatting sqref="AF17">
    <cfRule type="cellIs" dxfId="14404" priority="15393" operator="equal">
      <formula>"C-Off-H"</formula>
    </cfRule>
    <cfRule type="cellIs" dxfId="14403" priority="15394" operator="equal">
      <formula>"C-Off"</formula>
    </cfRule>
    <cfRule type="cellIs" dxfId="14402" priority="15395" operator="equal">
      <formula>"CL-H"</formula>
    </cfRule>
    <cfRule type="cellIs" dxfId="14401" priority="15396" operator="equal">
      <formula>"EL-H"</formula>
    </cfRule>
    <cfRule type="cellIs" dxfId="14400" priority="15397" operator="equal">
      <formula>"CL"</formula>
    </cfRule>
    <cfRule type="cellIs" dxfId="14399" priority="15398" operator="equal">
      <formula>"EL"</formula>
    </cfRule>
  </conditionalFormatting>
  <conditionalFormatting sqref="AF17">
    <cfRule type="containsText" dxfId="14398" priority="15387" operator="containsText" text="S">
      <formula>NOT(ISERROR(SEARCH("S",AF17)))</formula>
    </cfRule>
    <cfRule type="containsText" dxfId="14397" priority="15388" operator="containsText" text="P">
      <formula>NOT(ISERROR(SEARCH("P",AF17)))</formula>
    </cfRule>
    <cfRule type="containsText" dxfId="14396" priority="15389" operator="containsText" text="H">
      <formula>NOT(ISERROR(SEARCH("H",AF17)))</formula>
    </cfRule>
    <cfRule type="containsText" dxfId="14395" priority="15391" operator="containsText" text="&quot;H&quot;">
      <formula>NOT(ISERROR(SEARCH("""H""",AF17)))</formula>
    </cfRule>
    <cfRule type="containsText" dxfId="14394" priority="15392" operator="containsText" text="&quot;A&quot;">
      <formula>NOT(ISERROR(SEARCH("""A""",AF17)))</formula>
    </cfRule>
  </conditionalFormatting>
  <conditionalFormatting sqref="AF17">
    <cfRule type="containsText" dxfId="14393" priority="15390" operator="containsText" text="A-H">
      <formula>NOT(ISERROR(SEARCH("A-H",AF17)))</formula>
    </cfRule>
  </conditionalFormatting>
  <conditionalFormatting sqref="BO17:BP17">
    <cfRule type="cellIs" dxfId="14392" priority="15381" operator="equal">
      <formula>"C-Off-H"</formula>
    </cfRule>
    <cfRule type="cellIs" dxfId="14391" priority="15382" operator="equal">
      <formula>"C-Off"</formula>
    </cfRule>
    <cfRule type="cellIs" dxfId="14390" priority="15383" operator="equal">
      <formula>"CL-H"</formula>
    </cfRule>
    <cfRule type="cellIs" dxfId="14389" priority="15384" operator="equal">
      <formula>"EL-H"</formula>
    </cfRule>
    <cfRule type="cellIs" dxfId="14388" priority="15385" operator="equal">
      <formula>"CL"</formula>
    </cfRule>
    <cfRule type="cellIs" dxfId="14387" priority="15386" operator="equal">
      <formula>"EL"</formula>
    </cfRule>
  </conditionalFormatting>
  <conditionalFormatting sqref="BO17:BP17">
    <cfRule type="cellIs" dxfId="14386" priority="15375" operator="equal">
      <formula>"C-Off-H"</formula>
    </cfRule>
    <cfRule type="cellIs" dxfId="14385" priority="15376" operator="equal">
      <formula>"C-Off"</formula>
    </cfRule>
    <cfRule type="cellIs" dxfId="14384" priority="15377" operator="equal">
      <formula>"CL-H"</formula>
    </cfRule>
    <cfRule type="cellIs" dxfId="14383" priority="15378" operator="equal">
      <formula>"EL-H"</formula>
    </cfRule>
    <cfRule type="cellIs" dxfId="14382" priority="15379" operator="equal">
      <formula>"CL"</formula>
    </cfRule>
    <cfRule type="cellIs" dxfId="14381" priority="15380" operator="equal">
      <formula>"EL"</formula>
    </cfRule>
  </conditionalFormatting>
  <conditionalFormatting sqref="BO17:BP17">
    <cfRule type="containsText" dxfId="14380" priority="15369" operator="containsText" text="S">
      <formula>NOT(ISERROR(SEARCH("S",BO17)))</formula>
    </cfRule>
    <cfRule type="containsText" dxfId="14379" priority="15370" operator="containsText" text="P">
      <formula>NOT(ISERROR(SEARCH("P",BO17)))</formula>
    </cfRule>
    <cfRule type="containsText" dxfId="14378" priority="15371" operator="containsText" text="H">
      <formula>NOT(ISERROR(SEARCH("H",BO17)))</formula>
    </cfRule>
    <cfRule type="containsText" dxfId="14377" priority="15373" operator="containsText" text="&quot;H&quot;">
      <formula>NOT(ISERROR(SEARCH("""H""",BO17)))</formula>
    </cfRule>
    <cfRule type="containsText" dxfId="14376" priority="15374" operator="containsText" text="&quot;A&quot;">
      <formula>NOT(ISERROR(SEARCH("""A""",BO17)))</formula>
    </cfRule>
  </conditionalFormatting>
  <conditionalFormatting sqref="BO17:BP17">
    <cfRule type="containsText" dxfId="14375" priority="15372" operator="containsText" text="A-H">
      <formula>NOT(ISERROR(SEARCH("A-H",BO17)))</formula>
    </cfRule>
  </conditionalFormatting>
  <conditionalFormatting sqref="CM17">
    <cfRule type="cellIs" dxfId="14374" priority="15363" operator="equal">
      <formula>"C-Off-H"</formula>
    </cfRule>
    <cfRule type="cellIs" dxfId="14373" priority="15364" operator="equal">
      <formula>"C-Off"</formula>
    </cfRule>
    <cfRule type="cellIs" dxfId="14372" priority="15365" operator="equal">
      <formula>"CL-H"</formula>
    </cfRule>
    <cfRule type="cellIs" dxfId="14371" priority="15366" operator="equal">
      <formula>"EL-H"</formula>
    </cfRule>
    <cfRule type="cellIs" dxfId="14370" priority="15367" operator="equal">
      <formula>"CL"</formula>
    </cfRule>
    <cfRule type="cellIs" dxfId="14369" priority="15368" operator="equal">
      <formula>"EL"</formula>
    </cfRule>
  </conditionalFormatting>
  <conditionalFormatting sqref="CM17">
    <cfRule type="cellIs" dxfId="14368" priority="15357" operator="equal">
      <formula>"C-Off-H"</formula>
    </cfRule>
    <cfRule type="cellIs" dxfId="14367" priority="15358" operator="equal">
      <formula>"C-Off"</formula>
    </cfRule>
    <cfRule type="cellIs" dxfId="14366" priority="15359" operator="equal">
      <formula>"CL-H"</formula>
    </cfRule>
    <cfRule type="cellIs" dxfId="14365" priority="15360" operator="equal">
      <formula>"EL-H"</formula>
    </cfRule>
    <cfRule type="cellIs" dxfId="14364" priority="15361" operator="equal">
      <formula>"CL"</formula>
    </cfRule>
    <cfRule type="cellIs" dxfId="14363" priority="15362" operator="equal">
      <formula>"EL"</formula>
    </cfRule>
  </conditionalFormatting>
  <conditionalFormatting sqref="CM17">
    <cfRule type="containsText" dxfId="14362" priority="15351" operator="containsText" text="S">
      <formula>NOT(ISERROR(SEARCH("S",CM17)))</formula>
    </cfRule>
    <cfRule type="containsText" dxfId="14361" priority="15352" operator="containsText" text="P">
      <formula>NOT(ISERROR(SEARCH("P",CM17)))</formula>
    </cfRule>
    <cfRule type="containsText" dxfId="14360" priority="15353" operator="containsText" text="H">
      <formula>NOT(ISERROR(SEARCH("H",CM17)))</formula>
    </cfRule>
    <cfRule type="containsText" dxfId="14359" priority="15355" operator="containsText" text="&quot;H&quot;">
      <formula>NOT(ISERROR(SEARCH("""H""",CM17)))</formula>
    </cfRule>
    <cfRule type="containsText" dxfId="14358" priority="15356" operator="containsText" text="&quot;A&quot;">
      <formula>NOT(ISERROR(SEARCH("""A""",CM17)))</formula>
    </cfRule>
  </conditionalFormatting>
  <conditionalFormatting sqref="CM17">
    <cfRule type="containsText" dxfId="14357" priority="15354" operator="containsText" text="A-H">
      <formula>NOT(ISERROR(SEARCH("A-H",CM17)))</formula>
    </cfRule>
  </conditionalFormatting>
  <conditionalFormatting sqref="V17:W17">
    <cfRule type="cellIs" dxfId="14356" priority="15321" operator="equal">
      <formula>"C-Off-H"</formula>
    </cfRule>
    <cfRule type="cellIs" dxfId="14355" priority="15322" operator="equal">
      <formula>"C-Off"</formula>
    </cfRule>
    <cfRule type="cellIs" dxfId="14354" priority="15323" operator="equal">
      <formula>"CL-H"</formula>
    </cfRule>
    <cfRule type="cellIs" dxfId="14353" priority="15324" operator="equal">
      <formula>"EL-H"</formula>
    </cfRule>
    <cfRule type="cellIs" dxfId="14352" priority="15325" operator="equal">
      <formula>"CL"</formula>
    </cfRule>
    <cfRule type="cellIs" dxfId="14351" priority="15326" operator="equal">
      <formula>"EL"</formula>
    </cfRule>
  </conditionalFormatting>
  <conditionalFormatting sqref="V17:W17">
    <cfRule type="containsText" dxfId="14350" priority="15315" operator="containsText" text="S">
      <formula>NOT(ISERROR(SEARCH("S",V17)))</formula>
    </cfRule>
    <cfRule type="containsText" dxfId="14349" priority="15316" operator="containsText" text="P">
      <formula>NOT(ISERROR(SEARCH("P",V17)))</formula>
    </cfRule>
    <cfRule type="containsText" dxfId="14348" priority="15317" operator="containsText" text="H">
      <formula>NOT(ISERROR(SEARCH("H",V17)))</formula>
    </cfRule>
    <cfRule type="containsText" dxfId="14347" priority="15319" operator="containsText" text="&quot;H&quot;">
      <formula>NOT(ISERROR(SEARCH("""H""",V17)))</formula>
    </cfRule>
    <cfRule type="containsText" dxfId="14346" priority="15320" operator="containsText" text="&quot;A&quot;">
      <formula>NOT(ISERROR(SEARCH("""A""",V17)))</formula>
    </cfRule>
  </conditionalFormatting>
  <conditionalFormatting sqref="V17:W17">
    <cfRule type="containsText" dxfId="14345" priority="15318" operator="containsText" text="A-H">
      <formula>NOT(ISERROR(SEARCH("A-H",V17)))</formula>
    </cfRule>
  </conditionalFormatting>
  <conditionalFormatting sqref="P17:Q17">
    <cfRule type="cellIs" dxfId="14344" priority="15345" operator="equal">
      <formula>"C-Off-H"</formula>
    </cfRule>
    <cfRule type="cellIs" dxfId="14343" priority="15346" operator="equal">
      <formula>"C-Off"</formula>
    </cfRule>
    <cfRule type="cellIs" dxfId="14342" priority="15347" operator="equal">
      <formula>"CL-H"</formula>
    </cfRule>
    <cfRule type="cellIs" dxfId="14341" priority="15348" operator="equal">
      <formula>"EL-H"</formula>
    </cfRule>
    <cfRule type="cellIs" dxfId="14340" priority="15349" operator="equal">
      <formula>"CL"</formula>
    </cfRule>
    <cfRule type="cellIs" dxfId="14339" priority="15350" operator="equal">
      <formula>"EL"</formula>
    </cfRule>
  </conditionalFormatting>
  <conditionalFormatting sqref="P17:Q17">
    <cfRule type="containsText" dxfId="14338" priority="15339" operator="containsText" text="S">
      <formula>NOT(ISERROR(SEARCH("S",P17)))</formula>
    </cfRule>
    <cfRule type="containsText" dxfId="14337" priority="15340" operator="containsText" text="P">
      <formula>NOT(ISERROR(SEARCH("P",P17)))</formula>
    </cfRule>
    <cfRule type="containsText" dxfId="14336" priority="15341" operator="containsText" text="H">
      <formula>NOT(ISERROR(SEARCH("H",P17)))</formula>
    </cfRule>
    <cfRule type="containsText" dxfId="14335" priority="15343" operator="containsText" text="&quot;H&quot;">
      <formula>NOT(ISERROR(SEARCH("""H""",P17)))</formula>
    </cfRule>
    <cfRule type="containsText" dxfId="14334" priority="15344" operator="containsText" text="&quot;A&quot;">
      <formula>NOT(ISERROR(SEARCH("""A""",P17)))</formula>
    </cfRule>
  </conditionalFormatting>
  <conditionalFormatting sqref="P17:Q17">
    <cfRule type="containsText" dxfId="14333" priority="15342" operator="containsText" text="A-H">
      <formula>NOT(ISERROR(SEARCH("A-H",P17)))</formula>
    </cfRule>
  </conditionalFormatting>
  <conditionalFormatting sqref="S17:T17">
    <cfRule type="cellIs" dxfId="14332" priority="15333" operator="equal">
      <formula>"C-Off-H"</formula>
    </cfRule>
    <cfRule type="cellIs" dxfId="14331" priority="15334" operator="equal">
      <formula>"C-Off"</formula>
    </cfRule>
    <cfRule type="cellIs" dxfId="14330" priority="15335" operator="equal">
      <formula>"CL-H"</formula>
    </cfRule>
    <cfRule type="cellIs" dxfId="14329" priority="15336" operator="equal">
      <formula>"EL-H"</formula>
    </cfRule>
    <cfRule type="cellIs" dxfId="14328" priority="15337" operator="equal">
      <formula>"CL"</formula>
    </cfRule>
    <cfRule type="cellIs" dxfId="14327" priority="15338" operator="equal">
      <formula>"EL"</formula>
    </cfRule>
  </conditionalFormatting>
  <conditionalFormatting sqref="S17:T17">
    <cfRule type="containsText" dxfId="14326" priority="15327" operator="containsText" text="S">
      <formula>NOT(ISERROR(SEARCH("S",S17)))</formula>
    </cfRule>
    <cfRule type="containsText" dxfId="14325" priority="15328" operator="containsText" text="P">
      <formula>NOT(ISERROR(SEARCH("P",S17)))</formula>
    </cfRule>
    <cfRule type="containsText" dxfId="14324" priority="15329" operator="containsText" text="H">
      <formula>NOT(ISERROR(SEARCH("H",S17)))</formula>
    </cfRule>
    <cfRule type="containsText" dxfId="14323" priority="15331" operator="containsText" text="&quot;H&quot;">
      <formula>NOT(ISERROR(SEARCH("""H""",S17)))</formula>
    </cfRule>
    <cfRule type="containsText" dxfId="14322" priority="15332" operator="containsText" text="&quot;A&quot;">
      <formula>NOT(ISERROR(SEARCH("""A""",S17)))</formula>
    </cfRule>
  </conditionalFormatting>
  <conditionalFormatting sqref="S17:T17">
    <cfRule type="containsText" dxfId="14321" priority="15330" operator="containsText" text="A-H">
      <formula>NOT(ISERROR(SEARCH("A-H",S17)))</formula>
    </cfRule>
  </conditionalFormatting>
  <conditionalFormatting sqref="AB17:AC17">
    <cfRule type="cellIs" dxfId="14320" priority="15309" operator="equal">
      <formula>"C-Off-H"</formula>
    </cfRule>
    <cfRule type="cellIs" dxfId="14319" priority="15310" operator="equal">
      <formula>"C-Off"</formula>
    </cfRule>
    <cfRule type="cellIs" dxfId="14318" priority="15311" operator="equal">
      <formula>"CL-H"</formula>
    </cfRule>
    <cfRule type="cellIs" dxfId="14317" priority="15312" operator="equal">
      <formula>"EL-H"</formula>
    </cfRule>
    <cfRule type="cellIs" dxfId="14316" priority="15313" operator="equal">
      <formula>"CL"</formula>
    </cfRule>
    <cfRule type="cellIs" dxfId="14315" priority="15314" operator="equal">
      <formula>"EL"</formula>
    </cfRule>
  </conditionalFormatting>
  <conditionalFormatting sqref="AB17:AC17">
    <cfRule type="containsText" dxfId="14314" priority="15303" operator="containsText" text="S">
      <formula>NOT(ISERROR(SEARCH("S",AB17)))</formula>
    </cfRule>
    <cfRule type="containsText" dxfId="14313" priority="15304" operator="containsText" text="P">
      <formula>NOT(ISERROR(SEARCH("P",AB17)))</formula>
    </cfRule>
    <cfRule type="containsText" dxfId="14312" priority="15305" operator="containsText" text="H">
      <formula>NOT(ISERROR(SEARCH("H",AB17)))</formula>
    </cfRule>
    <cfRule type="containsText" dxfId="14311" priority="15307" operator="containsText" text="&quot;H&quot;">
      <formula>NOT(ISERROR(SEARCH("""H""",AB17)))</formula>
    </cfRule>
    <cfRule type="containsText" dxfId="14310" priority="15308" operator="containsText" text="&quot;A&quot;">
      <formula>NOT(ISERROR(SEARCH("""A""",AB17)))</formula>
    </cfRule>
  </conditionalFormatting>
  <conditionalFormatting sqref="AB17:AC17">
    <cfRule type="containsText" dxfId="14309" priority="15306" operator="containsText" text="A-H">
      <formula>NOT(ISERROR(SEARCH("A-H",AB17)))</formula>
    </cfRule>
  </conditionalFormatting>
  <conditionalFormatting sqref="AE17">
    <cfRule type="cellIs" dxfId="14308" priority="15297" operator="equal">
      <formula>"C-Off-H"</formula>
    </cfRule>
    <cfRule type="cellIs" dxfId="14307" priority="15298" operator="equal">
      <formula>"C-Off"</formula>
    </cfRule>
    <cfRule type="cellIs" dxfId="14306" priority="15299" operator="equal">
      <formula>"CL-H"</formula>
    </cfRule>
    <cfRule type="cellIs" dxfId="14305" priority="15300" operator="equal">
      <formula>"EL-H"</formula>
    </cfRule>
    <cfRule type="cellIs" dxfId="14304" priority="15301" operator="equal">
      <formula>"CL"</formula>
    </cfRule>
    <cfRule type="cellIs" dxfId="14303" priority="15302" operator="equal">
      <formula>"EL"</formula>
    </cfRule>
  </conditionalFormatting>
  <conditionalFormatting sqref="AE17">
    <cfRule type="containsText" dxfId="14302" priority="15291" operator="containsText" text="S">
      <formula>NOT(ISERROR(SEARCH("S",AE17)))</formula>
    </cfRule>
    <cfRule type="containsText" dxfId="14301" priority="15292" operator="containsText" text="P">
      <formula>NOT(ISERROR(SEARCH("P",AE17)))</formula>
    </cfRule>
    <cfRule type="containsText" dxfId="14300" priority="15293" operator="containsText" text="H">
      <formula>NOT(ISERROR(SEARCH("H",AE17)))</formula>
    </cfRule>
    <cfRule type="containsText" dxfId="14299" priority="15295" operator="containsText" text="&quot;H&quot;">
      <formula>NOT(ISERROR(SEARCH("""H""",AE17)))</formula>
    </cfRule>
    <cfRule type="containsText" dxfId="14298" priority="15296" operator="containsText" text="&quot;A&quot;">
      <formula>NOT(ISERROR(SEARCH("""A""",AE17)))</formula>
    </cfRule>
  </conditionalFormatting>
  <conditionalFormatting sqref="AE17">
    <cfRule type="containsText" dxfId="14297" priority="15294" operator="containsText" text="A-H">
      <formula>NOT(ISERROR(SEARCH("A-H",AE17)))</formula>
    </cfRule>
  </conditionalFormatting>
  <conditionalFormatting sqref="AK17:AL17">
    <cfRule type="cellIs" dxfId="14296" priority="15285" operator="equal">
      <formula>"C-Off-H"</formula>
    </cfRule>
    <cfRule type="cellIs" dxfId="14295" priority="15286" operator="equal">
      <formula>"C-Off"</formula>
    </cfRule>
    <cfRule type="cellIs" dxfId="14294" priority="15287" operator="equal">
      <formula>"CL-H"</formula>
    </cfRule>
    <cfRule type="cellIs" dxfId="14293" priority="15288" operator="equal">
      <formula>"EL-H"</formula>
    </cfRule>
    <cfRule type="cellIs" dxfId="14292" priority="15289" operator="equal">
      <formula>"CL"</formula>
    </cfRule>
    <cfRule type="cellIs" dxfId="14291" priority="15290" operator="equal">
      <formula>"EL"</formula>
    </cfRule>
  </conditionalFormatting>
  <conditionalFormatting sqref="AK17:AL17">
    <cfRule type="containsText" dxfId="14290" priority="15279" operator="containsText" text="S">
      <formula>NOT(ISERROR(SEARCH("S",AK17)))</formula>
    </cfRule>
    <cfRule type="containsText" dxfId="14289" priority="15280" operator="containsText" text="P">
      <formula>NOT(ISERROR(SEARCH("P",AK17)))</formula>
    </cfRule>
    <cfRule type="containsText" dxfId="14288" priority="15281" operator="containsText" text="H">
      <formula>NOT(ISERROR(SEARCH("H",AK17)))</formula>
    </cfRule>
    <cfRule type="containsText" dxfId="14287" priority="15283" operator="containsText" text="&quot;H&quot;">
      <formula>NOT(ISERROR(SEARCH("""H""",AK17)))</formula>
    </cfRule>
    <cfRule type="containsText" dxfId="14286" priority="15284" operator="containsText" text="&quot;A&quot;">
      <formula>NOT(ISERROR(SEARCH("""A""",AK17)))</formula>
    </cfRule>
  </conditionalFormatting>
  <conditionalFormatting sqref="AK17:AL17">
    <cfRule type="containsText" dxfId="14285" priority="15282" operator="containsText" text="A-H">
      <formula>NOT(ISERROR(SEARCH("A-H",AK17)))</formula>
    </cfRule>
  </conditionalFormatting>
  <conditionalFormatting sqref="AN17:AO17">
    <cfRule type="cellIs" dxfId="14284" priority="15273" operator="equal">
      <formula>"C-Off-H"</formula>
    </cfRule>
    <cfRule type="cellIs" dxfId="14283" priority="15274" operator="equal">
      <formula>"C-Off"</formula>
    </cfRule>
    <cfRule type="cellIs" dxfId="14282" priority="15275" operator="equal">
      <formula>"CL-H"</formula>
    </cfRule>
    <cfRule type="cellIs" dxfId="14281" priority="15276" operator="equal">
      <formula>"EL-H"</formula>
    </cfRule>
    <cfRule type="cellIs" dxfId="14280" priority="15277" operator="equal">
      <formula>"CL"</formula>
    </cfRule>
    <cfRule type="cellIs" dxfId="14279" priority="15278" operator="equal">
      <formula>"EL"</formula>
    </cfRule>
  </conditionalFormatting>
  <conditionalFormatting sqref="AN17:AO17">
    <cfRule type="containsText" dxfId="14278" priority="15267" operator="containsText" text="S">
      <formula>NOT(ISERROR(SEARCH("S",AN17)))</formula>
    </cfRule>
    <cfRule type="containsText" dxfId="14277" priority="15268" operator="containsText" text="P">
      <formula>NOT(ISERROR(SEARCH("P",AN17)))</formula>
    </cfRule>
    <cfRule type="containsText" dxfId="14276" priority="15269" operator="containsText" text="H">
      <formula>NOT(ISERROR(SEARCH("H",AN17)))</formula>
    </cfRule>
    <cfRule type="containsText" dxfId="14275" priority="15271" operator="containsText" text="&quot;H&quot;">
      <formula>NOT(ISERROR(SEARCH("""H""",AN17)))</formula>
    </cfRule>
    <cfRule type="containsText" dxfId="14274" priority="15272" operator="containsText" text="&quot;A&quot;">
      <formula>NOT(ISERROR(SEARCH("""A""",AN17)))</formula>
    </cfRule>
  </conditionalFormatting>
  <conditionalFormatting sqref="AN17:AO17">
    <cfRule type="containsText" dxfId="14273" priority="15270" operator="containsText" text="A-H">
      <formula>NOT(ISERROR(SEARCH("A-H",AN17)))</formula>
    </cfRule>
  </conditionalFormatting>
  <conditionalFormatting sqref="AQ17:AR17">
    <cfRule type="cellIs" dxfId="14272" priority="15261" operator="equal">
      <formula>"C-Off-H"</formula>
    </cfRule>
    <cfRule type="cellIs" dxfId="14271" priority="15262" operator="equal">
      <formula>"C-Off"</formula>
    </cfRule>
    <cfRule type="cellIs" dxfId="14270" priority="15263" operator="equal">
      <formula>"CL-H"</formula>
    </cfRule>
    <cfRule type="cellIs" dxfId="14269" priority="15264" operator="equal">
      <formula>"EL-H"</formula>
    </cfRule>
    <cfRule type="cellIs" dxfId="14268" priority="15265" operator="equal">
      <formula>"CL"</formula>
    </cfRule>
    <cfRule type="cellIs" dxfId="14267" priority="15266" operator="equal">
      <formula>"EL"</formula>
    </cfRule>
  </conditionalFormatting>
  <conditionalFormatting sqref="AQ17:AR17">
    <cfRule type="containsText" dxfId="14266" priority="15255" operator="containsText" text="S">
      <formula>NOT(ISERROR(SEARCH("S",AQ17)))</formula>
    </cfRule>
    <cfRule type="containsText" dxfId="14265" priority="15256" operator="containsText" text="P">
      <formula>NOT(ISERROR(SEARCH("P",AQ17)))</formula>
    </cfRule>
    <cfRule type="containsText" dxfId="14264" priority="15257" operator="containsText" text="H">
      <formula>NOT(ISERROR(SEARCH("H",AQ17)))</formula>
    </cfRule>
    <cfRule type="containsText" dxfId="14263" priority="15259" operator="containsText" text="&quot;H&quot;">
      <formula>NOT(ISERROR(SEARCH("""H""",AQ17)))</formula>
    </cfRule>
    <cfRule type="containsText" dxfId="14262" priority="15260" operator="containsText" text="&quot;A&quot;">
      <formula>NOT(ISERROR(SEARCH("""A""",AQ17)))</formula>
    </cfRule>
  </conditionalFormatting>
  <conditionalFormatting sqref="AQ17:AR17">
    <cfRule type="containsText" dxfId="14261" priority="15258" operator="containsText" text="A-H">
      <formula>NOT(ISERROR(SEARCH("A-H",AQ17)))</formula>
    </cfRule>
  </conditionalFormatting>
  <conditionalFormatting sqref="AW17:AX17">
    <cfRule type="cellIs" dxfId="14260" priority="15249" operator="equal">
      <formula>"C-Off-H"</formula>
    </cfRule>
    <cfRule type="cellIs" dxfId="14259" priority="15250" operator="equal">
      <formula>"C-Off"</formula>
    </cfRule>
    <cfRule type="cellIs" dxfId="14258" priority="15251" operator="equal">
      <formula>"CL-H"</formula>
    </cfRule>
    <cfRule type="cellIs" dxfId="14257" priority="15252" operator="equal">
      <formula>"EL-H"</formula>
    </cfRule>
    <cfRule type="cellIs" dxfId="14256" priority="15253" operator="equal">
      <formula>"CL"</formula>
    </cfRule>
    <cfRule type="cellIs" dxfId="14255" priority="15254" operator="equal">
      <formula>"EL"</formula>
    </cfRule>
  </conditionalFormatting>
  <conditionalFormatting sqref="AW17:AX17">
    <cfRule type="containsText" dxfId="14254" priority="15243" operator="containsText" text="S">
      <formula>NOT(ISERROR(SEARCH("S",AW17)))</formula>
    </cfRule>
    <cfRule type="containsText" dxfId="14253" priority="15244" operator="containsText" text="P">
      <formula>NOT(ISERROR(SEARCH("P",AW17)))</formula>
    </cfRule>
    <cfRule type="containsText" dxfId="14252" priority="15245" operator="containsText" text="H">
      <formula>NOT(ISERROR(SEARCH("H",AW17)))</formula>
    </cfRule>
    <cfRule type="containsText" dxfId="14251" priority="15247" operator="containsText" text="&quot;H&quot;">
      <formula>NOT(ISERROR(SEARCH("""H""",AW17)))</formula>
    </cfRule>
    <cfRule type="containsText" dxfId="14250" priority="15248" operator="containsText" text="&quot;A&quot;">
      <formula>NOT(ISERROR(SEARCH("""A""",AW17)))</formula>
    </cfRule>
  </conditionalFormatting>
  <conditionalFormatting sqref="AW17:AX17">
    <cfRule type="containsText" dxfId="14249" priority="15246" operator="containsText" text="A-H">
      <formula>NOT(ISERROR(SEARCH("A-H",AW17)))</formula>
    </cfRule>
  </conditionalFormatting>
  <conditionalFormatting sqref="AZ17:BA17">
    <cfRule type="cellIs" dxfId="14248" priority="15237" operator="equal">
      <formula>"C-Off-H"</formula>
    </cfRule>
    <cfRule type="cellIs" dxfId="14247" priority="15238" operator="equal">
      <formula>"C-Off"</formula>
    </cfRule>
    <cfRule type="cellIs" dxfId="14246" priority="15239" operator="equal">
      <formula>"CL-H"</formula>
    </cfRule>
    <cfRule type="cellIs" dxfId="14245" priority="15240" operator="equal">
      <formula>"EL-H"</formula>
    </cfRule>
    <cfRule type="cellIs" dxfId="14244" priority="15241" operator="equal">
      <formula>"CL"</formula>
    </cfRule>
    <cfRule type="cellIs" dxfId="14243" priority="15242" operator="equal">
      <formula>"EL"</formula>
    </cfRule>
  </conditionalFormatting>
  <conditionalFormatting sqref="AZ17:BA17">
    <cfRule type="containsText" dxfId="14242" priority="15231" operator="containsText" text="S">
      <formula>NOT(ISERROR(SEARCH("S",AZ17)))</formula>
    </cfRule>
    <cfRule type="containsText" dxfId="14241" priority="15232" operator="containsText" text="P">
      <formula>NOT(ISERROR(SEARCH("P",AZ17)))</formula>
    </cfRule>
    <cfRule type="containsText" dxfId="14240" priority="15233" operator="containsText" text="H">
      <formula>NOT(ISERROR(SEARCH("H",AZ17)))</formula>
    </cfRule>
    <cfRule type="containsText" dxfId="14239" priority="15235" operator="containsText" text="&quot;H&quot;">
      <formula>NOT(ISERROR(SEARCH("""H""",AZ17)))</formula>
    </cfRule>
    <cfRule type="containsText" dxfId="14238" priority="15236" operator="containsText" text="&quot;A&quot;">
      <formula>NOT(ISERROR(SEARCH("""A""",AZ17)))</formula>
    </cfRule>
  </conditionalFormatting>
  <conditionalFormatting sqref="AZ17:BA17">
    <cfRule type="containsText" dxfId="14237" priority="15234" operator="containsText" text="A-H">
      <formula>NOT(ISERROR(SEARCH("A-H",AZ17)))</formula>
    </cfRule>
  </conditionalFormatting>
  <conditionalFormatting sqref="BC17:BD17">
    <cfRule type="cellIs" dxfId="14236" priority="15225" operator="equal">
      <formula>"C-Off-H"</formula>
    </cfRule>
    <cfRule type="cellIs" dxfId="14235" priority="15226" operator="equal">
      <formula>"C-Off"</formula>
    </cfRule>
    <cfRule type="cellIs" dxfId="14234" priority="15227" operator="equal">
      <formula>"CL-H"</formula>
    </cfRule>
    <cfRule type="cellIs" dxfId="14233" priority="15228" operator="equal">
      <formula>"EL-H"</formula>
    </cfRule>
    <cfRule type="cellIs" dxfId="14232" priority="15229" operator="equal">
      <formula>"CL"</formula>
    </cfRule>
    <cfRule type="cellIs" dxfId="14231" priority="15230" operator="equal">
      <formula>"EL"</formula>
    </cfRule>
  </conditionalFormatting>
  <conditionalFormatting sqref="BC17:BD17">
    <cfRule type="containsText" dxfId="14230" priority="15219" operator="containsText" text="S">
      <formula>NOT(ISERROR(SEARCH("S",BC17)))</formula>
    </cfRule>
    <cfRule type="containsText" dxfId="14229" priority="15220" operator="containsText" text="P">
      <formula>NOT(ISERROR(SEARCH("P",BC17)))</formula>
    </cfRule>
    <cfRule type="containsText" dxfId="14228" priority="15221" operator="containsText" text="H">
      <formula>NOT(ISERROR(SEARCH("H",BC17)))</formula>
    </cfRule>
    <cfRule type="containsText" dxfId="14227" priority="15223" operator="containsText" text="&quot;H&quot;">
      <formula>NOT(ISERROR(SEARCH("""H""",BC17)))</formula>
    </cfRule>
    <cfRule type="containsText" dxfId="14226" priority="15224" operator="containsText" text="&quot;A&quot;">
      <formula>NOT(ISERROR(SEARCH("""A""",BC17)))</formula>
    </cfRule>
  </conditionalFormatting>
  <conditionalFormatting sqref="BC17:BD17">
    <cfRule type="containsText" dxfId="14225" priority="15222" operator="containsText" text="A-H">
      <formula>NOT(ISERROR(SEARCH("A-H",BC17)))</formula>
    </cfRule>
  </conditionalFormatting>
  <conditionalFormatting sqref="BF17:BG17">
    <cfRule type="cellIs" dxfId="14224" priority="15213" operator="equal">
      <formula>"C-Off-H"</formula>
    </cfRule>
    <cfRule type="cellIs" dxfId="14223" priority="15214" operator="equal">
      <formula>"C-Off"</formula>
    </cfRule>
    <cfRule type="cellIs" dxfId="14222" priority="15215" operator="equal">
      <formula>"CL-H"</formula>
    </cfRule>
    <cfRule type="cellIs" dxfId="14221" priority="15216" operator="equal">
      <formula>"EL-H"</formula>
    </cfRule>
    <cfRule type="cellIs" dxfId="14220" priority="15217" operator="equal">
      <formula>"CL"</formula>
    </cfRule>
    <cfRule type="cellIs" dxfId="14219" priority="15218" operator="equal">
      <formula>"EL"</formula>
    </cfRule>
  </conditionalFormatting>
  <conditionalFormatting sqref="BF17:BG17">
    <cfRule type="containsText" dxfId="14218" priority="15207" operator="containsText" text="S">
      <formula>NOT(ISERROR(SEARCH("S",BF17)))</formula>
    </cfRule>
    <cfRule type="containsText" dxfId="14217" priority="15208" operator="containsText" text="P">
      <formula>NOT(ISERROR(SEARCH("P",BF17)))</formula>
    </cfRule>
    <cfRule type="containsText" dxfId="14216" priority="15209" operator="containsText" text="H">
      <formula>NOT(ISERROR(SEARCH("H",BF17)))</formula>
    </cfRule>
    <cfRule type="containsText" dxfId="14215" priority="15211" operator="containsText" text="&quot;H&quot;">
      <formula>NOT(ISERROR(SEARCH("""H""",BF17)))</formula>
    </cfRule>
    <cfRule type="containsText" dxfId="14214" priority="15212" operator="containsText" text="&quot;A&quot;">
      <formula>NOT(ISERROR(SEARCH("""A""",BF17)))</formula>
    </cfRule>
  </conditionalFormatting>
  <conditionalFormatting sqref="BF17:BG17">
    <cfRule type="containsText" dxfId="14213" priority="15210" operator="containsText" text="A-H">
      <formula>NOT(ISERROR(SEARCH("A-H",BF17)))</formula>
    </cfRule>
  </conditionalFormatting>
  <conditionalFormatting sqref="BI17:BJ17">
    <cfRule type="cellIs" dxfId="14212" priority="15201" operator="equal">
      <formula>"C-Off-H"</formula>
    </cfRule>
    <cfRule type="cellIs" dxfId="14211" priority="15202" operator="equal">
      <formula>"C-Off"</formula>
    </cfRule>
    <cfRule type="cellIs" dxfId="14210" priority="15203" operator="equal">
      <formula>"CL-H"</formula>
    </cfRule>
    <cfRule type="cellIs" dxfId="14209" priority="15204" operator="equal">
      <formula>"EL-H"</formula>
    </cfRule>
    <cfRule type="cellIs" dxfId="14208" priority="15205" operator="equal">
      <formula>"CL"</formula>
    </cfRule>
    <cfRule type="cellIs" dxfId="14207" priority="15206" operator="equal">
      <formula>"EL"</formula>
    </cfRule>
  </conditionalFormatting>
  <conditionalFormatting sqref="BI17:BJ17">
    <cfRule type="containsText" dxfId="14206" priority="15195" operator="containsText" text="S">
      <formula>NOT(ISERROR(SEARCH("S",BI17)))</formula>
    </cfRule>
    <cfRule type="containsText" dxfId="14205" priority="15196" operator="containsText" text="P">
      <formula>NOT(ISERROR(SEARCH("P",BI17)))</formula>
    </cfRule>
    <cfRule type="containsText" dxfId="14204" priority="15197" operator="containsText" text="H">
      <formula>NOT(ISERROR(SEARCH("H",BI17)))</formula>
    </cfRule>
    <cfRule type="containsText" dxfId="14203" priority="15199" operator="containsText" text="&quot;H&quot;">
      <formula>NOT(ISERROR(SEARCH("""H""",BI17)))</formula>
    </cfRule>
    <cfRule type="containsText" dxfId="14202" priority="15200" operator="containsText" text="&quot;A&quot;">
      <formula>NOT(ISERROR(SEARCH("""A""",BI17)))</formula>
    </cfRule>
  </conditionalFormatting>
  <conditionalFormatting sqref="BI17:BJ17">
    <cfRule type="containsText" dxfId="14201" priority="15198" operator="containsText" text="A-H">
      <formula>NOT(ISERROR(SEARCH("A-H",BI17)))</formula>
    </cfRule>
  </conditionalFormatting>
  <conditionalFormatting sqref="BL17:BM17">
    <cfRule type="cellIs" dxfId="14200" priority="15189" operator="equal">
      <formula>"C-Off-H"</formula>
    </cfRule>
    <cfRule type="cellIs" dxfId="14199" priority="15190" operator="equal">
      <formula>"C-Off"</formula>
    </cfRule>
    <cfRule type="cellIs" dxfId="14198" priority="15191" operator="equal">
      <formula>"CL-H"</formula>
    </cfRule>
    <cfRule type="cellIs" dxfId="14197" priority="15192" operator="equal">
      <formula>"EL-H"</formula>
    </cfRule>
    <cfRule type="cellIs" dxfId="14196" priority="15193" operator="equal">
      <formula>"CL"</formula>
    </cfRule>
    <cfRule type="cellIs" dxfId="14195" priority="15194" operator="equal">
      <formula>"EL"</formula>
    </cfRule>
  </conditionalFormatting>
  <conditionalFormatting sqref="BL17:BM17">
    <cfRule type="containsText" dxfId="14194" priority="15183" operator="containsText" text="S">
      <formula>NOT(ISERROR(SEARCH("S",BL17)))</formula>
    </cfRule>
    <cfRule type="containsText" dxfId="14193" priority="15184" operator="containsText" text="P">
      <formula>NOT(ISERROR(SEARCH("P",BL17)))</formula>
    </cfRule>
    <cfRule type="containsText" dxfId="14192" priority="15185" operator="containsText" text="H">
      <formula>NOT(ISERROR(SEARCH("H",BL17)))</formula>
    </cfRule>
    <cfRule type="containsText" dxfId="14191" priority="15187" operator="containsText" text="&quot;H&quot;">
      <formula>NOT(ISERROR(SEARCH("""H""",BL17)))</formula>
    </cfRule>
    <cfRule type="containsText" dxfId="14190" priority="15188" operator="containsText" text="&quot;A&quot;">
      <formula>NOT(ISERROR(SEARCH("""A""",BL17)))</formula>
    </cfRule>
  </conditionalFormatting>
  <conditionalFormatting sqref="BL17:BM17">
    <cfRule type="containsText" dxfId="14189" priority="15186" operator="containsText" text="A-H">
      <formula>NOT(ISERROR(SEARCH("A-H",BL17)))</formula>
    </cfRule>
  </conditionalFormatting>
  <conditionalFormatting sqref="BR17:BS17">
    <cfRule type="cellIs" dxfId="14188" priority="15177" operator="equal">
      <formula>"C-Off-H"</formula>
    </cfRule>
    <cfRule type="cellIs" dxfId="14187" priority="15178" operator="equal">
      <formula>"C-Off"</formula>
    </cfRule>
    <cfRule type="cellIs" dxfId="14186" priority="15179" operator="equal">
      <formula>"CL-H"</formula>
    </cfRule>
    <cfRule type="cellIs" dxfId="14185" priority="15180" operator="equal">
      <formula>"EL-H"</formula>
    </cfRule>
    <cfRule type="cellIs" dxfId="14184" priority="15181" operator="equal">
      <formula>"CL"</formula>
    </cfRule>
    <cfRule type="cellIs" dxfId="14183" priority="15182" operator="equal">
      <formula>"EL"</formula>
    </cfRule>
  </conditionalFormatting>
  <conditionalFormatting sqref="BR17:BS17">
    <cfRule type="containsText" dxfId="14182" priority="15171" operator="containsText" text="S">
      <formula>NOT(ISERROR(SEARCH("S",BR17)))</formula>
    </cfRule>
    <cfRule type="containsText" dxfId="14181" priority="15172" operator="containsText" text="P">
      <formula>NOT(ISERROR(SEARCH("P",BR17)))</formula>
    </cfRule>
    <cfRule type="containsText" dxfId="14180" priority="15173" operator="containsText" text="H">
      <formula>NOT(ISERROR(SEARCH("H",BR17)))</formula>
    </cfRule>
    <cfRule type="containsText" dxfId="14179" priority="15175" operator="containsText" text="&quot;H&quot;">
      <formula>NOT(ISERROR(SEARCH("""H""",BR17)))</formula>
    </cfRule>
    <cfRule type="containsText" dxfId="14178" priority="15176" operator="containsText" text="&quot;A&quot;">
      <formula>NOT(ISERROR(SEARCH("""A""",BR17)))</formula>
    </cfRule>
  </conditionalFormatting>
  <conditionalFormatting sqref="BR17:BS17">
    <cfRule type="containsText" dxfId="14177" priority="15174" operator="containsText" text="A-H">
      <formula>NOT(ISERROR(SEARCH("A-H",BR17)))</formula>
    </cfRule>
  </conditionalFormatting>
  <conditionalFormatting sqref="BU17:BV17">
    <cfRule type="cellIs" dxfId="14176" priority="15165" operator="equal">
      <formula>"C-Off-H"</formula>
    </cfRule>
    <cfRule type="cellIs" dxfId="14175" priority="15166" operator="equal">
      <formula>"C-Off"</formula>
    </cfRule>
    <cfRule type="cellIs" dxfId="14174" priority="15167" operator="equal">
      <formula>"CL-H"</formula>
    </cfRule>
    <cfRule type="cellIs" dxfId="14173" priority="15168" operator="equal">
      <formula>"EL-H"</formula>
    </cfRule>
    <cfRule type="cellIs" dxfId="14172" priority="15169" operator="equal">
      <formula>"CL"</formula>
    </cfRule>
    <cfRule type="cellIs" dxfId="14171" priority="15170" operator="equal">
      <formula>"EL"</formula>
    </cfRule>
  </conditionalFormatting>
  <conditionalFormatting sqref="BU17:BV17">
    <cfRule type="containsText" dxfId="14170" priority="15159" operator="containsText" text="S">
      <formula>NOT(ISERROR(SEARCH("S",BU17)))</formula>
    </cfRule>
    <cfRule type="containsText" dxfId="14169" priority="15160" operator="containsText" text="P">
      <formula>NOT(ISERROR(SEARCH("P",BU17)))</formula>
    </cfRule>
    <cfRule type="containsText" dxfId="14168" priority="15161" operator="containsText" text="H">
      <formula>NOT(ISERROR(SEARCH("H",BU17)))</formula>
    </cfRule>
    <cfRule type="containsText" dxfId="14167" priority="15163" operator="containsText" text="&quot;H&quot;">
      <formula>NOT(ISERROR(SEARCH("""H""",BU17)))</formula>
    </cfRule>
    <cfRule type="containsText" dxfId="14166" priority="15164" operator="containsText" text="&quot;A&quot;">
      <formula>NOT(ISERROR(SEARCH("""A""",BU17)))</formula>
    </cfRule>
  </conditionalFormatting>
  <conditionalFormatting sqref="BU17:BV17">
    <cfRule type="containsText" dxfId="14165" priority="15162" operator="containsText" text="A-H">
      <formula>NOT(ISERROR(SEARCH("A-H",BU17)))</formula>
    </cfRule>
  </conditionalFormatting>
  <conditionalFormatting sqref="BY17">
    <cfRule type="cellIs" dxfId="14164" priority="15153" operator="equal">
      <formula>"C-Off-H"</formula>
    </cfRule>
    <cfRule type="cellIs" dxfId="14163" priority="15154" operator="equal">
      <formula>"C-Off"</formula>
    </cfRule>
    <cfRule type="cellIs" dxfId="14162" priority="15155" operator="equal">
      <formula>"CL-H"</formula>
    </cfRule>
    <cfRule type="cellIs" dxfId="14161" priority="15156" operator="equal">
      <formula>"EL-H"</formula>
    </cfRule>
    <cfRule type="cellIs" dxfId="14160" priority="15157" operator="equal">
      <formula>"CL"</formula>
    </cfRule>
    <cfRule type="cellIs" dxfId="14159" priority="15158" operator="equal">
      <formula>"EL"</formula>
    </cfRule>
  </conditionalFormatting>
  <conditionalFormatting sqref="BY17">
    <cfRule type="containsText" dxfId="14158" priority="15147" operator="containsText" text="S">
      <formula>NOT(ISERROR(SEARCH("S",BY17)))</formula>
    </cfRule>
    <cfRule type="containsText" dxfId="14157" priority="15148" operator="containsText" text="P">
      <formula>NOT(ISERROR(SEARCH("P",BY17)))</formula>
    </cfRule>
    <cfRule type="containsText" dxfId="14156" priority="15149" operator="containsText" text="H">
      <formula>NOT(ISERROR(SEARCH("H",BY17)))</formula>
    </cfRule>
    <cfRule type="containsText" dxfId="14155" priority="15151" operator="containsText" text="&quot;H&quot;">
      <formula>NOT(ISERROR(SEARCH("""H""",BY17)))</formula>
    </cfRule>
    <cfRule type="containsText" dxfId="14154" priority="15152" operator="containsText" text="&quot;A&quot;">
      <formula>NOT(ISERROR(SEARCH("""A""",BY17)))</formula>
    </cfRule>
  </conditionalFormatting>
  <conditionalFormatting sqref="BY17">
    <cfRule type="containsText" dxfId="14153" priority="15150" operator="containsText" text="A-H">
      <formula>NOT(ISERROR(SEARCH("A-H",BY17)))</formula>
    </cfRule>
  </conditionalFormatting>
  <conditionalFormatting sqref="BX17">
    <cfRule type="cellIs" dxfId="14152" priority="15141" operator="equal">
      <formula>"C-Off-H"</formula>
    </cfRule>
    <cfRule type="cellIs" dxfId="14151" priority="15142" operator="equal">
      <formula>"C-Off"</formula>
    </cfRule>
    <cfRule type="cellIs" dxfId="14150" priority="15143" operator="equal">
      <formula>"CL-H"</formula>
    </cfRule>
    <cfRule type="cellIs" dxfId="14149" priority="15144" operator="equal">
      <formula>"EL-H"</formula>
    </cfRule>
    <cfRule type="cellIs" dxfId="14148" priority="15145" operator="equal">
      <formula>"CL"</formula>
    </cfRule>
    <cfRule type="cellIs" dxfId="14147" priority="15146" operator="equal">
      <formula>"EL"</formula>
    </cfRule>
  </conditionalFormatting>
  <conditionalFormatting sqref="BX17">
    <cfRule type="containsText" dxfId="14146" priority="15135" operator="containsText" text="S">
      <formula>NOT(ISERROR(SEARCH("S",BX17)))</formula>
    </cfRule>
    <cfRule type="containsText" dxfId="14145" priority="15136" operator="containsText" text="P">
      <formula>NOT(ISERROR(SEARCH("P",BX17)))</formula>
    </cfRule>
    <cfRule type="containsText" dxfId="14144" priority="15137" operator="containsText" text="H">
      <formula>NOT(ISERROR(SEARCH("H",BX17)))</formula>
    </cfRule>
    <cfRule type="containsText" dxfId="14143" priority="15139" operator="containsText" text="&quot;H&quot;">
      <formula>NOT(ISERROR(SEARCH("""H""",BX17)))</formula>
    </cfRule>
    <cfRule type="containsText" dxfId="14142" priority="15140" operator="containsText" text="&quot;A&quot;">
      <formula>NOT(ISERROR(SEARCH("""A""",BX17)))</formula>
    </cfRule>
  </conditionalFormatting>
  <conditionalFormatting sqref="BX17">
    <cfRule type="containsText" dxfId="14141" priority="15138" operator="containsText" text="A-H">
      <formula>NOT(ISERROR(SEARCH("A-H",BX17)))</formula>
    </cfRule>
  </conditionalFormatting>
  <conditionalFormatting sqref="J17:K17">
    <cfRule type="cellIs" dxfId="14140" priority="15129" operator="equal">
      <formula>"C-Off-H"</formula>
    </cfRule>
    <cfRule type="cellIs" dxfId="14139" priority="15130" operator="equal">
      <formula>"C-Off"</formula>
    </cfRule>
    <cfRule type="cellIs" dxfId="14138" priority="15131" operator="equal">
      <formula>"CL-H"</formula>
    </cfRule>
    <cfRule type="cellIs" dxfId="14137" priority="15132" operator="equal">
      <formula>"EL-H"</formula>
    </cfRule>
    <cfRule type="cellIs" dxfId="14136" priority="15133" operator="equal">
      <formula>"CL"</formula>
    </cfRule>
    <cfRule type="cellIs" dxfId="14135" priority="15134" operator="equal">
      <formula>"EL"</formula>
    </cfRule>
  </conditionalFormatting>
  <conditionalFormatting sqref="J17:K17">
    <cfRule type="containsText" dxfId="14134" priority="15123" operator="containsText" text="S">
      <formula>NOT(ISERROR(SEARCH("S",J17)))</formula>
    </cfRule>
    <cfRule type="containsText" dxfId="14133" priority="15124" operator="containsText" text="P">
      <formula>NOT(ISERROR(SEARCH("P",J17)))</formula>
    </cfRule>
    <cfRule type="containsText" dxfId="14132" priority="15125" operator="containsText" text="H">
      <formula>NOT(ISERROR(SEARCH("H",J17)))</formula>
    </cfRule>
    <cfRule type="containsText" dxfId="14131" priority="15127" operator="containsText" text="&quot;H&quot;">
      <formula>NOT(ISERROR(SEARCH("""H""",J17)))</formula>
    </cfRule>
    <cfRule type="containsText" dxfId="14130" priority="15128" operator="containsText" text="&quot;A&quot;">
      <formula>NOT(ISERROR(SEARCH("""A""",J17)))</formula>
    </cfRule>
  </conditionalFormatting>
  <conditionalFormatting sqref="J17:K17">
    <cfRule type="containsText" dxfId="14129" priority="15126" operator="containsText" text="A-H">
      <formula>NOT(ISERROR(SEARCH("A-H",J17)))</formula>
    </cfRule>
  </conditionalFormatting>
  <conditionalFormatting sqref="DC18 M18:N18 CQ18:CW18">
    <cfRule type="cellIs" dxfId="14128" priority="15117" operator="equal">
      <formula>"C-Off-H"</formula>
    </cfRule>
    <cfRule type="cellIs" dxfId="14127" priority="15118" operator="equal">
      <formula>"C-Off"</formula>
    </cfRule>
    <cfRule type="cellIs" dxfId="14126" priority="15119" operator="equal">
      <formula>"CL-H"</formula>
    </cfRule>
    <cfRule type="cellIs" dxfId="14125" priority="15120" operator="equal">
      <formula>"EL-H"</formula>
    </cfRule>
    <cfRule type="cellIs" dxfId="14124" priority="15121" operator="equal">
      <formula>"CL"</formula>
    </cfRule>
    <cfRule type="cellIs" dxfId="14123" priority="15122" operator="equal">
      <formula>"EL"</formula>
    </cfRule>
  </conditionalFormatting>
  <conditionalFormatting sqref="M18:N18 CQ18:CW18 CY18:DA18 DC18">
    <cfRule type="containsText" dxfId="14122" priority="15116" operator="containsText" text="A-H">
      <formula>NOT(ISERROR(SEARCH("A-H",M18)))</formula>
    </cfRule>
  </conditionalFormatting>
  <conditionalFormatting sqref="CQ18:CW18 CY18:DA18 DC18">
    <cfRule type="containsText" dxfId="14121" priority="15115" operator="containsText" text="A">
      <formula>NOT(ISERROR(SEARCH("A",CQ18)))</formula>
    </cfRule>
  </conditionalFormatting>
  <conditionalFormatting sqref="CY18 DA18">
    <cfRule type="cellIs" dxfId="14120" priority="15109" stopIfTrue="1" operator="equal">
      <formula>"C-Off-H"</formula>
    </cfRule>
    <cfRule type="cellIs" dxfId="14119" priority="15110" stopIfTrue="1" operator="equal">
      <formula>"C-Off"</formula>
    </cfRule>
    <cfRule type="cellIs" dxfId="14118" priority="15111" stopIfTrue="1" operator="equal">
      <formula>"CL-H"</formula>
    </cfRule>
    <cfRule type="cellIs" dxfId="14117" priority="15112" stopIfTrue="1" operator="equal">
      <formula>"EL-H"</formula>
    </cfRule>
    <cfRule type="cellIs" dxfId="14116" priority="15113" stopIfTrue="1" operator="equal">
      <formula>"CL"</formula>
    </cfRule>
    <cfRule type="cellIs" dxfId="14115" priority="15114" stopIfTrue="1" operator="equal">
      <formula>"EL"</formula>
    </cfRule>
  </conditionalFormatting>
  <conditionalFormatting sqref="CZ18">
    <cfRule type="cellIs" dxfId="14114" priority="15103" stopIfTrue="1" operator="equal">
      <formula>"C-Off-H"</formula>
    </cfRule>
    <cfRule type="cellIs" dxfId="14113" priority="15104" stopIfTrue="1" operator="equal">
      <formula>"C-Off"</formula>
    </cfRule>
    <cfRule type="cellIs" dxfId="14112" priority="15105" stopIfTrue="1" operator="equal">
      <formula>"CL-H"</formula>
    </cfRule>
    <cfRule type="cellIs" dxfId="14111" priority="15106" stopIfTrue="1" operator="equal">
      <formula>"EL-H"</formula>
    </cfRule>
    <cfRule type="cellIs" dxfId="14110" priority="15107" stopIfTrue="1" operator="equal">
      <formula>"CL"</formula>
    </cfRule>
    <cfRule type="cellIs" dxfId="14109" priority="15108" stopIfTrue="1" operator="equal">
      <formula>"EL"</formula>
    </cfRule>
  </conditionalFormatting>
  <conditionalFormatting sqref="M18:N18">
    <cfRule type="containsText" dxfId="14108" priority="15098" operator="containsText" text="S">
      <formula>NOT(ISERROR(SEARCH("S",M18)))</formula>
    </cfRule>
    <cfRule type="containsText" dxfId="14107" priority="15099" operator="containsText" text="P">
      <formula>NOT(ISERROR(SEARCH("P",M18)))</formula>
    </cfRule>
    <cfRule type="containsText" dxfId="14106" priority="15100" operator="containsText" text="H">
      <formula>NOT(ISERROR(SEARCH("H",M18)))</formula>
    </cfRule>
    <cfRule type="containsText" dxfId="14105" priority="15101" operator="containsText" text="&quot;H&quot;">
      <formula>NOT(ISERROR(SEARCH("""H""",M18)))</formula>
    </cfRule>
    <cfRule type="containsText" dxfId="14104" priority="15102" operator="containsText" text="&quot;A&quot;">
      <formula>NOT(ISERROR(SEARCH("""A""",M18)))</formula>
    </cfRule>
  </conditionalFormatting>
  <conditionalFormatting sqref="DD18">
    <cfRule type="cellIs" dxfId="14103" priority="15092" operator="equal">
      <formula>"C-Off-H"</formula>
    </cfRule>
    <cfRule type="cellIs" dxfId="14102" priority="15093" operator="equal">
      <formula>"C-Off"</formula>
    </cfRule>
    <cfRule type="cellIs" dxfId="14101" priority="15094" operator="equal">
      <formula>"CL-H"</formula>
    </cfRule>
    <cfRule type="cellIs" dxfId="14100" priority="15095" operator="equal">
      <formula>"EL-H"</formula>
    </cfRule>
    <cfRule type="cellIs" dxfId="14099" priority="15096" operator="equal">
      <formula>"CL"</formula>
    </cfRule>
    <cfRule type="cellIs" dxfId="14098" priority="15097" operator="equal">
      <formula>"EL"</formula>
    </cfRule>
  </conditionalFormatting>
  <conditionalFormatting sqref="DD18">
    <cfRule type="containsText" dxfId="14097" priority="15091" operator="containsText" text="A">
      <formula>NOT(ISERROR(SEARCH("A",DD18)))</formula>
    </cfRule>
  </conditionalFormatting>
  <conditionalFormatting sqref="DD18">
    <cfRule type="containsText" dxfId="14096" priority="15090" operator="containsText" text="A-H">
      <formula>NOT(ISERROR(SEARCH("A-H",DD18)))</formula>
    </cfRule>
  </conditionalFormatting>
  <conditionalFormatting sqref="AI18">
    <cfRule type="cellIs" dxfId="14095" priority="15084" operator="equal">
      <formula>"C-Off-H"</formula>
    </cfRule>
    <cfRule type="cellIs" dxfId="14094" priority="15085" operator="equal">
      <formula>"C-Off"</formula>
    </cfRule>
    <cfRule type="cellIs" dxfId="14093" priority="15086" operator="equal">
      <formula>"CL-H"</formula>
    </cfRule>
    <cfRule type="cellIs" dxfId="14092" priority="15087" operator="equal">
      <formula>"EL-H"</formula>
    </cfRule>
    <cfRule type="cellIs" dxfId="14091" priority="15088" operator="equal">
      <formula>"CL"</formula>
    </cfRule>
    <cfRule type="cellIs" dxfId="14090" priority="15089" operator="equal">
      <formula>"EL"</formula>
    </cfRule>
  </conditionalFormatting>
  <conditionalFormatting sqref="AH18:AI18">
    <cfRule type="cellIs" dxfId="14089" priority="15078" operator="equal">
      <formula>"C-Off-H"</formula>
    </cfRule>
    <cfRule type="cellIs" dxfId="14088" priority="15079" operator="equal">
      <formula>"C-Off"</formula>
    </cfRule>
    <cfRule type="cellIs" dxfId="14087" priority="15080" operator="equal">
      <formula>"CL-H"</formula>
    </cfRule>
    <cfRule type="cellIs" dxfId="14086" priority="15081" operator="equal">
      <formula>"EL-H"</formula>
    </cfRule>
    <cfRule type="cellIs" dxfId="14085" priority="15082" operator="equal">
      <formula>"CL"</formula>
    </cfRule>
    <cfRule type="cellIs" dxfId="14084" priority="15083" operator="equal">
      <formula>"EL"</formula>
    </cfRule>
  </conditionalFormatting>
  <conditionalFormatting sqref="AH18:AI18">
    <cfRule type="containsText" dxfId="14083" priority="15072" operator="containsText" text="S">
      <formula>NOT(ISERROR(SEARCH("S",AH18)))</formula>
    </cfRule>
    <cfRule type="containsText" dxfId="14082" priority="15073" operator="containsText" text="P">
      <formula>NOT(ISERROR(SEARCH("P",AH18)))</formula>
    </cfRule>
    <cfRule type="containsText" dxfId="14081" priority="15074" operator="containsText" text="H">
      <formula>NOT(ISERROR(SEARCH("H",AH18)))</formula>
    </cfRule>
    <cfRule type="containsText" dxfId="14080" priority="15076" operator="containsText" text="&quot;H&quot;">
      <formula>NOT(ISERROR(SEARCH("""H""",AH18)))</formula>
    </cfRule>
    <cfRule type="containsText" dxfId="14079" priority="15077" operator="containsText" text="&quot;A&quot;">
      <formula>NOT(ISERROR(SEARCH("""A""",AH18)))</formula>
    </cfRule>
  </conditionalFormatting>
  <conditionalFormatting sqref="AH18:AI18">
    <cfRule type="containsText" dxfId="14078" priority="15075" operator="containsText" text="A-H">
      <formula>NOT(ISERROR(SEARCH("A-H",AH18)))</formula>
    </cfRule>
  </conditionalFormatting>
  <conditionalFormatting sqref="AU18">
    <cfRule type="cellIs" dxfId="14077" priority="15066" operator="equal">
      <formula>"C-Off-H"</formula>
    </cfRule>
    <cfRule type="cellIs" dxfId="14076" priority="15067" operator="equal">
      <formula>"C-Off"</formula>
    </cfRule>
    <cfRule type="cellIs" dxfId="14075" priority="15068" operator="equal">
      <formula>"CL-H"</formula>
    </cfRule>
    <cfRule type="cellIs" dxfId="14074" priority="15069" operator="equal">
      <formula>"EL-H"</formula>
    </cfRule>
    <cfRule type="cellIs" dxfId="14073" priority="15070" operator="equal">
      <formula>"CL"</formula>
    </cfRule>
    <cfRule type="cellIs" dxfId="14072" priority="15071" operator="equal">
      <formula>"EL"</formula>
    </cfRule>
  </conditionalFormatting>
  <conditionalFormatting sqref="AT18:AU18">
    <cfRule type="cellIs" dxfId="14071" priority="15060" operator="equal">
      <formula>"C-Off-H"</formula>
    </cfRule>
    <cfRule type="cellIs" dxfId="14070" priority="15061" operator="equal">
      <formula>"C-Off"</formula>
    </cfRule>
    <cfRule type="cellIs" dxfId="14069" priority="15062" operator="equal">
      <formula>"CL-H"</formula>
    </cfRule>
    <cfRule type="cellIs" dxfId="14068" priority="15063" operator="equal">
      <formula>"EL-H"</formula>
    </cfRule>
    <cfRule type="cellIs" dxfId="14067" priority="15064" operator="equal">
      <formula>"CL"</formula>
    </cfRule>
    <cfRule type="cellIs" dxfId="14066" priority="15065" operator="equal">
      <formula>"EL"</formula>
    </cfRule>
  </conditionalFormatting>
  <conditionalFormatting sqref="AT18:AU18">
    <cfRule type="containsText" dxfId="14065" priority="15054" operator="containsText" text="S">
      <formula>NOT(ISERROR(SEARCH("S",AT18)))</formula>
    </cfRule>
    <cfRule type="containsText" dxfId="14064" priority="15055" operator="containsText" text="P">
      <formula>NOT(ISERROR(SEARCH("P",AT18)))</formula>
    </cfRule>
    <cfRule type="containsText" dxfId="14063" priority="15056" operator="containsText" text="H">
      <formula>NOT(ISERROR(SEARCH("H",AT18)))</formula>
    </cfRule>
    <cfRule type="containsText" dxfId="14062" priority="15058" operator="containsText" text="&quot;H&quot;">
      <formula>NOT(ISERROR(SEARCH("""H""",AT18)))</formula>
    </cfRule>
    <cfRule type="containsText" dxfId="14061" priority="15059" operator="containsText" text="&quot;A&quot;">
      <formula>NOT(ISERROR(SEARCH("""A""",AT18)))</formula>
    </cfRule>
  </conditionalFormatting>
  <conditionalFormatting sqref="AT18:AU18">
    <cfRule type="containsText" dxfId="14060" priority="15057" operator="containsText" text="A-H">
      <formula>NOT(ISERROR(SEARCH("A-H",AT18)))</formula>
    </cfRule>
  </conditionalFormatting>
  <conditionalFormatting sqref="E18">
    <cfRule type="cellIs" dxfId="14059" priority="15048" operator="equal">
      <formula>"C-Off-H"</formula>
    </cfRule>
    <cfRule type="cellIs" dxfId="14058" priority="15049" operator="equal">
      <formula>"C-Off"</formula>
    </cfRule>
    <cfRule type="cellIs" dxfId="14057" priority="15050" operator="equal">
      <formula>"CL-H"</formula>
    </cfRule>
    <cfRule type="cellIs" dxfId="14056" priority="15051" operator="equal">
      <formula>"EL-H"</formula>
    </cfRule>
    <cfRule type="cellIs" dxfId="14055" priority="15052" operator="equal">
      <formula>"CL"</formula>
    </cfRule>
    <cfRule type="cellIs" dxfId="14054" priority="15053" operator="equal">
      <formula>"EL"</formula>
    </cfRule>
  </conditionalFormatting>
  <conditionalFormatting sqref="D18:E18">
    <cfRule type="cellIs" dxfId="14053" priority="15042" operator="equal">
      <formula>"C-Off-H"</formula>
    </cfRule>
    <cfRule type="cellIs" dxfId="14052" priority="15043" operator="equal">
      <formula>"C-Off"</formula>
    </cfRule>
    <cfRule type="cellIs" dxfId="14051" priority="15044" operator="equal">
      <formula>"CL-H"</formula>
    </cfRule>
    <cfRule type="cellIs" dxfId="14050" priority="15045" operator="equal">
      <formula>"EL-H"</formula>
    </cfRule>
    <cfRule type="cellIs" dxfId="14049" priority="15046" operator="equal">
      <formula>"CL"</formula>
    </cfRule>
    <cfRule type="cellIs" dxfId="14048" priority="15047" operator="equal">
      <formula>"EL"</formula>
    </cfRule>
  </conditionalFormatting>
  <conditionalFormatting sqref="D18:E18">
    <cfRule type="containsText" dxfId="14047" priority="15036" operator="containsText" text="S">
      <formula>NOT(ISERROR(SEARCH("S",D18)))</formula>
    </cfRule>
    <cfRule type="containsText" dxfId="14046" priority="15037" operator="containsText" text="P">
      <formula>NOT(ISERROR(SEARCH("P",D18)))</formula>
    </cfRule>
    <cfRule type="containsText" dxfId="14045" priority="15038" operator="containsText" text="H">
      <formula>NOT(ISERROR(SEARCH("H",D18)))</formula>
    </cfRule>
    <cfRule type="containsText" dxfId="14044" priority="15040" operator="containsText" text="&quot;H&quot;">
      <formula>NOT(ISERROR(SEARCH("""H""",D18)))</formula>
    </cfRule>
    <cfRule type="containsText" dxfId="14043" priority="15041" operator="containsText" text="&quot;A&quot;">
      <formula>NOT(ISERROR(SEARCH("""A""",D18)))</formula>
    </cfRule>
  </conditionalFormatting>
  <conditionalFormatting sqref="D18:E18">
    <cfRule type="containsText" dxfId="14042" priority="15039" operator="containsText" text="A-H">
      <formula>NOT(ISERROR(SEARCH("A-H",D18)))</formula>
    </cfRule>
  </conditionalFormatting>
  <conditionalFormatting sqref="Y18">
    <cfRule type="cellIs" dxfId="14041" priority="15030" operator="equal">
      <formula>"C-Off-H"</formula>
    </cfRule>
    <cfRule type="cellIs" dxfId="14040" priority="15031" operator="equal">
      <formula>"C-Off"</formula>
    </cfRule>
    <cfRule type="cellIs" dxfId="14039" priority="15032" operator="equal">
      <formula>"CL-H"</formula>
    </cfRule>
    <cfRule type="cellIs" dxfId="14038" priority="15033" operator="equal">
      <formula>"EL-H"</formula>
    </cfRule>
    <cfRule type="cellIs" dxfId="14037" priority="15034" operator="equal">
      <formula>"CL"</formula>
    </cfRule>
    <cfRule type="cellIs" dxfId="14036" priority="15035" operator="equal">
      <formula>"EL"</formula>
    </cfRule>
  </conditionalFormatting>
  <conditionalFormatting sqref="Y18">
    <cfRule type="containsText" dxfId="14035" priority="15024" operator="containsText" text="S">
      <formula>NOT(ISERROR(SEARCH("S",Y18)))</formula>
    </cfRule>
    <cfRule type="containsText" dxfId="14034" priority="15025" operator="containsText" text="P">
      <formula>NOT(ISERROR(SEARCH("P",Y18)))</formula>
    </cfRule>
    <cfRule type="containsText" dxfId="14033" priority="15026" operator="containsText" text="H">
      <formula>NOT(ISERROR(SEARCH("H",Y18)))</formula>
    </cfRule>
    <cfRule type="containsText" dxfId="14032" priority="15028" operator="containsText" text="&quot;H&quot;">
      <formula>NOT(ISERROR(SEARCH("""H""",Y18)))</formula>
    </cfRule>
    <cfRule type="containsText" dxfId="14031" priority="15029" operator="containsText" text="&quot;A&quot;">
      <formula>NOT(ISERROR(SEARCH("""A""",Y18)))</formula>
    </cfRule>
  </conditionalFormatting>
  <conditionalFormatting sqref="Y18">
    <cfRule type="containsText" dxfId="14030" priority="15027" operator="containsText" text="A-H">
      <formula>NOT(ISERROR(SEARCH("A-H",Y18)))</formula>
    </cfRule>
  </conditionalFormatting>
  <conditionalFormatting sqref="AF18">
    <cfRule type="cellIs" dxfId="14029" priority="15018" operator="equal">
      <formula>"C-Off-H"</formula>
    </cfRule>
    <cfRule type="cellIs" dxfId="14028" priority="15019" operator="equal">
      <formula>"C-Off"</formula>
    </cfRule>
    <cfRule type="cellIs" dxfId="14027" priority="15020" operator="equal">
      <formula>"CL-H"</formula>
    </cfRule>
    <cfRule type="cellIs" dxfId="14026" priority="15021" operator="equal">
      <formula>"EL-H"</formula>
    </cfRule>
    <cfRule type="cellIs" dxfId="14025" priority="15022" operator="equal">
      <formula>"CL"</formula>
    </cfRule>
    <cfRule type="cellIs" dxfId="14024" priority="15023" operator="equal">
      <formula>"EL"</formula>
    </cfRule>
  </conditionalFormatting>
  <conditionalFormatting sqref="AF18">
    <cfRule type="containsText" dxfId="14023" priority="15012" operator="containsText" text="S">
      <formula>NOT(ISERROR(SEARCH("S",AF18)))</formula>
    </cfRule>
    <cfRule type="containsText" dxfId="14022" priority="15013" operator="containsText" text="P">
      <formula>NOT(ISERROR(SEARCH("P",AF18)))</formula>
    </cfRule>
    <cfRule type="containsText" dxfId="14021" priority="15014" operator="containsText" text="H">
      <formula>NOT(ISERROR(SEARCH("H",AF18)))</formula>
    </cfRule>
    <cfRule type="containsText" dxfId="14020" priority="15016" operator="containsText" text="&quot;H&quot;">
      <formula>NOT(ISERROR(SEARCH("""H""",AF18)))</formula>
    </cfRule>
    <cfRule type="containsText" dxfId="14019" priority="15017" operator="containsText" text="&quot;A&quot;">
      <formula>NOT(ISERROR(SEARCH("""A""",AF18)))</formula>
    </cfRule>
  </conditionalFormatting>
  <conditionalFormatting sqref="AF18">
    <cfRule type="containsText" dxfId="14018" priority="15015" operator="containsText" text="A-H">
      <formula>NOT(ISERROR(SEARCH("A-H",AF18)))</formula>
    </cfRule>
  </conditionalFormatting>
  <conditionalFormatting sqref="BO18:BP18">
    <cfRule type="cellIs" dxfId="14017" priority="15006" operator="equal">
      <formula>"C-Off-H"</formula>
    </cfRule>
    <cfRule type="cellIs" dxfId="14016" priority="15007" operator="equal">
      <formula>"C-Off"</formula>
    </cfRule>
    <cfRule type="cellIs" dxfId="14015" priority="15008" operator="equal">
      <formula>"CL-H"</formula>
    </cfRule>
    <cfRule type="cellIs" dxfId="14014" priority="15009" operator="equal">
      <formula>"EL-H"</formula>
    </cfRule>
    <cfRule type="cellIs" dxfId="14013" priority="15010" operator="equal">
      <formula>"CL"</formula>
    </cfRule>
    <cfRule type="cellIs" dxfId="14012" priority="15011" operator="equal">
      <formula>"EL"</formula>
    </cfRule>
  </conditionalFormatting>
  <conditionalFormatting sqref="BO18:BP18">
    <cfRule type="cellIs" dxfId="14011" priority="15000" operator="equal">
      <formula>"C-Off-H"</formula>
    </cfRule>
    <cfRule type="cellIs" dxfId="14010" priority="15001" operator="equal">
      <formula>"C-Off"</formula>
    </cfRule>
    <cfRule type="cellIs" dxfId="14009" priority="15002" operator="equal">
      <formula>"CL-H"</formula>
    </cfRule>
    <cfRule type="cellIs" dxfId="14008" priority="15003" operator="equal">
      <formula>"EL-H"</formula>
    </cfRule>
    <cfRule type="cellIs" dxfId="14007" priority="15004" operator="equal">
      <formula>"CL"</formula>
    </cfRule>
    <cfRule type="cellIs" dxfId="14006" priority="15005" operator="equal">
      <formula>"EL"</formula>
    </cfRule>
  </conditionalFormatting>
  <conditionalFormatting sqref="BO18:BP18">
    <cfRule type="containsText" dxfId="14005" priority="14994" operator="containsText" text="S">
      <formula>NOT(ISERROR(SEARCH("S",BO18)))</formula>
    </cfRule>
    <cfRule type="containsText" dxfId="14004" priority="14995" operator="containsText" text="P">
      <formula>NOT(ISERROR(SEARCH("P",BO18)))</formula>
    </cfRule>
    <cfRule type="containsText" dxfId="14003" priority="14996" operator="containsText" text="H">
      <formula>NOT(ISERROR(SEARCH("H",BO18)))</formula>
    </cfRule>
    <cfRule type="containsText" dxfId="14002" priority="14998" operator="containsText" text="&quot;H&quot;">
      <formula>NOT(ISERROR(SEARCH("""H""",BO18)))</formula>
    </cfRule>
    <cfRule type="containsText" dxfId="14001" priority="14999" operator="containsText" text="&quot;A&quot;">
      <formula>NOT(ISERROR(SEARCH("""A""",BO18)))</formula>
    </cfRule>
  </conditionalFormatting>
  <conditionalFormatting sqref="BO18:BP18">
    <cfRule type="containsText" dxfId="14000" priority="14997" operator="containsText" text="A-H">
      <formula>NOT(ISERROR(SEARCH("A-H",BO18)))</formula>
    </cfRule>
  </conditionalFormatting>
  <conditionalFormatting sqref="CM18">
    <cfRule type="cellIs" dxfId="13999" priority="14988" operator="equal">
      <formula>"C-Off-H"</formula>
    </cfRule>
    <cfRule type="cellIs" dxfId="13998" priority="14989" operator="equal">
      <formula>"C-Off"</formula>
    </cfRule>
    <cfRule type="cellIs" dxfId="13997" priority="14990" operator="equal">
      <formula>"CL-H"</formula>
    </cfRule>
    <cfRule type="cellIs" dxfId="13996" priority="14991" operator="equal">
      <formula>"EL-H"</formula>
    </cfRule>
    <cfRule type="cellIs" dxfId="13995" priority="14992" operator="equal">
      <formula>"CL"</formula>
    </cfRule>
    <cfRule type="cellIs" dxfId="13994" priority="14993" operator="equal">
      <formula>"EL"</formula>
    </cfRule>
  </conditionalFormatting>
  <conditionalFormatting sqref="CM18">
    <cfRule type="cellIs" dxfId="13993" priority="14982" operator="equal">
      <formula>"C-Off-H"</formula>
    </cfRule>
    <cfRule type="cellIs" dxfId="13992" priority="14983" operator="equal">
      <formula>"C-Off"</formula>
    </cfRule>
    <cfRule type="cellIs" dxfId="13991" priority="14984" operator="equal">
      <formula>"CL-H"</formula>
    </cfRule>
    <cfRule type="cellIs" dxfId="13990" priority="14985" operator="equal">
      <formula>"EL-H"</formula>
    </cfRule>
    <cfRule type="cellIs" dxfId="13989" priority="14986" operator="equal">
      <formula>"CL"</formula>
    </cfRule>
    <cfRule type="cellIs" dxfId="13988" priority="14987" operator="equal">
      <formula>"EL"</formula>
    </cfRule>
  </conditionalFormatting>
  <conditionalFormatting sqref="CM18">
    <cfRule type="containsText" dxfId="13987" priority="14976" operator="containsText" text="S">
      <formula>NOT(ISERROR(SEARCH("S",CM18)))</formula>
    </cfRule>
    <cfRule type="containsText" dxfId="13986" priority="14977" operator="containsText" text="P">
      <formula>NOT(ISERROR(SEARCH("P",CM18)))</formula>
    </cfRule>
    <cfRule type="containsText" dxfId="13985" priority="14978" operator="containsText" text="H">
      <formula>NOT(ISERROR(SEARCH("H",CM18)))</formula>
    </cfRule>
    <cfRule type="containsText" dxfId="13984" priority="14980" operator="containsText" text="&quot;H&quot;">
      <formula>NOT(ISERROR(SEARCH("""H""",CM18)))</formula>
    </cfRule>
    <cfRule type="containsText" dxfId="13983" priority="14981" operator="containsText" text="&quot;A&quot;">
      <formula>NOT(ISERROR(SEARCH("""A""",CM18)))</formula>
    </cfRule>
  </conditionalFormatting>
  <conditionalFormatting sqref="CM18">
    <cfRule type="containsText" dxfId="13982" priority="14979" operator="containsText" text="A-H">
      <formula>NOT(ISERROR(SEARCH("A-H",CM18)))</formula>
    </cfRule>
  </conditionalFormatting>
  <conditionalFormatting sqref="V18:W18">
    <cfRule type="cellIs" dxfId="13981" priority="14946" operator="equal">
      <formula>"C-Off-H"</formula>
    </cfRule>
    <cfRule type="cellIs" dxfId="13980" priority="14947" operator="equal">
      <formula>"C-Off"</formula>
    </cfRule>
    <cfRule type="cellIs" dxfId="13979" priority="14948" operator="equal">
      <formula>"CL-H"</formula>
    </cfRule>
    <cfRule type="cellIs" dxfId="13978" priority="14949" operator="equal">
      <formula>"EL-H"</formula>
    </cfRule>
    <cfRule type="cellIs" dxfId="13977" priority="14950" operator="equal">
      <formula>"CL"</formula>
    </cfRule>
    <cfRule type="cellIs" dxfId="13976" priority="14951" operator="equal">
      <formula>"EL"</formula>
    </cfRule>
  </conditionalFormatting>
  <conditionalFormatting sqref="V18:W18">
    <cfRule type="containsText" dxfId="13975" priority="14940" operator="containsText" text="S">
      <formula>NOT(ISERROR(SEARCH("S",V18)))</formula>
    </cfRule>
    <cfRule type="containsText" dxfId="13974" priority="14941" operator="containsText" text="P">
      <formula>NOT(ISERROR(SEARCH("P",V18)))</formula>
    </cfRule>
    <cfRule type="containsText" dxfId="13973" priority="14942" operator="containsText" text="H">
      <formula>NOT(ISERROR(SEARCH("H",V18)))</formula>
    </cfRule>
    <cfRule type="containsText" dxfId="13972" priority="14944" operator="containsText" text="&quot;H&quot;">
      <formula>NOT(ISERROR(SEARCH("""H""",V18)))</formula>
    </cfRule>
    <cfRule type="containsText" dxfId="13971" priority="14945" operator="containsText" text="&quot;A&quot;">
      <formula>NOT(ISERROR(SEARCH("""A""",V18)))</formula>
    </cfRule>
  </conditionalFormatting>
  <conditionalFormatting sqref="V18:W18">
    <cfRule type="containsText" dxfId="13970" priority="14943" operator="containsText" text="A-H">
      <formula>NOT(ISERROR(SEARCH("A-H",V18)))</formula>
    </cfRule>
  </conditionalFormatting>
  <conditionalFormatting sqref="P18:Q18">
    <cfRule type="cellIs" dxfId="13969" priority="14970" operator="equal">
      <formula>"C-Off-H"</formula>
    </cfRule>
    <cfRule type="cellIs" dxfId="13968" priority="14971" operator="equal">
      <formula>"C-Off"</formula>
    </cfRule>
    <cfRule type="cellIs" dxfId="13967" priority="14972" operator="equal">
      <formula>"CL-H"</formula>
    </cfRule>
    <cfRule type="cellIs" dxfId="13966" priority="14973" operator="equal">
      <formula>"EL-H"</formula>
    </cfRule>
    <cfRule type="cellIs" dxfId="13965" priority="14974" operator="equal">
      <formula>"CL"</formula>
    </cfRule>
    <cfRule type="cellIs" dxfId="13964" priority="14975" operator="equal">
      <formula>"EL"</formula>
    </cfRule>
  </conditionalFormatting>
  <conditionalFormatting sqref="P18:Q18">
    <cfRule type="containsText" dxfId="13963" priority="14964" operator="containsText" text="S">
      <formula>NOT(ISERROR(SEARCH("S",P18)))</formula>
    </cfRule>
    <cfRule type="containsText" dxfId="13962" priority="14965" operator="containsText" text="P">
      <formula>NOT(ISERROR(SEARCH("P",P18)))</formula>
    </cfRule>
    <cfRule type="containsText" dxfId="13961" priority="14966" operator="containsText" text="H">
      <formula>NOT(ISERROR(SEARCH("H",P18)))</formula>
    </cfRule>
    <cfRule type="containsText" dxfId="13960" priority="14968" operator="containsText" text="&quot;H&quot;">
      <formula>NOT(ISERROR(SEARCH("""H""",P18)))</formula>
    </cfRule>
    <cfRule type="containsText" dxfId="13959" priority="14969" operator="containsText" text="&quot;A&quot;">
      <formula>NOT(ISERROR(SEARCH("""A""",P18)))</formula>
    </cfRule>
  </conditionalFormatting>
  <conditionalFormatting sqref="P18:Q18">
    <cfRule type="containsText" dxfId="13958" priority="14967" operator="containsText" text="A-H">
      <formula>NOT(ISERROR(SEARCH("A-H",P18)))</formula>
    </cfRule>
  </conditionalFormatting>
  <conditionalFormatting sqref="S18:T18">
    <cfRule type="cellIs" dxfId="13957" priority="14958" operator="equal">
      <formula>"C-Off-H"</formula>
    </cfRule>
    <cfRule type="cellIs" dxfId="13956" priority="14959" operator="equal">
      <formula>"C-Off"</formula>
    </cfRule>
    <cfRule type="cellIs" dxfId="13955" priority="14960" operator="equal">
      <formula>"CL-H"</formula>
    </cfRule>
    <cfRule type="cellIs" dxfId="13954" priority="14961" operator="equal">
      <formula>"EL-H"</formula>
    </cfRule>
    <cfRule type="cellIs" dxfId="13953" priority="14962" operator="equal">
      <formula>"CL"</formula>
    </cfRule>
    <cfRule type="cellIs" dxfId="13952" priority="14963" operator="equal">
      <formula>"EL"</formula>
    </cfRule>
  </conditionalFormatting>
  <conditionalFormatting sqref="S18:T18">
    <cfRule type="containsText" dxfId="13951" priority="14952" operator="containsText" text="S">
      <formula>NOT(ISERROR(SEARCH("S",S18)))</formula>
    </cfRule>
    <cfRule type="containsText" dxfId="13950" priority="14953" operator="containsText" text="P">
      <formula>NOT(ISERROR(SEARCH("P",S18)))</formula>
    </cfRule>
    <cfRule type="containsText" dxfId="13949" priority="14954" operator="containsText" text="H">
      <formula>NOT(ISERROR(SEARCH("H",S18)))</formula>
    </cfRule>
    <cfRule type="containsText" dxfId="13948" priority="14956" operator="containsText" text="&quot;H&quot;">
      <formula>NOT(ISERROR(SEARCH("""H""",S18)))</formula>
    </cfRule>
    <cfRule type="containsText" dxfId="13947" priority="14957" operator="containsText" text="&quot;A&quot;">
      <formula>NOT(ISERROR(SEARCH("""A""",S18)))</formula>
    </cfRule>
  </conditionalFormatting>
  <conditionalFormatting sqref="S18:T18">
    <cfRule type="containsText" dxfId="13946" priority="14955" operator="containsText" text="A-H">
      <formula>NOT(ISERROR(SEARCH("A-H",S18)))</formula>
    </cfRule>
  </conditionalFormatting>
  <conditionalFormatting sqref="AB18:AC18">
    <cfRule type="cellIs" dxfId="13945" priority="14934" operator="equal">
      <formula>"C-Off-H"</formula>
    </cfRule>
    <cfRule type="cellIs" dxfId="13944" priority="14935" operator="equal">
      <formula>"C-Off"</formula>
    </cfRule>
    <cfRule type="cellIs" dxfId="13943" priority="14936" operator="equal">
      <formula>"CL-H"</formula>
    </cfRule>
    <cfRule type="cellIs" dxfId="13942" priority="14937" operator="equal">
      <formula>"EL-H"</formula>
    </cfRule>
    <cfRule type="cellIs" dxfId="13941" priority="14938" operator="equal">
      <formula>"CL"</formula>
    </cfRule>
    <cfRule type="cellIs" dxfId="13940" priority="14939" operator="equal">
      <formula>"EL"</formula>
    </cfRule>
  </conditionalFormatting>
  <conditionalFormatting sqref="AB18:AC18">
    <cfRule type="containsText" dxfId="13939" priority="14928" operator="containsText" text="S">
      <formula>NOT(ISERROR(SEARCH("S",AB18)))</formula>
    </cfRule>
    <cfRule type="containsText" dxfId="13938" priority="14929" operator="containsText" text="P">
      <formula>NOT(ISERROR(SEARCH("P",AB18)))</formula>
    </cfRule>
    <cfRule type="containsText" dxfId="13937" priority="14930" operator="containsText" text="H">
      <formula>NOT(ISERROR(SEARCH("H",AB18)))</formula>
    </cfRule>
    <cfRule type="containsText" dxfId="13936" priority="14932" operator="containsText" text="&quot;H&quot;">
      <formula>NOT(ISERROR(SEARCH("""H""",AB18)))</formula>
    </cfRule>
    <cfRule type="containsText" dxfId="13935" priority="14933" operator="containsText" text="&quot;A&quot;">
      <formula>NOT(ISERROR(SEARCH("""A""",AB18)))</formula>
    </cfRule>
  </conditionalFormatting>
  <conditionalFormatting sqref="AB18:AC18">
    <cfRule type="containsText" dxfId="13934" priority="14931" operator="containsText" text="A-H">
      <formula>NOT(ISERROR(SEARCH("A-H",AB18)))</formula>
    </cfRule>
  </conditionalFormatting>
  <conditionalFormatting sqref="AE18">
    <cfRule type="cellIs" dxfId="13933" priority="14922" operator="equal">
      <formula>"C-Off-H"</formula>
    </cfRule>
    <cfRule type="cellIs" dxfId="13932" priority="14923" operator="equal">
      <formula>"C-Off"</formula>
    </cfRule>
    <cfRule type="cellIs" dxfId="13931" priority="14924" operator="equal">
      <formula>"CL-H"</formula>
    </cfRule>
    <cfRule type="cellIs" dxfId="13930" priority="14925" operator="equal">
      <formula>"EL-H"</formula>
    </cfRule>
    <cfRule type="cellIs" dxfId="13929" priority="14926" operator="equal">
      <formula>"CL"</formula>
    </cfRule>
    <cfRule type="cellIs" dxfId="13928" priority="14927" operator="equal">
      <formula>"EL"</formula>
    </cfRule>
  </conditionalFormatting>
  <conditionalFormatting sqref="AE18">
    <cfRule type="containsText" dxfId="13927" priority="14916" operator="containsText" text="S">
      <formula>NOT(ISERROR(SEARCH("S",AE18)))</formula>
    </cfRule>
    <cfRule type="containsText" dxfId="13926" priority="14917" operator="containsText" text="P">
      <formula>NOT(ISERROR(SEARCH("P",AE18)))</formula>
    </cfRule>
    <cfRule type="containsText" dxfId="13925" priority="14918" operator="containsText" text="H">
      <formula>NOT(ISERROR(SEARCH("H",AE18)))</formula>
    </cfRule>
    <cfRule type="containsText" dxfId="13924" priority="14920" operator="containsText" text="&quot;H&quot;">
      <formula>NOT(ISERROR(SEARCH("""H""",AE18)))</formula>
    </cfRule>
    <cfRule type="containsText" dxfId="13923" priority="14921" operator="containsText" text="&quot;A&quot;">
      <formula>NOT(ISERROR(SEARCH("""A""",AE18)))</formula>
    </cfRule>
  </conditionalFormatting>
  <conditionalFormatting sqref="AE18">
    <cfRule type="containsText" dxfId="13922" priority="14919" operator="containsText" text="A-H">
      <formula>NOT(ISERROR(SEARCH("A-H",AE18)))</formula>
    </cfRule>
  </conditionalFormatting>
  <conditionalFormatting sqref="AK18:AL18">
    <cfRule type="cellIs" dxfId="13921" priority="14910" operator="equal">
      <formula>"C-Off-H"</formula>
    </cfRule>
    <cfRule type="cellIs" dxfId="13920" priority="14911" operator="equal">
      <formula>"C-Off"</formula>
    </cfRule>
    <cfRule type="cellIs" dxfId="13919" priority="14912" operator="equal">
      <formula>"CL-H"</formula>
    </cfRule>
    <cfRule type="cellIs" dxfId="13918" priority="14913" operator="equal">
      <formula>"EL-H"</formula>
    </cfRule>
    <cfRule type="cellIs" dxfId="13917" priority="14914" operator="equal">
      <formula>"CL"</formula>
    </cfRule>
    <cfRule type="cellIs" dxfId="13916" priority="14915" operator="equal">
      <formula>"EL"</formula>
    </cfRule>
  </conditionalFormatting>
  <conditionalFormatting sqref="AK18:AL18">
    <cfRule type="containsText" dxfId="13915" priority="14904" operator="containsText" text="S">
      <formula>NOT(ISERROR(SEARCH("S",AK18)))</formula>
    </cfRule>
    <cfRule type="containsText" dxfId="13914" priority="14905" operator="containsText" text="P">
      <formula>NOT(ISERROR(SEARCH("P",AK18)))</formula>
    </cfRule>
    <cfRule type="containsText" dxfId="13913" priority="14906" operator="containsText" text="H">
      <formula>NOT(ISERROR(SEARCH("H",AK18)))</formula>
    </cfRule>
    <cfRule type="containsText" dxfId="13912" priority="14908" operator="containsText" text="&quot;H&quot;">
      <formula>NOT(ISERROR(SEARCH("""H""",AK18)))</formula>
    </cfRule>
    <cfRule type="containsText" dxfId="13911" priority="14909" operator="containsText" text="&quot;A&quot;">
      <formula>NOT(ISERROR(SEARCH("""A""",AK18)))</formula>
    </cfRule>
  </conditionalFormatting>
  <conditionalFormatting sqref="AK18:AL18">
    <cfRule type="containsText" dxfId="13910" priority="14907" operator="containsText" text="A-H">
      <formula>NOT(ISERROR(SEARCH("A-H",AK18)))</formula>
    </cfRule>
  </conditionalFormatting>
  <conditionalFormatting sqref="AN18:AO18">
    <cfRule type="cellIs" dxfId="13909" priority="14898" operator="equal">
      <formula>"C-Off-H"</formula>
    </cfRule>
    <cfRule type="cellIs" dxfId="13908" priority="14899" operator="equal">
      <formula>"C-Off"</formula>
    </cfRule>
    <cfRule type="cellIs" dxfId="13907" priority="14900" operator="equal">
      <formula>"CL-H"</formula>
    </cfRule>
    <cfRule type="cellIs" dxfId="13906" priority="14901" operator="equal">
      <formula>"EL-H"</formula>
    </cfRule>
    <cfRule type="cellIs" dxfId="13905" priority="14902" operator="equal">
      <formula>"CL"</formula>
    </cfRule>
    <cfRule type="cellIs" dxfId="13904" priority="14903" operator="equal">
      <formula>"EL"</formula>
    </cfRule>
  </conditionalFormatting>
  <conditionalFormatting sqref="AN18:AO18">
    <cfRule type="containsText" dxfId="13903" priority="14892" operator="containsText" text="S">
      <formula>NOT(ISERROR(SEARCH("S",AN18)))</formula>
    </cfRule>
    <cfRule type="containsText" dxfId="13902" priority="14893" operator="containsText" text="P">
      <formula>NOT(ISERROR(SEARCH("P",AN18)))</formula>
    </cfRule>
    <cfRule type="containsText" dxfId="13901" priority="14894" operator="containsText" text="H">
      <formula>NOT(ISERROR(SEARCH("H",AN18)))</formula>
    </cfRule>
    <cfRule type="containsText" dxfId="13900" priority="14896" operator="containsText" text="&quot;H&quot;">
      <formula>NOT(ISERROR(SEARCH("""H""",AN18)))</formula>
    </cfRule>
    <cfRule type="containsText" dxfId="13899" priority="14897" operator="containsText" text="&quot;A&quot;">
      <formula>NOT(ISERROR(SEARCH("""A""",AN18)))</formula>
    </cfRule>
  </conditionalFormatting>
  <conditionalFormatting sqref="AN18:AO18">
    <cfRule type="containsText" dxfId="13898" priority="14895" operator="containsText" text="A-H">
      <formula>NOT(ISERROR(SEARCH("A-H",AN18)))</formula>
    </cfRule>
  </conditionalFormatting>
  <conditionalFormatting sqref="AQ18:AR18">
    <cfRule type="cellIs" dxfId="13897" priority="14886" operator="equal">
      <formula>"C-Off-H"</formula>
    </cfRule>
    <cfRule type="cellIs" dxfId="13896" priority="14887" operator="equal">
      <formula>"C-Off"</formula>
    </cfRule>
    <cfRule type="cellIs" dxfId="13895" priority="14888" operator="equal">
      <formula>"CL-H"</formula>
    </cfRule>
    <cfRule type="cellIs" dxfId="13894" priority="14889" operator="equal">
      <formula>"EL-H"</formula>
    </cfRule>
    <cfRule type="cellIs" dxfId="13893" priority="14890" operator="equal">
      <formula>"CL"</formula>
    </cfRule>
    <cfRule type="cellIs" dxfId="13892" priority="14891" operator="equal">
      <formula>"EL"</formula>
    </cfRule>
  </conditionalFormatting>
  <conditionalFormatting sqref="AQ18:AR18">
    <cfRule type="containsText" dxfId="13891" priority="14880" operator="containsText" text="S">
      <formula>NOT(ISERROR(SEARCH("S",AQ18)))</formula>
    </cfRule>
    <cfRule type="containsText" dxfId="13890" priority="14881" operator="containsText" text="P">
      <formula>NOT(ISERROR(SEARCH("P",AQ18)))</formula>
    </cfRule>
    <cfRule type="containsText" dxfId="13889" priority="14882" operator="containsText" text="H">
      <formula>NOT(ISERROR(SEARCH("H",AQ18)))</formula>
    </cfRule>
    <cfRule type="containsText" dxfId="13888" priority="14884" operator="containsText" text="&quot;H&quot;">
      <formula>NOT(ISERROR(SEARCH("""H""",AQ18)))</formula>
    </cfRule>
    <cfRule type="containsText" dxfId="13887" priority="14885" operator="containsText" text="&quot;A&quot;">
      <formula>NOT(ISERROR(SEARCH("""A""",AQ18)))</formula>
    </cfRule>
  </conditionalFormatting>
  <conditionalFormatting sqref="AQ18:AR18">
    <cfRule type="containsText" dxfId="13886" priority="14883" operator="containsText" text="A-H">
      <formula>NOT(ISERROR(SEARCH("A-H",AQ18)))</formula>
    </cfRule>
  </conditionalFormatting>
  <conditionalFormatting sqref="AW18:AX18">
    <cfRule type="cellIs" dxfId="13885" priority="14874" operator="equal">
      <formula>"C-Off-H"</formula>
    </cfRule>
    <cfRule type="cellIs" dxfId="13884" priority="14875" operator="equal">
      <formula>"C-Off"</formula>
    </cfRule>
    <cfRule type="cellIs" dxfId="13883" priority="14876" operator="equal">
      <formula>"CL-H"</formula>
    </cfRule>
    <cfRule type="cellIs" dxfId="13882" priority="14877" operator="equal">
      <formula>"EL-H"</formula>
    </cfRule>
    <cfRule type="cellIs" dxfId="13881" priority="14878" operator="equal">
      <formula>"CL"</formula>
    </cfRule>
    <cfRule type="cellIs" dxfId="13880" priority="14879" operator="equal">
      <formula>"EL"</formula>
    </cfRule>
  </conditionalFormatting>
  <conditionalFormatting sqref="AW18:AX18">
    <cfRule type="containsText" dxfId="13879" priority="14868" operator="containsText" text="S">
      <formula>NOT(ISERROR(SEARCH("S",AW18)))</formula>
    </cfRule>
    <cfRule type="containsText" dxfId="13878" priority="14869" operator="containsText" text="P">
      <formula>NOT(ISERROR(SEARCH("P",AW18)))</formula>
    </cfRule>
    <cfRule type="containsText" dxfId="13877" priority="14870" operator="containsText" text="H">
      <formula>NOT(ISERROR(SEARCH("H",AW18)))</formula>
    </cfRule>
    <cfRule type="containsText" dxfId="13876" priority="14872" operator="containsText" text="&quot;H&quot;">
      <formula>NOT(ISERROR(SEARCH("""H""",AW18)))</formula>
    </cfRule>
    <cfRule type="containsText" dxfId="13875" priority="14873" operator="containsText" text="&quot;A&quot;">
      <formula>NOT(ISERROR(SEARCH("""A""",AW18)))</formula>
    </cfRule>
  </conditionalFormatting>
  <conditionalFormatting sqref="AW18:AX18">
    <cfRule type="containsText" dxfId="13874" priority="14871" operator="containsText" text="A-H">
      <formula>NOT(ISERROR(SEARCH("A-H",AW18)))</formula>
    </cfRule>
  </conditionalFormatting>
  <conditionalFormatting sqref="AZ18:BA18">
    <cfRule type="cellIs" dxfId="13873" priority="14862" operator="equal">
      <formula>"C-Off-H"</formula>
    </cfRule>
    <cfRule type="cellIs" dxfId="13872" priority="14863" operator="equal">
      <formula>"C-Off"</formula>
    </cfRule>
    <cfRule type="cellIs" dxfId="13871" priority="14864" operator="equal">
      <formula>"CL-H"</formula>
    </cfRule>
    <cfRule type="cellIs" dxfId="13870" priority="14865" operator="equal">
      <formula>"EL-H"</formula>
    </cfRule>
    <cfRule type="cellIs" dxfId="13869" priority="14866" operator="equal">
      <formula>"CL"</formula>
    </cfRule>
    <cfRule type="cellIs" dxfId="13868" priority="14867" operator="equal">
      <formula>"EL"</formula>
    </cfRule>
  </conditionalFormatting>
  <conditionalFormatting sqref="AZ18:BA18">
    <cfRule type="containsText" dxfId="13867" priority="14856" operator="containsText" text="S">
      <formula>NOT(ISERROR(SEARCH("S",AZ18)))</formula>
    </cfRule>
    <cfRule type="containsText" dxfId="13866" priority="14857" operator="containsText" text="P">
      <formula>NOT(ISERROR(SEARCH("P",AZ18)))</formula>
    </cfRule>
    <cfRule type="containsText" dxfId="13865" priority="14858" operator="containsText" text="H">
      <formula>NOT(ISERROR(SEARCH("H",AZ18)))</formula>
    </cfRule>
    <cfRule type="containsText" dxfId="13864" priority="14860" operator="containsText" text="&quot;H&quot;">
      <formula>NOT(ISERROR(SEARCH("""H""",AZ18)))</formula>
    </cfRule>
    <cfRule type="containsText" dxfId="13863" priority="14861" operator="containsText" text="&quot;A&quot;">
      <formula>NOT(ISERROR(SEARCH("""A""",AZ18)))</formula>
    </cfRule>
  </conditionalFormatting>
  <conditionalFormatting sqref="AZ18:BA18">
    <cfRule type="containsText" dxfId="13862" priority="14859" operator="containsText" text="A-H">
      <formula>NOT(ISERROR(SEARCH("A-H",AZ18)))</formula>
    </cfRule>
  </conditionalFormatting>
  <conditionalFormatting sqref="BC18:BD18">
    <cfRule type="cellIs" dxfId="13861" priority="14850" operator="equal">
      <formula>"C-Off-H"</formula>
    </cfRule>
    <cfRule type="cellIs" dxfId="13860" priority="14851" operator="equal">
      <formula>"C-Off"</formula>
    </cfRule>
    <cfRule type="cellIs" dxfId="13859" priority="14852" operator="equal">
      <formula>"CL-H"</formula>
    </cfRule>
    <cfRule type="cellIs" dxfId="13858" priority="14853" operator="equal">
      <formula>"EL-H"</formula>
    </cfRule>
    <cfRule type="cellIs" dxfId="13857" priority="14854" operator="equal">
      <formula>"CL"</formula>
    </cfRule>
    <cfRule type="cellIs" dxfId="13856" priority="14855" operator="equal">
      <formula>"EL"</formula>
    </cfRule>
  </conditionalFormatting>
  <conditionalFormatting sqref="BC18:BD18">
    <cfRule type="containsText" dxfId="13855" priority="14844" operator="containsText" text="S">
      <formula>NOT(ISERROR(SEARCH("S",BC18)))</formula>
    </cfRule>
    <cfRule type="containsText" dxfId="13854" priority="14845" operator="containsText" text="P">
      <formula>NOT(ISERROR(SEARCH("P",BC18)))</formula>
    </cfRule>
    <cfRule type="containsText" dxfId="13853" priority="14846" operator="containsText" text="H">
      <formula>NOT(ISERROR(SEARCH("H",BC18)))</formula>
    </cfRule>
    <cfRule type="containsText" dxfId="13852" priority="14848" operator="containsText" text="&quot;H&quot;">
      <formula>NOT(ISERROR(SEARCH("""H""",BC18)))</formula>
    </cfRule>
    <cfRule type="containsText" dxfId="13851" priority="14849" operator="containsText" text="&quot;A&quot;">
      <formula>NOT(ISERROR(SEARCH("""A""",BC18)))</formula>
    </cfRule>
  </conditionalFormatting>
  <conditionalFormatting sqref="BC18:BD18">
    <cfRule type="containsText" dxfId="13850" priority="14847" operator="containsText" text="A-H">
      <formula>NOT(ISERROR(SEARCH("A-H",BC18)))</formula>
    </cfRule>
  </conditionalFormatting>
  <conditionalFormatting sqref="BF18:BG18">
    <cfRule type="cellIs" dxfId="13849" priority="14838" operator="equal">
      <formula>"C-Off-H"</formula>
    </cfRule>
    <cfRule type="cellIs" dxfId="13848" priority="14839" operator="equal">
      <formula>"C-Off"</formula>
    </cfRule>
    <cfRule type="cellIs" dxfId="13847" priority="14840" operator="equal">
      <formula>"CL-H"</formula>
    </cfRule>
    <cfRule type="cellIs" dxfId="13846" priority="14841" operator="equal">
      <formula>"EL-H"</formula>
    </cfRule>
    <cfRule type="cellIs" dxfId="13845" priority="14842" operator="equal">
      <formula>"CL"</formula>
    </cfRule>
    <cfRule type="cellIs" dxfId="13844" priority="14843" operator="equal">
      <formula>"EL"</formula>
    </cfRule>
  </conditionalFormatting>
  <conditionalFormatting sqref="BF18:BG18">
    <cfRule type="containsText" dxfId="13843" priority="14832" operator="containsText" text="S">
      <formula>NOT(ISERROR(SEARCH("S",BF18)))</formula>
    </cfRule>
    <cfRule type="containsText" dxfId="13842" priority="14833" operator="containsText" text="P">
      <formula>NOT(ISERROR(SEARCH("P",BF18)))</formula>
    </cfRule>
    <cfRule type="containsText" dxfId="13841" priority="14834" operator="containsText" text="H">
      <formula>NOT(ISERROR(SEARCH("H",BF18)))</formula>
    </cfRule>
    <cfRule type="containsText" dxfId="13840" priority="14836" operator="containsText" text="&quot;H&quot;">
      <formula>NOT(ISERROR(SEARCH("""H""",BF18)))</formula>
    </cfRule>
    <cfRule type="containsText" dxfId="13839" priority="14837" operator="containsText" text="&quot;A&quot;">
      <formula>NOT(ISERROR(SEARCH("""A""",BF18)))</formula>
    </cfRule>
  </conditionalFormatting>
  <conditionalFormatting sqref="BF18:BG18">
    <cfRule type="containsText" dxfId="13838" priority="14835" operator="containsText" text="A-H">
      <formula>NOT(ISERROR(SEARCH("A-H",BF18)))</formula>
    </cfRule>
  </conditionalFormatting>
  <conditionalFormatting sqref="BI18:BJ18">
    <cfRule type="cellIs" dxfId="13837" priority="14826" operator="equal">
      <formula>"C-Off-H"</formula>
    </cfRule>
    <cfRule type="cellIs" dxfId="13836" priority="14827" operator="equal">
      <formula>"C-Off"</formula>
    </cfRule>
    <cfRule type="cellIs" dxfId="13835" priority="14828" operator="equal">
      <formula>"CL-H"</formula>
    </cfRule>
    <cfRule type="cellIs" dxfId="13834" priority="14829" operator="equal">
      <formula>"EL-H"</formula>
    </cfRule>
    <cfRule type="cellIs" dxfId="13833" priority="14830" operator="equal">
      <formula>"CL"</formula>
    </cfRule>
    <cfRule type="cellIs" dxfId="13832" priority="14831" operator="equal">
      <formula>"EL"</formula>
    </cfRule>
  </conditionalFormatting>
  <conditionalFormatting sqref="BI18:BJ18">
    <cfRule type="containsText" dxfId="13831" priority="14820" operator="containsText" text="S">
      <formula>NOT(ISERROR(SEARCH("S",BI18)))</formula>
    </cfRule>
    <cfRule type="containsText" dxfId="13830" priority="14821" operator="containsText" text="P">
      <formula>NOT(ISERROR(SEARCH("P",BI18)))</formula>
    </cfRule>
    <cfRule type="containsText" dxfId="13829" priority="14822" operator="containsText" text="H">
      <formula>NOT(ISERROR(SEARCH("H",BI18)))</formula>
    </cfRule>
    <cfRule type="containsText" dxfId="13828" priority="14824" operator="containsText" text="&quot;H&quot;">
      <formula>NOT(ISERROR(SEARCH("""H""",BI18)))</formula>
    </cfRule>
    <cfRule type="containsText" dxfId="13827" priority="14825" operator="containsText" text="&quot;A&quot;">
      <formula>NOT(ISERROR(SEARCH("""A""",BI18)))</formula>
    </cfRule>
  </conditionalFormatting>
  <conditionalFormatting sqref="BI18:BJ18">
    <cfRule type="containsText" dxfId="13826" priority="14823" operator="containsText" text="A-H">
      <formula>NOT(ISERROR(SEARCH("A-H",BI18)))</formula>
    </cfRule>
  </conditionalFormatting>
  <conditionalFormatting sqref="BL18:BM18">
    <cfRule type="cellIs" dxfId="13825" priority="14814" operator="equal">
      <formula>"C-Off-H"</formula>
    </cfRule>
    <cfRule type="cellIs" dxfId="13824" priority="14815" operator="equal">
      <formula>"C-Off"</formula>
    </cfRule>
    <cfRule type="cellIs" dxfId="13823" priority="14816" operator="equal">
      <formula>"CL-H"</formula>
    </cfRule>
    <cfRule type="cellIs" dxfId="13822" priority="14817" operator="equal">
      <formula>"EL-H"</formula>
    </cfRule>
    <cfRule type="cellIs" dxfId="13821" priority="14818" operator="equal">
      <formula>"CL"</formula>
    </cfRule>
    <cfRule type="cellIs" dxfId="13820" priority="14819" operator="equal">
      <formula>"EL"</formula>
    </cfRule>
  </conditionalFormatting>
  <conditionalFormatting sqref="BL18:BM18">
    <cfRule type="containsText" dxfId="13819" priority="14808" operator="containsText" text="S">
      <formula>NOT(ISERROR(SEARCH("S",BL18)))</formula>
    </cfRule>
    <cfRule type="containsText" dxfId="13818" priority="14809" operator="containsText" text="P">
      <formula>NOT(ISERROR(SEARCH("P",BL18)))</formula>
    </cfRule>
    <cfRule type="containsText" dxfId="13817" priority="14810" operator="containsText" text="H">
      <formula>NOT(ISERROR(SEARCH("H",BL18)))</formula>
    </cfRule>
    <cfRule type="containsText" dxfId="13816" priority="14812" operator="containsText" text="&quot;H&quot;">
      <formula>NOT(ISERROR(SEARCH("""H""",BL18)))</formula>
    </cfRule>
    <cfRule type="containsText" dxfId="13815" priority="14813" operator="containsText" text="&quot;A&quot;">
      <formula>NOT(ISERROR(SEARCH("""A""",BL18)))</formula>
    </cfRule>
  </conditionalFormatting>
  <conditionalFormatting sqref="BL18:BM18">
    <cfRule type="containsText" dxfId="13814" priority="14811" operator="containsText" text="A-H">
      <formula>NOT(ISERROR(SEARCH("A-H",BL18)))</formula>
    </cfRule>
  </conditionalFormatting>
  <conditionalFormatting sqref="BR18:BS18">
    <cfRule type="cellIs" dxfId="13813" priority="14802" operator="equal">
      <formula>"C-Off-H"</formula>
    </cfRule>
    <cfRule type="cellIs" dxfId="13812" priority="14803" operator="equal">
      <formula>"C-Off"</formula>
    </cfRule>
    <cfRule type="cellIs" dxfId="13811" priority="14804" operator="equal">
      <formula>"CL-H"</formula>
    </cfRule>
    <cfRule type="cellIs" dxfId="13810" priority="14805" operator="equal">
      <formula>"EL-H"</formula>
    </cfRule>
    <cfRule type="cellIs" dxfId="13809" priority="14806" operator="equal">
      <formula>"CL"</formula>
    </cfRule>
    <cfRule type="cellIs" dxfId="13808" priority="14807" operator="equal">
      <formula>"EL"</formula>
    </cfRule>
  </conditionalFormatting>
  <conditionalFormatting sqref="BR18:BS18">
    <cfRule type="containsText" dxfId="13807" priority="14796" operator="containsText" text="S">
      <formula>NOT(ISERROR(SEARCH("S",BR18)))</formula>
    </cfRule>
    <cfRule type="containsText" dxfId="13806" priority="14797" operator="containsText" text="P">
      <formula>NOT(ISERROR(SEARCH("P",BR18)))</formula>
    </cfRule>
    <cfRule type="containsText" dxfId="13805" priority="14798" operator="containsText" text="H">
      <formula>NOT(ISERROR(SEARCH("H",BR18)))</formula>
    </cfRule>
    <cfRule type="containsText" dxfId="13804" priority="14800" operator="containsText" text="&quot;H&quot;">
      <formula>NOT(ISERROR(SEARCH("""H""",BR18)))</formula>
    </cfRule>
    <cfRule type="containsText" dxfId="13803" priority="14801" operator="containsText" text="&quot;A&quot;">
      <formula>NOT(ISERROR(SEARCH("""A""",BR18)))</formula>
    </cfRule>
  </conditionalFormatting>
  <conditionalFormatting sqref="BR18:BS18">
    <cfRule type="containsText" dxfId="13802" priority="14799" operator="containsText" text="A-H">
      <formula>NOT(ISERROR(SEARCH("A-H",BR18)))</formula>
    </cfRule>
  </conditionalFormatting>
  <conditionalFormatting sqref="BU18:BV18">
    <cfRule type="cellIs" dxfId="13801" priority="14790" operator="equal">
      <formula>"C-Off-H"</formula>
    </cfRule>
    <cfRule type="cellIs" dxfId="13800" priority="14791" operator="equal">
      <formula>"C-Off"</formula>
    </cfRule>
    <cfRule type="cellIs" dxfId="13799" priority="14792" operator="equal">
      <formula>"CL-H"</formula>
    </cfRule>
    <cfRule type="cellIs" dxfId="13798" priority="14793" operator="equal">
      <formula>"EL-H"</formula>
    </cfRule>
    <cfRule type="cellIs" dxfId="13797" priority="14794" operator="equal">
      <formula>"CL"</formula>
    </cfRule>
    <cfRule type="cellIs" dxfId="13796" priority="14795" operator="equal">
      <formula>"EL"</formula>
    </cfRule>
  </conditionalFormatting>
  <conditionalFormatting sqref="BU18:BV18">
    <cfRule type="containsText" dxfId="13795" priority="14784" operator="containsText" text="S">
      <formula>NOT(ISERROR(SEARCH("S",BU18)))</formula>
    </cfRule>
    <cfRule type="containsText" dxfId="13794" priority="14785" operator="containsText" text="P">
      <formula>NOT(ISERROR(SEARCH("P",BU18)))</formula>
    </cfRule>
    <cfRule type="containsText" dxfId="13793" priority="14786" operator="containsText" text="H">
      <formula>NOT(ISERROR(SEARCH("H",BU18)))</formula>
    </cfRule>
    <cfRule type="containsText" dxfId="13792" priority="14788" operator="containsText" text="&quot;H&quot;">
      <formula>NOT(ISERROR(SEARCH("""H""",BU18)))</formula>
    </cfRule>
    <cfRule type="containsText" dxfId="13791" priority="14789" operator="containsText" text="&quot;A&quot;">
      <formula>NOT(ISERROR(SEARCH("""A""",BU18)))</formula>
    </cfRule>
  </conditionalFormatting>
  <conditionalFormatting sqref="BU18:BV18">
    <cfRule type="containsText" dxfId="13790" priority="14787" operator="containsText" text="A-H">
      <formula>NOT(ISERROR(SEARCH("A-H",BU18)))</formula>
    </cfRule>
  </conditionalFormatting>
  <conditionalFormatting sqref="BY18">
    <cfRule type="cellIs" dxfId="13789" priority="14778" operator="equal">
      <formula>"C-Off-H"</formula>
    </cfRule>
    <cfRule type="cellIs" dxfId="13788" priority="14779" operator="equal">
      <formula>"C-Off"</formula>
    </cfRule>
    <cfRule type="cellIs" dxfId="13787" priority="14780" operator="equal">
      <formula>"CL-H"</formula>
    </cfRule>
    <cfRule type="cellIs" dxfId="13786" priority="14781" operator="equal">
      <formula>"EL-H"</formula>
    </cfRule>
    <cfRule type="cellIs" dxfId="13785" priority="14782" operator="equal">
      <formula>"CL"</formula>
    </cfRule>
    <cfRule type="cellIs" dxfId="13784" priority="14783" operator="equal">
      <formula>"EL"</formula>
    </cfRule>
  </conditionalFormatting>
  <conditionalFormatting sqref="BY18">
    <cfRule type="containsText" dxfId="13783" priority="14772" operator="containsText" text="S">
      <formula>NOT(ISERROR(SEARCH("S",BY18)))</formula>
    </cfRule>
    <cfRule type="containsText" dxfId="13782" priority="14773" operator="containsText" text="P">
      <formula>NOT(ISERROR(SEARCH("P",BY18)))</formula>
    </cfRule>
    <cfRule type="containsText" dxfId="13781" priority="14774" operator="containsText" text="H">
      <formula>NOT(ISERROR(SEARCH("H",BY18)))</formula>
    </cfRule>
    <cfRule type="containsText" dxfId="13780" priority="14776" operator="containsText" text="&quot;H&quot;">
      <formula>NOT(ISERROR(SEARCH("""H""",BY18)))</formula>
    </cfRule>
    <cfRule type="containsText" dxfId="13779" priority="14777" operator="containsText" text="&quot;A&quot;">
      <formula>NOT(ISERROR(SEARCH("""A""",BY18)))</formula>
    </cfRule>
  </conditionalFormatting>
  <conditionalFormatting sqref="BY18">
    <cfRule type="containsText" dxfId="13778" priority="14775" operator="containsText" text="A-H">
      <formula>NOT(ISERROR(SEARCH("A-H",BY18)))</formula>
    </cfRule>
  </conditionalFormatting>
  <conditionalFormatting sqref="BX18">
    <cfRule type="cellIs" dxfId="13777" priority="14766" operator="equal">
      <formula>"C-Off-H"</formula>
    </cfRule>
    <cfRule type="cellIs" dxfId="13776" priority="14767" operator="equal">
      <formula>"C-Off"</formula>
    </cfRule>
    <cfRule type="cellIs" dxfId="13775" priority="14768" operator="equal">
      <formula>"CL-H"</formula>
    </cfRule>
    <cfRule type="cellIs" dxfId="13774" priority="14769" operator="equal">
      <formula>"EL-H"</formula>
    </cfRule>
    <cfRule type="cellIs" dxfId="13773" priority="14770" operator="equal">
      <formula>"CL"</formula>
    </cfRule>
    <cfRule type="cellIs" dxfId="13772" priority="14771" operator="equal">
      <formula>"EL"</formula>
    </cfRule>
  </conditionalFormatting>
  <conditionalFormatting sqref="BX18">
    <cfRule type="containsText" dxfId="13771" priority="14760" operator="containsText" text="S">
      <formula>NOT(ISERROR(SEARCH("S",BX18)))</formula>
    </cfRule>
    <cfRule type="containsText" dxfId="13770" priority="14761" operator="containsText" text="P">
      <formula>NOT(ISERROR(SEARCH("P",BX18)))</formula>
    </cfRule>
    <cfRule type="containsText" dxfId="13769" priority="14762" operator="containsText" text="H">
      <formula>NOT(ISERROR(SEARCH("H",BX18)))</formula>
    </cfRule>
    <cfRule type="containsText" dxfId="13768" priority="14764" operator="containsText" text="&quot;H&quot;">
      <formula>NOT(ISERROR(SEARCH("""H""",BX18)))</formula>
    </cfRule>
    <cfRule type="containsText" dxfId="13767" priority="14765" operator="containsText" text="&quot;A&quot;">
      <formula>NOT(ISERROR(SEARCH("""A""",BX18)))</formula>
    </cfRule>
  </conditionalFormatting>
  <conditionalFormatting sqref="BX18">
    <cfRule type="containsText" dxfId="13766" priority="14763" operator="containsText" text="A-H">
      <formula>NOT(ISERROR(SEARCH("A-H",BX18)))</formula>
    </cfRule>
  </conditionalFormatting>
  <conditionalFormatting sqref="J18:K18">
    <cfRule type="cellIs" dxfId="13765" priority="14754" operator="equal">
      <formula>"C-Off-H"</formula>
    </cfRule>
    <cfRule type="cellIs" dxfId="13764" priority="14755" operator="equal">
      <formula>"C-Off"</formula>
    </cfRule>
    <cfRule type="cellIs" dxfId="13763" priority="14756" operator="equal">
      <formula>"CL-H"</formula>
    </cfRule>
    <cfRule type="cellIs" dxfId="13762" priority="14757" operator="equal">
      <formula>"EL-H"</formula>
    </cfRule>
    <cfRule type="cellIs" dxfId="13761" priority="14758" operator="equal">
      <formula>"CL"</formula>
    </cfRule>
    <cfRule type="cellIs" dxfId="13760" priority="14759" operator="equal">
      <formula>"EL"</formula>
    </cfRule>
  </conditionalFormatting>
  <conditionalFormatting sqref="J18:K18">
    <cfRule type="containsText" dxfId="13759" priority="14748" operator="containsText" text="S">
      <formula>NOT(ISERROR(SEARCH("S",J18)))</formula>
    </cfRule>
    <cfRule type="containsText" dxfId="13758" priority="14749" operator="containsText" text="P">
      <formula>NOT(ISERROR(SEARCH("P",J18)))</formula>
    </cfRule>
    <cfRule type="containsText" dxfId="13757" priority="14750" operator="containsText" text="H">
      <formula>NOT(ISERROR(SEARCH("H",J18)))</formula>
    </cfRule>
    <cfRule type="containsText" dxfId="13756" priority="14752" operator="containsText" text="&quot;H&quot;">
      <formula>NOT(ISERROR(SEARCH("""H""",J18)))</formula>
    </cfRule>
    <cfRule type="containsText" dxfId="13755" priority="14753" operator="containsText" text="&quot;A&quot;">
      <formula>NOT(ISERROR(SEARCH("""A""",J18)))</formula>
    </cfRule>
  </conditionalFormatting>
  <conditionalFormatting sqref="J18:K18">
    <cfRule type="containsText" dxfId="13754" priority="14751" operator="containsText" text="A-H">
      <formula>NOT(ISERROR(SEARCH("A-H",J18)))</formula>
    </cfRule>
  </conditionalFormatting>
  <conditionalFormatting sqref="M16:N16 DC16 CQ16:CW16">
    <cfRule type="cellIs" dxfId="13753" priority="14742" operator="equal">
      <formula>"C-Off-H"</formula>
    </cfRule>
    <cfRule type="cellIs" dxfId="13752" priority="14743" operator="equal">
      <formula>"C-Off"</formula>
    </cfRule>
    <cfRule type="cellIs" dxfId="13751" priority="14744" operator="equal">
      <formula>"CL-H"</formula>
    </cfRule>
    <cfRule type="cellIs" dxfId="13750" priority="14745" operator="equal">
      <formula>"EL-H"</formula>
    </cfRule>
    <cfRule type="cellIs" dxfId="13749" priority="14746" operator="equal">
      <formula>"CL"</formula>
    </cfRule>
    <cfRule type="cellIs" dxfId="13748" priority="14747" operator="equal">
      <formula>"EL"</formula>
    </cfRule>
  </conditionalFormatting>
  <conditionalFormatting sqref="M16:N16 DC16 CQ16:CW16 CY16:DA16">
    <cfRule type="containsText" dxfId="13747" priority="14741" operator="containsText" text="A-H">
      <formula>NOT(ISERROR(SEARCH("A-H",M16)))</formula>
    </cfRule>
  </conditionalFormatting>
  <conditionalFormatting sqref="DC16 CQ16:CW16 CY16:DA16">
    <cfRule type="containsText" dxfId="13746" priority="14740" operator="containsText" text="A">
      <formula>NOT(ISERROR(SEARCH("A",CQ16)))</formula>
    </cfRule>
  </conditionalFormatting>
  <conditionalFormatting sqref="CY16 DA16">
    <cfRule type="cellIs" dxfId="13745" priority="14734" stopIfTrue="1" operator="equal">
      <formula>"C-Off-H"</formula>
    </cfRule>
    <cfRule type="cellIs" dxfId="13744" priority="14735" stopIfTrue="1" operator="equal">
      <formula>"C-Off"</formula>
    </cfRule>
    <cfRule type="cellIs" dxfId="13743" priority="14736" stopIfTrue="1" operator="equal">
      <formula>"CL-H"</formula>
    </cfRule>
    <cfRule type="cellIs" dxfId="13742" priority="14737" stopIfTrue="1" operator="equal">
      <formula>"EL-H"</formula>
    </cfRule>
    <cfRule type="cellIs" dxfId="13741" priority="14738" stopIfTrue="1" operator="equal">
      <formula>"CL"</formula>
    </cfRule>
    <cfRule type="cellIs" dxfId="13740" priority="14739" stopIfTrue="1" operator="equal">
      <formula>"EL"</formula>
    </cfRule>
  </conditionalFormatting>
  <conditionalFormatting sqref="CZ16">
    <cfRule type="cellIs" dxfId="13739" priority="14728" stopIfTrue="1" operator="equal">
      <formula>"C-Off-H"</formula>
    </cfRule>
    <cfRule type="cellIs" dxfId="13738" priority="14729" stopIfTrue="1" operator="equal">
      <formula>"C-Off"</formula>
    </cfRule>
    <cfRule type="cellIs" dxfId="13737" priority="14730" stopIfTrue="1" operator="equal">
      <formula>"CL-H"</formula>
    </cfRule>
    <cfRule type="cellIs" dxfId="13736" priority="14731" stopIfTrue="1" operator="equal">
      <formula>"EL-H"</formula>
    </cfRule>
    <cfRule type="cellIs" dxfId="13735" priority="14732" stopIfTrue="1" operator="equal">
      <formula>"CL"</formula>
    </cfRule>
    <cfRule type="cellIs" dxfId="13734" priority="14733" stopIfTrue="1" operator="equal">
      <formula>"EL"</formula>
    </cfRule>
  </conditionalFormatting>
  <conditionalFormatting sqref="M16:N16">
    <cfRule type="containsText" dxfId="13733" priority="14723" operator="containsText" text="S">
      <formula>NOT(ISERROR(SEARCH("S",M16)))</formula>
    </cfRule>
    <cfRule type="containsText" dxfId="13732" priority="14724" operator="containsText" text="P">
      <formula>NOT(ISERROR(SEARCH("P",M16)))</formula>
    </cfRule>
    <cfRule type="containsText" dxfId="13731" priority="14725" operator="containsText" text="H">
      <formula>NOT(ISERROR(SEARCH("H",M16)))</formula>
    </cfRule>
    <cfRule type="containsText" dxfId="13730" priority="14726" operator="containsText" text="&quot;H&quot;">
      <formula>NOT(ISERROR(SEARCH("""H""",M16)))</formula>
    </cfRule>
    <cfRule type="containsText" dxfId="13729" priority="14727" operator="containsText" text="&quot;A&quot;">
      <formula>NOT(ISERROR(SEARCH("""A""",M16)))</formula>
    </cfRule>
  </conditionalFormatting>
  <conditionalFormatting sqref="DD16">
    <cfRule type="cellIs" dxfId="13728" priority="14717" operator="equal">
      <formula>"C-Off-H"</formula>
    </cfRule>
    <cfRule type="cellIs" dxfId="13727" priority="14718" operator="equal">
      <formula>"C-Off"</formula>
    </cfRule>
    <cfRule type="cellIs" dxfId="13726" priority="14719" operator="equal">
      <formula>"CL-H"</formula>
    </cfRule>
    <cfRule type="cellIs" dxfId="13725" priority="14720" operator="equal">
      <formula>"EL-H"</formula>
    </cfRule>
    <cfRule type="cellIs" dxfId="13724" priority="14721" operator="equal">
      <formula>"CL"</formula>
    </cfRule>
    <cfRule type="cellIs" dxfId="13723" priority="14722" operator="equal">
      <formula>"EL"</formula>
    </cfRule>
  </conditionalFormatting>
  <conditionalFormatting sqref="DD16">
    <cfRule type="containsText" dxfId="13722" priority="14716" operator="containsText" text="A">
      <formula>NOT(ISERROR(SEARCH("A",DD16)))</formula>
    </cfRule>
  </conditionalFormatting>
  <conditionalFormatting sqref="DD16">
    <cfRule type="containsText" dxfId="13721" priority="14715" operator="containsText" text="A-H">
      <formula>NOT(ISERROR(SEARCH("A-H",DD16)))</formula>
    </cfRule>
  </conditionalFormatting>
  <conditionalFormatting sqref="AI16">
    <cfRule type="cellIs" dxfId="13720" priority="14709" operator="equal">
      <formula>"C-Off-H"</formula>
    </cfRule>
    <cfRule type="cellIs" dxfId="13719" priority="14710" operator="equal">
      <formula>"C-Off"</formula>
    </cfRule>
    <cfRule type="cellIs" dxfId="13718" priority="14711" operator="equal">
      <formula>"CL-H"</formula>
    </cfRule>
    <cfRule type="cellIs" dxfId="13717" priority="14712" operator="equal">
      <formula>"EL-H"</formula>
    </cfRule>
    <cfRule type="cellIs" dxfId="13716" priority="14713" operator="equal">
      <formula>"CL"</formula>
    </cfRule>
    <cfRule type="cellIs" dxfId="13715" priority="14714" operator="equal">
      <formula>"EL"</formula>
    </cfRule>
  </conditionalFormatting>
  <conditionalFormatting sqref="AH16:AI16">
    <cfRule type="cellIs" dxfId="13714" priority="14703" operator="equal">
      <formula>"C-Off-H"</formula>
    </cfRule>
    <cfRule type="cellIs" dxfId="13713" priority="14704" operator="equal">
      <formula>"C-Off"</formula>
    </cfRule>
    <cfRule type="cellIs" dxfId="13712" priority="14705" operator="equal">
      <formula>"CL-H"</formula>
    </cfRule>
    <cfRule type="cellIs" dxfId="13711" priority="14706" operator="equal">
      <formula>"EL-H"</formula>
    </cfRule>
    <cfRule type="cellIs" dxfId="13710" priority="14707" operator="equal">
      <formula>"CL"</formula>
    </cfRule>
    <cfRule type="cellIs" dxfId="13709" priority="14708" operator="equal">
      <formula>"EL"</formula>
    </cfRule>
  </conditionalFormatting>
  <conditionalFormatting sqref="AH16:AI16">
    <cfRule type="containsText" dxfId="13708" priority="14697" operator="containsText" text="S">
      <formula>NOT(ISERROR(SEARCH("S",AH16)))</formula>
    </cfRule>
    <cfRule type="containsText" dxfId="13707" priority="14698" operator="containsText" text="P">
      <formula>NOT(ISERROR(SEARCH("P",AH16)))</formula>
    </cfRule>
    <cfRule type="containsText" dxfId="13706" priority="14699" operator="containsText" text="H">
      <formula>NOT(ISERROR(SEARCH("H",AH16)))</formula>
    </cfRule>
    <cfRule type="containsText" dxfId="13705" priority="14701" operator="containsText" text="&quot;H&quot;">
      <formula>NOT(ISERROR(SEARCH("""H""",AH16)))</formula>
    </cfRule>
    <cfRule type="containsText" dxfId="13704" priority="14702" operator="containsText" text="&quot;A&quot;">
      <formula>NOT(ISERROR(SEARCH("""A""",AH16)))</formula>
    </cfRule>
  </conditionalFormatting>
  <conditionalFormatting sqref="AH16:AI16">
    <cfRule type="containsText" dxfId="13703" priority="14700" operator="containsText" text="A-H">
      <formula>NOT(ISERROR(SEARCH("A-H",AH16)))</formula>
    </cfRule>
  </conditionalFormatting>
  <conditionalFormatting sqref="AU16">
    <cfRule type="cellIs" dxfId="13702" priority="14691" operator="equal">
      <formula>"C-Off-H"</formula>
    </cfRule>
    <cfRule type="cellIs" dxfId="13701" priority="14692" operator="equal">
      <formula>"C-Off"</formula>
    </cfRule>
    <cfRule type="cellIs" dxfId="13700" priority="14693" operator="equal">
      <formula>"CL-H"</formula>
    </cfRule>
    <cfRule type="cellIs" dxfId="13699" priority="14694" operator="equal">
      <formula>"EL-H"</formula>
    </cfRule>
    <cfRule type="cellIs" dxfId="13698" priority="14695" operator="equal">
      <formula>"CL"</formula>
    </cfRule>
    <cfRule type="cellIs" dxfId="13697" priority="14696" operator="equal">
      <formula>"EL"</formula>
    </cfRule>
  </conditionalFormatting>
  <conditionalFormatting sqref="AT16:AU16">
    <cfRule type="cellIs" dxfId="13696" priority="14685" operator="equal">
      <formula>"C-Off-H"</formula>
    </cfRule>
    <cfRule type="cellIs" dxfId="13695" priority="14686" operator="equal">
      <formula>"C-Off"</formula>
    </cfRule>
    <cfRule type="cellIs" dxfId="13694" priority="14687" operator="equal">
      <formula>"CL-H"</formula>
    </cfRule>
    <cfRule type="cellIs" dxfId="13693" priority="14688" operator="equal">
      <formula>"EL-H"</formula>
    </cfRule>
    <cfRule type="cellIs" dxfId="13692" priority="14689" operator="equal">
      <formula>"CL"</formula>
    </cfRule>
    <cfRule type="cellIs" dxfId="13691" priority="14690" operator="equal">
      <formula>"EL"</formula>
    </cfRule>
  </conditionalFormatting>
  <conditionalFormatting sqref="AT16:AU16">
    <cfRule type="containsText" dxfId="13690" priority="14679" operator="containsText" text="S">
      <formula>NOT(ISERROR(SEARCH("S",AT16)))</formula>
    </cfRule>
    <cfRule type="containsText" dxfId="13689" priority="14680" operator="containsText" text="P">
      <formula>NOT(ISERROR(SEARCH("P",AT16)))</formula>
    </cfRule>
    <cfRule type="containsText" dxfId="13688" priority="14681" operator="containsText" text="H">
      <formula>NOT(ISERROR(SEARCH("H",AT16)))</formula>
    </cfRule>
    <cfRule type="containsText" dxfId="13687" priority="14683" operator="containsText" text="&quot;H&quot;">
      <formula>NOT(ISERROR(SEARCH("""H""",AT16)))</formula>
    </cfRule>
    <cfRule type="containsText" dxfId="13686" priority="14684" operator="containsText" text="&quot;A&quot;">
      <formula>NOT(ISERROR(SEARCH("""A""",AT16)))</formula>
    </cfRule>
  </conditionalFormatting>
  <conditionalFormatting sqref="AT16:AU16">
    <cfRule type="containsText" dxfId="13685" priority="14682" operator="containsText" text="A-H">
      <formula>NOT(ISERROR(SEARCH("A-H",AT16)))</formula>
    </cfRule>
  </conditionalFormatting>
  <conditionalFormatting sqref="E16">
    <cfRule type="cellIs" dxfId="13684" priority="14673" operator="equal">
      <formula>"C-Off-H"</formula>
    </cfRule>
    <cfRule type="cellIs" dxfId="13683" priority="14674" operator="equal">
      <formula>"C-Off"</formula>
    </cfRule>
    <cfRule type="cellIs" dxfId="13682" priority="14675" operator="equal">
      <formula>"CL-H"</formula>
    </cfRule>
    <cfRule type="cellIs" dxfId="13681" priority="14676" operator="equal">
      <formula>"EL-H"</formula>
    </cfRule>
    <cfRule type="cellIs" dxfId="13680" priority="14677" operator="equal">
      <formula>"CL"</formula>
    </cfRule>
    <cfRule type="cellIs" dxfId="13679" priority="14678" operator="equal">
      <formula>"EL"</formula>
    </cfRule>
  </conditionalFormatting>
  <conditionalFormatting sqref="D16:E16">
    <cfRule type="cellIs" dxfId="13678" priority="14667" operator="equal">
      <formula>"C-Off-H"</formula>
    </cfRule>
    <cfRule type="cellIs" dxfId="13677" priority="14668" operator="equal">
      <formula>"C-Off"</formula>
    </cfRule>
    <cfRule type="cellIs" dxfId="13676" priority="14669" operator="equal">
      <formula>"CL-H"</formula>
    </cfRule>
    <cfRule type="cellIs" dxfId="13675" priority="14670" operator="equal">
      <formula>"EL-H"</formula>
    </cfRule>
    <cfRule type="cellIs" dxfId="13674" priority="14671" operator="equal">
      <formula>"CL"</formula>
    </cfRule>
    <cfRule type="cellIs" dxfId="13673" priority="14672" operator="equal">
      <formula>"EL"</formula>
    </cfRule>
  </conditionalFormatting>
  <conditionalFormatting sqref="D16:E16">
    <cfRule type="containsText" dxfId="13672" priority="14661" operator="containsText" text="S">
      <formula>NOT(ISERROR(SEARCH("S",D16)))</formula>
    </cfRule>
    <cfRule type="containsText" dxfId="13671" priority="14662" operator="containsText" text="P">
      <formula>NOT(ISERROR(SEARCH("P",D16)))</formula>
    </cfRule>
    <cfRule type="containsText" dxfId="13670" priority="14663" operator="containsText" text="H">
      <formula>NOT(ISERROR(SEARCH("H",D16)))</formula>
    </cfRule>
    <cfRule type="containsText" dxfId="13669" priority="14665" operator="containsText" text="&quot;H&quot;">
      <formula>NOT(ISERROR(SEARCH("""H""",D16)))</formula>
    </cfRule>
    <cfRule type="containsText" dxfId="13668" priority="14666" operator="containsText" text="&quot;A&quot;">
      <formula>NOT(ISERROR(SEARCH("""A""",D16)))</formula>
    </cfRule>
  </conditionalFormatting>
  <conditionalFormatting sqref="D16:E16">
    <cfRule type="containsText" dxfId="13667" priority="14664" operator="containsText" text="A-H">
      <formula>NOT(ISERROR(SEARCH("A-H",D16)))</formula>
    </cfRule>
  </conditionalFormatting>
  <conditionalFormatting sqref="Y16">
    <cfRule type="cellIs" dxfId="13666" priority="14655" operator="equal">
      <formula>"C-Off-H"</formula>
    </cfRule>
    <cfRule type="cellIs" dxfId="13665" priority="14656" operator="equal">
      <formula>"C-Off"</formula>
    </cfRule>
    <cfRule type="cellIs" dxfId="13664" priority="14657" operator="equal">
      <formula>"CL-H"</formula>
    </cfRule>
    <cfRule type="cellIs" dxfId="13663" priority="14658" operator="equal">
      <formula>"EL-H"</formula>
    </cfRule>
    <cfRule type="cellIs" dxfId="13662" priority="14659" operator="equal">
      <formula>"CL"</formula>
    </cfRule>
    <cfRule type="cellIs" dxfId="13661" priority="14660" operator="equal">
      <formula>"EL"</formula>
    </cfRule>
  </conditionalFormatting>
  <conditionalFormatting sqref="Y16">
    <cfRule type="containsText" dxfId="13660" priority="14649" operator="containsText" text="S">
      <formula>NOT(ISERROR(SEARCH("S",Y16)))</formula>
    </cfRule>
    <cfRule type="containsText" dxfId="13659" priority="14650" operator="containsText" text="P">
      <formula>NOT(ISERROR(SEARCH("P",Y16)))</formula>
    </cfRule>
    <cfRule type="containsText" dxfId="13658" priority="14651" operator="containsText" text="H">
      <formula>NOT(ISERROR(SEARCH("H",Y16)))</formula>
    </cfRule>
    <cfRule type="containsText" dxfId="13657" priority="14653" operator="containsText" text="&quot;H&quot;">
      <formula>NOT(ISERROR(SEARCH("""H""",Y16)))</formula>
    </cfRule>
    <cfRule type="containsText" dxfId="13656" priority="14654" operator="containsText" text="&quot;A&quot;">
      <formula>NOT(ISERROR(SEARCH("""A""",Y16)))</formula>
    </cfRule>
  </conditionalFormatting>
  <conditionalFormatting sqref="Y16">
    <cfRule type="containsText" dxfId="13655" priority="14652" operator="containsText" text="A-H">
      <formula>NOT(ISERROR(SEARCH("A-H",Y16)))</formula>
    </cfRule>
  </conditionalFormatting>
  <conditionalFormatting sqref="AF16">
    <cfRule type="cellIs" dxfId="13654" priority="14643" operator="equal">
      <formula>"C-Off-H"</formula>
    </cfRule>
    <cfRule type="cellIs" dxfId="13653" priority="14644" operator="equal">
      <formula>"C-Off"</formula>
    </cfRule>
    <cfRule type="cellIs" dxfId="13652" priority="14645" operator="equal">
      <formula>"CL-H"</formula>
    </cfRule>
    <cfRule type="cellIs" dxfId="13651" priority="14646" operator="equal">
      <formula>"EL-H"</formula>
    </cfRule>
    <cfRule type="cellIs" dxfId="13650" priority="14647" operator="equal">
      <formula>"CL"</formula>
    </cfRule>
    <cfRule type="cellIs" dxfId="13649" priority="14648" operator="equal">
      <formula>"EL"</formula>
    </cfRule>
  </conditionalFormatting>
  <conditionalFormatting sqref="AF16">
    <cfRule type="containsText" dxfId="13648" priority="14637" operator="containsText" text="S">
      <formula>NOT(ISERROR(SEARCH("S",AF16)))</formula>
    </cfRule>
    <cfRule type="containsText" dxfId="13647" priority="14638" operator="containsText" text="P">
      <formula>NOT(ISERROR(SEARCH("P",AF16)))</formula>
    </cfRule>
    <cfRule type="containsText" dxfId="13646" priority="14639" operator="containsText" text="H">
      <formula>NOT(ISERROR(SEARCH("H",AF16)))</formula>
    </cfRule>
    <cfRule type="containsText" dxfId="13645" priority="14641" operator="containsText" text="&quot;H&quot;">
      <formula>NOT(ISERROR(SEARCH("""H""",AF16)))</formula>
    </cfRule>
    <cfRule type="containsText" dxfId="13644" priority="14642" operator="containsText" text="&quot;A&quot;">
      <formula>NOT(ISERROR(SEARCH("""A""",AF16)))</formula>
    </cfRule>
  </conditionalFormatting>
  <conditionalFormatting sqref="AF16">
    <cfRule type="containsText" dxfId="13643" priority="14640" operator="containsText" text="A-H">
      <formula>NOT(ISERROR(SEARCH("A-H",AF16)))</formula>
    </cfRule>
  </conditionalFormatting>
  <conditionalFormatting sqref="BO16:BP16">
    <cfRule type="cellIs" dxfId="13642" priority="14631" operator="equal">
      <formula>"C-Off-H"</formula>
    </cfRule>
    <cfRule type="cellIs" dxfId="13641" priority="14632" operator="equal">
      <formula>"C-Off"</formula>
    </cfRule>
    <cfRule type="cellIs" dxfId="13640" priority="14633" operator="equal">
      <formula>"CL-H"</formula>
    </cfRule>
    <cfRule type="cellIs" dxfId="13639" priority="14634" operator="equal">
      <formula>"EL-H"</formula>
    </cfRule>
    <cfRule type="cellIs" dxfId="13638" priority="14635" operator="equal">
      <formula>"CL"</formula>
    </cfRule>
    <cfRule type="cellIs" dxfId="13637" priority="14636" operator="equal">
      <formula>"EL"</formula>
    </cfRule>
  </conditionalFormatting>
  <conditionalFormatting sqref="BO16:BP16">
    <cfRule type="cellIs" dxfId="13636" priority="14625" operator="equal">
      <formula>"C-Off-H"</formula>
    </cfRule>
    <cfRule type="cellIs" dxfId="13635" priority="14626" operator="equal">
      <formula>"C-Off"</formula>
    </cfRule>
    <cfRule type="cellIs" dxfId="13634" priority="14627" operator="equal">
      <formula>"CL-H"</formula>
    </cfRule>
    <cfRule type="cellIs" dxfId="13633" priority="14628" operator="equal">
      <formula>"EL-H"</formula>
    </cfRule>
    <cfRule type="cellIs" dxfId="13632" priority="14629" operator="equal">
      <formula>"CL"</formula>
    </cfRule>
    <cfRule type="cellIs" dxfId="13631" priority="14630" operator="equal">
      <formula>"EL"</formula>
    </cfRule>
  </conditionalFormatting>
  <conditionalFormatting sqref="BO16:BP16">
    <cfRule type="containsText" dxfId="13630" priority="14619" operator="containsText" text="S">
      <formula>NOT(ISERROR(SEARCH("S",BO16)))</formula>
    </cfRule>
    <cfRule type="containsText" dxfId="13629" priority="14620" operator="containsText" text="P">
      <formula>NOT(ISERROR(SEARCH("P",BO16)))</formula>
    </cfRule>
    <cfRule type="containsText" dxfId="13628" priority="14621" operator="containsText" text="H">
      <formula>NOT(ISERROR(SEARCH("H",BO16)))</formula>
    </cfRule>
    <cfRule type="containsText" dxfId="13627" priority="14623" operator="containsText" text="&quot;H&quot;">
      <formula>NOT(ISERROR(SEARCH("""H""",BO16)))</formula>
    </cfRule>
    <cfRule type="containsText" dxfId="13626" priority="14624" operator="containsText" text="&quot;A&quot;">
      <formula>NOT(ISERROR(SEARCH("""A""",BO16)))</formula>
    </cfRule>
  </conditionalFormatting>
  <conditionalFormatting sqref="BO16:BP16">
    <cfRule type="containsText" dxfId="13625" priority="14622" operator="containsText" text="A-H">
      <formula>NOT(ISERROR(SEARCH("A-H",BO16)))</formula>
    </cfRule>
  </conditionalFormatting>
  <conditionalFormatting sqref="CM16">
    <cfRule type="cellIs" dxfId="13624" priority="14613" operator="equal">
      <formula>"C-Off-H"</formula>
    </cfRule>
    <cfRule type="cellIs" dxfId="13623" priority="14614" operator="equal">
      <formula>"C-Off"</formula>
    </cfRule>
    <cfRule type="cellIs" dxfId="13622" priority="14615" operator="equal">
      <formula>"CL-H"</formula>
    </cfRule>
    <cfRule type="cellIs" dxfId="13621" priority="14616" operator="equal">
      <formula>"EL-H"</formula>
    </cfRule>
    <cfRule type="cellIs" dxfId="13620" priority="14617" operator="equal">
      <formula>"CL"</formula>
    </cfRule>
    <cfRule type="cellIs" dxfId="13619" priority="14618" operator="equal">
      <formula>"EL"</formula>
    </cfRule>
  </conditionalFormatting>
  <conditionalFormatting sqref="CM16">
    <cfRule type="cellIs" dxfId="13618" priority="14607" operator="equal">
      <formula>"C-Off-H"</formula>
    </cfRule>
    <cfRule type="cellIs" dxfId="13617" priority="14608" operator="equal">
      <formula>"C-Off"</formula>
    </cfRule>
    <cfRule type="cellIs" dxfId="13616" priority="14609" operator="equal">
      <formula>"CL-H"</formula>
    </cfRule>
    <cfRule type="cellIs" dxfId="13615" priority="14610" operator="equal">
      <formula>"EL-H"</formula>
    </cfRule>
    <cfRule type="cellIs" dxfId="13614" priority="14611" operator="equal">
      <formula>"CL"</formula>
    </cfRule>
    <cfRule type="cellIs" dxfId="13613" priority="14612" operator="equal">
      <formula>"EL"</formula>
    </cfRule>
  </conditionalFormatting>
  <conditionalFormatting sqref="CM16">
    <cfRule type="containsText" dxfId="13612" priority="14601" operator="containsText" text="S">
      <formula>NOT(ISERROR(SEARCH("S",CM16)))</formula>
    </cfRule>
    <cfRule type="containsText" dxfId="13611" priority="14602" operator="containsText" text="P">
      <formula>NOT(ISERROR(SEARCH("P",CM16)))</formula>
    </cfRule>
    <cfRule type="containsText" dxfId="13610" priority="14603" operator="containsText" text="H">
      <formula>NOT(ISERROR(SEARCH("H",CM16)))</formula>
    </cfRule>
    <cfRule type="containsText" dxfId="13609" priority="14605" operator="containsText" text="&quot;H&quot;">
      <formula>NOT(ISERROR(SEARCH("""H""",CM16)))</formula>
    </cfRule>
    <cfRule type="containsText" dxfId="13608" priority="14606" operator="containsText" text="&quot;A&quot;">
      <formula>NOT(ISERROR(SEARCH("""A""",CM16)))</formula>
    </cfRule>
  </conditionalFormatting>
  <conditionalFormatting sqref="CM16">
    <cfRule type="containsText" dxfId="13607" priority="14604" operator="containsText" text="A-H">
      <formula>NOT(ISERROR(SEARCH("A-H",CM16)))</formula>
    </cfRule>
  </conditionalFormatting>
  <conditionalFormatting sqref="V16:W16">
    <cfRule type="cellIs" dxfId="13606" priority="14571" operator="equal">
      <formula>"C-Off-H"</formula>
    </cfRule>
    <cfRule type="cellIs" dxfId="13605" priority="14572" operator="equal">
      <formula>"C-Off"</formula>
    </cfRule>
    <cfRule type="cellIs" dxfId="13604" priority="14573" operator="equal">
      <formula>"CL-H"</formula>
    </cfRule>
    <cfRule type="cellIs" dxfId="13603" priority="14574" operator="equal">
      <formula>"EL-H"</formula>
    </cfRule>
    <cfRule type="cellIs" dxfId="13602" priority="14575" operator="equal">
      <formula>"CL"</formula>
    </cfRule>
    <cfRule type="cellIs" dxfId="13601" priority="14576" operator="equal">
      <formula>"EL"</formula>
    </cfRule>
  </conditionalFormatting>
  <conditionalFormatting sqref="V16:W16">
    <cfRule type="containsText" dxfId="13600" priority="14565" operator="containsText" text="S">
      <formula>NOT(ISERROR(SEARCH("S",V16)))</formula>
    </cfRule>
    <cfRule type="containsText" dxfId="13599" priority="14566" operator="containsText" text="P">
      <formula>NOT(ISERROR(SEARCH("P",V16)))</formula>
    </cfRule>
    <cfRule type="containsText" dxfId="13598" priority="14567" operator="containsText" text="H">
      <formula>NOT(ISERROR(SEARCH("H",V16)))</formula>
    </cfRule>
    <cfRule type="containsText" dxfId="13597" priority="14569" operator="containsText" text="&quot;H&quot;">
      <formula>NOT(ISERROR(SEARCH("""H""",V16)))</formula>
    </cfRule>
    <cfRule type="containsText" dxfId="13596" priority="14570" operator="containsText" text="&quot;A&quot;">
      <formula>NOT(ISERROR(SEARCH("""A""",V16)))</formula>
    </cfRule>
  </conditionalFormatting>
  <conditionalFormatting sqref="V16:W16">
    <cfRule type="containsText" dxfId="13595" priority="14568" operator="containsText" text="A-H">
      <formula>NOT(ISERROR(SEARCH("A-H",V16)))</formula>
    </cfRule>
  </conditionalFormatting>
  <conditionalFormatting sqref="P16:Q16">
    <cfRule type="cellIs" dxfId="13594" priority="14595" operator="equal">
      <formula>"C-Off-H"</formula>
    </cfRule>
    <cfRule type="cellIs" dxfId="13593" priority="14596" operator="equal">
      <formula>"C-Off"</formula>
    </cfRule>
    <cfRule type="cellIs" dxfId="13592" priority="14597" operator="equal">
      <formula>"CL-H"</formula>
    </cfRule>
    <cfRule type="cellIs" dxfId="13591" priority="14598" operator="equal">
      <formula>"EL-H"</formula>
    </cfRule>
    <cfRule type="cellIs" dxfId="13590" priority="14599" operator="equal">
      <formula>"CL"</formula>
    </cfRule>
    <cfRule type="cellIs" dxfId="13589" priority="14600" operator="equal">
      <formula>"EL"</formula>
    </cfRule>
  </conditionalFormatting>
  <conditionalFormatting sqref="P16:Q16">
    <cfRule type="containsText" dxfId="13588" priority="14589" operator="containsText" text="S">
      <formula>NOT(ISERROR(SEARCH("S",P16)))</formula>
    </cfRule>
    <cfRule type="containsText" dxfId="13587" priority="14590" operator="containsText" text="P">
      <formula>NOT(ISERROR(SEARCH("P",P16)))</formula>
    </cfRule>
    <cfRule type="containsText" dxfId="13586" priority="14591" operator="containsText" text="H">
      <formula>NOT(ISERROR(SEARCH("H",P16)))</formula>
    </cfRule>
    <cfRule type="containsText" dxfId="13585" priority="14593" operator="containsText" text="&quot;H&quot;">
      <formula>NOT(ISERROR(SEARCH("""H""",P16)))</formula>
    </cfRule>
    <cfRule type="containsText" dxfId="13584" priority="14594" operator="containsText" text="&quot;A&quot;">
      <formula>NOT(ISERROR(SEARCH("""A""",P16)))</formula>
    </cfRule>
  </conditionalFormatting>
  <conditionalFormatting sqref="P16:Q16">
    <cfRule type="containsText" dxfId="13583" priority="14592" operator="containsText" text="A-H">
      <formula>NOT(ISERROR(SEARCH("A-H",P16)))</formula>
    </cfRule>
  </conditionalFormatting>
  <conditionalFormatting sqref="S16:T16">
    <cfRule type="cellIs" dxfId="13582" priority="14583" operator="equal">
      <formula>"C-Off-H"</formula>
    </cfRule>
    <cfRule type="cellIs" dxfId="13581" priority="14584" operator="equal">
      <formula>"C-Off"</formula>
    </cfRule>
    <cfRule type="cellIs" dxfId="13580" priority="14585" operator="equal">
      <formula>"CL-H"</formula>
    </cfRule>
    <cfRule type="cellIs" dxfId="13579" priority="14586" operator="equal">
      <formula>"EL-H"</formula>
    </cfRule>
    <cfRule type="cellIs" dxfId="13578" priority="14587" operator="equal">
      <formula>"CL"</formula>
    </cfRule>
    <cfRule type="cellIs" dxfId="13577" priority="14588" operator="equal">
      <formula>"EL"</formula>
    </cfRule>
  </conditionalFormatting>
  <conditionalFormatting sqref="S16:T16">
    <cfRule type="containsText" dxfId="13576" priority="14577" operator="containsText" text="S">
      <formula>NOT(ISERROR(SEARCH("S",S16)))</formula>
    </cfRule>
    <cfRule type="containsText" dxfId="13575" priority="14578" operator="containsText" text="P">
      <formula>NOT(ISERROR(SEARCH("P",S16)))</formula>
    </cfRule>
    <cfRule type="containsText" dxfId="13574" priority="14579" operator="containsText" text="H">
      <formula>NOT(ISERROR(SEARCH("H",S16)))</formula>
    </cfRule>
    <cfRule type="containsText" dxfId="13573" priority="14581" operator="containsText" text="&quot;H&quot;">
      <formula>NOT(ISERROR(SEARCH("""H""",S16)))</formula>
    </cfRule>
    <cfRule type="containsText" dxfId="13572" priority="14582" operator="containsText" text="&quot;A&quot;">
      <formula>NOT(ISERROR(SEARCH("""A""",S16)))</formula>
    </cfRule>
  </conditionalFormatting>
  <conditionalFormatting sqref="S16:T16">
    <cfRule type="containsText" dxfId="13571" priority="14580" operator="containsText" text="A-H">
      <formula>NOT(ISERROR(SEARCH("A-H",S16)))</formula>
    </cfRule>
  </conditionalFormatting>
  <conditionalFormatting sqref="AB16:AC16">
    <cfRule type="cellIs" dxfId="13570" priority="14559" operator="equal">
      <formula>"C-Off-H"</formula>
    </cfRule>
    <cfRule type="cellIs" dxfId="13569" priority="14560" operator="equal">
      <formula>"C-Off"</formula>
    </cfRule>
    <cfRule type="cellIs" dxfId="13568" priority="14561" operator="equal">
      <formula>"CL-H"</formula>
    </cfRule>
    <cfRule type="cellIs" dxfId="13567" priority="14562" operator="equal">
      <formula>"EL-H"</formula>
    </cfRule>
    <cfRule type="cellIs" dxfId="13566" priority="14563" operator="equal">
      <formula>"CL"</formula>
    </cfRule>
    <cfRule type="cellIs" dxfId="13565" priority="14564" operator="equal">
      <formula>"EL"</formula>
    </cfRule>
  </conditionalFormatting>
  <conditionalFormatting sqref="AB16:AC16">
    <cfRule type="containsText" dxfId="13564" priority="14553" operator="containsText" text="S">
      <formula>NOT(ISERROR(SEARCH("S",AB16)))</formula>
    </cfRule>
    <cfRule type="containsText" dxfId="13563" priority="14554" operator="containsText" text="P">
      <formula>NOT(ISERROR(SEARCH("P",AB16)))</formula>
    </cfRule>
    <cfRule type="containsText" dxfId="13562" priority="14555" operator="containsText" text="H">
      <formula>NOT(ISERROR(SEARCH("H",AB16)))</formula>
    </cfRule>
    <cfRule type="containsText" dxfId="13561" priority="14557" operator="containsText" text="&quot;H&quot;">
      <formula>NOT(ISERROR(SEARCH("""H""",AB16)))</formula>
    </cfRule>
    <cfRule type="containsText" dxfId="13560" priority="14558" operator="containsText" text="&quot;A&quot;">
      <formula>NOT(ISERROR(SEARCH("""A""",AB16)))</formula>
    </cfRule>
  </conditionalFormatting>
  <conditionalFormatting sqref="AB16:AC16">
    <cfRule type="containsText" dxfId="13559" priority="14556" operator="containsText" text="A-H">
      <formula>NOT(ISERROR(SEARCH("A-H",AB16)))</formula>
    </cfRule>
  </conditionalFormatting>
  <conditionalFormatting sqref="AE16">
    <cfRule type="cellIs" dxfId="13558" priority="14547" operator="equal">
      <formula>"C-Off-H"</formula>
    </cfRule>
    <cfRule type="cellIs" dxfId="13557" priority="14548" operator="equal">
      <formula>"C-Off"</formula>
    </cfRule>
    <cfRule type="cellIs" dxfId="13556" priority="14549" operator="equal">
      <formula>"CL-H"</formula>
    </cfRule>
    <cfRule type="cellIs" dxfId="13555" priority="14550" operator="equal">
      <formula>"EL-H"</formula>
    </cfRule>
    <cfRule type="cellIs" dxfId="13554" priority="14551" operator="equal">
      <formula>"CL"</formula>
    </cfRule>
    <cfRule type="cellIs" dxfId="13553" priority="14552" operator="equal">
      <formula>"EL"</formula>
    </cfRule>
  </conditionalFormatting>
  <conditionalFormatting sqref="AE16">
    <cfRule type="containsText" dxfId="13552" priority="14541" operator="containsText" text="S">
      <formula>NOT(ISERROR(SEARCH("S",AE16)))</formula>
    </cfRule>
    <cfRule type="containsText" dxfId="13551" priority="14542" operator="containsText" text="P">
      <formula>NOT(ISERROR(SEARCH("P",AE16)))</formula>
    </cfRule>
    <cfRule type="containsText" dxfId="13550" priority="14543" operator="containsText" text="H">
      <formula>NOT(ISERROR(SEARCH("H",AE16)))</formula>
    </cfRule>
    <cfRule type="containsText" dxfId="13549" priority="14545" operator="containsText" text="&quot;H&quot;">
      <formula>NOT(ISERROR(SEARCH("""H""",AE16)))</formula>
    </cfRule>
    <cfRule type="containsText" dxfId="13548" priority="14546" operator="containsText" text="&quot;A&quot;">
      <formula>NOT(ISERROR(SEARCH("""A""",AE16)))</formula>
    </cfRule>
  </conditionalFormatting>
  <conditionalFormatting sqref="AE16">
    <cfRule type="containsText" dxfId="13547" priority="14544" operator="containsText" text="A-H">
      <formula>NOT(ISERROR(SEARCH("A-H",AE16)))</formula>
    </cfRule>
  </conditionalFormatting>
  <conditionalFormatting sqref="AK16:AL16">
    <cfRule type="cellIs" dxfId="13546" priority="14535" operator="equal">
      <formula>"C-Off-H"</formula>
    </cfRule>
    <cfRule type="cellIs" dxfId="13545" priority="14536" operator="equal">
      <formula>"C-Off"</formula>
    </cfRule>
    <cfRule type="cellIs" dxfId="13544" priority="14537" operator="equal">
      <formula>"CL-H"</formula>
    </cfRule>
    <cfRule type="cellIs" dxfId="13543" priority="14538" operator="equal">
      <formula>"EL-H"</formula>
    </cfRule>
    <cfRule type="cellIs" dxfId="13542" priority="14539" operator="equal">
      <formula>"CL"</formula>
    </cfRule>
    <cfRule type="cellIs" dxfId="13541" priority="14540" operator="equal">
      <formula>"EL"</formula>
    </cfRule>
  </conditionalFormatting>
  <conditionalFormatting sqref="AK16:AL16">
    <cfRule type="containsText" dxfId="13540" priority="14529" operator="containsText" text="S">
      <formula>NOT(ISERROR(SEARCH("S",AK16)))</formula>
    </cfRule>
    <cfRule type="containsText" dxfId="13539" priority="14530" operator="containsText" text="P">
      <formula>NOT(ISERROR(SEARCH("P",AK16)))</formula>
    </cfRule>
    <cfRule type="containsText" dxfId="13538" priority="14531" operator="containsText" text="H">
      <formula>NOT(ISERROR(SEARCH("H",AK16)))</formula>
    </cfRule>
    <cfRule type="containsText" dxfId="13537" priority="14533" operator="containsText" text="&quot;H&quot;">
      <formula>NOT(ISERROR(SEARCH("""H""",AK16)))</formula>
    </cfRule>
    <cfRule type="containsText" dxfId="13536" priority="14534" operator="containsText" text="&quot;A&quot;">
      <formula>NOT(ISERROR(SEARCH("""A""",AK16)))</formula>
    </cfRule>
  </conditionalFormatting>
  <conditionalFormatting sqref="AK16:AL16">
    <cfRule type="containsText" dxfId="13535" priority="14532" operator="containsText" text="A-H">
      <formula>NOT(ISERROR(SEARCH("A-H",AK16)))</formula>
    </cfRule>
  </conditionalFormatting>
  <conditionalFormatting sqref="AN16:AO16">
    <cfRule type="cellIs" dxfId="13534" priority="14523" operator="equal">
      <formula>"C-Off-H"</formula>
    </cfRule>
    <cfRule type="cellIs" dxfId="13533" priority="14524" operator="equal">
      <formula>"C-Off"</formula>
    </cfRule>
    <cfRule type="cellIs" dxfId="13532" priority="14525" operator="equal">
      <formula>"CL-H"</formula>
    </cfRule>
    <cfRule type="cellIs" dxfId="13531" priority="14526" operator="equal">
      <formula>"EL-H"</formula>
    </cfRule>
    <cfRule type="cellIs" dxfId="13530" priority="14527" operator="equal">
      <formula>"CL"</formula>
    </cfRule>
    <cfRule type="cellIs" dxfId="13529" priority="14528" operator="equal">
      <formula>"EL"</formula>
    </cfRule>
  </conditionalFormatting>
  <conditionalFormatting sqref="AN16:AO16">
    <cfRule type="containsText" dxfId="13528" priority="14517" operator="containsText" text="S">
      <formula>NOT(ISERROR(SEARCH("S",AN16)))</formula>
    </cfRule>
    <cfRule type="containsText" dxfId="13527" priority="14518" operator="containsText" text="P">
      <formula>NOT(ISERROR(SEARCH("P",AN16)))</formula>
    </cfRule>
    <cfRule type="containsText" dxfId="13526" priority="14519" operator="containsText" text="H">
      <formula>NOT(ISERROR(SEARCH("H",AN16)))</formula>
    </cfRule>
    <cfRule type="containsText" dxfId="13525" priority="14521" operator="containsText" text="&quot;H&quot;">
      <formula>NOT(ISERROR(SEARCH("""H""",AN16)))</formula>
    </cfRule>
    <cfRule type="containsText" dxfId="13524" priority="14522" operator="containsText" text="&quot;A&quot;">
      <formula>NOT(ISERROR(SEARCH("""A""",AN16)))</formula>
    </cfRule>
  </conditionalFormatting>
  <conditionalFormatting sqref="AN16:AO16">
    <cfRule type="containsText" dxfId="13523" priority="14520" operator="containsText" text="A-H">
      <formula>NOT(ISERROR(SEARCH("A-H",AN16)))</formula>
    </cfRule>
  </conditionalFormatting>
  <conditionalFormatting sqref="AQ16:AR16">
    <cfRule type="cellIs" dxfId="13522" priority="14511" operator="equal">
      <formula>"C-Off-H"</formula>
    </cfRule>
    <cfRule type="cellIs" dxfId="13521" priority="14512" operator="equal">
      <formula>"C-Off"</formula>
    </cfRule>
    <cfRule type="cellIs" dxfId="13520" priority="14513" operator="equal">
      <formula>"CL-H"</formula>
    </cfRule>
    <cfRule type="cellIs" dxfId="13519" priority="14514" operator="equal">
      <formula>"EL-H"</formula>
    </cfRule>
    <cfRule type="cellIs" dxfId="13518" priority="14515" operator="equal">
      <formula>"CL"</formula>
    </cfRule>
    <cfRule type="cellIs" dxfId="13517" priority="14516" operator="equal">
      <formula>"EL"</formula>
    </cfRule>
  </conditionalFormatting>
  <conditionalFormatting sqref="AQ16:AR16">
    <cfRule type="containsText" dxfId="13516" priority="14505" operator="containsText" text="S">
      <formula>NOT(ISERROR(SEARCH("S",AQ16)))</formula>
    </cfRule>
    <cfRule type="containsText" dxfId="13515" priority="14506" operator="containsText" text="P">
      <formula>NOT(ISERROR(SEARCH("P",AQ16)))</formula>
    </cfRule>
    <cfRule type="containsText" dxfId="13514" priority="14507" operator="containsText" text="H">
      <formula>NOT(ISERROR(SEARCH("H",AQ16)))</formula>
    </cfRule>
    <cfRule type="containsText" dxfId="13513" priority="14509" operator="containsText" text="&quot;H&quot;">
      <formula>NOT(ISERROR(SEARCH("""H""",AQ16)))</formula>
    </cfRule>
    <cfRule type="containsText" dxfId="13512" priority="14510" operator="containsText" text="&quot;A&quot;">
      <formula>NOT(ISERROR(SEARCH("""A""",AQ16)))</formula>
    </cfRule>
  </conditionalFormatting>
  <conditionalFormatting sqref="AQ16:AR16">
    <cfRule type="containsText" dxfId="13511" priority="14508" operator="containsText" text="A-H">
      <formula>NOT(ISERROR(SEARCH("A-H",AQ16)))</formula>
    </cfRule>
  </conditionalFormatting>
  <conditionalFormatting sqref="AW16:AX16">
    <cfRule type="cellIs" dxfId="13510" priority="14499" operator="equal">
      <formula>"C-Off-H"</formula>
    </cfRule>
    <cfRule type="cellIs" dxfId="13509" priority="14500" operator="equal">
      <formula>"C-Off"</formula>
    </cfRule>
    <cfRule type="cellIs" dxfId="13508" priority="14501" operator="equal">
      <formula>"CL-H"</formula>
    </cfRule>
    <cfRule type="cellIs" dxfId="13507" priority="14502" operator="equal">
      <formula>"EL-H"</formula>
    </cfRule>
    <cfRule type="cellIs" dxfId="13506" priority="14503" operator="equal">
      <formula>"CL"</formula>
    </cfRule>
    <cfRule type="cellIs" dxfId="13505" priority="14504" operator="equal">
      <formula>"EL"</formula>
    </cfRule>
  </conditionalFormatting>
  <conditionalFormatting sqref="AW16:AX16">
    <cfRule type="containsText" dxfId="13504" priority="14493" operator="containsText" text="S">
      <formula>NOT(ISERROR(SEARCH("S",AW16)))</formula>
    </cfRule>
    <cfRule type="containsText" dxfId="13503" priority="14494" operator="containsText" text="P">
      <formula>NOT(ISERROR(SEARCH("P",AW16)))</formula>
    </cfRule>
    <cfRule type="containsText" dxfId="13502" priority="14495" operator="containsText" text="H">
      <formula>NOT(ISERROR(SEARCH("H",AW16)))</formula>
    </cfRule>
    <cfRule type="containsText" dxfId="13501" priority="14497" operator="containsText" text="&quot;H&quot;">
      <formula>NOT(ISERROR(SEARCH("""H""",AW16)))</formula>
    </cfRule>
    <cfRule type="containsText" dxfId="13500" priority="14498" operator="containsText" text="&quot;A&quot;">
      <formula>NOT(ISERROR(SEARCH("""A""",AW16)))</formula>
    </cfRule>
  </conditionalFormatting>
  <conditionalFormatting sqref="AW16:AX16">
    <cfRule type="containsText" dxfId="13499" priority="14496" operator="containsText" text="A-H">
      <formula>NOT(ISERROR(SEARCH("A-H",AW16)))</formula>
    </cfRule>
  </conditionalFormatting>
  <conditionalFormatting sqref="AZ16:BA16">
    <cfRule type="cellIs" dxfId="13498" priority="14487" operator="equal">
      <formula>"C-Off-H"</formula>
    </cfRule>
    <cfRule type="cellIs" dxfId="13497" priority="14488" operator="equal">
      <formula>"C-Off"</formula>
    </cfRule>
    <cfRule type="cellIs" dxfId="13496" priority="14489" operator="equal">
      <formula>"CL-H"</formula>
    </cfRule>
    <cfRule type="cellIs" dxfId="13495" priority="14490" operator="equal">
      <formula>"EL-H"</formula>
    </cfRule>
    <cfRule type="cellIs" dxfId="13494" priority="14491" operator="equal">
      <formula>"CL"</formula>
    </cfRule>
    <cfRule type="cellIs" dxfId="13493" priority="14492" operator="equal">
      <formula>"EL"</formula>
    </cfRule>
  </conditionalFormatting>
  <conditionalFormatting sqref="AZ16:BA16">
    <cfRule type="containsText" dxfId="13492" priority="14481" operator="containsText" text="S">
      <formula>NOT(ISERROR(SEARCH("S",AZ16)))</formula>
    </cfRule>
    <cfRule type="containsText" dxfId="13491" priority="14482" operator="containsText" text="P">
      <formula>NOT(ISERROR(SEARCH("P",AZ16)))</formula>
    </cfRule>
    <cfRule type="containsText" dxfId="13490" priority="14483" operator="containsText" text="H">
      <formula>NOT(ISERROR(SEARCH("H",AZ16)))</formula>
    </cfRule>
    <cfRule type="containsText" dxfId="13489" priority="14485" operator="containsText" text="&quot;H&quot;">
      <formula>NOT(ISERROR(SEARCH("""H""",AZ16)))</formula>
    </cfRule>
    <cfRule type="containsText" dxfId="13488" priority="14486" operator="containsText" text="&quot;A&quot;">
      <formula>NOT(ISERROR(SEARCH("""A""",AZ16)))</formula>
    </cfRule>
  </conditionalFormatting>
  <conditionalFormatting sqref="AZ16:BA16">
    <cfRule type="containsText" dxfId="13487" priority="14484" operator="containsText" text="A-H">
      <formula>NOT(ISERROR(SEARCH("A-H",AZ16)))</formula>
    </cfRule>
  </conditionalFormatting>
  <conditionalFormatting sqref="BC16:BD16">
    <cfRule type="cellIs" dxfId="13486" priority="14475" operator="equal">
      <formula>"C-Off-H"</formula>
    </cfRule>
    <cfRule type="cellIs" dxfId="13485" priority="14476" operator="equal">
      <formula>"C-Off"</formula>
    </cfRule>
    <cfRule type="cellIs" dxfId="13484" priority="14477" operator="equal">
      <formula>"CL-H"</formula>
    </cfRule>
    <cfRule type="cellIs" dxfId="13483" priority="14478" operator="equal">
      <formula>"EL-H"</formula>
    </cfRule>
    <cfRule type="cellIs" dxfId="13482" priority="14479" operator="equal">
      <formula>"CL"</formula>
    </cfRule>
    <cfRule type="cellIs" dxfId="13481" priority="14480" operator="equal">
      <formula>"EL"</formula>
    </cfRule>
  </conditionalFormatting>
  <conditionalFormatting sqref="BC16:BD16">
    <cfRule type="containsText" dxfId="13480" priority="14469" operator="containsText" text="S">
      <formula>NOT(ISERROR(SEARCH("S",BC16)))</formula>
    </cfRule>
    <cfRule type="containsText" dxfId="13479" priority="14470" operator="containsText" text="P">
      <formula>NOT(ISERROR(SEARCH("P",BC16)))</formula>
    </cfRule>
    <cfRule type="containsText" dxfId="13478" priority="14471" operator="containsText" text="H">
      <formula>NOT(ISERROR(SEARCH("H",BC16)))</formula>
    </cfRule>
    <cfRule type="containsText" dxfId="13477" priority="14473" operator="containsText" text="&quot;H&quot;">
      <formula>NOT(ISERROR(SEARCH("""H""",BC16)))</formula>
    </cfRule>
    <cfRule type="containsText" dxfId="13476" priority="14474" operator="containsText" text="&quot;A&quot;">
      <formula>NOT(ISERROR(SEARCH("""A""",BC16)))</formula>
    </cfRule>
  </conditionalFormatting>
  <conditionalFormatting sqref="BC16:BD16">
    <cfRule type="containsText" dxfId="13475" priority="14472" operator="containsText" text="A-H">
      <formula>NOT(ISERROR(SEARCH("A-H",BC16)))</formula>
    </cfRule>
  </conditionalFormatting>
  <conditionalFormatting sqref="BF16:BG16">
    <cfRule type="cellIs" dxfId="13474" priority="14463" operator="equal">
      <formula>"C-Off-H"</formula>
    </cfRule>
    <cfRule type="cellIs" dxfId="13473" priority="14464" operator="equal">
      <formula>"C-Off"</formula>
    </cfRule>
    <cfRule type="cellIs" dxfId="13472" priority="14465" operator="equal">
      <formula>"CL-H"</formula>
    </cfRule>
    <cfRule type="cellIs" dxfId="13471" priority="14466" operator="equal">
      <formula>"EL-H"</formula>
    </cfRule>
    <cfRule type="cellIs" dxfId="13470" priority="14467" operator="equal">
      <formula>"CL"</formula>
    </cfRule>
    <cfRule type="cellIs" dxfId="13469" priority="14468" operator="equal">
      <formula>"EL"</formula>
    </cfRule>
  </conditionalFormatting>
  <conditionalFormatting sqref="BF16:BG16">
    <cfRule type="containsText" dxfId="13468" priority="14457" operator="containsText" text="S">
      <formula>NOT(ISERROR(SEARCH("S",BF16)))</formula>
    </cfRule>
    <cfRule type="containsText" dxfId="13467" priority="14458" operator="containsText" text="P">
      <formula>NOT(ISERROR(SEARCH("P",BF16)))</formula>
    </cfRule>
    <cfRule type="containsText" dxfId="13466" priority="14459" operator="containsText" text="H">
      <formula>NOT(ISERROR(SEARCH("H",BF16)))</formula>
    </cfRule>
    <cfRule type="containsText" dxfId="13465" priority="14461" operator="containsText" text="&quot;H&quot;">
      <formula>NOT(ISERROR(SEARCH("""H""",BF16)))</formula>
    </cfRule>
    <cfRule type="containsText" dxfId="13464" priority="14462" operator="containsText" text="&quot;A&quot;">
      <formula>NOT(ISERROR(SEARCH("""A""",BF16)))</formula>
    </cfRule>
  </conditionalFormatting>
  <conditionalFormatting sqref="BF16:BG16">
    <cfRule type="containsText" dxfId="13463" priority="14460" operator="containsText" text="A-H">
      <formula>NOT(ISERROR(SEARCH("A-H",BF16)))</formula>
    </cfRule>
  </conditionalFormatting>
  <conditionalFormatting sqref="BI16:BJ16">
    <cfRule type="cellIs" dxfId="13462" priority="14451" operator="equal">
      <formula>"C-Off-H"</formula>
    </cfRule>
    <cfRule type="cellIs" dxfId="13461" priority="14452" operator="equal">
      <formula>"C-Off"</formula>
    </cfRule>
    <cfRule type="cellIs" dxfId="13460" priority="14453" operator="equal">
      <formula>"CL-H"</formula>
    </cfRule>
    <cfRule type="cellIs" dxfId="13459" priority="14454" operator="equal">
      <formula>"EL-H"</formula>
    </cfRule>
    <cfRule type="cellIs" dxfId="13458" priority="14455" operator="equal">
      <formula>"CL"</formula>
    </cfRule>
    <cfRule type="cellIs" dxfId="13457" priority="14456" operator="equal">
      <formula>"EL"</formula>
    </cfRule>
  </conditionalFormatting>
  <conditionalFormatting sqref="BI16:BJ16">
    <cfRule type="containsText" dxfId="13456" priority="14445" operator="containsText" text="S">
      <formula>NOT(ISERROR(SEARCH("S",BI16)))</formula>
    </cfRule>
    <cfRule type="containsText" dxfId="13455" priority="14446" operator="containsText" text="P">
      <formula>NOT(ISERROR(SEARCH("P",BI16)))</formula>
    </cfRule>
    <cfRule type="containsText" dxfId="13454" priority="14447" operator="containsText" text="H">
      <formula>NOT(ISERROR(SEARCH("H",BI16)))</formula>
    </cfRule>
    <cfRule type="containsText" dxfId="13453" priority="14449" operator="containsText" text="&quot;H&quot;">
      <formula>NOT(ISERROR(SEARCH("""H""",BI16)))</formula>
    </cfRule>
    <cfRule type="containsText" dxfId="13452" priority="14450" operator="containsText" text="&quot;A&quot;">
      <formula>NOT(ISERROR(SEARCH("""A""",BI16)))</formula>
    </cfRule>
  </conditionalFormatting>
  <conditionalFormatting sqref="BI16:BJ16">
    <cfRule type="containsText" dxfId="13451" priority="14448" operator="containsText" text="A-H">
      <formula>NOT(ISERROR(SEARCH("A-H",BI16)))</formula>
    </cfRule>
  </conditionalFormatting>
  <conditionalFormatting sqref="BL16:BM16">
    <cfRule type="cellIs" dxfId="13450" priority="14439" operator="equal">
      <formula>"C-Off-H"</formula>
    </cfRule>
    <cfRule type="cellIs" dxfId="13449" priority="14440" operator="equal">
      <formula>"C-Off"</formula>
    </cfRule>
    <cfRule type="cellIs" dxfId="13448" priority="14441" operator="equal">
      <formula>"CL-H"</formula>
    </cfRule>
    <cfRule type="cellIs" dxfId="13447" priority="14442" operator="equal">
      <formula>"EL-H"</formula>
    </cfRule>
    <cfRule type="cellIs" dxfId="13446" priority="14443" operator="equal">
      <formula>"CL"</formula>
    </cfRule>
    <cfRule type="cellIs" dxfId="13445" priority="14444" operator="equal">
      <formula>"EL"</formula>
    </cfRule>
  </conditionalFormatting>
  <conditionalFormatting sqref="BL16:BM16">
    <cfRule type="containsText" dxfId="13444" priority="14433" operator="containsText" text="S">
      <formula>NOT(ISERROR(SEARCH("S",BL16)))</formula>
    </cfRule>
    <cfRule type="containsText" dxfId="13443" priority="14434" operator="containsText" text="P">
      <formula>NOT(ISERROR(SEARCH("P",BL16)))</formula>
    </cfRule>
    <cfRule type="containsText" dxfId="13442" priority="14435" operator="containsText" text="H">
      <formula>NOT(ISERROR(SEARCH("H",BL16)))</formula>
    </cfRule>
    <cfRule type="containsText" dxfId="13441" priority="14437" operator="containsText" text="&quot;H&quot;">
      <formula>NOT(ISERROR(SEARCH("""H""",BL16)))</formula>
    </cfRule>
    <cfRule type="containsText" dxfId="13440" priority="14438" operator="containsText" text="&quot;A&quot;">
      <formula>NOT(ISERROR(SEARCH("""A""",BL16)))</formula>
    </cfRule>
  </conditionalFormatting>
  <conditionalFormatting sqref="BL16:BM16">
    <cfRule type="containsText" dxfId="13439" priority="14436" operator="containsText" text="A-H">
      <formula>NOT(ISERROR(SEARCH("A-H",BL16)))</formula>
    </cfRule>
  </conditionalFormatting>
  <conditionalFormatting sqref="BR16:BS16">
    <cfRule type="cellIs" dxfId="13438" priority="14427" operator="equal">
      <formula>"C-Off-H"</formula>
    </cfRule>
    <cfRule type="cellIs" dxfId="13437" priority="14428" operator="equal">
      <formula>"C-Off"</formula>
    </cfRule>
    <cfRule type="cellIs" dxfId="13436" priority="14429" operator="equal">
      <formula>"CL-H"</formula>
    </cfRule>
    <cfRule type="cellIs" dxfId="13435" priority="14430" operator="equal">
      <formula>"EL-H"</formula>
    </cfRule>
    <cfRule type="cellIs" dxfId="13434" priority="14431" operator="equal">
      <formula>"CL"</formula>
    </cfRule>
    <cfRule type="cellIs" dxfId="13433" priority="14432" operator="equal">
      <formula>"EL"</formula>
    </cfRule>
  </conditionalFormatting>
  <conditionalFormatting sqref="BR16:BS16">
    <cfRule type="containsText" dxfId="13432" priority="14421" operator="containsText" text="S">
      <formula>NOT(ISERROR(SEARCH("S",BR16)))</formula>
    </cfRule>
    <cfRule type="containsText" dxfId="13431" priority="14422" operator="containsText" text="P">
      <formula>NOT(ISERROR(SEARCH("P",BR16)))</formula>
    </cfRule>
    <cfRule type="containsText" dxfId="13430" priority="14423" operator="containsText" text="H">
      <formula>NOT(ISERROR(SEARCH("H",BR16)))</formula>
    </cfRule>
    <cfRule type="containsText" dxfId="13429" priority="14425" operator="containsText" text="&quot;H&quot;">
      <formula>NOT(ISERROR(SEARCH("""H""",BR16)))</formula>
    </cfRule>
    <cfRule type="containsText" dxfId="13428" priority="14426" operator="containsText" text="&quot;A&quot;">
      <formula>NOT(ISERROR(SEARCH("""A""",BR16)))</formula>
    </cfRule>
  </conditionalFormatting>
  <conditionalFormatting sqref="BR16:BS16">
    <cfRule type="containsText" dxfId="13427" priority="14424" operator="containsText" text="A-H">
      <formula>NOT(ISERROR(SEARCH("A-H",BR16)))</formula>
    </cfRule>
  </conditionalFormatting>
  <conditionalFormatting sqref="BU16:BV16">
    <cfRule type="cellIs" dxfId="13426" priority="14415" operator="equal">
      <formula>"C-Off-H"</formula>
    </cfRule>
    <cfRule type="cellIs" dxfId="13425" priority="14416" operator="equal">
      <formula>"C-Off"</formula>
    </cfRule>
    <cfRule type="cellIs" dxfId="13424" priority="14417" operator="equal">
      <formula>"CL-H"</formula>
    </cfRule>
    <cfRule type="cellIs" dxfId="13423" priority="14418" operator="equal">
      <formula>"EL-H"</formula>
    </cfRule>
    <cfRule type="cellIs" dxfId="13422" priority="14419" operator="equal">
      <formula>"CL"</formula>
    </cfRule>
    <cfRule type="cellIs" dxfId="13421" priority="14420" operator="equal">
      <formula>"EL"</formula>
    </cfRule>
  </conditionalFormatting>
  <conditionalFormatting sqref="BU16:BV16">
    <cfRule type="containsText" dxfId="13420" priority="14409" operator="containsText" text="S">
      <formula>NOT(ISERROR(SEARCH("S",BU16)))</formula>
    </cfRule>
    <cfRule type="containsText" dxfId="13419" priority="14410" operator="containsText" text="P">
      <formula>NOT(ISERROR(SEARCH("P",BU16)))</formula>
    </cfRule>
    <cfRule type="containsText" dxfId="13418" priority="14411" operator="containsText" text="H">
      <formula>NOT(ISERROR(SEARCH("H",BU16)))</formula>
    </cfRule>
    <cfRule type="containsText" dxfId="13417" priority="14413" operator="containsText" text="&quot;H&quot;">
      <formula>NOT(ISERROR(SEARCH("""H""",BU16)))</formula>
    </cfRule>
    <cfRule type="containsText" dxfId="13416" priority="14414" operator="containsText" text="&quot;A&quot;">
      <formula>NOT(ISERROR(SEARCH("""A""",BU16)))</formula>
    </cfRule>
  </conditionalFormatting>
  <conditionalFormatting sqref="BU16:BV16">
    <cfRule type="containsText" dxfId="13415" priority="14412" operator="containsText" text="A-H">
      <formula>NOT(ISERROR(SEARCH("A-H",BU16)))</formula>
    </cfRule>
  </conditionalFormatting>
  <conditionalFormatting sqref="BY16">
    <cfRule type="cellIs" dxfId="13414" priority="14403" operator="equal">
      <formula>"C-Off-H"</formula>
    </cfRule>
    <cfRule type="cellIs" dxfId="13413" priority="14404" operator="equal">
      <formula>"C-Off"</formula>
    </cfRule>
    <cfRule type="cellIs" dxfId="13412" priority="14405" operator="equal">
      <formula>"CL-H"</formula>
    </cfRule>
    <cfRule type="cellIs" dxfId="13411" priority="14406" operator="equal">
      <formula>"EL-H"</formula>
    </cfRule>
    <cfRule type="cellIs" dxfId="13410" priority="14407" operator="equal">
      <formula>"CL"</formula>
    </cfRule>
    <cfRule type="cellIs" dxfId="13409" priority="14408" operator="equal">
      <formula>"EL"</formula>
    </cfRule>
  </conditionalFormatting>
  <conditionalFormatting sqref="BY16">
    <cfRule type="containsText" dxfId="13408" priority="14397" operator="containsText" text="S">
      <formula>NOT(ISERROR(SEARCH("S",BY16)))</formula>
    </cfRule>
    <cfRule type="containsText" dxfId="13407" priority="14398" operator="containsText" text="P">
      <formula>NOT(ISERROR(SEARCH("P",BY16)))</formula>
    </cfRule>
    <cfRule type="containsText" dxfId="13406" priority="14399" operator="containsText" text="H">
      <formula>NOT(ISERROR(SEARCH("H",BY16)))</formula>
    </cfRule>
    <cfRule type="containsText" dxfId="13405" priority="14401" operator="containsText" text="&quot;H&quot;">
      <formula>NOT(ISERROR(SEARCH("""H""",BY16)))</formula>
    </cfRule>
    <cfRule type="containsText" dxfId="13404" priority="14402" operator="containsText" text="&quot;A&quot;">
      <formula>NOT(ISERROR(SEARCH("""A""",BY16)))</formula>
    </cfRule>
  </conditionalFormatting>
  <conditionalFormatting sqref="BY16">
    <cfRule type="containsText" dxfId="13403" priority="14400" operator="containsText" text="A-H">
      <formula>NOT(ISERROR(SEARCH("A-H",BY16)))</formula>
    </cfRule>
  </conditionalFormatting>
  <conditionalFormatting sqref="BX16">
    <cfRule type="cellIs" dxfId="13402" priority="14391" operator="equal">
      <formula>"C-Off-H"</formula>
    </cfRule>
    <cfRule type="cellIs" dxfId="13401" priority="14392" operator="equal">
      <formula>"C-Off"</formula>
    </cfRule>
    <cfRule type="cellIs" dxfId="13400" priority="14393" operator="equal">
      <formula>"CL-H"</formula>
    </cfRule>
    <cfRule type="cellIs" dxfId="13399" priority="14394" operator="equal">
      <formula>"EL-H"</formula>
    </cfRule>
    <cfRule type="cellIs" dxfId="13398" priority="14395" operator="equal">
      <formula>"CL"</formula>
    </cfRule>
    <cfRule type="cellIs" dxfId="13397" priority="14396" operator="equal">
      <formula>"EL"</formula>
    </cfRule>
  </conditionalFormatting>
  <conditionalFormatting sqref="BX16">
    <cfRule type="containsText" dxfId="13396" priority="14385" operator="containsText" text="S">
      <formula>NOT(ISERROR(SEARCH("S",BX16)))</formula>
    </cfRule>
    <cfRule type="containsText" dxfId="13395" priority="14386" operator="containsText" text="P">
      <formula>NOT(ISERROR(SEARCH("P",BX16)))</formula>
    </cfRule>
    <cfRule type="containsText" dxfId="13394" priority="14387" operator="containsText" text="H">
      <formula>NOT(ISERROR(SEARCH("H",BX16)))</formula>
    </cfRule>
    <cfRule type="containsText" dxfId="13393" priority="14389" operator="containsText" text="&quot;H&quot;">
      <formula>NOT(ISERROR(SEARCH("""H""",BX16)))</formula>
    </cfRule>
    <cfRule type="containsText" dxfId="13392" priority="14390" operator="containsText" text="&quot;A&quot;">
      <formula>NOT(ISERROR(SEARCH("""A""",BX16)))</formula>
    </cfRule>
  </conditionalFormatting>
  <conditionalFormatting sqref="BX16">
    <cfRule type="containsText" dxfId="13391" priority="14388" operator="containsText" text="A-H">
      <formula>NOT(ISERROR(SEARCH("A-H",BX16)))</formula>
    </cfRule>
  </conditionalFormatting>
  <conditionalFormatting sqref="J16">
    <cfRule type="cellIs" dxfId="13390" priority="14379" operator="equal">
      <formula>"C-Off-H"</formula>
    </cfRule>
    <cfRule type="cellIs" dxfId="13389" priority="14380" operator="equal">
      <formula>"C-Off"</formula>
    </cfRule>
    <cfRule type="cellIs" dxfId="13388" priority="14381" operator="equal">
      <formula>"CL-H"</formula>
    </cfRule>
    <cfRule type="cellIs" dxfId="13387" priority="14382" operator="equal">
      <formula>"EL-H"</formula>
    </cfRule>
    <cfRule type="cellIs" dxfId="13386" priority="14383" operator="equal">
      <formula>"CL"</formula>
    </cfRule>
    <cfRule type="cellIs" dxfId="13385" priority="14384" operator="equal">
      <formula>"EL"</formula>
    </cfRule>
  </conditionalFormatting>
  <conditionalFormatting sqref="J16">
    <cfRule type="containsText" dxfId="13384" priority="14373" operator="containsText" text="S">
      <formula>NOT(ISERROR(SEARCH("S",J16)))</formula>
    </cfRule>
    <cfRule type="containsText" dxfId="13383" priority="14374" operator="containsText" text="P">
      <formula>NOT(ISERROR(SEARCH("P",J16)))</formula>
    </cfRule>
    <cfRule type="containsText" dxfId="13382" priority="14375" operator="containsText" text="H">
      <formula>NOT(ISERROR(SEARCH("H",J16)))</formula>
    </cfRule>
    <cfRule type="containsText" dxfId="13381" priority="14377" operator="containsText" text="&quot;H&quot;">
      <formula>NOT(ISERROR(SEARCH("""H""",J16)))</formula>
    </cfRule>
    <cfRule type="containsText" dxfId="13380" priority="14378" operator="containsText" text="&quot;A&quot;">
      <formula>NOT(ISERROR(SEARCH("""A""",J16)))</formula>
    </cfRule>
  </conditionalFormatting>
  <conditionalFormatting sqref="J16">
    <cfRule type="containsText" dxfId="13379" priority="14376" operator="containsText" text="A-H">
      <formula>NOT(ISERROR(SEARCH("A-H",J16)))</formula>
    </cfRule>
  </conditionalFormatting>
  <conditionalFormatting sqref="CN18">
    <cfRule type="cellIs" dxfId="13378" priority="14367" operator="equal">
      <formula>"C-Off-H"</formula>
    </cfRule>
    <cfRule type="cellIs" dxfId="13377" priority="14368" operator="equal">
      <formula>"C-Off"</formula>
    </cfRule>
    <cfRule type="cellIs" dxfId="13376" priority="14369" operator="equal">
      <formula>"CL-H"</formula>
    </cfRule>
    <cfRule type="cellIs" dxfId="13375" priority="14370" operator="equal">
      <formula>"EL-H"</formula>
    </cfRule>
    <cfRule type="cellIs" dxfId="13374" priority="14371" operator="equal">
      <formula>"CL"</formula>
    </cfRule>
    <cfRule type="cellIs" dxfId="13373" priority="14372" operator="equal">
      <formula>"EL"</formula>
    </cfRule>
  </conditionalFormatting>
  <conditionalFormatting sqref="CN18">
    <cfRule type="containsText" dxfId="13372" priority="14366" operator="containsText" text="A-H">
      <formula>NOT(ISERROR(SEARCH("A-H",CN18)))</formula>
    </cfRule>
  </conditionalFormatting>
  <conditionalFormatting sqref="CN18">
    <cfRule type="containsText" dxfId="13371" priority="14365" operator="containsText" text="A">
      <formula>NOT(ISERROR(SEARCH("A",CN18)))</formula>
    </cfRule>
  </conditionalFormatting>
  <conditionalFormatting sqref="CN18">
    <cfRule type="containsText" dxfId="13370" priority="14360" operator="containsText" text="S">
      <formula>NOT(ISERROR(SEARCH("S",CN18)))</formula>
    </cfRule>
    <cfRule type="containsText" dxfId="13369" priority="14361" operator="containsText" text="P">
      <formula>NOT(ISERROR(SEARCH("P",CN18)))</formula>
    </cfRule>
    <cfRule type="containsText" dxfId="13368" priority="14362" operator="containsText" text="H">
      <formula>NOT(ISERROR(SEARCH("H",CN18)))</formula>
    </cfRule>
    <cfRule type="containsText" dxfId="13367" priority="14363" operator="containsText" text="&quot;H&quot;">
      <formula>NOT(ISERROR(SEARCH("""H""",CN18)))</formula>
    </cfRule>
    <cfRule type="containsText" dxfId="13366" priority="14364" operator="containsText" text="&quot;A&quot;">
      <formula>NOT(ISERROR(SEARCH("""A""",CN18)))</formula>
    </cfRule>
  </conditionalFormatting>
  <conditionalFormatting sqref="CA17:CB17">
    <cfRule type="cellIs" dxfId="13365" priority="14354" operator="equal">
      <formula>"C-Off-H"</formula>
    </cfRule>
    <cfRule type="cellIs" dxfId="13364" priority="14355" operator="equal">
      <formula>"C-Off"</formula>
    </cfRule>
    <cfRule type="cellIs" dxfId="13363" priority="14356" operator="equal">
      <formula>"CL-H"</formula>
    </cfRule>
    <cfRule type="cellIs" dxfId="13362" priority="14357" operator="equal">
      <formula>"EL-H"</formula>
    </cfRule>
    <cfRule type="cellIs" dxfId="13361" priority="14358" operator="equal">
      <formula>"CL"</formula>
    </cfRule>
    <cfRule type="cellIs" dxfId="13360" priority="14359" operator="equal">
      <formula>"EL"</formula>
    </cfRule>
  </conditionalFormatting>
  <conditionalFormatting sqref="CA17:CB17">
    <cfRule type="containsText" dxfId="13359" priority="14348" operator="containsText" text="S">
      <formula>NOT(ISERROR(SEARCH("S",CA17)))</formula>
    </cfRule>
    <cfRule type="containsText" dxfId="13358" priority="14349" operator="containsText" text="P">
      <formula>NOT(ISERROR(SEARCH("P",CA17)))</formula>
    </cfRule>
    <cfRule type="containsText" dxfId="13357" priority="14350" operator="containsText" text="H">
      <formula>NOT(ISERROR(SEARCH("H",CA17)))</formula>
    </cfRule>
    <cfRule type="containsText" dxfId="13356" priority="14352" operator="containsText" text="&quot;H&quot;">
      <formula>NOT(ISERROR(SEARCH("""H""",CA17)))</formula>
    </cfRule>
    <cfRule type="containsText" dxfId="13355" priority="14353" operator="containsText" text="&quot;A&quot;">
      <formula>NOT(ISERROR(SEARCH("""A""",CA17)))</formula>
    </cfRule>
  </conditionalFormatting>
  <conditionalFormatting sqref="CA17:CB17">
    <cfRule type="containsText" dxfId="13354" priority="14351" operator="containsText" text="A-H">
      <formula>NOT(ISERROR(SEARCH("A-H",CA17)))</formula>
    </cfRule>
  </conditionalFormatting>
  <conditionalFormatting sqref="CD17:CE17">
    <cfRule type="cellIs" dxfId="13353" priority="14342" operator="equal">
      <formula>"C-Off-H"</formula>
    </cfRule>
    <cfRule type="cellIs" dxfId="13352" priority="14343" operator="equal">
      <formula>"C-Off"</formula>
    </cfRule>
    <cfRule type="cellIs" dxfId="13351" priority="14344" operator="equal">
      <formula>"CL-H"</formula>
    </cfRule>
    <cfRule type="cellIs" dxfId="13350" priority="14345" operator="equal">
      <formula>"EL-H"</formula>
    </cfRule>
    <cfRule type="cellIs" dxfId="13349" priority="14346" operator="equal">
      <formula>"CL"</formula>
    </cfRule>
    <cfRule type="cellIs" dxfId="13348" priority="14347" operator="equal">
      <formula>"EL"</formula>
    </cfRule>
  </conditionalFormatting>
  <conditionalFormatting sqref="CD17:CE17">
    <cfRule type="containsText" dxfId="13347" priority="14336" operator="containsText" text="S">
      <formula>NOT(ISERROR(SEARCH("S",CD17)))</formula>
    </cfRule>
    <cfRule type="containsText" dxfId="13346" priority="14337" operator="containsText" text="P">
      <formula>NOT(ISERROR(SEARCH("P",CD17)))</formula>
    </cfRule>
    <cfRule type="containsText" dxfId="13345" priority="14338" operator="containsText" text="H">
      <formula>NOT(ISERROR(SEARCH("H",CD17)))</formula>
    </cfRule>
    <cfRule type="containsText" dxfId="13344" priority="14340" operator="containsText" text="&quot;H&quot;">
      <formula>NOT(ISERROR(SEARCH("""H""",CD17)))</formula>
    </cfRule>
    <cfRule type="containsText" dxfId="13343" priority="14341" operator="containsText" text="&quot;A&quot;">
      <formula>NOT(ISERROR(SEARCH("""A""",CD17)))</formula>
    </cfRule>
  </conditionalFormatting>
  <conditionalFormatting sqref="CD17:CE17">
    <cfRule type="containsText" dxfId="13342" priority="14339" operator="containsText" text="A-H">
      <formula>NOT(ISERROR(SEARCH("A-H",CD17)))</formula>
    </cfRule>
  </conditionalFormatting>
  <conditionalFormatting sqref="CH17">
    <cfRule type="cellIs" dxfId="13341" priority="14330" operator="equal">
      <formula>"C-Off-H"</formula>
    </cfRule>
    <cfRule type="cellIs" dxfId="13340" priority="14331" operator="equal">
      <formula>"C-Off"</formula>
    </cfRule>
    <cfRule type="cellIs" dxfId="13339" priority="14332" operator="equal">
      <formula>"CL-H"</formula>
    </cfRule>
    <cfRule type="cellIs" dxfId="13338" priority="14333" operator="equal">
      <formula>"EL-H"</formula>
    </cfRule>
    <cfRule type="cellIs" dxfId="13337" priority="14334" operator="equal">
      <formula>"CL"</formula>
    </cfRule>
    <cfRule type="cellIs" dxfId="13336" priority="14335" operator="equal">
      <formula>"EL"</formula>
    </cfRule>
  </conditionalFormatting>
  <conditionalFormatting sqref="CH17">
    <cfRule type="containsText" dxfId="13335" priority="14324" operator="containsText" text="S">
      <formula>NOT(ISERROR(SEARCH("S",CH17)))</formula>
    </cfRule>
    <cfRule type="containsText" dxfId="13334" priority="14325" operator="containsText" text="P">
      <formula>NOT(ISERROR(SEARCH("P",CH17)))</formula>
    </cfRule>
    <cfRule type="containsText" dxfId="13333" priority="14326" operator="containsText" text="H">
      <formula>NOT(ISERROR(SEARCH("H",CH17)))</formula>
    </cfRule>
    <cfRule type="containsText" dxfId="13332" priority="14328" operator="containsText" text="&quot;H&quot;">
      <formula>NOT(ISERROR(SEARCH("""H""",CH17)))</formula>
    </cfRule>
    <cfRule type="containsText" dxfId="13331" priority="14329" operator="containsText" text="&quot;A&quot;">
      <formula>NOT(ISERROR(SEARCH("""A""",CH17)))</formula>
    </cfRule>
  </conditionalFormatting>
  <conditionalFormatting sqref="CH17">
    <cfRule type="containsText" dxfId="13330" priority="14327" operator="containsText" text="A-H">
      <formula>NOT(ISERROR(SEARCH("A-H",CH17)))</formula>
    </cfRule>
  </conditionalFormatting>
  <conditionalFormatting sqref="CG17">
    <cfRule type="cellIs" dxfId="13329" priority="14318" operator="equal">
      <formula>"C-Off-H"</formula>
    </cfRule>
    <cfRule type="cellIs" dxfId="13328" priority="14319" operator="equal">
      <formula>"C-Off"</formula>
    </cfRule>
    <cfRule type="cellIs" dxfId="13327" priority="14320" operator="equal">
      <formula>"CL-H"</formula>
    </cfRule>
    <cfRule type="cellIs" dxfId="13326" priority="14321" operator="equal">
      <formula>"EL-H"</formula>
    </cfRule>
    <cfRule type="cellIs" dxfId="13325" priority="14322" operator="equal">
      <formula>"CL"</formula>
    </cfRule>
    <cfRule type="cellIs" dxfId="13324" priority="14323" operator="equal">
      <formula>"EL"</formula>
    </cfRule>
  </conditionalFormatting>
  <conditionalFormatting sqref="CG17">
    <cfRule type="containsText" dxfId="13323" priority="14312" operator="containsText" text="S">
      <formula>NOT(ISERROR(SEARCH("S",CG17)))</formula>
    </cfRule>
    <cfRule type="containsText" dxfId="13322" priority="14313" operator="containsText" text="P">
      <formula>NOT(ISERROR(SEARCH("P",CG17)))</formula>
    </cfRule>
    <cfRule type="containsText" dxfId="13321" priority="14314" operator="containsText" text="H">
      <formula>NOT(ISERROR(SEARCH("H",CG17)))</formula>
    </cfRule>
    <cfRule type="containsText" dxfId="13320" priority="14316" operator="containsText" text="&quot;H&quot;">
      <formula>NOT(ISERROR(SEARCH("""H""",CG17)))</formula>
    </cfRule>
    <cfRule type="containsText" dxfId="13319" priority="14317" operator="containsText" text="&quot;A&quot;">
      <formula>NOT(ISERROR(SEARCH("""A""",CG17)))</formula>
    </cfRule>
  </conditionalFormatting>
  <conditionalFormatting sqref="CG17">
    <cfRule type="containsText" dxfId="13318" priority="14315" operator="containsText" text="A-H">
      <formula>NOT(ISERROR(SEARCH("A-H",CG17)))</formula>
    </cfRule>
  </conditionalFormatting>
  <conditionalFormatting sqref="CA18:CB18">
    <cfRule type="cellIs" dxfId="13317" priority="14306" operator="equal">
      <formula>"C-Off-H"</formula>
    </cfRule>
    <cfRule type="cellIs" dxfId="13316" priority="14307" operator="equal">
      <formula>"C-Off"</formula>
    </cfRule>
    <cfRule type="cellIs" dxfId="13315" priority="14308" operator="equal">
      <formula>"CL-H"</formula>
    </cfRule>
    <cfRule type="cellIs" dxfId="13314" priority="14309" operator="equal">
      <formula>"EL-H"</formula>
    </cfRule>
    <cfRule type="cellIs" dxfId="13313" priority="14310" operator="equal">
      <formula>"CL"</formula>
    </cfRule>
    <cfRule type="cellIs" dxfId="13312" priority="14311" operator="equal">
      <formula>"EL"</formula>
    </cfRule>
  </conditionalFormatting>
  <conditionalFormatting sqref="CA18:CB18">
    <cfRule type="containsText" dxfId="13311" priority="14300" operator="containsText" text="S">
      <formula>NOT(ISERROR(SEARCH("S",CA18)))</formula>
    </cfRule>
    <cfRule type="containsText" dxfId="13310" priority="14301" operator="containsText" text="P">
      <formula>NOT(ISERROR(SEARCH("P",CA18)))</formula>
    </cfRule>
    <cfRule type="containsText" dxfId="13309" priority="14302" operator="containsText" text="H">
      <formula>NOT(ISERROR(SEARCH("H",CA18)))</formula>
    </cfRule>
    <cfRule type="containsText" dxfId="13308" priority="14304" operator="containsText" text="&quot;H&quot;">
      <formula>NOT(ISERROR(SEARCH("""H""",CA18)))</formula>
    </cfRule>
    <cfRule type="containsText" dxfId="13307" priority="14305" operator="containsText" text="&quot;A&quot;">
      <formula>NOT(ISERROR(SEARCH("""A""",CA18)))</formula>
    </cfRule>
  </conditionalFormatting>
  <conditionalFormatting sqref="CA18:CB18">
    <cfRule type="containsText" dxfId="13306" priority="14303" operator="containsText" text="A-H">
      <formula>NOT(ISERROR(SEARCH("A-H",CA18)))</formula>
    </cfRule>
  </conditionalFormatting>
  <conditionalFormatting sqref="CD18:CE18">
    <cfRule type="cellIs" dxfId="13305" priority="14294" operator="equal">
      <formula>"C-Off-H"</formula>
    </cfRule>
    <cfRule type="cellIs" dxfId="13304" priority="14295" operator="equal">
      <formula>"C-Off"</formula>
    </cfRule>
    <cfRule type="cellIs" dxfId="13303" priority="14296" operator="equal">
      <formula>"CL-H"</formula>
    </cfRule>
    <cfRule type="cellIs" dxfId="13302" priority="14297" operator="equal">
      <formula>"EL-H"</formula>
    </cfRule>
    <cfRule type="cellIs" dxfId="13301" priority="14298" operator="equal">
      <formula>"CL"</formula>
    </cfRule>
    <cfRule type="cellIs" dxfId="13300" priority="14299" operator="equal">
      <formula>"EL"</formula>
    </cfRule>
  </conditionalFormatting>
  <conditionalFormatting sqref="CD18:CE18">
    <cfRule type="containsText" dxfId="13299" priority="14288" operator="containsText" text="S">
      <formula>NOT(ISERROR(SEARCH("S",CD18)))</formula>
    </cfRule>
    <cfRule type="containsText" dxfId="13298" priority="14289" operator="containsText" text="P">
      <formula>NOT(ISERROR(SEARCH("P",CD18)))</formula>
    </cfRule>
    <cfRule type="containsText" dxfId="13297" priority="14290" operator="containsText" text="H">
      <formula>NOT(ISERROR(SEARCH("H",CD18)))</formula>
    </cfRule>
    <cfRule type="containsText" dxfId="13296" priority="14292" operator="containsText" text="&quot;H&quot;">
      <formula>NOT(ISERROR(SEARCH("""H""",CD18)))</formula>
    </cfRule>
    <cfRule type="containsText" dxfId="13295" priority="14293" operator="containsText" text="&quot;A&quot;">
      <formula>NOT(ISERROR(SEARCH("""A""",CD18)))</formula>
    </cfRule>
  </conditionalFormatting>
  <conditionalFormatting sqref="CD18:CE18">
    <cfRule type="containsText" dxfId="13294" priority="14291" operator="containsText" text="A-H">
      <formula>NOT(ISERROR(SEARCH("A-H",CD18)))</formula>
    </cfRule>
  </conditionalFormatting>
  <conditionalFormatting sqref="CH18">
    <cfRule type="cellIs" dxfId="13293" priority="14282" operator="equal">
      <formula>"C-Off-H"</formula>
    </cfRule>
    <cfRule type="cellIs" dxfId="13292" priority="14283" operator="equal">
      <formula>"C-Off"</formula>
    </cfRule>
    <cfRule type="cellIs" dxfId="13291" priority="14284" operator="equal">
      <formula>"CL-H"</formula>
    </cfRule>
    <cfRule type="cellIs" dxfId="13290" priority="14285" operator="equal">
      <formula>"EL-H"</formula>
    </cfRule>
    <cfRule type="cellIs" dxfId="13289" priority="14286" operator="equal">
      <formula>"CL"</formula>
    </cfRule>
    <cfRule type="cellIs" dxfId="13288" priority="14287" operator="equal">
      <formula>"EL"</formula>
    </cfRule>
  </conditionalFormatting>
  <conditionalFormatting sqref="CH18">
    <cfRule type="containsText" dxfId="13287" priority="14276" operator="containsText" text="S">
      <formula>NOT(ISERROR(SEARCH("S",CH18)))</formula>
    </cfRule>
    <cfRule type="containsText" dxfId="13286" priority="14277" operator="containsText" text="P">
      <formula>NOT(ISERROR(SEARCH("P",CH18)))</formula>
    </cfRule>
    <cfRule type="containsText" dxfId="13285" priority="14278" operator="containsText" text="H">
      <formula>NOT(ISERROR(SEARCH("H",CH18)))</formula>
    </cfRule>
    <cfRule type="containsText" dxfId="13284" priority="14280" operator="containsText" text="&quot;H&quot;">
      <formula>NOT(ISERROR(SEARCH("""H""",CH18)))</formula>
    </cfRule>
    <cfRule type="containsText" dxfId="13283" priority="14281" operator="containsText" text="&quot;A&quot;">
      <formula>NOT(ISERROR(SEARCH("""A""",CH18)))</formula>
    </cfRule>
  </conditionalFormatting>
  <conditionalFormatting sqref="CH18">
    <cfRule type="containsText" dxfId="13282" priority="14279" operator="containsText" text="A-H">
      <formula>NOT(ISERROR(SEARCH("A-H",CH18)))</formula>
    </cfRule>
  </conditionalFormatting>
  <conditionalFormatting sqref="CG18">
    <cfRule type="cellIs" dxfId="13281" priority="14270" operator="equal">
      <formula>"C-Off-H"</formula>
    </cfRule>
    <cfRule type="cellIs" dxfId="13280" priority="14271" operator="equal">
      <formula>"C-Off"</formula>
    </cfRule>
    <cfRule type="cellIs" dxfId="13279" priority="14272" operator="equal">
      <formula>"CL-H"</formula>
    </cfRule>
    <cfRule type="cellIs" dxfId="13278" priority="14273" operator="equal">
      <formula>"EL-H"</formula>
    </cfRule>
    <cfRule type="cellIs" dxfId="13277" priority="14274" operator="equal">
      <formula>"CL"</formula>
    </cfRule>
    <cfRule type="cellIs" dxfId="13276" priority="14275" operator="equal">
      <formula>"EL"</formula>
    </cfRule>
  </conditionalFormatting>
  <conditionalFormatting sqref="CG18">
    <cfRule type="containsText" dxfId="13275" priority="14264" operator="containsText" text="S">
      <formula>NOT(ISERROR(SEARCH("S",CG18)))</formula>
    </cfRule>
    <cfRule type="containsText" dxfId="13274" priority="14265" operator="containsText" text="P">
      <formula>NOT(ISERROR(SEARCH("P",CG18)))</formula>
    </cfRule>
    <cfRule type="containsText" dxfId="13273" priority="14266" operator="containsText" text="H">
      <formula>NOT(ISERROR(SEARCH("H",CG18)))</formula>
    </cfRule>
    <cfRule type="containsText" dxfId="13272" priority="14268" operator="containsText" text="&quot;H&quot;">
      <formula>NOT(ISERROR(SEARCH("""H""",CG18)))</formula>
    </cfRule>
    <cfRule type="containsText" dxfId="13271" priority="14269" operator="containsText" text="&quot;A&quot;">
      <formula>NOT(ISERROR(SEARCH("""A""",CG18)))</formula>
    </cfRule>
  </conditionalFormatting>
  <conditionalFormatting sqref="CG18">
    <cfRule type="containsText" dxfId="13270" priority="14267" operator="containsText" text="A-H">
      <formula>NOT(ISERROR(SEARCH("A-H",CG18)))</formula>
    </cfRule>
  </conditionalFormatting>
  <conditionalFormatting sqref="CA16:CB16">
    <cfRule type="cellIs" dxfId="13269" priority="14258" operator="equal">
      <formula>"C-Off-H"</formula>
    </cfRule>
    <cfRule type="cellIs" dxfId="13268" priority="14259" operator="equal">
      <formula>"C-Off"</formula>
    </cfRule>
    <cfRule type="cellIs" dxfId="13267" priority="14260" operator="equal">
      <formula>"CL-H"</formula>
    </cfRule>
    <cfRule type="cellIs" dxfId="13266" priority="14261" operator="equal">
      <formula>"EL-H"</formula>
    </cfRule>
    <cfRule type="cellIs" dxfId="13265" priority="14262" operator="equal">
      <formula>"CL"</formula>
    </cfRule>
    <cfRule type="cellIs" dxfId="13264" priority="14263" operator="equal">
      <formula>"EL"</formula>
    </cfRule>
  </conditionalFormatting>
  <conditionalFormatting sqref="CA16:CB16">
    <cfRule type="containsText" dxfId="13263" priority="14252" operator="containsText" text="S">
      <formula>NOT(ISERROR(SEARCH("S",CA16)))</formula>
    </cfRule>
    <cfRule type="containsText" dxfId="13262" priority="14253" operator="containsText" text="P">
      <formula>NOT(ISERROR(SEARCH("P",CA16)))</formula>
    </cfRule>
    <cfRule type="containsText" dxfId="13261" priority="14254" operator="containsText" text="H">
      <formula>NOT(ISERROR(SEARCH("H",CA16)))</formula>
    </cfRule>
    <cfRule type="containsText" dxfId="13260" priority="14256" operator="containsText" text="&quot;H&quot;">
      <formula>NOT(ISERROR(SEARCH("""H""",CA16)))</formula>
    </cfRule>
    <cfRule type="containsText" dxfId="13259" priority="14257" operator="containsText" text="&quot;A&quot;">
      <formula>NOT(ISERROR(SEARCH("""A""",CA16)))</formula>
    </cfRule>
  </conditionalFormatting>
  <conditionalFormatting sqref="CA16:CB16">
    <cfRule type="containsText" dxfId="13258" priority="14255" operator="containsText" text="A-H">
      <formula>NOT(ISERROR(SEARCH("A-H",CA16)))</formula>
    </cfRule>
  </conditionalFormatting>
  <conditionalFormatting sqref="CD16:CE16">
    <cfRule type="cellIs" dxfId="13257" priority="14246" operator="equal">
      <formula>"C-Off-H"</formula>
    </cfRule>
    <cfRule type="cellIs" dxfId="13256" priority="14247" operator="equal">
      <formula>"C-Off"</formula>
    </cfRule>
    <cfRule type="cellIs" dxfId="13255" priority="14248" operator="equal">
      <formula>"CL-H"</formula>
    </cfRule>
    <cfRule type="cellIs" dxfId="13254" priority="14249" operator="equal">
      <formula>"EL-H"</formula>
    </cfRule>
    <cfRule type="cellIs" dxfId="13253" priority="14250" operator="equal">
      <formula>"CL"</formula>
    </cfRule>
    <cfRule type="cellIs" dxfId="13252" priority="14251" operator="equal">
      <formula>"EL"</formula>
    </cfRule>
  </conditionalFormatting>
  <conditionalFormatting sqref="CD16:CE16">
    <cfRule type="containsText" dxfId="13251" priority="14240" operator="containsText" text="S">
      <formula>NOT(ISERROR(SEARCH("S",CD16)))</formula>
    </cfRule>
    <cfRule type="containsText" dxfId="13250" priority="14241" operator="containsText" text="P">
      <formula>NOT(ISERROR(SEARCH("P",CD16)))</formula>
    </cfRule>
    <cfRule type="containsText" dxfId="13249" priority="14242" operator="containsText" text="H">
      <formula>NOT(ISERROR(SEARCH("H",CD16)))</formula>
    </cfRule>
    <cfRule type="containsText" dxfId="13248" priority="14244" operator="containsText" text="&quot;H&quot;">
      <formula>NOT(ISERROR(SEARCH("""H""",CD16)))</formula>
    </cfRule>
    <cfRule type="containsText" dxfId="13247" priority="14245" operator="containsText" text="&quot;A&quot;">
      <formula>NOT(ISERROR(SEARCH("""A""",CD16)))</formula>
    </cfRule>
  </conditionalFormatting>
  <conditionalFormatting sqref="CD16:CE16">
    <cfRule type="containsText" dxfId="13246" priority="14243" operator="containsText" text="A-H">
      <formula>NOT(ISERROR(SEARCH("A-H",CD16)))</formula>
    </cfRule>
  </conditionalFormatting>
  <conditionalFormatting sqref="CH16">
    <cfRule type="cellIs" dxfId="13245" priority="14234" operator="equal">
      <formula>"C-Off-H"</formula>
    </cfRule>
    <cfRule type="cellIs" dxfId="13244" priority="14235" operator="equal">
      <formula>"C-Off"</formula>
    </cfRule>
    <cfRule type="cellIs" dxfId="13243" priority="14236" operator="equal">
      <formula>"CL-H"</formula>
    </cfRule>
    <cfRule type="cellIs" dxfId="13242" priority="14237" operator="equal">
      <formula>"EL-H"</formula>
    </cfRule>
    <cfRule type="cellIs" dxfId="13241" priority="14238" operator="equal">
      <formula>"CL"</formula>
    </cfRule>
    <cfRule type="cellIs" dxfId="13240" priority="14239" operator="equal">
      <formula>"EL"</formula>
    </cfRule>
  </conditionalFormatting>
  <conditionalFormatting sqref="CH16">
    <cfRule type="containsText" dxfId="13239" priority="14228" operator="containsText" text="S">
      <formula>NOT(ISERROR(SEARCH("S",CH16)))</formula>
    </cfRule>
    <cfRule type="containsText" dxfId="13238" priority="14229" operator="containsText" text="P">
      <formula>NOT(ISERROR(SEARCH("P",CH16)))</formula>
    </cfRule>
    <cfRule type="containsText" dxfId="13237" priority="14230" operator="containsText" text="H">
      <formula>NOT(ISERROR(SEARCH("H",CH16)))</formula>
    </cfRule>
    <cfRule type="containsText" dxfId="13236" priority="14232" operator="containsText" text="&quot;H&quot;">
      <formula>NOT(ISERROR(SEARCH("""H""",CH16)))</formula>
    </cfRule>
    <cfRule type="containsText" dxfId="13235" priority="14233" operator="containsText" text="&quot;A&quot;">
      <formula>NOT(ISERROR(SEARCH("""A""",CH16)))</formula>
    </cfRule>
  </conditionalFormatting>
  <conditionalFormatting sqref="CH16">
    <cfRule type="containsText" dxfId="13234" priority="14231" operator="containsText" text="A-H">
      <formula>NOT(ISERROR(SEARCH("A-H",CH16)))</formula>
    </cfRule>
  </conditionalFormatting>
  <conditionalFormatting sqref="CG16">
    <cfRule type="cellIs" dxfId="13233" priority="14222" operator="equal">
      <formula>"C-Off-H"</formula>
    </cfRule>
    <cfRule type="cellIs" dxfId="13232" priority="14223" operator="equal">
      <formula>"C-Off"</formula>
    </cfRule>
    <cfRule type="cellIs" dxfId="13231" priority="14224" operator="equal">
      <formula>"CL-H"</formula>
    </cfRule>
    <cfRule type="cellIs" dxfId="13230" priority="14225" operator="equal">
      <formula>"EL-H"</formula>
    </cfRule>
    <cfRule type="cellIs" dxfId="13229" priority="14226" operator="equal">
      <formula>"CL"</formula>
    </cfRule>
    <cfRule type="cellIs" dxfId="13228" priority="14227" operator="equal">
      <formula>"EL"</formula>
    </cfRule>
  </conditionalFormatting>
  <conditionalFormatting sqref="CG16">
    <cfRule type="containsText" dxfId="13227" priority="14216" operator="containsText" text="S">
      <formula>NOT(ISERROR(SEARCH("S",CG16)))</formula>
    </cfRule>
    <cfRule type="containsText" dxfId="13226" priority="14217" operator="containsText" text="P">
      <formula>NOT(ISERROR(SEARCH("P",CG16)))</formula>
    </cfRule>
    <cfRule type="containsText" dxfId="13225" priority="14218" operator="containsText" text="H">
      <formula>NOT(ISERROR(SEARCH("H",CG16)))</formula>
    </cfRule>
    <cfRule type="containsText" dxfId="13224" priority="14220" operator="containsText" text="&quot;H&quot;">
      <formula>NOT(ISERROR(SEARCH("""H""",CG16)))</formula>
    </cfRule>
    <cfRule type="containsText" dxfId="13223" priority="14221" operator="containsText" text="&quot;A&quot;">
      <formula>NOT(ISERROR(SEARCH("""A""",CG16)))</formula>
    </cfRule>
  </conditionalFormatting>
  <conditionalFormatting sqref="CG16">
    <cfRule type="containsText" dxfId="13222" priority="14219" operator="containsText" text="A-H">
      <formula>NOT(ISERROR(SEARCH("A-H",CG16)))</formula>
    </cfRule>
  </conditionalFormatting>
  <conditionalFormatting sqref="H17">
    <cfRule type="cellIs" dxfId="13221" priority="14210" operator="equal">
      <formula>"C-Off-H"</formula>
    </cfRule>
    <cfRule type="cellIs" dxfId="13220" priority="14211" operator="equal">
      <formula>"C-Off"</formula>
    </cfRule>
    <cfRule type="cellIs" dxfId="13219" priority="14212" operator="equal">
      <formula>"CL-H"</formula>
    </cfRule>
    <cfRule type="cellIs" dxfId="13218" priority="14213" operator="equal">
      <formula>"EL-H"</formula>
    </cfRule>
    <cfRule type="cellIs" dxfId="13217" priority="14214" operator="equal">
      <formula>"CL"</formula>
    </cfRule>
    <cfRule type="cellIs" dxfId="13216" priority="14215" operator="equal">
      <formula>"EL"</formula>
    </cfRule>
  </conditionalFormatting>
  <conditionalFormatting sqref="G17:H17">
    <cfRule type="cellIs" dxfId="13215" priority="14204" operator="equal">
      <formula>"C-Off-H"</formula>
    </cfRule>
    <cfRule type="cellIs" dxfId="13214" priority="14205" operator="equal">
      <formula>"C-Off"</formula>
    </cfRule>
    <cfRule type="cellIs" dxfId="13213" priority="14206" operator="equal">
      <formula>"CL-H"</formula>
    </cfRule>
    <cfRule type="cellIs" dxfId="13212" priority="14207" operator="equal">
      <formula>"EL-H"</formula>
    </cfRule>
    <cfRule type="cellIs" dxfId="13211" priority="14208" operator="equal">
      <formula>"CL"</formula>
    </cfRule>
    <cfRule type="cellIs" dxfId="13210" priority="14209" operator="equal">
      <formula>"EL"</formula>
    </cfRule>
  </conditionalFormatting>
  <conditionalFormatting sqref="G17:H17">
    <cfRule type="containsText" dxfId="13209" priority="14198" operator="containsText" text="S">
      <formula>NOT(ISERROR(SEARCH("S",G17)))</formula>
    </cfRule>
    <cfRule type="containsText" dxfId="13208" priority="14199" operator="containsText" text="P">
      <formula>NOT(ISERROR(SEARCH("P",G17)))</formula>
    </cfRule>
    <cfRule type="containsText" dxfId="13207" priority="14200" operator="containsText" text="H">
      <formula>NOT(ISERROR(SEARCH("H",G17)))</formula>
    </cfRule>
    <cfRule type="containsText" dxfId="13206" priority="14202" operator="containsText" text="&quot;H&quot;">
      <formula>NOT(ISERROR(SEARCH("""H""",G17)))</formula>
    </cfRule>
    <cfRule type="containsText" dxfId="13205" priority="14203" operator="containsText" text="&quot;A&quot;">
      <formula>NOT(ISERROR(SEARCH("""A""",G17)))</formula>
    </cfRule>
  </conditionalFormatting>
  <conditionalFormatting sqref="G17:H17">
    <cfRule type="containsText" dxfId="13204" priority="14201" operator="containsText" text="A-H">
      <formula>NOT(ISERROR(SEARCH("A-H",G17)))</formula>
    </cfRule>
  </conditionalFormatting>
  <conditionalFormatting sqref="H18">
    <cfRule type="cellIs" dxfId="13203" priority="14192" operator="equal">
      <formula>"C-Off-H"</formula>
    </cfRule>
    <cfRule type="cellIs" dxfId="13202" priority="14193" operator="equal">
      <formula>"C-Off"</formula>
    </cfRule>
    <cfRule type="cellIs" dxfId="13201" priority="14194" operator="equal">
      <formula>"CL-H"</formula>
    </cfRule>
    <cfRule type="cellIs" dxfId="13200" priority="14195" operator="equal">
      <formula>"EL-H"</formula>
    </cfRule>
    <cfRule type="cellIs" dxfId="13199" priority="14196" operator="equal">
      <formula>"CL"</formula>
    </cfRule>
    <cfRule type="cellIs" dxfId="13198" priority="14197" operator="equal">
      <formula>"EL"</formula>
    </cfRule>
  </conditionalFormatting>
  <conditionalFormatting sqref="G18:H18">
    <cfRule type="cellIs" dxfId="13197" priority="14186" operator="equal">
      <formula>"C-Off-H"</formula>
    </cfRule>
    <cfRule type="cellIs" dxfId="13196" priority="14187" operator="equal">
      <formula>"C-Off"</formula>
    </cfRule>
    <cfRule type="cellIs" dxfId="13195" priority="14188" operator="equal">
      <formula>"CL-H"</formula>
    </cfRule>
    <cfRule type="cellIs" dxfId="13194" priority="14189" operator="equal">
      <formula>"EL-H"</formula>
    </cfRule>
    <cfRule type="cellIs" dxfId="13193" priority="14190" operator="equal">
      <formula>"CL"</formula>
    </cfRule>
    <cfRule type="cellIs" dxfId="13192" priority="14191" operator="equal">
      <formula>"EL"</formula>
    </cfRule>
  </conditionalFormatting>
  <conditionalFormatting sqref="G18:H18">
    <cfRule type="containsText" dxfId="13191" priority="14180" operator="containsText" text="S">
      <formula>NOT(ISERROR(SEARCH("S",G18)))</formula>
    </cfRule>
    <cfRule type="containsText" dxfId="13190" priority="14181" operator="containsText" text="P">
      <formula>NOT(ISERROR(SEARCH("P",G18)))</formula>
    </cfRule>
    <cfRule type="containsText" dxfId="13189" priority="14182" operator="containsText" text="H">
      <formula>NOT(ISERROR(SEARCH("H",G18)))</formula>
    </cfRule>
    <cfRule type="containsText" dxfId="13188" priority="14184" operator="containsText" text="&quot;H&quot;">
      <formula>NOT(ISERROR(SEARCH("""H""",G18)))</formula>
    </cfRule>
    <cfRule type="containsText" dxfId="13187" priority="14185" operator="containsText" text="&quot;A&quot;">
      <formula>NOT(ISERROR(SEARCH("""A""",G18)))</formula>
    </cfRule>
  </conditionalFormatting>
  <conditionalFormatting sqref="G18:H18">
    <cfRule type="containsText" dxfId="13186" priority="14183" operator="containsText" text="A-H">
      <formula>NOT(ISERROR(SEARCH("A-H",G18)))</formula>
    </cfRule>
  </conditionalFormatting>
  <conditionalFormatting sqref="H16">
    <cfRule type="cellIs" dxfId="13185" priority="14174" operator="equal">
      <formula>"C-Off-H"</formula>
    </cfRule>
    <cfRule type="cellIs" dxfId="13184" priority="14175" operator="equal">
      <formula>"C-Off"</formula>
    </cfRule>
    <cfRule type="cellIs" dxfId="13183" priority="14176" operator="equal">
      <formula>"CL-H"</formula>
    </cfRule>
    <cfRule type="cellIs" dxfId="13182" priority="14177" operator="equal">
      <formula>"EL-H"</formula>
    </cfRule>
    <cfRule type="cellIs" dxfId="13181" priority="14178" operator="equal">
      <formula>"CL"</formula>
    </cfRule>
    <cfRule type="cellIs" dxfId="13180" priority="14179" operator="equal">
      <formula>"EL"</formula>
    </cfRule>
  </conditionalFormatting>
  <conditionalFormatting sqref="G16:H16">
    <cfRule type="cellIs" dxfId="13179" priority="14168" operator="equal">
      <formula>"C-Off-H"</formula>
    </cfRule>
    <cfRule type="cellIs" dxfId="13178" priority="14169" operator="equal">
      <formula>"C-Off"</formula>
    </cfRule>
    <cfRule type="cellIs" dxfId="13177" priority="14170" operator="equal">
      <formula>"CL-H"</formula>
    </cfRule>
    <cfRule type="cellIs" dxfId="13176" priority="14171" operator="equal">
      <formula>"EL-H"</formula>
    </cfRule>
    <cfRule type="cellIs" dxfId="13175" priority="14172" operator="equal">
      <formula>"CL"</formula>
    </cfRule>
    <cfRule type="cellIs" dxfId="13174" priority="14173" operator="equal">
      <formula>"EL"</formula>
    </cfRule>
  </conditionalFormatting>
  <conditionalFormatting sqref="G16:H16">
    <cfRule type="containsText" dxfId="13173" priority="14162" operator="containsText" text="S">
      <formula>NOT(ISERROR(SEARCH("S",G16)))</formula>
    </cfRule>
    <cfRule type="containsText" dxfId="13172" priority="14163" operator="containsText" text="P">
      <formula>NOT(ISERROR(SEARCH("P",G16)))</formula>
    </cfRule>
    <cfRule type="containsText" dxfId="13171" priority="14164" operator="containsText" text="H">
      <formula>NOT(ISERROR(SEARCH("H",G16)))</formula>
    </cfRule>
    <cfRule type="containsText" dxfId="13170" priority="14166" operator="containsText" text="&quot;H&quot;">
      <formula>NOT(ISERROR(SEARCH("""H""",G16)))</formula>
    </cfRule>
    <cfRule type="containsText" dxfId="13169" priority="14167" operator="containsText" text="&quot;A&quot;">
      <formula>NOT(ISERROR(SEARCH("""A""",G16)))</formula>
    </cfRule>
  </conditionalFormatting>
  <conditionalFormatting sqref="G16:H16">
    <cfRule type="containsText" dxfId="13168" priority="14165" operator="containsText" text="A-H">
      <formula>NOT(ISERROR(SEARCH("A-H",G16)))</formula>
    </cfRule>
  </conditionalFormatting>
  <conditionalFormatting sqref="CX15">
    <cfRule type="cellIs" dxfId="13167" priority="14089" operator="equal">
      <formula>"C-Off-H"</formula>
    </cfRule>
    <cfRule type="cellIs" dxfId="13166" priority="14090" operator="equal">
      <formula>"C-Off"</formula>
    </cfRule>
    <cfRule type="cellIs" dxfId="13165" priority="14091" operator="equal">
      <formula>"CL-H"</formula>
    </cfRule>
    <cfRule type="cellIs" dxfId="13164" priority="14092" operator="equal">
      <formula>"EL-H"</formula>
    </cfRule>
    <cfRule type="cellIs" dxfId="13163" priority="14093" operator="equal">
      <formula>"CL"</formula>
    </cfRule>
    <cfRule type="cellIs" dxfId="13162" priority="14094" operator="equal">
      <formula>"EL"</formula>
    </cfRule>
  </conditionalFormatting>
  <conditionalFormatting sqref="CX15">
    <cfRule type="containsText" dxfId="13161" priority="14088" operator="containsText" text="A-H">
      <formula>NOT(ISERROR(SEARCH("A-H",CX15)))</formula>
    </cfRule>
  </conditionalFormatting>
  <conditionalFormatting sqref="CX15">
    <cfRule type="containsText" dxfId="13160" priority="14087" operator="containsText" text="A">
      <formula>NOT(ISERROR(SEARCH("A",CX15)))</formula>
    </cfRule>
  </conditionalFormatting>
  <conditionalFormatting sqref="DC15 CP15:CW15">
    <cfRule type="cellIs" dxfId="13159" priority="14070" operator="equal">
      <formula>"C-Off-H"</formula>
    </cfRule>
    <cfRule type="cellIs" dxfId="13158" priority="14071" operator="equal">
      <formula>"C-Off"</formula>
    </cfRule>
    <cfRule type="cellIs" dxfId="13157" priority="14072" operator="equal">
      <formula>"CL-H"</formula>
    </cfRule>
    <cfRule type="cellIs" dxfId="13156" priority="14073" operator="equal">
      <formula>"EL-H"</formula>
    </cfRule>
    <cfRule type="cellIs" dxfId="13155" priority="14074" operator="equal">
      <formula>"CL"</formula>
    </cfRule>
    <cfRule type="cellIs" dxfId="13154" priority="14075" operator="equal">
      <formula>"EL"</formula>
    </cfRule>
  </conditionalFormatting>
  <conditionalFormatting sqref="DC15 CP15:CW15 CY15:DA15">
    <cfRule type="containsText" dxfId="13153" priority="14069" operator="containsText" text="A-H">
      <formula>NOT(ISERROR(SEARCH("A-H",CP15)))</formula>
    </cfRule>
  </conditionalFormatting>
  <conditionalFormatting sqref="DC15 CP15:CW15 CY15:DA15">
    <cfRule type="containsText" dxfId="13152" priority="14068" operator="containsText" text="A">
      <formula>NOT(ISERROR(SEARCH("A",CP15)))</formula>
    </cfRule>
  </conditionalFormatting>
  <conditionalFormatting sqref="CY15 DA15">
    <cfRule type="cellIs" dxfId="13151" priority="14062" stopIfTrue="1" operator="equal">
      <formula>"C-Off-H"</formula>
    </cfRule>
    <cfRule type="cellIs" dxfId="13150" priority="14063" stopIfTrue="1" operator="equal">
      <formula>"C-Off"</formula>
    </cfRule>
    <cfRule type="cellIs" dxfId="13149" priority="14064" stopIfTrue="1" operator="equal">
      <formula>"CL-H"</formula>
    </cfRule>
    <cfRule type="cellIs" dxfId="13148" priority="14065" stopIfTrue="1" operator="equal">
      <formula>"EL-H"</formula>
    </cfRule>
    <cfRule type="cellIs" dxfId="13147" priority="14066" stopIfTrue="1" operator="equal">
      <formula>"CL"</formula>
    </cfRule>
    <cfRule type="cellIs" dxfId="13146" priority="14067" stopIfTrue="1" operator="equal">
      <formula>"EL"</formula>
    </cfRule>
  </conditionalFormatting>
  <conditionalFormatting sqref="CZ15">
    <cfRule type="cellIs" dxfId="13145" priority="14056" stopIfTrue="1" operator="equal">
      <formula>"C-Off-H"</formula>
    </cfRule>
    <cfRule type="cellIs" dxfId="13144" priority="14057" stopIfTrue="1" operator="equal">
      <formula>"C-Off"</formula>
    </cfRule>
    <cfRule type="cellIs" dxfId="13143" priority="14058" stopIfTrue="1" operator="equal">
      <formula>"CL-H"</formula>
    </cfRule>
    <cfRule type="cellIs" dxfId="13142" priority="14059" stopIfTrue="1" operator="equal">
      <formula>"EL-H"</formula>
    </cfRule>
    <cfRule type="cellIs" dxfId="13141" priority="14060" stopIfTrue="1" operator="equal">
      <formula>"CL"</formula>
    </cfRule>
    <cfRule type="cellIs" dxfId="13140" priority="14061" stopIfTrue="1" operator="equal">
      <formula>"EL"</formula>
    </cfRule>
  </conditionalFormatting>
  <conditionalFormatting sqref="DD15">
    <cfRule type="cellIs" dxfId="13139" priority="14045" operator="equal">
      <formula>"C-Off-H"</formula>
    </cfRule>
    <cfRule type="cellIs" dxfId="13138" priority="14046" operator="equal">
      <formula>"C-Off"</formula>
    </cfRule>
    <cfRule type="cellIs" dxfId="13137" priority="14047" operator="equal">
      <formula>"CL-H"</formula>
    </cfRule>
    <cfRule type="cellIs" dxfId="13136" priority="14048" operator="equal">
      <formula>"EL-H"</formula>
    </cfRule>
    <cfRule type="cellIs" dxfId="13135" priority="14049" operator="equal">
      <formula>"CL"</formula>
    </cfRule>
    <cfRule type="cellIs" dxfId="13134" priority="14050" operator="equal">
      <formula>"EL"</formula>
    </cfRule>
  </conditionalFormatting>
  <conditionalFormatting sqref="DD15">
    <cfRule type="containsText" dxfId="13133" priority="14044" operator="containsText" text="A">
      <formula>NOT(ISERROR(SEARCH("A",DD15)))</formula>
    </cfRule>
  </conditionalFormatting>
  <conditionalFormatting sqref="DD15">
    <cfRule type="containsText" dxfId="13132" priority="14043" operator="containsText" text="A-H">
      <formula>NOT(ISERROR(SEARCH("A-H",DD15)))</formula>
    </cfRule>
  </conditionalFormatting>
  <conditionalFormatting sqref="AI15">
    <cfRule type="cellIs" dxfId="13131" priority="14037" operator="equal">
      <formula>"C-Off-H"</formula>
    </cfRule>
    <cfRule type="cellIs" dxfId="13130" priority="14038" operator="equal">
      <formula>"C-Off"</formula>
    </cfRule>
    <cfRule type="cellIs" dxfId="13129" priority="14039" operator="equal">
      <formula>"CL-H"</formula>
    </cfRule>
    <cfRule type="cellIs" dxfId="13128" priority="14040" operator="equal">
      <formula>"EL-H"</formula>
    </cfRule>
    <cfRule type="cellIs" dxfId="13127" priority="14041" operator="equal">
      <formula>"CL"</formula>
    </cfRule>
    <cfRule type="cellIs" dxfId="13126" priority="14042" operator="equal">
      <formula>"EL"</formula>
    </cfRule>
  </conditionalFormatting>
  <conditionalFormatting sqref="AH15:AI15">
    <cfRule type="cellIs" dxfId="13125" priority="14031" operator="equal">
      <formula>"C-Off-H"</formula>
    </cfRule>
    <cfRule type="cellIs" dxfId="13124" priority="14032" operator="equal">
      <formula>"C-Off"</formula>
    </cfRule>
    <cfRule type="cellIs" dxfId="13123" priority="14033" operator="equal">
      <formula>"CL-H"</formula>
    </cfRule>
    <cfRule type="cellIs" dxfId="13122" priority="14034" operator="equal">
      <formula>"EL-H"</formula>
    </cfRule>
    <cfRule type="cellIs" dxfId="13121" priority="14035" operator="equal">
      <formula>"CL"</formula>
    </cfRule>
    <cfRule type="cellIs" dxfId="13120" priority="14036" operator="equal">
      <formula>"EL"</formula>
    </cfRule>
  </conditionalFormatting>
  <conditionalFormatting sqref="AH15:AI15">
    <cfRule type="containsText" dxfId="13119" priority="14025" operator="containsText" text="S">
      <formula>NOT(ISERROR(SEARCH("S",AH15)))</formula>
    </cfRule>
    <cfRule type="containsText" dxfId="13118" priority="14026" operator="containsText" text="P">
      <formula>NOT(ISERROR(SEARCH("P",AH15)))</formula>
    </cfRule>
    <cfRule type="containsText" dxfId="13117" priority="14027" operator="containsText" text="H">
      <formula>NOT(ISERROR(SEARCH("H",AH15)))</formula>
    </cfRule>
    <cfRule type="containsText" dxfId="13116" priority="14029" operator="containsText" text="&quot;H&quot;">
      <formula>NOT(ISERROR(SEARCH("""H""",AH15)))</formula>
    </cfRule>
    <cfRule type="containsText" dxfId="13115" priority="14030" operator="containsText" text="&quot;A&quot;">
      <formula>NOT(ISERROR(SEARCH("""A""",AH15)))</formula>
    </cfRule>
  </conditionalFormatting>
  <conditionalFormatting sqref="AH15:AI15">
    <cfRule type="containsText" dxfId="13114" priority="14028" operator="containsText" text="A-H">
      <formula>NOT(ISERROR(SEARCH("A-H",AH15)))</formula>
    </cfRule>
  </conditionalFormatting>
  <conditionalFormatting sqref="AU15">
    <cfRule type="cellIs" dxfId="13113" priority="14019" operator="equal">
      <formula>"C-Off-H"</formula>
    </cfRule>
    <cfRule type="cellIs" dxfId="13112" priority="14020" operator="equal">
      <formula>"C-Off"</formula>
    </cfRule>
    <cfRule type="cellIs" dxfId="13111" priority="14021" operator="equal">
      <formula>"CL-H"</formula>
    </cfRule>
    <cfRule type="cellIs" dxfId="13110" priority="14022" operator="equal">
      <formula>"EL-H"</formula>
    </cfRule>
    <cfRule type="cellIs" dxfId="13109" priority="14023" operator="equal">
      <formula>"CL"</formula>
    </cfRule>
    <cfRule type="cellIs" dxfId="13108" priority="14024" operator="equal">
      <formula>"EL"</formula>
    </cfRule>
  </conditionalFormatting>
  <conditionalFormatting sqref="AT15:AU15">
    <cfRule type="cellIs" dxfId="13107" priority="14013" operator="equal">
      <formula>"C-Off-H"</formula>
    </cfRule>
    <cfRule type="cellIs" dxfId="13106" priority="14014" operator="equal">
      <formula>"C-Off"</formula>
    </cfRule>
    <cfRule type="cellIs" dxfId="13105" priority="14015" operator="equal">
      <formula>"CL-H"</formula>
    </cfRule>
    <cfRule type="cellIs" dxfId="13104" priority="14016" operator="equal">
      <formula>"EL-H"</formula>
    </cfRule>
    <cfRule type="cellIs" dxfId="13103" priority="14017" operator="equal">
      <formula>"CL"</formula>
    </cfRule>
    <cfRule type="cellIs" dxfId="13102" priority="14018" operator="equal">
      <formula>"EL"</formula>
    </cfRule>
  </conditionalFormatting>
  <conditionalFormatting sqref="AT15:AU15">
    <cfRule type="containsText" dxfId="13101" priority="14007" operator="containsText" text="S">
      <formula>NOT(ISERROR(SEARCH("S",AT15)))</formula>
    </cfRule>
    <cfRule type="containsText" dxfId="13100" priority="14008" operator="containsText" text="P">
      <formula>NOT(ISERROR(SEARCH("P",AT15)))</formula>
    </cfRule>
    <cfRule type="containsText" dxfId="13099" priority="14009" operator="containsText" text="H">
      <formula>NOT(ISERROR(SEARCH("H",AT15)))</formula>
    </cfRule>
    <cfRule type="containsText" dxfId="13098" priority="14011" operator="containsText" text="&quot;H&quot;">
      <formula>NOT(ISERROR(SEARCH("""H""",AT15)))</formula>
    </cfRule>
    <cfRule type="containsText" dxfId="13097" priority="14012" operator="containsText" text="&quot;A&quot;">
      <formula>NOT(ISERROR(SEARCH("""A""",AT15)))</formula>
    </cfRule>
  </conditionalFormatting>
  <conditionalFormatting sqref="AT15:AU15">
    <cfRule type="containsText" dxfId="13096" priority="14010" operator="containsText" text="A-H">
      <formula>NOT(ISERROR(SEARCH("A-H",AT15)))</formula>
    </cfRule>
  </conditionalFormatting>
  <conditionalFormatting sqref="E15">
    <cfRule type="cellIs" dxfId="13095" priority="14001" operator="equal">
      <formula>"C-Off-H"</formula>
    </cfRule>
    <cfRule type="cellIs" dxfId="13094" priority="14002" operator="equal">
      <formula>"C-Off"</formula>
    </cfRule>
    <cfRule type="cellIs" dxfId="13093" priority="14003" operator="equal">
      <formula>"CL-H"</formula>
    </cfRule>
    <cfRule type="cellIs" dxfId="13092" priority="14004" operator="equal">
      <formula>"EL-H"</formula>
    </cfRule>
    <cfRule type="cellIs" dxfId="13091" priority="14005" operator="equal">
      <formula>"CL"</formula>
    </cfRule>
    <cfRule type="cellIs" dxfId="13090" priority="14006" operator="equal">
      <formula>"EL"</formula>
    </cfRule>
  </conditionalFormatting>
  <conditionalFormatting sqref="D15:E15">
    <cfRule type="cellIs" dxfId="13089" priority="13995" operator="equal">
      <formula>"C-Off-H"</formula>
    </cfRule>
    <cfRule type="cellIs" dxfId="13088" priority="13996" operator="equal">
      <formula>"C-Off"</formula>
    </cfRule>
    <cfRule type="cellIs" dxfId="13087" priority="13997" operator="equal">
      <formula>"CL-H"</formula>
    </cfRule>
    <cfRule type="cellIs" dxfId="13086" priority="13998" operator="equal">
      <formula>"EL-H"</formula>
    </cfRule>
    <cfRule type="cellIs" dxfId="13085" priority="13999" operator="equal">
      <formula>"CL"</formula>
    </cfRule>
    <cfRule type="cellIs" dxfId="13084" priority="14000" operator="equal">
      <formula>"EL"</formula>
    </cfRule>
  </conditionalFormatting>
  <conditionalFormatting sqref="D15:E15">
    <cfRule type="containsText" dxfId="13083" priority="13989" operator="containsText" text="S">
      <formula>NOT(ISERROR(SEARCH("S",D15)))</formula>
    </cfRule>
    <cfRule type="containsText" dxfId="13082" priority="13990" operator="containsText" text="P">
      <formula>NOT(ISERROR(SEARCH("P",D15)))</formula>
    </cfRule>
    <cfRule type="containsText" dxfId="13081" priority="13991" operator="containsText" text="H">
      <formula>NOT(ISERROR(SEARCH("H",D15)))</formula>
    </cfRule>
    <cfRule type="containsText" dxfId="13080" priority="13993" operator="containsText" text="&quot;H&quot;">
      <formula>NOT(ISERROR(SEARCH("""H""",D15)))</formula>
    </cfRule>
    <cfRule type="containsText" dxfId="13079" priority="13994" operator="containsText" text="&quot;A&quot;">
      <formula>NOT(ISERROR(SEARCH("""A""",D15)))</formula>
    </cfRule>
  </conditionalFormatting>
  <conditionalFormatting sqref="D15:E15">
    <cfRule type="containsText" dxfId="13078" priority="13992" operator="containsText" text="A-H">
      <formula>NOT(ISERROR(SEARCH("A-H",D15)))</formula>
    </cfRule>
  </conditionalFormatting>
  <conditionalFormatting sqref="Z15">
    <cfRule type="cellIs" dxfId="13077" priority="13983" operator="equal">
      <formula>"C-Off-H"</formula>
    </cfRule>
    <cfRule type="cellIs" dxfId="13076" priority="13984" operator="equal">
      <formula>"C-Off"</formula>
    </cfRule>
    <cfRule type="cellIs" dxfId="13075" priority="13985" operator="equal">
      <formula>"CL-H"</formula>
    </cfRule>
    <cfRule type="cellIs" dxfId="13074" priority="13986" operator="equal">
      <formula>"EL-H"</formula>
    </cfRule>
    <cfRule type="cellIs" dxfId="13073" priority="13987" operator="equal">
      <formula>"CL"</formula>
    </cfRule>
    <cfRule type="cellIs" dxfId="13072" priority="13988" operator="equal">
      <formula>"EL"</formula>
    </cfRule>
  </conditionalFormatting>
  <conditionalFormatting sqref="Z15">
    <cfRule type="containsText" dxfId="13071" priority="13977" operator="containsText" text="S">
      <formula>NOT(ISERROR(SEARCH("S",Z15)))</formula>
    </cfRule>
    <cfRule type="containsText" dxfId="13070" priority="13978" operator="containsText" text="P">
      <formula>NOT(ISERROR(SEARCH("P",Z15)))</formula>
    </cfRule>
    <cfRule type="containsText" dxfId="13069" priority="13979" operator="containsText" text="H">
      <formula>NOT(ISERROR(SEARCH("H",Z15)))</formula>
    </cfRule>
    <cfRule type="containsText" dxfId="13068" priority="13981" operator="containsText" text="&quot;H&quot;">
      <formula>NOT(ISERROR(SEARCH("""H""",Z15)))</formula>
    </cfRule>
    <cfRule type="containsText" dxfId="13067" priority="13982" operator="containsText" text="&quot;A&quot;">
      <formula>NOT(ISERROR(SEARCH("""A""",Z15)))</formula>
    </cfRule>
  </conditionalFormatting>
  <conditionalFormatting sqref="Z15">
    <cfRule type="containsText" dxfId="13066" priority="13980" operator="containsText" text="A-H">
      <formula>NOT(ISERROR(SEARCH("A-H",Z15)))</formula>
    </cfRule>
  </conditionalFormatting>
  <conditionalFormatting sqref="Y15">
    <cfRule type="cellIs" dxfId="13065" priority="13971" operator="equal">
      <formula>"C-Off-H"</formula>
    </cfRule>
    <cfRule type="cellIs" dxfId="13064" priority="13972" operator="equal">
      <formula>"C-Off"</formula>
    </cfRule>
    <cfRule type="cellIs" dxfId="13063" priority="13973" operator="equal">
      <formula>"CL-H"</formula>
    </cfRule>
    <cfRule type="cellIs" dxfId="13062" priority="13974" operator="equal">
      <formula>"EL-H"</formula>
    </cfRule>
    <cfRule type="cellIs" dxfId="13061" priority="13975" operator="equal">
      <formula>"CL"</formula>
    </cfRule>
    <cfRule type="cellIs" dxfId="13060" priority="13976" operator="equal">
      <formula>"EL"</formula>
    </cfRule>
  </conditionalFormatting>
  <conditionalFormatting sqref="Y15">
    <cfRule type="containsText" dxfId="13059" priority="13965" operator="containsText" text="S">
      <formula>NOT(ISERROR(SEARCH("S",Y15)))</formula>
    </cfRule>
    <cfRule type="containsText" dxfId="13058" priority="13966" operator="containsText" text="P">
      <formula>NOT(ISERROR(SEARCH("P",Y15)))</formula>
    </cfRule>
    <cfRule type="containsText" dxfId="13057" priority="13967" operator="containsText" text="H">
      <formula>NOT(ISERROR(SEARCH("H",Y15)))</formula>
    </cfRule>
    <cfRule type="containsText" dxfId="13056" priority="13969" operator="containsText" text="&quot;H&quot;">
      <formula>NOT(ISERROR(SEARCH("""H""",Y15)))</formula>
    </cfRule>
    <cfRule type="containsText" dxfId="13055" priority="13970" operator="containsText" text="&quot;A&quot;">
      <formula>NOT(ISERROR(SEARCH("""A""",Y15)))</formula>
    </cfRule>
  </conditionalFormatting>
  <conditionalFormatting sqref="Y15">
    <cfRule type="containsText" dxfId="13054" priority="13968" operator="containsText" text="A-H">
      <formula>NOT(ISERROR(SEARCH("A-H",Y15)))</formula>
    </cfRule>
  </conditionalFormatting>
  <conditionalFormatting sqref="AF15">
    <cfRule type="cellIs" dxfId="13053" priority="13959" operator="equal">
      <formula>"C-Off-H"</formula>
    </cfRule>
    <cfRule type="cellIs" dxfId="13052" priority="13960" operator="equal">
      <formula>"C-Off"</formula>
    </cfRule>
    <cfRule type="cellIs" dxfId="13051" priority="13961" operator="equal">
      <formula>"CL-H"</formula>
    </cfRule>
    <cfRule type="cellIs" dxfId="13050" priority="13962" operator="equal">
      <formula>"EL-H"</formula>
    </cfRule>
    <cfRule type="cellIs" dxfId="13049" priority="13963" operator="equal">
      <formula>"CL"</formula>
    </cfRule>
    <cfRule type="cellIs" dxfId="13048" priority="13964" operator="equal">
      <formula>"EL"</formula>
    </cfRule>
  </conditionalFormatting>
  <conditionalFormatting sqref="AF15">
    <cfRule type="containsText" dxfId="13047" priority="13953" operator="containsText" text="S">
      <formula>NOT(ISERROR(SEARCH("S",AF15)))</formula>
    </cfRule>
    <cfRule type="containsText" dxfId="13046" priority="13954" operator="containsText" text="P">
      <formula>NOT(ISERROR(SEARCH("P",AF15)))</formula>
    </cfRule>
    <cfRule type="containsText" dxfId="13045" priority="13955" operator="containsText" text="H">
      <formula>NOT(ISERROR(SEARCH("H",AF15)))</formula>
    </cfRule>
    <cfRule type="containsText" dxfId="13044" priority="13957" operator="containsText" text="&quot;H&quot;">
      <formula>NOT(ISERROR(SEARCH("""H""",AF15)))</formula>
    </cfRule>
    <cfRule type="containsText" dxfId="13043" priority="13958" operator="containsText" text="&quot;A&quot;">
      <formula>NOT(ISERROR(SEARCH("""A""",AF15)))</formula>
    </cfRule>
  </conditionalFormatting>
  <conditionalFormatting sqref="AF15">
    <cfRule type="containsText" dxfId="13042" priority="13956" operator="containsText" text="A-H">
      <formula>NOT(ISERROR(SEARCH("A-H",AF15)))</formula>
    </cfRule>
  </conditionalFormatting>
  <conditionalFormatting sqref="BO15:BP15">
    <cfRule type="cellIs" dxfId="13041" priority="13947" operator="equal">
      <formula>"C-Off-H"</formula>
    </cfRule>
    <cfRule type="cellIs" dxfId="13040" priority="13948" operator="equal">
      <formula>"C-Off"</formula>
    </cfRule>
    <cfRule type="cellIs" dxfId="13039" priority="13949" operator="equal">
      <formula>"CL-H"</formula>
    </cfRule>
    <cfRule type="cellIs" dxfId="13038" priority="13950" operator="equal">
      <formula>"EL-H"</formula>
    </cfRule>
    <cfRule type="cellIs" dxfId="13037" priority="13951" operator="equal">
      <formula>"CL"</formula>
    </cfRule>
    <cfRule type="cellIs" dxfId="13036" priority="13952" operator="equal">
      <formula>"EL"</formula>
    </cfRule>
  </conditionalFormatting>
  <conditionalFormatting sqref="BO15:BP15">
    <cfRule type="cellIs" dxfId="13035" priority="13941" operator="equal">
      <formula>"C-Off-H"</formula>
    </cfRule>
    <cfRule type="cellIs" dxfId="13034" priority="13942" operator="equal">
      <formula>"C-Off"</formula>
    </cfRule>
    <cfRule type="cellIs" dxfId="13033" priority="13943" operator="equal">
      <formula>"CL-H"</formula>
    </cfRule>
    <cfRule type="cellIs" dxfId="13032" priority="13944" operator="equal">
      <formula>"EL-H"</formula>
    </cfRule>
    <cfRule type="cellIs" dxfId="13031" priority="13945" operator="equal">
      <formula>"CL"</formula>
    </cfRule>
    <cfRule type="cellIs" dxfId="13030" priority="13946" operator="equal">
      <formula>"EL"</formula>
    </cfRule>
  </conditionalFormatting>
  <conditionalFormatting sqref="BO15:BP15">
    <cfRule type="containsText" dxfId="13029" priority="13935" operator="containsText" text="S">
      <formula>NOT(ISERROR(SEARCH("S",BO15)))</formula>
    </cfRule>
    <cfRule type="containsText" dxfId="13028" priority="13936" operator="containsText" text="P">
      <formula>NOT(ISERROR(SEARCH("P",BO15)))</formula>
    </cfRule>
    <cfRule type="containsText" dxfId="13027" priority="13937" operator="containsText" text="H">
      <formula>NOT(ISERROR(SEARCH("H",BO15)))</formula>
    </cfRule>
    <cfRule type="containsText" dxfId="13026" priority="13939" operator="containsText" text="&quot;H&quot;">
      <formula>NOT(ISERROR(SEARCH("""H""",BO15)))</formula>
    </cfRule>
    <cfRule type="containsText" dxfId="13025" priority="13940" operator="containsText" text="&quot;A&quot;">
      <formula>NOT(ISERROR(SEARCH("""A""",BO15)))</formula>
    </cfRule>
  </conditionalFormatting>
  <conditionalFormatting sqref="BO15:BP15">
    <cfRule type="containsText" dxfId="13024" priority="13938" operator="containsText" text="A-H">
      <formula>NOT(ISERROR(SEARCH("A-H",BO15)))</formula>
    </cfRule>
  </conditionalFormatting>
  <conditionalFormatting sqref="CM15">
    <cfRule type="cellIs" dxfId="13023" priority="13929" operator="equal">
      <formula>"C-Off-H"</formula>
    </cfRule>
    <cfRule type="cellIs" dxfId="13022" priority="13930" operator="equal">
      <formula>"C-Off"</formula>
    </cfRule>
    <cfRule type="cellIs" dxfId="13021" priority="13931" operator="equal">
      <formula>"CL-H"</formula>
    </cfRule>
    <cfRule type="cellIs" dxfId="13020" priority="13932" operator="equal">
      <formula>"EL-H"</formula>
    </cfRule>
    <cfRule type="cellIs" dxfId="13019" priority="13933" operator="equal">
      <formula>"CL"</formula>
    </cfRule>
    <cfRule type="cellIs" dxfId="13018" priority="13934" operator="equal">
      <formula>"EL"</formula>
    </cfRule>
  </conditionalFormatting>
  <conditionalFormatting sqref="CM15">
    <cfRule type="cellIs" dxfId="13017" priority="13923" operator="equal">
      <formula>"C-Off-H"</formula>
    </cfRule>
    <cfRule type="cellIs" dxfId="13016" priority="13924" operator="equal">
      <formula>"C-Off"</formula>
    </cfRule>
    <cfRule type="cellIs" dxfId="13015" priority="13925" operator="equal">
      <formula>"CL-H"</formula>
    </cfRule>
    <cfRule type="cellIs" dxfId="13014" priority="13926" operator="equal">
      <formula>"EL-H"</formula>
    </cfRule>
    <cfRule type="cellIs" dxfId="13013" priority="13927" operator="equal">
      <formula>"CL"</formula>
    </cfRule>
    <cfRule type="cellIs" dxfId="13012" priority="13928" operator="equal">
      <formula>"EL"</formula>
    </cfRule>
  </conditionalFormatting>
  <conditionalFormatting sqref="CM15">
    <cfRule type="containsText" dxfId="13011" priority="13917" operator="containsText" text="S">
      <formula>NOT(ISERROR(SEARCH("S",CM15)))</formula>
    </cfRule>
    <cfRule type="containsText" dxfId="13010" priority="13918" operator="containsText" text="P">
      <formula>NOT(ISERROR(SEARCH("P",CM15)))</formula>
    </cfRule>
    <cfRule type="containsText" dxfId="13009" priority="13919" operator="containsText" text="H">
      <formula>NOT(ISERROR(SEARCH("H",CM15)))</formula>
    </cfRule>
    <cfRule type="containsText" dxfId="13008" priority="13921" operator="containsText" text="&quot;H&quot;">
      <formula>NOT(ISERROR(SEARCH("""H""",CM15)))</formula>
    </cfRule>
    <cfRule type="containsText" dxfId="13007" priority="13922" operator="containsText" text="&quot;A&quot;">
      <formula>NOT(ISERROR(SEARCH("""A""",CM15)))</formula>
    </cfRule>
  </conditionalFormatting>
  <conditionalFormatting sqref="CM15">
    <cfRule type="containsText" dxfId="13006" priority="13920" operator="containsText" text="A-H">
      <formula>NOT(ISERROR(SEARCH("A-H",CM15)))</formula>
    </cfRule>
  </conditionalFormatting>
  <conditionalFormatting sqref="V15:W15">
    <cfRule type="cellIs" dxfId="13005" priority="13887" operator="equal">
      <formula>"C-Off-H"</formula>
    </cfRule>
    <cfRule type="cellIs" dxfId="13004" priority="13888" operator="equal">
      <formula>"C-Off"</formula>
    </cfRule>
    <cfRule type="cellIs" dxfId="13003" priority="13889" operator="equal">
      <formula>"CL-H"</formula>
    </cfRule>
    <cfRule type="cellIs" dxfId="13002" priority="13890" operator="equal">
      <formula>"EL-H"</formula>
    </cfRule>
    <cfRule type="cellIs" dxfId="13001" priority="13891" operator="equal">
      <formula>"CL"</formula>
    </cfRule>
    <cfRule type="cellIs" dxfId="13000" priority="13892" operator="equal">
      <formula>"EL"</formula>
    </cfRule>
  </conditionalFormatting>
  <conditionalFormatting sqref="V15:W15">
    <cfRule type="containsText" dxfId="12999" priority="13881" operator="containsText" text="S">
      <formula>NOT(ISERROR(SEARCH("S",V15)))</formula>
    </cfRule>
    <cfRule type="containsText" dxfId="12998" priority="13882" operator="containsText" text="P">
      <formula>NOT(ISERROR(SEARCH("P",V15)))</formula>
    </cfRule>
    <cfRule type="containsText" dxfId="12997" priority="13883" operator="containsText" text="H">
      <formula>NOT(ISERROR(SEARCH("H",V15)))</formula>
    </cfRule>
    <cfRule type="containsText" dxfId="12996" priority="13885" operator="containsText" text="&quot;H&quot;">
      <formula>NOT(ISERROR(SEARCH("""H""",V15)))</formula>
    </cfRule>
    <cfRule type="containsText" dxfId="12995" priority="13886" operator="containsText" text="&quot;A&quot;">
      <formula>NOT(ISERROR(SEARCH("""A""",V15)))</formula>
    </cfRule>
  </conditionalFormatting>
  <conditionalFormatting sqref="V15:W15">
    <cfRule type="containsText" dxfId="12994" priority="13884" operator="containsText" text="A-H">
      <formula>NOT(ISERROR(SEARCH("A-H",V15)))</formula>
    </cfRule>
  </conditionalFormatting>
  <conditionalFormatting sqref="P15:Q15">
    <cfRule type="cellIs" dxfId="12993" priority="13911" operator="equal">
      <formula>"C-Off-H"</formula>
    </cfRule>
    <cfRule type="cellIs" dxfId="12992" priority="13912" operator="equal">
      <formula>"C-Off"</formula>
    </cfRule>
    <cfRule type="cellIs" dxfId="12991" priority="13913" operator="equal">
      <formula>"CL-H"</formula>
    </cfRule>
    <cfRule type="cellIs" dxfId="12990" priority="13914" operator="equal">
      <formula>"EL-H"</formula>
    </cfRule>
    <cfRule type="cellIs" dxfId="12989" priority="13915" operator="equal">
      <formula>"CL"</formula>
    </cfRule>
    <cfRule type="cellIs" dxfId="12988" priority="13916" operator="equal">
      <formula>"EL"</formula>
    </cfRule>
  </conditionalFormatting>
  <conditionalFormatting sqref="P15:Q15">
    <cfRule type="containsText" dxfId="12987" priority="13905" operator="containsText" text="S">
      <formula>NOT(ISERROR(SEARCH("S",P15)))</formula>
    </cfRule>
    <cfRule type="containsText" dxfId="12986" priority="13906" operator="containsText" text="P">
      <formula>NOT(ISERROR(SEARCH("P",P15)))</formula>
    </cfRule>
    <cfRule type="containsText" dxfId="12985" priority="13907" operator="containsText" text="H">
      <formula>NOT(ISERROR(SEARCH("H",P15)))</formula>
    </cfRule>
    <cfRule type="containsText" dxfId="12984" priority="13909" operator="containsText" text="&quot;H&quot;">
      <formula>NOT(ISERROR(SEARCH("""H""",P15)))</formula>
    </cfRule>
    <cfRule type="containsText" dxfId="12983" priority="13910" operator="containsText" text="&quot;A&quot;">
      <formula>NOT(ISERROR(SEARCH("""A""",P15)))</formula>
    </cfRule>
  </conditionalFormatting>
  <conditionalFormatting sqref="P15:Q15">
    <cfRule type="containsText" dxfId="12982" priority="13908" operator="containsText" text="A-H">
      <formula>NOT(ISERROR(SEARCH("A-H",P15)))</formula>
    </cfRule>
  </conditionalFormatting>
  <conditionalFormatting sqref="S15:T15">
    <cfRule type="cellIs" dxfId="12981" priority="13899" operator="equal">
      <formula>"C-Off-H"</formula>
    </cfRule>
    <cfRule type="cellIs" dxfId="12980" priority="13900" operator="equal">
      <formula>"C-Off"</formula>
    </cfRule>
    <cfRule type="cellIs" dxfId="12979" priority="13901" operator="equal">
      <formula>"CL-H"</formula>
    </cfRule>
    <cfRule type="cellIs" dxfId="12978" priority="13902" operator="equal">
      <formula>"EL-H"</formula>
    </cfRule>
    <cfRule type="cellIs" dxfId="12977" priority="13903" operator="equal">
      <formula>"CL"</formula>
    </cfRule>
    <cfRule type="cellIs" dxfId="12976" priority="13904" operator="equal">
      <formula>"EL"</formula>
    </cfRule>
  </conditionalFormatting>
  <conditionalFormatting sqref="S15:T15">
    <cfRule type="containsText" dxfId="12975" priority="13893" operator="containsText" text="S">
      <formula>NOT(ISERROR(SEARCH("S",S15)))</formula>
    </cfRule>
    <cfRule type="containsText" dxfId="12974" priority="13894" operator="containsText" text="P">
      <formula>NOT(ISERROR(SEARCH("P",S15)))</formula>
    </cfRule>
    <cfRule type="containsText" dxfId="12973" priority="13895" operator="containsText" text="H">
      <formula>NOT(ISERROR(SEARCH("H",S15)))</formula>
    </cfRule>
    <cfRule type="containsText" dxfId="12972" priority="13897" operator="containsText" text="&quot;H&quot;">
      <formula>NOT(ISERROR(SEARCH("""H""",S15)))</formula>
    </cfRule>
    <cfRule type="containsText" dxfId="12971" priority="13898" operator="containsText" text="&quot;A&quot;">
      <formula>NOT(ISERROR(SEARCH("""A""",S15)))</formula>
    </cfRule>
  </conditionalFormatting>
  <conditionalFormatting sqref="S15:T15">
    <cfRule type="containsText" dxfId="12970" priority="13896" operator="containsText" text="A-H">
      <formula>NOT(ISERROR(SEARCH("A-H",S15)))</formula>
    </cfRule>
  </conditionalFormatting>
  <conditionalFormatting sqref="AB15:AC15">
    <cfRule type="cellIs" dxfId="12969" priority="13875" operator="equal">
      <formula>"C-Off-H"</formula>
    </cfRule>
    <cfRule type="cellIs" dxfId="12968" priority="13876" operator="equal">
      <formula>"C-Off"</formula>
    </cfRule>
    <cfRule type="cellIs" dxfId="12967" priority="13877" operator="equal">
      <formula>"CL-H"</formula>
    </cfRule>
    <cfRule type="cellIs" dxfId="12966" priority="13878" operator="equal">
      <formula>"EL-H"</formula>
    </cfRule>
    <cfRule type="cellIs" dxfId="12965" priority="13879" operator="equal">
      <formula>"CL"</formula>
    </cfRule>
    <cfRule type="cellIs" dxfId="12964" priority="13880" operator="equal">
      <formula>"EL"</formula>
    </cfRule>
  </conditionalFormatting>
  <conditionalFormatting sqref="AB15:AC15">
    <cfRule type="containsText" dxfId="12963" priority="13869" operator="containsText" text="S">
      <formula>NOT(ISERROR(SEARCH("S",AB15)))</formula>
    </cfRule>
    <cfRule type="containsText" dxfId="12962" priority="13870" operator="containsText" text="P">
      <formula>NOT(ISERROR(SEARCH("P",AB15)))</formula>
    </cfRule>
    <cfRule type="containsText" dxfId="12961" priority="13871" operator="containsText" text="H">
      <formula>NOT(ISERROR(SEARCH("H",AB15)))</formula>
    </cfRule>
    <cfRule type="containsText" dxfId="12960" priority="13873" operator="containsText" text="&quot;H&quot;">
      <formula>NOT(ISERROR(SEARCH("""H""",AB15)))</formula>
    </cfRule>
    <cfRule type="containsText" dxfId="12959" priority="13874" operator="containsText" text="&quot;A&quot;">
      <formula>NOT(ISERROR(SEARCH("""A""",AB15)))</formula>
    </cfRule>
  </conditionalFormatting>
  <conditionalFormatting sqref="AB15:AC15">
    <cfRule type="containsText" dxfId="12958" priority="13872" operator="containsText" text="A-H">
      <formula>NOT(ISERROR(SEARCH("A-H",AB15)))</formula>
    </cfRule>
  </conditionalFormatting>
  <conditionalFormatting sqref="AE15">
    <cfRule type="cellIs" dxfId="12957" priority="13863" operator="equal">
      <formula>"C-Off-H"</formula>
    </cfRule>
    <cfRule type="cellIs" dxfId="12956" priority="13864" operator="equal">
      <formula>"C-Off"</formula>
    </cfRule>
    <cfRule type="cellIs" dxfId="12955" priority="13865" operator="equal">
      <formula>"CL-H"</formula>
    </cfRule>
    <cfRule type="cellIs" dxfId="12954" priority="13866" operator="equal">
      <formula>"EL-H"</formula>
    </cfRule>
    <cfRule type="cellIs" dxfId="12953" priority="13867" operator="equal">
      <formula>"CL"</formula>
    </cfRule>
    <cfRule type="cellIs" dxfId="12952" priority="13868" operator="equal">
      <formula>"EL"</formula>
    </cfRule>
  </conditionalFormatting>
  <conditionalFormatting sqref="AE15">
    <cfRule type="containsText" dxfId="12951" priority="13857" operator="containsText" text="S">
      <formula>NOT(ISERROR(SEARCH("S",AE15)))</formula>
    </cfRule>
    <cfRule type="containsText" dxfId="12950" priority="13858" operator="containsText" text="P">
      <formula>NOT(ISERROR(SEARCH("P",AE15)))</formula>
    </cfRule>
    <cfRule type="containsText" dxfId="12949" priority="13859" operator="containsText" text="H">
      <formula>NOT(ISERROR(SEARCH("H",AE15)))</formula>
    </cfRule>
    <cfRule type="containsText" dxfId="12948" priority="13861" operator="containsText" text="&quot;H&quot;">
      <formula>NOT(ISERROR(SEARCH("""H""",AE15)))</formula>
    </cfRule>
    <cfRule type="containsText" dxfId="12947" priority="13862" operator="containsText" text="&quot;A&quot;">
      <formula>NOT(ISERROR(SEARCH("""A""",AE15)))</formula>
    </cfRule>
  </conditionalFormatting>
  <conditionalFormatting sqref="AE15">
    <cfRule type="containsText" dxfId="12946" priority="13860" operator="containsText" text="A-H">
      <formula>NOT(ISERROR(SEARCH("A-H",AE15)))</formula>
    </cfRule>
  </conditionalFormatting>
  <conditionalFormatting sqref="AK15:AL15">
    <cfRule type="cellIs" dxfId="12945" priority="13851" operator="equal">
      <formula>"C-Off-H"</formula>
    </cfRule>
    <cfRule type="cellIs" dxfId="12944" priority="13852" operator="equal">
      <formula>"C-Off"</formula>
    </cfRule>
    <cfRule type="cellIs" dxfId="12943" priority="13853" operator="equal">
      <formula>"CL-H"</formula>
    </cfRule>
    <cfRule type="cellIs" dxfId="12942" priority="13854" operator="equal">
      <formula>"EL-H"</formula>
    </cfRule>
    <cfRule type="cellIs" dxfId="12941" priority="13855" operator="equal">
      <formula>"CL"</formula>
    </cfRule>
    <cfRule type="cellIs" dxfId="12940" priority="13856" operator="equal">
      <formula>"EL"</formula>
    </cfRule>
  </conditionalFormatting>
  <conditionalFormatting sqref="AK15:AL15">
    <cfRule type="containsText" dxfId="12939" priority="13845" operator="containsText" text="S">
      <formula>NOT(ISERROR(SEARCH("S",AK15)))</formula>
    </cfRule>
    <cfRule type="containsText" dxfId="12938" priority="13846" operator="containsText" text="P">
      <formula>NOT(ISERROR(SEARCH("P",AK15)))</formula>
    </cfRule>
    <cfRule type="containsText" dxfId="12937" priority="13847" operator="containsText" text="H">
      <formula>NOT(ISERROR(SEARCH("H",AK15)))</formula>
    </cfRule>
    <cfRule type="containsText" dxfId="12936" priority="13849" operator="containsText" text="&quot;H&quot;">
      <formula>NOT(ISERROR(SEARCH("""H""",AK15)))</formula>
    </cfRule>
    <cfRule type="containsText" dxfId="12935" priority="13850" operator="containsText" text="&quot;A&quot;">
      <formula>NOT(ISERROR(SEARCH("""A""",AK15)))</formula>
    </cfRule>
  </conditionalFormatting>
  <conditionalFormatting sqref="AK15:AL15">
    <cfRule type="containsText" dxfId="12934" priority="13848" operator="containsText" text="A-H">
      <formula>NOT(ISERROR(SEARCH("A-H",AK15)))</formula>
    </cfRule>
  </conditionalFormatting>
  <conditionalFormatting sqref="AN15:AO15">
    <cfRule type="cellIs" dxfId="12933" priority="13839" operator="equal">
      <formula>"C-Off-H"</formula>
    </cfRule>
    <cfRule type="cellIs" dxfId="12932" priority="13840" operator="equal">
      <formula>"C-Off"</formula>
    </cfRule>
    <cfRule type="cellIs" dxfId="12931" priority="13841" operator="equal">
      <formula>"CL-H"</formula>
    </cfRule>
    <cfRule type="cellIs" dxfId="12930" priority="13842" operator="equal">
      <formula>"EL-H"</formula>
    </cfRule>
    <cfRule type="cellIs" dxfId="12929" priority="13843" operator="equal">
      <formula>"CL"</formula>
    </cfRule>
    <cfRule type="cellIs" dxfId="12928" priority="13844" operator="equal">
      <formula>"EL"</formula>
    </cfRule>
  </conditionalFormatting>
  <conditionalFormatting sqref="AN15:AO15">
    <cfRule type="containsText" dxfId="12927" priority="13833" operator="containsText" text="S">
      <formula>NOT(ISERROR(SEARCH("S",AN15)))</formula>
    </cfRule>
    <cfRule type="containsText" dxfId="12926" priority="13834" operator="containsText" text="P">
      <formula>NOT(ISERROR(SEARCH("P",AN15)))</formula>
    </cfRule>
    <cfRule type="containsText" dxfId="12925" priority="13835" operator="containsText" text="H">
      <formula>NOT(ISERROR(SEARCH("H",AN15)))</formula>
    </cfRule>
    <cfRule type="containsText" dxfId="12924" priority="13837" operator="containsText" text="&quot;H&quot;">
      <formula>NOT(ISERROR(SEARCH("""H""",AN15)))</formula>
    </cfRule>
    <cfRule type="containsText" dxfId="12923" priority="13838" operator="containsText" text="&quot;A&quot;">
      <formula>NOT(ISERROR(SEARCH("""A""",AN15)))</formula>
    </cfRule>
  </conditionalFormatting>
  <conditionalFormatting sqref="AN15:AO15">
    <cfRule type="containsText" dxfId="12922" priority="13836" operator="containsText" text="A-H">
      <formula>NOT(ISERROR(SEARCH("A-H",AN15)))</formula>
    </cfRule>
  </conditionalFormatting>
  <conditionalFormatting sqref="AQ15:AR15">
    <cfRule type="cellIs" dxfId="12921" priority="13827" operator="equal">
      <formula>"C-Off-H"</formula>
    </cfRule>
    <cfRule type="cellIs" dxfId="12920" priority="13828" operator="equal">
      <formula>"C-Off"</formula>
    </cfRule>
    <cfRule type="cellIs" dxfId="12919" priority="13829" operator="equal">
      <formula>"CL-H"</formula>
    </cfRule>
    <cfRule type="cellIs" dxfId="12918" priority="13830" operator="equal">
      <formula>"EL-H"</formula>
    </cfRule>
    <cfRule type="cellIs" dxfId="12917" priority="13831" operator="equal">
      <formula>"CL"</formula>
    </cfRule>
    <cfRule type="cellIs" dxfId="12916" priority="13832" operator="equal">
      <formula>"EL"</formula>
    </cfRule>
  </conditionalFormatting>
  <conditionalFormatting sqref="AQ15:AR15">
    <cfRule type="containsText" dxfId="12915" priority="13821" operator="containsText" text="S">
      <formula>NOT(ISERROR(SEARCH("S",AQ15)))</formula>
    </cfRule>
    <cfRule type="containsText" dxfId="12914" priority="13822" operator="containsText" text="P">
      <formula>NOT(ISERROR(SEARCH("P",AQ15)))</formula>
    </cfRule>
    <cfRule type="containsText" dxfId="12913" priority="13823" operator="containsText" text="H">
      <formula>NOT(ISERROR(SEARCH("H",AQ15)))</formula>
    </cfRule>
    <cfRule type="containsText" dxfId="12912" priority="13825" operator="containsText" text="&quot;H&quot;">
      <formula>NOT(ISERROR(SEARCH("""H""",AQ15)))</formula>
    </cfRule>
    <cfRule type="containsText" dxfId="12911" priority="13826" operator="containsText" text="&quot;A&quot;">
      <formula>NOT(ISERROR(SEARCH("""A""",AQ15)))</formula>
    </cfRule>
  </conditionalFormatting>
  <conditionalFormatting sqref="AQ15:AR15">
    <cfRule type="containsText" dxfId="12910" priority="13824" operator="containsText" text="A-H">
      <formula>NOT(ISERROR(SEARCH("A-H",AQ15)))</formula>
    </cfRule>
  </conditionalFormatting>
  <conditionalFormatting sqref="AW15:AX15">
    <cfRule type="cellIs" dxfId="12909" priority="13815" operator="equal">
      <formula>"C-Off-H"</formula>
    </cfRule>
    <cfRule type="cellIs" dxfId="12908" priority="13816" operator="equal">
      <formula>"C-Off"</formula>
    </cfRule>
    <cfRule type="cellIs" dxfId="12907" priority="13817" operator="equal">
      <formula>"CL-H"</formula>
    </cfRule>
    <cfRule type="cellIs" dxfId="12906" priority="13818" operator="equal">
      <formula>"EL-H"</formula>
    </cfRule>
    <cfRule type="cellIs" dxfId="12905" priority="13819" operator="equal">
      <formula>"CL"</formula>
    </cfRule>
    <cfRule type="cellIs" dxfId="12904" priority="13820" operator="equal">
      <formula>"EL"</formula>
    </cfRule>
  </conditionalFormatting>
  <conditionalFormatting sqref="AW15:AX15">
    <cfRule type="containsText" dxfId="12903" priority="13809" operator="containsText" text="S">
      <formula>NOT(ISERROR(SEARCH("S",AW15)))</formula>
    </cfRule>
    <cfRule type="containsText" dxfId="12902" priority="13810" operator="containsText" text="P">
      <formula>NOT(ISERROR(SEARCH("P",AW15)))</formula>
    </cfRule>
    <cfRule type="containsText" dxfId="12901" priority="13811" operator="containsText" text="H">
      <formula>NOT(ISERROR(SEARCH("H",AW15)))</formula>
    </cfRule>
    <cfRule type="containsText" dxfId="12900" priority="13813" operator="containsText" text="&quot;H&quot;">
      <formula>NOT(ISERROR(SEARCH("""H""",AW15)))</formula>
    </cfRule>
    <cfRule type="containsText" dxfId="12899" priority="13814" operator="containsText" text="&quot;A&quot;">
      <formula>NOT(ISERROR(SEARCH("""A""",AW15)))</formula>
    </cfRule>
  </conditionalFormatting>
  <conditionalFormatting sqref="AW15:AX15">
    <cfRule type="containsText" dxfId="12898" priority="13812" operator="containsText" text="A-H">
      <formula>NOT(ISERROR(SEARCH("A-H",AW15)))</formula>
    </cfRule>
  </conditionalFormatting>
  <conditionalFormatting sqref="AZ15:BA15">
    <cfRule type="cellIs" dxfId="12897" priority="13803" operator="equal">
      <formula>"C-Off-H"</formula>
    </cfRule>
    <cfRule type="cellIs" dxfId="12896" priority="13804" operator="equal">
      <formula>"C-Off"</formula>
    </cfRule>
    <cfRule type="cellIs" dxfId="12895" priority="13805" operator="equal">
      <formula>"CL-H"</formula>
    </cfRule>
    <cfRule type="cellIs" dxfId="12894" priority="13806" operator="equal">
      <formula>"EL-H"</formula>
    </cfRule>
    <cfRule type="cellIs" dxfId="12893" priority="13807" operator="equal">
      <formula>"CL"</formula>
    </cfRule>
    <cfRule type="cellIs" dxfId="12892" priority="13808" operator="equal">
      <formula>"EL"</formula>
    </cfRule>
  </conditionalFormatting>
  <conditionalFormatting sqref="AZ15:BA15">
    <cfRule type="containsText" dxfId="12891" priority="13797" operator="containsText" text="S">
      <formula>NOT(ISERROR(SEARCH("S",AZ15)))</formula>
    </cfRule>
    <cfRule type="containsText" dxfId="12890" priority="13798" operator="containsText" text="P">
      <formula>NOT(ISERROR(SEARCH("P",AZ15)))</formula>
    </cfRule>
    <cfRule type="containsText" dxfId="12889" priority="13799" operator="containsText" text="H">
      <formula>NOT(ISERROR(SEARCH("H",AZ15)))</formula>
    </cfRule>
    <cfRule type="containsText" dxfId="12888" priority="13801" operator="containsText" text="&quot;H&quot;">
      <formula>NOT(ISERROR(SEARCH("""H""",AZ15)))</formula>
    </cfRule>
    <cfRule type="containsText" dxfId="12887" priority="13802" operator="containsText" text="&quot;A&quot;">
      <formula>NOT(ISERROR(SEARCH("""A""",AZ15)))</formula>
    </cfRule>
  </conditionalFormatting>
  <conditionalFormatting sqref="AZ15:BA15">
    <cfRule type="containsText" dxfId="12886" priority="13800" operator="containsText" text="A-H">
      <formula>NOT(ISERROR(SEARCH("A-H",AZ15)))</formula>
    </cfRule>
  </conditionalFormatting>
  <conditionalFormatting sqref="BC15:BD15">
    <cfRule type="cellIs" dxfId="12885" priority="13791" operator="equal">
      <formula>"C-Off-H"</formula>
    </cfRule>
    <cfRule type="cellIs" dxfId="12884" priority="13792" operator="equal">
      <formula>"C-Off"</formula>
    </cfRule>
    <cfRule type="cellIs" dxfId="12883" priority="13793" operator="equal">
      <formula>"CL-H"</formula>
    </cfRule>
    <cfRule type="cellIs" dxfId="12882" priority="13794" operator="equal">
      <formula>"EL-H"</formula>
    </cfRule>
    <cfRule type="cellIs" dxfId="12881" priority="13795" operator="equal">
      <formula>"CL"</formula>
    </cfRule>
    <cfRule type="cellIs" dxfId="12880" priority="13796" operator="equal">
      <formula>"EL"</formula>
    </cfRule>
  </conditionalFormatting>
  <conditionalFormatting sqref="BC15:BD15">
    <cfRule type="containsText" dxfId="12879" priority="13785" operator="containsText" text="S">
      <formula>NOT(ISERROR(SEARCH("S",BC15)))</formula>
    </cfRule>
    <cfRule type="containsText" dxfId="12878" priority="13786" operator="containsText" text="P">
      <formula>NOT(ISERROR(SEARCH("P",BC15)))</formula>
    </cfRule>
    <cfRule type="containsText" dxfId="12877" priority="13787" operator="containsText" text="H">
      <formula>NOT(ISERROR(SEARCH("H",BC15)))</formula>
    </cfRule>
    <cfRule type="containsText" dxfId="12876" priority="13789" operator="containsText" text="&quot;H&quot;">
      <formula>NOT(ISERROR(SEARCH("""H""",BC15)))</formula>
    </cfRule>
    <cfRule type="containsText" dxfId="12875" priority="13790" operator="containsText" text="&quot;A&quot;">
      <formula>NOT(ISERROR(SEARCH("""A""",BC15)))</formula>
    </cfRule>
  </conditionalFormatting>
  <conditionalFormatting sqref="BC15:BD15">
    <cfRule type="containsText" dxfId="12874" priority="13788" operator="containsText" text="A-H">
      <formula>NOT(ISERROR(SEARCH("A-H",BC15)))</formula>
    </cfRule>
  </conditionalFormatting>
  <conditionalFormatting sqref="BF15:BG15">
    <cfRule type="cellIs" dxfId="12873" priority="13779" operator="equal">
      <formula>"C-Off-H"</formula>
    </cfRule>
    <cfRule type="cellIs" dxfId="12872" priority="13780" operator="equal">
      <formula>"C-Off"</formula>
    </cfRule>
    <cfRule type="cellIs" dxfId="12871" priority="13781" operator="equal">
      <formula>"CL-H"</formula>
    </cfRule>
    <cfRule type="cellIs" dxfId="12870" priority="13782" operator="equal">
      <formula>"EL-H"</formula>
    </cfRule>
    <cfRule type="cellIs" dxfId="12869" priority="13783" operator="equal">
      <formula>"CL"</formula>
    </cfRule>
    <cfRule type="cellIs" dxfId="12868" priority="13784" operator="equal">
      <formula>"EL"</formula>
    </cfRule>
  </conditionalFormatting>
  <conditionalFormatting sqref="BF15:BG15">
    <cfRule type="containsText" dxfId="12867" priority="13773" operator="containsText" text="S">
      <formula>NOT(ISERROR(SEARCH("S",BF15)))</formula>
    </cfRule>
    <cfRule type="containsText" dxfId="12866" priority="13774" operator="containsText" text="P">
      <formula>NOT(ISERROR(SEARCH("P",BF15)))</formula>
    </cfRule>
    <cfRule type="containsText" dxfId="12865" priority="13775" operator="containsText" text="H">
      <formula>NOT(ISERROR(SEARCH("H",BF15)))</formula>
    </cfRule>
    <cfRule type="containsText" dxfId="12864" priority="13777" operator="containsText" text="&quot;H&quot;">
      <formula>NOT(ISERROR(SEARCH("""H""",BF15)))</formula>
    </cfRule>
    <cfRule type="containsText" dxfId="12863" priority="13778" operator="containsText" text="&quot;A&quot;">
      <formula>NOT(ISERROR(SEARCH("""A""",BF15)))</formula>
    </cfRule>
  </conditionalFormatting>
  <conditionalFormatting sqref="BF15:BG15">
    <cfRule type="containsText" dxfId="12862" priority="13776" operator="containsText" text="A-H">
      <formula>NOT(ISERROR(SEARCH("A-H",BF15)))</formula>
    </cfRule>
  </conditionalFormatting>
  <conditionalFormatting sqref="BI15:BJ15">
    <cfRule type="cellIs" dxfId="12861" priority="13767" operator="equal">
      <formula>"C-Off-H"</formula>
    </cfRule>
    <cfRule type="cellIs" dxfId="12860" priority="13768" operator="equal">
      <formula>"C-Off"</formula>
    </cfRule>
    <cfRule type="cellIs" dxfId="12859" priority="13769" operator="equal">
      <formula>"CL-H"</formula>
    </cfRule>
    <cfRule type="cellIs" dxfId="12858" priority="13770" operator="equal">
      <formula>"EL-H"</formula>
    </cfRule>
    <cfRule type="cellIs" dxfId="12857" priority="13771" operator="equal">
      <formula>"CL"</formula>
    </cfRule>
    <cfRule type="cellIs" dxfId="12856" priority="13772" operator="equal">
      <formula>"EL"</formula>
    </cfRule>
  </conditionalFormatting>
  <conditionalFormatting sqref="BI15:BJ15">
    <cfRule type="containsText" dxfId="12855" priority="13761" operator="containsText" text="S">
      <formula>NOT(ISERROR(SEARCH("S",BI15)))</formula>
    </cfRule>
    <cfRule type="containsText" dxfId="12854" priority="13762" operator="containsText" text="P">
      <formula>NOT(ISERROR(SEARCH("P",BI15)))</formula>
    </cfRule>
    <cfRule type="containsText" dxfId="12853" priority="13763" operator="containsText" text="H">
      <formula>NOT(ISERROR(SEARCH("H",BI15)))</formula>
    </cfRule>
    <cfRule type="containsText" dxfId="12852" priority="13765" operator="containsText" text="&quot;H&quot;">
      <formula>NOT(ISERROR(SEARCH("""H""",BI15)))</formula>
    </cfRule>
    <cfRule type="containsText" dxfId="12851" priority="13766" operator="containsText" text="&quot;A&quot;">
      <formula>NOT(ISERROR(SEARCH("""A""",BI15)))</formula>
    </cfRule>
  </conditionalFormatting>
  <conditionalFormatting sqref="BI15:BJ15">
    <cfRule type="containsText" dxfId="12850" priority="13764" operator="containsText" text="A-H">
      <formula>NOT(ISERROR(SEARCH("A-H",BI15)))</formula>
    </cfRule>
  </conditionalFormatting>
  <conditionalFormatting sqref="BL15:BM15">
    <cfRule type="cellIs" dxfId="12849" priority="13755" operator="equal">
      <formula>"C-Off-H"</formula>
    </cfRule>
    <cfRule type="cellIs" dxfId="12848" priority="13756" operator="equal">
      <formula>"C-Off"</formula>
    </cfRule>
    <cfRule type="cellIs" dxfId="12847" priority="13757" operator="equal">
      <formula>"CL-H"</formula>
    </cfRule>
    <cfRule type="cellIs" dxfId="12846" priority="13758" operator="equal">
      <formula>"EL-H"</formula>
    </cfRule>
    <cfRule type="cellIs" dxfId="12845" priority="13759" operator="equal">
      <formula>"CL"</formula>
    </cfRule>
    <cfRule type="cellIs" dxfId="12844" priority="13760" operator="equal">
      <formula>"EL"</formula>
    </cfRule>
  </conditionalFormatting>
  <conditionalFormatting sqref="BL15:BM15">
    <cfRule type="containsText" dxfId="12843" priority="13749" operator="containsText" text="S">
      <formula>NOT(ISERROR(SEARCH("S",BL15)))</formula>
    </cfRule>
    <cfRule type="containsText" dxfId="12842" priority="13750" operator="containsText" text="P">
      <formula>NOT(ISERROR(SEARCH("P",BL15)))</formula>
    </cfRule>
    <cfRule type="containsText" dxfId="12841" priority="13751" operator="containsText" text="H">
      <formula>NOT(ISERROR(SEARCH("H",BL15)))</formula>
    </cfRule>
    <cfRule type="containsText" dxfId="12840" priority="13753" operator="containsText" text="&quot;H&quot;">
      <formula>NOT(ISERROR(SEARCH("""H""",BL15)))</formula>
    </cfRule>
    <cfRule type="containsText" dxfId="12839" priority="13754" operator="containsText" text="&quot;A&quot;">
      <formula>NOT(ISERROR(SEARCH("""A""",BL15)))</formula>
    </cfRule>
  </conditionalFormatting>
  <conditionalFormatting sqref="BL15:BM15">
    <cfRule type="containsText" dxfId="12838" priority="13752" operator="containsText" text="A-H">
      <formula>NOT(ISERROR(SEARCH("A-H",BL15)))</formula>
    </cfRule>
  </conditionalFormatting>
  <conditionalFormatting sqref="BR15:BS15">
    <cfRule type="cellIs" dxfId="12837" priority="13743" operator="equal">
      <formula>"C-Off-H"</formula>
    </cfRule>
    <cfRule type="cellIs" dxfId="12836" priority="13744" operator="equal">
      <formula>"C-Off"</formula>
    </cfRule>
    <cfRule type="cellIs" dxfId="12835" priority="13745" operator="equal">
      <formula>"CL-H"</formula>
    </cfRule>
    <cfRule type="cellIs" dxfId="12834" priority="13746" operator="equal">
      <formula>"EL-H"</formula>
    </cfRule>
    <cfRule type="cellIs" dxfId="12833" priority="13747" operator="equal">
      <formula>"CL"</formula>
    </cfRule>
    <cfRule type="cellIs" dxfId="12832" priority="13748" operator="equal">
      <formula>"EL"</formula>
    </cfRule>
  </conditionalFormatting>
  <conditionalFormatting sqref="BR15:BS15">
    <cfRule type="containsText" dxfId="12831" priority="13737" operator="containsText" text="S">
      <formula>NOT(ISERROR(SEARCH("S",BR15)))</formula>
    </cfRule>
    <cfRule type="containsText" dxfId="12830" priority="13738" operator="containsText" text="P">
      <formula>NOT(ISERROR(SEARCH("P",BR15)))</formula>
    </cfRule>
    <cfRule type="containsText" dxfId="12829" priority="13739" operator="containsText" text="H">
      <formula>NOT(ISERROR(SEARCH("H",BR15)))</formula>
    </cfRule>
    <cfRule type="containsText" dxfId="12828" priority="13741" operator="containsText" text="&quot;H&quot;">
      <formula>NOT(ISERROR(SEARCH("""H""",BR15)))</formula>
    </cfRule>
    <cfRule type="containsText" dxfId="12827" priority="13742" operator="containsText" text="&quot;A&quot;">
      <formula>NOT(ISERROR(SEARCH("""A""",BR15)))</formula>
    </cfRule>
  </conditionalFormatting>
  <conditionalFormatting sqref="BR15:BS15">
    <cfRule type="containsText" dxfId="12826" priority="13740" operator="containsText" text="A-H">
      <formula>NOT(ISERROR(SEARCH("A-H",BR15)))</formula>
    </cfRule>
  </conditionalFormatting>
  <conditionalFormatting sqref="BU15:BV15">
    <cfRule type="cellIs" dxfId="12825" priority="13731" operator="equal">
      <formula>"C-Off-H"</formula>
    </cfRule>
    <cfRule type="cellIs" dxfId="12824" priority="13732" operator="equal">
      <formula>"C-Off"</formula>
    </cfRule>
    <cfRule type="cellIs" dxfId="12823" priority="13733" operator="equal">
      <formula>"CL-H"</formula>
    </cfRule>
    <cfRule type="cellIs" dxfId="12822" priority="13734" operator="equal">
      <formula>"EL-H"</formula>
    </cfRule>
    <cfRule type="cellIs" dxfId="12821" priority="13735" operator="equal">
      <formula>"CL"</formula>
    </cfRule>
    <cfRule type="cellIs" dxfId="12820" priority="13736" operator="equal">
      <formula>"EL"</formula>
    </cfRule>
  </conditionalFormatting>
  <conditionalFormatting sqref="BU15:BV15">
    <cfRule type="containsText" dxfId="12819" priority="13725" operator="containsText" text="S">
      <formula>NOT(ISERROR(SEARCH("S",BU15)))</formula>
    </cfRule>
    <cfRule type="containsText" dxfId="12818" priority="13726" operator="containsText" text="P">
      <formula>NOT(ISERROR(SEARCH("P",BU15)))</formula>
    </cfRule>
    <cfRule type="containsText" dxfId="12817" priority="13727" operator="containsText" text="H">
      <formula>NOT(ISERROR(SEARCH("H",BU15)))</formula>
    </cfRule>
    <cfRule type="containsText" dxfId="12816" priority="13729" operator="containsText" text="&quot;H&quot;">
      <formula>NOT(ISERROR(SEARCH("""H""",BU15)))</formula>
    </cfRule>
    <cfRule type="containsText" dxfId="12815" priority="13730" operator="containsText" text="&quot;A&quot;">
      <formula>NOT(ISERROR(SEARCH("""A""",BU15)))</formula>
    </cfRule>
  </conditionalFormatting>
  <conditionalFormatting sqref="BU15:BV15">
    <cfRule type="containsText" dxfId="12814" priority="13728" operator="containsText" text="A-H">
      <formula>NOT(ISERROR(SEARCH("A-H",BU15)))</formula>
    </cfRule>
  </conditionalFormatting>
  <conditionalFormatting sqref="BY15">
    <cfRule type="cellIs" dxfId="12813" priority="13719" operator="equal">
      <formula>"C-Off-H"</formula>
    </cfRule>
    <cfRule type="cellIs" dxfId="12812" priority="13720" operator="equal">
      <formula>"C-Off"</formula>
    </cfRule>
    <cfRule type="cellIs" dxfId="12811" priority="13721" operator="equal">
      <formula>"CL-H"</formula>
    </cfRule>
    <cfRule type="cellIs" dxfId="12810" priority="13722" operator="equal">
      <formula>"EL-H"</formula>
    </cfRule>
    <cfRule type="cellIs" dxfId="12809" priority="13723" operator="equal">
      <formula>"CL"</formula>
    </cfRule>
    <cfRule type="cellIs" dxfId="12808" priority="13724" operator="equal">
      <formula>"EL"</formula>
    </cfRule>
  </conditionalFormatting>
  <conditionalFormatting sqref="BY15">
    <cfRule type="containsText" dxfId="12807" priority="13713" operator="containsText" text="S">
      <formula>NOT(ISERROR(SEARCH("S",BY15)))</formula>
    </cfRule>
    <cfRule type="containsText" dxfId="12806" priority="13714" operator="containsText" text="P">
      <formula>NOT(ISERROR(SEARCH("P",BY15)))</formula>
    </cfRule>
    <cfRule type="containsText" dxfId="12805" priority="13715" operator="containsText" text="H">
      <formula>NOT(ISERROR(SEARCH("H",BY15)))</formula>
    </cfRule>
    <cfRule type="containsText" dxfId="12804" priority="13717" operator="containsText" text="&quot;H&quot;">
      <formula>NOT(ISERROR(SEARCH("""H""",BY15)))</formula>
    </cfRule>
    <cfRule type="containsText" dxfId="12803" priority="13718" operator="containsText" text="&quot;A&quot;">
      <formula>NOT(ISERROR(SEARCH("""A""",BY15)))</formula>
    </cfRule>
  </conditionalFormatting>
  <conditionalFormatting sqref="BY15">
    <cfRule type="containsText" dxfId="12802" priority="13716" operator="containsText" text="A-H">
      <formula>NOT(ISERROR(SEARCH("A-H",BY15)))</formula>
    </cfRule>
  </conditionalFormatting>
  <conditionalFormatting sqref="BX15">
    <cfRule type="cellIs" dxfId="12801" priority="13707" operator="equal">
      <formula>"C-Off-H"</formula>
    </cfRule>
    <cfRule type="cellIs" dxfId="12800" priority="13708" operator="equal">
      <formula>"C-Off"</formula>
    </cfRule>
    <cfRule type="cellIs" dxfId="12799" priority="13709" operator="equal">
      <formula>"CL-H"</formula>
    </cfRule>
    <cfRule type="cellIs" dxfId="12798" priority="13710" operator="equal">
      <formula>"EL-H"</formula>
    </cfRule>
    <cfRule type="cellIs" dxfId="12797" priority="13711" operator="equal">
      <formula>"CL"</formula>
    </cfRule>
    <cfRule type="cellIs" dxfId="12796" priority="13712" operator="equal">
      <formula>"EL"</formula>
    </cfRule>
  </conditionalFormatting>
  <conditionalFormatting sqref="BX15">
    <cfRule type="containsText" dxfId="12795" priority="13701" operator="containsText" text="S">
      <formula>NOT(ISERROR(SEARCH("S",BX15)))</formula>
    </cfRule>
    <cfRule type="containsText" dxfId="12794" priority="13702" operator="containsText" text="P">
      <formula>NOT(ISERROR(SEARCH("P",BX15)))</formula>
    </cfRule>
    <cfRule type="containsText" dxfId="12793" priority="13703" operator="containsText" text="H">
      <formula>NOT(ISERROR(SEARCH("H",BX15)))</formula>
    </cfRule>
    <cfRule type="containsText" dxfId="12792" priority="13705" operator="containsText" text="&quot;H&quot;">
      <formula>NOT(ISERROR(SEARCH("""H""",BX15)))</formula>
    </cfRule>
    <cfRule type="containsText" dxfId="12791" priority="13706" operator="containsText" text="&quot;A&quot;">
      <formula>NOT(ISERROR(SEARCH("""A""",BX15)))</formula>
    </cfRule>
  </conditionalFormatting>
  <conditionalFormatting sqref="BX15">
    <cfRule type="containsText" dxfId="12790" priority="13704" operator="containsText" text="A-H">
      <formula>NOT(ISERROR(SEARCH("A-H",BX15)))</formula>
    </cfRule>
  </conditionalFormatting>
  <conditionalFormatting sqref="CN15">
    <cfRule type="cellIs" dxfId="12789" priority="13695" operator="equal">
      <formula>"C-Off-H"</formula>
    </cfRule>
    <cfRule type="cellIs" dxfId="12788" priority="13696" operator="equal">
      <formula>"C-Off"</formula>
    </cfRule>
    <cfRule type="cellIs" dxfId="12787" priority="13697" operator="equal">
      <formula>"CL-H"</formula>
    </cfRule>
    <cfRule type="cellIs" dxfId="12786" priority="13698" operator="equal">
      <formula>"EL-H"</formula>
    </cfRule>
    <cfRule type="cellIs" dxfId="12785" priority="13699" operator="equal">
      <formula>"CL"</formula>
    </cfRule>
    <cfRule type="cellIs" dxfId="12784" priority="13700" operator="equal">
      <formula>"EL"</formula>
    </cfRule>
  </conditionalFormatting>
  <conditionalFormatting sqref="CN15">
    <cfRule type="containsText" dxfId="12783" priority="13694" operator="containsText" text="A-H">
      <formula>NOT(ISERROR(SEARCH("A-H",CN15)))</formula>
    </cfRule>
  </conditionalFormatting>
  <conditionalFormatting sqref="CN15">
    <cfRule type="containsText" dxfId="12782" priority="13693" operator="containsText" text="A">
      <formula>NOT(ISERROR(SEARCH("A",CN15)))</formula>
    </cfRule>
  </conditionalFormatting>
  <conditionalFormatting sqref="CN15">
    <cfRule type="containsText" dxfId="12781" priority="13688" operator="containsText" text="S">
      <formula>NOT(ISERROR(SEARCH("S",CN15)))</formula>
    </cfRule>
    <cfRule type="containsText" dxfId="12780" priority="13689" operator="containsText" text="P">
      <formula>NOT(ISERROR(SEARCH("P",CN15)))</formula>
    </cfRule>
    <cfRule type="containsText" dxfId="12779" priority="13690" operator="containsText" text="H">
      <formula>NOT(ISERROR(SEARCH("H",CN15)))</formula>
    </cfRule>
    <cfRule type="containsText" dxfId="12778" priority="13691" operator="containsText" text="&quot;H&quot;">
      <formula>NOT(ISERROR(SEARCH("""H""",CN15)))</formula>
    </cfRule>
    <cfRule type="containsText" dxfId="12777" priority="13692" operator="containsText" text="&quot;A&quot;">
      <formula>NOT(ISERROR(SEARCH("""A""",CN15)))</formula>
    </cfRule>
  </conditionalFormatting>
  <conditionalFormatting sqref="CA15:CB15">
    <cfRule type="cellIs" dxfId="12776" priority="13682" operator="equal">
      <formula>"C-Off-H"</formula>
    </cfRule>
    <cfRule type="cellIs" dxfId="12775" priority="13683" operator="equal">
      <formula>"C-Off"</formula>
    </cfRule>
    <cfRule type="cellIs" dxfId="12774" priority="13684" operator="equal">
      <formula>"CL-H"</formula>
    </cfRule>
    <cfRule type="cellIs" dxfId="12773" priority="13685" operator="equal">
      <formula>"EL-H"</formula>
    </cfRule>
    <cfRule type="cellIs" dxfId="12772" priority="13686" operator="equal">
      <formula>"CL"</formula>
    </cfRule>
    <cfRule type="cellIs" dxfId="12771" priority="13687" operator="equal">
      <formula>"EL"</formula>
    </cfRule>
  </conditionalFormatting>
  <conditionalFormatting sqref="CA15:CB15">
    <cfRule type="containsText" dxfId="12770" priority="13676" operator="containsText" text="S">
      <formula>NOT(ISERROR(SEARCH("S",CA15)))</formula>
    </cfRule>
    <cfRule type="containsText" dxfId="12769" priority="13677" operator="containsText" text="P">
      <formula>NOT(ISERROR(SEARCH("P",CA15)))</formula>
    </cfRule>
    <cfRule type="containsText" dxfId="12768" priority="13678" operator="containsText" text="H">
      <formula>NOT(ISERROR(SEARCH("H",CA15)))</formula>
    </cfRule>
    <cfRule type="containsText" dxfId="12767" priority="13680" operator="containsText" text="&quot;H&quot;">
      <formula>NOT(ISERROR(SEARCH("""H""",CA15)))</formula>
    </cfRule>
    <cfRule type="containsText" dxfId="12766" priority="13681" operator="containsText" text="&quot;A&quot;">
      <formula>NOT(ISERROR(SEARCH("""A""",CA15)))</formula>
    </cfRule>
  </conditionalFormatting>
  <conditionalFormatting sqref="CA15:CB15">
    <cfRule type="containsText" dxfId="12765" priority="13679" operator="containsText" text="A-H">
      <formula>NOT(ISERROR(SEARCH("A-H",CA15)))</formula>
    </cfRule>
  </conditionalFormatting>
  <conditionalFormatting sqref="CD15:CE15">
    <cfRule type="cellIs" dxfId="12764" priority="13670" operator="equal">
      <formula>"C-Off-H"</formula>
    </cfRule>
    <cfRule type="cellIs" dxfId="12763" priority="13671" operator="equal">
      <formula>"C-Off"</formula>
    </cfRule>
    <cfRule type="cellIs" dxfId="12762" priority="13672" operator="equal">
      <formula>"CL-H"</formula>
    </cfRule>
    <cfRule type="cellIs" dxfId="12761" priority="13673" operator="equal">
      <formula>"EL-H"</formula>
    </cfRule>
    <cfRule type="cellIs" dxfId="12760" priority="13674" operator="equal">
      <formula>"CL"</formula>
    </cfRule>
    <cfRule type="cellIs" dxfId="12759" priority="13675" operator="equal">
      <formula>"EL"</formula>
    </cfRule>
  </conditionalFormatting>
  <conditionalFormatting sqref="CD15:CE15">
    <cfRule type="containsText" dxfId="12758" priority="13664" operator="containsText" text="S">
      <formula>NOT(ISERROR(SEARCH("S",CD15)))</formula>
    </cfRule>
    <cfRule type="containsText" dxfId="12757" priority="13665" operator="containsText" text="P">
      <formula>NOT(ISERROR(SEARCH("P",CD15)))</formula>
    </cfRule>
    <cfRule type="containsText" dxfId="12756" priority="13666" operator="containsText" text="H">
      <formula>NOT(ISERROR(SEARCH("H",CD15)))</formula>
    </cfRule>
    <cfRule type="containsText" dxfId="12755" priority="13668" operator="containsText" text="&quot;H&quot;">
      <formula>NOT(ISERROR(SEARCH("""H""",CD15)))</formula>
    </cfRule>
    <cfRule type="containsText" dxfId="12754" priority="13669" operator="containsText" text="&quot;A&quot;">
      <formula>NOT(ISERROR(SEARCH("""A""",CD15)))</formula>
    </cfRule>
  </conditionalFormatting>
  <conditionalFormatting sqref="CD15:CE15">
    <cfRule type="containsText" dxfId="12753" priority="13667" operator="containsText" text="A-H">
      <formula>NOT(ISERROR(SEARCH("A-H",CD15)))</formula>
    </cfRule>
  </conditionalFormatting>
  <conditionalFormatting sqref="CH15">
    <cfRule type="cellIs" dxfId="12752" priority="13658" operator="equal">
      <formula>"C-Off-H"</formula>
    </cfRule>
    <cfRule type="cellIs" dxfId="12751" priority="13659" operator="equal">
      <formula>"C-Off"</formula>
    </cfRule>
    <cfRule type="cellIs" dxfId="12750" priority="13660" operator="equal">
      <formula>"CL-H"</formula>
    </cfRule>
    <cfRule type="cellIs" dxfId="12749" priority="13661" operator="equal">
      <formula>"EL-H"</formula>
    </cfRule>
    <cfRule type="cellIs" dxfId="12748" priority="13662" operator="equal">
      <formula>"CL"</formula>
    </cfRule>
    <cfRule type="cellIs" dxfId="12747" priority="13663" operator="equal">
      <formula>"EL"</formula>
    </cfRule>
  </conditionalFormatting>
  <conditionalFormatting sqref="CH15">
    <cfRule type="containsText" dxfId="12746" priority="13652" operator="containsText" text="S">
      <formula>NOT(ISERROR(SEARCH("S",CH15)))</formula>
    </cfRule>
    <cfRule type="containsText" dxfId="12745" priority="13653" operator="containsText" text="P">
      <formula>NOT(ISERROR(SEARCH("P",CH15)))</formula>
    </cfRule>
    <cfRule type="containsText" dxfId="12744" priority="13654" operator="containsText" text="H">
      <formula>NOT(ISERROR(SEARCH("H",CH15)))</formula>
    </cfRule>
    <cfRule type="containsText" dxfId="12743" priority="13656" operator="containsText" text="&quot;H&quot;">
      <formula>NOT(ISERROR(SEARCH("""H""",CH15)))</formula>
    </cfRule>
    <cfRule type="containsText" dxfId="12742" priority="13657" operator="containsText" text="&quot;A&quot;">
      <formula>NOT(ISERROR(SEARCH("""A""",CH15)))</formula>
    </cfRule>
  </conditionalFormatting>
  <conditionalFormatting sqref="CH15">
    <cfRule type="containsText" dxfId="12741" priority="13655" operator="containsText" text="A-H">
      <formula>NOT(ISERROR(SEARCH("A-H",CH15)))</formula>
    </cfRule>
  </conditionalFormatting>
  <conditionalFormatting sqref="CG15">
    <cfRule type="cellIs" dxfId="12740" priority="13646" operator="equal">
      <formula>"C-Off-H"</formula>
    </cfRule>
    <cfRule type="cellIs" dxfId="12739" priority="13647" operator="equal">
      <formula>"C-Off"</formula>
    </cfRule>
    <cfRule type="cellIs" dxfId="12738" priority="13648" operator="equal">
      <formula>"CL-H"</formula>
    </cfRule>
    <cfRule type="cellIs" dxfId="12737" priority="13649" operator="equal">
      <formula>"EL-H"</formula>
    </cfRule>
    <cfRule type="cellIs" dxfId="12736" priority="13650" operator="equal">
      <formula>"CL"</formula>
    </cfRule>
    <cfRule type="cellIs" dxfId="12735" priority="13651" operator="equal">
      <formula>"EL"</formula>
    </cfRule>
  </conditionalFormatting>
  <conditionalFormatting sqref="CG15">
    <cfRule type="containsText" dxfId="12734" priority="13640" operator="containsText" text="S">
      <formula>NOT(ISERROR(SEARCH("S",CG15)))</formula>
    </cfRule>
    <cfRule type="containsText" dxfId="12733" priority="13641" operator="containsText" text="P">
      <formula>NOT(ISERROR(SEARCH("P",CG15)))</formula>
    </cfRule>
    <cfRule type="containsText" dxfId="12732" priority="13642" operator="containsText" text="H">
      <formula>NOT(ISERROR(SEARCH("H",CG15)))</formula>
    </cfRule>
    <cfRule type="containsText" dxfId="12731" priority="13644" operator="containsText" text="&quot;H&quot;">
      <formula>NOT(ISERROR(SEARCH("""H""",CG15)))</formula>
    </cfRule>
    <cfRule type="containsText" dxfId="12730" priority="13645" operator="containsText" text="&quot;A&quot;">
      <formula>NOT(ISERROR(SEARCH("""A""",CG15)))</formula>
    </cfRule>
  </conditionalFormatting>
  <conditionalFormatting sqref="CG15">
    <cfRule type="containsText" dxfId="12729" priority="13643" operator="containsText" text="A-H">
      <formula>NOT(ISERROR(SEARCH("A-H",CG15)))</formula>
    </cfRule>
  </conditionalFormatting>
  <conditionalFormatting sqref="H15">
    <cfRule type="cellIs" dxfId="12728" priority="13603" operator="equal">
      <formula>"C-Off-H"</formula>
    </cfRule>
    <cfRule type="cellIs" dxfId="12727" priority="13604" operator="equal">
      <formula>"C-Off"</formula>
    </cfRule>
    <cfRule type="cellIs" dxfId="12726" priority="13605" operator="equal">
      <formula>"CL-H"</formula>
    </cfRule>
    <cfRule type="cellIs" dxfId="12725" priority="13606" operator="equal">
      <formula>"EL-H"</formula>
    </cfRule>
    <cfRule type="cellIs" dxfId="12724" priority="13607" operator="equal">
      <formula>"CL"</formula>
    </cfRule>
    <cfRule type="cellIs" dxfId="12723" priority="13608" operator="equal">
      <formula>"EL"</formula>
    </cfRule>
  </conditionalFormatting>
  <conditionalFormatting sqref="G15:H15">
    <cfRule type="cellIs" dxfId="12722" priority="13597" operator="equal">
      <formula>"C-Off-H"</formula>
    </cfRule>
    <cfRule type="cellIs" dxfId="12721" priority="13598" operator="equal">
      <formula>"C-Off"</formula>
    </cfRule>
    <cfRule type="cellIs" dxfId="12720" priority="13599" operator="equal">
      <formula>"CL-H"</formula>
    </cfRule>
    <cfRule type="cellIs" dxfId="12719" priority="13600" operator="equal">
      <formula>"EL-H"</formula>
    </cfRule>
    <cfRule type="cellIs" dxfId="12718" priority="13601" operator="equal">
      <formula>"CL"</formula>
    </cfRule>
    <cfRule type="cellIs" dxfId="12717" priority="13602" operator="equal">
      <formula>"EL"</formula>
    </cfRule>
  </conditionalFormatting>
  <conditionalFormatting sqref="G15:H15">
    <cfRule type="containsText" dxfId="12716" priority="13591" operator="containsText" text="S">
      <formula>NOT(ISERROR(SEARCH("S",G15)))</formula>
    </cfRule>
    <cfRule type="containsText" dxfId="12715" priority="13592" operator="containsText" text="P">
      <formula>NOT(ISERROR(SEARCH("P",G15)))</formula>
    </cfRule>
    <cfRule type="containsText" dxfId="12714" priority="13593" operator="containsText" text="H">
      <formula>NOT(ISERROR(SEARCH("H",G15)))</formula>
    </cfRule>
    <cfRule type="containsText" dxfId="12713" priority="13595" operator="containsText" text="&quot;H&quot;">
      <formula>NOT(ISERROR(SEARCH("""H""",G15)))</formula>
    </cfRule>
    <cfRule type="containsText" dxfId="12712" priority="13596" operator="containsText" text="&quot;A&quot;">
      <formula>NOT(ISERROR(SEARCH("""A""",G15)))</formula>
    </cfRule>
  </conditionalFormatting>
  <conditionalFormatting sqref="G15:H15">
    <cfRule type="containsText" dxfId="12711" priority="13594" operator="containsText" text="A-H">
      <formula>NOT(ISERROR(SEARCH("A-H",G15)))</formula>
    </cfRule>
  </conditionalFormatting>
  <conditionalFormatting sqref="K15">
    <cfRule type="cellIs" dxfId="12710" priority="13585" operator="equal">
      <formula>"C-Off-H"</formula>
    </cfRule>
    <cfRule type="cellIs" dxfId="12709" priority="13586" operator="equal">
      <formula>"C-Off"</formula>
    </cfRule>
    <cfRule type="cellIs" dxfId="12708" priority="13587" operator="equal">
      <formula>"CL-H"</formula>
    </cfRule>
    <cfRule type="cellIs" dxfId="12707" priority="13588" operator="equal">
      <formula>"EL-H"</formula>
    </cfRule>
    <cfRule type="cellIs" dxfId="12706" priority="13589" operator="equal">
      <formula>"CL"</formula>
    </cfRule>
    <cfRule type="cellIs" dxfId="12705" priority="13590" operator="equal">
      <formula>"EL"</formula>
    </cfRule>
  </conditionalFormatting>
  <conditionalFormatting sqref="J15:K15">
    <cfRule type="cellIs" dxfId="12704" priority="13579" operator="equal">
      <formula>"C-Off-H"</formula>
    </cfRule>
    <cfRule type="cellIs" dxfId="12703" priority="13580" operator="equal">
      <formula>"C-Off"</formula>
    </cfRule>
    <cfRule type="cellIs" dxfId="12702" priority="13581" operator="equal">
      <formula>"CL-H"</formula>
    </cfRule>
    <cfRule type="cellIs" dxfId="12701" priority="13582" operator="equal">
      <formula>"EL-H"</formula>
    </cfRule>
    <cfRule type="cellIs" dxfId="12700" priority="13583" operator="equal">
      <formula>"CL"</formula>
    </cfRule>
    <cfRule type="cellIs" dxfId="12699" priority="13584" operator="equal">
      <formula>"EL"</formula>
    </cfRule>
  </conditionalFormatting>
  <conditionalFormatting sqref="J15:K15">
    <cfRule type="containsText" dxfId="12698" priority="13573" operator="containsText" text="S">
      <formula>NOT(ISERROR(SEARCH("S",J15)))</formula>
    </cfRule>
    <cfRule type="containsText" dxfId="12697" priority="13574" operator="containsText" text="P">
      <formula>NOT(ISERROR(SEARCH("P",J15)))</formula>
    </cfRule>
    <cfRule type="containsText" dxfId="12696" priority="13575" operator="containsText" text="H">
      <formula>NOT(ISERROR(SEARCH("H",J15)))</formula>
    </cfRule>
    <cfRule type="containsText" dxfId="12695" priority="13577" operator="containsText" text="&quot;H&quot;">
      <formula>NOT(ISERROR(SEARCH("""H""",J15)))</formula>
    </cfRule>
    <cfRule type="containsText" dxfId="12694" priority="13578" operator="containsText" text="&quot;A&quot;">
      <formula>NOT(ISERROR(SEARCH("""A""",J15)))</formula>
    </cfRule>
  </conditionalFormatting>
  <conditionalFormatting sqref="J15:K15">
    <cfRule type="containsText" dxfId="12693" priority="13576" operator="containsText" text="A-H">
      <formula>NOT(ISERROR(SEARCH("A-H",J15)))</formula>
    </cfRule>
  </conditionalFormatting>
  <conditionalFormatting sqref="N15">
    <cfRule type="cellIs" dxfId="12692" priority="13567" operator="equal">
      <formula>"C-Off-H"</formula>
    </cfRule>
    <cfRule type="cellIs" dxfId="12691" priority="13568" operator="equal">
      <formula>"C-Off"</formula>
    </cfRule>
    <cfRule type="cellIs" dxfId="12690" priority="13569" operator="equal">
      <formula>"CL-H"</formula>
    </cfRule>
    <cfRule type="cellIs" dxfId="12689" priority="13570" operator="equal">
      <formula>"EL-H"</formula>
    </cfRule>
    <cfRule type="cellIs" dxfId="12688" priority="13571" operator="equal">
      <formula>"CL"</formula>
    </cfRule>
    <cfRule type="cellIs" dxfId="12687" priority="13572" operator="equal">
      <formula>"EL"</formula>
    </cfRule>
  </conditionalFormatting>
  <conditionalFormatting sqref="M15:N15">
    <cfRule type="cellIs" dxfId="12686" priority="13561" operator="equal">
      <formula>"C-Off-H"</formula>
    </cfRule>
    <cfRule type="cellIs" dxfId="12685" priority="13562" operator="equal">
      <formula>"C-Off"</formula>
    </cfRule>
    <cfRule type="cellIs" dxfId="12684" priority="13563" operator="equal">
      <formula>"CL-H"</formula>
    </cfRule>
    <cfRule type="cellIs" dxfId="12683" priority="13564" operator="equal">
      <formula>"EL-H"</formula>
    </cfRule>
    <cfRule type="cellIs" dxfId="12682" priority="13565" operator="equal">
      <formula>"CL"</formula>
    </cfRule>
    <cfRule type="cellIs" dxfId="12681" priority="13566" operator="equal">
      <formula>"EL"</formula>
    </cfRule>
  </conditionalFormatting>
  <conditionalFormatting sqref="M15:N15">
    <cfRule type="containsText" dxfId="12680" priority="13555" operator="containsText" text="S">
      <formula>NOT(ISERROR(SEARCH("S",M15)))</formula>
    </cfRule>
    <cfRule type="containsText" dxfId="12679" priority="13556" operator="containsText" text="P">
      <formula>NOT(ISERROR(SEARCH("P",M15)))</formula>
    </cfRule>
    <cfRule type="containsText" dxfId="12678" priority="13557" operator="containsText" text="H">
      <formula>NOT(ISERROR(SEARCH("H",M15)))</formula>
    </cfRule>
    <cfRule type="containsText" dxfId="12677" priority="13559" operator="containsText" text="&quot;H&quot;">
      <formula>NOT(ISERROR(SEARCH("""H""",M15)))</formula>
    </cfRule>
    <cfRule type="containsText" dxfId="12676" priority="13560" operator="containsText" text="&quot;A&quot;">
      <formula>NOT(ISERROR(SEARCH("""A""",M15)))</formula>
    </cfRule>
  </conditionalFormatting>
  <conditionalFormatting sqref="M15:N15">
    <cfRule type="containsText" dxfId="12675" priority="13558" operator="containsText" text="A-H">
      <formula>NOT(ISERROR(SEARCH("A-H",M15)))</formula>
    </cfRule>
  </conditionalFormatting>
  <conditionalFormatting sqref="K16">
    <cfRule type="cellIs" dxfId="12674" priority="13549" operator="equal">
      <formula>"C-Off-H"</formula>
    </cfRule>
    <cfRule type="cellIs" dxfId="12673" priority="13550" operator="equal">
      <formula>"C-Off"</formula>
    </cfRule>
    <cfRule type="cellIs" dxfId="12672" priority="13551" operator="equal">
      <formula>"CL-H"</formula>
    </cfRule>
    <cfRule type="cellIs" dxfId="12671" priority="13552" operator="equal">
      <formula>"EL-H"</formula>
    </cfRule>
    <cfRule type="cellIs" dxfId="12670" priority="13553" operator="equal">
      <formula>"CL"</formula>
    </cfRule>
    <cfRule type="cellIs" dxfId="12669" priority="13554" operator="equal">
      <formula>"EL"</formula>
    </cfRule>
  </conditionalFormatting>
  <conditionalFormatting sqref="K16">
    <cfRule type="containsText" dxfId="12668" priority="13548" operator="containsText" text="A-H">
      <formula>NOT(ISERROR(SEARCH("A-H",K16)))</formula>
    </cfRule>
  </conditionalFormatting>
  <conditionalFormatting sqref="K16">
    <cfRule type="containsText" dxfId="12667" priority="13543" operator="containsText" text="S">
      <formula>NOT(ISERROR(SEARCH("S",K16)))</formula>
    </cfRule>
    <cfRule type="containsText" dxfId="12666" priority="13544" operator="containsText" text="P">
      <formula>NOT(ISERROR(SEARCH("P",K16)))</formula>
    </cfRule>
    <cfRule type="containsText" dxfId="12665" priority="13545" operator="containsText" text="H">
      <formula>NOT(ISERROR(SEARCH("H",K16)))</formula>
    </cfRule>
    <cfRule type="containsText" dxfId="12664" priority="13546" operator="containsText" text="&quot;H&quot;">
      <formula>NOT(ISERROR(SEARCH("""H""",K16)))</formula>
    </cfRule>
    <cfRule type="containsText" dxfId="12663" priority="13547" operator="containsText" text="&quot;A&quot;">
      <formula>NOT(ISERROR(SEARCH("""A""",K16)))</formula>
    </cfRule>
  </conditionalFormatting>
  <conditionalFormatting sqref="DC21 CQ21:CW21 M21:N21 CX20:CX22 Z20:Z22 CN20:CN21">
    <cfRule type="cellIs" dxfId="12662" priority="13511" operator="equal">
      <formula>"C-Off-H"</formula>
    </cfRule>
    <cfRule type="cellIs" dxfId="12661" priority="13512" operator="equal">
      <formula>"C-Off"</formula>
    </cfRule>
    <cfRule type="cellIs" dxfId="12660" priority="13513" operator="equal">
      <formula>"CL-H"</formula>
    </cfRule>
    <cfRule type="cellIs" dxfId="12659" priority="13514" operator="equal">
      <formula>"EL-H"</formula>
    </cfRule>
    <cfRule type="cellIs" dxfId="12658" priority="13515" operator="equal">
      <formula>"CL"</formula>
    </cfRule>
    <cfRule type="cellIs" dxfId="12657" priority="13516" operator="equal">
      <formula>"EL"</formula>
    </cfRule>
  </conditionalFormatting>
  <conditionalFormatting sqref="CQ21:CW21 M21:N21 CY21:DA21 DC21 CX20:CX22 Z20:Z22 CN20:CN21">
    <cfRule type="containsText" dxfId="12656" priority="13510" operator="containsText" text="A-H">
      <formula>NOT(ISERROR(SEARCH("A-H",M20)))</formula>
    </cfRule>
  </conditionalFormatting>
  <conditionalFormatting sqref="CQ21:CW21 CY21:DA21 DC21 CX20:CX22 CN20:CN21">
    <cfRule type="containsText" dxfId="12655" priority="13509" operator="containsText" text="A">
      <formula>NOT(ISERROR(SEARCH("A",CN20)))</formula>
    </cfRule>
  </conditionalFormatting>
  <conditionalFormatting sqref="DA21 CY21">
    <cfRule type="cellIs" dxfId="12654" priority="13503" stopIfTrue="1" operator="equal">
      <formula>"C-Off-H"</formula>
    </cfRule>
    <cfRule type="cellIs" dxfId="12653" priority="13504" stopIfTrue="1" operator="equal">
      <formula>"C-Off"</formula>
    </cfRule>
    <cfRule type="cellIs" dxfId="12652" priority="13505" stopIfTrue="1" operator="equal">
      <formula>"CL-H"</formula>
    </cfRule>
    <cfRule type="cellIs" dxfId="12651" priority="13506" stopIfTrue="1" operator="equal">
      <formula>"EL-H"</formula>
    </cfRule>
    <cfRule type="cellIs" dxfId="12650" priority="13507" stopIfTrue="1" operator="equal">
      <formula>"CL"</formula>
    </cfRule>
    <cfRule type="cellIs" dxfId="12649" priority="13508" stopIfTrue="1" operator="equal">
      <formula>"EL"</formula>
    </cfRule>
  </conditionalFormatting>
  <conditionalFormatting sqref="CZ21">
    <cfRule type="cellIs" dxfId="12648" priority="13497" stopIfTrue="1" operator="equal">
      <formula>"C-Off-H"</formula>
    </cfRule>
    <cfRule type="cellIs" dxfId="12647" priority="13498" stopIfTrue="1" operator="equal">
      <formula>"C-Off"</formula>
    </cfRule>
    <cfRule type="cellIs" dxfId="12646" priority="13499" stopIfTrue="1" operator="equal">
      <formula>"CL-H"</formula>
    </cfRule>
    <cfRule type="cellIs" dxfId="12645" priority="13500" stopIfTrue="1" operator="equal">
      <formula>"EL-H"</formula>
    </cfRule>
    <cfRule type="cellIs" dxfId="12644" priority="13501" stopIfTrue="1" operator="equal">
      <formula>"CL"</formula>
    </cfRule>
    <cfRule type="cellIs" dxfId="12643" priority="13502" stopIfTrue="1" operator="equal">
      <formula>"EL"</formula>
    </cfRule>
  </conditionalFormatting>
  <conditionalFormatting sqref="M21:N21 Z20:Z22 CN20:CN21">
    <cfRule type="containsText" dxfId="12642" priority="13492" operator="containsText" text="S">
      <formula>NOT(ISERROR(SEARCH("S",M20)))</formula>
    </cfRule>
    <cfRule type="containsText" dxfId="12641" priority="13493" operator="containsText" text="P">
      <formula>NOT(ISERROR(SEARCH("P",M20)))</formula>
    </cfRule>
    <cfRule type="containsText" dxfId="12640" priority="13494" operator="containsText" text="H">
      <formula>NOT(ISERROR(SEARCH("H",M20)))</formula>
    </cfRule>
    <cfRule type="containsText" dxfId="12639" priority="13495" operator="containsText" text="&quot;H&quot;">
      <formula>NOT(ISERROR(SEARCH("""H""",M20)))</formula>
    </cfRule>
    <cfRule type="containsText" dxfId="12638" priority="13496" operator="containsText" text="&quot;A&quot;">
      <formula>NOT(ISERROR(SEARCH("""A""",M20)))</formula>
    </cfRule>
  </conditionalFormatting>
  <conditionalFormatting sqref="DD21">
    <cfRule type="cellIs" dxfId="12637" priority="13486" operator="equal">
      <formula>"C-Off-H"</formula>
    </cfRule>
    <cfRule type="cellIs" dxfId="12636" priority="13487" operator="equal">
      <formula>"C-Off"</formula>
    </cfRule>
    <cfRule type="cellIs" dxfId="12635" priority="13488" operator="equal">
      <formula>"CL-H"</formula>
    </cfRule>
    <cfRule type="cellIs" dxfId="12634" priority="13489" operator="equal">
      <formula>"EL-H"</formula>
    </cfRule>
    <cfRule type="cellIs" dxfId="12633" priority="13490" operator="equal">
      <formula>"CL"</formula>
    </cfRule>
    <cfRule type="cellIs" dxfId="12632" priority="13491" operator="equal">
      <formula>"EL"</formula>
    </cfRule>
  </conditionalFormatting>
  <conditionalFormatting sqref="DD21">
    <cfRule type="containsText" dxfId="12631" priority="13485" operator="containsText" text="A">
      <formula>NOT(ISERROR(SEARCH("A",DD21)))</formula>
    </cfRule>
  </conditionalFormatting>
  <conditionalFormatting sqref="DD21">
    <cfRule type="containsText" dxfId="12630" priority="13484" operator="containsText" text="A-H">
      <formula>NOT(ISERROR(SEARCH("A-H",DD21)))</formula>
    </cfRule>
  </conditionalFormatting>
  <conditionalFormatting sqref="AI21">
    <cfRule type="cellIs" dxfId="12629" priority="13478" operator="equal">
      <formula>"C-Off-H"</formula>
    </cfRule>
    <cfRule type="cellIs" dxfId="12628" priority="13479" operator="equal">
      <formula>"C-Off"</formula>
    </cfRule>
    <cfRule type="cellIs" dxfId="12627" priority="13480" operator="equal">
      <formula>"CL-H"</formula>
    </cfRule>
    <cfRule type="cellIs" dxfId="12626" priority="13481" operator="equal">
      <formula>"EL-H"</formula>
    </cfRule>
    <cfRule type="cellIs" dxfId="12625" priority="13482" operator="equal">
      <formula>"CL"</formula>
    </cfRule>
    <cfRule type="cellIs" dxfId="12624" priority="13483" operator="equal">
      <formula>"EL"</formula>
    </cfRule>
  </conditionalFormatting>
  <conditionalFormatting sqref="AH21:AI21">
    <cfRule type="cellIs" dxfId="12623" priority="13472" operator="equal">
      <formula>"C-Off-H"</formula>
    </cfRule>
    <cfRule type="cellIs" dxfId="12622" priority="13473" operator="equal">
      <formula>"C-Off"</formula>
    </cfRule>
    <cfRule type="cellIs" dxfId="12621" priority="13474" operator="equal">
      <formula>"CL-H"</formula>
    </cfRule>
    <cfRule type="cellIs" dxfId="12620" priority="13475" operator="equal">
      <formula>"EL-H"</formula>
    </cfRule>
    <cfRule type="cellIs" dxfId="12619" priority="13476" operator="equal">
      <formula>"CL"</formula>
    </cfRule>
    <cfRule type="cellIs" dxfId="12618" priority="13477" operator="equal">
      <formula>"EL"</formula>
    </cfRule>
  </conditionalFormatting>
  <conditionalFormatting sqref="AH21:AI21">
    <cfRule type="containsText" dxfId="12617" priority="13466" operator="containsText" text="S">
      <formula>NOT(ISERROR(SEARCH("S",AH21)))</formula>
    </cfRule>
    <cfRule type="containsText" dxfId="12616" priority="13467" operator="containsText" text="P">
      <formula>NOT(ISERROR(SEARCH("P",AH21)))</formula>
    </cfRule>
    <cfRule type="containsText" dxfId="12615" priority="13468" operator="containsText" text="H">
      <formula>NOT(ISERROR(SEARCH("H",AH21)))</formula>
    </cfRule>
    <cfRule type="containsText" dxfId="12614" priority="13470" operator="containsText" text="&quot;H&quot;">
      <formula>NOT(ISERROR(SEARCH("""H""",AH21)))</formula>
    </cfRule>
    <cfRule type="containsText" dxfId="12613" priority="13471" operator="containsText" text="&quot;A&quot;">
      <formula>NOT(ISERROR(SEARCH("""A""",AH21)))</formula>
    </cfRule>
  </conditionalFormatting>
  <conditionalFormatting sqref="AH21:AI21">
    <cfRule type="containsText" dxfId="12612" priority="13469" operator="containsText" text="A-H">
      <formula>NOT(ISERROR(SEARCH("A-H",AH21)))</formula>
    </cfRule>
  </conditionalFormatting>
  <conditionalFormatting sqref="AU21">
    <cfRule type="cellIs" dxfId="12611" priority="13460" operator="equal">
      <formula>"C-Off-H"</formula>
    </cfRule>
    <cfRule type="cellIs" dxfId="12610" priority="13461" operator="equal">
      <formula>"C-Off"</formula>
    </cfRule>
    <cfRule type="cellIs" dxfId="12609" priority="13462" operator="equal">
      <formula>"CL-H"</formula>
    </cfRule>
    <cfRule type="cellIs" dxfId="12608" priority="13463" operator="equal">
      <formula>"EL-H"</formula>
    </cfRule>
    <cfRule type="cellIs" dxfId="12607" priority="13464" operator="equal">
      <formula>"CL"</formula>
    </cfRule>
    <cfRule type="cellIs" dxfId="12606" priority="13465" operator="equal">
      <formula>"EL"</formula>
    </cfRule>
  </conditionalFormatting>
  <conditionalFormatting sqref="AT21:AU21">
    <cfRule type="cellIs" dxfId="12605" priority="13454" operator="equal">
      <formula>"C-Off-H"</formula>
    </cfRule>
    <cfRule type="cellIs" dxfId="12604" priority="13455" operator="equal">
      <formula>"C-Off"</formula>
    </cfRule>
    <cfRule type="cellIs" dxfId="12603" priority="13456" operator="equal">
      <formula>"CL-H"</formula>
    </cfRule>
    <cfRule type="cellIs" dxfId="12602" priority="13457" operator="equal">
      <formula>"EL-H"</formula>
    </cfRule>
    <cfRule type="cellIs" dxfId="12601" priority="13458" operator="equal">
      <formula>"CL"</formula>
    </cfRule>
    <cfRule type="cellIs" dxfId="12600" priority="13459" operator="equal">
      <formula>"EL"</formula>
    </cfRule>
  </conditionalFormatting>
  <conditionalFormatting sqref="AT21:AU21">
    <cfRule type="containsText" dxfId="12599" priority="13448" operator="containsText" text="S">
      <formula>NOT(ISERROR(SEARCH("S",AT21)))</formula>
    </cfRule>
    <cfRule type="containsText" dxfId="12598" priority="13449" operator="containsText" text="P">
      <formula>NOT(ISERROR(SEARCH("P",AT21)))</formula>
    </cfRule>
    <cfRule type="containsText" dxfId="12597" priority="13450" operator="containsText" text="H">
      <formula>NOT(ISERROR(SEARCH("H",AT21)))</formula>
    </cfRule>
    <cfRule type="containsText" dxfId="12596" priority="13452" operator="containsText" text="&quot;H&quot;">
      <formula>NOT(ISERROR(SEARCH("""H""",AT21)))</formula>
    </cfRule>
    <cfRule type="containsText" dxfId="12595" priority="13453" operator="containsText" text="&quot;A&quot;">
      <formula>NOT(ISERROR(SEARCH("""A""",AT21)))</formula>
    </cfRule>
  </conditionalFormatting>
  <conditionalFormatting sqref="AT21:AU21">
    <cfRule type="containsText" dxfId="12594" priority="13451" operator="containsText" text="A-H">
      <formula>NOT(ISERROR(SEARCH("A-H",AT21)))</formula>
    </cfRule>
  </conditionalFormatting>
  <conditionalFormatting sqref="E21">
    <cfRule type="cellIs" dxfId="12593" priority="13442" operator="equal">
      <formula>"C-Off-H"</formula>
    </cfRule>
    <cfRule type="cellIs" dxfId="12592" priority="13443" operator="equal">
      <formula>"C-Off"</formula>
    </cfRule>
    <cfRule type="cellIs" dxfId="12591" priority="13444" operator="equal">
      <formula>"CL-H"</formula>
    </cfRule>
    <cfRule type="cellIs" dxfId="12590" priority="13445" operator="equal">
      <formula>"EL-H"</formula>
    </cfRule>
    <cfRule type="cellIs" dxfId="12589" priority="13446" operator="equal">
      <formula>"CL"</formula>
    </cfRule>
    <cfRule type="cellIs" dxfId="12588" priority="13447" operator="equal">
      <formula>"EL"</formula>
    </cfRule>
  </conditionalFormatting>
  <conditionalFormatting sqref="D21:E21">
    <cfRule type="cellIs" dxfId="12587" priority="13436" operator="equal">
      <formula>"C-Off-H"</formula>
    </cfRule>
    <cfRule type="cellIs" dxfId="12586" priority="13437" operator="equal">
      <formula>"C-Off"</formula>
    </cfRule>
    <cfRule type="cellIs" dxfId="12585" priority="13438" operator="equal">
      <formula>"CL-H"</formula>
    </cfRule>
    <cfRule type="cellIs" dxfId="12584" priority="13439" operator="equal">
      <formula>"EL-H"</formula>
    </cfRule>
    <cfRule type="cellIs" dxfId="12583" priority="13440" operator="equal">
      <formula>"CL"</formula>
    </cfRule>
    <cfRule type="cellIs" dxfId="12582" priority="13441" operator="equal">
      <formula>"EL"</formula>
    </cfRule>
  </conditionalFormatting>
  <conditionalFormatting sqref="D21:E21">
    <cfRule type="containsText" dxfId="12581" priority="13430" operator="containsText" text="S">
      <formula>NOT(ISERROR(SEARCH("S",D21)))</formula>
    </cfRule>
    <cfRule type="containsText" dxfId="12580" priority="13431" operator="containsText" text="P">
      <formula>NOT(ISERROR(SEARCH("P",D21)))</formula>
    </cfRule>
    <cfRule type="containsText" dxfId="12579" priority="13432" operator="containsText" text="H">
      <formula>NOT(ISERROR(SEARCH("H",D21)))</formula>
    </cfRule>
    <cfRule type="containsText" dxfId="12578" priority="13434" operator="containsText" text="&quot;H&quot;">
      <formula>NOT(ISERROR(SEARCH("""H""",D21)))</formula>
    </cfRule>
    <cfRule type="containsText" dxfId="12577" priority="13435" operator="containsText" text="&quot;A&quot;">
      <formula>NOT(ISERROR(SEARCH("""A""",D21)))</formula>
    </cfRule>
  </conditionalFormatting>
  <conditionalFormatting sqref="D21:E21">
    <cfRule type="containsText" dxfId="12576" priority="13433" operator="containsText" text="A-H">
      <formula>NOT(ISERROR(SEARCH("A-H",D21)))</formula>
    </cfRule>
  </conditionalFormatting>
  <conditionalFormatting sqref="Y21">
    <cfRule type="cellIs" dxfId="12575" priority="13424" operator="equal">
      <formula>"C-Off-H"</formula>
    </cfRule>
    <cfRule type="cellIs" dxfId="12574" priority="13425" operator="equal">
      <formula>"C-Off"</formula>
    </cfRule>
    <cfRule type="cellIs" dxfId="12573" priority="13426" operator="equal">
      <formula>"CL-H"</formula>
    </cfRule>
    <cfRule type="cellIs" dxfId="12572" priority="13427" operator="equal">
      <formula>"EL-H"</formula>
    </cfRule>
    <cfRule type="cellIs" dxfId="12571" priority="13428" operator="equal">
      <formula>"CL"</formula>
    </cfRule>
    <cfRule type="cellIs" dxfId="12570" priority="13429" operator="equal">
      <formula>"EL"</formula>
    </cfRule>
  </conditionalFormatting>
  <conditionalFormatting sqref="Y21">
    <cfRule type="containsText" dxfId="12569" priority="13418" operator="containsText" text="S">
      <formula>NOT(ISERROR(SEARCH("S",Y21)))</formula>
    </cfRule>
    <cfRule type="containsText" dxfId="12568" priority="13419" operator="containsText" text="P">
      <formula>NOT(ISERROR(SEARCH("P",Y21)))</formula>
    </cfRule>
    <cfRule type="containsText" dxfId="12567" priority="13420" operator="containsText" text="H">
      <formula>NOT(ISERROR(SEARCH("H",Y21)))</formula>
    </cfRule>
    <cfRule type="containsText" dxfId="12566" priority="13422" operator="containsText" text="&quot;H&quot;">
      <formula>NOT(ISERROR(SEARCH("""H""",Y21)))</formula>
    </cfRule>
    <cfRule type="containsText" dxfId="12565" priority="13423" operator="containsText" text="&quot;A&quot;">
      <formula>NOT(ISERROR(SEARCH("""A""",Y21)))</formula>
    </cfRule>
  </conditionalFormatting>
  <conditionalFormatting sqref="Y21">
    <cfRule type="containsText" dxfId="12564" priority="13421" operator="containsText" text="A-H">
      <formula>NOT(ISERROR(SEARCH("A-H",Y21)))</formula>
    </cfRule>
  </conditionalFormatting>
  <conditionalFormatting sqref="AF21">
    <cfRule type="cellIs" dxfId="12563" priority="13412" operator="equal">
      <formula>"C-Off-H"</formula>
    </cfRule>
    <cfRule type="cellIs" dxfId="12562" priority="13413" operator="equal">
      <formula>"C-Off"</formula>
    </cfRule>
    <cfRule type="cellIs" dxfId="12561" priority="13414" operator="equal">
      <formula>"CL-H"</formula>
    </cfRule>
    <cfRule type="cellIs" dxfId="12560" priority="13415" operator="equal">
      <formula>"EL-H"</formula>
    </cfRule>
    <cfRule type="cellIs" dxfId="12559" priority="13416" operator="equal">
      <formula>"CL"</formula>
    </cfRule>
    <cfRule type="cellIs" dxfId="12558" priority="13417" operator="equal">
      <formula>"EL"</formula>
    </cfRule>
  </conditionalFormatting>
  <conditionalFormatting sqref="AF21">
    <cfRule type="containsText" dxfId="12557" priority="13406" operator="containsText" text="S">
      <formula>NOT(ISERROR(SEARCH("S",AF21)))</formula>
    </cfRule>
    <cfRule type="containsText" dxfId="12556" priority="13407" operator="containsText" text="P">
      <formula>NOT(ISERROR(SEARCH("P",AF21)))</formula>
    </cfRule>
    <cfRule type="containsText" dxfId="12555" priority="13408" operator="containsText" text="H">
      <formula>NOT(ISERROR(SEARCH("H",AF21)))</formula>
    </cfRule>
    <cfRule type="containsText" dxfId="12554" priority="13410" operator="containsText" text="&quot;H&quot;">
      <formula>NOT(ISERROR(SEARCH("""H""",AF21)))</formula>
    </cfRule>
    <cfRule type="containsText" dxfId="12553" priority="13411" operator="containsText" text="&quot;A&quot;">
      <formula>NOT(ISERROR(SEARCH("""A""",AF21)))</formula>
    </cfRule>
  </conditionalFormatting>
  <conditionalFormatting sqref="AF21">
    <cfRule type="containsText" dxfId="12552" priority="13409" operator="containsText" text="A-H">
      <formula>NOT(ISERROR(SEARCH("A-H",AF21)))</formula>
    </cfRule>
  </conditionalFormatting>
  <conditionalFormatting sqref="BO21:BP21">
    <cfRule type="cellIs" dxfId="12551" priority="13400" operator="equal">
      <formula>"C-Off-H"</formula>
    </cfRule>
    <cfRule type="cellIs" dxfId="12550" priority="13401" operator="equal">
      <formula>"C-Off"</formula>
    </cfRule>
    <cfRule type="cellIs" dxfId="12549" priority="13402" operator="equal">
      <formula>"CL-H"</formula>
    </cfRule>
    <cfRule type="cellIs" dxfId="12548" priority="13403" operator="equal">
      <formula>"EL-H"</formula>
    </cfRule>
    <cfRule type="cellIs" dxfId="12547" priority="13404" operator="equal">
      <formula>"CL"</formula>
    </cfRule>
    <cfRule type="cellIs" dxfId="12546" priority="13405" operator="equal">
      <formula>"EL"</formula>
    </cfRule>
  </conditionalFormatting>
  <conditionalFormatting sqref="BO21:BP21">
    <cfRule type="cellIs" dxfId="12545" priority="13394" operator="equal">
      <formula>"C-Off-H"</formula>
    </cfRule>
    <cfRule type="cellIs" dxfId="12544" priority="13395" operator="equal">
      <formula>"C-Off"</formula>
    </cfRule>
    <cfRule type="cellIs" dxfId="12543" priority="13396" operator="equal">
      <formula>"CL-H"</formula>
    </cfRule>
    <cfRule type="cellIs" dxfId="12542" priority="13397" operator="equal">
      <formula>"EL-H"</formula>
    </cfRule>
    <cfRule type="cellIs" dxfId="12541" priority="13398" operator="equal">
      <formula>"CL"</formula>
    </cfRule>
    <cfRule type="cellIs" dxfId="12540" priority="13399" operator="equal">
      <formula>"EL"</formula>
    </cfRule>
  </conditionalFormatting>
  <conditionalFormatting sqref="BO21:BP21">
    <cfRule type="containsText" dxfId="12539" priority="13388" operator="containsText" text="S">
      <formula>NOT(ISERROR(SEARCH("S",BO21)))</formula>
    </cfRule>
    <cfRule type="containsText" dxfId="12538" priority="13389" operator="containsText" text="P">
      <formula>NOT(ISERROR(SEARCH("P",BO21)))</formula>
    </cfRule>
    <cfRule type="containsText" dxfId="12537" priority="13390" operator="containsText" text="H">
      <formula>NOT(ISERROR(SEARCH("H",BO21)))</formula>
    </cfRule>
    <cfRule type="containsText" dxfId="12536" priority="13392" operator="containsText" text="&quot;H&quot;">
      <formula>NOT(ISERROR(SEARCH("""H""",BO21)))</formula>
    </cfRule>
    <cfRule type="containsText" dxfId="12535" priority="13393" operator="containsText" text="&quot;A&quot;">
      <formula>NOT(ISERROR(SEARCH("""A""",BO21)))</formula>
    </cfRule>
  </conditionalFormatting>
  <conditionalFormatting sqref="BO21:BP21">
    <cfRule type="containsText" dxfId="12534" priority="13391" operator="containsText" text="A-H">
      <formula>NOT(ISERROR(SEARCH("A-H",BO21)))</formula>
    </cfRule>
  </conditionalFormatting>
  <conditionalFormatting sqref="CM21">
    <cfRule type="cellIs" dxfId="12533" priority="13382" operator="equal">
      <formula>"C-Off-H"</formula>
    </cfRule>
    <cfRule type="cellIs" dxfId="12532" priority="13383" operator="equal">
      <formula>"C-Off"</formula>
    </cfRule>
    <cfRule type="cellIs" dxfId="12531" priority="13384" operator="equal">
      <formula>"CL-H"</formula>
    </cfRule>
    <cfRule type="cellIs" dxfId="12530" priority="13385" operator="equal">
      <formula>"EL-H"</formula>
    </cfRule>
    <cfRule type="cellIs" dxfId="12529" priority="13386" operator="equal">
      <formula>"CL"</formula>
    </cfRule>
    <cfRule type="cellIs" dxfId="12528" priority="13387" operator="equal">
      <formula>"EL"</formula>
    </cfRule>
  </conditionalFormatting>
  <conditionalFormatting sqref="CM21">
    <cfRule type="cellIs" dxfId="12527" priority="13376" operator="equal">
      <formula>"C-Off-H"</formula>
    </cfRule>
    <cfRule type="cellIs" dxfId="12526" priority="13377" operator="equal">
      <formula>"C-Off"</formula>
    </cfRule>
    <cfRule type="cellIs" dxfId="12525" priority="13378" operator="equal">
      <formula>"CL-H"</formula>
    </cfRule>
    <cfRule type="cellIs" dxfId="12524" priority="13379" operator="equal">
      <formula>"EL-H"</formula>
    </cfRule>
    <cfRule type="cellIs" dxfId="12523" priority="13380" operator="equal">
      <formula>"CL"</formula>
    </cfRule>
    <cfRule type="cellIs" dxfId="12522" priority="13381" operator="equal">
      <formula>"EL"</formula>
    </cfRule>
  </conditionalFormatting>
  <conditionalFormatting sqref="CM21">
    <cfRule type="containsText" dxfId="12521" priority="13370" operator="containsText" text="S">
      <formula>NOT(ISERROR(SEARCH("S",CM21)))</formula>
    </cfRule>
    <cfRule type="containsText" dxfId="12520" priority="13371" operator="containsText" text="P">
      <formula>NOT(ISERROR(SEARCH("P",CM21)))</formula>
    </cfRule>
    <cfRule type="containsText" dxfId="12519" priority="13372" operator="containsText" text="H">
      <formula>NOT(ISERROR(SEARCH("H",CM21)))</formula>
    </cfRule>
    <cfRule type="containsText" dxfId="12518" priority="13374" operator="containsText" text="&quot;H&quot;">
      <formula>NOT(ISERROR(SEARCH("""H""",CM21)))</formula>
    </cfRule>
    <cfRule type="containsText" dxfId="12517" priority="13375" operator="containsText" text="&quot;A&quot;">
      <formula>NOT(ISERROR(SEARCH("""A""",CM21)))</formula>
    </cfRule>
  </conditionalFormatting>
  <conditionalFormatting sqref="CM21">
    <cfRule type="containsText" dxfId="12516" priority="13373" operator="containsText" text="A-H">
      <formula>NOT(ISERROR(SEARCH("A-H",CM21)))</formula>
    </cfRule>
  </conditionalFormatting>
  <conditionalFormatting sqref="V21:W21">
    <cfRule type="cellIs" dxfId="12515" priority="13340" operator="equal">
      <formula>"C-Off-H"</formula>
    </cfRule>
    <cfRule type="cellIs" dxfId="12514" priority="13341" operator="equal">
      <formula>"C-Off"</formula>
    </cfRule>
    <cfRule type="cellIs" dxfId="12513" priority="13342" operator="equal">
      <formula>"CL-H"</formula>
    </cfRule>
    <cfRule type="cellIs" dxfId="12512" priority="13343" operator="equal">
      <formula>"EL-H"</formula>
    </cfRule>
    <cfRule type="cellIs" dxfId="12511" priority="13344" operator="equal">
      <formula>"CL"</formula>
    </cfRule>
    <cfRule type="cellIs" dxfId="12510" priority="13345" operator="equal">
      <formula>"EL"</formula>
    </cfRule>
  </conditionalFormatting>
  <conditionalFormatting sqref="V21:W21">
    <cfRule type="containsText" dxfId="12509" priority="13334" operator="containsText" text="S">
      <formula>NOT(ISERROR(SEARCH("S",V21)))</formula>
    </cfRule>
    <cfRule type="containsText" dxfId="12508" priority="13335" operator="containsText" text="P">
      <formula>NOT(ISERROR(SEARCH("P",V21)))</formula>
    </cfRule>
    <cfRule type="containsText" dxfId="12507" priority="13336" operator="containsText" text="H">
      <formula>NOT(ISERROR(SEARCH("H",V21)))</formula>
    </cfRule>
    <cfRule type="containsText" dxfId="12506" priority="13338" operator="containsText" text="&quot;H&quot;">
      <formula>NOT(ISERROR(SEARCH("""H""",V21)))</formula>
    </cfRule>
    <cfRule type="containsText" dxfId="12505" priority="13339" operator="containsText" text="&quot;A&quot;">
      <formula>NOT(ISERROR(SEARCH("""A""",V21)))</formula>
    </cfRule>
  </conditionalFormatting>
  <conditionalFormatting sqref="V21:W21">
    <cfRule type="containsText" dxfId="12504" priority="13337" operator="containsText" text="A-H">
      <formula>NOT(ISERROR(SEARCH("A-H",V21)))</formula>
    </cfRule>
  </conditionalFormatting>
  <conditionalFormatting sqref="P21:Q21">
    <cfRule type="cellIs" dxfId="12503" priority="13364" operator="equal">
      <formula>"C-Off-H"</formula>
    </cfRule>
    <cfRule type="cellIs" dxfId="12502" priority="13365" operator="equal">
      <formula>"C-Off"</formula>
    </cfRule>
    <cfRule type="cellIs" dxfId="12501" priority="13366" operator="equal">
      <formula>"CL-H"</formula>
    </cfRule>
    <cfRule type="cellIs" dxfId="12500" priority="13367" operator="equal">
      <formula>"EL-H"</formula>
    </cfRule>
    <cfRule type="cellIs" dxfId="12499" priority="13368" operator="equal">
      <formula>"CL"</formula>
    </cfRule>
    <cfRule type="cellIs" dxfId="12498" priority="13369" operator="equal">
      <formula>"EL"</formula>
    </cfRule>
  </conditionalFormatting>
  <conditionalFormatting sqref="P21:Q21">
    <cfRule type="containsText" dxfId="12497" priority="13358" operator="containsText" text="S">
      <formula>NOT(ISERROR(SEARCH("S",P21)))</formula>
    </cfRule>
    <cfRule type="containsText" dxfId="12496" priority="13359" operator="containsText" text="P">
      <formula>NOT(ISERROR(SEARCH("P",P21)))</formula>
    </cfRule>
    <cfRule type="containsText" dxfId="12495" priority="13360" operator="containsText" text="H">
      <formula>NOT(ISERROR(SEARCH("H",P21)))</formula>
    </cfRule>
    <cfRule type="containsText" dxfId="12494" priority="13362" operator="containsText" text="&quot;H&quot;">
      <formula>NOT(ISERROR(SEARCH("""H""",P21)))</formula>
    </cfRule>
    <cfRule type="containsText" dxfId="12493" priority="13363" operator="containsText" text="&quot;A&quot;">
      <formula>NOT(ISERROR(SEARCH("""A""",P21)))</formula>
    </cfRule>
  </conditionalFormatting>
  <conditionalFormatting sqref="P21:Q21">
    <cfRule type="containsText" dxfId="12492" priority="13361" operator="containsText" text="A-H">
      <formula>NOT(ISERROR(SEARCH("A-H",P21)))</formula>
    </cfRule>
  </conditionalFormatting>
  <conditionalFormatting sqref="S21:T21">
    <cfRule type="cellIs" dxfId="12491" priority="13352" operator="equal">
      <formula>"C-Off-H"</formula>
    </cfRule>
    <cfRule type="cellIs" dxfId="12490" priority="13353" operator="equal">
      <formula>"C-Off"</formula>
    </cfRule>
    <cfRule type="cellIs" dxfId="12489" priority="13354" operator="equal">
      <formula>"CL-H"</formula>
    </cfRule>
    <cfRule type="cellIs" dxfId="12488" priority="13355" operator="equal">
      <formula>"EL-H"</formula>
    </cfRule>
    <cfRule type="cellIs" dxfId="12487" priority="13356" operator="equal">
      <formula>"CL"</formula>
    </cfRule>
    <cfRule type="cellIs" dxfId="12486" priority="13357" operator="equal">
      <formula>"EL"</formula>
    </cfRule>
  </conditionalFormatting>
  <conditionalFormatting sqref="S21:T21">
    <cfRule type="containsText" dxfId="12485" priority="13346" operator="containsText" text="S">
      <formula>NOT(ISERROR(SEARCH("S",S21)))</formula>
    </cfRule>
    <cfRule type="containsText" dxfId="12484" priority="13347" operator="containsText" text="P">
      <formula>NOT(ISERROR(SEARCH("P",S21)))</formula>
    </cfRule>
    <cfRule type="containsText" dxfId="12483" priority="13348" operator="containsText" text="H">
      <formula>NOT(ISERROR(SEARCH("H",S21)))</formula>
    </cfRule>
    <cfRule type="containsText" dxfId="12482" priority="13350" operator="containsText" text="&quot;H&quot;">
      <formula>NOT(ISERROR(SEARCH("""H""",S21)))</formula>
    </cfRule>
    <cfRule type="containsText" dxfId="12481" priority="13351" operator="containsText" text="&quot;A&quot;">
      <formula>NOT(ISERROR(SEARCH("""A""",S21)))</formula>
    </cfRule>
  </conditionalFormatting>
  <conditionalFormatting sqref="S21:T21">
    <cfRule type="containsText" dxfId="12480" priority="13349" operator="containsText" text="A-H">
      <formula>NOT(ISERROR(SEARCH("A-H",S21)))</formula>
    </cfRule>
  </conditionalFormatting>
  <conditionalFormatting sqref="AB21:AC21">
    <cfRule type="cellIs" dxfId="12479" priority="13328" operator="equal">
      <formula>"C-Off-H"</formula>
    </cfRule>
    <cfRule type="cellIs" dxfId="12478" priority="13329" operator="equal">
      <formula>"C-Off"</formula>
    </cfRule>
    <cfRule type="cellIs" dxfId="12477" priority="13330" operator="equal">
      <formula>"CL-H"</formula>
    </cfRule>
    <cfRule type="cellIs" dxfId="12476" priority="13331" operator="equal">
      <formula>"EL-H"</formula>
    </cfRule>
    <cfRule type="cellIs" dxfId="12475" priority="13332" operator="equal">
      <formula>"CL"</formula>
    </cfRule>
    <cfRule type="cellIs" dxfId="12474" priority="13333" operator="equal">
      <formula>"EL"</formula>
    </cfRule>
  </conditionalFormatting>
  <conditionalFormatting sqref="AB21:AC21">
    <cfRule type="containsText" dxfId="12473" priority="13322" operator="containsText" text="S">
      <formula>NOT(ISERROR(SEARCH("S",AB21)))</formula>
    </cfRule>
    <cfRule type="containsText" dxfId="12472" priority="13323" operator="containsText" text="P">
      <formula>NOT(ISERROR(SEARCH("P",AB21)))</formula>
    </cfRule>
    <cfRule type="containsText" dxfId="12471" priority="13324" operator="containsText" text="H">
      <formula>NOT(ISERROR(SEARCH("H",AB21)))</formula>
    </cfRule>
    <cfRule type="containsText" dxfId="12470" priority="13326" operator="containsText" text="&quot;H&quot;">
      <formula>NOT(ISERROR(SEARCH("""H""",AB21)))</formula>
    </cfRule>
    <cfRule type="containsText" dxfId="12469" priority="13327" operator="containsText" text="&quot;A&quot;">
      <formula>NOT(ISERROR(SEARCH("""A""",AB21)))</formula>
    </cfRule>
  </conditionalFormatting>
  <conditionalFormatting sqref="AB21:AC21">
    <cfRule type="containsText" dxfId="12468" priority="13325" operator="containsText" text="A-H">
      <formula>NOT(ISERROR(SEARCH("A-H",AB21)))</formula>
    </cfRule>
  </conditionalFormatting>
  <conditionalFormatting sqref="AE21">
    <cfRule type="cellIs" dxfId="12467" priority="13316" operator="equal">
      <formula>"C-Off-H"</formula>
    </cfRule>
    <cfRule type="cellIs" dxfId="12466" priority="13317" operator="equal">
      <formula>"C-Off"</formula>
    </cfRule>
    <cfRule type="cellIs" dxfId="12465" priority="13318" operator="equal">
      <formula>"CL-H"</formula>
    </cfRule>
    <cfRule type="cellIs" dxfId="12464" priority="13319" operator="equal">
      <formula>"EL-H"</formula>
    </cfRule>
    <cfRule type="cellIs" dxfId="12463" priority="13320" operator="equal">
      <formula>"CL"</formula>
    </cfRule>
    <cfRule type="cellIs" dxfId="12462" priority="13321" operator="equal">
      <formula>"EL"</formula>
    </cfRule>
  </conditionalFormatting>
  <conditionalFormatting sqref="AE21">
    <cfRule type="containsText" dxfId="12461" priority="13310" operator="containsText" text="S">
      <formula>NOT(ISERROR(SEARCH("S",AE21)))</formula>
    </cfRule>
    <cfRule type="containsText" dxfId="12460" priority="13311" operator="containsText" text="P">
      <formula>NOT(ISERROR(SEARCH("P",AE21)))</formula>
    </cfRule>
    <cfRule type="containsText" dxfId="12459" priority="13312" operator="containsText" text="H">
      <formula>NOT(ISERROR(SEARCH("H",AE21)))</formula>
    </cfRule>
    <cfRule type="containsText" dxfId="12458" priority="13314" operator="containsText" text="&quot;H&quot;">
      <formula>NOT(ISERROR(SEARCH("""H""",AE21)))</formula>
    </cfRule>
    <cfRule type="containsText" dxfId="12457" priority="13315" operator="containsText" text="&quot;A&quot;">
      <formula>NOT(ISERROR(SEARCH("""A""",AE21)))</formula>
    </cfRule>
  </conditionalFormatting>
  <conditionalFormatting sqref="AE21">
    <cfRule type="containsText" dxfId="12456" priority="13313" operator="containsText" text="A-H">
      <formula>NOT(ISERROR(SEARCH("A-H",AE21)))</formula>
    </cfRule>
  </conditionalFormatting>
  <conditionalFormatting sqref="AK21:AL21">
    <cfRule type="cellIs" dxfId="12455" priority="13304" operator="equal">
      <formula>"C-Off-H"</formula>
    </cfRule>
    <cfRule type="cellIs" dxfId="12454" priority="13305" operator="equal">
      <formula>"C-Off"</formula>
    </cfRule>
    <cfRule type="cellIs" dxfId="12453" priority="13306" operator="equal">
      <formula>"CL-H"</formula>
    </cfRule>
    <cfRule type="cellIs" dxfId="12452" priority="13307" operator="equal">
      <formula>"EL-H"</formula>
    </cfRule>
    <cfRule type="cellIs" dxfId="12451" priority="13308" operator="equal">
      <formula>"CL"</formula>
    </cfRule>
    <cfRule type="cellIs" dxfId="12450" priority="13309" operator="equal">
      <formula>"EL"</formula>
    </cfRule>
  </conditionalFormatting>
  <conditionalFormatting sqref="AK21:AL21">
    <cfRule type="containsText" dxfId="12449" priority="13298" operator="containsText" text="S">
      <formula>NOT(ISERROR(SEARCH("S",AK21)))</formula>
    </cfRule>
    <cfRule type="containsText" dxfId="12448" priority="13299" operator="containsText" text="P">
      <formula>NOT(ISERROR(SEARCH("P",AK21)))</formula>
    </cfRule>
    <cfRule type="containsText" dxfId="12447" priority="13300" operator="containsText" text="H">
      <formula>NOT(ISERROR(SEARCH("H",AK21)))</formula>
    </cfRule>
    <cfRule type="containsText" dxfId="12446" priority="13302" operator="containsText" text="&quot;H&quot;">
      <formula>NOT(ISERROR(SEARCH("""H""",AK21)))</formula>
    </cfRule>
    <cfRule type="containsText" dxfId="12445" priority="13303" operator="containsText" text="&quot;A&quot;">
      <formula>NOT(ISERROR(SEARCH("""A""",AK21)))</formula>
    </cfRule>
  </conditionalFormatting>
  <conditionalFormatting sqref="AK21:AL21">
    <cfRule type="containsText" dxfId="12444" priority="13301" operator="containsText" text="A-H">
      <formula>NOT(ISERROR(SEARCH("A-H",AK21)))</formula>
    </cfRule>
  </conditionalFormatting>
  <conditionalFormatting sqref="AN21:AO21">
    <cfRule type="cellIs" dxfId="12443" priority="13292" operator="equal">
      <formula>"C-Off-H"</formula>
    </cfRule>
    <cfRule type="cellIs" dxfId="12442" priority="13293" operator="equal">
      <formula>"C-Off"</formula>
    </cfRule>
    <cfRule type="cellIs" dxfId="12441" priority="13294" operator="equal">
      <formula>"CL-H"</formula>
    </cfRule>
    <cfRule type="cellIs" dxfId="12440" priority="13295" operator="equal">
      <formula>"EL-H"</formula>
    </cfRule>
    <cfRule type="cellIs" dxfId="12439" priority="13296" operator="equal">
      <formula>"CL"</formula>
    </cfRule>
    <cfRule type="cellIs" dxfId="12438" priority="13297" operator="equal">
      <formula>"EL"</formula>
    </cfRule>
  </conditionalFormatting>
  <conditionalFormatting sqref="AN21:AO21">
    <cfRule type="containsText" dxfId="12437" priority="13286" operator="containsText" text="S">
      <formula>NOT(ISERROR(SEARCH("S",AN21)))</formula>
    </cfRule>
    <cfRule type="containsText" dxfId="12436" priority="13287" operator="containsText" text="P">
      <formula>NOT(ISERROR(SEARCH("P",AN21)))</formula>
    </cfRule>
    <cfRule type="containsText" dxfId="12435" priority="13288" operator="containsText" text="H">
      <formula>NOT(ISERROR(SEARCH("H",AN21)))</formula>
    </cfRule>
    <cfRule type="containsText" dxfId="12434" priority="13290" operator="containsText" text="&quot;H&quot;">
      <formula>NOT(ISERROR(SEARCH("""H""",AN21)))</formula>
    </cfRule>
    <cfRule type="containsText" dxfId="12433" priority="13291" operator="containsText" text="&quot;A&quot;">
      <formula>NOT(ISERROR(SEARCH("""A""",AN21)))</formula>
    </cfRule>
  </conditionalFormatting>
  <conditionalFormatting sqref="AN21:AO21">
    <cfRule type="containsText" dxfId="12432" priority="13289" operator="containsText" text="A-H">
      <formula>NOT(ISERROR(SEARCH("A-H",AN21)))</formula>
    </cfRule>
  </conditionalFormatting>
  <conditionalFormatting sqref="AQ21:AR21">
    <cfRule type="cellIs" dxfId="12431" priority="13280" operator="equal">
      <formula>"C-Off-H"</formula>
    </cfRule>
    <cfRule type="cellIs" dxfId="12430" priority="13281" operator="equal">
      <formula>"C-Off"</formula>
    </cfRule>
    <cfRule type="cellIs" dxfId="12429" priority="13282" operator="equal">
      <formula>"CL-H"</formula>
    </cfRule>
    <cfRule type="cellIs" dxfId="12428" priority="13283" operator="equal">
      <formula>"EL-H"</formula>
    </cfRule>
    <cfRule type="cellIs" dxfId="12427" priority="13284" operator="equal">
      <formula>"CL"</formula>
    </cfRule>
    <cfRule type="cellIs" dxfId="12426" priority="13285" operator="equal">
      <formula>"EL"</formula>
    </cfRule>
  </conditionalFormatting>
  <conditionalFormatting sqref="AQ21:AR21">
    <cfRule type="containsText" dxfId="12425" priority="13274" operator="containsText" text="S">
      <formula>NOT(ISERROR(SEARCH("S",AQ21)))</formula>
    </cfRule>
    <cfRule type="containsText" dxfId="12424" priority="13275" operator="containsText" text="P">
      <formula>NOT(ISERROR(SEARCH("P",AQ21)))</formula>
    </cfRule>
    <cfRule type="containsText" dxfId="12423" priority="13276" operator="containsText" text="H">
      <formula>NOT(ISERROR(SEARCH("H",AQ21)))</formula>
    </cfRule>
    <cfRule type="containsText" dxfId="12422" priority="13278" operator="containsText" text="&quot;H&quot;">
      <formula>NOT(ISERROR(SEARCH("""H""",AQ21)))</formula>
    </cfRule>
    <cfRule type="containsText" dxfId="12421" priority="13279" operator="containsText" text="&quot;A&quot;">
      <formula>NOT(ISERROR(SEARCH("""A""",AQ21)))</formula>
    </cfRule>
  </conditionalFormatting>
  <conditionalFormatting sqref="AQ21:AR21">
    <cfRule type="containsText" dxfId="12420" priority="13277" operator="containsText" text="A-H">
      <formula>NOT(ISERROR(SEARCH("A-H",AQ21)))</formula>
    </cfRule>
  </conditionalFormatting>
  <conditionalFormatting sqref="AW21:AX21">
    <cfRule type="cellIs" dxfId="12419" priority="13268" operator="equal">
      <formula>"C-Off-H"</formula>
    </cfRule>
    <cfRule type="cellIs" dxfId="12418" priority="13269" operator="equal">
      <formula>"C-Off"</formula>
    </cfRule>
    <cfRule type="cellIs" dxfId="12417" priority="13270" operator="equal">
      <formula>"CL-H"</formula>
    </cfRule>
    <cfRule type="cellIs" dxfId="12416" priority="13271" operator="equal">
      <formula>"EL-H"</formula>
    </cfRule>
    <cfRule type="cellIs" dxfId="12415" priority="13272" operator="equal">
      <formula>"CL"</formula>
    </cfRule>
    <cfRule type="cellIs" dxfId="12414" priority="13273" operator="equal">
      <formula>"EL"</formula>
    </cfRule>
  </conditionalFormatting>
  <conditionalFormatting sqref="AW21:AX21">
    <cfRule type="containsText" dxfId="12413" priority="13262" operator="containsText" text="S">
      <formula>NOT(ISERROR(SEARCH("S",AW21)))</formula>
    </cfRule>
    <cfRule type="containsText" dxfId="12412" priority="13263" operator="containsText" text="P">
      <formula>NOT(ISERROR(SEARCH("P",AW21)))</formula>
    </cfRule>
    <cfRule type="containsText" dxfId="12411" priority="13264" operator="containsText" text="H">
      <formula>NOT(ISERROR(SEARCH("H",AW21)))</formula>
    </cfRule>
    <cfRule type="containsText" dxfId="12410" priority="13266" operator="containsText" text="&quot;H&quot;">
      <formula>NOT(ISERROR(SEARCH("""H""",AW21)))</formula>
    </cfRule>
    <cfRule type="containsText" dxfId="12409" priority="13267" operator="containsText" text="&quot;A&quot;">
      <formula>NOT(ISERROR(SEARCH("""A""",AW21)))</formula>
    </cfRule>
  </conditionalFormatting>
  <conditionalFormatting sqref="AW21:AX21">
    <cfRule type="containsText" dxfId="12408" priority="13265" operator="containsText" text="A-H">
      <formula>NOT(ISERROR(SEARCH("A-H",AW21)))</formula>
    </cfRule>
  </conditionalFormatting>
  <conditionalFormatting sqref="AZ21:BA21">
    <cfRule type="cellIs" dxfId="12407" priority="13256" operator="equal">
      <formula>"C-Off-H"</formula>
    </cfRule>
    <cfRule type="cellIs" dxfId="12406" priority="13257" operator="equal">
      <formula>"C-Off"</formula>
    </cfRule>
    <cfRule type="cellIs" dxfId="12405" priority="13258" operator="equal">
      <formula>"CL-H"</formula>
    </cfRule>
    <cfRule type="cellIs" dxfId="12404" priority="13259" operator="equal">
      <formula>"EL-H"</formula>
    </cfRule>
    <cfRule type="cellIs" dxfId="12403" priority="13260" operator="equal">
      <formula>"CL"</formula>
    </cfRule>
    <cfRule type="cellIs" dxfId="12402" priority="13261" operator="equal">
      <formula>"EL"</formula>
    </cfRule>
  </conditionalFormatting>
  <conditionalFormatting sqref="AZ21:BA21">
    <cfRule type="containsText" dxfId="12401" priority="13250" operator="containsText" text="S">
      <formula>NOT(ISERROR(SEARCH("S",AZ21)))</formula>
    </cfRule>
    <cfRule type="containsText" dxfId="12400" priority="13251" operator="containsText" text="P">
      <formula>NOT(ISERROR(SEARCH("P",AZ21)))</formula>
    </cfRule>
    <cfRule type="containsText" dxfId="12399" priority="13252" operator="containsText" text="H">
      <formula>NOT(ISERROR(SEARCH("H",AZ21)))</formula>
    </cfRule>
    <cfRule type="containsText" dxfId="12398" priority="13254" operator="containsText" text="&quot;H&quot;">
      <formula>NOT(ISERROR(SEARCH("""H""",AZ21)))</formula>
    </cfRule>
    <cfRule type="containsText" dxfId="12397" priority="13255" operator="containsText" text="&quot;A&quot;">
      <formula>NOT(ISERROR(SEARCH("""A""",AZ21)))</formula>
    </cfRule>
  </conditionalFormatting>
  <conditionalFormatting sqref="AZ21:BA21">
    <cfRule type="containsText" dxfId="12396" priority="13253" operator="containsText" text="A-H">
      <formula>NOT(ISERROR(SEARCH("A-H",AZ21)))</formula>
    </cfRule>
  </conditionalFormatting>
  <conditionalFormatting sqref="BC21:BD21">
    <cfRule type="cellIs" dxfId="12395" priority="13244" operator="equal">
      <formula>"C-Off-H"</formula>
    </cfRule>
    <cfRule type="cellIs" dxfId="12394" priority="13245" operator="equal">
      <formula>"C-Off"</formula>
    </cfRule>
    <cfRule type="cellIs" dxfId="12393" priority="13246" operator="equal">
      <formula>"CL-H"</formula>
    </cfRule>
    <cfRule type="cellIs" dxfId="12392" priority="13247" operator="equal">
      <formula>"EL-H"</formula>
    </cfRule>
    <cfRule type="cellIs" dxfId="12391" priority="13248" operator="equal">
      <formula>"CL"</formula>
    </cfRule>
    <cfRule type="cellIs" dxfId="12390" priority="13249" operator="equal">
      <formula>"EL"</formula>
    </cfRule>
  </conditionalFormatting>
  <conditionalFormatting sqref="BC21:BD21">
    <cfRule type="containsText" dxfId="12389" priority="13238" operator="containsText" text="S">
      <formula>NOT(ISERROR(SEARCH("S",BC21)))</formula>
    </cfRule>
    <cfRule type="containsText" dxfId="12388" priority="13239" operator="containsText" text="P">
      <formula>NOT(ISERROR(SEARCH("P",BC21)))</formula>
    </cfRule>
    <cfRule type="containsText" dxfId="12387" priority="13240" operator="containsText" text="H">
      <formula>NOT(ISERROR(SEARCH("H",BC21)))</formula>
    </cfRule>
    <cfRule type="containsText" dxfId="12386" priority="13242" operator="containsText" text="&quot;H&quot;">
      <formula>NOT(ISERROR(SEARCH("""H""",BC21)))</formula>
    </cfRule>
    <cfRule type="containsText" dxfId="12385" priority="13243" operator="containsText" text="&quot;A&quot;">
      <formula>NOT(ISERROR(SEARCH("""A""",BC21)))</formula>
    </cfRule>
  </conditionalFormatting>
  <conditionalFormatting sqref="BC21:BD21">
    <cfRule type="containsText" dxfId="12384" priority="13241" operator="containsText" text="A-H">
      <formula>NOT(ISERROR(SEARCH("A-H",BC21)))</formula>
    </cfRule>
  </conditionalFormatting>
  <conditionalFormatting sqref="BF21:BG21">
    <cfRule type="cellIs" dxfId="12383" priority="13232" operator="equal">
      <formula>"C-Off-H"</formula>
    </cfRule>
    <cfRule type="cellIs" dxfId="12382" priority="13233" operator="equal">
      <formula>"C-Off"</formula>
    </cfRule>
    <cfRule type="cellIs" dxfId="12381" priority="13234" operator="equal">
      <formula>"CL-H"</formula>
    </cfRule>
    <cfRule type="cellIs" dxfId="12380" priority="13235" operator="equal">
      <formula>"EL-H"</formula>
    </cfRule>
    <cfRule type="cellIs" dxfId="12379" priority="13236" operator="equal">
      <formula>"CL"</formula>
    </cfRule>
    <cfRule type="cellIs" dxfId="12378" priority="13237" operator="equal">
      <formula>"EL"</formula>
    </cfRule>
  </conditionalFormatting>
  <conditionalFormatting sqref="BF21:BG21">
    <cfRule type="containsText" dxfId="12377" priority="13226" operator="containsText" text="S">
      <formula>NOT(ISERROR(SEARCH("S",BF21)))</formula>
    </cfRule>
    <cfRule type="containsText" dxfId="12376" priority="13227" operator="containsText" text="P">
      <formula>NOT(ISERROR(SEARCH("P",BF21)))</formula>
    </cfRule>
    <cfRule type="containsText" dxfId="12375" priority="13228" operator="containsText" text="H">
      <formula>NOT(ISERROR(SEARCH("H",BF21)))</formula>
    </cfRule>
    <cfRule type="containsText" dxfId="12374" priority="13230" operator="containsText" text="&quot;H&quot;">
      <formula>NOT(ISERROR(SEARCH("""H""",BF21)))</formula>
    </cfRule>
    <cfRule type="containsText" dxfId="12373" priority="13231" operator="containsText" text="&quot;A&quot;">
      <formula>NOT(ISERROR(SEARCH("""A""",BF21)))</formula>
    </cfRule>
  </conditionalFormatting>
  <conditionalFormatting sqref="BF21:BG21">
    <cfRule type="containsText" dxfId="12372" priority="13229" operator="containsText" text="A-H">
      <formula>NOT(ISERROR(SEARCH("A-H",BF21)))</formula>
    </cfRule>
  </conditionalFormatting>
  <conditionalFormatting sqref="BI21:BJ21">
    <cfRule type="cellIs" dxfId="12371" priority="13220" operator="equal">
      <formula>"C-Off-H"</formula>
    </cfRule>
    <cfRule type="cellIs" dxfId="12370" priority="13221" operator="equal">
      <formula>"C-Off"</formula>
    </cfRule>
    <cfRule type="cellIs" dxfId="12369" priority="13222" operator="equal">
      <formula>"CL-H"</formula>
    </cfRule>
    <cfRule type="cellIs" dxfId="12368" priority="13223" operator="equal">
      <formula>"EL-H"</formula>
    </cfRule>
    <cfRule type="cellIs" dxfId="12367" priority="13224" operator="equal">
      <formula>"CL"</formula>
    </cfRule>
    <cfRule type="cellIs" dxfId="12366" priority="13225" operator="equal">
      <formula>"EL"</formula>
    </cfRule>
  </conditionalFormatting>
  <conditionalFormatting sqref="BI21:BJ21">
    <cfRule type="containsText" dxfId="12365" priority="13214" operator="containsText" text="S">
      <formula>NOT(ISERROR(SEARCH("S",BI21)))</formula>
    </cfRule>
    <cfRule type="containsText" dxfId="12364" priority="13215" operator="containsText" text="P">
      <formula>NOT(ISERROR(SEARCH("P",BI21)))</formula>
    </cfRule>
    <cfRule type="containsText" dxfId="12363" priority="13216" operator="containsText" text="H">
      <formula>NOT(ISERROR(SEARCH("H",BI21)))</formula>
    </cfRule>
    <cfRule type="containsText" dxfId="12362" priority="13218" operator="containsText" text="&quot;H&quot;">
      <formula>NOT(ISERROR(SEARCH("""H""",BI21)))</formula>
    </cfRule>
    <cfRule type="containsText" dxfId="12361" priority="13219" operator="containsText" text="&quot;A&quot;">
      <formula>NOT(ISERROR(SEARCH("""A""",BI21)))</formula>
    </cfRule>
  </conditionalFormatting>
  <conditionalFormatting sqref="BI21:BJ21">
    <cfRule type="containsText" dxfId="12360" priority="13217" operator="containsText" text="A-H">
      <formula>NOT(ISERROR(SEARCH("A-H",BI21)))</formula>
    </cfRule>
  </conditionalFormatting>
  <conditionalFormatting sqref="BL21:BM21">
    <cfRule type="cellIs" dxfId="12359" priority="13208" operator="equal">
      <formula>"C-Off-H"</formula>
    </cfRule>
    <cfRule type="cellIs" dxfId="12358" priority="13209" operator="equal">
      <formula>"C-Off"</formula>
    </cfRule>
    <cfRule type="cellIs" dxfId="12357" priority="13210" operator="equal">
      <formula>"CL-H"</formula>
    </cfRule>
    <cfRule type="cellIs" dxfId="12356" priority="13211" operator="equal">
      <formula>"EL-H"</formula>
    </cfRule>
    <cfRule type="cellIs" dxfId="12355" priority="13212" operator="equal">
      <formula>"CL"</formula>
    </cfRule>
    <cfRule type="cellIs" dxfId="12354" priority="13213" operator="equal">
      <formula>"EL"</formula>
    </cfRule>
  </conditionalFormatting>
  <conditionalFormatting sqref="BL21:BM21">
    <cfRule type="containsText" dxfId="12353" priority="13202" operator="containsText" text="S">
      <formula>NOT(ISERROR(SEARCH("S",BL21)))</formula>
    </cfRule>
    <cfRule type="containsText" dxfId="12352" priority="13203" operator="containsText" text="P">
      <formula>NOT(ISERROR(SEARCH("P",BL21)))</formula>
    </cfRule>
    <cfRule type="containsText" dxfId="12351" priority="13204" operator="containsText" text="H">
      <formula>NOT(ISERROR(SEARCH("H",BL21)))</formula>
    </cfRule>
    <cfRule type="containsText" dxfId="12350" priority="13206" operator="containsText" text="&quot;H&quot;">
      <formula>NOT(ISERROR(SEARCH("""H""",BL21)))</formula>
    </cfRule>
    <cfRule type="containsText" dxfId="12349" priority="13207" operator="containsText" text="&quot;A&quot;">
      <formula>NOT(ISERROR(SEARCH("""A""",BL21)))</formula>
    </cfRule>
  </conditionalFormatting>
  <conditionalFormatting sqref="BL21:BM21">
    <cfRule type="containsText" dxfId="12348" priority="13205" operator="containsText" text="A-H">
      <formula>NOT(ISERROR(SEARCH("A-H",BL21)))</formula>
    </cfRule>
  </conditionalFormatting>
  <conditionalFormatting sqref="BR21:BS21">
    <cfRule type="cellIs" dxfId="12347" priority="13196" operator="equal">
      <formula>"C-Off-H"</formula>
    </cfRule>
    <cfRule type="cellIs" dxfId="12346" priority="13197" operator="equal">
      <formula>"C-Off"</formula>
    </cfRule>
    <cfRule type="cellIs" dxfId="12345" priority="13198" operator="equal">
      <formula>"CL-H"</formula>
    </cfRule>
    <cfRule type="cellIs" dxfId="12344" priority="13199" operator="equal">
      <formula>"EL-H"</formula>
    </cfRule>
    <cfRule type="cellIs" dxfId="12343" priority="13200" operator="equal">
      <formula>"CL"</formula>
    </cfRule>
    <cfRule type="cellIs" dxfId="12342" priority="13201" operator="equal">
      <formula>"EL"</formula>
    </cfRule>
  </conditionalFormatting>
  <conditionalFormatting sqref="BR21:BS21">
    <cfRule type="containsText" dxfId="12341" priority="13190" operator="containsText" text="S">
      <formula>NOT(ISERROR(SEARCH("S",BR21)))</formula>
    </cfRule>
    <cfRule type="containsText" dxfId="12340" priority="13191" operator="containsText" text="P">
      <formula>NOT(ISERROR(SEARCH("P",BR21)))</formula>
    </cfRule>
    <cfRule type="containsText" dxfId="12339" priority="13192" operator="containsText" text="H">
      <formula>NOT(ISERROR(SEARCH("H",BR21)))</formula>
    </cfRule>
    <cfRule type="containsText" dxfId="12338" priority="13194" operator="containsText" text="&quot;H&quot;">
      <formula>NOT(ISERROR(SEARCH("""H""",BR21)))</formula>
    </cfRule>
    <cfRule type="containsText" dxfId="12337" priority="13195" operator="containsText" text="&quot;A&quot;">
      <formula>NOT(ISERROR(SEARCH("""A""",BR21)))</formula>
    </cfRule>
  </conditionalFormatting>
  <conditionalFormatting sqref="BR21:BS21">
    <cfRule type="containsText" dxfId="12336" priority="13193" operator="containsText" text="A-H">
      <formula>NOT(ISERROR(SEARCH("A-H",BR21)))</formula>
    </cfRule>
  </conditionalFormatting>
  <conditionalFormatting sqref="BU21:BV21">
    <cfRule type="cellIs" dxfId="12335" priority="13184" operator="equal">
      <formula>"C-Off-H"</formula>
    </cfRule>
    <cfRule type="cellIs" dxfId="12334" priority="13185" operator="equal">
      <formula>"C-Off"</formula>
    </cfRule>
    <cfRule type="cellIs" dxfId="12333" priority="13186" operator="equal">
      <formula>"CL-H"</formula>
    </cfRule>
    <cfRule type="cellIs" dxfId="12332" priority="13187" operator="equal">
      <formula>"EL-H"</formula>
    </cfRule>
    <cfRule type="cellIs" dxfId="12331" priority="13188" operator="equal">
      <formula>"CL"</formula>
    </cfRule>
    <cfRule type="cellIs" dxfId="12330" priority="13189" operator="equal">
      <formula>"EL"</formula>
    </cfRule>
  </conditionalFormatting>
  <conditionalFormatting sqref="BU21:BV21">
    <cfRule type="containsText" dxfId="12329" priority="13178" operator="containsText" text="S">
      <formula>NOT(ISERROR(SEARCH("S",BU21)))</formula>
    </cfRule>
    <cfRule type="containsText" dxfId="12328" priority="13179" operator="containsText" text="P">
      <formula>NOT(ISERROR(SEARCH("P",BU21)))</formula>
    </cfRule>
    <cfRule type="containsText" dxfId="12327" priority="13180" operator="containsText" text="H">
      <formula>NOT(ISERROR(SEARCH("H",BU21)))</formula>
    </cfRule>
    <cfRule type="containsText" dxfId="12326" priority="13182" operator="containsText" text="&quot;H&quot;">
      <formula>NOT(ISERROR(SEARCH("""H""",BU21)))</formula>
    </cfRule>
    <cfRule type="containsText" dxfId="12325" priority="13183" operator="containsText" text="&quot;A&quot;">
      <formula>NOT(ISERROR(SEARCH("""A""",BU21)))</formula>
    </cfRule>
  </conditionalFormatting>
  <conditionalFormatting sqref="BU21:BV21">
    <cfRule type="containsText" dxfId="12324" priority="13181" operator="containsText" text="A-H">
      <formula>NOT(ISERROR(SEARCH("A-H",BU21)))</formula>
    </cfRule>
  </conditionalFormatting>
  <conditionalFormatting sqref="BY21">
    <cfRule type="cellIs" dxfId="12323" priority="13172" operator="equal">
      <formula>"C-Off-H"</formula>
    </cfRule>
    <cfRule type="cellIs" dxfId="12322" priority="13173" operator="equal">
      <formula>"C-Off"</formula>
    </cfRule>
    <cfRule type="cellIs" dxfId="12321" priority="13174" operator="equal">
      <formula>"CL-H"</formula>
    </cfRule>
    <cfRule type="cellIs" dxfId="12320" priority="13175" operator="equal">
      <formula>"EL-H"</formula>
    </cfRule>
    <cfRule type="cellIs" dxfId="12319" priority="13176" operator="equal">
      <formula>"CL"</formula>
    </cfRule>
    <cfRule type="cellIs" dxfId="12318" priority="13177" operator="equal">
      <formula>"EL"</formula>
    </cfRule>
  </conditionalFormatting>
  <conditionalFormatting sqref="BY21">
    <cfRule type="containsText" dxfId="12317" priority="13166" operator="containsText" text="S">
      <formula>NOT(ISERROR(SEARCH("S",BY21)))</formula>
    </cfRule>
    <cfRule type="containsText" dxfId="12316" priority="13167" operator="containsText" text="P">
      <formula>NOT(ISERROR(SEARCH("P",BY21)))</formula>
    </cfRule>
    <cfRule type="containsText" dxfId="12315" priority="13168" operator="containsText" text="H">
      <formula>NOT(ISERROR(SEARCH("H",BY21)))</formula>
    </cfRule>
    <cfRule type="containsText" dxfId="12314" priority="13170" operator="containsText" text="&quot;H&quot;">
      <formula>NOT(ISERROR(SEARCH("""H""",BY21)))</formula>
    </cfRule>
    <cfRule type="containsText" dxfId="12313" priority="13171" operator="containsText" text="&quot;A&quot;">
      <formula>NOT(ISERROR(SEARCH("""A""",BY21)))</formula>
    </cfRule>
  </conditionalFormatting>
  <conditionalFormatting sqref="BY21">
    <cfRule type="containsText" dxfId="12312" priority="13169" operator="containsText" text="A-H">
      <formula>NOT(ISERROR(SEARCH("A-H",BY21)))</formula>
    </cfRule>
  </conditionalFormatting>
  <conditionalFormatting sqref="BX21">
    <cfRule type="cellIs" dxfId="12311" priority="13160" operator="equal">
      <formula>"C-Off-H"</formula>
    </cfRule>
    <cfRule type="cellIs" dxfId="12310" priority="13161" operator="equal">
      <formula>"C-Off"</formula>
    </cfRule>
    <cfRule type="cellIs" dxfId="12309" priority="13162" operator="equal">
      <formula>"CL-H"</formula>
    </cfRule>
    <cfRule type="cellIs" dxfId="12308" priority="13163" operator="equal">
      <formula>"EL-H"</formula>
    </cfRule>
    <cfRule type="cellIs" dxfId="12307" priority="13164" operator="equal">
      <formula>"CL"</formula>
    </cfRule>
    <cfRule type="cellIs" dxfId="12306" priority="13165" operator="equal">
      <formula>"EL"</formula>
    </cfRule>
  </conditionalFormatting>
  <conditionalFormatting sqref="BX21">
    <cfRule type="containsText" dxfId="12305" priority="13154" operator="containsText" text="S">
      <formula>NOT(ISERROR(SEARCH("S",BX21)))</formula>
    </cfRule>
    <cfRule type="containsText" dxfId="12304" priority="13155" operator="containsText" text="P">
      <formula>NOT(ISERROR(SEARCH("P",BX21)))</formula>
    </cfRule>
    <cfRule type="containsText" dxfId="12303" priority="13156" operator="containsText" text="H">
      <formula>NOT(ISERROR(SEARCH("H",BX21)))</formula>
    </cfRule>
    <cfRule type="containsText" dxfId="12302" priority="13158" operator="containsText" text="&quot;H&quot;">
      <formula>NOT(ISERROR(SEARCH("""H""",BX21)))</formula>
    </cfRule>
    <cfRule type="containsText" dxfId="12301" priority="13159" operator="containsText" text="&quot;A&quot;">
      <formula>NOT(ISERROR(SEARCH("""A""",BX21)))</formula>
    </cfRule>
  </conditionalFormatting>
  <conditionalFormatting sqref="BX21">
    <cfRule type="containsText" dxfId="12300" priority="13157" operator="containsText" text="A-H">
      <formula>NOT(ISERROR(SEARCH("A-H",BX21)))</formula>
    </cfRule>
  </conditionalFormatting>
  <conditionalFormatting sqref="J21:K21">
    <cfRule type="cellIs" dxfId="12299" priority="13148" operator="equal">
      <formula>"C-Off-H"</formula>
    </cfRule>
    <cfRule type="cellIs" dxfId="12298" priority="13149" operator="equal">
      <formula>"C-Off"</formula>
    </cfRule>
    <cfRule type="cellIs" dxfId="12297" priority="13150" operator="equal">
      <formula>"CL-H"</formula>
    </cfRule>
    <cfRule type="cellIs" dxfId="12296" priority="13151" operator="equal">
      <formula>"EL-H"</formula>
    </cfRule>
    <cfRule type="cellIs" dxfId="12295" priority="13152" operator="equal">
      <formula>"CL"</formula>
    </cfRule>
    <cfRule type="cellIs" dxfId="12294" priority="13153" operator="equal">
      <formula>"EL"</formula>
    </cfRule>
  </conditionalFormatting>
  <conditionalFormatting sqref="J21:K21">
    <cfRule type="containsText" dxfId="12293" priority="13142" operator="containsText" text="S">
      <formula>NOT(ISERROR(SEARCH("S",J21)))</formula>
    </cfRule>
    <cfRule type="containsText" dxfId="12292" priority="13143" operator="containsText" text="P">
      <formula>NOT(ISERROR(SEARCH("P",J21)))</formula>
    </cfRule>
    <cfRule type="containsText" dxfId="12291" priority="13144" operator="containsText" text="H">
      <formula>NOT(ISERROR(SEARCH("H",J21)))</formula>
    </cfRule>
    <cfRule type="containsText" dxfId="12290" priority="13146" operator="containsText" text="&quot;H&quot;">
      <formula>NOT(ISERROR(SEARCH("""H""",J21)))</formula>
    </cfRule>
    <cfRule type="containsText" dxfId="12289" priority="13147" operator="containsText" text="&quot;A&quot;">
      <formula>NOT(ISERROR(SEARCH("""A""",J21)))</formula>
    </cfRule>
  </conditionalFormatting>
  <conditionalFormatting sqref="J21:K21">
    <cfRule type="containsText" dxfId="12288" priority="13145" operator="containsText" text="A-H">
      <formula>NOT(ISERROR(SEARCH("A-H",J21)))</formula>
    </cfRule>
  </conditionalFormatting>
  <conditionalFormatting sqref="DC22 M22:N22 CQ22:CW22">
    <cfRule type="cellIs" dxfId="12287" priority="13136" operator="equal">
      <formula>"C-Off-H"</formula>
    </cfRule>
    <cfRule type="cellIs" dxfId="12286" priority="13137" operator="equal">
      <formula>"C-Off"</formula>
    </cfRule>
    <cfRule type="cellIs" dxfId="12285" priority="13138" operator="equal">
      <formula>"CL-H"</formula>
    </cfRule>
    <cfRule type="cellIs" dxfId="12284" priority="13139" operator="equal">
      <formula>"EL-H"</formula>
    </cfRule>
    <cfRule type="cellIs" dxfId="12283" priority="13140" operator="equal">
      <formula>"CL"</formula>
    </cfRule>
    <cfRule type="cellIs" dxfId="12282" priority="13141" operator="equal">
      <formula>"EL"</formula>
    </cfRule>
  </conditionalFormatting>
  <conditionalFormatting sqref="M22:N22 CQ22:CW22 CY22:DA22 DC22">
    <cfRule type="containsText" dxfId="12281" priority="13135" operator="containsText" text="A-H">
      <formula>NOT(ISERROR(SEARCH("A-H",M22)))</formula>
    </cfRule>
  </conditionalFormatting>
  <conditionalFormatting sqref="CQ22:CW22 CY22:DA22 DC22">
    <cfRule type="containsText" dxfId="12280" priority="13134" operator="containsText" text="A">
      <formula>NOT(ISERROR(SEARCH("A",CQ22)))</formula>
    </cfRule>
  </conditionalFormatting>
  <conditionalFormatting sqref="CY22 DA22">
    <cfRule type="cellIs" dxfId="12279" priority="13128" stopIfTrue="1" operator="equal">
      <formula>"C-Off-H"</formula>
    </cfRule>
    <cfRule type="cellIs" dxfId="12278" priority="13129" stopIfTrue="1" operator="equal">
      <formula>"C-Off"</formula>
    </cfRule>
    <cfRule type="cellIs" dxfId="12277" priority="13130" stopIfTrue="1" operator="equal">
      <formula>"CL-H"</formula>
    </cfRule>
    <cfRule type="cellIs" dxfId="12276" priority="13131" stopIfTrue="1" operator="equal">
      <formula>"EL-H"</formula>
    </cfRule>
    <cfRule type="cellIs" dxfId="12275" priority="13132" stopIfTrue="1" operator="equal">
      <formula>"CL"</formula>
    </cfRule>
    <cfRule type="cellIs" dxfId="12274" priority="13133" stopIfTrue="1" operator="equal">
      <formula>"EL"</formula>
    </cfRule>
  </conditionalFormatting>
  <conditionalFormatting sqref="CZ22">
    <cfRule type="cellIs" dxfId="12273" priority="13122" stopIfTrue="1" operator="equal">
      <formula>"C-Off-H"</formula>
    </cfRule>
    <cfRule type="cellIs" dxfId="12272" priority="13123" stopIfTrue="1" operator="equal">
      <formula>"C-Off"</formula>
    </cfRule>
    <cfRule type="cellIs" dxfId="12271" priority="13124" stopIfTrue="1" operator="equal">
      <formula>"CL-H"</formula>
    </cfRule>
    <cfRule type="cellIs" dxfId="12270" priority="13125" stopIfTrue="1" operator="equal">
      <formula>"EL-H"</formula>
    </cfRule>
    <cfRule type="cellIs" dxfId="12269" priority="13126" stopIfTrue="1" operator="equal">
      <formula>"CL"</formula>
    </cfRule>
    <cfRule type="cellIs" dxfId="12268" priority="13127" stopIfTrue="1" operator="equal">
      <formula>"EL"</formula>
    </cfRule>
  </conditionalFormatting>
  <conditionalFormatting sqref="M22:N22">
    <cfRule type="containsText" dxfId="12267" priority="13117" operator="containsText" text="S">
      <formula>NOT(ISERROR(SEARCH("S",M22)))</formula>
    </cfRule>
    <cfRule type="containsText" dxfId="12266" priority="13118" operator="containsText" text="P">
      <formula>NOT(ISERROR(SEARCH("P",M22)))</formula>
    </cfRule>
    <cfRule type="containsText" dxfId="12265" priority="13119" operator="containsText" text="H">
      <formula>NOT(ISERROR(SEARCH("H",M22)))</formula>
    </cfRule>
    <cfRule type="containsText" dxfId="12264" priority="13120" operator="containsText" text="&quot;H&quot;">
      <formula>NOT(ISERROR(SEARCH("""H""",M22)))</formula>
    </cfRule>
    <cfRule type="containsText" dxfId="12263" priority="13121" operator="containsText" text="&quot;A&quot;">
      <formula>NOT(ISERROR(SEARCH("""A""",M22)))</formula>
    </cfRule>
  </conditionalFormatting>
  <conditionalFormatting sqref="DD22">
    <cfRule type="cellIs" dxfId="12262" priority="13111" operator="equal">
      <formula>"C-Off-H"</formula>
    </cfRule>
    <cfRule type="cellIs" dxfId="12261" priority="13112" operator="equal">
      <formula>"C-Off"</formula>
    </cfRule>
    <cfRule type="cellIs" dxfId="12260" priority="13113" operator="equal">
      <formula>"CL-H"</formula>
    </cfRule>
    <cfRule type="cellIs" dxfId="12259" priority="13114" operator="equal">
      <formula>"EL-H"</formula>
    </cfRule>
    <cfRule type="cellIs" dxfId="12258" priority="13115" operator="equal">
      <formula>"CL"</formula>
    </cfRule>
    <cfRule type="cellIs" dxfId="12257" priority="13116" operator="equal">
      <formula>"EL"</formula>
    </cfRule>
  </conditionalFormatting>
  <conditionalFormatting sqref="DD22">
    <cfRule type="containsText" dxfId="12256" priority="13110" operator="containsText" text="A">
      <formula>NOT(ISERROR(SEARCH("A",DD22)))</formula>
    </cfRule>
  </conditionalFormatting>
  <conditionalFormatting sqref="DD22">
    <cfRule type="containsText" dxfId="12255" priority="13109" operator="containsText" text="A-H">
      <formula>NOT(ISERROR(SEARCH("A-H",DD22)))</formula>
    </cfRule>
  </conditionalFormatting>
  <conditionalFormatting sqref="AI22">
    <cfRule type="cellIs" dxfId="12254" priority="13103" operator="equal">
      <formula>"C-Off-H"</formula>
    </cfRule>
    <cfRule type="cellIs" dxfId="12253" priority="13104" operator="equal">
      <formula>"C-Off"</formula>
    </cfRule>
    <cfRule type="cellIs" dxfId="12252" priority="13105" operator="equal">
      <formula>"CL-H"</formula>
    </cfRule>
    <cfRule type="cellIs" dxfId="12251" priority="13106" operator="equal">
      <formula>"EL-H"</formula>
    </cfRule>
    <cfRule type="cellIs" dxfId="12250" priority="13107" operator="equal">
      <formula>"CL"</formula>
    </cfRule>
    <cfRule type="cellIs" dxfId="12249" priority="13108" operator="equal">
      <formula>"EL"</formula>
    </cfRule>
  </conditionalFormatting>
  <conditionalFormatting sqref="AH22:AI22">
    <cfRule type="cellIs" dxfId="12248" priority="13097" operator="equal">
      <formula>"C-Off-H"</formula>
    </cfRule>
    <cfRule type="cellIs" dxfId="12247" priority="13098" operator="equal">
      <formula>"C-Off"</formula>
    </cfRule>
    <cfRule type="cellIs" dxfId="12246" priority="13099" operator="equal">
      <formula>"CL-H"</formula>
    </cfRule>
    <cfRule type="cellIs" dxfId="12245" priority="13100" operator="equal">
      <formula>"EL-H"</formula>
    </cfRule>
    <cfRule type="cellIs" dxfId="12244" priority="13101" operator="equal">
      <formula>"CL"</formula>
    </cfRule>
    <cfRule type="cellIs" dxfId="12243" priority="13102" operator="equal">
      <formula>"EL"</formula>
    </cfRule>
  </conditionalFormatting>
  <conditionalFormatting sqref="AH22:AI22">
    <cfRule type="containsText" dxfId="12242" priority="13091" operator="containsText" text="S">
      <formula>NOT(ISERROR(SEARCH("S",AH22)))</formula>
    </cfRule>
    <cfRule type="containsText" dxfId="12241" priority="13092" operator="containsText" text="P">
      <formula>NOT(ISERROR(SEARCH("P",AH22)))</formula>
    </cfRule>
    <cfRule type="containsText" dxfId="12240" priority="13093" operator="containsText" text="H">
      <formula>NOT(ISERROR(SEARCH("H",AH22)))</formula>
    </cfRule>
    <cfRule type="containsText" dxfId="12239" priority="13095" operator="containsText" text="&quot;H&quot;">
      <formula>NOT(ISERROR(SEARCH("""H""",AH22)))</formula>
    </cfRule>
    <cfRule type="containsText" dxfId="12238" priority="13096" operator="containsText" text="&quot;A&quot;">
      <formula>NOT(ISERROR(SEARCH("""A""",AH22)))</formula>
    </cfRule>
  </conditionalFormatting>
  <conditionalFormatting sqref="AH22:AI22">
    <cfRule type="containsText" dxfId="12237" priority="13094" operator="containsText" text="A-H">
      <formula>NOT(ISERROR(SEARCH("A-H",AH22)))</formula>
    </cfRule>
  </conditionalFormatting>
  <conditionalFormatting sqref="AU22">
    <cfRule type="cellIs" dxfId="12236" priority="13085" operator="equal">
      <formula>"C-Off-H"</formula>
    </cfRule>
    <cfRule type="cellIs" dxfId="12235" priority="13086" operator="equal">
      <formula>"C-Off"</formula>
    </cfRule>
    <cfRule type="cellIs" dxfId="12234" priority="13087" operator="equal">
      <formula>"CL-H"</formula>
    </cfRule>
    <cfRule type="cellIs" dxfId="12233" priority="13088" operator="equal">
      <formula>"EL-H"</formula>
    </cfRule>
    <cfRule type="cellIs" dxfId="12232" priority="13089" operator="equal">
      <formula>"CL"</formula>
    </cfRule>
    <cfRule type="cellIs" dxfId="12231" priority="13090" operator="equal">
      <formula>"EL"</formula>
    </cfRule>
  </conditionalFormatting>
  <conditionalFormatting sqref="AT22:AU22">
    <cfRule type="cellIs" dxfId="12230" priority="13079" operator="equal">
      <formula>"C-Off-H"</formula>
    </cfRule>
    <cfRule type="cellIs" dxfId="12229" priority="13080" operator="equal">
      <formula>"C-Off"</formula>
    </cfRule>
    <cfRule type="cellIs" dxfId="12228" priority="13081" operator="equal">
      <formula>"CL-H"</formula>
    </cfRule>
    <cfRule type="cellIs" dxfId="12227" priority="13082" operator="equal">
      <formula>"EL-H"</formula>
    </cfRule>
    <cfRule type="cellIs" dxfId="12226" priority="13083" operator="equal">
      <formula>"CL"</formula>
    </cfRule>
    <cfRule type="cellIs" dxfId="12225" priority="13084" operator="equal">
      <formula>"EL"</formula>
    </cfRule>
  </conditionalFormatting>
  <conditionalFormatting sqref="AT22:AU22">
    <cfRule type="containsText" dxfId="12224" priority="13073" operator="containsText" text="S">
      <formula>NOT(ISERROR(SEARCH("S",AT22)))</formula>
    </cfRule>
    <cfRule type="containsText" dxfId="12223" priority="13074" operator="containsText" text="P">
      <formula>NOT(ISERROR(SEARCH("P",AT22)))</formula>
    </cfRule>
    <cfRule type="containsText" dxfId="12222" priority="13075" operator="containsText" text="H">
      <formula>NOT(ISERROR(SEARCH("H",AT22)))</formula>
    </cfRule>
    <cfRule type="containsText" dxfId="12221" priority="13077" operator="containsText" text="&quot;H&quot;">
      <formula>NOT(ISERROR(SEARCH("""H""",AT22)))</formula>
    </cfRule>
    <cfRule type="containsText" dxfId="12220" priority="13078" operator="containsText" text="&quot;A&quot;">
      <formula>NOT(ISERROR(SEARCH("""A""",AT22)))</formula>
    </cfRule>
  </conditionalFormatting>
  <conditionalFormatting sqref="AT22:AU22">
    <cfRule type="containsText" dxfId="12219" priority="13076" operator="containsText" text="A-H">
      <formula>NOT(ISERROR(SEARCH("A-H",AT22)))</formula>
    </cfRule>
  </conditionalFormatting>
  <conditionalFormatting sqref="E22">
    <cfRule type="cellIs" dxfId="12218" priority="13067" operator="equal">
      <formula>"C-Off-H"</formula>
    </cfRule>
    <cfRule type="cellIs" dxfId="12217" priority="13068" operator="equal">
      <formula>"C-Off"</formula>
    </cfRule>
    <cfRule type="cellIs" dxfId="12216" priority="13069" operator="equal">
      <formula>"CL-H"</formula>
    </cfRule>
    <cfRule type="cellIs" dxfId="12215" priority="13070" operator="equal">
      <formula>"EL-H"</formula>
    </cfRule>
    <cfRule type="cellIs" dxfId="12214" priority="13071" operator="equal">
      <formula>"CL"</formula>
    </cfRule>
    <cfRule type="cellIs" dxfId="12213" priority="13072" operator="equal">
      <formula>"EL"</formula>
    </cfRule>
  </conditionalFormatting>
  <conditionalFormatting sqref="D22:E22">
    <cfRule type="cellIs" dxfId="12212" priority="13061" operator="equal">
      <formula>"C-Off-H"</formula>
    </cfRule>
    <cfRule type="cellIs" dxfId="12211" priority="13062" operator="equal">
      <formula>"C-Off"</formula>
    </cfRule>
    <cfRule type="cellIs" dxfId="12210" priority="13063" operator="equal">
      <formula>"CL-H"</formula>
    </cfRule>
    <cfRule type="cellIs" dxfId="12209" priority="13064" operator="equal">
      <formula>"EL-H"</formula>
    </cfRule>
    <cfRule type="cellIs" dxfId="12208" priority="13065" operator="equal">
      <formula>"CL"</formula>
    </cfRule>
    <cfRule type="cellIs" dxfId="12207" priority="13066" operator="equal">
      <formula>"EL"</formula>
    </cfRule>
  </conditionalFormatting>
  <conditionalFormatting sqref="D22:E22">
    <cfRule type="containsText" dxfId="12206" priority="13055" operator="containsText" text="S">
      <formula>NOT(ISERROR(SEARCH("S",D22)))</formula>
    </cfRule>
    <cfRule type="containsText" dxfId="12205" priority="13056" operator="containsText" text="P">
      <formula>NOT(ISERROR(SEARCH("P",D22)))</formula>
    </cfRule>
    <cfRule type="containsText" dxfId="12204" priority="13057" operator="containsText" text="H">
      <formula>NOT(ISERROR(SEARCH("H",D22)))</formula>
    </cfRule>
    <cfRule type="containsText" dxfId="12203" priority="13059" operator="containsText" text="&quot;H&quot;">
      <formula>NOT(ISERROR(SEARCH("""H""",D22)))</formula>
    </cfRule>
    <cfRule type="containsText" dxfId="12202" priority="13060" operator="containsText" text="&quot;A&quot;">
      <formula>NOT(ISERROR(SEARCH("""A""",D22)))</formula>
    </cfRule>
  </conditionalFormatting>
  <conditionalFormatting sqref="D22:E22">
    <cfRule type="containsText" dxfId="12201" priority="13058" operator="containsText" text="A-H">
      <formula>NOT(ISERROR(SEARCH("A-H",D22)))</formula>
    </cfRule>
  </conditionalFormatting>
  <conditionalFormatting sqref="Y22">
    <cfRule type="cellIs" dxfId="12200" priority="13049" operator="equal">
      <formula>"C-Off-H"</formula>
    </cfRule>
    <cfRule type="cellIs" dxfId="12199" priority="13050" operator="equal">
      <formula>"C-Off"</formula>
    </cfRule>
    <cfRule type="cellIs" dxfId="12198" priority="13051" operator="equal">
      <formula>"CL-H"</formula>
    </cfRule>
    <cfRule type="cellIs" dxfId="12197" priority="13052" operator="equal">
      <formula>"EL-H"</formula>
    </cfRule>
    <cfRule type="cellIs" dxfId="12196" priority="13053" operator="equal">
      <formula>"CL"</formula>
    </cfRule>
    <cfRule type="cellIs" dxfId="12195" priority="13054" operator="equal">
      <formula>"EL"</formula>
    </cfRule>
  </conditionalFormatting>
  <conditionalFormatting sqref="Y22">
    <cfRule type="containsText" dxfId="12194" priority="13043" operator="containsText" text="S">
      <formula>NOT(ISERROR(SEARCH("S",Y22)))</formula>
    </cfRule>
    <cfRule type="containsText" dxfId="12193" priority="13044" operator="containsText" text="P">
      <formula>NOT(ISERROR(SEARCH("P",Y22)))</formula>
    </cfRule>
    <cfRule type="containsText" dxfId="12192" priority="13045" operator="containsText" text="H">
      <formula>NOT(ISERROR(SEARCH("H",Y22)))</formula>
    </cfRule>
    <cfRule type="containsText" dxfId="12191" priority="13047" operator="containsText" text="&quot;H&quot;">
      <formula>NOT(ISERROR(SEARCH("""H""",Y22)))</formula>
    </cfRule>
    <cfRule type="containsText" dxfId="12190" priority="13048" operator="containsText" text="&quot;A&quot;">
      <formula>NOT(ISERROR(SEARCH("""A""",Y22)))</formula>
    </cfRule>
  </conditionalFormatting>
  <conditionalFormatting sqref="Y22">
    <cfRule type="containsText" dxfId="12189" priority="13046" operator="containsText" text="A-H">
      <formula>NOT(ISERROR(SEARCH("A-H",Y22)))</formula>
    </cfRule>
  </conditionalFormatting>
  <conditionalFormatting sqref="AF22">
    <cfRule type="cellIs" dxfId="12188" priority="13037" operator="equal">
      <formula>"C-Off-H"</formula>
    </cfRule>
    <cfRule type="cellIs" dxfId="12187" priority="13038" operator="equal">
      <formula>"C-Off"</formula>
    </cfRule>
    <cfRule type="cellIs" dxfId="12186" priority="13039" operator="equal">
      <formula>"CL-H"</formula>
    </cfRule>
    <cfRule type="cellIs" dxfId="12185" priority="13040" operator="equal">
      <formula>"EL-H"</formula>
    </cfRule>
    <cfRule type="cellIs" dxfId="12184" priority="13041" operator="equal">
      <formula>"CL"</formula>
    </cfRule>
    <cfRule type="cellIs" dxfId="12183" priority="13042" operator="equal">
      <formula>"EL"</formula>
    </cfRule>
  </conditionalFormatting>
  <conditionalFormatting sqref="AF22">
    <cfRule type="containsText" dxfId="12182" priority="13031" operator="containsText" text="S">
      <formula>NOT(ISERROR(SEARCH("S",AF22)))</formula>
    </cfRule>
    <cfRule type="containsText" dxfId="12181" priority="13032" operator="containsText" text="P">
      <formula>NOT(ISERROR(SEARCH("P",AF22)))</formula>
    </cfRule>
    <cfRule type="containsText" dxfId="12180" priority="13033" operator="containsText" text="H">
      <formula>NOT(ISERROR(SEARCH("H",AF22)))</formula>
    </cfRule>
    <cfRule type="containsText" dxfId="12179" priority="13035" operator="containsText" text="&quot;H&quot;">
      <formula>NOT(ISERROR(SEARCH("""H""",AF22)))</formula>
    </cfRule>
    <cfRule type="containsText" dxfId="12178" priority="13036" operator="containsText" text="&quot;A&quot;">
      <formula>NOT(ISERROR(SEARCH("""A""",AF22)))</formula>
    </cfRule>
  </conditionalFormatting>
  <conditionalFormatting sqref="AF22">
    <cfRule type="containsText" dxfId="12177" priority="13034" operator="containsText" text="A-H">
      <formula>NOT(ISERROR(SEARCH("A-H",AF22)))</formula>
    </cfRule>
  </conditionalFormatting>
  <conditionalFormatting sqref="BO22:BP22">
    <cfRule type="cellIs" dxfId="12176" priority="13025" operator="equal">
      <formula>"C-Off-H"</formula>
    </cfRule>
    <cfRule type="cellIs" dxfId="12175" priority="13026" operator="equal">
      <formula>"C-Off"</formula>
    </cfRule>
    <cfRule type="cellIs" dxfId="12174" priority="13027" operator="equal">
      <formula>"CL-H"</formula>
    </cfRule>
    <cfRule type="cellIs" dxfId="12173" priority="13028" operator="equal">
      <formula>"EL-H"</formula>
    </cfRule>
    <cfRule type="cellIs" dxfId="12172" priority="13029" operator="equal">
      <formula>"CL"</formula>
    </cfRule>
    <cfRule type="cellIs" dxfId="12171" priority="13030" operator="equal">
      <formula>"EL"</formula>
    </cfRule>
  </conditionalFormatting>
  <conditionalFormatting sqref="BO22:BP22">
    <cfRule type="cellIs" dxfId="12170" priority="13019" operator="equal">
      <formula>"C-Off-H"</formula>
    </cfRule>
    <cfRule type="cellIs" dxfId="12169" priority="13020" operator="equal">
      <formula>"C-Off"</formula>
    </cfRule>
    <cfRule type="cellIs" dxfId="12168" priority="13021" operator="equal">
      <formula>"CL-H"</formula>
    </cfRule>
    <cfRule type="cellIs" dxfId="12167" priority="13022" operator="equal">
      <formula>"EL-H"</formula>
    </cfRule>
    <cfRule type="cellIs" dxfId="12166" priority="13023" operator="equal">
      <formula>"CL"</formula>
    </cfRule>
    <cfRule type="cellIs" dxfId="12165" priority="13024" operator="equal">
      <formula>"EL"</formula>
    </cfRule>
  </conditionalFormatting>
  <conditionalFormatting sqref="BO22:BP22">
    <cfRule type="containsText" dxfId="12164" priority="13013" operator="containsText" text="S">
      <formula>NOT(ISERROR(SEARCH("S",BO22)))</formula>
    </cfRule>
    <cfRule type="containsText" dxfId="12163" priority="13014" operator="containsText" text="P">
      <formula>NOT(ISERROR(SEARCH("P",BO22)))</formula>
    </cfRule>
    <cfRule type="containsText" dxfId="12162" priority="13015" operator="containsText" text="H">
      <formula>NOT(ISERROR(SEARCH("H",BO22)))</formula>
    </cfRule>
    <cfRule type="containsText" dxfId="12161" priority="13017" operator="containsText" text="&quot;H&quot;">
      <formula>NOT(ISERROR(SEARCH("""H""",BO22)))</formula>
    </cfRule>
    <cfRule type="containsText" dxfId="12160" priority="13018" operator="containsText" text="&quot;A&quot;">
      <formula>NOT(ISERROR(SEARCH("""A""",BO22)))</formula>
    </cfRule>
  </conditionalFormatting>
  <conditionalFormatting sqref="BO22:BP22">
    <cfRule type="containsText" dxfId="12159" priority="13016" operator="containsText" text="A-H">
      <formula>NOT(ISERROR(SEARCH("A-H",BO22)))</formula>
    </cfRule>
  </conditionalFormatting>
  <conditionalFormatting sqref="CM22">
    <cfRule type="cellIs" dxfId="12158" priority="13007" operator="equal">
      <formula>"C-Off-H"</formula>
    </cfRule>
    <cfRule type="cellIs" dxfId="12157" priority="13008" operator="equal">
      <formula>"C-Off"</formula>
    </cfRule>
    <cfRule type="cellIs" dxfId="12156" priority="13009" operator="equal">
      <formula>"CL-H"</formula>
    </cfRule>
    <cfRule type="cellIs" dxfId="12155" priority="13010" operator="equal">
      <formula>"EL-H"</formula>
    </cfRule>
    <cfRule type="cellIs" dxfId="12154" priority="13011" operator="equal">
      <formula>"CL"</formula>
    </cfRule>
    <cfRule type="cellIs" dxfId="12153" priority="13012" operator="equal">
      <formula>"EL"</formula>
    </cfRule>
  </conditionalFormatting>
  <conditionalFormatting sqref="CM22">
    <cfRule type="cellIs" dxfId="12152" priority="13001" operator="equal">
      <formula>"C-Off-H"</formula>
    </cfRule>
    <cfRule type="cellIs" dxfId="12151" priority="13002" operator="equal">
      <formula>"C-Off"</formula>
    </cfRule>
    <cfRule type="cellIs" dxfId="12150" priority="13003" operator="equal">
      <formula>"CL-H"</formula>
    </cfRule>
    <cfRule type="cellIs" dxfId="12149" priority="13004" operator="equal">
      <formula>"EL-H"</formula>
    </cfRule>
    <cfRule type="cellIs" dxfId="12148" priority="13005" operator="equal">
      <formula>"CL"</formula>
    </cfRule>
    <cfRule type="cellIs" dxfId="12147" priority="13006" operator="equal">
      <formula>"EL"</formula>
    </cfRule>
  </conditionalFormatting>
  <conditionalFormatting sqref="CM22">
    <cfRule type="containsText" dxfId="12146" priority="12995" operator="containsText" text="S">
      <formula>NOT(ISERROR(SEARCH("S",CM22)))</formula>
    </cfRule>
    <cfRule type="containsText" dxfId="12145" priority="12996" operator="containsText" text="P">
      <formula>NOT(ISERROR(SEARCH("P",CM22)))</formula>
    </cfRule>
    <cfRule type="containsText" dxfId="12144" priority="12997" operator="containsText" text="H">
      <formula>NOT(ISERROR(SEARCH("H",CM22)))</formula>
    </cfRule>
    <cfRule type="containsText" dxfId="12143" priority="12999" operator="containsText" text="&quot;H&quot;">
      <formula>NOT(ISERROR(SEARCH("""H""",CM22)))</formula>
    </cfRule>
    <cfRule type="containsText" dxfId="12142" priority="13000" operator="containsText" text="&quot;A&quot;">
      <formula>NOT(ISERROR(SEARCH("""A""",CM22)))</formula>
    </cfRule>
  </conditionalFormatting>
  <conditionalFormatting sqref="CM22">
    <cfRule type="containsText" dxfId="12141" priority="12998" operator="containsText" text="A-H">
      <formula>NOT(ISERROR(SEARCH("A-H",CM22)))</formula>
    </cfRule>
  </conditionalFormatting>
  <conditionalFormatting sqref="V22:W22">
    <cfRule type="cellIs" dxfId="12140" priority="12965" operator="equal">
      <formula>"C-Off-H"</formula>
    </cfRule>
    <cfRule type="cellIs" dxfId="12139" priority="12966" operator="equal">
      <formula>"C-Off"</formula>
    </cfRule>
    <cfRule type="cellIs" dxfId="12138" priority="12967" operator="equal">
      <formula>"CL-H"</formula>
    </cfRule>
    <cfRule type="cellIs" dxfId="12137" priority="12968" operator="equal">
      <formula>"EL-H"</formula>
    </cfRule>
    <cfRule type="cellIs" dxfId="12136" priority="12969" operator="equal">
      <formula>"CL"</formula>
    </cfRule>
    <cfRule type="cellIs" dxfId="12135" priority="12970" operator="equal">
      <formula>"EL"</formula>
    </cfRule>
  </conditionalFormatting>
  <conditionalFormatting sqref="V22:W22">
    <cfRule type="containsText" dxfId="12134" priority="12959" operator="containsText" text="S">
      <formula>NOT(ISERROR(SEARCH("S",V22)))</formula>
    </cfRule>
    <cfRule type="containsText" dxfId="12133" priority="12960" operator="containsText" text="P">
      <formula>NOT(ISERROR(SEARCH("P",V22)))</formula>
    </cfRule>
    <cfRule type="containsText" dxfId="12132" priority="12961" operator="containsText" text="H">
      <formula>NOT(ISERROR(SEARCH("H",V22)))</formula>
    </cfRule>
    <cfRule type="containsText" dxfId="12131" priority="12963" operator="containsText" text="&quot;H&quot;">
      <formula>NOT(ISERROR(SEARCH("""H""",V22)))</formula>
    </cfRule>
    <cfRule type="containsText" dxfId="12130" priority="12964" operator="containsText" text="&quot;A&quot;">
      <formula>NOT(ISERROR(SEARCH("""A""",V22)))</formula>
    </cfRule>
  </conditionalFormatting>
  <conditionalFormatting sqref="V22:W22">
    <cfRule type="containsText" dxfId="12129" priority="12962" operator="containsText" text="A-H">
      <formula>NOT(ISERROR(SEARCH("A-H",V22)))</formula>
    </cfRule>
  </conditionalFormatting>
  <conditionalFormatting sqref="P22:Q22">
    <cfRule type="cellIs" dxfId="12128" priority="12989" operator="equal">
      <formula>"C-Off-H"</formula>
    </cfRule>
    <cfRule type="cellIs" dxfId="12127" priority="12990" operator="equal">
      <formula>"C-Off"</formula>
    </cfRule>
    <cfRule type="cellIs" dxfId="12126" priority="12991" operator="equal">
      <formula>"CL-H"</formula>
    </cfRule>
    <cfRule type="cellIs" dxfId="12125" priority="12992" operator="equal">
      <formula>"EL-H"</formula>
    </cfRule>
    <cfRule type="cellIs" dxfId="12124" priority="12993" operator="equal">
      <formula>"CL"</formula>
    </cfRule>
    <cfRule type="cellIs" dxfId="12123" priority="12994" operator="equal">
      <formula>"EL"</formula>
    </cfRule>
  </conditionalFormatting>
  <conditionalFormatting sqref="P22:Q22">
    <cfRule type="containsText" dxfId="12122" priority="12983" operator="containsText" text="S">
      <formula>NOT(ISERROR(SEARCH("S",P22)))</formula>
    </cfRule>
    <cfRule type="containsText" dxfId="12121" priority="12984" operator="containsText" text="P">
      <formula>NOT(ISERROR(SEARCH("P",P22)))</formula>
    </cfRule>
    <cfRule type="containsText" dxfId="12120" priority="12985" operator="containsText" text="H">
      <formula>NOT(ISERROR(SEARCH("H",P22)))</formula>
    </cfRule>
    <cfRule type="containsText" dxfId="12119" priority="12987" operator="containsText" text="&quot;H&quot;">
      <formula>NOT(ISERROR(SEARCH("""H""",P22)))</formula>
    </cfRule>
    <cfRule type="containsText" dxfId="12118" priority="12988" operator="containsText" text="&quot;A&quot;">
      <formula>NOT(ISERROR(SEARCH("""A""",P22)))</formula>
    </cfRule>
  </conditionalFormatting>
  <conditionalFormatting sqref="P22:Q22">
    <cfRule type="containsText" dxfId="12117" priority="12986" operator="containsText" text="A-H">
      <formula>NOT(ISERROR(SEARCH("A-H",P22)))</formula>
    </cfRule>
  </conditionalFormatting>
  <conditionalFormatting sqref="S22:T22">
    <cfRule type="cellIs" dxfId="12116" priority="12977" operator="equal">
      <formula>"C-Off-H"</formula>
    </cfRule>
    <cfRule type="cellIs" dxfId="12115" priority="12978" operator="equal">
      <formula>"C-Off"</formula>
    </cfRule>
    <cfRule type="cellIs" dxfId="12114" priority="12979" operator="equal">
      <formula>"CL-H"</formula>
    </cfRule>
    <cfRule type="cellIs" dxfId="12113" priority="12980" operator="equal">
      <formula>"EL-H"</formula>
    </cfRule>
    <cfRule type="cellIs" dxfId="12112" priority="12981" operator="equal">
      <formula>"CL"</formula>
    </cfRule>
    <cfRule type="cellIs" dxfId="12111" priority="12982" operator="equal">
      <formula>"EL"</formula>
    </cfRule>
  </conditionalFormatting>
  <conditionalFormatting sqref="S22:T22">
    <cfRule type="containsText" dxfId="12110" priority="12971" operator="containsText" text="S">
      <formula>NOT(ISERROR(SEARCH("S",S22)))</formula>
    </cfRule>
    <cfRule type="containsText" dxfId="12109" priority="12972" operator="containsText" text="P">
      <formula>NOT(ISERROR(SEARCH("P",S22)))</formula>
    </cfRule>
    <cfRule type="containsText" dxfId="12108" priority="12973" operator="containsText" text="H">
      <formula>NOT(ISERROR(SEARCH("H",S22)))</formula>
    </cfRule>
    <cfRule type="containsText" dxfId="12107" priority="12975" operator="containsText" text="&quot;H&quot;">
      <formula>NOT(ISERROR(SEARCH("""H""",S22)))</formula>
    </cfRule>
    <cfRule type="containsText" dxfId="12106" priority="12976" operator="containsText" text="&quot;A&quot;">
      <formula>NOT(ISERROR(SEARCH("""A""",S22)))</formula>
    </cfRule>
  </conditionalFormatting>
  <conditionalFormatting sqref="S22:T22">
    <cfRule type="containsText" dxfId="12105" priority="12974" operator="containsText" text="A-H">
      <formula>NOT(ISERROR(SEARCH("A-H",S22)))</formula>
    </cfRule>
  </conditionalFormatting>
  <conditionalFormatting sqref="AB22:AC22">
    <cfRule type="cellIs" dxfId="12104" priority="12953" operator="equal">
      <formula>"C-Off-H"</formula>
    </cfRule>
    <cfRule type="cellIs" dxfId="12103" priority="12954" operator="equal">
      <formula>"C-Off"</formula>
    </cfRule>
    <cfRule type="cellIs" dxfId="12102" priority="12955" operator="equal">
      <formula>"CL-H"</formula>
    </cfRule>
    <cfRule type="cellIs" dxfId="12101" priority="12956" operator="equal">
      <formula>"EL-H"</formula>
    </cfRule>
    <cfRule type="cellIs" dxfId="12100" priority="12957" operator="equal">
      <formula>"CL"</formula>
    </cfRule>
    <cfRule type="cellIs" dxfId="12099" priority="12958" operator="equal">
      <formula>"EL"</formula>
    </cfRule>
  </conditionalFormatting>
  <conditionalFormatting sqref="AB22:AC22">
    <cfRule type="containsText" dxfId="12098" priority="12947" operator="containsText" text="S">
      <formula>NOT(ISERROR(SEARCH("S",AB22)))</formula>
    </cfRule>
    <cfRule type="containsText" dxfId="12097" priority="12948" operator="containsText" text="P">
      <formula>NOT(ISERROR(SEARCH("P",AB22)))</formula>
    </cfRule>
    <cfRule type="containsText" dxfId="12096" priority="12949" operator="containsText" text="H">
      <formula>NOT(ISERROR(SEARCH("H",AB22)))</formula>
    </cfRule>
    <cfRule type="containsText" dxfId="12095" priority="12951" operator="containsText" text="&quot;H&quot;">
      <formula>NOT(ISERROR(SEARCH("""H""",AB22)))</formula>
    </cfRule>
    <cfRule type="containsText" dxfId="12094" priority="12952" operator="containsText" text="&quot;A&quot;">
      <formula>NOT(ISERROR(SEARCH("""A""",AB22)))</formula>
    </cfRule>
  </conditionalFormatting>
  <conditionalFormatting sqref="AB22:AC22">
    <cfRule type="containsText" dxfId="12093" priority="12950" operator="containsText" text="A-H">
      <formula>NOT(ISERROR(SEARCH("A-H",AB22)))</formula>
    </cfRule>
  </conditionalFormatting>
  <conditionalFormatting sqref="AE22">
    <cfRule type="cellIs" dxfId="12092" priority="12941" operator="equal">
      <formula>"C-Off-H"</formula>
    </cfRule>
    <cfRule type="cellIs" dxfId="12091" priority="12942" operator="equal">
      <formula>"C-Off"</formula>
    </cfRule>
    <cfRule type="cellIs" dxfId="12090" priority="12943" operator="equal">
      <formula>"CL-H"</formula>
    </cfRule>
    <cfRule type="cellIs" dxfId="12089" priority="12944" operator="equal">
      <formula>"EL-H"</formula>
    </cfRule>
    <cfRule type="cellIs" dxfId="12088" priority="12945" operator="equal">
      <formula>"CL"</formula>
    </cfRule>
    <cfRule type="cellIs" dxfId="12087" priority="12946" operator="equal">
      <formula>"EL"</formula>
    </cfRule>
  </conditionalFormatting>
  <conditionalFormatting sqref="AE22">
    <cfRule type="containsText" dxfId="12086" priority="12935" operator="containsText" text="S">
      <formula>NOT(ISERROR(SEARCH("S",AE22)))</formula>
    </cfRule>
    <cfRule type="containsText" dxfId="12085" priority="12936" operator="containsText" text="P">
      <formula>NOT(ISERROR(SEARCH("P",AE22)))</formula>
    </cfRule>
    <cfRule type="containsText" dxfId="12084" priority="12937" operator="containsText" text="H">
      <formula>NOT(ISERROR(SEARCH("H",AE22)))</formula>
    </cfRule>
    <cfRule type="containsText" dxfId="12083" priority="12939" operator="containsText" text="&quot;H&quot;">
      <formula>NOT(ISERROR(SEARCH("""H""",AE22)))</formula>
    </cfRule>
    <cfRule type="containsText" dxfId="12082" priority="12940" operator="containsText" text="&quot;A&quot;">
      <formula>NOT(ISERROR(SEARCH("""A""",AE22)))</formula>
    </cfRule>
  </conditionalFormatting>
  <conditionalFormatting sqref="AE22">
    <cfRule type="containsText" dxfId="12081" priority="12938" operator="containsText" text="A-H">
      <formula>NOT(ISERROR(SEARCH("A-H",AE22)))</formula>
    </cfRule>
  </conditionalFormatting>
  <conditionalFormatting sqref="AK22:AL22">
    <cfRule type="cellIs" dxfId="12080" priority="12929" operator="equal">
      <formula>"C-Off-H"</formula>
    </cfRule>
    <cfRule type="cellIs" dxfId="12079" priority="12930" operator="equal">
      <formula>"C-Off"</formula>
    </cfRule>
    <cfRule type="cellIs" dxfId="12078" priority="12931" operator="equal">
      <formula>"CL-H"</formula>
    </cfRule>
    <cfRule type="cellIs" dxfId="12077" priority="12932" operator="equal">
      <formula>"EL-H"</formula>
    </cfRule>
    <cfRule type="cellIs" dxfId="12076" priority="12933" operator="equal">
      <formula>"CL"</formula>
    </cfRule>
    <cfRule type="cellIs" dxfId="12075" priority="12934" operator="equal">
      <formula>"EL"</formula>
    </cfRule>
  </conditionalFormatting>
  <conditionalFormatting sqref="AK22:AL22">
    <cfRule type="containsText" dxfId="12074" priority="12923" operator="containsText" text="S">
      <formula>NOT(ISERROR(SEARCH("S",AK22)))</formula>
    </cfRule>
    <cfRule type="containsText" dxfId="12073" priority="12924" operator="containsText" text="P">
      <formula>NOT(ISERROR(SEARCH("P",AK22)))</formula>
    </cfRule>
    <cfRule type="containsText" dxfId="12072" priority="12925" operator="containsText" text="H">
      <formula>NOT(ISERROR(SEARCH("H",AK22)))</formula>
    </cfRule>
    <cfRule type="containsText" dxfId="12071" priority="12927" operator="containsText" text="&quot;H&quot;">
      <formula>NOT(ISERROR(SEARCH("""H""",AK22)))</formula>
    </cfRule>
    <cfRule type="containsText" dxfId="12070" priority="12928" operator="containsText" text="&quot;A&quot;">
      <formula>NOT(ISERROR(SEARCH("""A""",AK22)))</formula>
    </cfRule>
  </conditionalFormatting>
  <conditionalFormatting sqref="AK22:AL22">
    <cfRule type="containsText" dxfId="12069" priority="12926" operator="containsText" text="A-H">
      <formula>NOT(ISERROR(SEARCH("A-H",AK22)))</formula>
    </cfRule>
  </conditionalFormatting>
  <conditionalFormatting sqref="AN22:AO22">
    <cfRule type="cellIs" dxfId="12068" priority="12917" operator="equal">
      <formula>"C-Off-H"</formula>
    </cfRule>
    <cfRule type="cellIs" dxfId="12067" priority="12918" operator="equal">
      <formula>"C-Off"</formula>
    </cfRule>
    <cfRule type="cellIs" dxfId="12066" priority="12919" operator="equal">
      <formula>"CL-H"</formula>
    </cfRule>
    <cfRule type="cellIs" dxfId="12065" priority="12920" operator="equal">
      <formula>"EL-H"</formula>
    </cfRule>
    <cfRule type="cellIs" dxfId="12064" priority="12921" operator="equal">
      <formula>"CL"</formula>
    </cfRule>
    <cfRule type="cellIs" dxfId="12063" priority="12922" operator="equal">
      <formula>"EL"</formula>
    </cfRule>
  </conditionalFormatting>
  <conditionalFormatting sqref="AN22:AO22">
    <cfRule type="containsText" dxfId="12062" priority="12911" operator="containsText" text="S">
      <formula>NOT(ISERROR(SEARCH("S",AN22)))</formula>
    </cfRule>
    <cfRule type="containsText" dxfId="12061" priority="12912" operator="containsText" text="P">
      <formula>NOT(ISERROR(SEARCH("P",AN22)))</formula>
    </cfRule>
    <cfRule type="containsText" dxfId="12060" priority="12913" operator="containsText" text="H">
      <formula>NOT(ISERROR(SEARCH("H",AN22)))</formula>
    </cfRule>
    <cfRule type="containsText" dxfId="12059" priority="12915" operator="containsText" text="&quot;H&quot;">
      <formula>NOT(ISERROR(SEARCH("""H""",AN22)))</formula>
    </cfRule>
    <cfRule type="containsText" dxfId="12058" priority="12916" operator="containsText" text="&quot;A&quot;">
      <formula>NOT(ISERROR(SEARCH("""A""",AN22)))</formula>
    </cfRule>
  </conditionalFormatting>
  <conditionalFormatting sqref="AN22:AO22">
    <cfRule type="containsText" dxfId="12057" priority="12914" operator="containsText" text="A-H">
      <formula>NOT(ISERROR(SEARCH("A-H",AN22)))</formula>
    </cfRule>
  </conditionalFormatting>
  <conditionalFormatting sqref="AQ22:AR22">
    <cfRule type="cellIs" dxfId="12056" priority="12905" operator="equal">
      <formula>"C-Off-H"</formula>
    </cfRule>
    <cfRule type="cellIs" dxfId="12055" priority="12906" operator="equal">
      <formula>"C-Off"</formula>
    </cfRule>
    <cfRule type="cellIs" dxfId="12054" priority="12907" operator="equal">
      <formula>"CL-H"</formula>
    </cfRule>
    <cfRule type="cellIs" dxfId="12053" priority="12908" operator="equal">
      <formula>"EL-H"</formula>
    </cfRule>
    <cfRule type="cellIs" dxfId="12052" priority="12909" operator="equal">
      <formula>"CL"</formula>
    </cfRule>
    <cfRule type="cellIs" dxfId="12051" priority="12910" operator="equal">
      <formula>"EL"</formula>
    </cfRule>
  </conditionalFormatting>
  <conditionalFormatting sqref="AQ22:AR22">
    <cfRule type="containsText" dxfId="12050" priority="12899" operator="containsText" text="S">
      <formula>NOT(ISERROR(SEARCH("S",AQ22)))</formula>
    </cfRule>
    <cfRule type="containsText" dxfId="12049" priority="12900" operator="containsText" text="P">
      <formula>NOT(ISERROR(SEARCH("P",AQ22)))</formula>
    </cfRule>
    <cfRule type="containsText" dxfId="12048" priority="12901" operator="containsText" text="H">
      <formula>NOT(ISERROR(SEARCH("H",AQ22)))</formula>
    </cfRule>
    <cfRule type="containsText" dxfId="12047" priority="12903" operator="containsText" text="&quot;H&quot;">
      <formula>NOT(ISERROR(SEARCH("""H""",AQ22)))</formula>
    </cfRule>
    <cfRule type="containsText" dxfId="12046" priority="12904" operator="containsText" text="&quot;A&quot;">
      <formula>NOT(ISERROR(SEARCH("""A""",AQ22)))</formula>
    </cfRule>
  </conditionalFormatting>
  <conditionalFormatting sqref="AQ22:AR22">
    <cfRule type="containsText" dxfId="12045" priority="12902" operator="containsText" text="A-H">
      <formula>NOT(ISERROR(SEARCH("A-H",AQ22)))</formula>
    </cfRule>
  </conditionalFormatting>
  <conditionalFormatting sqref="AW22:AX22">
    <cfRule type="cellIs" dxfId="12044" priority="12893" operator="equal">
      <formula>"C-Off-H"</formula>
    </cfRule>
    <cfRule type="cellIs" dxfId="12043" priority="12894" operator="equal">
      <formula>"C-Off"</formula>
    </cfRule>
    <cfRule type="cellIs" dxfId="12042" priority="12895" operator="equal">
      <formula>"CL-H"</formula>
    </cfRule>
    <cfRule type="cellIs" dxfId="12041" priority="12896" operator="equal">
      <formula>"EL-H"</formula>
    </cfRule>
    <cfRule type="cellIs" dxfId="12040" priority="12897" operator="equal">
      <formula>"CL"</formula>
    </cfRule>
    <cfRule type="cellIs" dxfId="12039" priority="12898" operator="equal">
      <formula>"EL"</formula>
    </cfRule>
  </conditionalFormatting>
  <conditionalFormatting sqref="AW22:AX22">
    <cfRule type="containsText" dxfId="12038" priority="12887" operator="containsText" text="S">
      <formula>NOT(ISERROR(SEARCH("S",AW22)))</formula>
    </cfRule>
    <cfRule type="containsText" dxfId="12037" priority="12888" operator="containsText" text="P">
      <formula>NOT(ISERROR(SEARCH("P",AW22)))</formula>
    </cfRule>
    <cfRule type="containsText" dxfId="12036" priority="12889" operator="containsText" text="H">
      <formula>NOT(ISERROR(SEARCH("H",AW22)))</formula>
    </cfRule>
    <cfRule type="containsText" dxfId="12035" priority="12891" operator="containsText" text="&quot;H&quot;">
      <formula>NOT(ISERROR(SEARCH("""H""",AW22)))</formula>
    </cfRule>
    <cfRule type="containsText" dxfId="12034" priority="12892" operator="containsText" text="&quot;A&quot;">
      <formula>NOT(ISERROR(SEARCH("""A""",AW22)))</formula>
    </cfRule>
  </conditionalFormatting>
  <conditionalFormatting sqref="AW22:AX22">
    <cfRule type="containsText" dxfId="12033" priority="12890" operator="containsText" text="A-H">
      <formula>NOT(ISERROR(SEARCH("A-H",AW22)))</formula>
    </cfRule>
  </conditionalFormatting>
  <conditionalFormatting sqref="AZ22:BA22">
    <cfRule type="cellIs" dxfId="12032" priority="12881" operator="equal">
      <formula>"C-Off-H"</formula>
    </cfRule>
    <cfRule type="cellIs" dxfId="12031" priority="12882" operator="equal">
      <formula>"C-Off"</formula>
    </cfRule>
    <cfRule type="cellIs" dxfId="12030" priority="12883" operator="equal">
      <formula>"CL-H"</formula>
    </cfRule>
    <cfRule type="cellIs" dxfId="12029" priority="12884" operator="equal">
      <formula>"EL-H"</formula>
    </cfRule>
    <cfRule type="cellIs" dxfId="12028" priority="12885" operator="equal">
      <formula>"CL"</formula>
    </cfRule>
    <cfRule type="cellIs" dxfId="12027" priority="12886" operator="equal">
      <formula>"EL"</formula>
    </cfRule>
  </conditionalFormatting>
  <conditionalFormatting sqref="AZ22:BA22">
    <cfRule type="containsText" dxfId="12026" priority="12875" operator="containsText" text="S">
      <formula>NOT(ISERROR(SEARCH("S",AZ22)))</formula>
    </cfRule>
    <cfRule type="containsText" dxfId="12025" priority="12876" operator="containsText" text="P">
      <formula>NOT(ISERROR(SEARCH("P",AZ22)))</formula>
    </cfRule>
    <cfRule type="containsText" dxfId="12024" priority="12877" operator="containsText" text="H">
      <formula>NOT(ISERROR(SEARCH("H",AZ22)))</formula>
    </cfRule>
    <cfRule type="containsText" dxfId="12023" priority="12879" operator="containsText" text="&quot;H&quot;">
      <formula>NOT(ISERROR(SEARCH("""H""",AZ22)))</formula>
    </cfRule>
    <cfRule type="containsText" dxfId="12022" priority="12880" operator="containsText" text="&quot;A&quot;">
      <formula>NOT(ISERROR(SEARCH("""A""",AZ22)))</formula>
    </cfRule>
  </conditionalFormatting>
  <conditionalFormatting sqref="AZ22:BA22">
    <cfRule type="containsText" dxfId="12021" priority="12878" operator="containsText" text="A-H">
      <formula>NOT(ISERROR(SEARCH("A-H",AZ22)))</formula>
    </cfRule>
  </conditionalFormatting>
  <conditionalFormatting sqref="BC22:BD22">
    <cfRule type="cellIs" dxfId="12020" priority="12869" operator="equal">
      <formula>"C-Off-H"</formula>
    </cfRule>
    <cfRule type="cellIs" dxfId="12019" priority="12870" operator="equal">
      <formula>"C-Off"</formula>
    </cfRule>
    <cfRule type="cellIs" dxfId="12018" priority="12871" operator="equal">
      <formula>"CL-H"</formula>
    </cfRule>
    <cfRule type="cellIs" dxfId="12017" priority="12872" operator="equal">
      <formula>"EL-H"</formula>
    </cfRule>
    <cfRule type="cellIs" dxfId="12016" priority="12873" operator="equal">
      <formula>"CL"</formula>
    </cfRule>
    <cfRule type="cellIs" dxfId="12015" priority="12874" operator="equal">
      <formula>"EL"</formula>
    </cfRule>
  </conditionalFormatting>
  <conditionalFormatting sqref="BC22:BD22">
    <cfRule type="containsText" dxfId="12014" priority="12863" operator="containsText" text="S">
      <formula>NOT(ISERROR(SEARCH("S",BC22)))</formula>
    </cfRule>
    <cfRule type="containsText" dxfId="12013" priority="12864" operator="containsText" text="P">
      <formula>NOT(ISERROR(SEARCH("P",BC22)))</formula>
    </cfRule>
    <cfRule type="containsText" dxfId="12012" priority="12865" operator="containsText" text="H">
      <formula>NOT(ISERROR(SEARCH("H",BC22)))</formula>
    </cfRule>
    <cfRule type="containsText" dxfId="12011" priority="12867" operator="containsText" text="&quot;H&quot;">
      <formula>NOT(ISERROR(SEARCH("""H""",BC22)))</formula>
    </cfRule>
    <cfRule type="containsText" dxfId="12010" priority="12868" operator="containsText" text="&quot;A&quot;">
      <formula>NOT(ISERROR(SEARCH("""A""",BC22)))</formula>
    </cfRule>
  </conditionalFormatting>
  <conditionalFormatting sqref="BC22:BD22">
    <cfRule type="containsText" dxfId="12009" priority="12866" operator="containsText" text="A-H">
      <formula>NOT(ISERROR(SEARCH("A-H",BC22)))</formula>
    </cfRule>
  </conditionalFormatting>
  <conditionalFormatting sqref="BF22:BG22">
    <cfRule type="cellIs" dxfId="12008" priority="12857" operator="equal">
      <formula>"C-Off-H"</formula>
    </cfRule>
    <cfRule type="cellIs" dxfId="12007" priority="12858" operator="equal">
      <formula>"C-Off"</formula>
    </cfRule>
    <cfRule type="cellIs" dxfId="12006" priority="12859" operator="equal">
      <formula>"CL-H"</formula>
    </cfRule>
    <cfRule type="cellIs" dxfId="12005" priority="12860" operator="equal">
      <formula>"EL-H"</formula>
    </cfRule>
    <cfRule type="cellIs" dxfId="12004" priority="12861" operator="equal">
      <formula>"CL"</formula>
    </cfRule>
    <cfRule type="cellIs" dxfId="12003" priority="12862" operator="equal">
      <formula>"EL"</formula>
    </cfRule>
  </conditionalFormatting>
  <conditionalFormatting sqref="BF22:BG22">
    <cfRule type="containsText" dxfId="12002" priority="12851" operator="containsText" text="S">
      <formula>NOT(ISERROR(SEARCH("S",BF22)))</formula>
    </cfRule>
    <cfRule type="containsText" dxfId="12001" priority="12852" operator="containsText" text="P">
      <formula>NOT(ISERROR(SEARCH("P",BF22)))</formula>
    </cfRule>
    <cfRule type="containsText" dxfId="12000" priority="12853" operator="containsText" text="H">
      <formula>NOT(ISERROR(SEARCH("H",BF22)))</formula>
    </cfRule>
    <cfRule type="containsText" dxfId="11999" priority="12855" operator="containsText" text="&quot;H&quot;">
      <formula>NOT(ISERROR(SEARCH("""H""",BF22)))</formula>
    </cfRule>
    <cfRule type="containsText" dxfId="11998" priority="12856" operator="containsText" text="&quot;A&quot;">
      <formula>NOT(ISERROR(SEARCH("""A""",BF22)))</formula>
    </cfRule>
  </conditionalFormatting>
  <conditionalFormatting sqref="BF22:BG22">
    <cfRule type="containsText" dxfId="11997" priority="12854" operator="containsText" text="A-H">
      <formula>NOT(ISERROR(SEARCH("A-H",BF22)))</formula>
    </cfRule>
  </conditionalFormatting>
  <conditionalFormatting sqref="BI22:BJ22">
    <cfRule type="cellIs" dxfId="11996" priority="12845" operator="equal">
      <formula>"C-Off-H"</formula>
    </cfRule>
    <cfRule type="cellIs" dxfId="11995" priority="12846" operator="equal">
      <formula>"C-Off"</formula>
    </cfRule>
    <cfRule type="cellIs" dxfId="11994" priority="12847" operator="equal">
      <formula>"CL-H"</formula>
    </cfRule>
    <cfRule type="cellIs" dxfId="11993" priority="12848" operator="equal">
      <formula>"EL-H"</formula>
    </cfRule>
    <cfRule type="cellIs" dxfId="11992" priority="12849" operator="equal">
      <formula>"CL"</formula>
    </cfRule>
    <cfRule type="cellIs" dxfId="11991" priority="12850" operator="equal">
      <formula>"EL"</formula>
    </cfRule>
  </conditionalFormatting>
  <conditionalFormatting sqref="BI22:BJ22">
    <cfRule type="containsText" dxfId="11990" priority="12839" operator="containsText" text="S">
      <formula>NOT(ISERROR(SEARCH("S",BI22)))</formula>
    </cfRule>
    <cfRule type="containsText" dxfId="11989" priority="12840" operator="containsText" text="P">
      <formula>NOT(ISERROR(SEARCH("P",BI22)))</formula>
    </cfRule>
    <cfRule type="containsText" dxfId="11988" priority="12841" operator="containsText" text="H">
      <formula>NOT(ISERROR(SEARCH("H",BI22)))</formula>
    </cfRule>
    <cfRule type="containsText" dxfId="11987" priority="12843" operator="containsText" text="&quot;H&quot;">
      <formula>NOT(ISERROR(SEARCH("""H""",BI22)))</formula>
    </cfRule>
    <cfRule type="containsText" dxfId="11986" priority="12844" operator="containsText" text="&quot;A&quot;">
      <formula>NOT(ISERROR(SEARCH("""A""",BI22)))</formula>
    </cfRule>
  </conditionalFormatting>
  <conditionalFormatting sqref="BI22:BJ22">
    <cfRule type="containsText" dxfId="11985" priority="12842" operator="containsText" text="A-H">
      <formula>NOT(ISERROR(SEARCH("A-H",BI22)))</formula>
    </cfRule>
  </conditionalFormatting>
  <conditionalFormatting sqref="BL22:BM22">
    <cfRule type="cellIs" dxfId="11984" priority="12833" operator="equal">
      <formula>"C-Off-H"</formula>
    </cfRule>
    <cfRule type="cellIs" dxfId="11983" priority="12834" operator="equal">
      <formula>"C-Off"</formula>
    </cfRule>
    <cfRule type="cellIs" dxfId="11982" priority="12835" operator="equal">
      <formula>"CL-H"</formula>
    </cfRule>
    <cfRule type="cellIs" dxfId="11981" priority="12836" operator="equal">
      <formula>"EL-H"</formula>
    </cfRule>
    <cfRule type="cellIs" dxfId="11980" priority="12837" operator="equal">
      <formula>"CL"</formula>
    </cfRule>
    <cfRule type="cellIs" dxfId="11979" priority="12838" operator="equal">
      <formula>"EL"</formula>
    </cfRule>
  </conditionalFormatting>
  <conditionalFormatting sqref="BL22:BM22">
    <cfRule type="containsText" dxfId="11978" priority="12827" operator="containsText" text="S">
      <formula>NOT(ISERROR(SEARCH("S",BL22)))</formula>
    </cfRule>
    <cfRule type="containsText" dxfId="11977" priority="12828" operator="containsText" text="P">
      <formula>NOT(ISERROR(SEARCH("P",BL22)))</formula>
    </cfRule>
    <cfRule type="containsText" dxfId="11976" priority="12829" operator="containsText" text="H">
      <formula>NOT(ISERROR(SEARCH("H",BL22)))</formula>
    </cfRule>
    <cfRule type="containsText" dxfId="11975" priority="12831" operator="containsText" text="&quot;H&quot;">
      <formula>NOT(ISERROR(SEARCH("""H""",BL22)))</formula>
    </cfRule>
    <cfRule type="containsText" dxfId="11974" priority="12832" operator="containsText" text="&quot;A&quot;">
      <formula>NOT(ISERROR(SEARCH("""A""",BL22)))</formula>
    </cfRule>
  </conditionalFormatting>
  <conditionalFormatting sqref="BL22:BM22">
    <cfRule type="containsText" dxfId="11973" priority="12830" operator="containsText" text="A-H">
      <formula>NOT(ISERROR(SEARCH("A-H",BL22)))</formula>
    </cfRule>
  </conditionalFormatting>
  <conditionalFormatting sqref="BR22:BS22">
    <cfRule type="cellIs" dxfId="11972" priority="12821" operator="equal">
      <formula>"C-Off-H"</formula>
    </cfRule>
    <cfRule type="cellIs" dxfId="11971" priority="12822" operator="equal">
      <formula>"C-Off"</formula>
    </cfRule>
    <cfRule type="cellIs" dxfId="11970" priority="12823" operator="equal">
      <formula>"CL-H"</formula>
    </cfRule>
    <cfRule type="cellIs" dxfId="11969" priority="12824" operator="equal">
      <formula>"EL-H"</formula>
    </cfRule>
    <cfRule type="cellIs" dxfId="11968" priority="12825" operator="equal">
      <formula>"CL"</formula>
    </cfRule>
    <cfRule type="cellIs" dxfId="11967" priority="12826" operator="equal">
      <formula>"EL"</formula>
    </cfRule>
  </conditionalFormatting>
  <conditionalFormatting sqref="BR22:BS22">
    <cfRule type="containsText" dxfId="11966" priority="12815" operator="containsText" text="S">
      <formula>NOT(ISERROR(SEARCH("S",BR22)))</formula>
    </cfRule>
    <cfRule type="containsText" dxfId="11965" priority="12816" operator="containsText" text="P">
      <formula>NOT(ISERROR(SEARCH("P",BR22)))</formula>
    </cfRule>
    <cfRule type="containsText" dxfId="11964" priority="12817" operator="containsText" text="H">
      <formula>NOT(ISERROR(SEARCH("H",BR22)))</formula>
    </cfRule>
    <cfRule type="containsText" dxfId="11963" priority="12819" operator="containsText" text="&quot;H&quot;">
      <formula>NOT(ISERROR(SEARCH("""H""",BR22)))</formula>
    </cfRule>
    <cfRule type="containsText" dxfId="11962" priority="12820" operator="containsText" text="&quot;A&quot;">
      <formula>NOT(ISERROR(SEARCH("""A""",BR22)))</formula>
    </cfRule>
  </conditionalFormatting>
  <conditionalFormatting sqref="BR22:BS22">
    <cfRule type="containsText" dxfId="11961" priority="12818" operator="containsText" text="A-H">
      <formula>NOT(ISERROR(SEARCH("A-H",BR22)))</formula>
    </cfRule>
  </conditionalFormatting>
  <conditionalFormatting sqref="BU22:BV22">
    <cfRule type="cellIs" dxfId="11960" priority="12809" operator="equal">
      <formula>"C-Off-H"</formula>
    </cfRule>
    <cfRule type="cellIs" dxfId="11959" priority="12810" operator="equal">
      <formula>"C-Off"</formula>
    </cfRule>
    <cfRule type="cellIs" dxfId="11958" priority="12811" operator="equal">
      <formula>"CL-H"</formula>
    </cfRule>
    <cfRule type="cellIs" dxfId="11957" priority="12812" operator="equal">
      <formula>"EL-H"</formula>
    </cfRule>
    <cfRule type="cellIs" dxfId="11956" priority="12813" operator="equal">
      <formula>"CL"</formula>
    </cfRule>
    <cfRule type="cellIs" dxfId="11955" priority="12814" operator="equal">
      <formula>"EL"</formula>
    </cfRule>
  </conditionalFormatting>
  <conditionalFormatting sqref="BU22:BV22">
    <cfRule type="containsText" dxfId="11954" priority="12803" operator="containsText" text="S">
      <formula>NOT(ISERROR(SEARCH("S",BU22)))</formula>
    </cfRule>
    <cfRule type="containsText" dxfId="11953" priority="12804" operator="containsText" text="P">
      <formula>NOT(ISERROR(SEARCH("P",BU22)))</formula>
    </cfRule>
    <cfRule type="containsText" dxfId="11952" priority="12805" operator="containsText" text="H">
      <formula>NOT(ISERROR(SEARCH("H",BU22)))</formula>
    </cfRule>
    <cfRule type="containsText" dxfId="11951" priority="12807" operator="containsText" text="&quot;H&quot;">
      <formula>NOT(ISERROR(SEARCH("""H""",BU22)))</formula>
    </cfRule>
    <cfRule type="containsText" dxfId="11950" priority="12808" operator="containsText" text="&quot;A&quot;">
      <formula>NOT(ISERROR(SEARCH("""A""",BU22)))</formula>
    </cfRule>
  </conditionalFormatting>
  <conditionalFormatting sqref="BU22:BV22">
    <cfRule type="containsText" dxfId="11949" priority="12806" operator="containsText" text="A-H">
      <formula>NOT(ISERROR(SEARCH("A-H",BU22)))</formula>
    </cfRule>
  </conditionalFormatting>
  <conditionalFormatting sqref="BY22">
    <cfRule type="cellIs" dxfId="11948" priority="12797" operator="equal">
      <formula>"C-Off-H"</formula>
    </cfRule>
    <cfRule type="cellIs" dxfId="11947" priority="12798" operator="equal">
      <formula>"C-Off"</formula>
    </cfRule>
    <cfRule type="cellIs" dxfId="11946" priority="12799" operator="equal">
      <formula>"CL-H"</formula>
    </cfRule>
    <cfRule type="cellIs" dxfId="11945" priority="12800" operator="equal">
      <formula>"EL-H"</formula>
    </cfRule>
    <cfRule type="cellIs" dxfId="11944" priority="12801" operator="equal">
      <formula>"CL"</formula>
    </cfRule>
    <cfRule type="cellIs" dxfId="11943" priority="12802" operator="equal">
      <formula>"EL"</formula>
    </cfRule>
  </conditionalFormatting>
  <conditionalFormatting sqref="BY22">
    <cfRule type="containsText" dxfId="11942" priority="12791" operator="containsText" text="S">
      <formula>NOT(ISERROR(SEARCH("S",BY22)))</formula>
    </cfRule>
    <cfRule type="containsText" dxfId="11941" priority="12792" operator="containsText" text="P">
      <formula>NOT(ISERROR(SEARCH("P",BY22)))</formula>
    </cfRule>
    <cfRule type="containsText" dxfId="11940" priority="12793" operator="containsText" text="H">
      <formula>NOT(ISERROR(SEARCH("H",BY22)))</formula>
    </cfRule>
    <cfRule type="containsText" dxfId="11939" priority="12795" operator="containsText" text="&quot;H&quot;">
      <formula>NOT(ISERROR(SEARCH("""H""",BY22)))</formula>
    </cfRule>
    <cfRule type="containsText" dxfId="11938" priority="12796" operator="containsText" text="&quot;A&quot;">
      <formula>NOT(ISERROR(SEARCH("""A""",BY22)))</formula>
    </cfRule>
  </conditionalFormatting>
  <conditionalFormatting sqref="BY22">
    <cfRule type="containsText" dxfId="11937" priority="12794" operator="containsText" text="A-H">
      <formula>NOT(ISERROR(SEARCH("A-H",BY22)))</formula>
    </cfRule>
  </conditionalFormatting>
  <conditionalFormatting sqref="BX22">
    <cfRule type="cellIs" dxfId="11936" priority="12785" operator="equal">
      <formula>"C-Off-H"</formula>
    </cfRule>
    <cfRule type="cellIs" dxfId="11935" priority="12786" operator="equal">
      <formula>"C-Off"</formula>
    </cfRule>
    <cfRule type="cellIs" dxfId="11934" priority="12787" operator="equal">
      <formula>"CL-H"</formula>
    </cfRule>
    <cfRule type="cellIs" dxfId="11933" priority="12788" operator="equal">
      <formula>"EL-H"</formula>
    </cfRule>
    <cfRule type="cellIs" dxfId="11932" priority="12789" operator="equal">
      <formula>"CL"</formula>
    </cfRule>
    <cfRule type="cellIs" dxfId="11931" priority="12790" operator="equal">
      <formula>"EL"</formula>
    </cfRule>
  </conditionalFormatting>
  <conditionalFormatting sqref="BX22">
    <cfRule type="containsText" dxfId="11930" priority="12779" operator="containsText" text="S">
      <formula>NOT(ISERROR(SEARCH("S",BX22)))</formula>
    </cfRule>
    <cfRule type="containsText" dxfId="11929" priority="12780" operator="containsText" text="P">
      <formula>NOT(ISERROR(SEARCH("P",BX22)))</formula>
    </cfRule>
    <cfRule type="containsText" dxfId="11928" priority="12781" operator="containsText" text="H">
      <formula>NOT(ISERROR(SEARCH("H",BX22)))</formula>
    </cfRule>
    <cfRule type="containsText" dxfId="11927" priority="12783" operator="containsText" text="&quot;H&quot;">
      <formula>NOT(ISERROR(SEARCH("""H""",BX22)))</formula>
    </cfRule>
    <cfRule type="containsText" dxfId="11926" priority="12784" operator="containsText" text="&quot;A&quot;">
      <formula>NOT(ISERROR(SEARCH("""A""",BX22)))</formula>
    </cfRule>
  </conditionalFormatting>
  <conditionalFormatting sqref="BX22">
    <cfRule type="containsText" dxfId="11925" priority="12782" operator="containsText" text="A-H">
      <formula>NOT(ISERROR(SEARCH("A-H",BX22)))</formula>
    </cfRule>
  </conditionalFormatting>
  <conditionalFormatting sqref="J22:K22">
    <cfRule type="cellIs" dxfId="11924" priority="12773" operator="equal">
      <formula>"C-Off-H"</formula>
    </cfRule>
    <cfRule type="cellIs" dxfId="11923" priority="12774" operator="equal">
      <formula>"C-Off"</formula>
    </cfRule>
    <cfRule type="cellIs" dxfId="11922" priority="12775" operator="equal">
      <formula>"CL-H"</formula>
    </cfRule>
    <cfRule type="cellIs" dxfId="11921" priority="12776" operator="equal">
      <formula>"EL-H"</formula>
    </cfRule>
    <cfRule type="cellIs" dxfId="11920" priority="12777" operator="equal">
      <formula>"CL"</formula>
    </cfRule>
    <cfRule type="cellIs" dxfId="11919" priority="12778" operator="equal">
      <formula>"EL"</formula>
    </cfRule>
  </conditionalFormatting>
  <conditionalFormatting sqref="J22:K22">
    <cfRule type="containsText" dxfId="11918" priority="12767" operator="containsText" text="S">
      <formula>NOT(ISERROR(SEARCH("S",J22)))</formula>
    </cfRule>
    <cfRule type="containsText" dxfId="11917" priority="12768" operator="containsText" text="P">
      <formula>NOT(ISERROR(SEARCH("P",J22)))</formula>
    </cfRule>
    <cfRule type="containsText" dxfId="11916" priority="12769" operator="containsText" text="H">
      <formula>NOT(ISERROR(SEARCH("H",J22)))</formula>
    </cfRule>
    <cfRule type="containsText" dxfId="11915" priority="12771" operator="containsText" text="&quot;H&quot;">
      <formula>NOT(ISERROR(SEARCH("""H""",J22)))</formula>
    </cfRule>
    <cfRule type="containsText" dxfId="11914" priority="12772" operator="containsText" text="&quot;A&quot;">
      <formula>NOT(ISERROR(SEARCH("""A""",J22)))</formula>
    </cfRule>
  </conditionalFormatting>
  <conditionalFormatting sqref="J22:K22">
    <cfRule type="containsText" dxfId="11913" priority="12770" operator="containsText" text="A-H">
      <formula>NOT(ISERROR(SEARCH("A-H",J22)))</formula>
    </cfRule>
  </conditionalFormatting>
  <conditionalFormatting sqref="M20:N20 DC20 CQ20:CW20">
    <cfRule type="cellIs" dxfId="11912" priority="12761" operator="equal">
      <formula>"C-Off-H"</formula>
    </cfRule>
    <cfRule type="cellIs" dxfId="11911" priority="12762" operator="equal">
      <formula>"C-Off"</formula>
    </cfRule>
    <cfRule type="cellIs" dxfId="11910" priority="12763" operator="equal">
      <formula>"CL-H"</formula>
    </cfRule>
    <cfRule type="cellIs" dxfId="11909" priority="12764" operator="equal">
      <formula>"EL-H"</formula>
    </cfRule>
    <cfRule type="cellIs" dxfId="11908" priority="12765" operator="equal">
      <formula>"CL"</formula>
    </cfRule>
    <cfRule type="cellIs" dxfId="11907" priority="12766" operator="equal">
      <formula>"EL"</formula>
    </cfRule>
  </conditionalFormatting>
  <conditionalFormatting sqref="M20:N20 DC20 CQ20:CW20 CY20:DA20">
    <cfRule type="containsText" dxfId="11906" priority="12760" operator="containsText" text="A-H">
      <formula>NOT(ISERROR(SEARCH("A-H",M20)))</formula>
    </cfRule>
  </conditionalFormatting>
  <conditionalFormatting sqref="DC20 CQ20:CW20 CY20:DA20">
    <cfRule type="containsText" dxfId="11905" priority="12759" operator="containsText" text="A">
      <formula>NOT(ISERROR(SEARCH("A",CQ20)))</formula>
    </cfRule>
  </conditionalFormatting>
  <conditionalFormatting sqref="CY20 DA20">
    <cfRule type="cellIs" dxfId="11904" priority="12753" stopIfTrue="1" operator="equal">
      <formula>"C-Off-H"</formula>
    </cfRule>
    <cfRule type="cellIs" dxfId="11903" priority="12754" stopIfTrue="1" operator="equal">
      <formula>"C-Off"</formula>
    </cfRule>
    <cfRule type="cellIs" dxfId="11902" priority="12755" stopIfTrue="1" operator="equal">
      <formula>"CL-H"</formula>
    </cfRule>
    <cfRule type="cellIs" dxfId="11901" priority="12756" stopIfTrue="1" operator="equal">
      <formula>"EL-H"</formula>
    </cfRule>
    <cfRule type="cellIs" dxfId="11900" priority="12757" stopIfTrue="1" operator="equal">
      <formula>"CL"</formula>
    </cfRule>
    <cfRule type="cellIs" dxfId="11899" priority="12758" stopIfTrue="1" operator="equal">
      <formula>"EL"</formula>
    </cfRule>
  </conditionalFormatting>
  <conditionalFormatting sqref="CZ20">
    <cfRule type="cellIs" dxfId="11898" priority="12747" stopIfTrue="1" operator="equal">
      <formula>"C-Off-H"</formula>
    </cfRule>
    <cfRule type="cellIs" dxfId="11897" priority="12748" stopIfTrue="1" operator="equal">
      <formula>"C-Off"</formula>
    </cfRule>
    <cfRule type="cellIs" dxfId="11896" priority="12749" stopIfTrue="1" operator="equal">
      <formula>"CL-H"</formula>
    </cfRule>
    <cfRule type="cellIs" dxfId="11895" priority="12750" stopIfTrue="1" operator="equal">
      <formula>"EL-H"</formula>
    </cfRule>
    <cfRule type="cellIs" dxfId="11894" priority="12751" stopIfTrue="1" operator="equal">
      <formula>"CL"</formula>
    </cfRule>
    <cfRule type="cellIs" dxfId="11893" priority="12752" stopIfTrue="1" operator="equal">
      <formula>"EL"</formula>
    </cfRule>
  </conditionalFormatting>
  <conditionalFormatting sqref="M20:N20">
    <cfRule type="containsText" dxfId="11892" priority="12742" operator="containsText" text="S">
      <formula>NOT(ISERROR(SEARCH("S",M20)))</formula>
    </cfRule>
    <cfRule type="containsText" dxfId="11891" priority="12743" operator="containsText" text="P">
      <formula>NOT(ISERROR(SEARCH("P",M20)))</formula>
    </cfRule>
    <cfRule type="containsText" dxfId="11890" priority="12744" operator="containsText" text="H">
      <formula>NOT(ISERROR(SEARCH("H",M20)))</formula>
    </cfRule>
    <cfRule type="containsText" dxfId="11889" priority="12745" operator="containsText" text="&quot;H&quot;">
      <formula>NOT(ISERROR(SEARCH("""H""",M20)))</formula>
    </cfRule>
    <cfRule type="containsText" dxfId="11888" priority="12746" operator="containsText" text="&quot;A&quot;">
      <formula>NOT(ISERROR(SEARCH("""A""",M20)))</formula>
    </cfRule>
  </conditionalFormatting>
  <conditionalFormatting sqref="DD20">
    <cfRule type="cellIs" dxfId="11887" priority="12736" operator="equal">
      <formula>"C-Off-H"</formula>
    </cfRule>
    <cfRule type="cellIs" dxfId="11886" priority="12737" operator="equal">
      <formula>"C-Off"</formula>
    </cfRule>
    <cfRule type="cellIs" dxfId="11885" priority="12738" operator="equal">
      <formula>"CL-H"</formula>
    </cfRule>
    <cfRule type="cellIs" dxfId="11884" priority="12739" operator="equal">
      <formula>"EL-H"</formula>
    </cfRule>
    <cfRule type="cellIs" dxfId="11883" priority="12740" operator="equal">
      <formula>"CL"</formula>
    </cfRule>
    <cfRule type="cellIs" dxfId="11882" priority="12741" operator="equal">
      <formula>"EL"</formula>
    </cfRule>
  </conditionalFormatting>
  <conditionalFormatting sqref="DD20">
    <cfRule type="containsText" dxfId="11881" priority="12735" operator="containsText" text="A">
      <formula>NOT(ISERROR(SEARCH("A",DD20)))</formula>
    </cfRule>
  </conditionalFormatting>
  <conditionalFormatting sqref="DD20">
    <cfRule type="containsText" dxfId="11880" priority="12734" operator="containsText" text="A-H">
      <formula>NOT(ISERROR(SEARCH("A-H",DD20)))</formula>
    </cfRule>
  </conditionalFormatting>
  <conditionalFormatting sqref="AI20">
    <cfRule type="cellIs" dxfId="11879" priority="12728" operator="equal">
      <formula>"C-Off-H"</formula>
    </cfRule>
    <cfRule type="cellIs" dxfId="11878" priority="12729" operator="equal">
      <formula>"C-Off"</formula>
    </cfRule>
    <cfRule type="cellIs" dxfId="11877" priority="12730" operator="equal">
      <formula>"CL-H"</formula>
    </cfRule>
    <cfRule type="cellIs" dxfId="11876" priority="12731" operator="equal">
      <formula>"EL-H"</formula>
    </cfRule>
    <cfRule type="cellIs" dxfId="11875" priority="12732" operator="equal">
      <formula>"CL"</formula>
    </cfRule>
    <cfRule type="cellIs" dxfId="11874" priority="12733" operator="equal">
      <formula>"EL"</formula>
    </cfRule>
  </conditionalFormatting>
  <conditionalFormatting sqref="AH20:AI20">
    <cfRule type="cellIs" dxfId="11873" priority="12722" operator="equal">
      <formula>"C-Off-H"</formula>
    </cfRule>
    <cfRule type="cellIs" dxfId="11872" priority="12723" operator="equal">
      <formula>"C-Off"</formula>
    </cfRule>
    <cfRule type="cellIs" dxfId="11871" priority="12724" operator="equal">
      <formula>"CL-H"</formula>
    </cfRule>
    <cfRule type="cellIs" dxfId="11870" priority="12725" operator="equal">
      <formula>"EL-H"</formula>
    </cfRule>
    <cfRule type="cellIs" dxfId="11869" priority="12726" operator="equal">
      <formula>"CL"</formula>
    </cfRule>
    <cfRule type="cellIs" dxfId="11868" priority="12727" operator="equal">
      <formula>"EL"</formula>
    </cfRule>
  </conditionalFormatting>
  <conditionalFormatting sqref="AH20:AI20">
    <cfRule type="containsText" dxfId="11867" priority="12716" operator="containsText" text="S">
      <formula>NOT(ISERROR(SEARCH("S",AH20)))</formula>
    </cfRule>
    <cfRule type="containsText" dxfId="11866" priority="12717" operator="containsText" text="P">
      <formula>NOT(ISERROR(SEARCH("P",AH20)))</formula>
    </cfRule>
    <cfRule type="containsText" dxfId="11865" priority="12718" operator="containsText" text="H">
      <formula>NOT(ISERROR(SEARCH("H",AH20)))</formula>
    </cfRule>
    <cfRule type="containsText" dxfId="11864" priority="12720" operator="containsText" text="&quot;H&quot;">
      <formula>NOT(ISERROR(SEARCH("""H""",AH20)))</formula>
    </cfRule>
    <cfRule type="containsText" dxfId="11863" priority="12721" operator="containsText" text="&quot;A&quot;">
      <formula>NOT(ISERROR(SEARCH("""A""",AH20)))</formula>
    </cfRule>
  </conditionalFormatting>
  <conditionalFormatting sqref="AH20:AI20">
    <cfRule type="containsText" dxfId="11862" priority="12719" operator="containsText" text="A-H">
      <formula>NOT(ISERROR(SEARCH("A-H",AH20)))</formula>
    </cfRule>
  </conditionalFormatting>
  <conditionalFormatting sqref="AU20">
    <cfRule type="cellIs" dxfId="11861" priority="12710" operator="equal">
      <formula>"C-Off-H"</formula>
    </cfRule>
    <cfRule type="cellIs" dxfId="11860" priority="12711" operator="equal">
      <formula>"C-Off"</formula>
    </cfRule>
    <cfRule type="cellIs" dxfId="11859" priority="12712" operator="equal">
      <formula>"CL-H"</formula>
    </cfRule>
    <cfRule type="cellIs" dxfId="11858" priority="12713" operator="equal">
      <formula>"EL-H"</formula>
    </cfRule>
    <cfRule type="cellIs" dxfId="11857" priority="12714" operator="equal">
      <formula>"CL"</formula>
    </cfRule>
    <cfRule type="cellIs" dxfId="11856" priority="12715" operator="equal">
      <formula>"EL"</formula>
    </cfRule>
  </conditionalFormatting>
  <conditionalFormatting sqref="AT20:AU20">
    <cfRule type="cellIs" dxfId="11855" priority="12704" operator="equal">
      <formula>"C-Off-H"</formula>
    </cfRule>
    <cfRule type="cellIs" dxfId="11854" priority="12705" operator="equal">
      <formula>"C-Off"</formula>
    </cfRule>
    <cfRule type="cellIs" dxfId="11853" priority="12706" operator="equal">
      <formula>"CL-H"</formula>
    </cfRule>
    <cfRule type="cellIs" dxfId="11852" priority="12707" operator="equal">
      <formula>"EL-H"</formula>
    </cfRule>
    <cfRule type="cellIs" dxfId="11851" priority="12708" operator="equal">
      <formula>"CL"</formula>
    </cfRule>
    <cfRule type="cellIs" dxfId="11850" priority="12709" operator="equal">
      <formula>"EL"</formula>
    </cfRule>
  </conditionalFormatting>
  <conditionalFormatting sqref="AT20:AU20">
    <cfRule type="containsText" dxfId="11849" priority="12698" operator="containsText" text="S">
      <formula>NOT(ISERROR(SEARCH("S",AT20)))</formula>
    </cfRule>
    <cfRule type="containsText" dxfId="11848" priority="12699" operator="containsText" text="P">
      <formula>NOT(ISERROR(SEARCH("P",AT20)))</formula>
    </cfRule>
    <cfRule type="containsText" dxfId="11847" priority="12700" operator="containsText" text="H">
      <formula>NOT(ISERROR(SEARCH("H",AT20)))</formula>
    </cfRule>
    <cfRule type="containsText" dxfId="11846" priority="12702" operator="containsText" text="&quot;H&quot;">
      <formula>NOT(ISERROR(SEARCH("""H""",AT20)))</formula>
    </cfRule>
    <cfRule type="containsText" dxfId="11845" priority="12703" operator="containsText" text="&quot;A&quot;">
      <formula>NOT(ISERROR(SEARCH("""A""",AT20)))</formula>
    </cfRule>
  </conditionalFormatting>
  <conditionalFormatting sqref="AT20:AU20">
    <cfRule type="containsText" dxfId="11844" priority="12701" operator="containsText" text="A-H">
      <formula>NOT(ISERROR(SEARCH("A-H",AT20)))</formula>
    </cfRule>
  </conditionalFormatting>
  <conditionalFormatting sqref="E20">
    <cfRule type="cellIs" dxfId="11843" priority="12692" operator="equal">
      <formula>"C-Off-H"</formula>
    </cfRule>
    <cfRule type="cellIs" dxfId="11842" priority="12693" operator="equal">
      <formula>"C-Off"</formula>
    </cfRule>
    <cfRule type="cellIs" dxfId="11841" priority="12694" operator="equal">
      <formula>"CL-H"</formula>
    </cfRule>
    <cfRule type="cellIs" dxfId="11840" priority="12695" operator="equal">
      <formula>"EL-H"</formula>
    </cfRule>
    <cfRule type="cellIs" dxfId="11839" priority="12696" operator="equal">
      <formula>"CL"</formula>
    </cfRule>
    <cfRule type="cellIs" dxfId="11838" priority="12697" operator="equal">
      <formula>"EL"</formula>
    </cfRule>
  </conditionalFormatting>
  <conditionalFormatting sqref="D20:E20">
    <cfRule type="cellIs" dxfId="11837" priority="12686" operator="equal">
      <formula>"C-Off-H"</formula>
    </cfRule>
    <cfRule type="cellIs" dxfId="11836" priority="12687" operator="equal">
      <formula>"C-Off"</formula>
    </cfRule>
    <cfRule type="cellIs" dxfId="11835" priority="12688" operator="equal">
      <formula>"CL-H"</formula>
    </cfRule>
    <cfRule type="cellIs" dxfId="11834" priority="12689" operator="equal">
      <formula>"EL-H"</formula>
    </cfRule>
    <cfRule type="cellIs" dxfId="11833" priority="12690" operator="equal">
      <formula>"CL"</formula>
    </cfRule>
    <cfRule type="cellIs" dxfId="11832" priority="12691" operator="equal">
      <formula>"EL"</formula>
    </cfRule>
  </conditionalFormatting>
  <conditionalFormatting sqref="D20:E20">
    <cfRule type="containsText" dxfId="11831" priority="12680" operator="containsText" text="S">
      <formula>NOT(ISERROR(SEARCH("S",D20)))</formula>
    </cfRule>
    <cfRule type="containsText" dxfId="11830" priority="12681" operator="containsText" text="P">
      <formula>NOT(ISERROR(SEARCH("P",D20)))</formula>
    </cfRule>
    <cfRule type="containsText" dxfId="11829" priority="12682" operator="containsText" text="H">
      <formula>NOT(ISERROR(SEARCH("H",D20)))</formula>
    </cfRule>
    <cfRule type="containsText" dxfId="11828" priority="12684" operator="containsText" text="&quot;H&quot;">
      <formula>NOT(ISERROR(SEARCH("""H""",D20)))</formula>
    </cfRule>
    <cfRule type="containsText" dxfId="11827" priority="12685" operator="containsText" text="&quot;A&quot;">
      <formula>NOT(ISERROR(SEARCH("""A""",D20)))</formula>
    </cfRule>
  </conditionalFormatting>
  <conditionalFormatting sqref="D20:E20">
    <cfRule type="containsText" dxfId="11826" priority="12683" operator="containsText" text="A-H">
      <formula>NOT(ISERROR(SEARCH("A-H",D20)))</formula>
    </cfRule>
  </conditionalFormatting>
  <conditionalFormatting sqref="Y20">
    <cfRule type="cellIs" dxfId="11825" priority="12674" operator="equal">
      <formula>"C-Off-H"</formula>
    </cfRule>
    <cfRule type="cellIs" dxfId="11824" priority="12675" operator="equal">
      <formula>"C-Off"</formula>
    </cfRule>
    <cfRule type="cellIs" dxfId="11823" priority="12676" operator="equal">
      <formula>"CL-H"</formula>
    </cfRule>
    <cfRule type="cellIs" dxfId="11822" priority="12677" operator="equal">
      <formula>"EL-H"</formula>
    </cfRule>
    <cfRule type="cellIs" dxfId="11821" priority="12678" operator="equal">
      <formula>"CL"</formula>
    </cfRule>
    <cfRule type="cellIs" dxfId="11820" priority="12679" operator="equal">
      <formula>"EL"</formula>
    </cfRule>
  </conditionalFormatting>
  <conditionalFormatting sqref="Y20">
    <cfRule type="containsText" dxfId="11819" priority="12668" operator="containsText" text="S">
      <formula>NOT(ISERROR(SEARCH("S",Y20)))</formula>
    </cfRule>
    <cfRule type="containsText" dxfId="11818" priority="12669" operator="containsText" text="P">
      <formula>NOT(ISERROR(SEARCH("P",Y20)))</formula>
    </cfRule>
    <cfRule type="containsText" dxfId="11817" priority="12670" operator="containsText" text="H">
      <formula>NOT(ISERROR(SEARCH("H",Y20)))</formula>
    </cfRule>
    <cfRule type="containsText" dxfId="11816" priority="12672" operator="containsText" text="&quot;H&quot;">
      <formula>NOT(ISERROR(SEARCH("""H""",Y20)))</formula>
    </cfRule>
    <cfRule type="containsText" dxfId="11815" priority="12673" operator="containsText" text="&quot;A&quot;">
      <formula>NOT(ISERROR(SEARCH("""A""",Y20)))</formula>
    </cfRule>
  </conditionalFormatting>
  <conditionalFormatting sqref="Y20">
    <cfRule type="containsText" dxfId="11814" priority="12671" operator="containsText" text="A-H">
      <formula>NOT(ISERROR(SEARCH("A-H",Y20)))</formula>
    </cfRule>
  </conditionalFormatting>
  <conditionalFormatting sqref="AF20">
    <cfRule type="cellIs" dxfId="11813" priority="12662" operator="equal">
      <formula>"C-Off-H"</formula>
    </cfRule>
    <cfRule type="cellIs" dxfId="11812" priority="12663" operator="equal">
      <formula>"C-Off"</formula>
    </cfRule>
    <cfRule type="cellIs" dxfId="11811" priority="12664" operator="equal">
      <formula>"CL-H"</formula>
    </cfRule>
    <cfRule type="cellIs" dxfId="11810" priority="12665" operator="equal">
      <formula>"EL-H"</formula>
    </cfRule>
    <cfRule type="cellIs" dxfId="11809" priority="12666" operator="equal">
      <formula>"CL"</formula>
    </cfRule>
    <cfRule type="cellIs" dxfId="11808" priority="12667" operator="equal">
      <formula>"EL"</formula>
    </cfRule>
  </conditionalFormatting>
  <conditionalFormatting sqref="AF20">
    <cfRule type="containsText" dxfId="11807" priority="12656" operator="containsText" text="S">
      <formula>NOT(ISERROR(SEARCH("S",AF20)))</formula>
    </cfRule>
    <cfRule type="containsText" dxfId="11806" priority="12657" operator="containsText" text="P">
      <formula>NOT(ISERROR(SEARCH("P",AF20)))</formula>
    </cfRule>
    <cfRule type="containsText" dxfId="11805" priority="12658" operator="containsText" text="H">
      <formula>NOT(ISERROR(SEARCH("H",AF20)))</formula>
    </cfRule>
    <cfRule type="containsText" dxfId="11804" priority="12660" operator="containsText" text="&quot;H&quot;">
      <formula>NOT(ISERROR(SEARCH("""H""",AF20)))</formula>
    </cfRule>
    <cfRule type="containsText" dxfId="11803" priority="12661" operator="containsText" text="&quot;A&quot;">
      <formula>NOT(ISERROR(SEARCH("""A""",AF20)))</formula>
    </cfRule>
  </conditionalFormatting>
  <conditionalFormatting sqref="AF20">
    <cfRule type="containsText" dxfId="11802" priority="12659" operator="containsText" text="A-H">
      <formula>NOT(ISERROR(SEARCH("A-H",AF20)))</formula>
    </cfRule>
  </conditionalFormatting>
  <conditionalFormatting sqref="BO20:BP20">
    <cfRule type="cellIs" dxfId="11801" priority="12650" operator="equal">
      <formula>"C-Off-H"</formula>
    </cfRule>
    <cfRule type="cellIs" dxfId="11800" priority="12651" operator="equal">
      <formula>"C-Off"</formula>
    </cfRule>
    <cfRule type="cellIs" dxfId="11799" priority="12652" operator="equal">
      <formula>"CL-H"</formula>
    </cfRule>
    <cfRule type="cellIs" dxfId="11798" priority="12653" operator="equal">
      <formula>"EL-H"</formula>
    </cfRule>
    <cfRule type="cellIs" dxfId="11797" priority="12654" operator="equal">
      <formula>"CL"</formula>
    </cfRule>
    <cfRule type="cellIs" dxfId="11796" priority="12655" operator="equal">
      <formula>"EL"</formula>
    </cfRule>
  </conditionalFormatting>
  <conditionalFormatting sqref="BO20:BP20">
    <cfRule type="cellIs" dxfId="11795" priority="12644" operator="equal">
      <formula>"C-Off-H"</formula>
    </cfRule>
    <cfRule type="cellIs" dxfId="11794" priority="12645" operator="equal">
      <formula>"C-Off"</formula>
    </cfRule>
    <cfRule type="cellIs" dxfId="11793" priority="12646" operator="equal">
      <formula>"CL-H"</formula>
    </cfRule>
    <cfRule type="cellIs" dxfId="11792" priority="12647" operator="equal">
      <formula>"EL-H"</formula>
    </cfRule>
    <cfRule type="cellIs" dxfId="11791" priority="12648" operator="equal">
      <formula>"CL"</formula>
    </cfRule>
    <cfRule type="cellIs" dxfId="11790" priority="12649" operator="equal">
      <formula>"EL"</formula>
    </cfRule>
  </conditionalFormatting>
  <conditionalFormatting sqref="BO20:BP20">
    <cfRule type="containsText" dxfId="11789" priority="12638" operator="containsText" text="S">
      <formula>NOT(ISERROR(SEARCH("S",BO20)))</formula>
    </cfRule>
    <cfRule type="containsText" dxfId="11788" priority="12639" operator="containsText" text="P">
      <formula>NOT(ISERROR(SEARCH("P",BO20)))</formula>
    </cfRule>
    <cfRule type="containsText" dxfId="11787" priority="12640" operator="containsText" text="H">
      <formula>NOT(ISERROR(SEARCH("H",BO20)))</formula>
    </cfRule>
    <cfRule type="containsText" dxfId="11786" priority="12642" operator="containsText" text="&quot;H&quot;">
      <formula>NOT(ISERROR(SEARCH("""H""",BO20)))</formula>
    </cfRule>
    <cfRule type="containsText" dxfId="11785" priority="12643" operator="containsText" text="&quot;A&quot;">
      <formula>NOT(ISERROR(SEARCH("""A""",BO20)))</formula>
    </cfRule>
  </conditionalFormatting>
  <conditionalFormatting sqref="BO20:BP20">
    <cfRule type="containsText" dxfId="11784" priority="12641" operator="containsText" text="A-H">
      <formula>NOT(ISERROR(SEARCH("A-H",BO20)))</formula>
    </cfRule>
  </conditionalFormatting>
  <conditionalFormatting sqref="CM20">
    <cfRule type="cellIs" dxfId="11783" priority="12632" operator="equal">
      <formula>"C-Off-H"</formula>
    </cfRule>
    <cfRule type="cellIs" dxfId="11782" priority="12633" operator="equal">
      <formula>"C-Off"</formula>
    </cfRule>
    <cfRule type="cellIs" dxfId="11781" priority="12634" operator="equal">
      <formula>"CL-H"</formula>
    </cfRule>
    <cfRule type="cellIs" dxfId="11780" priority="12635" operator="equal">
      <formula>"EL-H"</formula>
    </cfRule>
    <cfRule type="cellIs" dxfId="11779" priority="12636" operator="equal">
      <formula>"CL"</formula>
    </cfRule>
    <cfRule type="cellIs" dxfId="11778" priority="12637" operator="equal">
      <formula>"EL"</formula>
    </cfRule>
  </conditionalFormatting>
  <conditionalFormatting sqref="CM20">
    <cfRule type="cellIs" dxfId="11777" priority="12626" operator="equal">
      <formula>"C-Off-H"</formula>
    </cfRule>
    <cfRule type="cellIs" dxfId="11776" priority="12627" operator="equal">
      <formula>"C-Off"</formula>
    </cfRule>
    <cfRule type="cellIs" dxfId="11775" priority="12628" operator="equal">
      <formula>"CL-H"</formula>
    </cfRule>
    <cfRule type="cellIs" dxfId="11774" priority="12629" operator="equal">
      <formula>"EL-H"</formula>
    </cfRule>
    <cfRule type="cellIs" dxfId="11773" priority="12630" operator="equal">
      <formula>"CL"</formula>
    </cfRule>
    <cfRule type="cellIs" dxfId="11772" priority="12631" operator="equal">
      <formula>"EL"</formula>
    </cfRule>
  </conditionalFormatting>
  <conditionalFormatting sqref="CM20">
    <cfRule type="containsText" dxfId="11771" priority="12620" operator="containsText" text="S">
      <formula>NOT(ISERROR(SEARCH("S",CM20)))</formula>
    </cfRule>
    <cfRule type="containsText" dxfId="11770" priority="12621" operator="containsText" text="P">
      <formula>NOT(ISERROR(SEARCH("P",CM20)))</formula>
    </cfRule>
    <cfRule type="containsText" dxfId="11769" priority="12622" operator="containsText" text="H">
      <formula>NOT(ISERROR(SEARCH("H",CM20)))</formula>
    </cfRule>
    <cfRule type="containsText" dxfId="11768" priority="12624" operator="containsText" text="&quot;H&quot;">
      <formula>NOT(ISERROR(SEARCH("""H""",CM20)))</formula>
    </cfRule>
    <cfRule type="containsText" dxfId="11767" priority="12625" operator="containsText" text="&quot;A&quot;">
      <formula>NOT(ISERROR(SEARCH("""A""",CM20)))</formula>
    </cfRule>
  </conditionalFormatting>
  <conditionalFormatting sqref="CM20">
    <cfRule type="containsText" dxfId="11766" priority="12623" operator="containsText" text="A-H">
      <formula>NOT(ISERROR(SEARCH("A-H",CM20)))</formula>
    </cfRule>
  </conditionalFormatting>
  <conditionalFormatting sqref="V20:W20">
    <cfRule type="cellIs" dxfId="11765" priority="12590" operator="equal">
      <formula>"C-Off-H"</formula>
    </cfRule>
    <cfRule type="cellIs" dxfId="11764" priority="12591" operator="equal">
      <formula>"C-Off"</formula>
    </cfRule>
    <cfRule type="cellIs" dxfId="11763" priority="12592" operator="equal">
      <formula>"CL-H"</formula>
    </cfRule>
    <cfRule type="cellIs" dxfId="11762" priority="12593" operator="equal">
      <formula>"EL-H"</formula>
    </cfRule>
    <cfRule type="cellIs" dxfId="11761" priority="12594" operator="equal">
      <formula>"CL"</formula>
    </cfRule>
    <cfRule type="cellIs" dxfId="11760" priority="12595" operator="equal">
      <formula>"EL"</formula>
    </cfRule>
  </conditionalFormatting>
  <conditionalFormatting sqref="V20:W20">
    <cfRule type="containsText" dxfId="11759" priority="12584" operator="containsText" text="S">
      <formula>NOT(ISERROR(SEARCH("S",V20)))</formula>
    </cfRule>
    <cfRule type="containsText" dxfId="11758" priority="12585" operator="containsText" text="P">
      <formula>NOT(ISERROR(SEARCH("P",V20)))</formula>
    </cfRule>
    <cfRule type="containsText" dxfId="11757" priority="12586" operator="containsText" text="H">
      <formula>NOT(ISERROR(SEARCH("H",V20)))</formula>
    </cfRule>
    <cfRule type="containsText" dxfId="11756" priority="12588" operator="containsText" text="&quot;H&quot;">
      <formula>NOT(ISERROR(SEARCH("""H""",V20)))</formula>
    </cfRule>
    <cfRule type="containsText" dxfId="11755" priority="12589" operator="containsText" text="&quot;A&quot;">
      <formula>NOT(ISERROR(SEARCH("""A""",V20)))</formula>
    </cfRule>
  </conditionalFormatting>
  <conditionalFormatting sqref="V20:W20">
    <cfRule type="containsText" dxfId="11754" priority="12587" operator="containsText" text="A-H">
      <formula>NOT(ISERROR(SEARCH("A-H",V20)))</formula>
    </cfRule>
  </conditionalFormatting>
  <conditionalFormatting sqref="P20:Q20">
    <cfRule type="cellIs" dxfId="11753" priority="12614" operator="equal">
      <formula>"C-Off-H"</formula>
    </cfRule>
    <cfRule type="cellIs" dxfId="11752" priority="12615" operator="equal">
      <formula>"C-Off"</formula>
    </cfRule>
    <cfRule type="cellIs" dxfId="11751" priority="12616" operator="equal">
      <formula>"CL-H"</formula>
    </cfRule>
    <cfRule type="cellIs" dxfId="11750" priority="12617" operator="equal">
      <formula>"EL-H"</formula>
    </cfRule>
    <cfRule type="cellIs" dxfId="11749" priority="12618" operator="equal">
      <formula>"CL"</formula>
    </cfRule>
    <cfRule type="cellIs" dxfId="11748" priority="12619" operator="equal">
      <formula>"EL"</formula>
    </cfRule>
  </conditionalFormatting>
  <conditionalFormatting sqref="P20:Q20">
    <cfRule type="containsText" dxfId="11747" priority="12608" operator="containsText" text="S">
      <formula>NOT(ISERROR(SEARCH("S",P20)))</formula>
    </cfRule>
    <cfRule type="containsText" dxfId="11746" priority="12609" operator="containsText" text="P">
      <formula>NOT(ISERROR(SEARCH("P",P20)))</formula>
    </cfRule>
    <cfRule type="containsText" dxfId="11745" priority="12610" operator="containsText" text="H">
      <formula>NOT(ISERROR(SEARCH("H",P20)))</formula>
    </cfRule>
    <cfRule type="containsText" dxfId="11744" priority="12612" operator="containsText" text="&quot;H&quot;">
      <formula>NOT(ISERROR(SEARCH("""H""",P20)))</formula>
    </cfRule>
    <cfRule type="containsText" dxfId="11743" priority="12613" operator="containsText" text="&quot;A&quot;">
      <formula>NOT(ISERROR(SEARCH("""A""",P20)))</formula>
    </cfRule>
  </conditionalFormatting>
  <conditionalFormatting sqref="P20:Q20">
    <cfRule type="containsText" dxfId="11742" priority="12611" operator="containsText" text="A-H">
      <formula>NOT(ISERROR(SEARCH("A-H",P20)))</formula>
    </cfRule>
  </conditionalFormatting>
  <conditionalFormatting sqref="S20:T20">
    <cfRule type="cellIs" dxfId="11741" priority="12602" operator="equal">
      <formula>"C-Off-H"</formula>
    </cfRule>
    <cfRule type="cellIs" dxfId="11740" priority="12603" operator="equal">
      <formula>"C-Off"</formula>
    </cfRule>
    <cfRule type="cellIs" dxfId="11739" priority="12604" operator="equal">
      <formula>"CL-H"</formula>
    </cfRule>
    <cfRule type="cellIs" dxfId="11738" priority="12605" operator="equal">
      <formula>"EL-H"</formula>
    </cfRule>
    <cfRule type="cellIs" dxfId="11737" priority="12606" operator="equal">
      <formula>"CL"</formula>
    </cfRule>
    <cfRule type="cellIs" dxfId="11736" priority="12607" operator="equal">
      <formula>"EL"</formula>
    </cfRule>
  </conditionalFormatting>
  <conditionalFormatting sqref="S20:T20">
    <cfRule type="containsText" dxfId="11735" priority="12596" operator="containsText" text="S">
      <formula>NOT(ISERROR(SEARCH("S",S20)))</formula>
    </cfRule>
    <cfRule type="containsText" dxfId="11734" priority="12597" operator="containsText" text="P">
      <formula>NOT(ISERROR(SEARCH("P",S20)))</formula>
    </cfRule>
    <cfRule type="containsText" dxfId="11733" priority="12598" operator="containsText" text="H">
      <formula>NOT(ISERROR(SEARCH("H",S20)))</formula>
    </cfRule>
    <cfRule type="containsText" dxfId="11732" priority="12600" operator="containsText" text="&quot;H&quot;">
      <formula>NOT(ISERROR(SEARCH("""H""",S20)))</formula>
    </cfRule>
    <cfRule type="containsText" dxfId="11731" priority="12601" operator="containsText" text="&quot;A&quot;">
      <formula>NOT(ISERROR(SEARCH("""A""",S20)))</formula>
    </cfRule>
  </conditionalFormatting>
  <conditionalFormatting sqref="S20:T20">
    <cfRule type="containsText" dxfId="11730" priority="12599" operator="containsText" text="A-H">
      <formula>NOT(ISERROR(SEARCH("A-H",S20)))</formula>
    </cfRule>
  </conditionalFormatting>
  <conditionalFormatting sqref="AB20:AC20">
    <cfRule type="cellIs" dxfId="11729" priority="12578" operator="equal">
      <formula>"C-Off-H"</formula>
    </cfRule>
    <cfRule type="cellIs" dxfId="11728" priority="12579" operator="equal">
      <formula>"C-Off"</formula>
    </cfRule>
    <cfRule type="cellIs" dxfId="11727" priority="12580" operator="equal">
      <formula>"CL-H"</formula>
    </cfRule>
    <cfRule type="cellIs" dxfId="11726" priority="12581" operator="equal">
      <formula>"EL-H"</formula>
    </cfRule>
    <cfRule type="cellIs" dxfId="11725" priority="12582" operator="equal">
      <formula>"CL"</formula>
    </cfRule>
    <cfRule type="cellIs" dxfId="11724" priority="12583" operator="equal">
      <formula>"EL"</formula>
    </cfRule>
  </conditionalFormatting>
  <conditionalFormatting sqref="AB20:AC20">
    <cfRule type="containsText" dxfId="11723" priority="12572" operator="containsText" text="S">
      <formula>NOT(ISERROR(SEARCH("S",AB20)))</formula>
    </cfRule>
    <cfRule type="containsText" dxfId="11722" priority="12573" operator="containsText" text="P">
      <formula>NOT(ISERROR(SEARCH("P",AB20)))</formula>
    </cfRule>
    <cfRule type="containsText" dxfId="11721" priority="12574" operator="containsText" text="H">
      <formula>NOT(ISERROR(SEARCH("H",AB20)))</formula>
    </cfRule>
    <cfRule type="containsText" dxfId="11720" priority="12576" operator="containsText" text="&quot;H&quot;">
      <formula>NOT(ISERROR(SEARCH("""H""",AB20)))</formula>
    </cfRule>
    <cfRule type="containsText" dxfId="11719" priority="12577" operator="containsText" text="&quot;A&quot;">
      <formula>NOT(ISERROR(SEARCH("""A""",AB20)))</formula>
    </cfRule>
  </conditionalFormatting>
  <conditionalFormatting sqref="AB20:AC20">
    <cfRule type="containsText" dxfId="11718" priority="12575" operator="containsText" text="A-H">
      <formula>NOT(ISERROR(SEARCH("A-H",AB20)))</formula>
    </cfRule>
  </conditionalFormatting>
  <conditionalFormatting sqref="AE20">
    <cfRule type="cellIs" dxfId="11717" priority="12566" operator="equal">
      <formula>"C-Off-H"</formula>
    </cfRule>
    <cfRule type="cellIs" dxfId="11716" priority="12567" operator="equal">
      <formula>"C-Off"</formula>
    </cfRule>
    <cfRule type="cellIs" dxfId="11715" priority="12568" operator="equal">
      <formula>"CL-H"</formula>
    </cfRule>
    <cfRule type="cellIs" dxfId="11714" priority="12569" operator="equal">
      <formula>"EL-H"</formula>
    </cfRule>
    <cfRule type="cellIs" dxfId="11713" priority="12570" operator="equal">
      <formula>"CL"</formula>
    </cfRule>
    <cfRule type="cellIs" dxfId="11712" priority="12571" operator="equal">
      <formula>"EL"</formula>
    </cfRule>
  </conditionalFormatting>
  <conditionalFormatting sqref="AE20">
    <cfRule type="containsText" dxfId="11711" priority="12560" operator="containsText" text="S">
      <formula>NOT(ISERROR(SEARCH("S",AE20)))</formula>
    </cfRule>
    <cfRule type="containsText" dxfId="11710" priority="12561" operator="containsText" text="P">
      <formula>NOT(ISERROR(SEARCH("P",AE20)))</formula>
    </cfRule>
    <cfRule type="containsText" dxfId="11709" priority="12562" operator="containsText" text="H">
      <formula>NOT(ISERROR(SEARCH("H",AE20)))</formula>
    </cfRule>
    <cfRule type="containsText" dxfId="11708" priority="12564" operator="containsText" text="&quot;H&quot;">
      <formula>NOT(ISERROR(SEARCH("""H""",AE20)))</formula>
    </cfRule>
    <cfRule type="containsText" dxfId="11707" priority="12565" operator="containsText" text="&quot;A&quot;">
      <formula>NOT(ISERROR(SEARCH("""A""",AE20)))</formula>
    </cfRule>
  </conditionalFormatting>
  <conditionalFormatting sqref="AE20">
    <cfRule type="containsText" dxfId="11706" priority="12563" operator="containsText" text="A-H">
      <formula>NOT(ISERROR(SEARCH("A-H",AE20)))</formula>
    </cfRule>
  </conditionalFormatting>
  <conditionalFormatting sqref="AK20:AL20">
    <cfRule type="cellIs" dxfId="11705" priority="12554" operator="equal">
      <formula>"C-Off-H"</formula>
    </cfRule>
    <cfRule type="cellIs" dxfId="11704" priority="12555" operator="equal">
      <formula>"C-Off"</formula>
    </cfRule>
    <cfRule type="cellIs" dxfId="11703" priority="12556" operator="equal">
      <formula>"CL-H"</formula>
    </cfRule>
    <cfRule type="cellIs" dxfId="11702" priority="12557" operator="equal">
      <formula>"EL-H"</formula>
    </cfRule>
    <cfRule type="cellIs" dxfId="11701" priority="12558" operator="equal">
      <formula>"CL"</formula>
    </cfRule>
    <cfRule type="cellIs" dxfId="11700" priority="12559" operator="equal">
      <formula>"EL"</formula>
    </cfRule>
  </conditionalFormatting>
  <conditionalFormatting sqref="AK20:AL20">
    <cfRule type="containsText" dxfId="11699" priority="12548" operator="containsText" text="S">
      <formula>NOT(ISERROR(SEARCH("S",AK20)))</formula>
    </cfRule>
    <cfRule type="containsText" dxfId="11698" priority="12549" operator="containsText" text="P">
      <formula>NOT(ISERROR(SEARCH("P",AK20)))</formula>
    </cfRule>
    <cfRule type="containsText" dxfId="11697" priority="12550" operator="containsText" text="H">
      <formula>NOT(ISERROR(SEARCH("H",AK20)))</formula>
    </cfRule>
    <cfRule type="containsText" dxfId="11696" priority="12552" operator="containsText" text="&quot;H&quot;">
      <formula>NOT(ISERROR(SEARCH("""H""",AK20)))</formula>
    </cfRule>
    <cfRule type="containsText" dxfId="11695" priority="12553" operator="containsText" text="&quot;A&quot;">
      <formula>NOT(ISERROR(SEARCH("""A""",AK20)))</formula>
    </cfRule>
  </conditionalFormatting>
  <conditionalFormatting sqref="AK20:AL20">
    <cfRule type="containsText" dxfId="11694" priority="12551" operator="containsText" text="A-H">
      <formula>NOT(ISERROR(SEARCH("A-H",AK20)))</formula>
    </cfRule>
  </conditionalFormatting>
  <conditionalFormatting sqref="AN20:AO20">
    <cfRule type="cellIs" dxfId="11693" priority="12542" operator="equal">
      <formula>"C-Off-H"</formula>
    </cfRule>
    <cfRule type="cellIs" dxfId="11692" priority="12543" operator="equal">
      <formula>"C-Off"</formula>
    </cfRule>
    <cfRule type="cellIs" dxfId="11691" priority="12544" operator="equal">
      <formula>"CL-H"</formula>
    </cfRule>
    <cfRule type="cellIs" dxfId="11690" priority="12545" operator="equal">
      <formula>"EL-H"</formula>
    </cfRule>
    <cfRule type="cellIs" dxfId="11689" priority="12546" operator="equal">
      <formula>"CL"</formula>
    </cfRule>
    <cfRule type="cellIs" dxfId="11688" priority="12547" operator="equal">
      <formula>"EL"</formula>
    </cfRule>
  </conditionalFormatting>
  <conditionalFormatting sqref="AN20:AO20">
    <cfRule type="containsText" dxfId="11687" priority="12536" operator="containsText" text="S">
      <formula>NOT(ISERROR(SEARCH("S",AN20)))</formula>
    </cfRule>
    <cfRule type="containsText" dxfId="11686" priority="12537" operator="containsText" text="P">
      <formula>NOT(ISERROR(SEARCH("P",AN20)))</formula>
    </cfRule>
    <cfRule type="containsText" dxfId="11685" priority="12538" operator="containsText" text="H">
      <formula>NOT(ISERROR(SEARCH("H",AN20)))</formula>
    </cfRule>
    <cfRule type="containsText" dxfId="11684" priority="12540" operator="containsText" text="&quot;H&quot;">
      <formula>NOT(ISERROR(SEARCH("""H""",AN20)))</formula>
    </cfRule>
    <cfRule type="containsText" dxfId="11683" priority="12541" operator="containsText" text="&quot;A&quot;">
      <formula>NOT(ISERROR(SEARCH("""A""",AN20)))</formula>
    </cfRule>
  </conditionalFormatting>
  <conditionalFormatting sqref="AN20:AO20">
    <cfRule type="containsText" dxfId="11682" priority="12539" operator="containsText" text="A-H">
      <formula>NOT(ISERROR(SEARCH("A-H",AN20)))</formula>
    </cfRule>
  </conditionalFormatting>
  <conditionalFormatting sqref="AQ20:AR20">
    <cfRule type="cellIs" dxfId="11681" priority="12530" operator="equal">
      <formula>"C-Off-H"</formula>
    </cfRule>
    <cfRule type="cellIs" dxfId="11680" priority="12531" operator="equal">
      <formula>"C-Off"</formula>
    </cfRule>
    <cfRule type="cellIs" dxfId="11679" priority="12532" operator="equal">
      <formula>"CL-H"</formula>
    </cfRule>
    <cfRule type="cellIs" dxfId="11678" priority="12533" operator="equal">
      <formula>"EL-H"</formula>
    </cfRule>
    <cfRule type="cellIs" dxfId="11677" priority="12534" operator="equal">
      <formula>"CL"</formula>
    </cfRule>
    <cfRule type="cellIs" dxfId="11676" priority="12535" operator="equal">
      <formula>"EL"</formula>
    </cfRule>
  </conditionalFormatting>
  <conditionalFormatting sqref="AQ20:AR20">
    <cfRule type="containsText" dxfId="11675" priority="12524" operator="containsText" text="S">
      <formula>NOT(ISERROR(SEARCH("S",AQ20)))</formula>
    </cfRule>
    <cfRule type="containsText" dxfId="11674" priority="12525" operator="containsText" text="P">
      <formula>NOT(ISERROR(SEARCH("P",AQ20)))</formula>
    </cfRule>
    <cfRule type="containsText" dxfId="11673" priority="12526" operator="containsText" text="H">
      <formula>NOT(ISERROR(SEARCH("H",AQ20)))</formula>
    </cfRule>
    <cfRule type="containsText" dxfId="11672" priority="12528" operator="containsText" text="&quot;H&quot;">
      <formula>NOT(ISERROR(SEARCH("""H""",AQ20)))</formula>
    </cfRule>
    <cfRule type="containsText" dxfId="11671" priority="12529" operator="containsText" text="&quot;A&quot;">
      <formula>NOT(ISERROR(SEARCH("""A""",AQ20)))</formula>
    </cfRule>
  </conditionalFormatting>
  <conditionalFormatting sqref="AQ20:AR20">
    <cfRule type="containsText" dxfId="11670" priority="12527" operator="containsText" text="A-H">
      <formula>NOT(ISERROR(SEARCH("A-H",AQ20)))</formula>
    </cfRule>
  </conditionalFormatting>
  <conditionalFormatting sqref="AW20:AX20">
    <cfRule type="cellIs" dxfId="11669" priority="12518" operator="equal">
      <formula>"C-Off-H"</formula>
    </cfRule>
    <cfRule type="cellIs" dxfId="11668" priority="12519" operator="equal">
      <formula>"C-Off"</formula>
    </cfRule>
    <cfRule type="cellIs" dxfId="11667" priority="12520" operator="equal">
      <formula>"CL-H"</formula>
    </cfRule>
    <cfRule type="cellIs" dxfId="11666" priority="12521" operator="equal">
      <formula>"EL-H"</formula>
    </cfRule>
    <cfRule type="cellIs" dxfId="11665" priority="12522" operator="equal">
      <formula>"CL"</formula>
    </cfRule>
    <cfRule type="cellIs" dxfId="11664" priority="12523" operator="equal">
      <formula>"EL"</formula>
    </cfRule>
  </conditionalFormatting>
  <conditionalFormatting sqref="AW20:AX20">
    <cfRule type="containsText" dxfId="11663" priority="12512" operator="containsText" text="S">
      <formula>NOT(ISERROR(SEARCH("S",AW20)))</formula>
    </cfRule>
    <cfRule type="containsText" dxfId="11662" priority="12513" operator="containsText" text="P">
      <formula>NOT(ISERROR(SEARCH("P",AW20)))</formula>
    </cfRule>
    <cfRule type="containsText" dxfId="11661" priority="12514" operator="containsText" text="H">
      <formula>NOT(ISERROR(SEARCH("H",AW20)))</formula>
    </cfRule>
    <cfRule type="containsText" dxfId="11660" priority="12516" operator="containsText" text="&quot;H&quot;">
      <formula>NOT(ISERROR(SEARCH("""H""",AW20)))</formula>
    </cfRule>
    <cfRule type="containsText" dxfId="11659" priority="12517" operator="containsText" text="&quot;A&quot;">
      <formula>NOT(ISERROR(SEARCH("""A""",AW20)))</formula>
    </cfRule>
  </conditionalFormatting>
  <conditionalFormatting sqref="AW20:AX20">
    <cfRule type="containsText" dxfId="11658" priority="12515" operator="containsText" text="A-H">
      <formula>NOT(ISERROR(SEARCH("A-H",AW20)))</formula>
    </cfRule>
  </conditionalFormatting>
  <conditionalFormatting sqref="AZ20:BA20">
    <cfRule type="cellIs" dxfId="11657" priority="12506" operator="equal">
      <formula>"C-Off-H"</formula>
    </cfRule>
    <cfRule type="cellIs" dxfId="11656" priority="12507" operator="equal">
      <formula>"C-Off"</formula>
    </cfRule>
    <cfRule type="cellIs" dxfId="11655" priority="12508" operator="equal">
      <formula>"CL-H"</formula>
    </cfRule>
    <cfRule type="cellIs" dxfId="11654" priority="12509" operator="equal">
      <formula>"EL-H"</formula>
    </cfRule>
    <cfRule type="cellIs" dxfId="11653" priority="12510" operator="equal">
      <formula>"CL"</formula>
    </cfRule>
    <cfRule type="cellIs" dxfId="11652" priority="12511" operator="equal">
      <formula>"EL"</formula>
    </cfRule>
  </conditionalFormatting>
  <conditionalFormatting sqref="AZ20:BA20">
    <cfRule type="containsText" dxfId="11651" priority="12500" operator="containsText" text="S">
      <formula>NOT(ISERROR(SEARCH("S",AZ20)))</formula>
    </cfRule>
    <cfRule type="containsText" dxfId="11650" priority="12501" operator="containsText" text="P">
      <formula>NOT(ISERROR(SEARCH("P",AZ20)))</formula>
    </cfRule>
    <cfRule type="containsText" dxfId="11649" priority="12502" operator="containsText" text="H">
      <formula>NOT(ISERROR(SEARCH("H",AZ20)))</formula>
    </cfRule>
    <cfRule type="containsText" dxfId="11648" priority="12504" operator="containsText" text="&quot;H&quot;">
      <formula>NOT(ISERROR(SEARCH("""H""",AZ20)))</formula>
    </cfRule>
    <cfRule type="containsText" dxfId="11647" priority="12505" operator="containsText" text="&quot;A&quot;">
      <formula>NOT(ISERROR(SEARCH("""A""",AZ20)))</formula>
    </cfRule>
  </conditionalFormatting>
  <conditionalFormatting sqref="AZ20:BA20">
    <cfRule type="containsText" dxfId="11646" priority="12503" operator="containsText" text="A-H">
      <formula>NOT(ISERROR(SEARCH("A-H",AZ20)))</formula>
    </cfRule>
  </conditionalFormatting>
  <conditionalFormatting sqref="BC20:BD20">
    <cfRule type="cellIs" dxfId="11645" priority="12494" operator="equal">
      <formula>"C-Off-H"</formula>
    </cfRule>
    <cfRule type="cellIs" dxfId="11644" priority="12495" operator="equal">
      <formula>"C-Off"</formula>
    </cfRule>
    <cfRule type="cellIs" dxfId="11643" priority="12496" operator="equal">
      <formula>"CL-H"</formula>
    </cfRule>
    <cfRule type="cellIs" dxfId="11642" priority="12497" operator="equal">
      <formula>"EL-H"</formula>
    </cfRule>
    <cfRule type="cellIs" dxfId="11641" priority="12498" operator="equal">
      <formula>"CL"</formula>
    </cfRule>
    <cfRule type="cellIs" dxfId="11640" priority="12499" operator="equal">
      <formula>"EL"</formula>
    </cfRule>
  </conditionalFormatting>
  <conditionalFormatting sqref="BC20:BD20">
    <cfRule type="containsText" dxfId="11639" priority="12488" operator="containsText" text="S">
      <formula>NOT(ISERROR(SEARCH("S",BC20)))</formula>
    </cfRule>
    <cfRule type="containsText" dxfId="11638" priority="12489" operator="containsText" text="P">
      <formula>NOT(ISERROR(SEARCH("P",BC20)))</formula>
    </cfRule>
    <cfRule type="containsText" dxfId="11637" priority="12490" operator="containsText" text="H">
      <formula>NOT(ISERROR(SEARCH("H",BC20)))</formula>
    </cfRule>
    <cfRule type="containsText" dxfId="11636" priority="12492" operator="containsText" text="&quot;H&quot;">
      <formula>NOT(ISERROR(SEARCH("""H""",BC20)))</formula>
    </cfRule>
    <cfRule type="containsText" dxfId="11635" priority="12493" operator="containsText" text="&quot;A&quot;">
      <formula>NOT(ISERROR(SEARCH("""A""",BC20)))</formula>
    </cfRule>
  </conditionalFormatting>
  <conditionalFormatting sqref="BC20:BD20">
    <cfRule type="containsText" dxfId="11634" priority="12491" operator="containsText" text="A-H">
      <formula>NOT(ISERROR(SEARCH("A-H",BC20)))</formula>
    </cfRule>
  </conditionalFormatting>
  <conditionalFormatting sqref="BF20:BG20">
    <cfRule type="cellIs" dxfId="11633" priority="12482" operator="equal">
      <formula>"C-Off-H"</formula>
    </cfRule>
    <cfRule type="cellIs" dxfId="11632" priority="12483" operator="equal">
      <formula>"C-Off"</formula>
    </cfRule>
    <cfRule type="cellIs" dxfId="11631" priority="12484" operator="equal">
      <formula>"CL-H"</formula>
    </cfRule>
    <cfRule type="cellIs" dxfId="11630" priority="12485" operator="equal">
      <formula>"EL-H"</formula>
    </cfRule>
    <cfRule type="cellIs" dxfId="11629" priority="12486" operator="equal">
      <formula>"CL"</formula>
    </cfRule>
    <cfRule type="cellIs" dxfId="11628" priority="12487" operator="equal">
      <formula>"EL"</formula>
    </cfRule>
  </conditionalFormatting>
  <conditionalFormatting sqref="BF20:BG20">
    <cfRule type="containsText" dxfId="11627" priority="12476" operator="containsText" text="S">
      <formula>NOT(ISERROR(SEARCH("S",BF20)))</formula>
    </cfRule>
    <cfRule type="containsText" dxfId="11626" priority="12477" operator="containsText" text="P">
      <formula>NOT(ISERROR(SEARCH("P",BF20)))</formula>
    </cfRule>
    <cfRule type="containsText" dxfId="11625" priority="12478" operator="containsText" text="H">
      <formula>NOT(ISERROR(SEARCH("H",BF20)))</formula>
    </cfRule>
    <cfRule type="containsText" dxfId="11624" priority="12480" operator="containsText" text="&quot;H&quot;">
      <formula>NOT(ISERROR(SEARCH("""H""",BF20)))</formula>
    </cfRule>
    <cfRule type="containsText" dxfId="11623" priority="12481" operator="containsText" text="&quot;A&quot;">
      <formula>NOT(ISERROR(SEARCH("""A""",BF20)))</formula>
    </cfRule>
  </conditionalFormatting>
  <conditionalFormatting sqref="BF20:BG20">
    <cfRule type="containsText" dxfId="11622" priority="12479" operator="containsText" text="A-H">
      <formula>NOT(ISERROR(SEARCH("A-H",BF20)))</formula>
    </cfRule>
  </conditionalFormatting>
  <conditionalFormatting sqref="BI20:BJ20">
    <cfRule type="cellIs" dxfId="11621" priority="12470" operator="equal">
      <formula>"C-Off-H"</formula>
    </cfRule>
    <cfRule type="cellIs" dxfId="11620" priority="12471" operator="equal">
      <formula>"C-Off"</formula>
    </cfRule>
    <cfRule type="cellIs" dxfId="11619" priority="12472" operator="equal">
      <formula>"CL-H"</formula>
    </cfRule>
    <cfRule type="cellIs" dxfId="11618" priority="12473" operator="equal">
      <formula>"EL-H"</formula>
    </cfRule>
    <cfRule type="cellIs" dxfId="11617" priority="12474" operator="equal">
      <formula>"CL"</formula>
    </cfRule>
    <cfRule type="cellIs" dxfId="11616" priority="12475" operator="equal">
      <formula>"EL"</formula>
    </cfRule>
  </conditionalFormatting>
  <conditionalFormatting sqref="BI20:BJ20">
    <cfRule type="containsText" dxfId="11615" priority="12464" operator="containsText" text="S">
      <formula>NOT(ISERROR(SEARCH("S",BI20)))</formula>
    </cfRule>
    <cfRule type="containsText" dxfId="11614" priority="12465" operator="containsText" text="P">
      <formula>NOT(ISERROR(SEARCH("P",BI20)))</formula>
    </cfRule>
    <cfRule type="containsText" dxfId="11613" priority="12466" operator="containsText" text="H">
      <formula>NOT(ISERROR(SEARCH("H",BI20)))</formula>
    </cfRule>
    <cfRule type="containsText" dxfId="11612" priority="12468" operator="containsText" text="&quot;H&quot;">
      <formula>NOT(ISERROR(SEARCH("""H""",BI20)))</formula>
    </cfRule>
    <cfRule type="containsText" dxfId="11611" priority="12469" operator="containsText" text="&quot;A&quot;">
      <formula>NOT(ISERROR(SEARCH("""A""",BI20)))</formula>
    </cfRule>
  </conditionalFormatting>
  <conditionalFormatting sqref="BI20:BJ20">
    <cfRule type="containsText" dxfId="11610" priority="12467" operator="containsText" text="A-H">
      <formula>NOT(ISERROR(SEARCH("A-H",BI20)))</formula>
    </cfRule>
  </conditionalFormatting>
  <conditionalFormatting sqref="BL20:BM20">
    <cfRule type="cellIs" dxfId="11609" priority="12458" operator="equal">
      <formula>"C-Off-H"</formula>
    </cfRule>
    <cfRule type="cellIs" dxfId="11608" priority="12459" operator="equal">
      <formula>"C-Off"</formula>
    </cfRule>
    <cfRule type="cellIs" dxfId="11607" priority="12460" operator="equal">
      <formula>"CL-H"</formula>
    </cfRule>
    <cfRule type="cellIs" dxfId="11606" priority="12461" operator="equal">
      <formula>"EL-H"</formula>
    </cfRule>
    <cfRule type="cellIs" dxfId="11605" priority="12462" operator="equal">
      <formula>"CL"</formula>
    </cfRule>
    <cfRule type="cellIs" dxfId="11604" priority="12463" operator="equal">
      <formula>"EL"</formula>
    </cfRule>
  </conditionalFormatting>
  <conditionalFormatting sqref="BL20:BM20">
    <cfRule type="containsText" dxfId="11603" priority="12452" operator="containsText" text="S">
      <formula>NOT(ISERROR(SEARCH("S",BL20)))</formula>
    </cfRule>
    <cfRule type="containsText" dxfId="11602" priority="12453" operator="containsText" text="P">
      <formula>NOT(ISERROR(SEARCH("P",BL20)))</formula>
    </cfRule>
    <cfRule type="containsText" dxfId="11601" priority="12454" operator="containsText" text="H">
      <formula>NOT(ISERROR(SEARCH("H",BL20)))</formula>
    </cfRule>
    <cfRule type="containsText" dxfId="11600" priority="12456" operator="containsText" text="&quot;H&quot;">
      <formula>NOT(ISERROR(SEARCH("""H""",BL20)))</formula>
    </cfRule>
    <cfRule type="containsText" dxfId="11599" priority="12457" operator="containsText" text="&quot;A&quot;">
      <formula>NOT(ISERROR(SEARCH("""A""",BL20)))</formula>
    </cfRule>
  </conditionalFormatting>
  <conditionalFormatting sqref="BL20:BM20">
    <cfRule type="containsText" dxfId="11598" priority="12455" operator="containsText" text="A-H">
      <formula>NOT(ISERROR(SEARCH("A-H",BL20)))</formula>
    </cfRule>
  </conditionalFormatting>
  <conditionalFormatting sqref="BR20:BS20">
    <cfRule type="cellIs" dxfId="11597" priority="12446" operator="equal">
      <formula>"C-Off-H"</formula>
    </cfRule>
    <cfRule type="cellIs" dxfId="11596" priority="12447" operator="equal">
      <formula>"C-Off"</formula>
    </cfRule>
    <cfRule type="cellIs" dxfId="11595" priority="12448" operator="equal">
      <formula>"CL-H"</formula>
    </cfRule>
    <cfRule type="cellIs" dxfId="11594" priority="12449" operator="equal">
      <formula>"EL-H"</formula>
    </cfRule>
    <cfRule type="cellIs" dxfId="11593" priority="12450" operator="equal">
      <formula>"CL"</formula>
    </cfRule>
    <cfRule type="cellIs" dxfId="11592" priority="12451" operator="equal">
      <formula>"EL"</formula>
    </cfRule>
  </conditionalFormatting>
  <conditionalFormatting sqref="BR20:BS20">
    <cfRule type="containsText" dxfId="11591" priority="12440" operator="containsText" text="S">
      <formula>NOT(ISERROR(SEARCH("S",BR20)))</formula>
    </cfRule>
    <cfRule type="containsText" dxfId="11590" priority="12441" operator="containsText" text="P">
      <formula>NOT(ISERROR(SEARCH("P",BR20)))</formula>
    </cfRule>
    <cfRule type="containsText" dxfId="11589" priority="12442" operator="containsText" text="H">
      <formula>NOT(ISERROR(SEARCH("H",BR20)))</formula>
    </cfRule>
    <cfRule type="containsText" dxfId="11588" priority="12444" operator="containsText" text="&quot;H&quot;">
      <formula>NOT(ISERROR(SEARCH("""H""",BR20)))</formula>
    </cfRule>
    <cfRule type="containsText" dxfId="11587" priority="12445" operator="containsText" text="&quot;A&quot;">
      <formula>NOT(ISERROR(SEARCH("""A""",BR20)))</formula>
    </cfRule>
  </conditionalFormatting>
  <conditionalFormatting sqref="BR20:BS20">
    <cfRule type="containsText" dxfId="11586" priority="12443" operator="containsText" text="A-H">
      <formula>NOT(ISERROR(SEARCH("A-H",BR20)))</formula>
    </cfRule>
  </conditionalFormatting>
  <conditionalFormatting sqref="BU20:BV20">
    <cfRule type="cellIs" dxfId="11585" priority="12434" operator="equal">
      <formula>"C-Off-H"</formula>
    </cfRule>
    <cfRule type="cellIs" dxfId="11584" priority="12435" operator="equal">
      <formula>"C-Off"</formula>
    </cfRule>
    <cfRule type="cellIs" dxfId="11583" priority="12436" operator="equal">
      <formula>"CL-H"</formula>
    </cfRule>
    <cfRule type="cellIs" dxfId="11582" priority="12437" operator="equal">
      <formula>"EL-H"</formula>
    </cfRule>
    <cfRule type="cellIs" dxfId="11581" priority="12438" operator="equal">
      <formula>"CL"</formula>
    </cfRule>
    <cfRule type="cellIs" dxfId="11580" priority="12439" operator="equal">
      <formula>"EL"</formula>
    </cfRule>
  </conditionalFormatting>
  <conditionalFormatting sqref="BU20:BV20">
    <cfRule type="containsText" dxfId="11579" priority="12428" operator="containsText" text="S">
      <formula>NOT(ISERROR(SEARCH("S",BU20)))</formula>
    </cfRule>
    <cfRule type="containsText" dxfId="11578" priority="12429" operator="containsText" text="P">
      <formula>NOT(ISERROR(SEARCH("P",BU20)))</formula>
    </cfRule>
    <cfRule type="containsText" dxfId="11577" priority="12430" operator="containsText" text="H">
      <formula>NOT(ISERROR(SEARCH("H",BU20)))</formula>
    </cfRule>
    <cfRule type="containsText" dxfId="11576" priority="12432" operator="containsText" text="&quot;H&quot;">
      <formula>NOT(ISERROR(SEARCH("""H""",BU20)))</formula>
    </cfRule>
    <cfRule type="containsText" dxfId="11575" priority="12433" operator="containsText" text="&quot;A&quot;">
      <formula>NOT(ISERROR(SEARCH("""A""",BU20)))</formula>
    </cfRule>
  </conditionalFormatting>
  <conditionalFormatting sqref="BU20:BV20">
    <cfRule type="containsText" dxfId="11574" priority="12431" operator="containsText" text="A-H">
      <formula>NOT(ISERROR(SEARCH("A-H",BU20)))</formula>
    </cfRule>
  </conditionalFormatting>
  <conditionalFormatting sqref="BY20">
    <cfRule type="cellIs" dxfId="11573" priority="12422" operator="equal">
      <formula>"C-Off-H"</formula>
    </cfRule>
    <cfRule type="cellIs" dxfId="11572" priority="12423" operator="equal">
      <formula>"C-Off"</formula>
    </cfRule>
    <cfRule type="cellIs" dxfId="11571" priority="12424" operator="equal">
      <formula>"CL-H"</formula>
    </cfRule>
    <cfRule type="cellIs" dxfId="11570" priority="12425" operator="equal">
      <formula>"EL-H"</formula>
    </cfRule>
    <cfRule type="cellIs" dxfId="11569" priority="12426" operator="equal">
      <formula>"CL"</formula>
    </cfRule>
    <cfRule type="cellIs" dxfId="11568" priority="12427" operator="equal">
      <formula>"EL"</formula>
    </cfRule>
  </conditionalFormatting>
  <conditionalFormatting sqref="BY20">
    <cfRule type="containsText" dxfId="11567" priority="12416" operator="containsText" text="S">
      <formula>NOT(ISERROR(SEARCH("S",BY20)))</formula>
    </cfRule>
    <cfRule type="containsText" dxfId="11566" priority="12417" operator="containsText" text="P">
      <formula>NOT(ISERROR(SEARCH("P",BY20)))</formula>
    </cfRule>
    <cfRule type="containsText" dxfId="11565" priority="12418" operator="containsText" text="H">
      <formula>NOT(ISERROR(SEARCH("H",BY20)))</formula>
    </cfRule>
    <cfRule type="containsText" dxfId="11564" priority="12420" operator="containsText" text="&quot;H&quot;">
      <formula>NOT(ISERROR(SEARCH("""H""",BY20)))</formula>
    </cfRule>
    <cfRule type="containsText" dxfId="11563" priority="12421" operator="containsText" text="&quot;A&quot;">
      <formula>NOT(ISERROR(SEARCH("""A""",BY20)))</formula>
    </cfRule>
  </conditionalFormatting>
  <conditionalFormatting sqref="BY20">
    <cfRule type="containsText" dxfId="11562" priority="12419" operator="containsText" text="A-H">
      <formula>NOT(ISERROR(SEARCH("A-H",BY20)))</formula>
    </cfRule>
  </conditionalFormatting>
  <conditionalFormatting sqref="BX20">
    <cfRule type="cellIs" dxfId="11561" priority="12410" operator="equal">
      <formula>"C-Off-H"</formula>
    </cfRule>
    <cfRule type="cellIs" dxfId="11560" priority="12411" operator="equal">
      <formula>"C-Off"</formula>
    </cfRule>
    <cfRule type="cellIs" dxfId="11559" priority="12412" operator="equal">
      <formula>"CL-H"</formula>
    </cfRule>
    <cfRule type="cellIs" dxfId="11558" priority="12413" operator="equal">
      <formula>"EL-H"</formula>
    </cfRule>
    <cfRule type="cellIs" dxfId="11557" priority="12414" operator="equal">
      <formula>"CL"</formula>
    </cfRule>
    <cfRule type="cellIs" dxfId="11556" priority="12415" operator="equal">
      <formula>"EL"</formula>
    </cfRule>
  </conditionalFormatting>
  <conditionalFormatting sqref="BX20">
    <cfRule type="containsText" dxfId="11555" priority="12404" operator="containsText" text="S">
      <formula>NOT(ISERROR(SEARCH("S",BX20)))</formula>
    </cfRule>
    <cfRule type="containsText" dxfId="11554" priority="12405" operator="containsText" text="P">
      <formula>NOT(ISERROR(SEARCH("P",BX20)))</formula>
    </cfRule>
    <cfRule type="containsText" dxfId="11553" priority="12406" operator="containsText" text="H">
      <formula>NOT(ISERROR(SEARCH("H",BX20)))</formula>
    </cfRule>
    <cfRule type="containsText" dxfId="11552" priority="12408" operator="containsText" text="&quot;H&quot;">
      <formula>NOT(ISERROR(SEARCH("""H""",BX20)))</formula>
    </cfRule>
    <cfRule type="containsText" dxfId="11551" priority="12409" operator="containsText" text="&quot;A&quot;">
      <formula>NOT(ISERROR(SEARCH("""A""",BX20)))</formula>
    </cfRule>
  </conditionalFormatting>
  <conditionalFormatting sqref="BX20">
    <cfRule type="containsText" dxfId="11550" priority="12407" operator="containsText" text="A-H">
      <formula>NOT(ISERROR(SEARCH("A-H",BX20)))</formula>
    </cfRule>
  </conditionalFormatting>
  <conditionalFormatting sqref="J20">
    <cfRule type="cellIs" dxfId="11549" priority="12398" operator="equal">
      <formula>"C-Off-H"</formula>
    </cfRule>
    <cfRule type="cellIs" dxfId="11548" priority="12399" operator="equal">
      <formula>"C-Off"</formula>
    </cfRule>
    <cfRule type="cellIs" dxfId="11547" priority="12400" operator="equal">
      <formula>"CL-H"</formula>
    </cfRule>
    <cfRule type="cellIs" dxfId="11546" priority="12401" operator="equal">
      <formula>"EL-H"</formula>
    </cfRule>
    <cfRule type="cellIs" dxfId="11545" priority="12402" operator="equal">
      <formula>"CL"</formula>
    </cfRule>
    <cfRule type="cellIs" dxfId="11544" priority="12403" operator="equal">
      <formula>"EL"</formula>
    </cfRule>
  </conditionalFormatting>
  <conditionalFormatting sqref="J20">
    <cfRule type="containsText" dxfId="11543" priority="12392" operator="containsText" text="S">
      <formula>NOT(ISERROR(SEARCH("S",J20)))</formula>
    </cfRule>
    <cfRule type="containsText" dxfId="11542" priority="12393" operator="containsText" text="P">
      <formula>NOT(ISERROR(SEARCH("P",J20)))</formula>
    </cfRule>
    <cfRule type="containsText" dxfId="11541" priority="12394" operator="containsText" text="H">
      <formula>NOT(ISERROR(SEARCH("H",J20)))</formula>
    </cfRule>
    <cfRule type="containsText" dxfId="11540" priority="12396" operator="containsText" text="&quot;H&quot;">
      <formula>NOT(ISERROR(SEARCH("""H""",J20)))</formula>
    </cfRule>
    <cfRule type="containsText" dxfId="11539" priority="12397" operator="containsText" text="&quot;A&quot;">
      <formula>NOT(ISERROR(SEARCH("""A""",J20)))</formula>
    </cfRule>
  </conditionalFormatting>
  <conditionalFormatting sqref="J20">
    <cfRule type="containsText" dxfId="11538" priority="12395" operator="containsText" text="A-H">
      <formula>NOT(ISERROR(SEARCH("A-H",J20)))</formula>
    </cfRule>
  </conditionalFormatting>
  <conditionalFormatting sqref="CN22">
    <cfRule type="cellIs" dxfId="11537" priority="12386" operator="equal">
      <formula>"C-Off-H"</formula>
    </cfRule>
    <cfRule type="cellIs" dxfId="11536" priority="12387" operator="equal">
      <formula>"C-Off"</formula>
    </cfRule>
    <cfRule type="cellIs" dxfId="11535" priority="12388" operator="equal">
      <formula>"CL-H"</formula>
    </cfRule>
    <cfRule type="cellIs" dxfId="11534" priority="12389" operator="equal">
      <formula>"EL-H"</formula>
    </cfRule>
    <cfRule type="cellIs" dxfId="11533" priority="12390" operator="equal">
      <formula>"CL"</formula>
    </cfRule>
    <cfRule type="cellIs" dxfId="11532" priority="12391" operator="equal">
      <formula>"EL"</formula>
    </cfRule>
  </conditionalFormatting>
  <conditionalFormatting sqref="CN22">
    <cfRule type="containsText" dxfId="11531" priority="12385" operator="containsText" text="A-H">
      <formula>NOT(ISERROR(SEARCH("A-H",CN22)))</formula>
    </cfRule>
  </conditionalFormatting>
  <conditionalFormatting sqref="CN22">
    <cfRule type="containsText" dxfId="11530" priority="12384" operator="containsText" text="A">
      <formula>NOT(ISERROR(SEARCH("A",CN22)))</formula>
    </cfRule>
  </conditionalFormatting>
  <conditionalFormatting sqref="CN22">
    <cfRule type="containsText" dxfId="11529" priority="12379" operator="containsText" text="S">
      <formula>NOT(ISERROR(SEARCH("S",CN22)))</formula>
    </cfRule>
    <cfRule type="containsText" dxfId="11528" priority="12380" operator="containsText" text="P">
      <formula>NOT(ISERROR(SEARCH("P",CN22)))</formula>
    </cfRule>
    <cfRule type="containsText" dxfId="11527" priority="12381" operator="containsText" text="H">
      <formula>NOT(ISERROR(SEARCH("H",CN22)))</formula>
    </cfRule>
    <cfRule type="containsText" dxfId="11526" priority="12382" operator="containsText" text="&quot;H&quot;">
      <formula>NOT(ISERROR(SEARCH("""H""",CN22)))</formula>
    </cfRule>
    <cfRule type="containsText" dxfId="11525" priority="12383" operator="containsText" text="&quot;A&quot;">
      <formula>NOT(ISERROR(SEARCH("""A""",CN22)))</formula>
    </cfRule>
  </conditionalFormatting>
  <conditionalFormatting sqref="CA21:CB21">
    <cfRule type="cellIs" dxfId="11524" priority="12373" operator="equal">
      <formula>"C-Off-H"</formula>
    </cfRule>
    <cfRule type="cellIs" dxfId="11523" priority="12374" operator="equal">
      <formula>"C-Off"</formula>
    </cfRule>
    <cfRule type="cellIs" dxfId="11522" priority="12375" operator="equal">
      <formula>"CL-H"</formula>
    </cfRule>
    <cfRule type="cellIs" dxfId="11521" priority="12376" operator="equal">
      <formula>"EL-H"</formula>
    </cfRule>
    <cfRule type="cellIs" dxfId="11520" priority="12377" operator="equal">
      <formula>"CL"</formula>
    </cfRule>
    <cfRule type="cellIs" dxfId="11519" priority="12378" operator="equal">
      <formula>"EL"</formula>
    </cfRule>
  </conditionalFormatting>
  <conditionalFormatting sqref="CA21:CB21">
    <cfRule type="containsText" dxfId="11518" priority="12367" operator="containsText" text="S">
      <formula>NOT(ISERROR(SEARCH("S",CA21)))</formula>
    </cfRule>
    <cfRule type="containsText" dxfId="11517" priority="12368" operator="containsText" text="P">
      <formula>NOT(ISERROR(SEARCH("P",CA21)))</formula>
    </cfRule>
    <cfRule type="containsText" dxfId="11516" priority="12369" operator="containsText" text="H">
      <formula>NOT(ISERROR(SEARCH("H",CA21)))</formula>
    </cfRule>
    <cfRule type="containsText" dxfId="11515" priority="12371" operator="containsText" text="&quot;H&quot;">
      <formula>NOT(ISERROR(SEARCH("""H""",CA21)))</formula>
    </cfRule>
    <cfRule type="containsText" dxfId="11514" priority="12372" operator="containsText" text="&quot;A&quot;">
      <formula>NOT(ISERROR(SEARCH("""A""",CA21)))</formula>
    </cfRule>
  </conditionalFormatting>
  <conditionalFormatting sqref="CA21:CB21">
    <cfRule type="containsText" dxfId="11513" priority="12370" operator="containsText" text="A-H">
      <formula>NOT(ISERROR(SEARCH("A-H",CA21)))</formula>
    </cfRule>
  </conditionalFormatting>
  <conditionalFormatting sqref="CD21:CE21">
    <cfRule type="cellIs" dxfId="11512" priority="12361" operator="equal">
      <formula>"C-Off-H"</formula>
    </cfRule>
    <cfRule type="cellIs" dxfId="11511" priority="12362" operator="equal">
      <formula>"C-Off"</formula>
    </cfRule>
    <cfRule type="cellIs" dxfId="11510" priority="12363" operator="equal">
      <formula>"CL-H"</formula>
    </cfRule>
    <cfRule type="cellIs" dxfId="11509" priority="12364" operator="equal">
      <formula>"EL-H"</formula>
    </cfRule>
    <cfRule type="cellIs" dxfId="11508" priority="12365" operator="equal">
      <formula>"CL"</formula>
    </cfRule>
    <cfRule type="cellIs" dxfId="11507" priority="12366" operator="equal">
      <formula>"EL"</formula>
    </cfRule>
  </conditionalFormatting>
  <conditionalFormatting sqref="CD21:CE21">
    <cfRule type="containsText" dxfId="11506" priority="12355" operator="containsText" text="S">
      <formula>NOT(ISERROR(SEARCH("S",CD21)))</formula>
    </cfRule>
    <cfRule type="containsText" dxfId="11505" priority="12356" operator="containsText" text="P">
      <formula>NOT(ISERROR(SEARCH("P",CD21)))</formula>
    </cfRule>
    <cfRule type="containsText" dxfId="11504" priority="12357" operator="containsText" text="H">
      <formula>NOT(ISERROR(SEARCH("H",CD21)))</formula>
    </cfRule>
    <cfRule type="containsText" dxfId="11503" priority="12359" operator="containsText" text="&quot;H&quot;">
      <formula>NOT(ISERROR(SEARCH("""H""",CD21)))</formula>
    </cfRule>
    <cfRule type="containsText" dxfId="11502" priority="12360" operator="containsText" text="&quot;A&quot;">
      <formula>NOT(ISERROR(SEARCH("""A""",CD21)))</formula>
    </cfRule>
  </conditionalFormatting>
  <conditionalFormatting sqref="CD21:CE21">
    <cfRule type="containsText" dxfId="11501" priority="12358" operator="containsText" text="A-H">
      <formula>NOT(ISERROR(SEARCH("A-H",CD21)))</formula>
    </cfRule>
  </conditionalFormatting>
  <conditionalFormatting sqref="CH21">
    <cfRule type="cellIs" dxfId="11500" priority="12349" operator="equal">
      <formula>"C-Off-H"</formula>
    </cfRule>
    <cfRule type="cellIs" dxfId="11499" priority="12350" operator="equal">
      <formula>"C-Off"</formula>
    </cfRule>
    <cfRule type="cellIs" dxfId="11498" priority="12351" operator="equal">
      <formula>"CL-H"</formula>
    </cfRule>
    <cfRule type="cellIs" dxfId="11497" priority="12352" operator="equal">
      <formula>"EL-H"</formula>
    </cfRule>
    <cfRule type="cellIs" dxfId="11496" priority="12353" operator="equal">
      <formula>"CL"</formula>
    </cfRule>
    <cfRule type="cellIs" dxfId="11495" priority="12354" operator="equal">
      <formula>"EL"</formula>
    </cfRule>
  </conditionalFormatting>
  <conditionalFormatting sqref="CH21">
    <cfRule type="containsText" dxfId="11494" priority="12343" operator="containsText" text="S">
      <formula>NOT(ISERROR(SEARCH("S",CH21)))</formula>
    </cfRule>
    <cfRule type="containsText" dxfId="11493" priority="12344" operator="containsText" text="P">
      <formula>NOT(ISERROR(SEARCH("P",CH21)))</formula>
    </cfRule>
    <cfRule type="containsText" dxfId="11492" priority="12345" operator="containsText" text="H">
      <formula>NOT(ISERROR(SEARCH("H",CH21)))</formula>
    </cfRule>
    <cfRule type="containsText" dxfId="11491" priority="12347" operator="containsText" text="&quot;H&quot;">
      <formula>NOT(ISERROR(SEARCH("""H""",CH21)))</formula>
    </cfRule>
    <cfRule type="containsText" dxfId="11490" priority="12348" operator="containsText" text="&quot;A&quot;">
      <formula>NOT(ISERROR(SEARCH("""A""",CH21)))</formula>
    </cfRule>
  </conditionalFormatting>
  <conditionalFormatting sqref="CH21">
    <cfRule type="containsText" dxfId="11489" priority="12346" operator="containsText" text="A-H">
      <formula>NOT(ISERROR(SEARCH("A-H",CH21)))</formula>
    </cfRule>
  </conditionalFormatting>
  <conditionalFormatting sqref="CG21">
    <cfRule type="cellIs" dxfId="11488" priority="12337" operator="equal">
      <formula>"C-Off-H"</formula>
    </cfRule>
    <cfRule type="cellIs" dxfId="11487" priority="12338" operator="equal">
      <formula>"C-Off"</formula>
    </cfRule>
    <cfRule type="cellIs" dxfId="11486" priority="12339" operator="equal">
      <formula>"CL-H"</formula>
    </cfRule>
    <cfRule type="cellIs" dxfId="11485" priority="12340" operator="equal">
      <formula>"EL-H"</formula>
    </cfRule>
    <cfRule type="cellIs" dxfId="11484" priority="12341" operator="equal">
      <formula>"CL"</formula>
    </cfRule>
    <cfRule type="cellIs" dxfId="11483" priority="12342" operator="equal">
      <formula>"EL"</formula>
    </cfRule>
  </conditionalFormatting>
  <conditionalFormatting sqref="CG21">
    <cfRule type="containsText" dxfId="11482" priority="12331" operator="containsText" text="S">
      <formula>NOT(ISERROR(SEARCH("S",CG21)))</formula>
    </cfRule>
    <cfRule type="containsText" dxfId="11481" priority="12332" operator="containsText" text="P">
      <formula>NOT(ISERROR(SEARCH("P",CG21)))</formula>
    </cfRule>
    <cfRule type="containsText" dxfId="11480" priority="12333" operator="containsText" text="H">
      <formula>NOT(ISERROR(SEARCH("H",CG21)))</formula>
    </cfRule>
    <cfRule type="containsText" dxfId="11479" priority="12335" operator="containsText" text="&quot;H&quot;">
      <formula>NOT(ISERROR(SEARCH("""H""",CG21)))</formula>
    </cfRule>
    <cfRule type="containsText" dxfId="11478" priority="12336" operator="containsText" text="&quot;A&quot;">
      <formula>NOT(ISERROR(SEARCH("""A""",CG21)))</formula>
    </cfRule>
  </conditionalFormatting>
  <conditionalFormatting sqref="CG21">
    <cfRule type="containsText" dxfId="11477" priority="12334" operator="containsText" text="A-H">
      <formula>NOT(ISERROR(SEARCH("A-H",CG21)))</formula>
    </cfRule>
  </conditionalFormatting>
  <conditionalFormatting sqref="CA22:CB22">
    <cfRule type="cellIs" dxfId="11476" priority="12325" operator="equal">
      <formula>"C-Off-H"</formula>
    </cfRule>
    <cfRule type="cellIs" dxfId="11475" priority="12326" operator="equal">
      <formula>"C-Off"</formula>
    </cfRule>
    <cfRule type="cellIs" dxfId="11474" priority="12327" operator="equal">
      <formula>"CL-H"</formula>
    </cfRule>
    <cfRule type="cellIs" dxfId="11473" priority="12328" operator="equal">
      <formula>"EL-H"</formula>
    </cfRule>
    <cfRule type="cellIs" dxfId="11472" priority="12329" operator="equal">
      <formula>"CL"</formula>
    </cfRule>
    <cfRule type="cellIs" dxfId="11471" priority="12330" operator="equal">
      <formula>"EL"</formula>
    </cfRule>
  </conditionalFormatting>
  <conditionalFormatting sqref="CA22:CB22">
    <cfRule type="containsText" dxfId="11470" priority="12319" operator="containsText" text="S">
      <formula>NOT(ISERROR(SEARCH("S",CA22)))</formula>
    </cfRule>
    <cfRule type="containsText" dxfId="11469" priority="12320" operator="containsText" text="P">
      <formula>NOT(ISERROR(SEARCH("P",CA22)))</formula>
    </cfRule>
    <cfRule type="containsText" dxfId="11468" priority="12321" operator="containsText" text="H">
      <formula>NOT(ISERROR(SEARCH("H",CA22)))</formula>
    </cfRule>
    <cfRule type="containsText" dxfId="11467" priority="12323" operator="containsText" text="&quot;H&quot;">
      <formula>NOT(ISERROR(SEARCH("""H""",CA22)))</formula>
    </cfRule>
    <cfRule type="containsText" dxfId="11466" priority="12324" operator="containsText" text="&quot;A&quot;">
      <formula>NOT(ISERROR(SEARCH("""A""",CA22)))</formula>
    </cfRule>
  </conditionalFormatting>
  <conditionalFormatting sqref="CA22:CB22">
    <cfRule type="containsText" dxfId="11465" priority="12322" operator="containsText" text="A-H">
      <formula>NOT(ISERROR(SEARCH("A-H",CA22)))</formula>
    </cfRule>
  </conditionalFormatting>
  <conditionalFormatting sqref="CD22:CE22">
    <cfRule type="cellIs" dxfId="11464" priority="12313" operator="equal">
      <formula>"C-Off-H"</formula>
    </cfRule>
    <cfRule type="cellIs" dxfId="11463" priority="12314" operator="equal">
      <formula>"C-Off"</formula>
    </cfRule>
    <cfRule type="cellIs" dxfId="11462" priority="12315" operator="equal">
      <formula>"CL-H"</formula>
    </cfRule>
    <cfRule type="cellIs" dxfId="11461" priority="12316" operator="equal">
      <formula>"EL-H"</formula>
    </cfRule>
    <cfRule type="cellIs" dxfId="11460" priority="12317" operator="equal">
      <formula>"CL"</formula>
    </cfRule>
    <cfRule type="cellIs" dxfId="11459" priority="12318" operator="equal">
      <formula>"EL"</formula>
    </cfRule>
  </conditionalFormatting>
  <conditionalFormatting sqref="CD22:CE22">
    <cfRule type="containsText" dxfId="11458" priority="12307" operator="containsText" text="S">
      <formula>NOT(ISERROR(SEARCH("S",CD22)))</formula>
    </cfRule>
    <cfRule type="containsText" dxfId="11457" priority="12308" operator="containsText" text="P">
      <formula>NOT(ISERROR(SEARCH("P",CD22)))</formula>
    </cfRule>
    <cfRule type="containsText" dxfId="11456" priority="12309" operator="containsText" text="H">
      <formula>NOT(ISERROR(SEARCH("H",CD22)))</formula>
    </cfRule>
    <cfRule type="containsText" dxfId="11455" priority="12311" operator="containsText" text="&quot;H&quot;">
      <formula>NOT(ISERROR(SEARCH("""H""",CD22)))</formula>
    </cfRule>
    <cfRule type="containsText" dxfId="11454" priority="12312" operator="containsText" text="&quot;A&quot;">
      <formula>NOT(ISERROR(SEARCH("""A""",CD22)))</formula>
    </cfRule>
  </conditionalFormatting>
  <conditionalFormatting sqref="CD22:CE22">
    <cfRule type="containsText" dxfId="11453" priority="12310" operator="containsText" text="A-H">
      <formula>NOT(ISERROR(SEARCH("A-H",CD22)))</formula>
    </cfRule>
  </conditionalFormatting>
  <conditionalFormatting sqref="CH22">
    <cfRule type="cellIs" dxfId="11452" priority="12301" operator="equal">
      <formula>"C-Off-H"</formula>
    </cfRule>
    <cfRule type="cellIs" dxfId="11451" priority="12302" operator="equal">
      <formula>"C-Off"</formula>
    </cfRule>
    <cfRule type="cellIs" dxfId="11450" priority="12303" operator="equal">
      <formula>"CL-H"</formula>
    </cfRule>
    <cfRule type="cellIs" dxfId="11449" priority="12304" operator="equal">
      <formula>"EL-H"</formula>
    </cfRule>
    <cfRule type="cellIs" dxfId="11448" priority="12305" operator="equal">
      <formula>"CL"</formula>
    </cfRule>
    <cfRule type="cellIs" dxfId="11447" priority="12306" operator="equal">
      <formula>"EL"</formula>
    </cfRule>
  </conditionalFormatting>
  <conditionalFormatting sqref="CH22">
    <cfRule type="containsText" dxfId="11446" priority="12295" operator="containsText" text="S">
      <formula>NOT(ISERROR(SEARCH("S",CH22)))</formula>
    </cfRule>
    <cfRule type="containsText" dxfId="11445" priority="12296" operator="containsText" text="P">
      <formula>NOT(ISERROR(SEARCH("P",CH22)))</formula>
    </cfRule>
    <cfRule type="containsText" dxfId="11444" priority="12297" operator="containsText" text="H">
      <formula>NOT(ISERROR(SEARCH("H",CH22)))</formula>
    </cfRule>
    <cfRule type="containsText" dxfId="11443" priority="12299" operator="containsText" text="&quot;H&quot;">
      <formula>NOT(ISERROR(SEARCH("""H""",CH22)))</formula>
    </cfRule>
    <cfRule type="containsText" dxfId="11442" priority="12300" operator="containsText" text="&quot;A&quot;">
      <formula>NOT(ISERROR(SEARCH("""A""",CH22)))</formula>
    </cfRule>
  </conditionalFormatting>
  <conditionalFormatting sqref="CH22">
    <cfRule type="containsText" dxfId="11441" priority="12298" operator="containsText" text="A-H">
      <formula>NOT(ISERROR(SEARCH("A-H",CH22)))</formula>
    </cfRule>
  </conditionalFormatting>
  <conditionalFormatting sqref="CG22">
    <cfRule type="cellIs" dxfId="11440" priority="12289" operator="equal">
      <formula>"C-Off-H"</formula>
    </cfRule>
    <cfRule type="cellIs" dxfId="11439" priority="12290" operator="equal">
      <formula>"C-Off"</formula>
    </cfRule>
    <cfRule type="cellIs" dxfId="11438" priority="12291" operator="equal">
      <formula>"CL-H"</formula>
    </cfRule>
    <cfRule type="cellIs" dxfId="11437" priority="12292" operator="equal">
      <formula>"EL-H"</formula>
    </cfRule>
    <cfRule type="cellIs" dxfId="11436" priority="12293" operator="equal">
      <formula>"CL"</formula>
    </cfRule>
    <cfRule type="cellIs" dxfId="11435" priority="12294" operator="equal">
      <formula>"EL"</formula>
    </cfRule>
  </conditionalFormatting>
  <conditionalFormatting sqref="CG22">
    <cfRule type="containsText" dxfId="11434" priority="12283" operator="containsText" text="S">
      <formula>NOT(ISERROR(SEARCH("S",CG22)))</formula>
    </cfRule>
    <cfRule type="containsText" dxfId="11433" priority="12284" operator="containsText" text="P">
      <formula>NOT(ISERROR(SEARCH("P",CG22)))</formula>
    </cfRule>
    <cfRule type="containsText" dxfId="11432" priority="12285" operator="containsText" text="H">
      <formula>NOT(ISERROR(SEARCH("H",CG22)))</formula>
    </cfRule>
    <cfRule type="containsText" dxfId="11431" priority="12287" operator="containsText" text="&quot;H&quot;">
      <formula>NOT(ISERROR(SEARCH("""H""",CG22)))</formula>
    </cfRule>
    <cfRule type="containsText" dxfId="11430" priority="12288" operator="containsText" text="&quot;A&quot;">
      <formula>NOT(ISERROR(SEARCH("""A""",CG22)))</formula>
    </cfRule>
  </conditionalFormatting>
  <conditionalFormatting sqref="CG22">
    <cfRule type="containsText" dxfId="11429" priority="12286" operator="containsText" text="A-H">
      <formula>NOT(ISERROR(SEARCH("A-H",CG22)))</formula>
    </cfRule>
  </conditionalFormatting>
  <conditionalFormatting sqref="CA20:CB20">
    <cfRule type="cellIs" dxfId="11428" priority="12277" operator="equal">
      <formula>"C-Off-H"</formula>
    </cfRule>
    <cfRule type="cellIs" dxfId="11427" priority="12278" operator="equal">
      <formula>"C-Off"</formula>
    </cfRule>
    <cfRule type="cellIs" dxfId="11426" priority="12279" operator="equal">
      <formula>"CL-H"</formula>
    </cfRule>
    <cfRule type="cellIs" dxfId="11425" priority="12280" operator="equal">
      <formula>"EL-H"</formula>
    </cfRule>
    <cfRule type="cellIs" dxfId="11424" priority="12281" operator="equal">
      <formula>"CL"</formula>
    </cfRule>
    <cfRule type="cellIs" dxfId="11423" priority="12282" operator="equal">
      <formula>"EL"</formula>
    </cfRule>
  </conditionalFormatting>
  <conditionalFormatting sqref="CA20:CB20">
    <cfRule type="containsText" dxfId="11422" priority="12271" operator="containsText" text="S">
      <formula>NOT(ISERROR(SEARCH("S",CA20)))</formula>
    </cfRule>
    <cfRule type="containsText" dxfId="11421" priority="12272" operator="containsText" text="P">
      <formula>NOT(ISERROR(SEARCH("P",CA20)))</formula>
    </cfRule>
    <cfRule type="containsText" dxfId="11420" priority="12273" operator="containsText" text="H">
      <formula>NOT(ISERROR(SEARCH("H",CA20)))</formula>
    </cfRule>
    <cfRule type="containsText" dxfId="11419" priority="12275" operator="containsText" text="&quot;H&quot;">
      <formula>NOT(ISERROR(SEARCH("""H""",CA20)))</formula>
    </cfRule>
    <cfRule type="containsText" dxfId="11418" priority="12276" operator="containsText" text="&quot;A&quot;">
      <formula>NOT(ISERROR(SEARCH("""A""",CA20)))</formula>
    </cfRule>
  </conditionalFormatting>
  <conditionalFormatting sqref="CA20:CB20">
    <cfRule type="containsText" dxfId="11417" priority="12274" operator="containsText" text="A-H">
      <formula>NOT(ISERROR(SEARCH("A-H",CA20)))</formula>
    </cfRule>
  </conditionalFormatting>
  <conditionalFormatting sqref="CD20:CE20">
    <cfRule type="cellIs" dxfId="11416" priority="12265" operator="equal">
      <formula>"C-Off-H"</formula>
    </cfRule>
    <cfRule type="cellIs" dxfId="11415" priority="12266" operator="equal">
      <formula>"C-Off"</formula>
    </cfRule>
    <cfRule type="cellIs" dxfId="11414" priority="12267" operator="equal">
      <formula>"CL-H"</formula>
    </cfRule>
    <cfRule type="cellIs" dxfId="11413" priority="12268" operator="equal">
      <formula>"EL-H"</formula>
    </cfRule>
    <cfRule type="cellIs" dxfId="11412" priority="12269" operator="equal">
      <formula>"CL"</formula>
    </cfRule>
    <cfRule type="cellIs" dxfId="11411" priority="12270" operator="equal">
      <formula>"EL"</formula>
    </cfRule>
  </conditionalFormatting>
  <conditionalFormatting sqref="CD20:CE20">
    <cfRule type="containsText" dxfId="11410" priority="12259" operator="containsText" text="S">
      <formula>NOT(ISERROR(SEARCH("S",CD20)))</formula>
    </cfRule>
    <cfRule type="containsText" dxfId="11409" priority="12260" operator="containsText" text="P">
      <formula>NOT(ISERROR(SEARCH("P",CD20)))</formula>
    </cfRule>
    <cfRule type="containsText" dxfId="11408" priority="12261" operator="containsText" text="H">
      <formula>NOT(ISERROR(SEARCH("H",CD20)))</formula>
    </cfRule>
    <cfRule type="containsText" dxfId="11407" priority="12263" operator="containsText" text="&quot;H&quot;">
      <formula>NOT(ISERROR(SEARCH("""H""",CD20)))</formula>
    </cfRule>
    <cfRule type="containsText" dxfId="11406" priority="12264" operator="containsText" text="&quot;A&quot;">
      <formula>NOT(ISERROR(SEARCH("""A""",CD20)))</formula>
    </cfRule>
  </conditionalFormatting>
  <conditionalFormatting sqref="CD20:CE20">
    <cfRule type="containsText" dxfId="11405" priority="12262" operator="containsText" text="A-H">
      <formula>NOT(ISERROR(SEARCH("A-H",CD20)))</formula>
    </cfRule>
  </conditionalFormatting>
  <conditionalFormatting sqref="CH20">
    <cfRule type="cellIs" dxfId="11404" priority="12253" operator="equal">
      <formula>"C-Off-H"</formula>
    </cfRule>
    <cfRule type="cellIs" dxfId="11403" priority="12254" operator="equal">
      <formula>"C-Off"</formula>
    </cfRule>
    <cfRule type="cellIs" dxfId="11402" priority="12255" operator="equal">
      <formula>"CL-H"</formula>
    </cfRule>
    <cfRule type="cellIs" dxfId="11401" priority="12256" operator="equal">
      <formula>"EL-H"</formula>
    </cfRule>
    <cfRule type="cellIs" dxfId="11400" priority="12257" operator="equal">
      <formula>"CL"</formula>
    </cfRule>
    <cfRule type="cellIs" dxfId="11399" priority="12258" operator="equal">
      <formula>"EL"</formula>
    </cfRule>
  </conditionalFormatting>
  <conditionalFormatting sqref="CH20">
    <cfRule type="containsText" dxfId="11398" priority="12247" operator="containsText" text="S">
      <formula>NOT(ISERROR(SEARCH("S",CH20)))</formula>
    </cfRule>
    <cfRule type="containsText" dxfId="11397" priority="12248" operator="containsText" text="P">
      <formula>NOT(ISERROR(SEARCH("P",CH20)))</formula>
    </cfRule>
    <cfRule type="containsText" dxfId="11396" priority="12249" operator="containsText" text="H">
      <formula>NOT(ISERROR(SEARCH("H",CH20)))</formula>
    </cfRule>
    <cfRule type="containsText" dxfId="11395" priority="12251" operator="containsText" text="&quot;H&quot;">
      <formula>NOT(ISERROR(SEARCH("""H""",CH20)))</formula>
    </cfRule>
    <cfRule type="containsText" dxfId="11394" priority="12252" operator="containsText" text="&quot;A&quot;">
      <formula>NOT(ISERROR(SEARCH("""A""",CH20)))</formula>
    </cfRule>
  </conditionalFormatting>
  <conditionalFormatting sqref="CH20">
    <cfRule type="containsText" dxfId="11393" priority="12250" operator="containsText" text="A-H">
      <formula>NOT(ISERROR(SEARCH("A-H",CH20)))</formula>
    </cfRule>
  </conditionalFormatting>
  <conditionalFormatting sqref="CG20">
    <cfRule type="cellIs" dxfId="11392" priority="12241" operator="equal">
      <formula>"C-Off-H"</formula>
    </cfRule>
    <cfRule type="cellIs" dxfId="11391" priority="12242" operator="equal">
      <formula>"C-Off"</formula>
    </cfRule>
    <cfRule type="cellIs" dxfId="11390" priority="12243" operator="equal">
      <formula>"CL-H"</formula>
    </cfRule>
    <cfRule type="cellIs" dxfId="11389" priority="12244" operator="equal">
      <formula>"EL-H"</formula>
    </cfRule>
    <cfRule type="cellIs" dxfId="11388" priority="12245" operator="equal">
      <formula>"CL"</formula>
    </cfRule>
    <cfRule type="cellIs" dxfId="11387" priority="12246" operator="equal">
      <formula>"EL"</formula>
    </cfRule>
  </conditionalFormatting>
  <conditionalFormatting sqref="CG20">
    <cfRule type="containsText" dxfId="11386" priority="12235" operator="containsText" text="S">
      <formula>NOT(ISERROR(SEARCH("S",CG20)))</formula>
    </cfRule>
    <cfRule type="containsText" dxfId="11385" priority="12236" operator="containsText" text="P">
      <formula>NOT(ISERROR(SEARCH("P",CG20)))</formula>
    </cfRule>
    <cfRule type="containsText" dxfId="11384" priority="12237" operator="containsText" text="H">
      <formula>NOT(ISERROR(SEARCH("H",CG20)))</formula>
    </cfRule>
    <cfRule type="containsText" dxfId="11383" priority="12239" operator="containsText" text="&quot;H&quot;">
      <formula>NOT(ISERROR(SEARCH("""H""",CG20)))</formula>
    </cfRule>
    <cfRule type="containsText" dxfId="11382" priority="12240" operator="containsText" text="&quot;A&quot;">
      <formula>NOT(ISERROR(SEARCH("""A""",CG20)))</formula>
    </cfRule>
  </conditionalFormatting>
  <conditionalFormatting sqref="CG20">
    <cfRule type="containsText" dxfId="11381" priority="12238" operator="containsText" text="A-H">
      <formula>NOT(ISERROR(SEARCH("A-H",CG20)))</formula>
    </cfRule>
  </conditionalFormatting>
  <conditionalFormatting sqref="H21">
    <cfRule type="cellIs" dxfId="11380" priority="12229" operator="equal">
      <formula>"C-Off-H"</formula>
    </cfRule>
    <cfRule type="cellIs" dxfId="11379" priority="12230" operator="equal">
      <formula>"C-Off"</formula>
    </cfRule>
    <cfRule type="cellIs" dxfId="11378" priority="12231" operator="equal">
      <formula>"CL-H"</formula>
    </cfRule>
    <cfRule type="cellIs" dxfId="11377" priority="12232" operator="equal">
      <formula>"EL-H"</formula>
    </cfRule>
    <cfRule type="cellIs" dxfId="11376" priority="12233" operator="equal">
      <formula>"CL"</formula>
    </cfRule>
    <cfRule type="cellIs" dxfId="11375" priority="12234" operator="equal">
      <formula>"EL"</formula>
    </cfRule>
  </conditionalFormatting>
  <conditionalFormatting sqref="G21:H21">
    <cfRule type="cellIs" dxfId="11374" priority="12223" operator="equal">
      <formula>"C-Off-H"</formula>
    </cfRule>
    <cfRule type="cellIs" dxfId="11373" priority="12224" operator="equal">
      <formula>"C-Off"</formula>
    </cfRule>
    <cfRule type="cellIs" dxfId="11372" priority="12225" operator="equal">
      <formula>"CL-H"</formula>
    </cfRule>
    <cfRule type="cellIs" dxfId="11371" priority="12226" operator="equal">
      <formula>"EL-H"</formula>
    </cfRule>
    <cfRule type="cellIs" dxfId="11370" priority="12227" operator="equal">
      <formula>"CL"</formula>
    </cfRule>
    <cfRule type="cellIs" dxfId="11369" priority="12228" operator="equal">
      <formula>"EL"</formula>
    </cfRule>
  </conditionalFormatting>
  <conditionalFormatting sqref="G21:H21">
    <cfRule type="containsText" dxfId="11368" priority="12217" operator="containsText" text="S">
      <formula>NOT(ISERROR(SEARCH("S",G21)))</formula>
    </cfRule>
    <cfRule type="containsText" dxfId="11367" priority="12218" operator="containsText" text="P">
      <formula>NOT(ISERROR(SEARCH("P",G21)))</formula>
    </cfRule>
    <cfRule type="containsText" dxfId="11366" priority="12219" operator="containsText" text="H">
      <formula>NOT(ISERROR(SEARCH("H",G21)))</formula>
    </cfRule>
    <cfRule type="containsText" dxfId="11365" priority="12221" operator="containsText" text="&quot;H&quot;">
      <formula>NOT(ISERROR(SEARCH("""H""",G21)))</formula>
    </cfRule>
    <cfRule type="containsText" dxfId="11364" priority="12222" operator="containsText" text="&quot;A&quot;">
      <formula>NOT(ISERROR(SEARCH("""A""",G21)))</formula>
    </cfRule>
  </conditionalFormatting>
  <conditionalFormatting sqref="G21:H21">
    <cfRule type="containsText" dxfId="11363" priority="12220" operator="containsText" text="A-H">
      <formula>NOT(ISERROR(SEARCH("A-H",G21)))</formula>
    </cfRule>
  </conditionalFormatting>
  <conditionalFormatting sqref="H22">
    <cfRule type="cellIs" dxfId="11362" priority="12211" operator="equal">
      <formula>"C-Off-H"</formula>
    </cfRule>
    <cfRule type="cellIs" dxfId="11361" priority="12212" operator="equal">
      <formula>"C-Off"</formula>
    </cfRule>
    <cfRule type="cellIs" dxfId="11360" priority="12213" operator="equal">
      <formula>"CL-H"</formula>
    </cfRule>
    <cfRule type="cellIs" dxfId="11359" priority="12214" operator="equal">
      <formula>"EL-H"</formula>
    </cfRule>
    <cfRule type="cellIs" dxfId="11358" priority="12215" operator="equal">
      <formula>"CL"</formula>
    </cfRule>
    <cfRule type="cellIs" dxfId="11357" priority="12216" operator="equal">
      <formula>"EL"</formula>
    </cfRule>
  </conditionalFormatting>
  <conditionalFormatting sqref="G22:H22">
    <cfRule type="cellIs" dxfId="11356" priority="12205" operator="equal">
      <formula>"C-Off-H"</formula>
    </cfRule>
    <cfRule type="cellIs" dxfId="11355" priority="12206" operator="equal">
      <formula>"C-Off"</formula>
    </cfRule>
    <cfRule type="cellIs" dxfId="11354" priority="12207" operator="equal">
      <formula>"CL-H"</formula>
    </cfRule>
    <cfRule type="cellIs" dxfId="11353" priority="12208" operator="equal">
      <formula>"EL-H"</formula>
    </cfRule>
    <cfRule type="cellIs" dxfId="11352" priority="12209" operator="equal">
      <formula>"CL"</formula>
    </cfRule>
    <cfRule type="cellIs" dxfId="11351" priority="12210" operator="equal">
      <formula>"EL"</formula>
    </cfRule>
  </conditionalFormatting>
  <conditionalFormatting sqref="G22:H22">
    <cfRule type="containsText" dxfId="11350" priority="12199" operator="containsText" text="S">
      <formula>NOT(ISERROR(SEARCH("S",G22)))</formula>
    </cfRule>
    <cfRule type="containsText" dxfId="11349" priority="12200" operator="containsText" text="P">
      <formula>NOT(ISERROR(SEARCH("P",G22)))</formula>
    </cfRule>
    <cfRule type="containsText" dxfId="11348" priority="12201" operator="containsText" text="H">
      <formula>NOT(ISERROR(SEARCH("H",G22)))</formula>
    </cfRule>
    <cfRule type="containsText" dxfId="11347" priority="12203" operator="containsText" text="&quot;H&quot;">
      <formula>NOT(ISERROR(SEARCH("""H""",G22)))</formula>
    </cfRule>
    <cfRule type="containsText" dxfId="11346" priority="12204" operator="containsText" text="&quot;A&quot;">
      <formula>NOT(ISERROR(SEARCH("""A""",G22)))</formula>
    </cfRule>
  </conditionalFormatting>
  <conditionalFormatting sqref="G22:H22">
    <cfRule type="containsText" dxfId="11345" priority="12202" operator="containsText" text="A-H">
      <formula>NOT(ISERROR(SEARCH("A-H",G22)))</formula>
    </cfRule>
  </conditionalFormatting>
  <conditionalFormatting sqref="H20">
    <cfRule type="cellIs" dxfId="11344" priority="12193" operator="equal">
      <formula>"C-Off-H"</formula>
    </cfRule>
    <cfRule type="cellIs" dxfId="11343" priority="12194" operator="equal">
      <formula>"C-Off"</formula>
    </cfRule>
    <cfRule type="cellIs" dxfId="11342" priority="12195" operator="equal">
      <formula>"CL-H"</formula>
    </cfRule>
    <cfRule type="cellIs" dxfId="11341" priority="12196" operator="equal">
      <formula>"EL-H"</formula>
    </cfRule>
    <cfRule type="cellIs" dxfId="11340" priority="12197" operator="equal">
      <formula>"CL"</formula>
    </cfRule>
    <cfRule type="cellIs" dxfId="11339" priority="12198" operator="equal">
      <formula>"EL"</formula>
    </cfRule>
  </conditionalFormatting>
  <conditionalFormatting sqref="G20:H20">
    <cfRule type="cellIs" dxfId="11338" priority="12187" operator="equal">
      <formula>"C-Off-H"</formula>
    </cfRule>
    <cfRule type="cellIs" dxfId="11337" priority="12188" operator="equal">
      <formula>"C-Off"</formula>
    </cfRule>
    <cfRule type="cellIs" dxfId="11336" priority="12189" operator="equal">
      <formula>"CL-H"</formula>
    </cfRule>
    <cfRule type="cellIs" dxfId="11335" priority="12190" operator="equal">
      <formula>"EL-H"</formula>
    </cfRule>
    <cfRule type="cellIs" dxfId="11334" priority="12191" operator="equal">
      <formula>"CL"</formula>
    </cfRule>
    <cfRule type="cellIs" dxfId="11333" priority="12192" operator="equal">
      <formula>"EL"</formula>
    </cfRule>
  </conditionalFormatting>
  <conditionalFormatting sqref="G20:H20">
    <cfRule type="containsText" dxfId="11332" priority="12181" operator="containsText" text="S">
      <formula>NOT(ISERROR(SEARCH("S",G20)))</formula>
    </cfRule>
    <cfRule type="containsText" dxfId="11331" priority="12182" operator="containsText" text="P">
      <formula>NOT(ISERROR(SEARCH("P",G20)))</formula>
    </cfRule>
    <cfRule type="containsText" dxfId="11330" priority="12183" operator="containsText" text="H">
      <formula>NOT(ISERROR(SEARCH("H",G20)))</formula>
    </cfRule>
    <cfRule type="containsText" dxfId="11329" priority="12185" operator="containsText" text="&quot;H&quot;">
      <formula>NOT(ISERROR(SEARCH("""H""",G20)))</formula>
    </cfRule>
    <cfRule type="containsText" dxfId="11328" priority="12186" operator="containsText" text="&quot;A&quot;">
      <formula>NOT(ISERROR(SEARCH("""A""",G20)))</formula>
    </cfRule>
  </conditionalFormatting>
  <conditionalFormatting sqref="G20:H20">
    <cfRule type="containsText" dxfId="11327" priority="12184" operator="containsText" text="A-H">
      <formula>NOT(ISERROR(SEARCH("A-H",G20)))</formula>
    </cfRule>
  </conditionalFormatting>
  <conditionalFormatting sqref="CX19">
    <cfRule type="cellIs" dxfId="11326" priority="12108" operator="equal">
      <formula>"C-Off-H"</formula>
    </cfRule>
    <cfRule type="cellIs" dxfId="11325" priority="12109" operator="equal">
      <formula>"C-Off"</formula>
    </cfRule>
    <cfRule type="cellIs" dxfId="11324" priority="12110" operator="equal">
      <formula>"CL-H"</formula>
    </cfRule>
    <cfRule type="cellIs" dxfId="11323" priority="12111" operator="equal">
      <formula>"EL-H"</formula>
    </cfRule>
    <cfRule type="cellIs" dxfId="11322" priority="12112" operator="equal">
      <formula>"CL"</formula>
    </cfRule>
    <cfRule type="cellIs" dxfId="11321" priority="12113" operator="equal">
      <formula>"EL"</formula>
    </cfRule>
  </conditionalFormatting>
  <conditionalFormatting sqref="CX19">
    <cfRule type="containsText" dxfId="11320" priority="12107" operator="containsText" text="A-H">
      <formula>NOT(ISERROR(SEARCH("A-H",CX19)))</formula>
    </cfRule>
  </conditionalFormatting>
  <conditionalFormatting sqref="CX19">
    <cfRule type="containsText" dxfId="11319" priority="12106" operator="containsText" text="A">
      <formula>NOT(ISERROR(SEARCH("A",CX19)))</formula>
    </cfRule>
  </conditionalFormatting>
  <conditionalFormatting sqref="DC19 CP19:CW19">
    <cfRule type="cellIs" dxfId="11318" priority="12089" operator="equal">
      <formula>"C-Off-H"</formula>
    </cfRule>
    <cfRule type="cellIs" dxfId="11317" priority="12090" operator="equal">
      <formula>"C-Off"</formula>
    </cfRule>
    <cfRule type="cellIs" dxfId="11316" priority="12091" operator="equal">
      <formula>"CL-H"</formula>
    </cfRule>
    <cfRule type="cellIs" dxfId="11315" priority="12092" operator="equal">
      <formula>"EL-H"</formula>
    </cfRule>
    <cfRule type="cellIs" dxfId="11314" priority="12093" operator="equal">
      <formula>"CL"</formula>
    </cfRule>
    <cfRule type="cellIs" dxfId="11313" priority="12094" operator="equal">
      <formula>"EL"</formula>
    </cfRule>
  </conditionalFormatting>
  <conditionalFormatting sqref="DC19 CP19:CW19 CY19:DA19">
    <cfRule type="containsText" dxfId="11312" priority="12088" operator="containsText" text="A-H">
      <formula>NOT(ISERROR(SEARCH("A-H",CP19)))</formula>
    </cfRule>
  </conditionalFormatting>
  <conditionalFormatting sqref="DC19 CP19:CW19 CY19:DA19">
    <cfRule type="containsText" dxfId="11311" priority="12087" operator="containsText" text="A">
      <formula>NOT(ISERROR(SEARCH("A",CP19)))</formula>
    </cfRule>
  </conditionalFormatting>
  <conditionalFormatting sqref="CY19 DA19">
    <cfRule type="cellIs" dxfId="11310" priority="12081" stopIfTrue="1" operator="equal">
      <formula>"C-Off-H"</formula>
    </cfRule>
    <cfRule type="cellIs" dxfId="11309" priority="12082" stopIfTrue="1" operator="equal">
      <formula>"C-Off"</formula>
    </cfRule>
    <cfRule type="cellIs" dxfId="11308" priority="12083" stopIfTrue="1" operator="equal">
      <formula>"CL-H"</formula>
    </cfRule>
    <cfRule type="cellIs" dxfId="11307" priority="12084" stopIfTrue="1" operator="equal">
      <formula>"EL-H"</formula>
    </cfRule>
    <cfRule type="cellIs" dxfId="11306" priority="12085" stopIfTrue="1" operator="equal">
      <formula>"CL"</formula>
    </cfRule>
    <cfRule type="cellIs" dxfId="11305" priority="12086" stopIfTrue="1" operator="equal">
      <formula>"EL"</formula>
    </cfRule>
  </conditionalFormatting>
  <conditionalFormatting sqref="CZ19">
    <cfRule type="cellIs" dxfId="11304" priority="12075" stopIfTrue="1" operator="equal">
      <formula>"C-Off-H"</formula>
    </cfRule>
    <cfRule type="cellIs" dxfId="11303" priority="12076" stopIfTrue="1" operator="equal">
      <formula>"C-Off"</formula>
    </cfRule>
    <cfRule type="cellIs" dxfId="11302" priority="12077" stopIfTrue="1" operator="equal">
      <formula>"CL-H"</formula>
    </cfRule>
    <cfRule type="cellIs" dxfId="11301" priority="12078" stopIfTrue="1" operator="equal">
      <formula>"EL-H"</formula>
    </cfRule>
    <cfRule type="cellIs" dxfId="11300" priority="12079" stopIfTrue="1" operator="equal">
      <formula>"CL"</formula>
    </cfRule>
    <cfRule type="cellIs" dxfId="11299" priority="12080" stopIfTrue="1" operator="equal">
      <formula>"EL"</formula>
    </cfRule>
  </conditionalFormatting>
  <conditionalFormatting sqref="DD19">
    <cfRule type="cellIs" dxfId="11298" priority="12064" operator="equal">
      <formula>"C-Off-H"</formula>
    </cfRule>
    <cfRule type="cellIs" dxfId="11297" priority="12065" operator="equal">
      <formula>"C-Off"</formula>
    </cfRule>
    <cfRule type="cellIs" dxfId="11296" priority="12066" operator="equal">
      <formula>"CL-H"</formula>
    </cfRule>
    <cfRule type="cellIs" dxfId="11295" priority="12067" operator="equal">
      <formula>"EL-H"</formula>
    </cfRule>
    <cfRule type="cellIs" dxfId="11294" priority="12068" operator="equal">
      <formula>"CL"</formula>
    </cfRule>
    <cfRule type="cellIs" dxfId="11293" priority="12069" operator="equal">
      <formula>"EL"</formula>
    </cfRule>
  </conditionalFormatting>
  <conditionalFormatting sqref="DD19">
    <cfRule type="containsText" dxfId="11292" priority="12063" operator="containsText" text="A">
      <formula>NOT(ISERROR(SEARCH("A",DD19)))</formula>
    </cfRule>
  </conditionalFormatting>
  <conditionalFormatting sqref="DD19">
    <cfRule type="containsText" dxfId="11291" priority="12062" operator="containsText" text="A-H">
      <formula>NOT(ISERROR(SEARCH("A-H",DD19)))</formula>
    </cfRule>
  </conditionalFormatting>
  <conditionalFormatting sqref="AI19">
    <cfRule type="cellIs" dxfId="11290" priority="12056" operator="equal">
      <formula>"C-Off-H"</formula>
    </cfRule>
    <cfRule type="cellIs" dxfId="11289" priority="12057" operator="equal">
      <formula>"C-Off"</formula>
    </cfRule>
    <cfRule type="cellIs" dxfId="11288" priority="12058" operator="equal">
      <formula>"CL-H"</formula>
    </cfRule>
    <cfRule type="cellIs" dxfId="11287" priority="12059" operator="equal">
      <formula>"EL-H"</formula>
    </cfRule>
    <cfRule type="cellIs" dxfId="11286" priority="12060" operator="equal">
      <formula>"CL"</formula>
    </cfRule>
    <cfRule type="cellIs" dxfId="11285" priority="12061" operator="equal">
      <formula>"EL"</formula>
    </cfRule>
  </conditionalFormatting>
  <conditionalFormatting sqref="AH19:AI19">
    <cfRule type="cellIs" dxfId="11284" priority="12050" operator="equal">
      <formula>"C-Off-H"</formula>
    </cfRule>
    <cfRule type="cellIs" dxfId="11283" priority="12051" operator="equal">
      <formula>"C-Off"</formula>
    </cfRule>
    <cfRule type="cellIs" dxfId="11282" priority="12052" operator="equal">
      <formula>"CL-H"</formula>
    </cfRule>
    <cfRule type="cellIs" dxfId="11281" priority="12053" operator="equal">
      <formula>"EL-H"</formula>
    </cfRule>
    <cfRule type="cellIs" dxfId="11280" priority="12054" operator="equal">
      <formula>"CL"</formula>
    </cfRule>
    <cfRule type="cellIs" dxfId="11279" priority="12055" operator="equal">
      <formula>"EL"</formula>
    </cfRule>
  </conditionalFormatting>
  <conditionalFormatting sqref="AH19:AI19">
    <cfRule type="containsText" dxfId="11278" priority="12044" operator="containsText" text="S">
      <formula>NOT(ISERROR(SEARCH("S",AH19)))</formula>
    </cfRule>
    <cfRule type="containsText" dxfId="11277" priority="12045" operator="containsText" text="P">
      <formula>NOT(ISERROR(SEARCH("P",AH19)))</formula>
    </cfRule>
    <cfRule type="containsText" dxfId="11276" priority="12046" operator="containsText" text="H">
      <formula>NOT(ISERROR(SEARCH("H",AH19)))</formula>
    </cfRule>
    <cfRule type="containsText" dxfId="11275" priority="12048" operator="containsText" text="&quot;H&quot;">
      <formula>NOT(ISERROR(SEARCH("""H""",AH19)))</formula>
    </cfRule>
    <cfRule type="containsText" dxfId="11274" priority="12049" operator="containsText" text="&quot;A&quot;">
      <formula>NOT(ISERROR(SEARCH("""A""",AH19)))</formula>
    </cfRule>
  </conditionalFormatting>
  <conditionalFormatting sqref="AH19:AI19">
    <cfRule type="containsText" dxfId="11273" priority="12047" operator="containsText" text="A-H">
      <formula>NOT(ISERROR(SEARCH("A-H",AH19)))</formula>
    </cfRule>
  </conditionalFormatting>
  <conditionalFormatting sqref="AU19">
    <cfRule type="cellIs" dxfId="11272" priority="12038" operator="equal">
      <formula>"C-Off-H"</formula>
    </cfRule>
    <cfRule type="cellIs" dxfId="11271" priority="12039" operator="equal">
      <formula>"C-Off"</formula>
    </cfRule>
    <cfRule type="cellIs" dxfId="11270" priority="12040" operator="equal">
      <formula>"CL-H"</formula>
    </cfRule>
    <cfRule type="cellIs" dxfId="11269" priority="12041" operator="equal">
      <formula>"EL-H"</formula>
    </cfRule>
    <cfRule type="cellIs" dxfId="11268" priority="12042" operator="equal">
      <formula>"CL"</formula>
    </cfRule>
    <cfRule type="cellIs" dxfId="11267" priority="12043" operator="equal">
      <formula>"EL"</formula>
    </cfRule>
  </conditionalFormatting>
  <conditionalFormatting sqref="AT19:AU19">
    <cfRule type="cellIs" dxfId="11266" priority="12032" operator="equal">
      <formula>"C-Off-H"</formula>
    </cfRule>
    <cfRule type="cellIs" dxfId="11265" priority="12033" operator="equal">
      <formula>"C-Off"</formula>
    </cfRule>
    <cfRule type="cellIs" dxfId="11264" priority="12034" operator="equal">
      <formula>"CL-H"</formula>
    </cfRule>
    <cfRule type="cellIs" dxfId="11263" priority="12035" operator="equal">
      <formula>"EL-H"</formula>
    </cfRule>
    <cfRule type="cellIs" dxfId="11262" priority="12036" operator="equal">
      <formula>"CL"</formula>
    </cfRule>
    <cfRule type="cellIs" dxfId="11261" priority="12037" operator="equal">
      <formula>"EL"</formula>
    </cfRule>
  </conditionalFormatting>
  <conditionalFormatting sqref="AT19:AU19">
    <cfRule type="containsText" dxfId="11260" priority="12026" operator="containsText" text="S">
      <formula>NOT(ISERROR(SEARCH("S",AT19)))</formula>
    </cfRule>
    <cfRule type="containsText" dxfId="11259" priority="12027" operator="containsText" text="P">
      <formula>NOT(ISERROR(SEARCH("P",AT19)))</formula>
    </cfRule>
    <cfRule type="containsText" dxfId="11258" priority="12028" operator="containsText" text="H">
      <formula>NOT(ISERROR(SEARCH("H",AT19)))</formula>
    </cfRule>
    <cfRule type="containsText" dxfId="11257" priority="12030" operator="containsText" text="&quot;H&quot;">
      <formula>NOT(ISERROR(SEARCH("""H""",AT19)))</formula>
    </cfRule>
    <cfRule type="containsText" dxfId="11256" priority="12031" operator="containsText" text="&quot;A&quot;">
      <formula>NOT(ISERROR(SEARCH("""A""",AT19)))</formula>
    </cfRule>
  </conditionalFormatting>
  <conditionalFormatting sqref="AT19:AU19">
    <cfRule type="containsText" dxfId="11255" priority="12029" operator="containsText" text="A-H">
      <formula>NOT(ISERROR(SEARCH("A-H",AT19)))</formula>
    </cfRule>
  </conditionalFormatting>
  <conditionalFormatting sqref="E19">
    <cfRule type="cellIs" dxfId="11254" priority="12020" operator="equal">
      <formula>"C-Off-H"</formula>
    </cfRule>
    <cfRule type="cellIs" dxfId="11253" priority="12021" operator="equal">
      <formula>"C-Off"</formula>
    </cfRule>
    <cfRule type="cellIs" dxfId="11252" priority="12022" operator="equal">
      <formula>"CL-H"</formula>
    </cfRule>
    <cfRule type="cellIs" dxfId="11251" priority="12023" operator="equal">
      <formula>"EL-H"</formula>
    </cfRule>
    <cfRule type="cellIs" dxfId="11250" priority="12024" operator="equal">
      <formula>"CL"</formula>
    </cfRule>
    <cfRule type="cellIs" dxfId="11249" priority="12025" operator="equal">
      <formula>"EL"</formula>
    </cfRule>
  </conditionalFormatting>
  <conditionalFormatting sqref="D19:E19">
    <cfRule type="cellIs" dxfId="11248" priority="12014" operator="equal">
      <formula>"C-Off-H"</formula>
    </cfRule>
    <cfRule type="cellIs" dxfId="11247" priority="12015" operator="equal">
      <formula>"C-Off"</formula>
    </cfRule>
    <cfRule type="cellIs" dxfId="11246" priority="12016" operator="equal">
      <formula>"CL-H"</formula>
    </cfRule>
    <cfRule type="cellIs" dxfId="11245" priority="12017" operator="equal">
      <formula>"EL-H"</formula>
    </cfRule>
    <cfRule type="cellIs" dxfId="11244" priority="12018" operator="equal">
      <formula>"CL"</formula>
    </cfRule>
    <cfRule type="cellIs" dxfId="11243" priority="12019" operator="equal">
      <formula>"EL"</formula>
    </cfRule>
  </conditionalFormatting>
  <conditionalFormatting sqref="D19:E19">
    <cfRule type="containsText" dxfId="11242" priority="12008" operator="containsText" text="S">
      <formula>NOT(ISERROR(SEARCH("S",D19)))</formula>
    </cfRule>
    <cfRule type="containsText" dxfId="11241" priority="12009" operator="containsText" text="P">
      <formula>NOT(ISERROR(SEARCH("P",D19)))</formula>
    </cfRule>
    <cfRule type="containsText" dxfId="11240" priority="12010" operator="containsText" text="H">
      <formula>NOT(ISERROR(SEARCH("H",D19)))</formula>
    </cfRule>
    <cfRule type="containsText" dxfId="11239" priority="12012" operator="containsText" text="&quot;H&quot;">
      <formula>NOT(ISERROR(SEARCH("""H""",D19)))</formula>
    </cfRule>
    <cfRule type="containsText" dxfId="11238" priority="12013" operator="containsText" text="&quot;A&quot;">
      <formula>NOT(ISERROR(SEARCH("""A""",D19)))</formula>
    </cfRule>
  </conditionalFormatting>
  <conditionalFormatting sqref="D19:E19">
    <cfRule type="containsText" dxfId="11237" priority="12011" operator="containsText" text="A-H">
      <formula>NOT(ISERROR(SEARCH("A-H",D19)))</formula>
    </cfRule>
  </conditionalFormatting>
  <conditionalFormatting sqref="Z19">
    <cfRule type="cellIs" dxfId="11236" priority="12002" operator="equal">
      <formula>"C-Off-H"</formula>
    </cfRule>
    <cfRule type="cellIs" dxfId="11235" priority="12003" operator="equal">
      <formula>"C-Off"</formula>
    </cfRule>
    <cfRule type="cellIs" dxfId="11234" priority="12004" operator="equal">
      <formula>"CL-H"</formula>
    </cfRule>
    <cfRule type="cellIs" dxfId="11233" priority="12005" operator="equal">
      <formula>"EL-H"</formula>
    </cfRule>
    <cfRule type="cellIs" dxfId="11232" priority="12006" operator="equal">
      <formula>"CL"</formula>
    </cfRule>
    <cfRule type="cellIs" dxfId="11231" priority="12007" operator="equal">
      <formula>"EL"</formula>
    </cfRule>
  </conditionalFormatting>
  <conditionalFormatting sqref="Z19">
    <cfRule type="containsText" dxfId="11230" priority="11996" operator="containsText" text="S">
      <formula>NOT(ISERROR(SEARCH("S",Z19)))</formula>
    </cfRule>
    <cfRule type="containsText" dxfId="11229" priority="11997" operator="containsText" text="P">
      <formula>NOT(ISERROR(SEARCH("P",Z19)))</formula>
    </cfRule>
    <cfRule type="containsText" dxfId="11228" priority="11998" operator="containsText" text="H">
      <formula>NOT(ISERROR(SEARCH("H",Z19)))</formula>
    </cfRule>
    <cfRule type="containsText" dxfId="11227" priority="12000" operator="containsText" text="&quot;H&quot;">
      <formula>NOT(ISERROR(SEARCH("""H""",Z19)))</formula>
    </cfRule>
    <cfRule type="containsText" dxfId="11226" priority="12001" operator="containsText" text="&quot;A&quot;">
      <formula>NOT(ISERROR(SEARCH("""A""",Z19)))</formula>
    </cfRule>
  </conditionalFormatting>
  <conditionalFormatting sqref="Z19">
    <cfRule type="containsText" dxfId="11225" priority="11999" operator="containsText" text="A-H">
      <formula>NOT(ISERROR(SEARCH("A-H",Z19)))</formula>
    </cfRule>
  </conditionalFormatting>
  <conditionalFormatting sqref="Y19">
    <cfRule type="cellIs" dxfId="11224" priority="11990" operator="equal">
      <formula>"C-Off-H"</formula>
    </cfRule>
    <cfRule type="cellIs" dxfId="11223" priority="11991" operator="equal">
      <formula>"C-Off"</formula>
    </cfRule>
    <cfRule type="cellIs" dxfId="11222" priority="11992" operator="equal">
      <formula>"CL-H"</formula>
    </cfRule>
    <cfRule type="cellIs" dxfId="11221" priority="11993" operator="equal">
      <formula>"EL-H"</formula>
    </cfRule>
    <cfRule type="cellIs" dxfId="11220" priority="11994" operator="equal">
      <formula>"CL"</formula>
    </cfRule>
    <cfRule type="cellIs" dxfId="11219" priority="11995" operator="equal">
      <formula>"EL"</formula>
    </cfRule>
  </conditionalFormatting>
  <conditionalFormatting sqref="Y19">
    <cfRule type="containsText" dxfId="11218" priority="11984" operator="containsText" text="S">
      <formula>NOT(ISERROR(SEARCH("S",Y19)))</formula>
    </cfRule>
    <cfRule type="containsText" dxfId="11217" priority="11985" operator="containsText" text="P">
      <formula>NOT(ISERROR(SEARCH("P",Y19)))</formula>
    </cfRule>
    <cfRule type="containsText" dxfId="11216" priority="11986" operator="containsText" text="H">
      <formula>NOT(ISERROR(SEARCH("H",Y19)))</formula>
    </cfRule>
    <cfRule type="containsText" dxfId="11215" priority="11988" operator="containsText" text="&quot;H&quot;">
      <formula>NOT(ISERROR(SEARCH("""H""",Y19)))</formula>
    </cfRule>
    <cfRule type="containsText" dxfId="11214" priority="11989" operator="containsText" text="&quot;A&quot;">
      <formula>NOT(ISERROR(SEARCH("""A""",Y19)))</formula>
    </cfRule>
  </conditionalFormatting>
  <conditionalFormatting sqref="Y19">
    <cfRule type="containsText" dxfId="11213" priority="11987" operator="containsText" text="A-H">
      <formula>NOT(ISERROR(SEARCH("A-H",Y19)))</formula>
    </cfRule>
  </conditionalFormatting>
  <conditionalFormatting sqref="AF19">
    <cfRule type="cellIs" dxfId="11212" priority="11978" operator="equal">
      <formula>"C-Off-H"</formula>
    </cfRule>
    <cfRule type="cellIs" dxfId="11211" priority="11979" operator="equal">
      <formula>"C-Off"</formula>
    </cfRule>
    <cfRule type="cellIs" dxfId="11210" priority="11980" operator="equal">
      <formula>"CL-H"</formula>
    </cfRule>
    <cfRule type="cellIs" dxfId="11209" priority="11981" operator="equal">
      <formula>"EL-H"</formula>
    </cfRule>
    <cfRule type="cellIs" dxfId="11208" priority="11982" operator="equal">
      <formula>"CL"</formula>
    </cfRule>
    <cfRule type="cellIs" dxfId="11207" priority="11983" operator="equal">
      <formula>"EL"</formula>
    </cfRule>
  </conditionalFormatting>
  <conditionalFormatting sqref="AF19">
    <cfRule type="containsText" dxfId="11206" priority="11972" operator="containsText" text="S">
      <formula>NOT(ISERROR(SEARCH("S",AF19)))</formula>
    </cfRule>
    <cfRule type="containsText" dxfId="11205" priority="11973" operator="containsText" text="P">
      <formula>NOT(ISERROR(SEARCH("P",AF19)))</formula>
    </cfRule>
    <cfRule type="containsText" dxfId="11204" priority="11974" operator="containsText" text="H">
      <formula>NOT(ISERROR(SEARCH("H",AF19)))</formula>
    </cfRule>
    <cfRule type="containsText" dxfId="11203" priority="11976" operator="containsText" text="&quot;H&quot;">
      <formula>NOT(ISERROR(SEARCH("""H""",AF19)))</formula>
    </cfRule>
    <cfRule type="containsText" dxfId="11202" priority="11977" operator="containsText" text="&quot;A&quot;">
      <formula>NOT(ISERROR(SEARCH("""A""",AF19)))</formula>
    </cfRule>
  </conditionalFormatting>
  <conditionalFormatting sqref="AF19">
    <cfRule type="containsText" dxfId="11201" priority="11975" operator="containsText" text="A-H">
      <formula>NOT(ISERROR(SEARCH("A-H",AF19)))</formula>
    </cfRule>
  </conditionalFormatting>
  <conditionalFormatting sqref="BO19:BP19">
    <cfRule type="cellIs" dxfId="11200" priority="11966" operator="equal">
      <formula>"C-Off-H"</formula>
    </cfRule>
    <cfRule type="cellIs" dxfId="11199" priority="11967" operator="equal">
      <formula>"C-Off"</formula>
    </cfRule>
    <cfRule type="cellIs" dxfId="11198" priority="11968" operator="equal">
      <formula>"CL-H"</formula>
    </cfRule>
    <cfRule type="cellIs" dxfId="11197" priority="11969" operator="equal">
      <formula>"EL-H"</formula>
    </cfRule>
    <cfRule type="cellIs" dxfId="11196" priority="11970" operator="equal">
      <formula>"CL"</formula>
    </cfRule>
    <cfRule type="cellIs" dxfId="11195" priority="11971" operator="equal">
      <formula>"EL"</formula>
    </cfRule>
  </conditionalFormatting>
  <conditionalFormatting sqref="BO19:BP19">
    <cfRule type="cellIs" dxfId="11194" priority="11960" operator="equal">
      <formula>"C-Off-H"</formula>
    </cfRule>
    <cfRule type="cellIs" dxfId="11193" priority="11961" operator="equal">
      <formula>"C-Off"</formula>
    </cfRule>
    <cfRule type="cellIs" dxfId="11192" priority="11962" operator="equal">
      <formula>"CL-H"</formula>
    </cfRule>
    <cfRule type="cellIs" dxfId="11191" priority="11963" operator="equal">
      <formula>"EL-H"</formula>
    </cfRule>
    <cfRule type="cellIs" dxfId="11190" priority="11964" operator="equal">
      <formula>"CL"</formula>
    </cfRule>
    <cfRule type="cellIs" dxfId="11189" priority="11965" operator="equal">
      <formula>"EL"</formula>
    </cfRule>
  </conditionalFormatting>
  <conditionalFormatting sqref="BO19:BP19">
    <cfRule type="containsText" dxfId="11188" priority="11954" operator="containsText" text="S">
      <formula>NOT(ISERROR(SEARCH("S",BO19)))</formula>
    </cfRule>
    <cfRule type="containsText" dxfId="11187" priority="11955" operator="containsText" text="P">
      <formula>NOT(ISERROR(SEARCH("P",BO19)))</formula>
    </cfRule>
    <cfRule type="containsText" dxfId="11186" priority="11956" operator="containsText" text="H">
      <formula>NOT(ISERROR(SEARCH("H",BO19)))</formula>
    </cfRule>
    <cfRule type="containsText" dxfId="11185" priority="11958" operator="containsText" text="&quot;H&quot;">
      <formula>NOT(ISERROR(SEARCH("""H""",BO19)))</formula>
    </cfRule>
    <cfRule type="containsText" dxfId="11184" priority="11959" operator="containsText" text="&quot;A&quot;">
      <formula>NOT(ISERROR(SEARCH("""A""",BO19)))</formula>
    </cfRule>
  </conditionalFormatting>
  <conditionalFormatting sqref="BO19:BP19">
    <cfRule type="containsText" dxfId="11183" priority="11957" operator="containsText" text="A-H">
      <formula>NOT(ISERROR(SEARCH("A-H",BO19)))</formula>
    </cfRule>
  </conditionalFormatting>
  <conditionalFormatting sqref="CM19">
    <cfRule type="cellIs" dxfId="11182" priority="11948" operator="equal">
      <formula>"C-Off-H"</formula>
    </cfRule>
    <cfRule type="cellIs" dxfId="11181" priority="11949" operator="equal">
      <formula>"C-Off"</formula>
    </cfRule>
    <cfRule type="cellIs" dxfId="11180" priority="11950" operator="equal">
      <formula>"CL-H"</formula>
    </cfRule>
    <cfRule type="cellIs" dxfId="11179" priority="11951" operator="equal">
      <formula>"EL-H"</formula>
    </cfRule>
    <cfRule type="cellIs" dxfId="11178" priority="11952" operator="equal">
      <formula>"CL"</formula>
    </cfRule>
    <cfRule type="cellIs" dxfId="11177" priority="11953" operator="equal">
      <formula>"EL"</formula>
    </cfRule>
  </conditionalFormatting>
  <conditionalFormatting sqref="CM19">
    <cfRule type="cellIs" dxfId="11176" priority="11942" operator="equal">
      <formula>"C-Off-H"</formula>
    </cfRule>
    <cfRule type="cellIs" dxfId="11175" priority="11943" operator="equal">
      <formula>"C-Off"</formula>
    </cfRule>
    <cfRule type="cellIs" dxfId="11174" priority="11944" operator="equal">
      <formula>"CL-H"</formula>
    </cfRule>
    <cfRule type="cellIs" dxfId="11173" priority="11945" operator="equal">
      <formula>"EL-H"</formula>
    </cfRule>
    <cfRule type="cellIs" dxfId="11172" priority="11946" operator="equal">
      <formula>"CL"</formula>
    </cfRule>
    <cfRule type="cellIs" dxfId="11171" priority="11947" operator="equal">
      <formula>"EL"</formula>
    </cfRule>
  </conditionalFormatting>
  <conditionalFormatting sqref="CM19">
    <cfRule type="containsText" dxfId="11170" priority="11936" operator="containsText" text="S">
      <formula>NOT(ISERROR(SEARCH("S",CM19)))</formula>
    </cfRule>
    <cfRule type="containsText" dxfId="11169" priority="11937" operator="containsText" text="P">
      <formula>NOT(ISERROR(SEARCH("P",CM19)))</formula>
    </cfRule>
    <cfRule type="containsText" dxfId="11168" priority="11938" operator="containsText" text="H">
      <formula>NOT(ISERROR(SEARCH("H",CM19)))</formula>
    </cfRule>
    <cfRule type="containsText" dxfId="11167" priority="11940" operator="containsText" text="&quot;H&quot;">
      <formula>NOT(ISERROR(SEARCH("""H""",CM19)))</formula>
    </cfRule>
    <cfRule type="containsText" dxfId="11166" priority="11941" operator="containsText" text="&quot;A&quot;">
      <formula>NOT(ISERROR(SEARCH("""A""",CM19)))</formula>
    </cfRule>
  </conditionalFormatting>
  <conditionalFormatting sqref="CM19">
    <cfRule type="containsText" dxfId="11165" priority="11939" operator="containsText" text="A-H">
      <formula>NOT(ISERROR(SEARCH("A-H",CM19)))</formula>
    </cfRule>
  </conditionalFormatting>
  <conditionalFormatting sqref="V19:W19">
    <cfRule type="cellIs" dxfId="11164" priority="11906" operator="equal">
      <formula>"C-Off-H"</formula>
    </cfRule>
    <cfRule type="cellIs" dxfId="11163" priority="11907" operator="equal">
      <formula>"C-Off"</formula>
    </cfRule>
    <cfRule type="cellIs" dxfId="11162" priority="11908" operator="equal">
      <formula>"CL-H"</formula>
    </cfRule>
    <cfRule type="cellIs" dxfId="11161" priority="11909" operator="equal">
      <formula>"EL-H"</formula>
    </cfRule>
    <cfRule type="cellIs" dxfId="11160" priority="11910" operator="equal">
      <formula>"CL"</formula>
    </cfRule>
    <cfRule type="cellIs" dxfId="11159" priority="11911" operator="equal">
      <formula>"EL"</formula>
    </cfRule>
  </conditionalFormatting>
  <conditionalFormatting sqref="V19:W19">
    <cfRule type="containsText" dxfId="11158" priority="11900" operator="containsText" text="S">
      <formula>NOT(ISERROR(SEARCH("S",V19)))</formula>
    </cfRule>
    <cfRule type="containsText" dxfId="11157" priority="11901" operator="containsText" text="P">
      <formula>NOT(ISERROR(SEARCH("P",V19)))</formula>
    </cfRule>
    <cfRule type="containsText" dxfId="11156" priority="11902" operator="containsText" text="H">
      <formula>NOT(ISERROR(SEARCH("H",V19)))</formula>
    </cfRule>
    <cfRule type="containsText" dxfId="11155" priority="11904" operator="containsText" text="&quot;H&quot;">
      <formula>NOT(ISERROR(SEARCH("""H""",V19)))</formula>
    </cfRule>
    <cfRule type="containsText" dxfId="11154" priority="11905" operator="containsText" text="&quot;A&quot;">
      <formula>NOT(ISERROR(SEARCH("""A""",V19)))</formula>
    </cfRule>
  </conditionalFormatting>
  <conditionalFormatting sqref="V19:W19">
    <cfRule type="containsText" dxfId="11153" priority="11903" operator="containsText" text="A-H">
      <formula>NOT(ISERROR(SEARCH("A-H",V19)))</formula>
    </cfRule>
  </conditionalFormatting>
  <conditionalFormatting sqref="P19:Q19">
    <cfRule type="cellIs" dxfId="11152" priority="11930" operator="equal">
      <formula>"C-Off-H"</formula>
    </cfRule>
    <cfRule type="cellIs" dxfId="11151" priority="11931" operator="equal">
      <formula>"C-Off"</formula>
    </cfRule>
    <cfRule type="cellIs" dxfId="11150" priority="11932" operator="equal">
      <formula>"CL-H"</formula>
    </cfRule>
    <cfRule type="cellIs" dxfId="11149" priority="11933" operator="equal">
      <formula>"EL-H"</formula>
    </cfRule>
    <cfRule type="cellIs" dxfId="11148" priority="11934" operator="equal">
      <formula>"CL"</formula>
    </cfRule>
    <cfRule type="cellIs" dxfId="11147" priority="11935" operator="equal">
      <formula>"EL"</formula>
    </cfRule>
  </conditionalFormatting>
  <conditionalFormatting sqref="P19:Q19">
    <cfRule type="containsText" dxfId="11146" priority="11924" operator="containsText" text="S">
      <formula>NOT(ISERROR(SEARCH("S",P19)))</formula>
    </cfRule>
    <cfRule type="containsText" dxfId="11145" priority="11925" operator="containsText" text="P">
      <formula>NOT(ISERROR(SEARCH("P",P19)))</formula>
    </cfRule>
    <cfRule type="containsText" dxfId="11144" priority="11926" operator="containsText" text="H">
      <formula>NOT(ISERROR(SEARCH("H",P19)))</formula>
    </cfRule>
    <cfRule type="containsText" dxfId="11143" priority="11928" operator="containsText" text="&quot;H&quot;">
      <formula>NOT(ISERROR(SEARCH("""H""",P19)))</formula>
    </cfRule>
    <cfRule type="containsText" dxfId="11142" priority="11929" operator="containsText" text="&quot;A&quot;">
      <formula>NOT(ISERROR(SEARCH("""A""",P19)))</formula>
    </cfRule>
  </conditionalFormatting>
  <conditionalFormatting sqref="P19:Q19">
    <cfRule type="containsText" dxfId="11141" priority="11927" operator="containsText" text="A-H">
      <formula>NOT(ISERROR(SEARCH("A-H",P19)))</formula>
    </cfRule>
  </conditionalFormatting>
  <conditionalFormatting sqref="S19:T19">
    <cfRule type="cellIs" dxfId="11140" priority="11918" operator="equal">
      <formula>"C-Off-H"</formula>
    </cfRule>
    <cfRule type="cellIs" dxfId="11139" priority="11919" operator="equal">
      <formula>"C-Off"</formula>
    </cfRule>
    <cfRule type="cellIs" dxfId="11138" priority="11920" operator="equal">
      <formula>"CL-H"</formula>
    </cfRule>
    <cfRule type="cellIs" dxfId="11137" priority="11921" operator="equal">
      <formula>"EL-H"</formula>
    </cfRule>
    <cfRule type="cellIs" dxfId="11136" priority="11922" operator="equal">
      <formula>"CL"</formula>
    </cfRule>
    <cfRule type="cellIs" dxfId="11135" priority="11923" operator="equal">
      <formula>"EL"</formula>
    </cfRule>
  </conditionalFormatting>
  <conditionalFormatting sqref="S19:T19">
    <cfRule type="containsText" dxfId="11134" priority="11912" operator="containsText" text="S">
      <formula>NOT(ISERROR(SEARCH("S",S19)))</formula>
    </cfRule>
    <cfRule type="containsText" dxfId="11133" priority="11913" operator="containsText" text="P">
      <formula>NOT(ISERROR(SEARCH("P",S19)))</formula>
    </cfRule>
    <cfRule type="containsText" dxfId="11132" priority="11914" operator="containsText" text="H">
      <formula>NOT(ISERROR(SEARCH("H",S19)))</formula>
    </cfRule>
    <cfRule type="containsText" dxfId="11131" priority="11916" operator="containsText" text="&quot;H&quot;">
      <formula>NOT(ISERROR(SEARCH("""H""",S19)))</formula>
    </cfRule>
    <cfRule type="containsText" dxfId="11130" priority="11917" operator="containsText" text="&quot;A&quot;">
      <formula>NOT(ISERROR(SEARCH("""A""",S19)))</formula>
    </cfRule>
  </conditionalFormatting>
  <conditionalFormatting sqref="S19:T19">
    <cfRule type="containsText" dxfId="11129" priority="11915" operator="containsText" text="A-H">
      <formula>NOT(ISERROR(SEARCH("A-H",S19)))</formula>
    </cfRule>
  </conditionalFormatting>
  <conditionalFormatting sqref="AB19:AC19">
    <cfRule type="cellIs" dxfId="11128" priority="11894" operator="equal">
      <formula>"C-Off-H"</formula>
    </cfRule>
    <cfRule type="cellIs" dxfId="11127" priority="11895" operator="equal">
      <formula>"C-Off"</formula>
    </cfRule>
    <cfRule type="cellIs" dxfId="11126" priority="11896" operator="equal">
      <formula>"CL-H"</formula>
    </cfRule>
    <cfRule type="cellIs" dxfId="11125" priority="11897" operator="equal">
      <formula>"EL-H"</formula>
    </cfRule>
    <cfRule type="cellIs" dxfId="11124" priority="11898" operator="equal">
      <formula>"CL"</formula>
    </cfRule>
    <cfRule type="cellIs" dxfId="11123" priority="11899" operator="equal">
      <formula>"EL"</formula>
    </cfRule>
  </conditionalFormatting>
  <conditionalFormatting sqref="AB19:AC19">
    <cfRule type="containsText" dxfId="11122" priority="11888" operator="containsText" text="S">
      <formula>NOT(ISERROR(SEARCH("S",AB19)))</formula>
    </cfRule>
    <cfRule type="containsText" dxfId="11121" priority="11889" operator="containsText" text="P">
      <formula>NOT(ISERROR(SEARCH("P",AB19)))</formula>
    </cfRule>
    <cfRule type="containsText" dxfId="11120" priority="11890" operator="containsText" text="H">
      <formula>NOT(ISERROR(SEARCH("H",AB19)))</formula>
    </cfRule>
    <cfRule type="containsText" dxfId="11119" priority="11892" operator="containsText" text="&quot;H&quot;">
      <formula>NOT(ISERROR(SEARCH("""H""",AB19)))</formula>
    </cfRule>
    <cfRule type="containsText" dxfId="11118" priority="11893" operator="containsText" text="&quot;A&quot;">
      <formula>NOT(ISERROR(SEARCH("""A""",AB19)))</formula>
    </cfRule>
  </conditionalFormatting>
  <conditionalFormatting sqref="AB19:AC19">
    <cfRule type="containsText" dxfId="11117" priority="11891" operator="containsText" text="A-H">
      <formula>NOT(ISERROR(SEARCH("A-H",AB19)))</formula>
    </cfRule>
  </conditionalFormatting>
  <conditionalFormatting sqref="AE19">
    <cfRule type="cellIs" dxfId="11116" priority="11882" operator="equal">
      <formula>"C-Off-H"</formula>
    </cfRule>
    <cfRule type="cellIs" dxfId="11115" priority="11883" operator="equal">
      <formula>"C-Off"</formula>
    </cfRule>
    <cfRule type="cellIs" dxfId="11114" priority="11884" operator="equal">
      <formula>"CL-H"</formula>
    </cfRule>
    <cfRule type="cellIs" dxfId="11113" priority="11885" operator="equal">
      <formula>"EL-H"</formula>
    </cfRule>
    <cfRule type="cellIs" dxfId="11112" priority="11886" operator="equal">
      <formula>"CL"</formula>
    </cfRule>
    <cfRule type="cellIs" dxfId="11111" priority="11887" operator="equal">
      <formula>"EL"</formula>
    </cfRule>
  </conditionalFormatting>
  <conditionalFormatting sqref="AE19">
    <cfRule type="containsText" dxfId="11110" priority="11876" operator="containsText" text="S">
      <formula>NOT(ISERROR(SEARCH("S",AE19)))</formula>
    </cfRule>
    <cfRule type="containsText" dxfId="11109" priority="11877" operator="containsText" text="P">
      <formula>NOT(ISERROR(SEARCH("P",AE19)))</formula>
    </cfRule>
    <cfRule type="containsText" dxfId="11108" priority="11878" operator="containsText" text="H">
      <formula>NOT(ISERROR(SEARCH("H",AE19)))</formula>
    </cfRule>
    <cfRule type="containsText" dxfId="11107" priority="11880" operator="containsText" text="&quot;H&quot;">
      <formula>NOT(ISERROR(SEARCH("""H""",AE19)))</formula>
    </cfRule>
    <cfRule type="containsText" dxfId="11106" priority="11881" operator="containsText" text="&quot;A&quot;">
      <formula>NOT(ISERROR(SEARCH("""A""",AE19)))</formula>
    </cfRule>
  </conditionalFormatting>
  <conditionalFormatting sqref="AE19">
    <cfRule type="containsText" dxfId="11105" priority="11879" operator="containsText" text="A-H">
      <formula>NOT(ISERROR(SEARCH("A-H",AE19)))</formula>
    </cfRule>
  </conditionalFormatting>
  <conditionalFormatting sqref="AK19:AL19">
    <cfRule type="cellIs" dxfId="11104" priority="11870" operator="equal">
      <formula>"C-Off-H"</formula>
    </cfRule>
    <cfRule type="cellIs" dxfId="11103" priority="11871" operator="equal">
      <formula>"C-Off"</formula>
    </cfRule>
    <cfRule type="cellIs" dxfId="11102" priority="11872" operator="equal">
      <formula>"CL-H"</formula>
    </cfRule>
    <cfRule type="cellIs" dxfId="11101" priority="11873" operator="equal">
      <formula>"EL-H"</formula>
    </cfRule>
    <cfRule type="cellIs" dxfId="11100" priority="11874" operator="equal">
      <formula>"CL"</formula>
    </cfRule>
    <cfRule type="cellIs" dxfId="11099" priority="11875" operator="equal">
      <formula>"EL"</formula>
    </cfRule>
  </conditionalFormatting>
  <conditionalFormatting sqref="AK19:AL19">
    <cfRule type="containsText" dxfId="11098" priority="11864" operator="containsText" text="S">
      <formula>NOT(ISERROR(SEARCH("S",AK19)))</formula>
    </cfRule>
    <cfRule type="containsText" dxfId="11097" priority="11865" operator="containsText" text="P">
      <formula>NOT(ISERROR(SEARCH("P",AK19)))</formula>
    </cfRule>
    <cfRule type="containsText" dxfId="11096" priority="11866" operator="containsText" text="H">
      <formula>NOT(ISERROR(SEARCH("H",AK19)))</formula>
    </cfRule>
    <cfRule type="containsText" dxfId="11095" priority="11868" operator="containsText" text="&quot;H&quot;">
      <formula>NOT(ISERROR(SEARCH("""H""",AK19)))</formula>
    </cfRule>
    <cfRule type="containsText" dxfId="11094" priority="11869" operator="containsText" text="&quot;A&quot;">
      <formula>NOT(ISERROR(SEARCH("""A""",AK19)))</formula>
    </cfRule>
  </conditionalFormatting>
  <conditionalFormatting sqref="AK19:AL19">
    <cfRule type="containsText" dxfId="11093" priority="11867" operator="containsText" text="A-H">
      <formula>NOT(ISERROR(SEARCH("A-H",AK19)))</formula>
    </cfRule>
  </conditionalFormatting>
  <conditionalFormatting sqref="AN19:AO19">
    <cfRule type="cellIs" dxfId="11092" priority="11858" operator="equal">
      <formula>"C-Off-H"</formula>
    </cfRule>
    <cfRule type="cellIs" dxfId="11091" priority="11859" operator="equal">
      <formula>"C-Off"</formula>
    </cfRule>
    <cfRule type="cellIs" dxfId="11090" priority="11860" operator="equal">
      <formula>"CL-H"</formula>
    </cfRule>
    <cfRule type="cellIs" dxfId="11089" priority="11861" operator="equal">
      <formula>"EL-H"</formula>
    </cfRule>
    <cfRule type="cellIs" dxfId="11088" priority="11862" operator="equal">
      <formula>"CL"</formula>
    </cfRule>
    <cfRule type="cellIs" dxfId="11087" priority="11863" operator="equal">
      <formula>"EL"</formula>
    </cfRule>
  </conditionalFormatting>
  <conditionalFormatting sqref="AN19:AO19">
    <cfRule type="containsText" dxfId="11086" priority="11852" operator="containsText" text="S">
      <formula>NOT(ISERROR(SEARCH("S",AN19)))</formula>
    </cfRule>
    <cfRule type="containsText" dxfId="11085" priority="11853" operator="containsText" text="P">
      <formula>NOT(ISERROR(SEARCH("P",AN19)))</formula>
    </cfRule>
    <cfRule type="containsText" dxfId="11084" priority="11854" operator="containsText" text="H">
      <formula>NOT(ISERROR(SEARCH("H",AN19)))</formula>
    </cfRule>
    <cfRule type="containsText" dxfId="11083" priority="11856" operator="containsText" text="&quot;H&quot;">
      <formula>NOT(ISERROR(SEARCH("""H""",AN19)))</formula>
    </cfRule>
    <cfRule type="containsText" dxfId="11082" priority="11857" operator="containsText" text="&quot;A&quot;">
      <formula>NOT(ISERROR(SEARCH("""A""",AN19)))</formula>
    </cfRule>
  </conditionalFormatting>
  <conditionalFormatting sqref="AN19:AO19">
    <cfRule type="containsText" dxfId="11081" priority="11855" operator="containsText" text="A-H">
      <formula>NOT(ISERROR(SEARCH("A-H",AN19)))</formula>
    </cfRule>
  </conditionalFormatting>
  <conditionalFormatting sqref="AQ19:AR19">
    <cfRule type="cellIs" dxfId="11080" priority="11846" operator="equal">
      <formula>"C-Off-H"</formula>
    </cfRule>
    <cfRule type="cellIs" dxfId="11079" priority="11847" operator="equal">
      <formula>"C-Off"</formula>
    </cfRule>
    <cfRule type="cellIs" dxfId="11078" priority="11848" operator="equal">
      <formula>"CL-H"</formula>
    </cfRule>
    <cfRule type="cellIs" dxfId="11077" priority="11849" operator="equal">
      <formula>"EL-H"</formula>
    </cfRule>
    <cfRule type="cellIs" dxfId="11076" priority="11850" operator="equal">
      <formula>"CL"</formula>
    </cfRule>
    <cfRule type="cellIs" dxfId="11075" priority="11851" operator="equal">
      <formula>"EL"</formula>
    </cfRule>
  </conditionalFormatting>
  <conditionalFormatting sqref="AQ19:AR19">
    <cfRule type="containsText" dxfId="11074" priority="11840" operator="containsText" text="S">
      <formula>NOT(ISERROR(SEARCH("S",AQ19)))</formula>
    </cfRule>
    <cfRule type="containsText" dxfId="11073" priority="11841" operator="containsText" text="P">
      <formula>NOT(ISERROR(SEARCH("P",AQ19)))</formula>
    </cfRule>
    <cfRule type="containsText" dxfId="11072" priority="11842" operator="containsText" text="H">
      <formula>NOT(ISERROR(SEARCH("H",AQ19)))</formula>
    </cfRule>
    <cfRule type="containsText" dxfId="11071" priority="11844" operator="containsText" text="&quot;H&quot;">
      <formula>NOT(ISERROR(SEARCH("""H""",AQ19)))</formula>
    </cfRule>
    <cfRule type="containsText" dxfId="11070" priority="11845" operator="containsText" text="&quot;A&quot;">
      <formula>NOT(ISERROR(SEARCH("""A""",AQ19)))</formula>
    </cfRule>
  </conditionalFormatting>
  <conditionalFormatting sqref="AQ19:AR19">
    <cfRule type="containsText" dxfId="11069" priority="11843" operator="containsText" text="A-H">
      <formula>NOT(ISERROR(SEARCH("A-H",AQ19)))</formula>
    </cfRule>
  </conditionalFormatting>
  <conditionalFormatting sqref="AW19:AX19">
    <cfRule type="cellIs" dxfId="11068" priority="11834" operator="equal">
      <formula>"C-Off-H"</formula>
    </cfRule>
    <cfRule type="cellIs" dxfId="11067" priority="11835" operator="equal">
      <formula>"C-Off"</formula>
    </cfRule>
    <cfRule type="cellIs" dxfId="11066" priority="11836" operator="equal">
      <formula>"CL-H"</formula>
    </cfRule>
    <cfRule type="cellIs" dxfId="11065" priority="11837" operator="equal">
      <formula>"EL-H"</formula>
    </cfRule>
    <cfRule type="cellIs" dxfId="11064" priority="11838" operator="equal">
      <formula>"CL"</formula>
    </cfRule>
    <cfRule type="cellIs" dxfId="11063" priority="11839" operator="equal">
      <formula>"EL"</formula>
    </cfRule>
  </conditionalFormatting>
  <conditionalFormatting sqref="AW19:AX19">
    <cfRule type="containsText" dxfId="11062" priority="11828" operator="containsText" text="S">
      <formula>NOT(ISERROR(SEARCH("S",AW19)))</formula>
    </cfRule>
    <cfRule type="containsText" dxfId="11061" priority="11829" operator="containsText" text="P">
      <formula>NOT(ISERROR(SEARCH("P",AW19)))</formula>
    </cfRule>
    <cfRule type="containsText" dxfId="11060" priority="11830" operator="containsText" text="H">
      <formula>NOT(ISERROR(SEARCH("H",AW19)))</formula>
    </cfRule>
    <cfRule type="containsText" dxfId="11059" priority="11832" operator="containsText" text="&quot;H&quot;">
      <formula>NOT(ISERROR(SEARCH("""H""",AW19)))</formula>
    </cfRule>
    <cfRule type="containsText" dxfId="11058" priority="11833" operator="containsText" text="&quot;A&quot;">
      <formula>NOT(ISERROR(SEARCH("""A""",AW19)))</formula>
    </cfRule>
  </conditionalFormatting>
  <conditionalFormatting sqref="AW19:AX19">
    <cfRule type="containsText" dxfId="11057" priority="11831" operator="containsText" text="A-H">
      <formula>NOT(ISERROR(SEARCH("A-H",AW19)))</formula>
    </cfRule>
  </conditionalFormatting>
  <conditionalFormatting sqref="AZ19:BA19">
    <cfRule type="cellIs" dxfId="11056" priority="11822" operator="equal">
      <formula>"C-Off-H"</formula>
    </cfRule>
    <cfRule type="cellIs" dxfId="11055" priority="11823" operator="equal">
      <formula>"C-Off"</formula>
    </cfRule>
    <cfRule type="cellIs" dxfId="11054" priority="11824" operator="equal">
      <formula>"CL-H"</formula>
    </cfRule>
    <cfRule type="cellIs" dxfId="11053" priority="11825" operator="equal">
      <formula>"EL-H"</formula>
    </cfRule>
    <cfRule type="cellIs" dxfId="11052" priority="11826" operator="equal">
      <formula>"CL"</formula>
    </cfRule>
    <cfRule type="cellIs" dxfId="11051" priority="11827" operator="equal">
      <formula>"EL"</formula>
    </cfRule>
  </conditionalFormatting>
  <conditionalFormatting sqref="AZ19:BA19">
    <cfRule type="containsText" dxfId="11050" priority="11816" operator="containsText" text="S">
      <formula>NOT(ISERROR(SEARCH("S",AZ19)))</formula>
    </cfRule>
    <cfRule type="containsText" dxfId="11049" priority="11817" operator="containsText" text="P">
      <formula>NOT(ISERROR(SEARCH("P",AZ19)))</formula>
    </cfRule>
    <cfRule type="containsText" dxfId="11048" priority="11818" operator="containsText" text="H">
      <formula>NOT(ISERROR(SEARCH("H",AZ19)))</formula>
    </cfRule>
    <cfRule type="containsText" dxfId="11047" priority="11820" operator="containsText" text="&quot;H&quot;">
      <formula>NOT(ISERROR(SEARCH("""H""",AZ19)))</formula>
    </cfRule>
    <cfRule type="containsText" dxfId="11046" priority="11821" operator="containsText" text="&quot;A&quot;">
      <formula>NOT(ISERROR(SEARCH("""A""",AZ19)))</formula>
    </cfRule>
  </conditionalFormatting>
  <conditionalFormatting sqref="AZ19:BA19">
    <cfRule type="containsText" dxfId="11045" priority="11819" operator="containsText" text="A-H">
      <formula>NOT(ISERROR(SEARCH("A-H",AZ19)))</formula>
    </cfRule>
  </conditionalFormatting>
  <conditionalFormatting sqref="BC19:BD19">
    <cfRule type="cellIs" dxfId="11044" priority="11810" operator="equal">
      <formula>"C-Off-H"</formula>
    </cfRule>
    <cfRule type="cellIs" dxfId="11043" priority="11811" operator="equal">
      <formula>"C-Off"</formula>
    </cfRule>
    <cfRule type="cellIs" dxfId="11042" priority="11812" operator="equal">
      <formula>"CL-H"</formula>
    </cfRule>
    <cfRule type="cellIs" dxfId="11041" priority="11813" operator="equal">
      <formula>"EL-H"</formula>
    </cfRule>
    <cfRule type="cellIs" dxfId="11040" priority="11814" operator="equal">
      <formula>"CL"</formula>
    </cfRule>
    <cfRule type="cellIs" dxfId="11039" priority="11815" operator="equal">
      <formula>"EL"</formula>
    </cfRule>
  </conditionalFormatting>
  <conditionalFormatting sqref="BC19:BD19">
    <cfRule type="containsText" dxfId="11038" priority="11804" operator="containsText" text="S">
      <formula>NOT(ISERROR(SEARCH("S",BC19)))</formula>
    </cfRule>
    <cfRule type="containsText" dxfId="11037" priority="11805" operator="containsText" text="P">
      <formula>NOT(ISERROR(SEARCH("P",BC19)))</formula>
    </cfRule>
    <cfRule type="containsText" dxfId="11036" priority="11806" operator="containsText" text="H">
      <formula>NOT(ISERROR(SEARCH("H",BC19)))</formula>
    </cfRule>
    <cfRule type="containsText" dxfId="11035" priority="11808" operator="containsText" text="&quot;H&quot;">
      <formula>NOT(ISERROR(SEARCH("""H""",BC19)))</formula>
    </cfRule>
    <cfRule type="containsText" dxfId="11034" priority="11809" operator="containsText" text="&quot;A&quot;">
      <formula>NOT(ISERROR(SEARCH("""A""",BC19)))</formula>
    </cfRule>
  </conditionalFormatting>
  <conditionalFormatting sqref="BC19:BD19">
    <cfRule type="containsText" dxfId="11033" priority="11807" operator="containsText" text="A-H">
      <formula>NOT(ISERROR(SEARCH("A-H",BC19)))</formula>
    </cfRule>
  </conditionalFormatting>
  <conditionalFormatting sqref="BF19:BG19">
    <cfRule type="cellIs" dxfId="11032" priority="11798" operator="equal">
      <formula>"C-Off-H"</formula>
    </cfRule>
    <cfRule type="cellIs" dxfId="11031" priority="11799" operator="equal">
      <formula>"C-Off"</formula>
    </cfRule>
    <cfRule type="cellIs" dxfId="11030" priority="11800" operator="equal">
      <formula>"CL-H"</formula>
    </cfRule>
    <cfRule type="cellIs" dxfId="11029" priority="11801" operator="equal">
      <formula>"EL-H"</formula>
    </cfRule>
    <cfRule type="cellIs" dxfId="11028" priority="11802" operator="equal">
      <formula>"CL"</formula>
    </cfRule>
    <cfRule type="cellIs" dxfId="11027" priority="11803" operator="equal">
      <formula>"EL"</formula>
    </cfRule>
  </conditionalFormatting>
  <conditionalFormatting sqref="BF19:BG19">
    <cfRule type="containsText" dxfId="11026" priority="11792" operator="containsText" text="S">
      <formula>NOT(ISERROR(SEARCH("S",BF19)))</formula>
    </cfRule>
    <cfRule type="containsText" dxfId="11025" priority="11793" operator="containsText" text="P">
      <formula>NOT(ISERROR(SEARCH("P",BF19)))</formula>
    </cfRule>
    <cfRule type="containsText" dxfId="11024" priority="11794" operator="containsText" text="H">
      <formula>NOT(ISERROR(SEARCH("H",BF19)))</formula>
    </cfRule>
    <cfRule type="containsText" dxfId="11023" priority="11796" operator="containsText" text="&quot;H&quot;">
      <formula>NOT(ISERROR(SEARCH("""H""",BF19)))</formula>
    </cfRule>
    <cfRule type="containsText" dxfId="11022" priority="11797" operator="containsText" text="&quot;A&quot;">
      <formula>NOT(ISERROR(SEARCH("""A""",BF19)))</formula>
    </cfRule>
  </conditionalFormatting>
  <conditionalFormatting sqref="BF19:BG19">
    <cfRule type="containsText" dxfId="11021" priority="11795" operator="containsText" text="A-H">
      <formula>NOT(ISERROR(SEARCH("A-H",BF19)))</formula>
    </cfRule>
  </conditionalFormatting>
  <conditionalFormatting sqref="BI19:BJ19">
    <cfRule type="cellIs" dxfId="11020" priority="11786" operator="equal">
      <formula>"C-Off-H"</formula>
    </cfRule>
    <cfRule type="cellIs" dxfId="11019" priority="11787" operator="equal">
      <formula>"C-Off"</formula>
    </cfRule>
    <cfRule type="cellIs" dxfId="11018" priority="11788" operator="equal">
      <formula>"CL-H"</formula>
    </cfRule>
    <cfRule type="cellIs" dxfId="11017" priority="11789" operator="equal">
      <formula>"EL-H"</formula>
    </cfRule>
    <cfRule type="cellIs" dxfId="11016" priority="11790" operator="equal">
      <formula>"CL"</formula>
    </cfRule>
    <cfRule type="cellIs" dxfId="11015" priority="11791" operator="equal">
      <formula>"EL"</formula>
    </cfRule>
  </conditionalFormatting>
  <conditionalFormatting sqref="BI19:BJ19">
    <cfRule type="containsText" dxfId="11014" priority="11780" operator="containsText" text="S">
      <formula>NOT(ISERROR(SEARCH("S",BI19)))</formula>
    </cfRule>
    <cfRule type="containsText" dxfId="11013" priority="11781" operator="containsText" text="P">
      <formula>NOT(ISERROR(SEARCH("P",BI19)))</formula>
    </cfRule>
    <cfRule type="containsText" dxfId="11012" priority="11782" operator="containsText" text="H">
      <formula>NOT(ISERROR(SEARCH("H",BI19)))</formula>
    </cfRule>
    <cfRule type="containsText" dxfId="11011" priority="11784" operator="containsText" text="&quot;H&quot;">
      <formula>NOT(ISERROR(SEARCH("""H""",BI19)))</formula>
    </cfRule>
    <cfRule type="containsText" dxfId="11010" priority="11785" operator="containsText" text="&quot;A&quot;">
      <formula>NOT(ISERROR(SEARCH("""A""",BI19)))</formula>
    </cfRule>
  </conditionalFormatting>
  <conditionalFormatting sqref="BI19:BJ19">
    <cfRule type="containsText" dxfId="11009" priority="11783" operator="containsText" text="A-H">
      <formula>NOT(ISERROR(SEARCH("A-H",BI19)))</formula>
    </cfRule>
  </conditionalFormatting>
  <conditionalFormatting sqref="BL19:BM19">
    <cfRule type="cellIs" dxfId="11008" priority="11774" operator="equal">
      <formula>"C-Off-H"</formula>
    </cfRule>
    <cfRule type="cellIs" dxfId="11007" priority="11775" operator="equal">
      <formula>"C-Off"</formula>
    </cfRule>
    <cfRule type="cellIs" dxfId="11006" priority="11776" operator="equal">
      <formula>"CL-H"</formula>
    </cfRule>
    <cfRule type="cellIs" dxfId="11005" priority="11777" operator="equal">
      <formula>"EL-H"</formula>
    </cfRule>
    <cfRule type="cellIs" dxfId="11004" priority="11778" operator="equal">
      <formula>"CL"</formula>
    </cfRule>
    <cfRule type="cellIs" dxfId="11003" priority="11779" operator="equal">
      <formula>"EL"</formula>
    </cfRule>
  </conditionalFormatting>
  <conditionalFormatting sqref="BL19:BM19">
    <cfRule type="containsText" dxfId="11002" priority="11768" operator="containsText" text="S">
      <formula>NOT(ISERROR(SEARCH("S",BL19)))</formula>
    </cfRule>
    <cfRule type="containsText" dxfId="11001" priority="11769" operator="containsText" text="P">
      <formula>NOT(ISERROR(SEARCH("P",BL19)))</formula>
    </cfRule>
    <cfRule type="containsText" dxfId="11000" priority="11770" operator="containsText" text="H">
      <formula>NOT(ISERROR(SEARCH("H",BL19)))</formula>
    </cfRule>
    <cfRule type="containsText" dxfId="10999" priority="11772" operator="containsText" text="&quot;H&quot;">
      <formula>NOT(ISERROR(SEARCH("""H""",BL19)))</formula>
    </cfRule>
    <cfRule type="containsText" dxfId="10998" priority="11773" operator="containsText" text="&quot;A&quot;">
      <formula>NOT(ISERROR(SEARCH("""A""",BL19)))</formula>
    </cfRule>
  </conditionalFormatting>
  <conditionalFormatting sqref="BL19:BM19">
    <cfRule type="containsText" dxfId="10997" priority="11771" operator="containsText" text="A-H">
      <formula>NOT(ISERROR(SEARCH("A-H",BL19)))</formula>
    </cfRule>
  </conditionalFormatting>
  <conditionalFormatting sqref="BR19:BS19">
    <cfRule type="cellIs" dxfId="10996" priority="11762" operator="equal">
      <formula>"C-Off-H"</formula>
    </cfRule>
    <cfRule type="cellIs" dxfId="10995" priority="11763" operator="equal">
      <formula>"C-Off"</formula>
    </cfRule>
    <cfRule type="cellIs" dxfId="10994" priority="11764" operator="equal">
      <formula>"CL-H"</formula>
    </cfRule>
    <cfRule type="cellIs" dxfId="10993" priority="11765" operator="equal">
      <formula>"EL-H"</formula>
    </cfRule>
    <cfRule type="cellIs" dxfId="10992" priority="11766" operator="equal">
      <formula>"CL"</formula>
    </cfRule>
    <cfRule type="cellIs" dxfId="10991" priority="11767" operator="equal">
      <formula>"EL"</formula>
    </cfRule>
  </conditionalFormatting>
  <conditionalFormatting sqref="BR19:BS19">
    <cfRule type="containsText" dxfId="10990" priority="11756" operator="containsText" text="S">
      <formula>NOT(ISERROR(SEARCH("S",BR19)))</formula>
    </cfRule>
    <cfRule type="containsText" dxfId="10989" priority="11757" operator="containsText" text="P">
      <formula>NOT(ISERROR(SEARCH("P",BR19)))</formula>
    </cfRule>
    <cfRule type="containsText" dxfId="10988" priority="11758" operator="containsText" text="H">
      <formula>NOT(ISERROR(SEARCH("H",BR19)))</formula>
    </cfRule>
    <cfRule type="containsText" dxfId="10987" priority="11760" operator="containsText" text="&quot;H&quot;">
      <formula>NOT(ISERROR(SEARCH("""H""",BR19)))</formula>
    </cfRule>
    <cfRule type="containsText" dxfId="10986" priority="11761" operator="containsText" text="&quot;A&quot;">
      <formula>NOT(ISERROR(SEARCH("""A""",BR19)))</formula>
    </cfRule>
  </conditionalFormatting>
  <conditionalFormatting sqref="BR19:BS19">
    <cfRule type="containsText" dxfId="10985" priority="11759" operator="containsText" text="A-H">
      <formula>NOT(ISERROR(SEARCH("A-H",BR19)))</formula>
    </cfRule>
  </conditionalFormatting>
  <conditionalFormatting sqref="BU19:BV19">
    <cfRule type="cellIs" dxfId="10984" priority="11750" operator="equal">
      <formula>"C-Off-H"</formula>
    </cfRule>
    <cfRule type="cellIs" dxfId="10983" priority="11751" operator="equal">
      <formula>"C-Off"</formula>
    </cfRule>
    <cfRule type="cellIs" dxfId="10982" priority="11752" operator="equal">
      <formula>"CL-H"</formula>
    </cfRule>
    <cfRule type="cellIs" dxfId="10981" priority="11753" operator="equal">
      <formula>"EL-H"</formula>
    </cfRule>
    <cfRule type="cellIs" dxfId="10980" priority="11754" operator="equal">
      <formula>"CL"</formula>
    </cfRule>
    <cfRule type="cellIs" dxfId="10979" priority="11755" operator="equal">
      <formula>"EL"</formula>
    </cfRule>
  </conditionalFormatting>
  <conditionalFormatting sqref="BU19:BV19">
    <cfRule type="containsText" dxfId="10978" priority="11744" operator="containsText" text="S">
      <formula>NOT(ISERROR(SEARCH("S",BU19)))</formula>
    </cfRule>
    <cfRule type="containsText" dxfId="10977" priority="11745" operator="containsText" text="P">
      <formula>NOT(ISERROR(SEARCH("P",BU19)))</formula>
    </cfRule>
    <cfRule type="containsText" dxfId="10976" priority="11746" operator="containsText" text="H">
      <formula>NOT(ISERROR(SEARCH("H",BU19)))</formula>
    </cfRule>
    <cfRule type="containsText" dxfId="10975" priority="11748" operator="containsText" text="&quot;H&quot;">
      <formula>NOT(ISERROR(SEARCH("""H""",BU19)))</formula>
    </cfRule>
    <cfRule type="containsText" dxfId="10974" priority="11749" operator="containsText" text="&quot;A&quot;">
      <formula>NOT(ISERROR(SEARCH("""A""",BU19)))</formula>
    </cfRule>
  </conditionalFormatting>
  <conditionalFormatting sqref="BU19:BV19">
    <cfRule type="containsText" dxfId="10973" priority="11747" operator="containsText" text="A-H">
      <formula>NOT(ISERROR(SEARCH("A-H",BU19)))</formula>
    </cfRule>
  </conditionalFormatting>
  <conditionalFormatting sqref="BY19">
    <cfRule type="cellIs" dxfId="10972" priority="11738" operator="equal">
      <formula>"C-Off-H"</formula>
    </cfRule>
    <cfRule type="cellIs" dxfId="10971" priority="11739" operator="equal">
      <formula>"C-Off"</formula>
    </cfRule>
    <cfRule type="cellIs" dxfId="10970" priority="11740" operator="equal">
      <formula>"CL-H"</formula>
    </cfRule>
    <cfRule type="cellIs" dxfId="10969" priority="11741" operator="equal">
      <formula>"EL-H"</formula>
    </cfRule>
    <cfRule type="cellIs" dxfId="10968" priority="11742" operator="equal">
      <formula>"CL"</formula>
    </cfRule>
    <cfRule type="cellIs" dxfId="10967" priority="11743" operator="equal">
      <formula>"EL"</formula>
    </cfRule>
  </conditionalFormatting>
  <conditionalFormatting sqref="BY19">
    <cfRule type="containsText" dxfId="10966" priority="11732" operator="containsText" text="S">
      <formula>NOT(ISERROR(SEARCH("S",BY19)))</formula>
    </cfRule>
    <cfRule type="containsText" dxfId="10965" priority="11733" operator="containsText" text="P">
      <formula>NOT(ISERROR(SEARCH("P",BY19)))</formula>
    </cfRule>
    <cfRule type="containsText" dxfId="10964" priority="11734" operator="containsText" text="H">
      <formula>NOT(ISERROR(SEARCH("H",BY19)))</formula>
    </cfRule>
    <cfRule type="containsText" dxfId="10963" priority="11736" operator="containsText" text="&quot;H&quot;">
      <formula>NOT(ISERROR(SEARCH("""H""",BY19)))</formula>
    </cfRule>
    <cfRule type="containsText" dxfId="10962" priority="11737" operator="containsText" text="&quot;A&quot;">
      <formula>NOT(ISERROR(SEARCH("""A""",BY19)))</formula>
    </cfRule>
  </conditionalFormatting>
  <conditionalFormatting sqref="BY19">
    <cfRule type="containsText" dxfId="10961" priority="11735" operator="containsText" text="A-H">
      <formula>NOT(ISERROR(SEARCH("A-H",BY19)))</formula>
    </cfRule>
  </conditionalFormatting>
  <conditionalFormatting sqref="BX19">
    <cfRule type="cellIs" dxfId="10960" priority="11726" operator="equal">
      <formula>"C-Off-H"</formula>
    </cfRule>
    <cfRule type="cellIs" dxfId="10959" priority="11727" operator="equal">
      <formula>"C-Off"</formula>
    </cfRule>
    <cfRule type="cellIs" dxfId="10958" priority="11728" operator="equal">
      <formula>"CL-H"</formula>
    </cfRule>
    <cfRule type="cellIs" dxfId="10957" priority="11729" operator="equal">
      <formula>"EL-H"</formula>
    </cfRule>
    <cfRule type="cellIs" dxfId="10956" priority="11730" operator="equal">
      <formula>"CL"</formula>
    </cfRule>
    <cfRule type="cellIs" dxfId="10955" priority="11731" operator="equal">
      <formula>"EL"</formula>
    </cfRule>
  </conditionalFormatting>
  <conditionalFormatting sqref="BX19">
    <cfRule type="containsText" dxfId="10954" priority="11720" operator="containsText" text="S">
      <formula>NOT(ISERROR(SEARCH("S",BX19)))</formula>
    </cfRule>
    <cfRule type="containsText" dxfId="10953" priority="11721" operator="containsText" text="P">
      <formula>NOT(ISERROR(SEARCH("P",BX19)))</formula>
    </cfRule>
    <cfRule type="containsText" dxfId="10952" priority="11722" operator="containsText" text="H">
      <formula>NOT(ISERROR(SEARCH("H",BX19)))</formula>
    </cfRule>
    <cfRule type="containsText" dxfId="10951" priority="11724" operator="containsText" text="&quot;H&quot;">
      <formula>NOT(ISERROR(SEARCH("""H""",BX19)))</formula>
    </cfRule>
    <cfRule type="containsText" dxfId="10950" priority="11725" operator="containsText" text="&quot;A&quot;">
      <formula>NOT(ISERROR(SEARCH("""A""",BX19)))</formula>
    </cfRule>
  </conditionalFormatting>
  <conditionalFormatting sqref="BX19">
    <cfRule type="containsText" dxfId="10949" priority="11723" operator="containsText" text="A-H">
      <formula>NOT(ISERROR(SEARCH("A-H",BX19)))</formula>
    </cfRule>
  </conditionalFormatting>
  <conditionalFormatting sqref="CN19">
    <cfRule type="cellIs" dxfId="10948" priority="11714" operator="equal">
      <formula>"C-Off-H"</formula>
    </cfRule>
    <cfRule type="cellIs" dxfId="10947" priority="11715" operator="equal">
      <formula>"C-Off"</formula>
    </cfRule>
    <cfRule type="cellIs" dxfId="10946" priority="11716" operator="equal">
      <formula>"CL-H"</formula>
    </cfRule>
    <cfRule type="cellIs" dxfId="10945" priority="11717" operator="equal">
      <formula>"EL-H"</formula>
    </cfRule>
    <cfRule type="cellIs" dxfId="10944" priority="11718" operator="equal">
      <formula>"CL"</formula>
    </cfRule>
    <cfRule type="cellIs" dxfId="10943" priority="11719" operator="equal">
      <formula>"EL"</formula>
    </cfRule>
  </conditionalFormatting>
  <conditionalFormatting sqref="CN19">
    <cfRule type="containsText" dxfId="10942" priority="11713" operator="containsText" text="A-H">
      <formula>NOT(ISERROR(SEARCH("A-H",CN19)))</formula>
    </cfRule>
  </conditionalFormatting>
  <conditionalFormatting sqref="CN19">
    <cfRule type="containsText" dxfId="10941" priority="11712" operator="containsText" text="A">
      <formula>NOT(ISERROR(SEARCH("A",CN19)))</formula>
    </cfRule>
  </conditionalFormatting>
  <conditionalFormatting sqref="CN19">
    <cfRule type="containsText" dxfId="10940" priority="11707" operator="containsText" text="S">
      <formula>NOT(ISERROR(SEARCH("S",CN19)))</formula>
    </cfRule>
    <cfRule type="containsText" dxfId="10939" priority="11708" operator="containsText" text="P">
      <formula>NOT(ISERROR(SEARCH("P",CN19)))</formula>
    </cfRule>
    <cfRule type="containsText" dxfId="10938" priority="11709" operator="containsText" text="H">
      <formula>NOT(ISERROR(SEARCH("H",CN19)))</formula>
    </cfRule>
    <cfRule type="containsText" dxfId="10937" priority="11710" operator="containsText" text="&quot;H&quot;">
      <formula>NOT(ISERROR(SEARCH("""H""",CN19)))</formula>
    </cfRule>
    <cfRule type="containsText" dxfId="10936" priority="11711" operator="containsText" text="&quot;A&quot;">
      <formula>NOT(ISERROR(SEARCH("""A""",CN19)))</formula>
    </cfRule>
  </conditionalFormatting>
  <conditionalFormatting sqref="CA19:CB19">
    <cfRule type="cellIs" dxfId="10935" priority="11701" operator="equal">
      <formula>"C-Off-H"</formula>
    </cfRule>
    <cfRule type="cellIs" dxfId="10934" priority="11702" operator="equal">
      <formula>"C-Off"</formula>
    </cfRule>
    <cfRule type="cellIs" dxfId="10933" priority="11703" operator="equal">
      <formula>"CL-H"</formula>
    </cfRule>
    <cfRule type="cellIs" dxfId="10932" priority="11704" operator="equal">
      <formula>"EL-H"</formula>
    </cfRule>
    <cfRule type="cellIs" dxfId="10931" priority="11705" operator="equal">
      <formula>"CL"</formula>
    </cfRule>
    <cfRule type="cellIs" dxfId="10930" priority="11706" operator="equal">
      <formula>"EL"</formula>
    </cfRule>
  </conditionalFormatting>
  <conditionalFormatting sqref="CA19:CB19">
    <cfRule type="containsText" dxfId="10929" priority="11695" operator="containsText" text="S">
      <formula>NOT(ISERROR(SEARCH("S",CA19)))</formula>
    </cfRule>
    <cfRule type="containsText" dxfId="10928" priority="11696" operator="containsText" text="P">
      <formula>NOT(ISERROR(SEARCH("P",CA19)))</formula>
    </cfRule>
    <cfRule type="containsText" dxfId="10927" priority="11697" operator="containsText" text="H">
      <formula>NOT(ISERROR(SEARCH("H",CA19)))</formula>
    </cfRule>
    <cfRule type="containsText" dxfId="10926" priority="11699" operator="containsText" text="&quot;H&quot;">
      <formula>NOT(ISERROR(SEARCH("""H""",CA19)))</formula>
    </cfRule>
    <cfRule type="containsText" dxfId="10925" priority="11700" operator="containsText" text="&quot;A&quot;">
      <formula>NOT(ISERROR(SEARCH("""A""",CA19)))</formula>
    </cfRule>
  </conditionalFormatting>
  <conditionalFormatting sqref="CA19:CB19">
    <cfRule type="containsText" dxfId="10924" priority="11698" operator="containsText" text="A-H">
      <formula>NOT(ISERROR(SEARCH("A-H",CA19)))</formula>
    </cfRule>
  </conditionalFormatting>
  <conditionalFormatting sqref="CD19:CE19">
    <cfRule type="cellIs" dxfId="10923" priority="11689" operator="equal">
      <formula>"C-Off-H"</formula>
    </cfRule>
    <cfRule type="cellIs" dxfId="10922" priority="11690" operator="equal">
      <formula>"C-Off"</formula>
    </cfRule>
    <cfRule type="cellIs" dxfId="10921" priority="11691" operator="equal">
      <formula>"CL-H"</formula>
    </cfRule>
    <cfRule type="cellIs" dxfId="10920" priority="11692" operator="equal">
      <formula>"EL-H"</formula>
    </cfRule>
    <cfRule type="cellIs" dxfId="10919" priority="11693" operator="equal">
      <formula>"CL"</formula>
    </cfRule>
    <cfRule type="cellIs" dxfId="10918" priority="11694" operator="equal">
      <formula>"EL"</formula>
    </cfRule>
  </conditionalFormatting>
  <conditionalFormatting sqref="CD19:CE19">
    <cfRule type="containsText" dxfId="10917" priority="11683" operator="containsText" text="S">
      <formula>NOT(ISERROR(SEARCH("S",CD19)))</formula>
    </cfRule>
    <cfRule type="containsText" dxfId="10916" priority="11684" operator="containsText" text="P">
      <formula>NOT(ISERROR(SEARCH("P",CD19)))</formula>
    </cfRule>
    <cfRule type="containsText" dxfId="10915" priority="11685" operator="containsText" text="H">
      <formula>NOT(ISERROR(SEARCH("H",CD19)))</formula>
    </cfRule>
    <cfRule type="containsText" dxfId="10914" priority="11687" operator="containsText" text="&quot;H&quot;">
      <formula>NOT(ISERROR(SEARCH("""H""",CD19)))</formula>
    </cfRule>
    <cfRule type="containsText" dxfId="10913" priority="11688" operator="containsText" text="&quot;A&quot;">
      <formula>NOT(ISERROR(SEARCH("""A""",CD19)))</formula>
    </cfRule>
  </conditionalFormatting>
  <conditionalFormatting sqref="CD19:CE19">
    <cfRule type="containsText" dxfId="10912" priority="11686" operator="containsText" text="A-H">
      <formula>NOT(ISERROR(SEARCH("A-H",CD19)))</formula>
    </cfRule>
  </conditionalFormatting>
  <conditionalFormatting sqref="CH19">
    <cfRule type="cellIs" dxfId="10911" priority="11677" operator="equal">
      <formula>"C-Off-H"</formula>
    </cfRule>
    <cfRule type="cellIs" dxfId="10910" priority="11678" operator="equal">
      <formula>"C-Off"</formula>
    </cfRule>
    <cfRule type="cellIs" dxfId="10909" priority="11679" operator="equal">
      <formula>"CL-H"</formula>
    </cfRule>
    <cfRule type="cellIs" dxfId="10908" priority="11680" operator="equal">
      <formula>"EL-H"</formula>
    </cfRule>
    <cfRule type="cellIs" dxfId="10907" priority="11681" operator="equal">
      <formula>"CL"</formula>
    </cfRule>
    <cfRule type="cellIs" dxfId="10906" priority="11682" operator="equal">
      <formula>"EL"</formula>
    </cfRule>
  </conditionalFormatting>
  <conditionalFormatting sqref="CH19">
    <cfRule type="containsText" dxfId="10905" priority="11671" operator="containsText" text="S">
      <formula>NOT(ISERROR(SEARCH("S",CH19)))</formula>
    </cfRule>
    <cfRule type="containsText" dxfId="10904" priority="11672" operator="containsText" text="P">
      <formula>NOT(ISERROR(SEARCH("P",CH19)))</formula>
    </cfRule>
    <cfRule type="containsText" dxfId="10903" priority="11673" operator="containsText" text="H">
      <formula>NOT(ISERROR(SEARCH("H",CH19)))</formula>
    </cfRule>
    <cfRule type="containsText" dxfId="10902" priority="11675" operator="containsText" text="&quot;H&quot;">
      <formula>NOT(ISERROR(SEARCH("""H""",CH19)))</formula>
    </cfRule>
    <cfRule type="containsText" dxfId="10901" priority="11676" operator="containsText" text="&quot;A&quot;">
      <formula>NOT(ISERROR(SEARCH("""A""",CH19)))</formula>
    </cfRule>
  </conditionalFormatting>
  <conditionalFormatting sqref="CH19">
    <cfRule type="containsText" dxfId="10900" priority="11674" operator="containsText" text="A-H">
      <formula>NOT(ISERROR(SEARCH("A-H",CH19)))</formula>
    </cfRule>
  </conditionalFormatting>
  <conditionalFormatting sqref="CG19">
    <cfRule type="cellIs" dxfId="10899" priority="11665" operator="equal">
      <formula>"C-Off-H"</formula>
    </cfRule>
    <cfRule type="cellIs" dxfId="10898" priority="11666" operator="equal">
      <formula>"C-Off"</formula>
    </cfRule>
    <cfRule type="cellIs" dxfId="10897" priority="11667" operator="equal">
      <formula>"CL-H"</formula>
    </cfRule>
    <cfRule type="cellIs" dxfId="10896" priority="11668" operator="equal">
      <formula>"EL-H"</formula>
    </cfRule>
    <cfRule type="cellIs" dxfId="10895" priority="11669" operator="equal">
      <formula>"CL"</formula>
    </cfRule>
    <cfRule type="cellIs" dxfId="10894" priority="11670" operator="equal">
      <formula>"EL"</formula>
    </cfRule>
  </conditionalFormatting>
  <conditionalFormatting sqref="CG19">
    <cfRule type="containsText" dxfId="10893" priority="11659" operator="containsText" text="S">
      <formula>NOT(ISERROR(SEARCH("S",CG19)))</formula>
    </cfRule>
    <cfRule type="containsText" dxfId="10892" priority="11660" operator="containsText" text="P">
      <formula>NOT(ISERROR(SEARCH("P",CG19)))</formula>
    </cfRule>
    <cfRule type="containsText" dxfId="10891" priority="11661" operator="containsText" text="H">
      <formula>NOT(ISERROR(SEARCH("H",CG19)))</formula>
    </cfRule>
    <cfRule type="containsText" dxfId="10890" priority="11663" operator="containsText" text="&quot;H&quot;">
      <formula>NOT(ISERROR(SEARCH("""H""",CG19)))</formula>
    </cfRule>
    <cfRule type="containsText" dxfId="10889" priority="11664" operator="containsText" text="&quot;A&quot;">
      <formula>NOT(ISERROR(SEARCH("""A""",CG19)))</formula>
    </cfRule>
  </conditionalFormatting>
  <conditionalFormatting sqref="CG19">
    <cfRule type="containsText" dxfId="10888" priority="11662" operator="containsText" text="A-H">
      <formula>NOT(ISERROR(SEARCH("A-H",CG19)))</formula>
    </cfRule>
  </conditionalFormatting>
  <conditionalFormatting sqref="H19">
    <cfRule type="cellIs" dxfId="10887" priority="11622" operator="equal">
      <formula>"C-Off-H"</formula>
    </cfRule>
    <cfRule type="cellIs" dxfId="10886" priority="11623" operator="equal">
      <formula>"C-Off"</formula>
    </cfRule>
    <cfRule type="cellIs" dxfId="10885" priority="11624" operator="equal">
      <formula>"CL-H"</formula>
    </cfRule>
    <cfRule type="cellIs" dxfId="10884" priority="11625" operator="equal">
      <formula>"EL-H"</formula>
    </cfRule>
    <cfRule type="cellIs" dxfId="10883" priority="11626" operator="equal">
      <formula>"CL"</formula>
    </cfRule>
    <cfRule type="cellIs" dxfId="10882" priority="11627" operator="equal">
      <formula>"EL"</formula>
    </cfRule>
  </conditionalFormatting>
  <conditionalFormatting sqref="G19:H19">
    <cfRule type="cellIs" dxfId="10881" priority="11616" operator="equal">
      <formula>"C-Off-H"</formula>
    </cfRule>
    <cfRule type="cellIs" dxfId="10880" priority="11617" operator="equal">
      <formula>"C-Off"</formula>
    </cfRule>
    <cfRule type="cellIs" dxfId="10879" priority="11618" operator="equal">
      <formula>"CL-H"</formula>
    </cfRule>
    <cfRule type="cellIs" dxfId="10878" priority="11619" operator="equal">
      <formula>"EL-H"</formula>
    </cfRule>
    <cfRule type="cellIs" dxfId="10877" priority="11620" operator="equal">
      <formula>"CL"</formula>
    </cfRule>
    <cfRule type="cellIs" dxfId="10876" priority="11621" operator="equal">
      <formula>"EL"</formula>
    </cfRule>
  </conditionalFormatting>
  <conditionalFormatting sqref="G19:H19">
    <cfRule type="containsText" dxfId="10875" priority="11610" operator="containsText" text="S">
      <formula>NOT(ISERROR(SEARCH("S",G19)))</formula>
    </cfRule>
    <cfRule type="containsText" dxfId="10874" priority="11611" operator="containsText" text="P">
      <formula>NOT(ISERROR(SEARCH("P",G19)))</formula>
    </cfRule>
    <cfRule type="containsText" dxfId="10873" priority="11612" operator="containsText" text="H">
      <formula>NOT(ISERROR(SEARCH("H",G19)))</formula>
    </cfRule>
    <cfRule type="containsText" dxfId="10872" priority="11614" operator="containsText" text="&quot;H&quot;">
      <formula>NOT(ISERROR(SEARCH("""H""",G19)))</formula>
    </cfRule>
    <cfRule type="containsText" dxfId="10871" priority="11615" operator="containsText" text="&quot;A&quot;">
      <formula>NOT(ISERROR(SEARCH("""A""",G19)))</formula>
    </cfRule>
  </conditionalFormatting>
  <conditionalFormatting sqref="G19:H19">
    <cfRule type="containsText" dxfId="10870" priority="11613" operator="containsText" text="A-H">
      <formula>NOT(ISERROR(SEARCH("A-H",G19)))</formula>
    </cfRule>
  </conditionalFormatting>
  <conditionalFormatting sqref="K19">
    <cfRule type="cellIs" dxfId="10869" priority="11604" operator="equal">
      <formula>"C-Off-H"</formula>
    </cfRule>
    <cfRule type="cellIs" dxfId="10868" priority="11605" operator="equal">
      <formula>"C-Off"</formula>
    </cfRule>
    <cfRule type="cellIs" dxfId="10867" priority="11606" operator="equal">
      <formula>"CL-H"</formula>
    </cfRule>
    <cfRule type="cellIs" dxfId="10866" priority="11607" operator="equal">
      <formula>"EL-H"</formula>
    </cfRule>
    <cfRule type="cellIs" dxfId="10865" priority="11608" operator="equal">
      <formula>"CL"</formula>
    </cfRule>
    <cfRule type="cellIs" dxfId="10864" priority="11609" operator="equal">
      <formula>"EL"</formula>
    </cfRule>
  </conditionalFormatting>
  <conditionalFormatting sqref="J19:K19">
    <cfRule type="cellIs" dxfId="10863" priority="11598" operator="equal">
      <formula>"C-Off-H"</formula>
    </cfRule>
    <cfRule type="cellIs" dxfId="10862" priority="11599" operator="equal">
      <formula>"C-Off"</formula>
    </cfRule>
    <cfRule type="cellIs" dxfId="10861" priority="11600" operator="equal">
      <formula>"CL-H"</formula>
    </cfRule>
    <cfRule type="cellIs" dxfId="10860" priority="11601" operator="equal">
      <formula>"EL-H"</formula>
    </cfRule>
    <cfRule type="cellIs" dxfId="10859" priority="11602" operator="equal">
      <formula>"CL"</formula>
    </cfRule>
    <cfRule type="cellIs" dxfId="10858" priority="11603" operator="equal">
      <formula>"EL"</formula>
    </cfRule>
  </conditionalFormatting>
  <conditionalFormatting sqref="J19:K19">
    <cfRule type="containsText" dxfId="10857" priority="11592" operator="containsText" text="S">
      <formula>NOT(ISERROR(SEARCH("S",J19)))</formula>
    </cfRule>
    <cfRule type="containsText" dxfId="10856" priority="11593" operator="containsText" text="P">
      <formula>NOT(ISERROR(SEARCH("P",J19)))</formula>
    </cfRule>
    <cfRule type="containsText" dxfId="10855" priority="11594" operator="containsText" text="H">
      <formula>NOT(ISERROR(SEARCH("H",J19)))</formula>
    </cfRule>
    <cfRule type="containsText" dxfId="10854" priority="11596" operator="containsText" text="&quot;H&quot;">
      <formula>NOT(ISERROR(SEARCH("""H""",J19)))</formula>
    </cfRule>
    <cfRule type="containsText" dxfId="10853" priority="11597" operator="containsText" text="&quot;A&quot;">
      <formula>NOT(ISERROR(SEARCH("""A""",J19)))</formula>
    </cfRule>
  </conditionalFormatting>
  <conditionalFormatting sqref="J19:K19">
    <cfRule type="containsText" dxfId="10852" priority="11595" operator="containsText" text="A-H">
      <formula>NOT(ISERROR(SEARCH("A-H",J19)))</formula>
    </cfRule>
  </conditionalFormatting>
  <conditionalFormatting sqref="N19">
    <cfRule type="cellIs" dxfId="10851" priority="11586" operator="equal">
      <formula>"C-Off-H"</formula>
    </cfRule>
    <cfRule type="cellIs" dxfId="10850" priority="11587" operator="equal">
      <formula>"C-Off"</formula>
    </cfRule>
    <cfRule type="cellIs" dxfId="10849" priority="11588" operator="equal">
      <formula>"CL-H"</formula>
    </cfRule>
    <cfRule type="cellIs" dxfId="10848" priority="11589" operator="equal">
      <formula>"EL-H"</formula>
    </cfRule>
    <cfRule type="cellIs" dxfId="10847" priority="11590" operator="equal">
      <formula>"CL"</formula>
    </cfRule>
    <cfRule type="cellIs" dxfId="10846" priority="11591" operator="equal">
      <formula>"EL"</formula>
    </cfRule>
  </conditionalFormatting>
  <conditionalFormatting sqref="M19:N19">
    <cfRule type="cellIs" dxfId="10845" priority="11580" operator="equal">
      <formula>"C-Off-H"</formula>
    </cfRule>
    <cfRule type="cellIs" dxfId="10844" priority="11581" operator="equal">
      <formula>"C-Off"</formula>
    </cfRule>
    <cfRule type="cellIs" dxfId="10843" priority="11582" operator="equal">
      <formula>"CL-H"</formula>
    </cfRule>
    <cfRule type="cellIs" dxfId="10842" priority="11583" operator="equal">
      <formula>"EL-H"</formula>
    </cfRule>
    <cfRule type="cellIs" dxfId="10841" priority="11584" operator="equal">
      <formula>"CL"</formula>
    </cfRule>
    <cfRule type="cellIs" dxfId="10840" priority="11585" operator="equal">
      <formula>"EL"</formula>
    </cfRule>
  </conditionalFormatting>
  <conditionalFormatting sqref="M19:N19">
    <cfRule type="containsText" dxfId="10839" priority="11574" operator="containsText" text="S">
      <formula>NOT(ISERROR(SEARCH("S",M19)))</formula>
    </cfRule>
    <cfRule type="containsText" dxfId="10838" priority="11575" operator="containsText" text="P">
      <formula>NOT(ISERROR(SEARCH("P",M19)))</formula>
    </cfRule>
    <cfRule type="containsText" dxfId="10837" priority="11576" operator="containsText" text="H">
      <formula>NOT(ISERROR(SEARCH("H",M19)))</formula>
    </cfRule>
    <cfRule type="containsText" dxfId="10836" priority="11578" operator="containsText" text="&quot;H&quot;">
      <formula>NOT(ISERROR(SEARCH("""H""",M19)))</formula>
    </cfRule>
    <cfRule type="containsText" dxfId="10835" priority="11579" operator="containsText" text="&quot;A&quot;">
      <formula>NOT(ISERROR(SEARCH("""A""",M19)))</formula>
    </cfRule>
  </conditionalFormatting>
  <conditionalFormatting sqref="M19:N19">
    <cfRule type="containsText" dxfId="10834" priority="11577" operator="containsText" text="A-H">
      <formula>NOT(ISERROR(SEARCH("A-H",M19)))</formula>
    </cfRule>
  </conditionalFormatting>
  <conditionalFormatting sqref="K20">
    <cfRule type="cellIs" dxfId="10833" priority="11568" operator="equal">
      <formula>"C-Off-H"</formula>
    </cfRule>
    <cfRule type="cellIs" dxfId="10832" priority="11569" operator="equal">
      <formula>"C-Off"</formula>
    </cfRule>
    <cfRule type="cellIs" dxfId="10831" priority="11570" operator="equal">
      <formula>"CL-H"</formula>
    </cfRule>
    <cfRule type="cellIs" dxfId="10830" priority="11571" operator="equal">
      <formula>"EL-H"</formula>
    </cfRule>
    <cfRule type="cellIs" dxfId="10829" priority="11572" operator="equal">
      <formula>"CL"</formula>
    </cfRule>
    <cfRule type="cellIs" dxfId="10828" priority="11573" operator="equal">
      <formula>"EL"</formula>
    </cfRule>
  </conditionalFormatting>
  <conditionalFormatting sqref="K20">
    <cfRule type="containsText" dxfId="10827" priority="11567" operator="containsText" text="A-H">
      <formula>NOT(ISERROR(SEARCH("A-H",K20)))</formula>
    </cfRule>
  </conditionalFormatting>
  <conditionalFormatting sqref="K20">
    <cfRule type="containsText" dxfId="10826" priority="11562" operator="containsText" text="S">
      <formula>NOT(ISERROR(SEARCH("S",K20)))</formula>
    </cfRule>
    <cfRule type="containsText" dxfId="10825" priority="11563" operator="containsText" text="P">
      <formula>NOT(ISERROR(SEARCH("P",K20)))</formula>
    </cfRule>
    <cfRule type="containsText" dxfId="10824" priority="11564" operator="containsText" text="H">
      <formula>NOT(ISERROR(SEARCH("H",K20)))</formula>
    </cfRule>
    <cfRule type="containsText" dxfId="10823" priority="11565" operator="containsText" text="&quot;H&quot;">
      <formula>NOT(ISERROR(SEARCH("""H""",K20)))</formula>
    </cfRule>
    <cfRule type="containsText" dxfId="10822" priority="11566" operator="containsText" text="&quot;A&quot;">
      <formula>NOT(ISERROR(SEARCH("""A""",K20)))</formula>
    </cfRule>
  </conditionalFormatting>
  <conditionalFormatting sqref="DC25 CQ25:CW25 M25:N25 CX24:CX26 Z24:Z26 CN24:CN25">
    <cfRule type="cellIs" dxfId="10821" priority="11530" operator="equal">
      <formula>"C-Off-H"</formula>
    </cfRule>
    <cfRule type="cellIs" dxfId="10820" priority="11531" operator="equal">
      <formula>"C-Off"</formula>
    </cfRule>
    <cfRule type="cellIs" dxfId="10819" priority="11532" operator="equal">
      <formula>"CL-H"</formula>
    </cfRule>
    <cfRule type="cellIs" dxfId="10818" priority="11533" operator="equal">
      <formula>"EL-H"</formula>
    </cfRule>
    <cfRule type="cellIs" dxfId="10817" priority="11534" operator="equal">
      <formula>"CL"</formula>
    </cfRule>
    <cfRule type="cellIs" dxfId="10816" priority="11535" operator="equal">
      <formula>"EL"</formula>
    </cfRule>
  </conditionalFormatting>
  <conditionalFormatting sqref="CQ25:CW25 M25:N25 CY25:DA25 DC25 CX24:CX26 Z24:Z26 CN24:CN25">
    <cfRule type="containsText" dxfId="10815" priority="11529" operator="containsText" text="A-H">
      <formula>NOT(ISERROR(SEARCH("A-H",M24)))</formula>
    </cfRule>
  </conditionalFormatting>
  <conditionalFormatting sqref="CQ25:CW25 CY25:DA25 DC25 CX24:CX26 CN24:CN25">
    <cfRule type="containsText" dxfId="10814" priority="11528" operator="containsText" text="A">
      <formula>NOT(ISERROR(SEARCH("A",CN24)))</formula>
    </cfRule>
  </conditionalFormatting>
  <conditionalFormatting sqref="DA25 CY25">
    <cfRule type="cellIs" dxfId="10813" priority="11522" stopIfTrue="1" operator="equal">
      <formula>"C-Off-H"</formula>
    </cfRule>
    <cfRule type="cellIs" dxfId="10812" priority="11523" stopIfTrue="1" operator="equal">
      <formula>"C-Off"</formula>
    </cfRule>
    <cfRule type="cellIs" dxfId="10811" priority="11524" stopIfTrue="1" operator="equal">
      <formula>"CL-H"</formula>
    </cfRule>
    <cfRule type="cellIs" dxfId="10810" priority="11525" stopIfTrue="1" operator="equal">
      <formula>"EL-H"</formula>
    </cfRule>
    <cfRule type="cellIs" dxfId="10809" priority="11526" stopIfTrue="1" operator="equal">
      <formula>"CL"</formula>
    </cfRule>
    <cfRule type="cellIs" dxfId="10808" priority="11527" stopIfTrue="1" operator="equal">
      <formula>"EL"</formula>
    </cfRule>
  </conditionalFormatting>
  <conditionalFormatting sqref="CZ25">
    <cfRule type="cellIs" dxfId="10807" priority="11516" stopIfTrue="1" operator="equal">
      <formula>"C-Off-H"</formula>
    </cfRule>
    <cfRule type="cellIs" dxfId="10806" priority="11517" stopIfTrue="1" operator="equal">
      <formula>"C-Off"</formula>
    </cfRule>
    <cfRule type="cellIs" dxfId="10805" priority="11518" stopIfTrue="1" operator="equal">
      <formula>"CL-H"</formula>
    </cfRule>
    <cfRule type="cellIs" dxfId="10804" priority="11519" stopIfTrue="1" operator="equal">
      <formula>"EL-H"</formula>
    </cfRule>
    <cfRule type="cellIs" dxfId="10803" priority="11520" stopIfTrue="1" operator="equal">
      <formula>"CL"</formula>
    </cfRule>
    <cfRule type="cellIs" dxfId="10802" priority="11521" stopIfTrue="1" operator="equal">
      <formula>"EL"</formula>
    </cfRule>
  </conditionalFormatting>
  <conditionalFormatting sqref="M25:N25 Z24:Z26 CN24:CN25">
    <cfRule type="containsText" dxfId="10801" priority="11511" operator="containsText" text="S">
      <formula>NOT(ISERROR(SEARCH("S",M24)))</formula>
    </cfRule>
    <cfRule type="containsText" dxfId="10800" priority="11512" operator="containsText" text="P">
      <formula>NOT(ISERROR(SEARCH("P",M24)))</formula>
    </cfRule>
    <cfRule type="containsText" dxfId="10799" priority="11513" operator="containsText" text="H">
      <formula>NOT(ISERROR(SEARCH("H",M24)))</formula>
    </cfRule>
    <cfRule type="containsText" dxfId="10798" priority="11514" operator="containsText" text="&quot;H&quot;">
      <formula>NOT(ISERROR(SEARCH("""H""",M24)))</formula>
    </cfRule>
    <cfRule type="containsText" dxfId="10797" priority="11515" operator="containsText" text="&quot;A&quot;">
      <formula>NOT(ISERROR(SEARCH("""A""",M24)))</formula>
    </cfRule>
  </conditionalFormatting>
  <conditionalFormatting sqref="DD25">
    <cfRule type="cellIs" dxfId="10796" priority="11505" operator="equal">
      <formula>"C-Off-H"</formula>
    </cfRule>
    <cfRule type="cellIs" dxfId="10795" priority="11506" operator="equal">
      <formula>"C-Off"</formula>
    </cfRule>
    <cfRule type="cellIs" dxfId="10794" priority="11507" operator="equal">
      <formula>"CL-H"</formula>
    </cfRule>
    <cfRule type="cellIs" dxfId="10793" priority="11508" operator="equal">
      <formula>"EL-H"</formula>
    </cfRule>
    <cfRule type="cellIs" dxfId="10792" priority="11509" operator="equal">
      <formula>"CL"</formula>
    </cfRule>
    <cfRule type="cellIs" dxfId="10791" priority="11510" operator="equal">
      <formula>"EL"</formula>
    </cfRule>
  </conditionalFormatting>
  <conditionalFormatting sqref="DD25">
    <cfRule type="containsText" dxfId="10790" priority="11504" operator="containsText" text="A">
      <formula>NOT(ISERROR(SEARCH("A",DD25)))</formula>
    </cfRule>
  </conditionalFormatting>
  <conditionalFormatting sqref="DD25">
    <cfRule type="containsText" dxfId="10789" priority="11503" operator="containsText" text="A-H">
      <formula>NOT(ISERROR(SEARCH("A-H",DD25)))</formula>
    </cfRule>
  </conditionalFormatting>
  <conditionalFormatting sqref="AI25">
    <cfRule type="cellIs" dxfId="10788" priority="11497" operator="equal">
      <formula>"C-Off-H"</formula>
    </cfRule>
    <cfRule type="cellIs" dxfId="10787" priority="11498" operator="equal">
      <formula>"C-Off"</formula>
    </cfRule>
    <cfRule type="cellIs" dxfId="10786" priority="11499" operator="equal">
      <formula>"CL-H"</formula>
    </cfRule>
    <cfRule type="cellIs" dxfId="10785" priority="11500" operator="equal">
      <formula>"EL-H"</formula>
    </cfRule>
    <cfRule type="cellIs" dxfId="10784" priority="11501" operator="equal">
      <formula>"CL"</formula>
    </cfRule>
    <cfRule type="cellIs" dxfId="10783" priority="11502" operator="equal">
      <formula>"EL"</formula>
    </cfRule>
  </conditionalFormatting>
  <conditionalFormatting sqref="AH25:AI25">
    <cfRule type="cellIs" dxfId="10782" priority="11491" operator="equal">
      <formula>"C-Off-H"</formula>
    </cfRule>
    <cfRule type="cellIs" dxfId="10781" priority="11492" operator="equal">
      <formula>"C-Off"</formula>
    </cfRule>
    <cfRule type="cellIs" dxfId="10780" priority="11493" operator="equal">
      <formula>"CL-H"</formula>
    </cfRule>
    <cfRule type="cellIs" dxfId="10779" priority="11494" operator="equal">
      <formula>"EL-H"</formula>
    </cfRule>
    <cfRule type="cellIs" dxfId="10778" priority="11495" operator="equal">
      <formula>"CL"</formula>
    </cfRule>
    <cfRule type="cellIs" dxfId="10777" priority="11496" operator="equal">
      <formula>"EL"</formula>
    </cfRule>
  </conditionalFormatting>
  <conditionalFormatting sqref="AH25:AI25">
    <cfRule type="containsText" dxfId="10776" priority="11485" operator="containsText" text="S">
      <formula>NOT(ISERROR(SEARCH("S",AH25)))</formula>
    </cfRule>
    <cfRule type="containsText" dxfId="10775" priority="11486" operator="containsText" text="P">
      <formula>NOT(ISERROR(SEARCH("P",AH25)))</formula>
    </cfRule>
    <cfRule type="containsText" dxfId="10774" priority="11487" operator="containsText" text="H">
      <formula>NOT(ISERROR(SEARCH("H",AH25)))</formula>
    </cfRule>
    <cfRule type="containsText" dxfId="10773" priority="11489" operator="containsText" text="&quot;H&quot;">
      <formula>NOT(ISERROR(SEARCH("""H""",AH25)))</formula>
    </cfRule>
    <cfRule type="containsText" dxfId="10772" priority="11490" operator="containsText" text="&quot;A&quot;">
      <formula>NOT(ISERROR(SEARCH("""A""",AH25)))</formula>
    </cfRule>
  </conditionalFormatting>
  <conditionalFormatting sqref="AH25:AI25">
    <cfRule type="containsText" dxfId="10771" priority="11488" operator="containsText" text="A-H">
      <formula>NOT(ISERROR(SEARCH("A-H",AH25)))</formula>
    </cfRule>
  </conditionalFormatting>
  <conditionalFormatting sqref="AU25">
    <cfRule type="cellIs" dxfId="10770" priority="11479" operator="equal">
      <formula>"C-Off-H"</formula>
    </cfRule>
    <cfRule type="cellIs" dxfId="10769" priority="11480" operator="equal">
      <formula>"C-Off"</formula>
    </cfRule>
    <cfRule type="cellIs" dxfId="10768" priority="11481" operator="equal">
      <formula>"CL-H"</formula>
    </cfRule>
    <cfRule type="cellIs" dxfId="10767" priority="11482" operator="equal">
      <formula>"EL-H"</formula>
    </cfRule>
    <cfRule type="cellIs" dxfId="10766" priority="11483" operator="equal">
      <formula>"CL"</formula>
    </cfRule>
    <cfRule type="cellIs" dxfId="10765" priority="11484" operator="equal">
      <formula>"EL"</formula>
    </cfRule>
  </conditionalFormatting>
  <conditionalFormatting sqref="AT25:AU25">
    <cfRule type="cellIs" dxfId="10764" priority="11473" operator="equal">
      <formula>"C-Off-H"</formula>
    </cfRule>
    <cfRule type="cellIs" dxfId="10763" priority="11474" operator="equal">
      <formula>"C-Off"</formula>
    </cfRule>
    <cfRule type="cellIs" dxfId="10762" priority="11475" operator="equal">
      <formula>"CL-H"</formula>
    </cfRule>
    <cfRule type="cellIs" dxfId="10761" priority="11476" operator="equal">
      <formula>"EL-H"</formula>
    </cfRule>
    <cfRule type="cellIs" dxfId="10760" priority="11477" operator="equal">
      <formula>"CL"</formula>
    </cfRule>
    <cfRule type="cellIs" dxfId="10759" priority="11478" operator="equal">
      <formula>"EL"</formula>
    </cfRule>
  </conditionalFormatting>
  <conditionalFormatting sqref="AT25:AU25">
    <cfRule type="containsText" dxfId="10758" priority="11467" operator="containsText" text="S">
      <formula>NOT(ISERROR(SEARCH("S",AT25)))</formula>
    </cfRule>
    <cfRule type="containsText" dxfId="10757" priority="11468" operator="containsText" text="P">
      <formula>NOT(ISERROR(SEARCH("P",AT25)))</formula>
    </cfRule>
    <cfRule type="containsText" dxfId="10756" priority="11469" operator="containsText" text="H">
      <formula>NOT(ISERROR(SEARCH("H",AT25)))</formula>
    </cfRule>
    <cfRule type="containsText" dxfId="10755" priority="11471" operator="containsText" text="&quot;H&quot;">
      <formula>NOT(ISERROR(SEARCH("""H""",AT25)))</formula>
    </cfRule>
    <cfRule type="containsText" dxfId="10754" priority="11472" operator="containsText" text="&quot;A&quot;">
      <formula>NOT(ISERROR(SEARCH("""A""",AT25)))</formula>
    </cfRule>
  </conditionalFormatting>
  <conditionalFormatting sqref="AT25:AU25">
    <cfRule type="containsText" dxfId="10753" priority="11470" operator="containsText" text="A-H">
      <formula>NOT(ISERROR(SEARCH("A-H",AT25)))</formula>
    </cfRule>
  </conditionalFormatting>
  <conditionalFormatting sqref="E25">
    <cfRule type="cellIs" dxfId="10752" priority="11461" operator="equal">
      <formula>"C-Off-H"</formula>
    </cfRule>
    <cfRule type="cellIs" dxfId="10751" priority="11462" operator="equal">
      <formula>"C-Off"</formula>
    </cfRule>
    <cfRule type="cellIs" dxfId="10750" priority="11463" operator="equal">
      <formula>"CL-H"</formula>
    </cfRule>
    <cfRule type="cellIs" dxfId="10749" priority="11464" operator="equal">
      <formula>"EL-H"</formula>
    </cfRule>
    <cfRule type="cellIs" dxfId="10748" priority="11465" operator="equal">
      <formula>"CL"</formula>
    </cfRule>
    <cfRule type="cellIs" dxfId="10747" priority="11466" operator="equal">
      <formula>"EL"</formula>
    </cfRule>
  </conditionalFormatting>
  <conditionalFormatting sqref="D25:E25">
    <cfRule type="cellIs" dxfId="10746" priority="11455" operator="equal">
      <formula>"C-Off-H"</formula>
    </cfRule>
    <cfRule type="cellIs" dxfId="10745" priority="11456" operator="equal">
      <formula>"C-Off"</formula>
    </cfRule>
    <cfRule type="cellIs" dxfId="10744" priority="11457" operator="equal">
      <formula>"CL-H"</formula>
    </cfRule>
    <cfRule type="cellIs" dxfId="10743" priority="11458" operator="equal">
      <formula>"EL-H"</formula>
    </cfRule>
    <cfRule type="cellIs" dxfId="10742" priority="11459" operator="equal">
      <formula>"CL"</formula>
    </cfRule>
    <cfRule type="cellIs" dxfId="10741" priority="11460" operator="equal">
      <formula>"EL"</formula>
    </cfRule>
  </conditionalFormatting>
  <conditionalFormatting sqref="D25:E25">
    <cfRule type="containsText" dxfId="10740" priority="11449" operator="containsText" text="S">
      <formula>NOT(ISERROR(SEARCH("S",D25)))</formula>
    </cfRule>
    <cfRule type="containsText" dxfId="10739" priority="11450" operator="containsText" text="P">
      <formula>NOT(ISERROR(SEARCH("P",D25)))</formula>
    </cfRule>
    <cfRule type="containsText" dxfId="10738" priority="11451" operator="containsText" text="H">
      <formula>NOT(ISERROR(SEARCH("H",D25)))</formula>
    </cfRule>
    <cfRule type="containsText" dxfId="10737" priority="11453" operator="containsText" text="&quot;H&quot;">
      <formula>NOT(ISERROR(SEARCH("""H""",D25)))</formula>
    </cfRule>
    <cfRule type="containsText" dxfId="10736" priority="11454" operator="containsText" text="&quot;A&quot;">
      <formula>NOT(ISERROR(SEARCH("""A""",D25)))</formula>
    </cfRule>
  </conditionalFormatting>
  <conditionalFormatting sqref="D25:E25">
    <cfRule type="containsText" dxfId="10735" priority="11452" operator="containsText" text="A-H">
      <formula>NOT(ISERROR(SEARCH("A-H",D25)))</formula>
    </cfRule>
  </conditionalFormatting>
  <conditionalFormatting sqref="Y25">
    <cfRule type="cellIs" dxfId="10734" priority="11443" operator="equal">
      <formula>"C-Off-H"</formula>
    </cfRule>
    <cfRule type="cellIs" dxfId="10733" priority="11444" operator="equal">
      <formula>"C-Off"</formula>
    </cfRule>
    <cfRule type="cellIs" dxfId="10732" priority="11445" operator="equal">
      <formula>"CL-H"</formula>
    </cfRule>
    <cfRule type="cellIs" dxfId="10731" priority="11446" operator="equal">
      <formula>"EL-H"</formula>
    </cfRule>
    <cfRule type="cellIs" dxfId="10730" priority="11447" operator="equal">
      <formula>"CL"</formula>
    </cfRule>
    <cfRule type="cellIs" dxfId="10729" priority="11448" operator="equal">
      <formula>"EL"</formula>
    </cfRule>
  </conditionalFormatting>
  <conditionalFormatting sqref="Y25">
    <cfRule type="containsText" dxfId="10728" priority="11437" operator="containsText" text="S">
      <formula>NOT(ISERROR(SEARCH("S",Y25)))</formula>
    </cfRule>
    <cfRule type="containsText" dxfId="10727" priority="11438" operator="containsText" text="P">
      <formula>NOT(ISERROR(SEARCH("P",Y25)))</formula>
    </cfRule>
    <cfRule type="containsText" dxfId="10726" priority="11439" operator="containsText" text="H">
      <formula>NOT(ISERROR(SEARCH("H",Y25)))</formula>
    </cfRule>
    <cfRule type="containsText" dxfId="10725" priority="11441" operator="containsText" text="&quot;H&quot;">
      <formula>NOT(ISERROR(SEARCH("""H""",Y25)))</formula>
    </cfRule>
    <cfRule type="containsText" dxfId="10724" priority="11442" operator="containsText" text="&quot;A&quot;">
      <formula>NOT(ISERROR(SEARCH("""A""",Y25)))</formula>
    </cfRule>
  </conditionalFormatting>
  <conditionalFormatting sqref="Y25">
    <cfRule type="containsText" dxfId="10723" priority="11440" operator="containsText" text="A-H">
      <formula>NOT(ISERROR(SEARCH("A-H",Y25)))</formula>
    </cfRule>
  </conditionalFormatting>
  <conditionalFormatting sqref="AF25">
    <cfRule type="cellIs" dxfId="10722" priority="11431" operator="equal">
      <formula>"C-Off-H"</formula>
    </cfRule>
    <cfRule type="cellIs" dxfId="10721" priority="11432" operator="equal">
      <formula>"C-Off"</formula>
    </cfRule>
    <cfRule type="cellIs" dxfId="10720" priority="11433" operator="equal">
      <formula>"CL-H"</formula>
    </cfRule>
    <cfRule type="cellIs" dxfId="10719" priority="11434" operator="equal">
      <formula>"EL-H"</formula>
    </cfRule>
    <cfRule type="cellIs" dxfId="10718" priority="11435" operator="equal">
      <formula>"CL"</formula>
    </cfRule>
    <cfRule type="cellIs" dxfId="10717" priority="11436" operator="equal">
      <formula>"EL"</formula>
    </cfRule>
  </conditionalFormatting>
  <conditionalFormatting sqref="AF25">
    <cfRule type="containsText" dxfId="10716" priority="11425" operator="containsText" text="S">
      <formula>NOT(ISERROR(SEARCH("S",AF25)))</formula>
    </cfRule>
    <cfRule type="containsText" dxfId="10715" priority="11426" operator="containsText" text="P">
      <formula>NOT(ISERROR(SEARCH("P",AF25)))</formula>
    </cfRule>
    <cfRule type="containsText" dxfId="10714" priority="11427" operator="containsText" text="H">
      <formula>NOT(ISERROR(SEARCH("H",AF25)))</formula>
    </cfRule>
    <cfRule type="containsText" dxfId="10713" priority="11429" operator="containsText" text="&quot;H&quot;">
      <formula>NOT(ISERROR(SEARCH("""H""",AF25)))</formula>
    </cfRule>
    <cfRule type="containsText" dxfId="10712" priority="11430" operator="containsText" text="&quot;A&quot;">
      <formula>NOT(ISERROR(SEARCH("""A""",AF25)))</formula>
    </cfRule>
  </conditionalFormatting>
  <conditionalFormatting sqref="AF25">
    <cfRule type="containsText" dxfId="10711" priority="11428" operator="containsText" text="A-H">
      <formula>NOT(ISERROR(SEARCH("A-H",AF25)))</formula>
    </cfRule>
  </conditionalFormatting>
  <conditionalFormatting sqref="BO25:BP25">
    <cfRule type="cellIs" dxfId="10710" priority="11419" operator="equal">
      <formula>"C-Off-H"</formula>
    </cfRule>
    <cfRule type="cellIs" dxfId="10709" priority="11420" operator="equal">
      <formula>"C-Off"</formula>
    </cfRule>
    <cfRule type="cellIs" dxfId="10708" priority="11421" operator="equal">
      <formula>"CL-H"</formula>
    </cfRule>
    <cfRule type="cellIs" dxfId="10707" priority="11422" operator="equal">
      <formula>"EL-H"</formula>
    </cfRule>
    <cfRule type="cellIs" dxfId="10706" priority="11423" operator="equal">
      <formula>"CL"</formula>
    </cfRule>
    <cfRule type="cellIs" dxfId="10705" priority="11424" operator="equal">
      <formula>"EL"</formula>
    </cfRule>
  </conditionalFormatting>
  <conditionalFormatting sqref="BO25:BP25">
    <cfRule type="cellIs" dxfId="10704" priority="11413" operator="equal">
      <formula>"C-Off-H"</formula>
    </cfRule>
    <cfRule type="cellIs" dxfId="10703" priority="11414" operator="equal">
      <formula>"C-Off"</formula>
    </cfRule>
    <cfRule type="cellIs" dxfId="10702" priority="11415" operator="equal">
      <formula>"CL-H"</formula>
    </cfRule>
    <cfRule type="cellIs" dxfId="10701" priority="11416" operator="equal">
      <formula>"EL-H"</formula>
    </cfRule>
    <cfRule type="cellIs" dxfId="10700" priority="11417" operator="equal">
      <formula>"CL"</formula>
    </cfRule>
    <cfRule type="cellIs" dxfId="10699" priority="11418" operator="equal">
      <formula>"EL"</formula>
    </cfRule>
  </conditionalFormatting>
  <conditionalFormatting sqref="BO25:BP25">
    <cfRule type="containsText" dxfId="10698" priority="11407" operator="containsText" text="S">
      <formula>NOT(ISERROR(SEARCH("S",BO25)))</formula>
    </cfRule>
    <cfRule type="containsText" dxfId="10697" priority="11408" operator="containsText" text="P">
      <formula>NOT(ISERROR(SEARCH("P",BO25)))</formula>
    </cfRule>
    <cfRule type="containsText" dxfId="10696" priority="11409" operator="containsText" text="H">
      <formula>NOT(ISERROR(SEARCH("H",BO25)))</formula>
    </cfRule>
    <cfRule type="containsText" dxfId="10695" priority="11411" operator="containsText" text="&quot;H&quot;">
      <formula>NOT(ISERROR(SEARCH("""H""",BO25)))</formula>
    </cfRule>
    <cfRule type="containsText" dxfId="10694" priority="11412" operator="containsText" text="&quot;A&quot;">
      <formula>NOT(ISERROR(SEARCH("""A""",BO25)))</formula>
    </cfRule>
  </conditionalFormatting>
  <conditionalFormatting sqref="BO25:BP25">
    <cfRule type="containsText" dxfId="10693" priority="11410" operator="containsText" text="A-H">
      <formula>NOT(ISERROR(SEARCH("A-H",BO25)))</formula>
    </cfRule>
  </conditionalFormatting>
  <conditionalFormatting sqref="CM25">
    <cfRule type="cellIs" dxfId="10692" priority="11401" operator="equal">
      <formula>"C-Off-H"</formula>
    </cfRule>
    <cfRule type="cellIs" dxfId="10691" priority="11402" operator="equal">
      <formula>"C-Off"</formula>
    </cfRule>
    <cfRule type="cellIs" dxfId="10690" priority="11403" operator="equal">
      <formula>"CL-H"</formula>
    </cfRule>
    <cfRule type="cellIs" dxfId="10689" priority="11404" operator="equal">
      <formula>"EL-H"</formula>
    </cfRule>
    <cfRule type="cellIs" dxfId="10688" priority="11405" operator="equal">
      <formula>"CL"</formula>
    </cfRule>
    <cfRule type="cellIs" dxfId="10687" priority="11406" operator="equal">
      <formula>"EL"</formula>
    </cfRule>
  </conditionalFormatting>
  <conditionalFormatting sqref="CM25">
    <cfRule type="cellIs" dxfId="10686" priority="11395" operator="equal">
      <formula>"C-Off-H"</formula>
    </cfRule>
    <cfRule type="cellIs" dxfId="10685" priority="11396" operator="equal">
      <formula>"C-Off"</formula>
    </cfRule>
    <cfRule type="cellIs" dxfId="10684" priority="11397" operator="equal">
      <formula>"CL-H"</formula>
    </cfRule>
    <cfRule type="cellIs" dxfId="10683" priority="11398" operator="equal">
      <formula>"EL-H"</formula>
    </cfRule>
    <cfRule type="cellIs" dxfId="10682" priority="11399" operator="equal">
      <formula>"CL"</formula>
    </cfRule>
    <cfRule type="cellIs" dxfId="10681" priority="11400" operator="equal">
      <formula>"EL"</formula>
    </cfRule>
  </conditionalFormatting>
  <conditionalFormatting sqref="CM25">
    <cfRule type="containsText" dxfId="10680" priority="11389" operator="containsText" text="S">
      <formula>NOT(ISERROR(SEARCH("S",CM25)))</formula>
    </cfRule>
    <cfRule type="containsText" dxfId="10679" priority="11390" operator="containsText" text="P">
      <formula>NOT(ISERROR(SEARCH("P",CM25)))</formula>
    </cfRule>
    <cfRule type="containsText" dxfId="10678" priority="11391" operator="containsText" text="H">
      <formula>NOT(ISERROR(SEARCH("H",CM25)))</formula>
    </cfRule>
    <cfRule type="containsText" dxfId="10677" priority="11393" operator="containsText" text="&quot;H&quot;">
      <formula>NOT(ISERROR(SEARCH("""H""",CM25)))</formula>
    </cfRule>
    <cfRule type="containsText" dxfId="10676" priority="11394" operator="containsText" text="&quot;A&quot;">
      <formula>NOT(ISERROR(SEARCH("""A""",CM25)))</formula>
    </cfRule>
  </conditionalFormatting>
  <conditionalFormatting sqref="CM25">
    <cfRule type="containsText" dxfId="10675" priority="11392" operator="containsText" text="A-H">
      <formula>NOT(ISERROR(SEARCH("A-H",CM25)))</formula>
    </cfRule>
  </conditionalFormatting>
  <conditionalFormatting sqref="V25:W25">
    <cfRule type="cellIs" dxfId="10674" priority="11359" operator="equal">
      <formula>"C-Off-H"</formula>
    </cfRule>
    <cfRule type="cellIs" dxfId="10673" priority="11360" operator="equal">
      <formula>"C-Off"</formula>
    </cfRule>
    <cfRule type="cellIs" dxfId="10672" priority="11361" operator="equal">
      <formula>"CL-H"</formula>
    </cfRule>
    <cfRule type="cellIs" dxfId="10671" priority="11362" operator="equal">
      <formula>"EL-H"</formula>
    </cfRule>
    <cfRule type="cellIs" dxfId="10670" priority="11363" operator="equal">
      <formula>"CL"</formula>
    </cfRule>
    <cfRule type="cellIs" dxfId="10669" priority="11364" operator="equal">
      <formula>"EL"</formula>
    </cfRule>
  </conditionalFormatting>
  <conditionalFormatting sqref="V25:W25">
    <cfRule type="containsText" dxfId="10668" priority="11353" operator="containsText" text="S">
      <formula>NOT(ISERROR(SEARCH("S",V25)))</formula>
    </cfRule>
    <cfRule type="containsText" dxfId="10667" priority="11354" operator="containsText" text="P">
      <formula>NOT(ISERROR(SEARCH("P",V25)))</formula>
    </cfRule>
    <cfRule type="containsText" dxfId="10666" priority="11355" operator="containsText" text="H">
      <formula>NOT(ISERROR(SEARCH("H",V25)))</formula>
    </cfRule>
    <cfRule type="containsText" dxfId="10665" priority="11357" operator="containsText" text="&quot;H&quot;">
      <formula>NOT(ISERROR(SEARCH("""H""",V25)))</formula>
    </cfRule>
    <cfRule type="containsText" dxfId="10664" priority="11358" operator="containsText" text="&quot;A&quot;">
      <formula>NOT(ISERROR(SEARCH("""A""",V25)))</formula>
    </cfRule>
  </conditionalFormatting>
  <conditionalFormatting sqref="V25:W25">
    <cfRule type="containsText" dxfId="10663" priority="11356" operator="containsText" text="A-H">
      <formula>NOT(ISERROR(SEARCH("A-H",V25)))</formula>
    </cfRule>
  </conditionalFormatting>
  <conditionalFormatting sqref="P25:Q25">
    <cfRule type="cellIs" dxfId="10662" priority="11383" operator="equal">
      <formula>"C-Off-H"</formula>
    </cfRule>
    <cfRule type="cellIs" dxfId="10661" priority="11384" operator="equal">
      <formula>"C-Off"</formula>
    </cfRule>
    <cfRule type="cellIs" dxfId="10660" priority="11385" operator="equal">
      <formula>"CL-H"</formula>
    </cfRule>
    <cfRule type="cellIs" dxfId="10659" priority="11386" operator="equal">
      <formula>"EL-H"</formula>
    </cfRule>
    <cfRule type="cellIs" dxfId="10658" priority="11387" operator="equal">
      <formula>"CL"</formula>
    </cfRule>
    <cfRule type="cellIs" dxfId="10657" priority="11388" operator="equal">
      <formula>"EL"</formula>
    </cfRule>
  </conditionalFormatting>
  <conditionalFormatting sqref="P25:Q25">
    <cfRule type="containsText" dxfId="10656" priority="11377" operator="containsText" text="S">
      <formula>NOT(ISERROR(SEARCH("S",P25)))</formula>
    </cfRule>
    <cfRule type="containsText" dxfId="10655" priority="11378" operator="containsText" text="P">
      <formula>NOT(ISERROR(SEARCH("P",P25)))</formula>
    </cfRule>
    <cfRule type="containsText" dxfId="10654" priority="11379" operator="containsText" text="H">
      <formula>NOT(ISERROR(SEARCH("H",P25)))</formula>
    </cfRule>
    <cfRule type="containsText" dxfId="10653" priority="11381" operator="containsText" text="&quot;H&quot;">
      <formula>NOT(ISERROR(SEARCH("""H""",P25)))</formula>
    </cfRule>
    <cfRule type="containsText" dxfId="10652" priority="11382" operator="containsText" text="&quot;A&quot;">
      <formula>NOT(ISERROR(SEARCH("""A""",P25)))</formula>
    </cfRule>
  </conditionalFormatting>
  <conditionalFormatting sqref="P25:Q25">
    <cfRule type="containsText" dxfId="10651" priority="11380" operator="containsText" text="A-H">
      <formula>NOT(ISERROR(SEARCH("A-H",P25)))</formula>
    </cfRule>
  </conditionalFormatting>
  <conditionalFormatting sqref="S25:T25">
    <cfRule type="cellIs" dxfId="10650" priority="11371" operator="equal">
      <formula>"C-Off-H"</formula>
    </cfRule>
    <cfRule type="cellIs" dxfId="10649" priority="11372" operator="equal">
      <formula>"C-Off"</formula>
    </cfRule>
    <cfRule type="cellIs" dxfId="10648" priority="11373" operator="equal">
      <formula>"CL-H"</formula>
    </cfRule>
    <cfRule type="cellIs" dxfId="10647" priority="11374" operator="equal">
      <formula>"EL-H"</formula>
    </cfRule>
    <cfRule type="cellIs" dxfId="10646" priority="11375" operator="equal">
      <formula>"CL"</formula>
    </cfRule>
    <cfRule type="cellIs" dxfId="10645" priority="11376" operator="equal">
      <formula>"EL"</formula>
    </cfRule>
  </conditionalFormatting>
  <conditionalFormatting sqref="S25:T25">
    <cfRule type="containsText" dxfId="10644" priority="11365" operator="containsText" text="S">
      <formula>NOT(ISERROR(SEARCH("S",S25)))</formula>
    </cfRule>
    <cfRule type="containsText" dxfId="10643" priority="11366" operator="containsText" text="P">
      <formula>NOT(ISERROR(SEARCH("P",S25)))</formula>
    </cfRule>
    <cfRule type="containsText" dxfId="10642" priority="11367" operator="containsText" text="H">
      <formula>NOT(ISERROR(SEARCH("H",S25)))</formula>
    </cfRule>
    <cfRule type="containsText" dxfId="10641" priority="11369" operator="containsText" text="&quot;H&quot;">
      <formula>NOT(ISERROR(SEARCH("""H""",S25)))</formula>
    </cfRule>
    <cfRule type="containsText" dxfId="10640" priority="11370" operator="containsText" text="&quot;A&quot;">
      <formula>NOT(ISERROR(SEARCH("""A""",S25)))</formula>
    </cfRule>
  </conditionalFormatting>
  <conditionalFormatting sqref="S25:T25">
    <cfRule type="containsText" dxfId="10639" priority="11368" operator="containsText" text="A-H">
      <formula>NOT(ISERROR(SEARCH("A-H",S25)))</formula>
    </cfRule>
  </conditionalFormatting>
  <conditionalFormatting sqref="AB25:AC25">
    <cfRule type="cellIs" dxfId="10638" priority="11347" operator="equal">
      <formula>"C-Off-H"</formula>
    </cfRule>
    <cfRule type="cellIs" dxfId="10637" priority="11348" operator="equal">
      <formula>"C-Off"</formula>
    </cfRule>
    <cfRule type="cellIs" dxfId="10636" priority="11349" operator="equal">
      <formula>"CL-H"</formula>
    </cfRule>
    <cfRule type="cellIs" dxfId="10635" priority="11350" operator="equal">
      <formula>"EL-H"</formula>
    </cfRule>
    <cfRule type="cellIs" dxfId="10634" priority="11351" operator="equal">
      <formula>"CL"</formula>
    </cfRule>
    <cfRule type="cellIs" dxfId="10633" priority="11352" operator="equal">
      <formula>"EL"</formula>
    </cfRule>
  </conditionalFormatting>
  <conditionalFormatting sqref="AB25:AC25">
    <cfRule type="containsText" dxfId="10632" priority="11341" operator="containsText" text="S">
      <formula>NOT(ISERROR(SEARCH("S",AB25)))</formula>
    </cfRule>
    <cfRule type="containsText" dxfId="10631" priority="11342" operator="containsText" text="P">
      <formula>NOT(ISERROR(SEARCH("P",AB25)))</formula>
    </cfRule>
    <cfRule type="containsText" dxfId="10630" priority="11343" operator="containsText" text="H">
      <formula>NOT(ISERROR(SEARCH("H",AB25)))</formula>
    </cfRule>
    <cfRule type="containsText" dxfId="10629" priority="11345" operator="containsText" text="&quot;H&quot;">
      <formula>NOT(ISERROR(SEARCH("""H""",AB25)))</formula>
    </cfRule>
    <cfRule type="containsText" dxfId="10628" priority="11346" operator="containsText" text="&quot;A&quot;">
      <formula>NOT(ISERROR(SEARCH("""A""",AB25)))</formula>
    </cfRule>
  </conditionalFormatting>
  <conditionalFormatting sqref="AB25:AC25">
    <cfRule type="containsText" dxfId="10627" priority="11344" operator="containsText" text="A-H">
      <formula>NOT(ISERROR(SEARCH("A-H",AB25)))</formula>
    </cfRule>
  </conditionalFormatting>
  <conditionalFormatting sqref="AE25">
    <cfRule type="cellIs" dxfId="10626" priority="11335" operator="equal">
      <formula>"C-Off-H"</formula>
    </cfRule>
    <cfRule type="cellIs" dxfId="10625" priority="11336" operator="equal">
      <formula>"C-Off"</formula>
    </cfRule>
    <cfRule type="cellIs" dxfId="10624" priority="11337" operator="equal">
      <formula>"CL-H"</formula>
    </cfRule>
    <cfRule type="cellIs" dxfId="10623" priority="11338" operator="equal">
      <formula>"EL-H"</formula>
    </cfRule>
    <cfRule type="cellIs" dxfId="10622" priority="11339" operator="equal">
      <formula>"CL"</formula>
    </cfRule>
    <cfRule type="cellIs" dxfId="10621" priority="11340" operator="equal">
      <formula>"EL"</formula>
    </cfRule>
  </conditionalFormatting>
  <conditionalFormatting sqref="AE25">
    <cfRule type="containsText" dxfId="10620" priority="11329" operator="containsText" text="S">
      <formula>NOT(ISERROR(SEARCH("S",AE25)))</formula>
    </cfRule>
    <cfRule type="containsText" dxfId="10619" priority="11330" operator="containsText" text="P">
      <formula>NOT(ISERROR(SEARCH("P",AE25)))</formula>
    </cfRule>
    <cfRule type="containsText" dxfId="10618" priority="11331" operator="containsText" text="H">
      <formula>NOT(ISERROR(SEARCH("H",AE25)))</formula>
    </cfRule>
    <cfRule type="containsText" dxfId="10617" priority="11333" operator="containsText" text="&quot;H&quot;">
      <formula>NOT(ISERROR(SEARCH("""H""",AE25)))</formula>
    </cfRule>
    <cfRule type="containsText" dxfId="10616" priority="11334" operator="containsText" text="&quot;A&quot;">
      <formula>NOT(ISERROR(SEARCH("""A""",AE25)))</formula>
    </cfRule>
  </conditionalFormatting>
  <conditionalFormatting sqref="AE25">
    <cfRule type="containsText" dxfId="10615" priority="11332" operator="containsText" text="A-H">
      <formula>NOT(ISERROR(SEARCH("A-H",AE25)))</formula>
    </cfRule>
  </conditionalFormatting>
  <conditionalFormatting sqref="AK25:AL25">
    <cfRule type="cellIs" dxfId="10614" priority="11323" operator="equal">
      <formula>"C-Off-H"</formula>
    </cfRule>
    <cfRule type="cellIs" dxfId="10613" priority="11324" operator="equal">
      <formula>"C-Off"</formula>
    </cfRule>
    <cfRule type="cellIs" dxfId="10612" priority="11325" operator="equal">
      <formula>"CL-H"</formula>
    </cfRule>
    <cfRule type="cellIs" dxfId="10611" priority="11326" operator="equal">
      <formula>"EL-H"</formula>
    </cfRule>
    <cfRule type="cellIs" dxfId="10610" priority="11327" operator="equal">
      <formula>"CL"</formula>
    </cfRule>
    <cfRule type="cellIs" dxfId="10609" priority="11328" operator="equal">
      <formula>"EL"</formula>
    </cfRule>
  </conditionalFormatting>
  <conditionalFormatting sqref="AK25:AL25">
    <cfRule type="containsText" dxfId="10608" priority="11317" operator="containsText" text="S">
      <formula>NOT(ISERROR(SEARCH("S",AK25)))</formula>
    </cfRule>
    <cfRule type="containsText" dxfId="10607" priority="11318" operator="containsText" text="P">
      <formula>NOT(ISERROR(SEARCH("P",AK25)))</formula>
    </cfRule>
    <cfRule type="containsText" dxfId="10606" priority="11319" operator="containsText" text="H">
      <formula>NOT(ISERROR(SEARCH("H",AK25)))</formula>
    </cfRule>
    <cfRule type="containsText" dxfId="10605" priority="11321" operator="containsText" text="&quot;H&quot;">
      <formula>NOT(ISERROR(SEARCH("""H""",AK25)))</formula>
    </cfRule>
    <cfRule type="containsText" dxfId="10604" priority="11322" operator="containsText" text="&quot;A&quot;">
      <formula>NOT(ISERROR(SEARCH("""A""",AK25)))</formula>
    </cfRule>
  </conditionalFormatting>
  <conditionalFormatting sqref="AK25:AL25">
    <cfRule type="containsText" dxfId="10603" priority="11320" operator="containsText" text="A-H">
      <formula>NOT(ISERROR(SEARCH("A-H",AK25)))</formula>
    </cfRule>
  </conditionalFormatting>
  <conditionalFormatting sqref="AN25:AO25">
    <cfRule type="cellIs" dxfId="10602" priority="11311" operator="equal">
      <formula>"C-Off-H"</formula>
    </cfRule>
    <cfRule type="cellIs" dxfId="10601" priority="11312" operator="equal">
      <formula>"C-Off"</formula>
    </cfRule>
    <cfRule type="cellIs" dxfId="10600" priority="11313" operator="equal">
      <formula>"CL-H"</formula>
    </cfRule>
    <cfRule type="cellIs" dxfId="10599" priority="11314" operator="equal">
      <formula>"EL-H"</formula>
    </cfRule>
    <cfRule type="cellIs" dxfId="10598" priority="11315" operator="equal">
      <formula>"CL"</formula>
    </cfRule>
    <cfRule type="cellIs" dxfId="10597" priority="11316" operator="equal">
      <formula>"EL"</formula>
    </cfRule>
  </conditionalFormatting>
  <conditionalFormatting sqref="AN25:AO25">
    <cfRule type="containsText" dxfId="10596" priority="11305" operator="containsText" text="S">
      <formula>NOT(ISERROR(SEARCH("S",AN25)))</formula>
    </cfRule>
    <cfRule type="containsText" dxfId="10595" priority="11306" operator="containsText" text="P">
      <formula>NOT(ISERROR(SEARCH("P",AN25)))</formula>
    </cfRule>
    <cfRule type="containsText" dxfId="10594" priority="11307" operator="containsText" text="H">
      <formula>NOT(ISERROR(SEARCH("H",AN25)))</formula>
    </cfRule>
    <cfRule type="containsText" dxfId="10593" priority="11309" operator="containsText" text="&quot;H&quot;">
      <formula>NOT(ISERROR(SEARCH("""H""",AN25)))</formula>
    </cfRule>
    <cfRule type="containsText" dxfId="10592" priority="11310" operator="containsText" text="&quot;A&quot;">
      <formula>NOT(ISERROR(SEARCH("""A""",AN25)))</formula>
    </cfRule>
  </conditionalFormatting>
  <conditionalFormatting sqref="AN25:AO25">
    <cfRule type="containsText" dxfId="10591" priority="11308" operator="containsText" text="A-H">
      <formula>NOT(ISERROR(SEARCH("A-H",AN25)))</formula>
    </cfRule>
  </conditionalFormatting>
  <conditionalFormatting sqref="AQ25:AR25">
    <cfRule type="cellIs" dxfId="10590" priority="11299" operator="equal">
      <formula>"C-Off-H"</formula>
    </cfRule>
    <cfRule type="cellIs" dxfId="10589" priority="11300" operator="equal">
      <formula>"C-Off"</formula>
    </cfRule>
    <cfRule type="cellIs" dxfId="10588" priority="11301" operator="equal">
      <formula>"CL-H"</formula>
    </cfRule>
    <cfRule type="cellIs" dxfId="10587" priority="11302" operator="equal">
      <formula>"EL-H"</formula>
    </cfRule>
    <cfRule type="cellIs" dxfId="10586" priority="11303" operator="equal">
      <formula>"CL"</formula>
    </cfRule>
    <cfRule type="cellIs" dxfId="10585" priority="11304" operator="equal">
      <formula>"EL"</formula>
    </cfRule>
  </conditionalFormatting>
  <conditionalFormatting sqref="AQ25:AR25">
    <cfRule type="containsText" dxfId="10584" priority="11293" operator="containsText" text="S">
      <formula>NOT(ISERROR(SEARCH("S",AQ25)))</formula>
    </cfRule>
    <cfRule type="containsText" dxfId="10583" priority="11294" operator="containsText" text="P">
      <formula>NOT(ISERROR(SEARCH("P",AQ25)))</formula>
    </cfRule>
    <cfRule type="containsText" dxfId="10582" priority="11295" operator="containsText" text="H">
      <formula>NOT(ISERROR(SEARCH("H",AQ25)))</formula>
    </cfRule>
    <cfRule type="containsText" dxfId="10581" priority="11297" operator="containsText" text="&quot;H&quot;">
      <formula>NOT(ISERROR(SEARCH("""H""",AQ25)))</formula>
    </cfRule>
    <cfRule type="containsText" dxfId="10580" priority="11298" operator="containsText" text="&quot;A&quot;">
      <formula>NOT(ISERROR(SEARCH("""A""",AQ25)))</formula>
    </cfRule>
  </conditionalFormatting>
  <conditionalFormatting sqref="AQ25:AR25">
    <cfRule type="containsText" dxfId="10579" priority="11296" operator="containsText" text="A-H">
      <formula>NOT(ISERROR(SEARCH("A-H",AQ25)))</formula>
    </cfRule>
  </conditionalFormatting>
  <conditionalFormatting sqref="AW25:AX25">
    <cfRule type="cellIs" dxfId="10578" priority="11287" operator="equal">
      <formula>"C-Off-H"</formula>
    </cfRule>
    <cfRule type="cellIs" dxfId="10577" priority="11288" operator="equal">
      <formula>"C-Off"</formula>
    </cfRule>
    <cfRule type="cellIs" dxfId="10576" priority="11289" operator="equal">
      <formula>"CL-H"</formula>
    </cfRule>
    <cfRule type="cellIs" dxfId="10575" priority="11290" operator="equal">
      <formula>"EL-H"</formula>
    </cfRule>
    <cfRule type="cellIs" dxfId="10574" priority="11291" operator="equal">
      <formula>"CL"</formula>
    </cfRule>
    <cfRule type="cellIs" dxfId="10573" priority="11292" operator="equal">
      <formula>"EL"</formula>
    </cfRule>
  </conditionalFormatting>
  <conditionalFormatting sqref="AW25:AX25">
    <cfRule type="containsText" dxfId="10572" priority="11281" operator="containsText" text="S">
      <formula>NOT(ISERROR(SEARCH("S",AW25)))</formula>
    </cfRule>
    <cfRule type="containsText" dxfId="10571" priority="11282" operator="containsText" text="P">
      <formula>NOT(ISERROR(SEARCH("P",AW25)))</formula>
    </cfRule>
    <cfRule type="containsText" dxfId="10570" priority="11283" operator="containsText" text="H">
      <formula>NOT(ISERROR(SEARCH("H",AW25)))</formula>
    </cfRule>
    <cfRule type="containsText" dxfId="10569" priority="11285" operator="containsText" text="&quot;H&quot;">
      <formula>NOT(ISERROR(SEARCH("""H""",AW25)))</formula>
    </cfRule>
    <cfRule type="containsText" dxfId="10568" priority="11286" operator="containsText" text="&quot;A&quot;">
      <formula>NOT(ISERROR(SEARCH("""A""",AW25)))</formula>
    </cfRule>
  </conditionalFormatting>
  <conditionalFormatting sqref="AW25:AX25">
    <cfRule type="containsText" dxfId="10567" priority="11284" operator="containsText" text="A-H">
      <formula>NOT(ISERROR(SEARCH("A-H",AW25)))</formula>
    </cfRule>
  </conditionalFormatting>
  <conditionalFormatting sqref="AZ25:BA25">
    <cfRule type="cellIs" dxfId="10566" priority="11275" operator="equal">
      <formula>"C-Off-H"</formula>
    </cfRule>
    <cfRule type="cellIs" dxfId="10565" priority="11276" operator="equal">
      <formula>"C-Off"</formula>
    </cfRule>
    <cfRule type="cellIs" dxfId="10564" priority="11277" operator="equal">
      <formula>"CL-H"</formula>
    </cfRule>
    <cfRule type="cellIs" dxfId="10563" priority="11278" operator="equal">
      <formula>"EL-H"</formula>
    </cfRule>
    <cfRule type="cellIs" dxfId="10562" priority="11279" operator="equal">
      <formula>"CL"</formula>
    </cfRule>
    <cfRule type="cellIs" dxfId="10561" priority="11280" operator="equal">
      <formula>"EL"</formula>
    </cfRule>
  </conditionalFormatting>
  <conditionalFormatting sqref="AZ25:BA25">
    <cfRule type="containsText" dxfId="10560" priority="11269" operator="containsText" text="S">
      <formula>NOT(ISERROR(SEARCH("S",AZ25)))</formula>
    </cfRule>
    <cfRule type="containsText" dxfId="10559" priority="11270" operator="containsText" text="P">
      <formula>NOT(ISERROR(SEARCH("P",AZ25)))</formula>
    </cfRule>
    <cfRule type="containsText" dxfId="10558" priority="11271" operator="containsText" text="H">
      <formula>NOT(ISERROR(SEARCH("H",AZ25)))</formula>
    </cfRule>
    <cfRule type="containsText" dxfId="10557" priority="11273" operator="containsText" text="&quot;H&quot;">
      <formula>NOT(ISERROR(SEARCH("""H""",AZ25)))</formula>
    </cfRule>
    <cfRule type="containsText" dxfId="10556" priority="11274" operator="containsText" text="&quot;A&quot;">
      <formula>NOT(ISERROR(SEARCH("""A""",AZ25)))</formula>
    </cfRule>
  </conditionalFormatting>
  <conditionalFormatting sqref="AZ25:BA25">
    <cfRule type="containsText" dxfId="10555" priority="11272" operator="containsText" text="A-H">
      <formula>NOT(ISERROR(SEARCH("A-H",AZ25)))</formula>
    </cfRule>
  </conditionalFormatting>
  <conditionalFormatting sqref="BC25:BD25">
    <cfRule type="cellIs" dxfId="10554" priority="11263" operator="equal">
      <formula>"C-Off-H"</formula>
    </cfRule>
    <cfRule type="cellIs" dxfId="10553" priority="11264" operator="equal">
      <formula>"C-Off"</formula>
    </cfRule>
    <cfRule type="cellIs" dxfId="10552" priority="11265" operator="equal">
      <formula>"CL-H"</formula>
    </cfRule>
    <cfRule type="cellIs" dxfId="10551" priority="11266" operator="equal">
      <formula>"EL-H"</formula>
    </cfRule>
    <cfRule type="cellIs" dxfId="10550" priority="11267" operator="equal">
      <formula>"CL"</formula>
    </cfRule>
    <cfRule type="cellIs" dxfId="10549" priority="11268" operator="equal">
      <formula>"EL"</formula>
    </cfRule>
  </conditionalFormatting>
  <conditionalFormatting sqref="BC25:BD25">
    <cfRule type="containsText" dxfId="10548" priority="11257" operator="containsText" text="S">
      <formula>NOT(ISERROR(SEARCH("S",BC25)))</formula>
    </cfRule>
    <cfRule type="containsText" dxfId="10547" priority="11258" operator="containsText" text="P">
      <formula>NOT(ISERROR(SEARCH("P",BC25)))</formula>
    </cfRule>
    <cfRule type="containsText" dxfId="10546" priority="11259" operator="containsText" text="H">
      <formula>NOT(ISERROR(SEARCH("H",BC25)))</formula>
    </cfRule>
    <cfRule type="containsText" dxfId="10545" priority="11261" operator="containsText" text="&quot;H&quot;">
      <formula>NOT(ISERROR(SEARCH("""H""",BC25)))</formula>
    </cfRule>
    <cfRule type="containsText" dxfId="10544" priority="11262" operator="containsText" text="&quot;A&quot;">
      <formula>NOT(ISERROR(SEARCH("""A""",BC25)))</formula>
    </cfRule>
  </conditionalFormatting>
  <conditionalFormatting sqref="BC25:BD25">
    <cfRule type="containsText" dxfId="10543" priority="11260" operator="containsText" text="A-H">
      <formula>NOT(ISERROR(SEARCH("A-H",BC25)))</formula>
    </cfRule>
  </conditionalFormatting>
  <conditionalFormatting sqref="BF25:BG25">
    <cfRule type="cellIs" dxfId="10542" priority="11251" operator="equal">
      <formula>"C-Off-H"</formula>
    </cfRule>
    <cfRule type="cellIs" dxfId="10541" priority="11252" operator="equal">
      <formula>"C-Off"</formula>
    </cfRule>
    <cfRule type="cellIs" dxfId="10540" priority="11253" operator="equal">
      <formula>"CL-H"</formula>
    </cfRule>
    <cfRule type="cellIs" dxfId="10539" priority="11254" operator="equal">
      <formula>"EL-H"</formula>
    </cfRule>
    <cfRule type="cellIs" dxfId="10538" priority="11255" operator="equal">
      <formula>"CL"</formula>
    </cfRule>
    <cfRule type="cellIs" dxfId="10537" priority="11256" operator="equal">
      <formula>"EL"</formula>
    </cfRule>
  </conditionalFormatting>
  <conditionalFormatting sqref="BF25:BG25">
    <cfRule type="containsText" dxfId="10536" priority="11245" operator="containsText" text="S">
      <formula>NOT(ISERROR(SEARCH("S",BF25)))</formula>
    </cfRule>
    <cfRule type="containsText" dxfId="10535" priority="11246" operator="containsText" text="P">
      <formula>NOT(ISERROR(SEARCH("P",BF25)))</formula>
    </cfRule>
    <cfRule type="containsText" dxfId="10534" priority="11247" operator="containsText" text="H">
      <formula>NOT(ISERROR(SEARCH("H",BF25)))</formula>
    </cfRule>
    <cfRule type="containsText" dxfId="10533" priority="11249" operator="containsText" text="&quot;H&quot;">
      <formula>NOT(ISERROR(SEARCH("""H""",BF25)))</formula>
    </cfRule>
    <cfRule type="containsText" dxfId="10532" priority="11250" operator="containsText" text="&quot;A&quot;">
      <formula>NOT(ISERROR(SEARCH("""A""",BF25)))</formula>
    </cfRule>
  </conditionalFormatting>
  <conditionalFormatting sqref="BF25:BG25">
    <cfRule type="containsText" dxfId="10531" priority="11248" operator="containsText" text="A-H">
      <formula>NOT(ISERROR(SEARCH("A-H",BF25)))</formula>
    </cfRule>
  </conditionalFormatting>
  <conditionalFormatting sqref="BI25:BJ25">
    <cfRule type="cellIs" dxfId="10530" priority="11239" operator="equal">
      <formula>"C-Off-H"</formula>
    </cfRule>
    <cfRule type="cellIs" dxfId="10529" priority="11240" operator="equal">
      <formula>"C-Off"</formula>
    </cfRule>
    <cfRule type="cellIs" dxfId="10528" priority="11241" operator="equal">
      <formula>"CL-H"</formula>
    </cfRule>
    <cfRule type="cellIs" dxfId="10527" priority="11242" operator="equal">
      <formula>"EL-H"</formula>
    </cfRule>
    <cfRule type="cellIs" dxfId="10526" priority="11243" operator="equal">
      <formula>"CL"</formula>
    </cfRule>
    <cfRule type="cellIs" dxfId="10525" priority="11244" operator="equal">
      <formula>"EL"</formula>
    </cfRule>
  </conditionalFormatting>
  <conditionalFormatting sqref="BI25:BJ25">
    <cfRule type="containsText" dxfId="10524" priority="11233" operator="containsText" text="S">
      <formula>NOT(ISERROR(SEARCH("S",BI25)))</formula>
    </cfRule>
    <cfRule type="containsText" dxfId="10523" priority="11234" operator="containsText" text="P">
      <formula>NOT(ISERROR(SEARCH("P",BI25)))</formula>
    </cfRule>
    <cfRule type="containsText" dxfId="10522" priority="11235" operator="containsText" text="H">
      <formula>NOT(ISERROR(SEARCH("H",BI25)))</formula>
    </cfRule>
    <cfRule type="containsText" dxfId="10521" priority="11237" operator="containsText" text="&quot;H&quot;">
      <formula>NOT(ISERROR(SEARCH("""H""",BI25)))</formula>
    </cfRule>
    <cfRule type="containsText" dxfId="10520" priority="11238" operator="containsText" text="&quot;A&quot;">
      <formula>NOT(ISERROR(SEARCH("""A""",BI25)))</formula>
    </cfRule>
  </conditionalFormatting>
  <conditionalFormatting sqref="BI25:BJ25">
    <cfRule type="containsText" dxfId="10519" priority="11236" operator="containsText" text="A-H">
      <formula>NOT(ISERROR(SEARCH("A-H",BI25)))</formula>
    </cfRule>
  </conditionalFormatting>
  <conditionalFormatting sqref="BL25:BM25">
    <cfRule type="cellIs" dxfId="10518" priority="11227" operator="equal">
      <formula>"C-Off-H"</formula>
    </cfRule>
    <cfRule type="cellIs" dxfId="10517" priority="11228" operator="equal">
      <formula>"C-Off"</formula>
    </cfRule>
    <cfRule type="cellIs" dxfId="10516" priority="11229" operator="equal">
      <formula>"CL-H"</formula>
    </cfRule>
    <cfRule type="cellIs" dxfId="10515" priority="11230" operator="equal">
      <formula>"EL-H"</formula>
    </cfRule>
    <cfRule type="cellIs" dxfId="10514" priority="11231" operator="equal">
      <formula>"CL"</formula>
    </cfRule>
    <cfRule type="cellIs" dxfId="10513" priority="11232" operator="equal">
      <formula>"EL"</formula>
    </cfRule>
  </conditionalFormatting>
  <conditionalFormatting sqref="BL25:BM25">
    <cfRule type="containsText" dxfId="10512" priority="11221" operator="containsText" text="S">
      <formula>NOT(ISERROR(SEARCH("S",BL25)))</formula>
    </cfRule>
    <cfRule type="containsText" dxfId="10511" priority="11222" operator="containsText" text="P">
      <formula>NOT(ISERROR(SEARCH("P",BL25)))</formula>
    </cfRule>
    <cfRule type="containsText" dxfId="10510" priority="11223" operator="containsText" text="H">
      <formula>NOT(ISERROR(SEARCH("H",BL25)))</formula>
    </cfRule>
    <cfRule type="containsText" dxfId="10509" priority="11225" operator="containsText" text="&quot;H&quot;">
      <formula>NOT(ISERROR(SEARCH("""H""",BL25)))</formula>
    </cfRule>
    <cfRule type="containsText" dxfId="10508" priority="11226" operator="containsText" text="&quot;A&quot;">
      <formula>NOT(ISERROR(SEARCH("""A""",BL25)))</formula>
    </cfRule>
  </conditionalFormatting>
  <conditionalFormatting sqref="BL25:BM25">
    <cfRule type="containsText" dxfId="10507" priority="11224" operator="containsText" text="A-H">
      <formula>NOT(ISERROR(SEARCH("A-H",BL25)))</formula>
    </cfRule>
  </conditionalFormatting>
  <conditionalFormatting sqref="BR25:BS25">
    <cfRule type="cellIs" dxfId="10506" priority="11215" operator="equal">
      <formula>"C-Off-H"</formula>
    </cfRule>
    <cfRule type="cellIs" dxfId="10505" priority="11216" operator="equal">
      <formula>"C-Off"</formula>
    </cfRule>
    <cfRule type="cellIs" dxfId="10504" priority="11217" operator="equal">
      <formula>"CL-H"</formula>
    </cfRule>
    <cfRule type="cellIs" dxfId="10503" priority="11218" operator="equal">
      <formula>"EL-H"</formula>
    </cfRule>
    <cfRule type="cellIs" dxfId="10502" priority="11219" operator="equal">
      <formula>"CL"</formula>
    </cfRule>
    <cfRule type="cellIs" dxfId="10501" priority="11220" operator="equal">
      <formula>"EL"</formula>
    </cfRule>
  </conditionalFormatting>
  <conditionalFormatting sqref="BR25:BS25">
    <cfRule type="containsText" dxfId="10500" priority="11209" operator="containsText" text="S">
      <formula>NOT(ISERROR(SEARCH("S",BR25)))</formula>
    </cfRule>
    <cfRule type="containsText" dxfId="10499" priority="11210" operator="containsText" text="P">
      <formula>NOT(ISERROR(SEARCH("P",BR25)))</formula>
    </cfRule>
    <cfRule type="containsText" dxfId="10498" priority="11211" operator="containsText" text="H">
      <formula>NOT(ISERROR(SEARCH("H",BR25)))</formula>
    </cfRule>
    <cfRule type="containsText" dxfId="10497" priority="11213" operator="containsText" text="&quot;H&quot;">
      <formula>NOT(ISERROR(SEARCH("""H""",BR25)))</formula>
    </cfRule>
    <cfRule type="containsText" dxfId="10496" priority="11214" operator="containsText" text="&quot;A&quot;">
      <formula>NOT(ISERROR(SEARCH("""A""",BR25)))</formula>
    </cfRule>
  </conditionalFormatting>
  <conditionalFormatting sqref="BR25:BS25">
    <cfRule type="containsText" dxfId="10495" priority="11212" operator="containsText" text="A-H">
      <formula>NOT(ISERROR(SEARCH("A-H",BR25)))</formula>
    </cfRule>
  </conditionalFormatting>
  <conditionalFormatting sqref="BU25:BV25">
    <cfRule type="cellIs" dxfId="10494" priority="11203" operator="equal">
      <formula>"C-Off-H"</formula>
    </cfRule>
    <cfRule type="cellIs" dxfId="10493" priority="11204" operator="equal">
      <formula>"C-Off"</formula>
    </cfRule>
    <cfRule type="cellIs" dxfId="10492" priority="11205" operator="equal">
      <formula>"CL-H"</formula>
    </cfRule>
    <cfRule type="cellIs" dxfId="10491" priority="11206" operator="equal">
      <formula>"EL-H"</formula>
    </cfRule>
    <cfRule type="cellIs" dxfId="10490" priority="11207" operator="equal">
      <formula>"CL"</formula>
    </cfRule>
    <cfRule type="cellIs" dxfId="10489" priority="11208" operator="equal">
      <formula>"EL"</formula>
    </cfRule>
  </conditionalFormatting>
  <conditionalFormatting sqref="BU25:BV25">
    <cfRule type="containsText" dxfId="10488" priority="11197" operator="containsText" text="S">
      <formula>NOT(ISERROR(SEARCH("S",BU25)))</formula>
    </cfRule>
    <cfRule type="containsText" dxfId="10487" priority="11198" operator="containsText" text="P">
      <formula>NOT(ISERROR(SEARCH("P",BU25)))</formula>
    </cfRule>
    <cfRule type="containsText" dxfId="10486" priority="11199" operator="containsText" text="H">
      <formula>NOT(ISERROR(SEARCH("H",BU25)))</formula>
    </cfRule>
    <cfRule type="containsText" dxfId="10485" priority="11201" operator="containsText" text="&quot;H&quot;">
      <formula>NOT(ISERROR(SEARCH("""H""",BU25)))</formula>
    </cfRule>
    <cfRule type="containsText" dxfId="10484" priority="11202" operator="containsText" text="&quot;A&quot;">
      <formula>NOT(ISERROR(SEARCH("""A""",BU25)))</formula>
    </cfRule>
  </conditionalFormatting>
  <conditionalFormatting sqref="BU25:BV25">
    <cfRule type="containsText" dxfId="10483" priority="11200" operator="containsText" text="A-H">
      <formula>NOT(ISERROR(SEARCH("A-H",BU25)))</formula>
    </cfRule>
  </conditionalFormatting>
  <conditionalFormatting sqref="BY25">
    <cfRule type="cellIs" dxfId="10482" priority="11191" operator="equal">
      <formula>"C-Off-H"</formula>
    </cfRule>
    <cfRule type="cellIs" dxfId="10481" priority="11192" operator="equal">
      <formula>"C-Off"</formula>
    </cfRule>
    <cfRule type="cellIs" dxfId="10480" priority="11193" operator="equal">
      <formula>"CL-H"</formula>
    </cfRule>
    <cfRule type="cellIs" dxfId="10479" priority="11194" operator="equal">
      <formula>"EL-H"</formula>
    </cfRule>
    <cfRule type="cellIs" dxfId="10478" priority="11195" operator="equal">
      <formula>"CL"</formula>
    </cfRule>
    <cfRule type="cellIs" dxfId="10477" priority="11196" operator="equal">
      <formula>"EL"</formula>
    </cfRule>
  </conditionalFormatting>
  <conditionalFormatting sqref="BY25">
    <cfRule type="containsText" dxfId="10476" priority="11185" operator="containsText" text="S">
      <formula>NOT(ISERROR(SEARCH("S",BY25)))</formula>
    </cfRule>
    <cfRule type="containsText" dxfId="10475" priority="11186" operator="containsText" text="P">
      <formula>NOT(ISERROR(SEARCH("P",BY25)))</formula>
    </cfRule>
    <cfRule type="containsText" dxfId="10474" priority="11187" operator="containsText" text="H">
      <formula>NOT(ISERROR(SEARCH("H",BY25)))</formula>
    </cfRule>
    <cfRule type="containsText" dxfId="10473" priority="11189" operator="containsText" text="&quot;H&quot;">
      <formula>NOT(ISERROR(SEARCH("""H""",BY25)))</formula>
    </cfRule>
    <cfRule type="containsText" dxfId="10472" priority="11190" operator="containsText" text="&quot;A&quot;">
      <formula>NOT(ISERROR(SEARCH("""A""",BY25)))</formula>
    </cfRule>
  </conditionalFormatting>
  <conditionalFormatting sqref="BY25">
    <cfRule type="containsText" dxfId="10471" priority="11188" operator="containsText" text="A-H">
      <formula>NOT(ISERROR(SEARCH("A-H",BY25)))</formula>
    </cfRule>
  </conditionalFormatting>
  <conditionalFormatting sqref="BX25">
    <cfRule type="cellIs" dxfId="10470" priority="11179" operator="equal">
      <formula>"C-Off-H"</formula>
    </cfRule>
    <cfRule type="cellIs" dxfId="10469" priority="11180" operator="equal">
      <formula>"C-Off"</formula>
    </cfRule>
    <cfRule type="cellIs" dxfId="10468" priority="11181" operator="equal">
      <formula>"CL-H"</formula>
    </cfRule>
    <cfRule type="cellIs" dxfId="10467" priority="11182" operator="equal">
      <formula>"EL-H"</formula>
    </cfRule>
    <cfRule type="cellIs" dxfId="10466" priority="11183" operator="equal">
      <formula>"CL"</formula>
    </cfRule>
    <cfRule type="cellIs" dxfId="10465" priority="11184" operator="equal">
      <formula>"EL"</formula>
    </cfRule>
  </conditionalFormatting>
  <conditionalFormatting sqref="BX25">
    <cfRule type="containsText" dxfId="10464" priority="11173" operator="containsText" text="S">
      <formula>NOT(ISERROR(SEARCH("S",BX25)))</formula>
    </cfRule>
    <cfRule type="containsText" dxfId="10463" priority="11174" operator="containsText" text="P">
      <formula>NOT(ISERROR(SEARCH("P",BX25)))</formula>
    </cfRule>
    <cfRule type="containsText" dxfId="10462" priority="11175" operator="containsText" text="H">
      <formula>NOT(ISERROR(SEARCH("H",BX25)))</formula>
    </cfRule>
    <cfRule type="containsText" dxfId="10461" priority="11177" operator="containsText" text="&quot;H&quot;">
      <formula>NOT(ISERROR(SEARCH("""H""",BX25)))</formula>
    </cfRule>
    <cfRule type="containsText" dxfId="10460" priority="11178" operator="containsText" text="&quot;A&quot;">
      <formula>NOT(ISERROR(SEARCH("""A""",BX25)))</formula>
    </cfRule>
  </conditionalFormatting>
  <conditionalFormatting sqref="BX25">
    <cfRule type="containsText" dxfId="10459" priority="11176" operator="containsText" text="A-H">
      <formula>NOT(ISERROR(SEARCH("A-H",BX25)))</formula>
    </cfRule>
  </conditionalFormatting>
  <conditionalFormatting sqref="J25:K25">
    <cfRule type="cellIs" dxfId="10458" priority="11167" operator="equal">
      <formula>"C-Off-H"</formula>
    </cfRule>
    <cfRule type="cellIs" dxfId="10457" priority="11168" operator="equal">
      <formula>"C-Off"</formula>
    </cfRule>
    <cfRule type="cellIs" dxfId="10456" priority="11169" operator="equal">
      <formula>"CL-H"</formula>
    </cfRule>
    <cfRule type="cellIs" dxfId="10455" priority="11170" operator="equal">
      <formula>"EL-H"</formula>
    </cfRule>
    <cfRule type="cellIs" dxfId="10454" priority="11171" operator="equal">
      <formula>"CL"</formula>
    </cfRule>
    <cfRule type="cellIs" dxfId="10453" priority="11172" operator="equal">
      <formula>"EL"</formula>
    </cfRule>
  </conditionalFormatting>
  <conditionalFormatting sqref="J25:K25">
    <cfRule type="containsText" dxfId="10452" priority="11161" operator="containsText" text="S">
      <formula>NOT(ISERROR(SEARCH("S",J25)))</formula>
    </cfRule>
    <cfRule type="containsText" dxfId="10451" priority="11162" operator="containsText" text="P">
      <formula>NOT(ISERROR(SEARCH("P",J25)))</formula>
    </cfRule>
    <cfRule type="containsText" dxfId="10450" priority="11163" operator="containsText" text="H">
      <formula>NOT(ISERROR(SEARCH("H",J25)))</formula>
    </cfRule>
    <cfRule type="containsText" dxfId="10449" priority="11165" operator="containsText" text="&quot;H&quot;">
      <formula>NOT(ISERROR(SEARCH("""H""",J25)))</formula>
    </cfRule>
    <cfRule type="containsText" dxfId="10448" priority="11166" operator="containsText" text="&quot;A&quot;">
      <formula>NOT(ISERROR(SEARCH("""A""",J25)))</formula>
    </cfRule>
  </conditionalFormatting>
  <conditionalFormatting sqref="J25:K25">
    <cfRule type="containsText" dxfId="10447" priority="11164" operator="containsText" text="A-H">
      <formula>NOT(ISERROR(SEARCH("A-H",J25)))</formula>
    </cfRule>
  </conditionalFormatting>
  <conditionalFormatting sqref="DC26 M26:N26 CQ26:CW26">
    <cfRule type="cellIs" dxfId="10446" priority="11155" operator="equal">
      <formula>"C-Off-H"</formula>
    </cfRule>
    <cfRule type="cellIs" dxfId="10445" priority="11156" operator="equal">
      <formula>"C-Off"</formula>
    </cfRule>
    <cfRule type="cellIs" dxfId="10444" priority="11157" operator="equal">
      <formula>"CL-H"</formula>
    </cfRule>
    <cfRule type="cellIs" dxfId="10443" priority="11158" operator="equal">
      <formula>"EL-H"</formula>
    </cfRule>
    <cfRule type="cellIs" dxfId="10442" priority="11159" operator="equal">
      <formula>"CL"</formula>
    </cfRule>
    <cfRule type="cellIs" dxfId="10441" priority="11160" operator="equal">
      <formula>"EL"</formula>
    </cfRule>
  </conditionalFormatting>
  <conditionalFormatting sqref="M26:N26 CQ26:CW26 CY26:DA26 DC26">
    <cfRule type="containsText" dxfId="10440" priority="11154" operator="containsText" text="A-H">
      <formula>NOT(ISERROR(SEARCH("A-H",M26)))</formula>
    </cfRule>
  </conditionalFormatting>
  <conditionalFormatting sqref="CQ26:CW26 CY26:DA26 DC26">
    <cfRule type="containsText" dxfId="10439" priority="11153" operator="containsText" text="A">
      <formula>NOT(ISERROR(SEARCH("A",CQ26)))</formula>
    </cfRule>
  </conditionalFormatting>
  <conditionalFormatting sqref="CY26 DA26">
    <cfRule type="cellIs" dxfId="10438" priority="11147" stopIfTrue="1" operator="equal">
      <formula>"C-Off-H"</formula>
    </cfRule>
    <cfRule type="cellIs" dxfId="10437" priority="11148" stopIfTrue="1" operator="equal">
      <formula>"C-Off"</formula>
    </cfRule>
    <cfRule type="cellIs" dxfId="10436" priority="11149" stopIfTrue="1" operator="equal">
      <formula>"CL-H"</formula>
    </cfRule>
    <cfRule type="cellIs" dxfId="10435" priority="11150" stopIfTrue="1" operator="equal">
      <formula>"EL-H"</formula>
    </cfRule>
    <cfRule type="cellIs" dxfId="10434" priority="11151" stopIfTrue="1" operator="equal">
      <formula>"CL"</formula>
    </cfRule>
    <cfRule type="cellIs" dxfId="10433" priority="11152" stopIfTrue="1" operator="equal">
      <formula>"EL"</formula>
    </cfRule>
  </conditionalFormatting>
  <conditionalFormatting sqref="CZ26">
    <cfRule type="cellIs" dxfId="10432" priority="11141" stopIfTrue="1" operator="equal">
      <formula>"C-Off-H"</formula>
    </cfRule>
    <cfRule type="cellIs" dxfId="10431" priority="11142" stopIfTrue="1" operator="equal">
      <formula>"C-Off"</formula>
    </cfRule>
    <cfRule type="cellIs" dxfId="10430" priority="11143" stopIfTrue="1" operator="equal">
      <formula>"CL-H"</formula>
    </cfRule>
    <cfRule type="cellIs" dxfId="10429" priority="11144" stopIfTrue="1" operator="equal">
      <formula>"EL-H"</formula>
    </cfRule>
    <cfRule type="cellIs" dxfId="10428" priority="11145" stopIfTrue="1" operator="equal">
      <formula>"CL"</formula>
    </cfRule>
    <cfRule type="cellIs" dxfId="10427" priority="11146" stopIfTrue="1" operator="equal">
      <formula>"EL"</formula>
    </cfRule>
  </conditionalFormatting>
  <conditionalFormatting sqref="M26:N26">
    <cfRule type="containsText" dxfId="10426" priority="11136" operator="containsText" text="S">
      <formula>NOT(ISERROR(SEARCH("S",M26)))</formula>
    </cfRule>
    <cfRule type="containsText" dxfId="10425" priority="11137" operator="containsText" text="P">
      <formula>NOT(ISERROR(SEARCH("P",M26)))</formula>
    </cfRule>
    <cfRule type="containsText" dxfId="10424" priority="11138" operator="containsText" text="H">
      <formula>NOT(ISERROR(SEARCH("H",M26)))</formula>
    </cfRule>
    <cfRule type="containsText" dxfId="10423" priority="11139" operator="containsText" text="&quot;H&quot;">
      <formula>NOT(ISERROR(SEARCH("""H""",M26)))</formula>
    </cfRule>
    <cfRule type="containsText" dxfId="10422" priority="11140" operator="containsText" text="&quot;A&quot;">
      <formula>NOT(ISERROR(SEARCH("""A""",M26)))</formula>
    </cfRule>
  </conditionalFormatting>
  <conditionalFormatting sqref="DD26">
    <cfRule type="cellIs" dxfId="10421" priority="11130" operator="equal">
      <formula>"C-Off-H"</formula>
    </cfRule>
    <cfRule type="cellIs" dxfId="10420" priority="11131" operator="equal">
      <formula>"C-Off"</formula>
    </cfRule>
    <cfRule type="cellIs" dxfId="10419" priority="11132" operator="equal">
      <formula>"CL-H"</formula>
    </cfRule>
    <cfRule type="cellIs" dxfId="10418" priority="11133" operator="equal">
      <formula>"EL-H"</formula>
    </cfRule>
    <cfRule type="cellIs" dxfId="10417" priority="11134" operator="equal">
      <formula>"CL"</formula>
    </cfRule>
    <cfRule type="cellIs" dxfId="10416" priority="11135" operator="equal">
      <formula>"EL"</formula>
    </cfRule>
  </conditionalFormatting>
  <conditionalFormatting sqref="DD26">
    <cfRule type="containsText" dxfId="10415" priority="11129" operator="containsText" text="A">
      <formula>NOT(ISERROR(SEARCH("A",DD26)))</formula>
    </cfRule>
  </conditionalFormatting>
  <conditionalFormatting sqref="DD26">
    <cfRule type="containsText" dxfId="10414" priority="11128" operator="containsText" text="A-H">
      <formula>NOT(ISERROR(SEARCH("A-H",DD26)))</formula>
    </cfRule>
  </conditionalFormatting>
  <conditionalFormatting sqref="AI26">
    <cfRule type="cellIs" dxfId="10413" priority="11122" operator="equal">
      <formula>"C-Off-H"</formula>
    </cfRule>
    <cfRule type="cellIs" dxfId="10412" priority="11123" operator="equal">
      <formula>"C-Off"</formula>
    </cfRule>
    <cfRule type="cellIs" dxfId="10411" priority="11124" operator="equal">
      <formula>"CL-H"</formula>
    </cfRule>
    <cfRule type="cellIs" dxfId="10410" priority="11125" operator="equal">
      <formula>"EL-H"</formula>
    </cfRule>
    <cfRule type="cellIs" dxfId="10409" priority="11126" operator="equal">
      <formula>"CL"</formula>
    </cfRule>
    <cfRule type="cellIs" dxfId="10408" priority="11127" operator="equal">
      <formula>"EL"</formula>
    </cfRule>
  </conditionalFormatting>
  <conditionalFormatting sqref="AH26:AI26">
    <cfRule type="cellIs" dxfId="10407" priority="11116" operator="equal">
      <formula>"C-Off-H"</formula>
    </cfRule>
    <cfRule type="cellIs" dxfId="10406" priority="11117" operator="equal">
      <formula>"C-Off"</formula>
    </cfRule>
    <cfRule type="cellIs" dxfId="10405" priority="11118" operator="equal">
      <formula>"CL-H"</formula>
    </cfRule>
    <cfRule type="cellIs" dxfId="10404" priority="11119" operator="equal">
      <formula>"EL-H"</formula>
    </cfRule>
    <cfRule type="cellIs" dxfId="10403" priority="11120" operator="equal">
      <formula>"CL"</formula>
    </cfRule>
    <cfRule type="cellIs" dxfId="10402" priority="11121" operator="equal">
      <formula>"EL"</formula>
    </cfRule>
  </conditionalFormatting>
  <conditionalFormatting sqref="AH26:AI26">
    <cfRule type="containsText" dxfId="10401" priority="11110" operator="containsText" text="S">
      <formula>NOT(ISERROR(SEARCH("S",AH26)))</formula>
    </cfRule>
    <cfRule type="containsText" dxfId="10400" priority="11111" operator="containsText" text="P">
      <formula>NOT(ISERROR(SEARCH("P",AH26)))</formula>
    </cfRule>
    <cfRule type="containsText" dxfId="10399" priority="11112" operator="containsText" text="H">
      <formula>NOT(ISERROR(SEARCH("H",AH26)))</formula>
    </cfRule>
    <cfRule type="containsText" dxfId="10398" priority="11114" operator="containsText" text="&quot;H&quot;">
      <formula>NOT(ISERROR(SEARCH("""H""",AH26)))</formula>
    </cfRule>
    <cfRule type="containsText" dxfId="10397" priority="11115" operator="containsText" text="&quot;A&quot;">
      <formula>NOT(ISERROR(SEARCH("""A""",AH26)))</formula>
    </cfRule>
  </conditionalFormatting>
  <conditionalFormatting sqref="AH26:AI26">
    <cfRule type="containsText" dxfId="10396" priority="11113" operator="containsText" text="A-H">
      <formula>NOT(ISERROR(SEARCH("A-H",AH26)))</formula>
    </cfRule>
  </conditionalFormatting>
  <conditionalFormatting sqref="AU26">
    <cfRule type="cellIs" dxfId="10395" priority="11104" operator="equal">
      <formula>"C-Off-H"</formula>
    </cfRule>
    <cfRule type="cellIs" dxfId="10394" priority="11105" operator="equal">
      <formula>"C-Off"</formula>
    </cfRule>
    <cfRule type="cellIs" dxfId="10393" priority="11106" operator="equal">
      <formula>"CL-H"</formula>
    </cfRule>
    <cfRule type="cellIs" dxfId="10392" priority="11107" operator="equal">
      <formula>"EL-H"</formula>
    </cfRule>
    <cfRule type="cellIs" dxfId="10391" priority="11108" operator="equal">
      <formula>"CL"</formula>
    </cfRule>
    <cfRule type="cellIs" dxfId="10390" priority="11109" operator="equal">
      <formula>"EL"</formula>
    </cfRule>
  </conditionalFormatting>
  <conditionalFormatting sqref="AT26:AU26">
    <cfRule type="cellIs" dxfId="10389" priority="11098" operator="equal">
      <formula>"C-Off-H"</formula>
    </cfRule>
    <cfRule type="cellIs" dxfId="10388" priority="11099" operator="equal">
      <formula>"C-Off"</formula>
    </cfRule>
    <cfRule type="cellIs" dxfId="10387" priority="11100" operator="equal">
      <formula>"CL-H"</formula>
    </cfRule>
    <cfRule type="cellIs" dxfId="10386" priority="11101" operator="equal">
      <formula>"EL-H"</formula>
    </cfRule>
    <cfRule type="cellIs" dxfId="10385" priority="11102" operator="equal">
      <formula>"CL"</formula>
    </cfRule>
    <cfRule type="cellIs" dxfId="10384" priority="11103" operator="equal">
      <formula>"EL"</formula>
    </cfRule>
  </conditionalFormatting>
  <conditionalFormatting sqref="AT26:AU26">
    <cfRule type="containsText" dxfId="10383" priority="11092" operator="containsText" text="S">
      <formula>NOT(ISERROR(SEARCH("S",AT26)))</formula>
    </cfRule>
    <cfRule type="containsText" dxfId="10382" priority="11093" operator="containsText" text="P">
      <formula>NOT(ISERROR(SEARCH("P",AT26)))</formula>
    </cfRule>
    <cfRule type="containsText" dxfId="10381" priority="11094" operator="containsText" text="H">
      <formula>NOT(ISERROR(SEARCH("H",AT26)))</formula>
    </cfRule>
    <cfRule type="containsText" dxfId="10380" priority="11096" operator="containsText" text="&quot;H&quot;">
      <formula>NOT(ISERROR(SEARCH("""H""",AT26)))</formula>
    </cfRule>
    <cfRule type="containsText" dxfId="10379" priority="11097" operator="containsText" text="&quot;A&quot;">
      <formula>NOT(ISERROR(SEARCH("""A""",AT26)))</formula>
    </cfRule>
  </conditionalFormatting>
  <conditionalFormatting sqref="AT26:AU26">
    <cfRule type="containsText" dxfId="10378" priority="11095" operator="containsText" text="A-H">
      <formula>NOT(ISERROR(SEARCH("A-H",AT26)))</formula>
    </cfRule>
  </conditionalFormatting>
  <conditionalFormatting sqref="E26">
    <cfRule type="cellIs" dxfId="10377" priority="11086" operator="equal">
      <formula>"C-Off-H"</formula>
    </cfRule>
    <cfRule type="cellIs" dxfId="10376" priority="11087" operator="equal">
      <formula>"C-Off"</formula>
    </cfRule>
    <cfRule type="cellIs" dxfId="10375" priority="11088" operator="equal">
      <formula>"CL-H"</formula>
    </cfRule>
    <cfRule type="cellIs" dxfId="10374" priority="11089" operator="equal">
      <formula>"EL-H"</formula>
    </cfRule>
    <cfRule type="cellIs" dxfId="10373" priority="11090" operator="equal">
      <formula>"CL"</formula>
    </cfRule>
    <cfRule type="cellIs" dxfId="10372" priority="11091" operator="equal">
      <formula>"EL"</formula>
    </cfRule>
  </conditionalFormatting>
  <conditionalFormatting sqref="D26:E26">
    <cfRule type="cellIs" dxfId="10371" priority="11080" operator="equal">
      <formula>"C-Off-H"</formula>
    </cfRule>
    <cfRule type="cellIs" dxfId="10370" priority="11081" operator="equal">
      <formula>"C-Off"</formula>
    </cfRule>
    <cfRule type="cellIs" dxfId="10369" priority="11082" operator="equal">
      <formula>"CL-H"</formula>
    </cfRule>
    <cfRule type="cellIs" dxfId="10368" priority="11083" operator="equal">
      <formula>"EL-H"</formula>
    </cfRule>
    <cfRule type="cellIs" dxfId="10367" priority="11084" operator="equal">
      <formula>"CL"</formula>
    </cfRule>
    <cfRule type="cellIs" dxfId="10366" priority="11085" operator="equal">
      <formula>"EL"</formula>
    </cfRule>
  </conditionalFormatting>
  <conditionalFormatting sqref="D26:E26">
    <cfRule type="containsText" dxfId="10365" priority="11074" operator="containsText" text="S">
      <formula>NOT(ISERROR(SEARCH("S",D26)))</formula>
    </cfRule>
    <cfRule type="containsText" dxfId="10364" priority="11075" operator="containsText" text="P">
      <formula>NOT(ISERROR(SEARCH("P",D26)))</formula>
    </cfRule>
    <cfRule type="containsText" dxfId="10363" priority="11076" operator="containsText" text="H">
      <formula>NOT(ISERROR(SEARCH("H",D26)))</formula>
    </cfRule>
    <cfRule type="containsText" dxfId="10362" priority="11078" operator="containsText" text="&quot;H&quot;">
      <formula>NOT(ISERROR(SEARCH("""H""",D26)))</formula>
    </cfRule>
    <cfRule type="containsText" dxfId="10361" priority="11079" operator="containsText" text="&quot;A&quot;">
      <formula>NOT(ISERROR(SEARCH("""A""",D26)))</formula>
    </cfRule>
  </conditionalFormatting>
  <conditionalFormatting sqref="D26:E26">
    <cfRule type="containsText" dxfId="10360" priority="11077" operator="containsText" text="A-H">
      <formula>NOT(ISERROR(SEARCH("A-H",D26)))</formula>
    </cfRule>
  </conditionalFormatting>
  <conditionalFormatting sqref="Y26">
    <cfRule type="cellIs" dxfId="10359" priority="11068" operator="equal">
      <formula>"C-Off-H"</formula>
    </cfRule>
    <cfRule type="cellIs" dxfId="10358" priority="11069" operator="equal">
      <formula>"C-Off"</formula>
    </cfRule>
    <cfRule type="cellIs" dxfId="10357" priority="11070" operator="equal">
      <formula>"CL-H"</formula>
    </cfRule>
    <cfRule type="cellIs" dxfId="10356" priority="11071" operator="equal">
      <formula>"EL-H"</formula>
    </cfRule>
    <cfRule type="cellIs" dxfId="10355" priority="11072" operator="equal">
      <formula>"CL"</formula>
    </cfRule>
    <cfRule type="cellIs" dxfId="10354" priority="11073" operator="equal">
      <formula>"EL"</formula>
    </cfRule>
  </conditionalFormatting>
  <conditionalFormatting sqref="Y26">
    <cfRule type="containsText" dxfId="10353" priority="11062" operator="containsText" text="S">
      <formula>NOT(ISERROR(SEARCH("S",Y26)))</formula>
    </cfRule>
    <cfRule type="containsText" dxfId="10352" priority="11063" operator="containsText" text="P">
      <formula>NOT(ISERROR(SEARCH("P",Y26)))</formula>
    </cfRule>
    <cfRule type="containsText" dxfId="10351" priority="11064" operator="containsText" text="H">
      <formula>NOT(ISERROR(SEARCH("H",Y26)))</formula>
    </cfRule>
    <cfRule type="containsText" dxfId="10350" priority="11066" operator="containsText" text="&quot;H&quot;">
      <formula>NOT(ISERROR(SEARCH("""H""",Y26)))</formula>
    </cfRule>
    <cfRule type="containsText" dxfId="10349" priority="11067" operator="containsText" text="&quot;A&quot;">
      <formula>NOT(ISERROR(SEARCH("""A""",Y26)))</formula>
    </cfRule>
  </conditionalFormatting>
  <conditionalFormatting sqref="Y26">
    <cfRule type="containsText" dxfId="10348" priority="11065" operator="containsText" text="A-H">
      <formula>NOT(ISERROR(SEARCH("A-H",Y26)))</formula>
    </cfRule>
  </conditionalFormatting>
  <conditionalFormatting sqref="AF26">
    <cfRule type="cellIs" dxfId="10347" priority="11056" operator="equal">
      <formula>"C-Off-H"</formula>
    </cfRule>
    <cfRule type="cellIs" dxfId="10346" priority="11057" operator="equal">
      <formula>"C-Off"</formula>
    </cfRule>
    <cfRule type="cellIs" dxfId="10345" priority="11058" operator="equal">
      <formula>"CL-H"</formula>
    </cfRule>
    <cfRule type="cellIs" dxfId="10344" priority="11059" operator="equal">
      <formula>"EL-H"</formula>
    </cfRule>
    <cfRule type="cellIs" dxfId="10343" priority="11060" operator="equal">
      <formula>"CL"</formula>
    </cfRule>
    <cfRule type="cellIs" dxfId="10342" priority="11061" operator="equal">
      <formula>"EL"</formula>
    </cfRule>
  </conditionalFormatting>
  <conditionalFormatting sqref="AF26">
    <cfRule type="containsText" dxfId="10341" priority="11050" operator="containsText" text="S">
      <formula>NOT(ISERROR(SEARCH("S",AF26)))</formula>
    </cfRule>
    <cfRule type="containsText" dxfId="10340" priority="11051" operator="containsText" text="P">
      <formula>NOT(ISERROR(SEARCH("P",AF26)))</formula>
    </cfRule>
    <cfRule type="containsText" dxfId="10339" priority="11052" operator="containsText" text="H">
      <formula>NOT(ISERROR(SEARCH("H",AF26)))</formula>
    </cfRule>
    <cfRule type="containsText" dxfId="10338" priority="11054" operator="containsText" text="&quot;H&quot;">
      <formula>NOT(ISERROR(SEARCH("""H""",AF26)))</formula>
    </cfRule>
    <cfRule type="containsText" dxfId="10337" priority="11055" operator="containsText" text="&quot;A&quot;">
      <formula>NOT(ISERROR(SEARCH("""A""",AF26)))</formula>
    </cfRule>
  </conditionalFormatting>
  <conditionalFormatting sqref="AF26">
    <cfRule type="containsText" dxfId="10336" priority="11053" operator="containsText" text="A-H">
      <formula>NOT(ISERROR(SEARCH("A-H",AF26)))</formula>
    </cfRule>
  </conditionalFormatting>
  <conditionalFormatting sqref="BO26:BP26">
    <cfRule type="cellIs" dxfId="10335" priority="11044" operator="equal">
      <formula>"C-Off-H"</formula>
    </cfRule>
    <cfRule type="cellIs" dxfId="10334" priority="11045" operator="equal">
      <formula>"C-Off"</formula>
    </cfRule>
    <cfRule type="cellIs" dxfId="10333" priority="11046" operator="equal">
      <formula>"CL-H"</formula>
    </cfRule>
    <cfRule type="cellIs" dxfId="10332" priority="11047" operator="equal">
      <formula>"EL-H"</formula>
    </cfRule>
    <cfRule type="cellIs" dxfId="10331" priority="11048" operator="equal">
      <formula>"CL"</formula>
    </cfRule>
    <cfRule type="cellIs" dxfId="10330" priority="11049" operator="equal">
      <formula>"EL"</formula>
    </cfRule>
  </conditionalFormatting>
  <conditionalFormatting sqref="BO26:BP26">
    <cfRule type="cellIs" dxfId="10329" priority="11038" operator="equal">
      <formula>"C-Off-H"</formula>
    </cfRule>
    <cfRule type="cellIs" dxfId="10328" priority="11039" operator="equal">
      <formula>"C-Off"</formula>
    </cfRule>
    <cfRule type="cellIs" dxfId="10327" priority="11040" operator="equal">
      <formula>"CL-H"</formula>
    </cfRule>
    <cfRule type="cellIs" dxfId="10326" priority="11041" operator="equal">
      <formula>"EL-H"</formula>
    </cfRule>
    <cfRule type="cellIs" dxfId="10325" priority="11042" operator="equal">
      <formula>"CL"</formula>
    </cfRule>
    <cfRule type="cellIs" dxfId="10324" priority="11043" operator="equal">
      <formula>"EL"</formula>
    </cfRule>
  </conditionalFormatting>
  <conditionalFormatting sqref="BO26:BP26">
    <cfRule type="containsText" dxfId="10323" priority="11032" operator="containsText" text="S">
      <formula>NOT(ISERROR(SEARCH("S",BO26)))</formula>
    </cfRule>
    <cfRule type="containsText" dxfId="10322" priority="11033" operator="containsText" text="P">
      <formula>NOT(ISERROR(SEARCH("P",BO26)))</formula>
    </cfRule>
    <cfRule type="containsText" dxfId="10321" priority="11034" operator="containsText" text="H">
      <formula>NOT(ISERROR(SEARCH("H",BO26)))</formula>
    </cfRule>
    <cfRule type="containsText" dxfId="10320" priority="11036" operator="containsText" text="&quot;H&quot;">
      <formula>NOT(ISERROR(SEARCH("""H""",BO26)))</formula>
    </cfRule>
    <cfRule type="containsText" dxfId="10319" priority="11037" operator="containsText" text="&quot;A&quot;">
      <formula>NOT(ISERROR(SEARCH("""A""",BO26)))</formula>
    </cfRule>
  </conditionalFormatting>
  <conditionalFormatting sqref="BO26:BP26">
    <cfRule type="containsText" dxfId="10318" priority="11035" operator="containsText" text="A-H">
      <formula>NOT(ISERROR(SEARCH("A-H",BO26)))</formula>
    </cfRule>
  </conditionalFormatting>
  <conditionalFormatting sqref="CM26">
    <cfRule type="cellIs" dxfId="10317" priority="11026" operator="equal">
      <formula>"C-Off-H"</formula>
    </cfRule>
    <cfRule type="cellIs" dxfId="10316" priority="11027" operator="equal">
      <formula>"C-Off"</formula>
    </cfRule>
    <cfRule type="cellIs" dxfId="10315" priority="11028" operator="equal">
      <formula>"CL-H"</formula>
    </cfRule>
    <cfRule type="cellIs" dxfId="10314" priority="11029" operator="equal">
      <formula>"EL-H"</formula>
    </cfRule>
    <cfRule type="cellIs" dxfId="10313" priority="11030" operator="equal">
      <formula>"CL"</formula>
    </cfRule>
    <cfRule type="cellIs" dxfId="10312" priority="11031" operator="equal">
      <formula>"EL"</formula>
    </cfRule>
  </conditionalFormatting>
  <conditionalFormatting sqref="CM26">
    <cfRule type="cellIs" dxfId="10311" priority="11020" operator="equal">
      <formula>"C-Off-H"</formula>
    </cfRule>
    <cfRule type="cellIs" dxfId="10310" priority="11021" operator="equal">
      <formula>"C-Off"</formula>
    </cfRule>
    <cfRule type="cellIs" dxfId="10309" priority="11022" operator="equal">
      <formula>"CL-H"</formula>
    </cfRule>
    <cfRule type="cellIs" dxfId="10308" priority="11023" operator="equal">
      <formula>"EL-H"</formula>
    </cfRule>
    <cfRule type="cellIs" dxfId="10307" priority="11024" operator="equal">
      <formula>"CL"</formula>
    </cfRule>
    <cfRule type="cellIs" dxfId="10306" priority="11025" operator="equal">
      <formula>"EL"</formula>
    </cfRule>
  </conditionalFormatting>
  <conditionalFormatting sqref="CM26">
    <cfRule type="containsText" dxfId="10305" priority="11014" operator="containsText" text="S">
      <formula>NOT(ISERROR(SEARCH("S",CM26)))</formula>
    </cfRule>
    <cfRule type="containsText" dxfId="10304" priority="11015" operator="containsText" text="P">
      <formula>NOT(ISERROR(SEARCH("P",CM26)))</formula>
    </cfRule>
    <cfRule type="containsText" dxfId="10303" priority="11016" operator="containsText" text="H">
      <formula>NOT(ISERROR(SEARCH("H",CM26)))</formula>
    </cfRule>
    <cfRule type="containsText" dxfId="10302" priority="11018" operator="containsText" text="&quot;H&quot;">
      <formula>NOT(ISERROR(SEARCH("""H""",CM26)))</formula>
    </cfRule>
    <cfRule type="containsText" dxfId="10301" priority="11019" operator="containsText" text="&quot;A&quot;">
      <formula>NOT(ISERROR(SEARCH("""A""",CM26)))</formula>
    </cfRule>
  </conditionalFormatting>
  <conditionalFormatting sqref="CM26">
    <cfRule type="containsText" dxfId="10300" priority="11017" operator="containsText" text="A-H">
      <formula>NOT(ISERROR(SEARCH("A-H",CM26)))</formula>
    </cfRule>
  </conditionalFormatting>
  <conditionalFormatting sqref="V26:W26">
    <cfRule type="cellIs" dxfId="10299" priority="10984" operator="equal">
      <formula>"C-Off-H"</formula>
    </cfRule>
    <cfRule type="cellIs" dxfId="10298" priority="10985" operator="equal">
      <formula>"C-Off"</formula>
    </cfRule>
    <cfRule type="cellIs" dxfId="10297" priority="10986" operator="equal">
      <formula>"CL-H"</formula>
    </cfRule>
    <cfRule type="cellIs" dxfId="10296" priority="10987" operator="equal">
      <formula>"EL-H"</formula>
    </cfRule>
    <cfRule type="cellIs" dxfId="10295" priority="10988" operator="equal">
      <formula>"CL"</formula>
    </cfRule>
    <cfRule type="cellIs" dxfId="10294" priority="10989" operator="equal">
      <formula>"EL"</formula>
    </cfRule>
  </conditionalFormatting>
  <conditionalFormatting sqref="V26:W26">
    <cfRule type="containsText" dxfId="10293" priority="10978" operator="containsText" text="S">
      <formula>NOT(ISERROR(SEARCH("S",V26)))</formula>
    </cfRule>
    <cfRule type="containsText" dxfId="10292" priority="10979" operator="containsText" text="P">
      <formula>NOT(ISERROR(SEARCH("P",V26)))</formula>
    </cfRule>
    <cfRule type="containsText" dxfId="10291" priority="10980" operator="containsText" text="H">
      <formula>NOT(ISERROR(SEARCH("H",V26)))</formula>
    </cfRule>
    <cfRule type="containsText" dxfId="10290" priority="10982" operator="containsText" text="&quot;H&quot;">
      <formula>NOT(ISERROR(SEARCH("""H""",V26)))</formula>
    </cfRule>
    <cfRule type="containsText" dxfId="10289" priority="10983" operator="containsText" text="&quot;A&quot;">
      <formula>NOT(ISERROR(SEARCH("""A""",V26)))</formula>
    </cfRule>
  </conditionalFormatting>
  <conditionalFormatting sqref="V26:W26">
    <cfRule type="containsText" dxfId="10288" priority="10981" operator="containsText" text="A-H">
      <formula>NOT(ISERROR(SEARCH("A-H",V26)))</formula>
    </cfRule>
  </conditionalFormatting>
  <conditionalFormatting sqref="P26:Q26">
    <cfRule type="cellIs" dxfId="10287" priority="11008" operator="equal">
      <formula>"C-Off-H"</formula>
    </cfRule>
    <cfRule type="cellIs" dxfId="10286" priority="11009" operator="equal">
      <formula>"C-Off"</formula>
    </cfRule>
    <cfRule type="cellIs" dxfId="10285" priority="11010" operator="equal">
      <formula>"CL-H"</formula>
    </cfRule>
    <cfRule type="cellIs" dxfId="10284" priority="11011" operator="equal">
      <formula>"EL-H"</formula>
    </cfRule>
    <cfRule type="cellIs" dxfId="10283" priority="11012" operator="equal">
      <formula>"CL"</formula>
    </cfRule>
    <cfRule type="cellIs" dxfId="10282" priority="11013" operator="equal">
      <formula>"EL"</formula>
    </cfRule>
  </conditionalFormatting>
  <conditionalFormatting sqref="P26:Q26">
    <cfRule type="containsText" dxfId="10281" priority="11002" operator="containsText" text="S">
      <formula>NOT(ISERROR(SEARCH("S",P26)))</formula>
    </cfRule>
    <cfRule type="containsText" dxfId="10280" priority="11003" operator="containsText" text="P">
      <formula>NOT(ISERROR(SEARCH("P",P26)))</formula>
    </cfRule>
    <cfRule type="containsText" dxfId="10279" priority="11004" operator="containsText" text="H">
      <formula>NOT(ISERROR(SEARCH("H",P26)))</formula>
    </cfRule>
    <cfRule type="containsText" dxfId="10278" priority="11006" operator="containsText" text="&quot;H&quot;">
      <formula>NOT(ISERROR(SEARCH("""H""",P26)))</formula>
    </cfRule>
    <cfRule type="containsText" dxfId="10277" priority="11007" operator="containsText" text="&quot;A&quot;">
      <formula>NOT(ISERROR(SEARCH("""A""",P26)))</formula>
    </cfRule>
  </conditionalFormatting>
  <conditionalFormatting sqref="P26:Q26">
    <cfRule type="containsText" dxfId="10276" priority="11005" operator="containsText" text="A-H">
      <formula>NOT(ISERROR(SEARCH("A-H",P26)))</formula>
    </cfRule>
  </conditionalFormatting>
  <conditionalFormatting sqref="S26:T26">
    <cfRule type="cellIs" dxfId="10275" priority="10996" operator="equal">
      <formula>"C-Off-H"</formula>
    </cfRule>
    <cfRule type="cellIs" dxfId="10274" priority="10997" operator="equal">
      <formula>"C-Off"</formula>
    </cfRule>
    <cfRule type="cellIs" dxfId="10273" priority="10998" operator="equal">
      <formula>"CL-H"</formula>
    </cfRule>
    <cfRule type="cellIs" dxfId="10272" priority="10999" operator="equal">
      <formula>"EL-H"</formula>
    </cfRule>
    <cfRule type="cellIs" dxfId="10271" priority="11000" operator="equal">
      <formula>"CL"</formula>
    </cfRule>
    <cfRule type="cellIs" dxfId="10270" priority="11001" operator="equal">
      <formula>"EL"</formula>
    </cfRule>
  </conditionalFormatting>
  <conditionalFormatting sqref="S26:T26">
    <cfRule type="containsText" dxfId="10269" priority="10990" operator="containsText" text="S">
      <formula>NOT(ISERROR(SEARCH("S",S26)))</formula>
    </cfRule>
    <cfRule type="containsText" dxfId="10268" priority="10991" operator="containsText" text="P">
      <formula>NOT(ISERROR(SEARCH("P",S26)))</formula>
    </cfRule>
    <cfRule type="containsText" dxfId="10267" priority="10992" operator="containsText" text="H">
      <formula>NOT(ISERROR(SEARCH("H",S26)))</formula>
    </cfRule>
    <cfRule type="containsText" dxfId="10266" priority="10994" operator="containsText" text="&quot;H&quot;">
      <formula>NOT(ISERROR(SEARCH("""H""",S26)))</formula>
    </cfRule>
    <cfRule type="containsText" dxfId="10265" priority="10995" operator="containsText" text="&quot;A&quot;">
      <formula>NOT(ISERROR(SEARCH("""A""",S26)))</formula>
    </cfRule>
  </conditionalFormatting>
  <conditionalFormatting sqref="S26:T26">
    <cfRule type="containsText" dxfId="10264" priority="10993" operator="containsText" text="A-H">
      <formula>NOT(ISERROR(SEARCH("A-H",S26)))</formula>
    </cfRule>
  </conditionalFormatting>
  <conditionalFormatting sqref="AB26:AC26">
    <cfRule type="cellIs" dxfId="10263" priority="10972" operator="equal">
      <formula>"C-Off-H"</formula>
    </cfRule>
    <cfRule type="cellIs" dxfId="10262" priority="10973" operator="equal">
      <formula>"C-Off"</formula>
    </cfRule>
    <cfRule type="cellIs" dxfId="10261" priority="10974" operator="equal">
      <formula>"CL-H"</formula>
    </cfRule>
    <cfRule type="cellIs" dxfId="10260" priority="10975" operator="equal">
      <formula>"EL-H"</formula>
    </cfRule>
    <cfRule type="cellIs" dxfId="10259" priority="10976" operator="equal">
      <formula>"CL"</formula>
    </cfRule>
    <cfRule type="cellIs" dxfId="10258" priority="10977" operator="equal">
      <formula>"EL"</formula>
    </cfRule>
  </conditionalFormatting>
  <conditionalFormatting sqref="AB26:AC26">
    <cfRule type="containsText" dxfId="10257" priority="10966" operator="containsText" text="S">
      <formula>NOT(ISERROR(SEARCH("S",AB26)))</formula>
    </cfRule>
    <cfRule type="containsText" dxfId="10256" priority="10967" operator="containsText" text="P">
      <formula>NOT(ISERROR(SEARCH("P",AB26)))</formula>
    </cfRule>
    <cfRule type="containsText" dxfId="10255" priority="10968" operator="containsText" text="H">
      <formula>NOT(ISERROR(SEARCH("H",AB26)))</formula>
    </cfRule>
    <cfRule type="containsText" dxfId="10254" priority="10970" operator="containsText" text="&quot;H&quot;">
      <formula>NOT(ISERROR(SEARCH("""H""",AB26)))</formula>
    </cfRule>
    <cfRule type="containsText" dxfId="10253" priority="10971" operator="containsText" text="&quot;A&quot;">
      <formula>NOT(ISERROR(SEARCH("""A""",AB26)))</formula>
    </cfRule>
  </conditionalFormatting>
  <conditionalFormatting sqref="AB26:AC26">
    <cfRule type="containsText" dxfId="10252" priority="10969" operator="containsText" text="A-H">
      <formula>NOT(ISERROR(SEARCH("A-H",AB26)))</formula>
    </cfRule>
  </conditionalFormatting>
  <conditionalFormatting sqref="AE26">
    <cfRule type="cellIs" dxfId="10251" priority="10960" operator="equal">
      <formula>"C-Off-H"</formula>
    </cfRule>
    <cfRule type="cellIs" dxfId="10250" priority="10961" operator="equal">
      <formula>"C-Off"</formula>
    </cfRule>
    <cfRule type="cellIs" dxfId="10249" priority="10962" operator="equal">
      <formula>"CL-H"</formula>
    </cfRule>
    <cfRule type="cellIs" dxfId="10248" priority="10963" operator="equal">
      <formula>"EL-H"</formula>
    </cfRule>
    <cfRule type="cellIs" dxfId="10247" priority="10964" operator="equal">
      <formula>"CL"</formula>
    </cfRule>
    <cfRule type="cellIs" dxfId="10246" priority="10965" operator="equal">
      <formula>"EL"</formula>
    </cfRule>
  </conditionalFormatting>
  <conditionalFormatting sqref="AE26">
    <cfRule type="containsText" dxfId="10245" priority="10954" operator="containsText" text="S">
      <formula>NOT(ISERROR(SEARCH("S",AE26)))</formula>
    </cfRule>
    <cfRule type="containsText" dxfId="10244" priority="10955" operator="containsText" text="P">
      <formula>NOT(ISERROR(SEARCH("P",AE26)))</formula>
    </cfRule>
    <cfRule type="containsText" dxfId="10243" priority="10956" operator="containsText" text="H">
      <formula>NOT(ISERROR(SEARCH("H",AE26)))</formula>
    </cfRule>
    <cfRule type="containsText" dxfId="10242" priority="10958" operator="containsText" text="&quot;H&quot;">
      <formula>NOT(ISERROR(SEARCH("""H""",AE26)))</formula>
    </cfRule>
    <cfRule type="containsText" dxfId="10241" priority="10959" operator="containsText" text="&quot;A&quot;">
      <formula>NOT(ISERROR(SEARCH("""A""",AE26)))</formula>
    </cfRule>
  </conditionalFormatting>
  <conditionalFormatting sqref="AE26">
    <cfRule type="containsText" dxfId="10240" priority="10957" operator="containsText" text="A-H">
      <formula>NOT(ISERROR(SEARCH("A-H",AE26)))</formula>
    </cfRule>
  </conditionalFormatting>
  <conditionalFormatting sqref="AK26:AL26">
    <cfRule type="cellIs" dxfId="10239" priority="10948" operator="equal">
      <formula>"C-Off-H"</formula>
    </cfRule>
    <cfRule type="cellIs" dxfId="10238" priority="10949" operator="equal">
      <formula>"C-Off"</formula>
    </cfRule>
    <cfRule type="cellIs" dxfId="10237" priority="10950" operator="equal">
      <formula>"CL-H"</formula>
    </cfRule>
    <cfRule type="cellIs" dxfId="10236" priority="10951" operator="equal">
      <formula>"EL-H"</formula>
    </cfRule>
    <cfRule type="cellIs" dxfId="10235" priority="10952" operator="equal">
      <formula>"CL"</formula>
    </cfRule>
    <cfRule type="cellIs" dxfId="10234" priority="10953" operator="equal">
      <formula>"EL"</formula>
    </cfRule>
  </conditionalFormatting>
  <conditionalFormatting sqref="AK26:AL26">
    <cfRule type="containsText" dxfId="10233" priority="10942" operator="containsText" text="S">
      <formula>NOT(ISERROR(SEARCH("S",AK26)))</formula>
    </cfRule>
    <cfRule type="containsText" dxfId="10232" priority="10943" operator="containsText" text="P">
      <formula>NOT(ISERROR(SEARCH("P",AK26)))</formula>
    </cfRule>
    <cfRule type="containsText" dxfId="10231" priority="10944" operator="containsText" text="H">
      <formula>NOT(ISERROR(SEARCH("H",AK26)))</formula>
    </cfRule>
    <cfRule type="containsText" dxfId="10230" priority="10946" operator="containsText" text="&quot;H&quot;">
      <formula>NOT(ISERROR(SEARCH("""H""",AK26)))</formula>
    </cfRule>
    <cfRule type="containsText" dxfId="10229" priority="10947" operator="containsText" text="&quot;A&quot;">
      <formula>NOT(ISERROR(SEARCH("""A""",AK26)))</formula>
    </cfRule>
  </conditionalFormatting>
  <conditionalFormatting sqref="AK26:AL26">
    <cfRule type="containsText" dxfId="10228" priority="10945" operator="containsText" text="A-H">
      <formula>NOT(ISERROR(SEARCH("A-H",AK26)))</formula>
    </cfRule>
  </conditionalFormatting>
  <conditionalFormatting sqref="AN26:AO26">
    <cfRule type="cellIs" dxfId="10227" priority="10936" operator="equal">
      <formula>"C-Off-H"</formula>
    </cfRule>
    <cfRule type="cellIs" dxfId="10226" priority="10937" operator="equal">
      <formula>"C-Off"</formula>
    </cfRule>
    <cfRule type="cellIs" dxfId="10225" priority="10938" operator="equal">
      <formula>"CL-H"</formula>
    </cfRule>
    <cfRule type="cellIs" dxfId="10224" priority="10939" operator="equal">
      <formula>"EL-H"</formula>
    </cfRule>
    <cfRule type="cellIs" dxfId="10223" priority="10940" operator="equal">
      <formula>"CL"</formula>
    </cfRule>
    <cfRule type="cellIs" dxfId="10222" priority="10941" operator="equal">
      <formula>"EL"</formula>
    </cfRule>
  </conditionalFormatting>
  <conditionalFormatting sqref="AN26:AO26">
    <cfRule type="containsText" dxfId="10221" priority="10930" operator="containsText" text="S">
      <formula>NOT(ISERROR(SEARCH("S",AN26)))</formula>
    </cfRule>
    <cfRule type="containsText" dxfId="10220" priority="10931" operator="containsText" text="P">
      <formula>NOT(ISERROR(SEARCH("P",AN26)))</formula>
    </cfRule>
    <cfRule type="containsText" dxfId="10219" priority="10932" operator="containsText" text="H">
      <formula>NOT(ISERROR(SEARCH("H",AN26)))</formula>
    </cfRule>
    <cfRule type="containsText" dxfId="10218" priority="10934" operator="containsText" text="&quot;H&quot;">
      <formula>NOT(ISERROR(SEARCH("""H""",AN26)))</formula>
    </cfRule>
    <cfRule type="containsText" dxfId="10217" priority="10935" operator="containsText" text="&quot;A&quot;">
      <formula>NOT(ISERROR(SEARCH("""A""",AN26)))</formula>
    </cfRule>
  </conditionalFormatting>
  <conditionalFormatting sqref="AN26:AO26">
    <cfRule type="containsText" dxfId="10216" priority="10933" operator="containsText" text="A-H">
      <formula>NOT(ISERROR(SEARCH("A-H",AN26)))</formula>
    </cfRule>
  </conditionalFormatting>
  <conditionalFormatting sqref="AQ26:AR26">
    <cfRule type="cellIs" dxfId="10215" priority="10924" operator="equal">
      <formula>"C-Off-H"</formula>
    </cfRule>
    <cfRule type="cellIs" dxfId="10214" priority="10925" operator="equal">
      <formula>"C-Off"</formula>
    </cfRule>
    <cfRule type="cellIs" dxfId="10213" priority="10926" operator="equal">
      <formula>"CL-H"</formula>
    </cfRule>
    <cfRule type="cellIs" dxfId="10212" priority="10927" operator="equal">
      <formula>"EL-H"</formula>
    </cfRule>
    <cfRule type="cellIs" dxfId="10211" priority="10928" operator="equal">
      <formula>"CL"</formula>
    </cfRule>
    <cfRule type="cellIs" dxfId="10210" priority="10929" operator="equal">
      <formula>"EL"</formula>
    </cfRule>
  </conditionalFormatting>
  <conditionalFormatting sqref="AQ26:AR26">
    <cfRule type="containsText" dxfId="10209" priority="10918" operator="containsText" text="S">
      <formula>NOT(ISERROR(SEARCH("S",AQ26)))</formula>
    </cfRule>
    <cfRule type="containsText" dxfId="10208" priority="10919" operator="containsText" text="P">
      <formula>NOT(ISERROR(SEARCH("P",AQ26)))</formula>
    </cfRule>
    <cfRule type="containsText" dxfId="10207" priority="10920" operator="containsText" text="H">
      <formula>NOT(ISERROR(SEARCH("H",AQ26)))</formula>
    </cfRule>
    <cfRule type="containsText" dxfId="10206" priority="10922" operator="containsText" text="&quot;H&quot;">
      <formula>NOT(ISERROR(SEARCH("""H""",AQ26)))</formula>
    </cfRule>
    <cfRule type="containsText" dxfId="10205" priority="10923" operator="containsText" text="&quot;A&quot;">
      <formula>NOT(ISERROR(SEARCH("""A""",AQ26)))</formula>
    </cfRule>
  </conditionalFormatting>
  <conditionalFormatting sqref="AQ26:AR26">
    <cfRule type="containsText" dxfId="10204" priority="10921" operator="containsText" text="A-H">
      <formula>NOT(ISERROR(SEARCH("A-H",AQ26)))</formula>
    </cfRule>
  </conditionalFormatting>
  <conditionalFormatting sqref="AW26:AX26">
    <cfRule type="cellIs" dxfId="10203" priority="10912" operator="equal">
      <formula>"C-Off-H"</formula>
    </cfRule>
    <cfRule type="cellIs" dxfId="10202" priority="10913" operator="equal">
      <formula>"C-Off"</formula>
    </cfRule>
    <cfRule type="cellIs" dxfId="10201" priority="10914" operator="equal">
      <formula>"CL-H"</formula>
    </cfRule>
    <cfRule type="cellIs" dxfId="10200" priority="10915" operator="equal">
      <formula>"EL-H"</formula>
    </cfRule>
    <cfRule type="cellIs" dxfId="10199" priority="10916" operator="equal">
      <formula>"CL"</formula>
    </cfRule>
    <cfRule type="cellIs" dxfId="10198" priority="10917" operator="equal">
      <formula>"EL"</formula>
    </cfRule>
  </conditionalFormatting>
  <conditionalFormatting sqref="AW26:AX26">
    <cfRule type="containsText" dxfId="10197" priority="10906" operator="containsText" text="S">
      <formula>NOT(ISERROR(SEARCH("S",AW26)))</formula>
    </cfRule>
    <cfRule type="containsText" dxfId="10196" priority="10907" operator="containsText" text="P">
      <formula>NOT(ISERROR(SEARCH("P",AW26)))</formula>
    </cfRule>
    <cfRule type="containsText" dxfId="10195" priority="10908" operator="containsText" text="H">
      <formula>NOT(ISERROR(SEARCH("H",AW26)))</formula>
    </cfRule>
    <cfRule type="containsText" dxfId="10194" priority="10910" operator="containsText" text="&quot;H&quot;">
      <formula>NOT(ISERROR(SEARCH("""H""",AW26)))</formula>
    </cfRule>
    <cfRule type="containsText" dxfId="10193" priority="10911" operator="containsText" text="&quot;A&quot;">
      <formula>NOT(ISERROR(SEARCH("""A""",AW26)))</formula>
    </cfRule>
  </conditionalFormatting>
  <conditionalFormatting sqref="AW26:AX26">
    <cfRule type="containsText" dxfId="10192" priority="10909" operator="containsText" text="A-H">
      <formula>NOT(ISERROR(SEARCH("A-H",AW26)))</formula>
    </cfRule>
  </conditionalFormatting>
  <conditionalFormatting sqref="AZ26:BA26">
    <cfRule type="cellIs" dxfId="10191" priority="10900" operator="equal">
      <formula>"C-Off-H"</formula>
    </cfRule>
    <cfRule type="cellIs" dxfId="10190" priority="10901" operator="equal">
      <formula>"C-Off"</formula>
    </cfRule>
    <cfRule type="cellIs" dxfId="10189" priority="10902" operator="equal">
      <formula>"CL-H"</formula>
    </cfRule>
    <cfRule type="cellIs" dxfId="10188" priority="10903" operator="equal">
      <formula>"EL-H"</formula>
    </cfRule>
    <cfRule type="cellIs" dxfId="10187" priority="10904" operator="equal">
      <formula>"CL"</formula>
    </cfRule>
    <cfRule type="cellIs" dxfId="10186" priority="10905" operator="equal">
      <formula>"EL"</formula>
    </cfRule>
  </conditionalFormatting>
  <conditionalFormatting sqref="AZ26:BA26">
    <cfRule type="containsText" dxfId="10185" priority="10894" operator="containsText" text="S">
      <formula>NOT(ISERROR(SEARCH("S",AZ26)))</formula>
    </cfRule>
    <cfRule type="containsText" dxfId="10184" priority="10895" operator="containsText" text="P">
      <formula>NOT(ISERROR(SEARCH("P",AZ26)))</formula>
    </cfRule>
    <cfRule type="containsText" dxfId="10183" priority="10896" operator="containsText" text="H">
      <formula>NOT(ISERROR(SEARCH("H",AZ26)))</formula>
    </cfRule>
    <cfRule type="containsText" dxfId="10182" priority="10898" operator="containsText" text="&quot;H&quot;">
      <formula>NOT(ISERROR(SEARCH("""H""",AZ26)))</formula>
    </cfRule>
    <cfRule type="containsText" dxfId="10181" priority="10899" operator="containsText" text="&quot;A&quot;">
      <formula>NOT(ISERROR(SEARCH("""A""",AZ26)))</formula>
    </cfRule>
  </conditionalFormatting>
  <conditionalFormatting sqref="AZ26:BA26">
    <cfRule type="containsText" dxfId="10180" priority="10897" operator="containsText" text="A-H">
      <formula>NOT(ISERROR(SEARCH("A-H",AZ26)))</formula>
    </cfRule>
  </conditionalFormatting>
  <conditionalFormatting sqref="BC26:BD26">
    <cfRule type="cellIs" dxfId="10179" priority="10888" operator="equal">
      <formula>"C-Off-H"</formula>
    </cfRule>
    <cfRule type="cellIs" dxfId="10178" priority="10889" operator="equal">
      <formula>"C-Off"</formula>
    </cfRule>
    <cfRule type="cellIs" dxfId="10177" priority="10890" operator="equal">
      <formula>"CL-H"</formula>
    </cfRule>
    <cfRule type="cellIs" dxfId="10176" priority="10891" operator="equal">
      <formula>"EL-H"</formula>
    </cfRule>
    <cfRule type="cellIs" dxfId="10175" priority="10892" operator="equal">
      <formula>"CL"</formula>
    </cfRule>
    <cfRule type="cellIs" dxfId="10174" priority="10893" operator="equal">
      <formula>"EL"</formula>
    </cfRule>
  </conditionalFormatting>
  <conditionalFormatting sqref="BC26:BD26">
    <cfRule type="containsText" dxfId="10173" priority="10882" operator="containsText" text="S">
      <formula>NOT(ISERROR(SEARCH("S",BC26)))</formula>
    </cfRule>
    <cfRule type="containsText" dxfId="10172" priority="10883" operator="containsText" text="P">
      <formula>NOT(ISERROR(SEARCH("P",BC26)))</formula>
    </cfRule>
    <cfRule type="containsText" dxfId="10171" priority="10884" operator="containsText" text="H">
      <formula>NOT(ISERROR(SEARCH("H",BC26)))</formula>
    </cfRule>
    <cfRule type="containsText" dxfId="10170" priority="10886" operator="containsText" text="&quot;H&quot;">
      <formula>NOT(ISERROR(SEARCH("""H""",BC26)))</formula>
    </cfRule>
    <cfRule type="containsText" dxfId="10169" priority="10887" operator="containsText" text="&quot;A&quot;">
      <formula>NOT(ISERROR(SEARCH("""A""",BC26)))</formula>
    </cfRule>
  </conditionalFormatting>
  <conditionalFormatting sqref="BC26:BD26">
    <cfRule type="containsText" dxfId="10168" priority="10885" operator="containsText" text="A-H">
      <formula>NOT(ISERROR(SEARCH("A-H",BC26)))</formula>
    </cfRule>
  </conditionalFormatting>
  <conditionalFormatting sqref="BF26:BG26">
    <cfRule type="cellIs" dxfId="10167" priority="10876" operator="equal">
      <formula>"C-Off-H"</formula>
    </cfRule>
    <cfRule type="cellIs" dxfId="10166" priority="10877" operator="equal">
      <formula>"C-Off"</formula>
    </cfRule>
    <cfRule type="cellIs" dxfId="10165" priority="10878" operator="equal">
      <formula>"CL-H"</formula>
    </cfRule>
    <cfRule type="cellIs" dxfId="10164" priority="10879" operator="equal">
      <formula>"EL-H"</formula>
    </cfRule>
    <cfRule type="cellIs" dxfId="10163" priority="10880" operator="equal">
      <formula>"CL"</formula>
    </cfRule>
    <cfRule type="cellIs" dxfId="10162" priority="10881" operator="equal">
      <formula>"EL"</formula>
    </cfRule>
  </conditionalFormatting>
  <conditionalFormatting sqref="BF26:BG26">
    <cfRule type="containsText" dxfId="10161" priority="10870" operator="containsText" text="S">
      <formula>NOT(ISERROR(SEARCH("S",BF26)))</formula>
    </cfRule>
    <cfRule type="containsText" dxfId="10160" priority="10871" operator="containsText" text="P">
      <formula>NOT(ISERROR(SEARCH("P",BF26)))</formula>
    </cfRule>
    <cfRule type="containsText" dxfId="10159" priority="10872" operator="containsText" text="H">
      <formula>NOT(ISERROR(SEARCH("H",BF26)))</formula>
    </cfRule>
    <cfRule type="containsText" dxfId="10158" priority="10874" operator="containsText" text="&quot;H&quot;">
      <formula>NOT(ISERROR(SEARCH("""H""",BF26)))</formula>
    </cfRule>
    <cfRule type="containsText" dxfId="10157" priority="10875" operator="containsText" text="&quot;A&quot;">
      <formula>NOT(ISERROR(SEARCH("""A""",BF26)))</formula>
    </cfRule>
  </conditionalFormatting>
  <conditionalFormatting sqref="BF26:BG26">
    <cfRule type="containsText" dxfId="10156" priority="10873" operator="containsText" text="A-H">
      <formula>NOT(ISERROR(SEARCH("A-H",BF26)))</formula>
    </cfRule>
  </conditionalFormatting>
  <conditionalFormatting sqref="BI26:BJ26">
    <cfRule type="cellIs" dxfId="10155" priority="10864" operator="equal">
      <formula>"C-Off-H"</formula>
    </cfRule>
    <cfRule type="cellIs" dxfId="10154" priority="10865" operator="equal">
      <formula>"C-Off"</formula>
    </cfRule>
    <cfRule type="cellIs" dxfId="10153" priority="10866" operator="equal">
      <formula>"CL-H"</formula>
    </cfRule>
    <cfRule type="cellIs" dxfId="10152" priority="10867" operator="equal">
      <formula>"EL-H"</formula>
    </cfRule>
    <cfRule type="cellIs" dxfId="10151" priority="10868" operator="equal">
      <formula>"CL"</formula>
    </cfRule>
    <cfRule type="cellIs" dxfId="10150" priority="10869" operator="equal">
      <formula>"EL"</formula>
    </cfRule>
  </conditionalFormatting>
  <conditionalFormatting sqref="BI26:BJ26">
    <cfRule type="containsText" dxfId="10149" priority="10858" operator="containsText" text="S">
      <formula>NOT(ISERROR(SEARCH("S",BI26)))</formula>
    </cfRule>
    <cfRule type="containsText" dxfId="10148" priority="10859" operator="containsText" text="P">
      <formula>NOT(ISERROR(SEARCH("P",BI26)))</formula>
    </cfRule>
    <cfRule type="containsText" dxfId="10147" priority="10860" operator="containsText" text="H">
      <formula>NOT(ISERROR(SEARCH("H",BI26)))</formula>
    </cfRule>
    <cfRule type="containsText" dxfId="10146" priority="10862" operator="containsText" text="&quot;H&quot;">
      <formula>NOT(ISERROR(SEARCH("""H""",BI26)))</formula>
    </cfRule>
    <cfRule type="containsText" dxfId="10145" priority="10863" operator="containsText" text="&quot;A&quot;">
      <formula>NOT(ISERROR(SEARCH("""A""",BI26)))</formula>
    </cfRule>
  </conditionalFormatting>
  <conditionalFormatting sqref="BI26:BJ26">
    <cfRule type="containsText" dxfId="10144" priority="10861" operator="containsText" text="A-H">
      <formula>NOT(ISERROR(SEARCH("A-H",BI26)))</formula>
    </cfRule>
  </conditionalFormatting>
  <conditionalFormatting sqref="BL26:BM26">
    <cfRule type="cellIs" dxfId="10143" priority="10852" operator="equal">
      <formula>"C-Off-H"</formula>
    </cfRule>
    <cfRule type="cellIs" dxfId="10142" priority="10853" operator="equal">
      <formula>"C-Off"</formula>
    </cfRule>
    <cfRule type="cellIs" dxfId="10141" priority="10854" operator="equal">
      <formula>"CL-H"</formula>
    </cfRule>
    <cfRule type="cellIs" dxfId="10140" priority="10855" operator="equal">
      <formula>"EL-H"</formula>
    </cfRule>
    <cfRule type="cellIs" dxfId="10139" priority="10856" operator="equal">
      <formula>"CL"</formula>
    </cfRule>
    <cfRule type="cellIs" dxfId="10138" priority="10857" operator="equal">
      <formula>"EL"</formula>
    </cfRule>
  </conditionalFormatting>
  <conditionalFormatting sqref="BL26:BM26">
    <cfRule type="containsText" dxfId="10137" priority="10846" operator="containsText" text="S">
      <formula>NOT(ISERROR(SEARCH("S",BL26)))</formula>
    </cfRule>
    <cfRule type="containsText" dxfId="10136" priority="10847" operator="containsText" text="P">
      <formula>NOT(ISERROR(SEARCH("P",BL26)))</formula>
    </cfRule>
    <cfRule type="containsText" dxfId="10135" priority="10848" operator="containsText" text="H">
      <formula>NOT(ISERROR(SEARCH("H",BL26)))</formula>
    </cfRule>
    <cfRule type="containsText" dxfId="10134" priority="10850" operator="containsText" text="&quot;H&quot;">
      <formula>NOT(ISERROR(SEARCH("""H""",BL26)))</formula>
    </cfRule>
    <cfRule type="containsText" dxfId="10133" priority="10851" operator="containsText" text="&quot;A&quot;">
      <formula>NOT(ISERROR(SEARCH("""A""",BL26)))</formula>
    </cfRule>
  </conditionalFormatting>
  <conditionalFormatting sqref="BL26:BM26">
    <cfRule type="containsText" dxfId="10132" priority="10849" operator="containsText" text="A-H">
      <formula>NOT(ISERROR(SEARCH("A-H",BL26)))</formula>
    </cfRule>
  </conditionalFormatting>
  <conditionalFormatting sqref="BR26:BS26">
    <cfRule type="cellIs" dxfId="10131" priority="10840" operator="equal">
      <formula>"C-Off-H"</formula>
    </cfRule>
    <cfRule type="cellIs" dxfId="10130" priority="10841" operator="equal">
      <formula>"C-Off"</formula>
    </cfRule>
    <cfRule type="cellIs" dxfId="10129" priority="10842" operator="equal">
      <formula>"CL-H"</formula>
    </cfRule>
    <cfRule type="cellIs" dxfId="10128" priority="10843" operator="equal">
      <formula>"EL-H"</formula>
    </cfRule>
    <cfRule type="cellIs" dxfId="10127" priority="10844" operator="equal">
      <formula>"CL"</formula>
    </cfRule>
    <cfRule type="cellIs" dxfId="10126" priority="10845" operator="equal">
      <formula>"EL"</formula>
    </cfRule>
  </conditionalFormatting>
  <conditionalFormatting sqref="BR26:BS26">
    <cfRule type="containsText" dxfId="10125" priority="10834" operator="containsText" text="S">
      <formula>NOT(ISERROR(SEARCH("S",BR26)))</formula>
    </cfRule>
    <cfRule type="containsText" dxfId="10124" priority="10835" operator="containsText" text="P">
      <formula>NOT(ISERROR(SEARCH("P",BR26)))</formula>
    </cfRule>
    <cfRule type="containsText" dxfId="10123" priority="10836" operator="containsText" text="H">
      <formula>NOT(ISERROR(SEARCH("H",BR26)))</formula>
    </cfRule>
    <cfRule type="containsText" dxfId="10122" priority="10838" operator="containsText" text="&quot;H&quot;">
      <formula>NOT(ISERROR(SEARCH("""H""",BR26)))</formula>
    </cfRule>
    <cfRule type="containsText" dxfId="10121" priority="10839" operator="containsText" text="&quot;A&quot;">
      <formula>NOT(ISERROR(SEARCH("""A""",BR26)))</formula>
    </cfRule>
  </conditionalFormatting>
  <conditionalFormatting sqref="BR26:BS26">
    <cfRule type="containsText" dxfId="10120" priority="10837" operator="containsText" text="A-H">
      <formula>NOT(ISERROR(SEARCH("A-H",BR26)))</formula>
    </cfRule>
  </conditionalFormatting>
  <conditionalFormatting sqref="BU26:BV26">
    <cfRule type="cellIs" dxfId="10119" priority="10828" operator="equal">
      <formula>"C-Off-H"</formula>
    </cfRule>
    <cfRule type="cellIs" dxfId="10118" priority="10829" operator="equal">
      <formula>"C-Off"</formula>
    </cfRule>
    <cfRule type="cellIs" dxfId="10117" priority="10830" operator="equal">
      <formula>"CL-H"</formula>
    </cfRule>
    <cfRule type="cellIs" dxfId="10116" priority="10831" operator="equal">
      <formula>"EL-H"</formula>
    </cfRule>
    <cfRule type="cellIs" dxfId="10115" priority="10832" operator="equal">
      <formula>"CL"</formula>
    </cfRule>
    <cfRule type="cellIs" dxfId="10114" priority="10833" operator="equal">
      <formula>"EL"</formula>
    </cfRule>
  </conditionalFormatting>
  <conditionalFormatting sqref="BU26:BV26">
    <cfRule type="containsText" dxfId="10113" priority="10822" operator="containsText" text="S">
      <formula>NOT(ISERROR(SEARCH("S",BU26)))</formula>
    </cfRule>
    <cfRule type="containsText" dxfId="10112" priority="10823" operator="containsText" text="P">
      <formula>NOT(ISERROR(SEARCH("P",BU26)))</formula>
    </cfRule>
    <cfRule type="containsText" dxfId="10111" priority="10824" operator="containsText" text="H">
      <formula>NOT(ISERROR(SEARCH("H",BU26)))</formula>
    </cfRule>
    <cfRule type="containsText" dxfId="10110" priority="10826" operator="containsText" text="&quot;H&quot;">
      <formula>NOT(ISERROR(SEARCH("""H""",BU26)))</formula>
    </cfRule>
    <cfRule type="containsText" dxfId="10109" priority="10827" operator="containsText" text="&quot;A&quot;">
      <formula>NOT(ISERROR(SEARCH("""A""",BU26)))</formula>
    </cfRule>
  </conditionalFormatting>
  <conditionalFormatting sqref="BU26:BV26">
    <cfRule type="containsText" dxfId="10108" priority="10825" operator="containsText" text="A-H">
      <formula>NOT(ISERROR(SEARCH("A-H",BU26)))</formula>
    </cfRule>
  </conditionalFormatting>
  <conditionalFormatting sqref="BY26">
    <cfRule type="cellIs" dxfId="10107" priority="10816" operator="equal">
      <formula>"C-Off-H"</formula>
    </cfRule>
    <cfRule type="cellIs" dxfId="10106" priority="10817" operator="equal">
      <formula>"C-Off"</formula>
    </cfRule>
    <cfRule type="cellIs" dxfId="10105" priority="10818" operator="equal">
      <formula>"CL-H"</formula>
    </cfRule>
    <cfRule type="cellIs" dxfId="10104" priority="10819" operator="equal">
      <formula>"EL-H"</formula>
    </cfRule>
    <cfRule type="cellIs" dxfId="10103" priority="10820" operator="equal">
      <formula>"CL"</formula>
    </cfRule>
    <cfRule type="cellIs" dxfId="10102" priority="10821" operator="equal">
      <formula>"EL"</formula>
    </cfRule>
  </conditionalFormatting>
  <conditionalFormatting sqref="BY26">
    <cfRule type="containsText" dxfId="10101" priority="10810" operator="containsText" text="S">
      <formula>NOT(ISERROR(SEARCH("S",BY26)))</formula>
    </cfRule>
    <cfRule type="containsText" dxfId="10100" priority="10811" operator="containsText" text="P">
      <formula>NOT(ISERROR(SEARCH("P",BY26)))</formula>
    </cfRule>
    <cfRule type="containsText" dxfId="10099" priority="10812" operator="containsText" text="H">
      <formula>NOT(ISERROR(SEARCH("H",BY26)))</formula>
    </cfRule>
    <cfRule type="containsText" dxfId="10098" priority="10814" operator="containsText" text="&quot;H&quot;">
      <formula>NOT(ISERROR(SEARCH("""H""",BY26)))</formula>
    </cfRule>
    <cfRule type="containsText" dxfId="10097" priority="10815" operator="containsText" text="&quot;A&quot;">
      <formula>NOT(ISERROR(SEARCH("""A""",BY26)))</formula>
    </cfRule>
  </conditionalFormatting>
  <conditionalFormatting sqref="BY26">
    <cfRule type="containsText" dxfId="10096" priority="10813" operator="containsText" text="A-H">
      <formula>NOT(ISERROR(SEARCH("A-H",BY26)))</formula>
    </cfRule>
  </conditionalFormatting>
  <conditionalFormatting sqref="BX26">
    <cfRule type="cellIs" dxfId="10095" priority="10804" operator="equal">
      <formula>"C-Off-H"</formula>
    </cfRule>
    <cfRule type="cellIs" dxfId="10094" priority="10805" operator="equal">
      <formula>"C-Off"</formula>
    </cfRule>
    <cfRule type="cellIs" dxfId="10093" priority="10806" operator="equal">
      <formula>"CL-H"</formula>
    </cfRule>
    <cfRule type="cellIs" dxfId="10092" priority="10807" operator="equal">
      <formula>"EL-H"</formula>
    </cfRule>
    <cfRule type="cellIs" dxfId="10091" priority="10808" operator="equal">
      <formula>"CL"</formula>
    </cfRule>
    <cfRule type="cellIs" dxfId="10090" priority="10809" operator="equal">
      <formula>"EL"</formula>
    </cfRule>
  </conditionalFormatting>
  <conditionalFormatting sqref="BX26">
    <cfRule type="containsText" dxfId="10089" priority="10798" operator="containsText" text="S">
      <formula>NOT(ISERROR(SEARCH("S",BX26)))</formula>
    </cfRule>
    <cfRule type="containsText" dxfId="10088" priority="10799" operator="containsText" text="P">
      <formula>NOT(ISERROR(SEARCH("P",BX26)))</formula>
    </cfRule>
    <cfRule type="containsText" dxfId="10087" priority="10800" operator="containsText" text="H">
      <formula>NOT(ISERROR(SEARCH("H",BX26)))</formula>
    </cfRule>
    <cfRule type="containsText" dxfId="10086" priority="10802" operator="containsText" text="&quot;H&quot;">
      <formula>NOT(ISERROR(SEARCH("""H""",BX26)))</formula>
    </cfRule>
    <cfRule type="containsText" dxfId="10085" priority="10803" operator="containsText" text="&quot;A&quot;">
      <formula>NOT(ISERROR(SEARCH("""A""",BX26)))</formula>
    </cfRule>
  </conditionalFormatting>
  <conditionalFormatting sqref="BX26">
    <cfRule type="containsText" dxfId="10084" priority="10801" operator="containsText" text="A-H">
      <formula>NOT(ISERROR(SEARCH("A-H",BX26)))</formula>
    </cfRule>
  </conditionalFormatting>
  <conditionalFormatting sqref="J26:K26">
    <cfRule type="cellIs" dxfId="10083" priority="10792" operator="equal">
      <formula>"C-Off-H"</formula>
    </cfRule>
    <cfRule type="cellIs" dxfId="10082" priority="10793" operator="equal">
      <formula>"C-Off"</formula>
    </cfRule>
    <cfRule type="cellIs" dxfId="10081" priority="10794" operator="equal">
      <formula>"CL-H"</formula>
    </cfRule>
    <cfRule type="cellIs" dxfId="10080" priority="10795" operator="equal">
      <formula>"EL-H"</formula>
    </cfRule>
    <cfRule type="cellIs" dxfId="10079" priority="10796" operator="equal">
      <formula>"CL"</formula>
    </cfRule>
    <cfRule type="cellIs" dxfId="10078" priority="10797" operator="equal">
      <formula>"EL"</formula>
    </cfRule>
  </conditionalFormatting>
  <conditionalFormatting sqref="J26:K26">
    <cfRule type="containsText" dxfId="10077" priority="10786" operator="containsText" text="S">
      <formula>NOT(ISERROR(SEARCH("S",J26)))</formula>
    </cfRule>
    <cfRule type="containsText" dxfId="10076" priority="10787" operator="containsText" text="P">
      <formula>NOT(ISERROR(SEARCH("P",J26)))</formula>
    </cfRule>
    <cfRule type="containsText" dxfId="10075" priority="10788" operator="containsText" text="H">
      <formula>NOT(ISERROR(SEARCH("H",J26)))</formula>
    </cfRule>
    <cfRule type="containsText" dxfId="10074" priority="10790" operator="containsText" text="&quot;H&quot;">
      <formula>NOT(ISERROR(SEARCH("""H""",J26)))</formula>
    </cfRule>
    <cfRule type="containsText" dxfId="10073" priority="10791" operator="containsText" text="&quot;A&quot;">
      <formula>NOT(ISERROR(SEARCH("""A""",J26)))</formula>
    </cfRule>
  </conditionalFormatting>
  <conditionalFormatting sqref="J26:K26">
    <cfRule type="containsText" dxfId="10072" priority="10789" operator="containsText" text="A-H">
      <formula>NOT(ISERROR(SEARCH("A-H",J26)))</formula>
    </cfRule>
  </conditionalFormatting>
  <conditionalFormatting sqref="M24:N24 DC24 CQ24:CW24">
    <cfRule type="cellIs" dxfId="10071" priority="10780" operator="equal">
      <formula>"C-Off-H"</formula>
    </cfRule>
    <cfRule type="cellIs" dxfId="10070" priority="10781" operator="equal">
      <formula>"C-Off"</formula>
    </cfRule>
    <cfRule type="cellIs" dxfId="10069" priority="10782" operator="equal">
      <formula>"CL-H"</formula>
    </cfRule>
    <cfRule type="cellIs" dxfId="10068" priority="10783" operator="equal">
      <formula>"EL-H"</formula>
    </cfRule>
    <cfRule type="cellIs" dxfId="10067" priority="10784" operator="equal">
      <formula>"CL"</formula>
    </cfRule>
    <cfRule type="cellIs" dxfId="10066" priority="10785" operator="equal">
      <formula>"EL"</formula>
    </cfRule>
  </conditionalFormatting>
  <conditionalFormatting sqref="M24:N24 DC24 CQ24:CW24 CY24:DA24">
    <cfRule type="containsText" dxfId="10065" priority="10779" operator="containsText" text="A-H">
      <formula>NOT(ISERROR(SEARCH("A-H",M24)))</formula>
    </cfRule>
  </conditionalFormatting>
  <conditionalFormatting sqref="DC24 CQ24:CW24 CY24:DA24">
    <cfRule type="containsText" dxfId="10064" priority="10778" operator="containsText" text="A">
      <formula>NOT(ISERROR(SEARCH("A",CQ24)))</formula>
    </cfRule>
  </conditionalFormatting>
  <conditionalFormatting sqref="CY24 DA24">
    <cfRule type="cellIs" dxfId="10063" priority="10772" stopIfTrue="1" operator="equal">
      <formula>"C-Off-H"</formula>
    </cfRule>
    <cfRule type="cellIs" dxfId="10062" priority="10773" stopIfTrue="1" operator="equal">
      <formula>"C-Off"</formula>
    </cfRule>
    <cfRule type="cellIs" dxfId="10061" priority="10774" stopIfTrue="1" operator="equal">
      <formula>"CL-H"</formula>
    </cfRule>
    <cfRule type="cellIs" dxfId="10060" priority="10775" stopIfTrue="1" operator="equal">
      <formula>"EL-H"</formula>
    </cfRule>
    <cfRule type="cellIs" dxfId="10059" priority="10776" stopIfTrue="1" operator="equal">
      <formula>"CL"</formula>
    </cfRule>
    <cfRule type="cellIs" dxfId="10058" priority="10777" stopIfTrue="1" operator="equal">
      <formula>"EL"</formula>
    </cfRule>
  </conditionalFormatting>
  <conditionalFormatting sqref="CZ24">
    <cfRule type="cellIs" dxfId="10057" priority="10766" stopIfTrue="1" operator="equal">
      <formula>"C-Off-H"</formula>
    </cfRule>
    <cfRule type="cellIs" dxfId="10056" priority="10767" stopIfTrue="1" operator="equal">
      <formula>"C-Off"</formula>
    </cfRule>
    <cfRule type="cellIs" dxfId="10055" priority="10768" stopIfTrue="1" operator="equal">
      <formula>"CL-H"</formula>
    </cfRule>
    <cfRule type="cellIs" dxfId="10054" priority="10769" stopIfTrue="1" operator="equal">
      <formula>"EL-H"</formula>
    </cfRule>
    <cfRule type="cellIs" dxfId="10053" priority="10770" stopIfTrue="1" operator="equal">
      <formula>"CL"</formula>
    </cfRule>
    <cfRule type="cellIs" dxfId="10052" priority="10771" stopIfTrue="1" operator="equal">
      <formula>"EL"</formula>
    </cfRule>
  </conditionalFormatting>
  <conditionalFormatting sqref="M24:N24">
    <cfRule type="containsText" dxfId="10051" priority="10761" operator="containsText" text="S">
      <formula>NOT(ISERROR(SEARCH("S",M24)))</formula>
    </cfRule>
    <cfRule type="containsText" dxfId="10050" priority="10762" operator="containsText" text="P">
      <formula>NOT(ISERROR(SEARCH("P",M24)))</formula>
    </cfRule>
    <cfRule type="containsText" dxfId="10049" priority="10763" operator="containsText" text="H">
      <formula>NOT(ISERROR(SEARCH("H",M24)))</formula>
    </cfRule>
    <cfRule type="containsText" dxfId="10048" priority="10764" operator="containsText" text="&quot;H&quot;">
      <formula>NOT(ISERROR(SEARCH("""H""",M24)))</formula>
    </cfRule>
    <cfRule type="containsText" dxfId="10047" priority="10765" operator="containsText" text="&quot;A&quot;">
      <formula>NOT(ISERROR(SEARCH("""A""",M24)))</formula>
    </cfRule>
  </conditionalFormatting>
  <conditionalFormatting sqref="DD24">
    <cfRule type="cellIs" dxfId="10046" priority="10755" operator="equal">
      <formula>"C-Off-H"</formula>
    </cfRule>
    <cfRule type="cellIs" dxfId="10045" priority="10756" operator="equal">
      <formula>"C-Off"</formula>
    </cfRule>
    <cfRule type="cellIs" dxfId="10044" priority="10757" operator="equal">
      <formula>"CL-H"</formula>
    </cfRule>
    <cfRule type="cellIs" dxfId="10043" priority="10758" operator="equal">
      <formula>"EL-H"</formula>
    </cfRule>
    <cfRule type="cellIs" dxfId="10042" priority="10759" operator="equal">
      <formula>"CL"</formula>
    </cfRule>
    <cfRule type="cellIs" dxfId="10041" priority="10760" operator="equal">
      <formula>"EL"</formula>
    </cfRule>
  </conditionalFormatting>
  <conditionalFormatting sqref="DD24">
    <cfRule type="containsText" dxfId="10040" priority="10754" operator="containsText" text="A">
      <formula>NOT(ISERROR(SEARCH("A",DD24)))</formula>
    </cfRule>
  </conditionalFormatting>
  <conditionalFormatting sqref="DD24">
    <cfRule type="containsText" dxfId="10039" priority="10753" operator="containsText" text="A-H">
      <formula>NOT(ISERROR(SEARCH("A-H",DD24)))</formula>
    </cfRule>
  </conditionalFormatting>
  <conditionalFormatting sqref="AI24">
    <cfRule type="cellIs" dxfId="10038" priority="10747" operator="equal">
      <formula>"C-Off-H"</formula>
    </cfRule>
    <cfRule type="cellIs" dxfId="10037" priority="10748" operator="equal">
      <formula>"C-Off"</formula>
    </cfRule>
    <cfRule type="cellIs" dxfId="10036" priority="10749" operator="equal">
      <formula>"CL-H"</formula>
    </cfRule>
    <cfRule type="cellIs" dxfId="10035" priority="10750" operator="equal">
      <formula>"EL-H"</formula>
    </cfRule>
    <cfRule type="cellIs" dxfId="10034" priority="10751" operator="equal">
      <formula>"CL"</formula>
    </cfRule>
    <cfRule type="cellIs" dxfId="10033" priority="10752" operator="equal">
      <formula>"EL"</formula>
    </cfRule>
  </conditionalFormatting>
  <conditionalFormatting sqref="AH24:AI24">
    <cfRule type="cellIs" dxfId="10032" priority="10741" operator="equal">
      <formula>"C-Off-H"</formula>
    </cfRule>
    <cfRule type="cellIs" dxfId="10031" priority="10742" operator="equal">
      <formula>"C-Off"</formula>
    </cfRule>
    <cfRule type="cellIs" dxfId="10030" priority="10743" operator="equal">
      <formula>"CL-H"</formula>
    </cfRule>
    <cfRule type="cellIs" dxfId="10029" priority="10744" operator="equal">
      <formula>"EL-H"</formula>
    </cfRule>
    <cfRule type="cellIs" dxfId="10028" priority="10745" operator="equal">
      <formula>"CL"</formula>
    </cfRule>
    <cfRule type="cellIs" dxfId="10027" priority="10746" operator="equal">
      <formula>"EL"</formula>
    </cfRule>
  </conditionalFormatting>
  <conditionalFormatting sqref="AH24:AI24">
    <cfRule type="containsText" dxfId="10026" priority="10735" operator="containsText" text="S">
      <formula>NOT(ISERROR(SEARCH("S",AH24)))</formula>
    </cfRule>
    <cfRule type="containsText" dxfId="10025" priority="10736" operator="containsText" text="P">
      <formula>NOT(ISERROR(SEARCH("P",AH24)))</formula>
    </cfRule>
    <cfRule type="containsText" dxfId="10024" priority="10737" operator="containsText" text="H">
      <formula>NOT(ISERROR(SEARCH("H",AH24)))</formula>
    </cfRule>
    <cfRule type="containsText" dxfId="10023" priority="10739" operator="containsText" text="&quot;H&quot;">
      <formula>NOT(ISERROR(SEARCH("""H""",AH24)))</formula>
    </cfRule>
    <cfRule type="containsText" dxfId="10022" priority="10740" operator="containsText" text="&quot;A&quot;">
      <formula>NOT(ISERROR(SEARCH("""A""",AH24)))</formula>
    </cfRule>
  </conditionalFormatting>
  <conditionalFormatting sqref="AH24:AI24">
    <cfRule type="containsText" dxfId="10021" priority="10738" operator="containsText" text="A-H">
      <formula>NOT(ISERROR(SEARCH("A-H",AH24)))</formula>
    </cfRule>
  </conditionalFormatting>
  <conditionalFormatting sqref="AU24">
    <cfRule type="cellIs" dxfId="10020" priority="10729" operator="equal">
      <formula>"C-Off-H"</formula>
    </cfRule>
    <cfRule type="cellIs" dxfId="10019" priority="10730" operator="equal">
      <formula>"C-Off"</formula>
    </cfRule>
    <cfRule type="cellIs" dxfId="10018" priority="10731" operator="equal">
      <formula>"CL-H"</formula>
    </cfRule>
    <cfRule type="cellIs" dxfId="10017" priority="10732" operator="equal">
      <formula>"EL-H"</formula>
    </cfRule>
    <cfRule type="cellIs" dxfId="10016" priority="10733" operator="equal">
      <formula>"CL"</formula>
    </cfRule>
    <cfRule type="cellIs" dxfId="10015" priority="10734" operator="equal">
      <formula>"EL"</formula>
    </cfRule>
  </conditionalFormatting>
  <conditionalFormatting sqref="AT24:AU24">
    <cfRule type="cellIs" dxfId="10014" priority="10723" operator="equal">
      <formula>"C-Off-H"</formula>
    </cfRule>
    <cfRule type="cellIs" dxfId="10013" priority="10724" operator="equal">
      <formula>"C-Off"</formula>
    </cfRule>
    <cfRule type="cellIs" dxfId="10012" priority="10725" operator="equal">
      <formula>"CL-H"</formula>
    </cfRule>
    <cfRule type="cellIs" dxfId="10011" priority="10726" operator="equal">
      <formula>"EL-H"</formula>
    </cfRule>
    <cfRule type="cellIs" dxfId="10010" priority="10727" operator="equal">
      <formula>"CL"</formula>
    </cfRule>
    <cfRule type="cellIs" dxfId="10009" priority="10728" operator="equal">
      <formula>"EL"</formula>
    </cfRule>
  </conditionalFormatting>
  <conditionalFormatting sqref="AT24:AU24">
    <cfRule type="containsText" dxfId="10008" priority="10717" operator="containsText" text="S">
      <formula>NOT(ISERROR(SEARCH("S",AT24)))</formula>
    </cfRule>
    <cfRule type="containsText" dxfId="10007" priority="10718" operator="containsText" text="P">
      <formula>NOT(ISERROR(SEARCH("P",AT24)))</formula>
    </cfRule>
    <cfRule type="containsText" dxfId="10006" priority="10719" operator="containsText" text="H">
      <formula>NOT(ISERROR(SEARCH("H",AT24)))</formula>
    </cfRule>
    <cfRule type="containsText" dxfId="10005" priority="10721" operator="containsText" text="&quot;H&quot;">
      <formula>NOT(ISERROR(SEARCH("""H""",AT24)))</formula>
    </cfRule>
    <cfRule type="containsText" dxfId="10004" priority="10722" operator="containsText" text="&quot;A&quot;">
      <formula>NOT(ISERROR(SEARCH("""A""",AT24)))</formula>
    </cfRule>
  </conditionalFormatting>
  <conditionalFormatting sqref="AT24:AU24">
    <cfRule type="containsText" dxfId="10003" priority="10720" operator="containsText" text="A-H">
      <formula>NOT(ISERROR(SEARCH("A-H",AT24)))</formula>
    </cfRule>
  </conditionalFormatting>
  <conditionalFormatting sqref="E24">
    <cfRule type="cellIs" dxfId="10002" priority="10711" operator="equal">
      <formula>"C-Off-H"</formula>
    </cfRule>
    <cfRule type="cellIs" dxfId="10001" priority="10712" operator="equal">
      <formula>"C-Off"</formula>
    </cfRule>
    <cfRule type="cellIs" dxfId="10000" priority="10713" operator="equal">
      <formula>"CL-H"</formula>
    </cfRule>
    <cfRule type="cellIs" dxfId="9999" priority="10714" operator="equal">
      <formula>"EL-H"</formula>
    </cfRule>
    <cfRule type="cellIs" dxfId="9998" priority="10715" operator="equal">
      <formula>"CL"</formula>
    </cfRule>
    <cfRule type="cellIs" dxfId="9997" priority="10716" operator="equal">
      <formula>"EL"</formula>
    </cfRule>
  </conditionalFormatting>
  <conditionalFormatting sqref="D24:E24">
    <cfRule type="cellIs" dxfId="9996" priority="10705" operator="equal">
      <formula>"C-Off-H"</formula>
    </cfRule>
    <cfRule type="cellIs" dxfId="9995" priority="10706" operator="equal">
      <formula>"C-Off"</formula>
    </cfRule>
    <cfRule type="cellIs" dxfId="9994" priority="10707" operator="equal">
      <formula>"CL-H"</formula>
    </cfRule>
    <cfRule type="cellIs" dxfId="9993" priority="10708" operator="equal">
      <formula>"EL-H"</formula>
    </cfRule>
    <cfRule type="cellIs" dxfId="9992" priority="10709" operator="equal">
      <formula>"CL"</formula>
    </cfRule>
    <cfRule type="cellIs" dxfId="9991" priority="10710" operator="equal">
      <formula>"EL"</formula>
    </cfRule>
  </conditionalFormatting>
  <conditionalFormatting sqref="D24:E24">
    <cfRule type="containsText" dxfId="9990" priority="10699" operator="containsText" text="S">
      <formula>NOT(ISERROR(SEARCH("S",D24)))</formula>
    </cfRule>
    <cfRule type="containsText" dxfId="9989" priority="10700" operator="containsText" text="P">
      <formula>NOT(ISERROR(SEARCH("P",D24)))</formula>
    </cfRule>
    <cfRule type="containsText" dxfId="9988" priority="10701" operator="containsText" text="H">
      <formula>NOT(ISERROR(SEARCH("H",D24)))</formula>
    </cfRule>
    <cfRule type="containsText" dxfId="9987" priority="10703" operator="containsText" text="&quot;H&quot;">
      <formula>NOT(ISERROR(SEARCH("""H""",D24)))</formula>
    </cfRule>
    <cfRule type="containsText" dxfId="9986" priority="10704" operator="containsText" text="&quot;A&quot;">
      <formula>NOT(ISERROR(SEARCH("""A""",D24)))</formula>
    </cfRule>
  </conditionalFormatting>
  <conditionalFormatting sqref="D24:E24">
    <cfRule type="containsText" dxfId="9985" priority="10702" operator="containsText" text="A-H">
      <formula>NOT(ISERROR(SEARCH("A-H",D24)))</formula>
    </cfRule>
  </conditionalFormatting>
  <conditionalFormatting sqref="Y24">
    <cfRule type="cellIs" dxfId="9984" priority="10693" operator="equal">
      <formula>"C-Off-H"</formula>
    </cfRule>
    <cfRule type="cellIs" dxfId="9983" priority="10694" operator="equal">
      <formula>"C-Off"</formula>
    </cfRule>
    <cfRule type="cellIs" dxfId="9982" priority="10695" operator="equal">
      <formula>"CL-H"</formula>
    </cfRule>
    <cfRule type="cellIs" dxfId="9981" priority="10696" operator="equal">
      <formula>"EL-H"</formula>
    </cfRule>
    <cfRule type="cellIs" dxfId="9980" priority="10697" operator="equal">
      <formula>"CL"</formula>
    </cfRule>
    <cfRule type="cellIs" dxfId="9979" priority="10698" operator="equal">
      <formula>"EL"</formula>
    </cfRule>
  </conditionalFormatting>
  <conditionalFormatting sqref="Y24">
    <cfRule type="containsText" dxfId="9978" priority="10687" operator="containsText" text="S">
      <formula>NOT(ISERROR(SEARCH("S",Y24)))</formula>
    </cfRule>
    <cfRule type="containsText" dxfId="9977" priority="10688" operator="containsText" text="P">
      <formula>NOT(ISERROR(SEARCH("P",Y24)))</formula>
    </cfRule>
    <cfRule type="containsText" dxfId="9976" priority="10689" operator="containsText" text="H">
      <formula>NOT(ISERROR(SEARCH("H",Y24)))</formula>
    </cfRule>
    <cfRule type="containsText" dxfId="9975" priority="10691" operator="containsText" text="&quot;H&quot;">
      <formula>NOT(ISERROR(SEARCH("""H""",Y24)))</formula>
    </cfRule>
    <cfRule type="containsText" dxfId="9974" priority="10692" operator="containsText" text="&quot;A&quot;">
      <formula>NOT(ISERROR(SEARCH("""A""",Y24)))</formula>
    </cfRule>
  </conditionalFormatting>
  <conditionalFormatting sqref="Y24">
    <cfRule type="containsText" dxfId="9973" priority="10690" operator="containsText" text="A-H">
      <formula>NOT(ISERROR(SEARCH("A-H",Y24)))</formula>
    </cfRule>
  </conditionalFormatting>
  <conditionalFormatting sqref="AF24">
    <cfRule type="cellIs" dxfId="9972" priority="10681" operator="equal">
      <formula>"C-Off-H"</formula>
    </cfRule>
    <cfRule type="cellIs" dxfId="9971" priority="10682" operator="equal">
      <formula>"C-Off"</formula>
    </cfRule>
    <cfRule type="cellIs" dxfId="9970" priority="10683" operator="equal">
      <formula>"CL-H"</formula>
    </cfRule>
    <cfRule type="cellIs" dxfId="9969" priority="10684" operator="equal">
      <formula>"EL-H"</formula>
    </cfRule>
    <cfRule type="cellIs" dxfId="9968" priority="10685" operator="equal">
      <formula>"CL"</formula>
    </cfRule>
    <cfRule type="cellIs" dxfId="9967" priority="10686" operator="equal">
      <formula>"EL"</formula>
    </cfRule>
  </conditionalFormatting>
  <conditionalFormatting sqref="AF24">
    <cfRule type="containsText" dxfId="9966" priority="10675" operator="containsText" text="S">
      <formula>NOT(ISERROR(SEARCH("S",AF24)))</formula>
    </cfRule>
    <cfRule type="containsText" dxfId="9965" priority="10676" operator="containsText" text="P">
      <formula>NOT(ISERROR(SEARCH("P",AF24)))</formula>
    </cfRule>
    <cfRule type="containsText" dxfId="9964" priority="10677" operator="containsText" text="H">
      <formula>NOT(ISERROR(SEARCH("H",AF24)))</formula>
    </cfRule>
    <cfRule type="containsText" dxfId="9963" priority="10679" operator="containsText" text="&quot;H&quot;">
      <formula>NOT(ISERROR(SEARCH("""H""",AF24)))</formula>
    </cfRule>
    <cfRule type="containsText" dxfId="9962" priority="10680" operator="containsText" text="&quot;A&quot;">
      <formula>NOT(ISERROR(SEARCH("""A""",AF24)))</formula>
    </cfRule>
  </conditionalFormatting>
  <conditionalFormatting sqref="AF24">
    <cfRule type="containsText" dxfId="9961" priority="10678" operator="containsText" text="A-H">
      <formula>NOT(ISERROR(SEARCH("A-H",AF24)))</formula>
    </cfRule>
  </conditionalFormatting>
  <conditionalFormatting sqref="BO24:BP24">
    <cfRule type="cellIs" dxfId="9960" priority="10669" operator="equal">
      <formula>"C-Off-H"</formula>
    </cfRule>
    <cfRule type="cellIs" dxfId="9959" priority="10670" operator="equal">
      <formula>"C-Off"</formula>
    </cfRule>
    <cfRule type="cellIs" dxfId="9958" priority="10671" operator="equal">
      <formula>"CL-H"</formula>
    </cfRule>
    <cfRule type="cellIs" dxfId="9957" priority="10672" operator="equal">
      <formula>"EL-H"</formula>
    </cfRule>
    <cfRule type="cellIs" dxfId="9956" priority="10673" operator="equal">
      <formula>"CL"</formula>
    </cfRule>
    <cfRule type="cellIs" dxfId="9955" priority="10674" operator="equal">
      <formula>"EL"</formula>
    </cfRule>
  </conditionalFormatting>
  <conditionalFormatting sqref="BO24:BP24">
    <cfRule type="cellIs" dxfId="9954" priority="10663" operator="equal">
      <formula>"C-Off-H"</formula>
    </cfRule>
    <cfRule type="cellIs" dxfId="9953" priority="10664" operator="equal">
      <formula>"C-Off"</formula>
    </cfRule>
    <cfRule type="cellIs" dxfId="9952" priority="10665" operator="equal">
      <formula>"CL-H"</formula>
    </cfRule>
    <cfRule type="cellIs" dxfId="9951" priority="10666" operator="equal">
      <formula>"EL-H"</formula>
    </cfRule>
    <cfRule type="cellIs" dxfId="9950" priority="10667" operator="equal">
      <formula>"CL"</formula>
    </cfRule>
    <cfRule type="cellIs" dxfId="9949" priority="10668" operator="equal">
      <formula>"EL"</formula>
    </cfRule>
  </conditionalFormatting>
  <conditionalFormatting sqref="BO24:BP24">
    <cfRule type="containsText" dxfId="9948" priority="10657" operator="containsText" text="S">
      <formula>NOT(ISERROR(SEARCH("S",BO24)))</formula>
    </cfRule>
    <cfRule type="containsText" dxfId="9947" priority="10658" operator="containsText" text="P">
      <formula>NOT(ISERROR(SEARCH("P",BO24)))</formula>
    </cfRule>
    <cfRule type="containsText" dxfId="9946" priority="10659" operator="containsText" text="H">
      <formula>NOT(ISERROR(SEARCH("H",BO24)))</formula>
    </cfRule>
    <cfRule type="containsText" dxfId="9945" priority="10661" operator="containsText" text="&quot;H&quot;">
      <formula>NOT(ISERROR(SEARCH("""H""",BO24)))</formula>
    </cfRule>
    <cfRule type="containsText" dxfId="9944" priority="10662" operator="containsText" text="&quot;A&quot;">
      <formula>NOT(ISERROR(SEARCH("""A""",BO24)))</formula>
    </cfRule>
  </conditionalFormatting>
  <conditionalFormatting sqref="BO24:BP24">
    <cfRule type="containsText" dxfId="9943" priority="10660" operator="containsText" text="A-H">
      <formula>NOT(ISERROR(SEARCH("A-H",BO24)))</formula>
    </cfRule>
  </conditionalFormatting>
  <conditionalFormatting sqref="CM24">
    <cfRule type="cellIs" dxfId="9942" priority="10651" operator="equal">
      <formula>"C-Off-H"</formula>
    </cfRule>
    <cfRule type="cellIs" dxfId="9941" priority="10652" operator="equal">
      <formula>"C-Off"</formula>
    </cfRule>
    <cfRule type="cellIs" dxfId="9940" priority="10653" operator="equal">
      <formula>"CL-H"</formula>
    </cfRule>
    <cfRule type="cellIs" dxfId="9939" priority="10654" operator="equal">
      <formula>"EL-H"</formula>
    </cfRule>
    <cfRule type="cellIs" dxfId="9938" priority="10655" operator="equal">
      <formula>"CL"</formula>
    </cfRule>
    <cfRule type="cellIs" dxfId="9937" priority="10656" operator="equal">
      <formula>"EL"</formula>
    </cfRule>
  </conditionalFormatting>
  <conditionalFormatting sqref="CM24">
    <cfRule type="cellIs" dxfId="9936" priority="10645" operator="equal">
      <formula>"C-Off-H"</formula>
    </cfRule>
    <cfRule type="cellIs" dxfId="9935" priority="10646" operator="equal">
      <formula>"C-Off"</formula>
    </cfRule>
    <cfRule type="cellIs" dxfId="9934" priority="10647" operator="equal">
      <formula>"CL-H"</formula>
    </cfRule>
    <cfRule type="cellIs" dxfId="9933" priority="10648" operator="equal">
      <formula>"EL-H"</formula>
    </cfRule>
    <cfRule type="cellIs" dxfId="9932" priority="10649" operator="equal">
      <formula>"CL"</formula>
    </cfRule>
    <cfRule type="cellIs" dxfId="9931" priority="10650" operator="equal">
      <formula>"EL"</formula>
    </cfRule>
  </conditionalFormatting>
  <conditionalFormatting sqref="CM24">
    <cfRule type="containsText" dxfId="9930" priority="10639" operator="containsText" text="S">
      <formula>NOT(ISERROR(SEARCH("S",CM24)))</formula>
    </cfRule>
    <cfRule type="containsText" dxfId="9929" priority="10640" operator="containsText" text="P">
      <formula>NOT(ISERROR(SEARCH("P",CM24)))</formula>
    </cfRule>
    <cfRule type="containsText" dxfId="9928" priority="10641" operator="containsText" text="H">
      <formula>NOT(ISERROR(SEARCH("H",CM24)))</formula>
    </cfRule>
    <cfRule type="containsText" dxfId="9927" priority="10643" operator="containsText" text="&quot;H&quot;">
      <formula>NOT(ISERROR(SEARCH("""H""",CM24)))</formula>
    </cfRule>
    <cfRule type="containsText" dxfId="9926" priority="10644" operator="containsText" text="&quot;A&quot;">
      <formula>NOT(ISERROR(SEARCH("""A""",CM24)))</formula>
    </cfRule>
  </conditionalFormatting>
  <conditionalFormatting sqref="CM24">
    <cfRule type="containsText" dxfId="9925" priority="10642" operator="containsText" text="A-H">
      <formula>NOT(ISERROR(SEARCH("A-H",CM24)))</formula>
    </cfRule>
  </conditionalFormatting>
  <conditionalFormatting sqref="V24:W24">
    <cfRule type="cellIs" dxfId="9924" priority="10609" operator="equal">
      <formula>"C-Off-H"</formula>
    </cfRule>
    <cfRule type="cellIs" dxfId="9923" priority="10610" operator="equal">
      <formula>"C-Off"</formula>
    </cfRule>
    <cfRule type="cellIs" dxfId="9922" priority="10611" operator="equal">
      <formula>"CL-H"</formula>
    </cfRule>
    <cfRule type="cellIs" dxfId="9921" priority="10612" operator="equal">
      <formula>"EL-H"</formula>
    </cfRule>
    <cfRule type="cellIs" dxfId="9920" priority="10613" operator="equal">
      <formula>"CL"</formula>
    </cfRule>
    <cfRule type="cellIs" dxfId="9919" priority="10614" operator="equal">
      <formula>"EL"</formula>
    </cfRule>
  </conditionalFormatting>
  <conditionalFormatting sqref="V24:W24">
    <cfRule type="containsText" dxfId="9918" priority="10603" operator="containsText" text="S">
      <formula>NOT(ISERROR(SEARCH("S",V24)))</formula>
    </cfRule>
    <cfRule type="containsText" dxfId="9917" priority="10604" operator="containsText" text="P">
      <formula>NOT(ISERROR(SEARCH("P",V24)))</formula>
    </cfRule>
    <cfRule type="containsText" dxfId="9916" priority="10605" operator="containsText" text="H">
      <formula>NOT(ISERROR(SEARCH("H",V24)))</formula>
    </cfRule>
    <cfRule type="containsText" dxfId="9915" priority="10607" operator="containsText" text="&quot;H&quot;">
      <formula>NOT(ISERROR(SEARCH("""H""",V24)))</formula>
    </cfRule>
    <cfRule type="containsText" dxfId="9914" priority="10608" operator="containsText" text="&quot;A&quot;">
      <formula>NOT(ISERROR(SEARCH("""A""",V24)))</formula>
    </cfRule>
  </conditionalFormatting>
  <conditionalFormatting sqref="V24:W24">
    <cfRule type="containsText" dxfId="9913" priority="10606" operator="containsText" text="A-H">
      <formula>NOT(ISERROR(SEARCH("A-H",V24)))</formula>
    </cfRule>
  </conditionalFormatting>
  <conditionalFormatting sqref="P24:Q24">
    <cfRule type="cellIs" dxfId="9912" priority="10633" operator="equal">
      <formula>"C-Off-H"</formula>
    </cfRule>
    <cfRule type="cellIs" dxfId="9911" priority="10634" operator="equal">
      <formula>"C-Off"</formula>
    </cfRule>
    <cfRule type="cellIs" dxfId="9910" priority="10635" operator="equal">
      <formula>"CL-H"</formula>
    </cfRule>
    <cfRule type="cellIs" dxfId="9909" priority="10636" operator="equal">
      <formula>"EL-H"</formula>
    </cfRule>
    <cfRule type="cellIs" dxfId="9908" priority="10637" operator="equal">
      <formula>"CL"</formula>
    </cfRule>
    <cfRule type="cellIs" dxfId="9907" priority="10638" operator="equal">
      <formula>"EL"</formula>
    </cfRule>
  </conditionalFormatting>
  <conditionalFormatting sqref="P24:Q24">
    <cfRule type="containsText" dxfId="9906" priority="10627" operator="containsText" text="S">
      <formula>NOT(ISERROR(SEARCH("S",P24)))</formula>
    </cfRule>
    <cfRule type="containsText" dxfId="9905" priority="10628" operator="containsText" text="P">
      <formula>NOT(ISERROR(SEARCH("P",P24)))</formula>
    </cfRule>
    <cfRule type="containsText" dxfId="9904" priority="10629" operator="containsText" text="H">
      <formula>NOT(ISERROR(SEARCH("H",P24)))</formula>
    </cfRule>
    <cfRule type="containsText" dxfId="9903" priority="10631" operator="containsText" text="&quot;H&quot;">
      <formula>NOT(ISERROR(SEARCH("""H""",P24)))</formula>
    </cfRule>
    <cfRule type="containsText" dxfId="9902" priority="10632" operator="containsText" text="&quot;A&quot;">
      <formula>NOT(ISERROR(SEARCH("""A""",P24)))</formula>
    </cfRule>
  </conditionalFormatting>
  <conditionalFormatting sqref="P24:Q24">
    <cfRule type="containsText" dxfId="9901" priority="10630" operator="containsText" text="A-H">
      <formula>NOT(ISERROR(SEARCH("A-H",P24)))</formula>
    </cfRule>
  </conditionalFormatting>
  <conditionalFormatting sqref="S24:T24">
    <cfRule type="cellIs" dxfId="9900" priority="10621" operator="equal">
      <formula>"C-Off-H"</formula>
    </cfRule>
    <cfRule type="cellIs" dxfId="9899" priority="10622" operator="equal">
      <formula>"C-Off"</formula>
    </cfRule>
    <cfRule type="cellIs" dxfId="9898" priority="10623" operator="equal">
      <formula>"CL-H"</formula>
    </cfRule>
    <cfRule type="cellIs" dxfId="9897" priority="10624" operator="equal">
      <formula>"EL-H"</formula>
    </cfRule>
    <cfRule type="cellIs" dxfId="9896" priority="10625" operator="equal">
      <formula>"CL"</formula>
    </cfRule>
    <cfRule type="cellIs" dxfId="9895" priority="10626" operator="equal">
      <formula>"EL"</formula>
    </cfRule>
  </conditionalFormatting>
  <conditionalFormatting sqref="S24:T24">
    <cfRule type="containsText" dxfId="9894" priority="10615" operator="containsText" text="S">
      <formula>NOT(ISERROR(SEARCH("S",S24)))</formula>
    </cfRule>
    <cfRule type="containsText" dxfId="9893" priority="10616" operator="containsText" text="P">
      <formula>NOT(ISERROR(SEARCH("P",S24)))</formula>
    </cfRule>
    <cfRule type="containsText" dxfId="9892" priority="10617" operator="containsText" text="H">
      <formula>NOT(ISERROR(SEARCH("H",S24)))</formula>
    </cfRule>
    <cfRule type="containsText" dxfId="9891" priority="10619" operator="containsText" text="&quot;H&quot;">
      <formula>NOT(ISERROR(SEARCH("""H""",S24)))</formula>
    </cfRule>
    <cfRule type="containsText" dxfId="9890" priority="10620" operator="containsText" text="&quot;A&quot;">
      <formula>NOT(ISERROR(SEARCH("""A""",S24)))</formula>
    </cfRule>
  </conditionalFormatting>
  <conditionalFormatting sqref="S24:T24">
    <cfRule type="containsText" dxfId="9889" priority="10618" operator="containsText" text="A-H">
      <formula>NOT(ISERROR(SEARCH("A-H",S24)))</formula>
    </cfRule>
  </conditionalFormatting>
  <conditionalFormatting sqref="AB24:AC24">
    <cfRule type="cellIs" dxfId="9888" priority="10597" operator="equal">
      <formula>"C-Off-H"</formula>
    </cfRule>
    <cfRule type="cellIs" dxfId="9887" priority="10598" operator="equal">
      <formula>"C-Off"</formula>
    </cfRule>
    <cfRule type="cellIs" dxfId="9886" priority="10599" operator="equal">
      <formula>"CL-H"</formula>
    </cfRule>
    <cfRule type="cellIs" dxfId="9885" priority="10600" operator="equal">
      <formula>"EL-H"</formula>
    </cfRule>
    <cfRule type="cellIs" dxfId="9884" priority="10601" operator="equal">
      <formula>"CL"</formula>
    </cfRule>
    <cfRule type="cellIs" dxfId="9883" priority="10602" operator="equal">
      <formula>"EL"</formula>
    </cfRule>
  </conditionalFormatting>
  <conditionalFormatting sqref="AB24:AC24">
    <cfRule type="containsText" dxfId="9882" priority="10591" operator="containsText" text="S">
      <formula>NOT(ISERROR(SEARCH("S",AB24)))</formula>
    </cfRule>
    <cfRule type="containsText" dxfId="9881" priority="10592" operator="containsText" text="P">
      <formula>NOT(ISERROR(SEARCH("P",AB24)))</formula>
    </cfRule>
    <cfRule type="containsText" dxfId="9880" priority="10593" operator="containsText" text="H">
      <formula>NOT(ISERROR(SEARCH("H",AB24)))</formula>
    </cfRule>
    <cfRule type="containsText" dxfId="9879" priority="10595" operator="containsText" text="&quot;H&quot;">
      <formula>NOT(ISERROR(SEARCH("""H""",AB24)))</formula>
    </cfRule>
    <cfRule type="containsText" dxfId="9878" priority="10596" operator="containsText" text="&quot;A&quot;">
      <formula>NOT(ISERROR(SEARCH("""A""",AB24)))</formula>
    </cfRule>
  </conditionalFormatting>
  <conditionalFormatting sqref="AB24:AC24">
    <cfRule type="containsText" dxfId="9877" priority="10594" operator="containsText" text="A-H">
      <formula>NOT(ISERROR(SEARCH("A-H",AB24)))</formula>
    </cfRule>
  </conditionalFormatting>
  <conditionalFormatting sqref="AE24">
    <cfRule type="cellIs" dxfId="9876" priority="10585" operator="equal">
      <formula>"C-Off-H"</formula>
    </cfRule>
    <cfRule type="cellIs" dxfId="9875" priority="10586" operator="equal">
      <formula>"C-Off"</formula>
    </cfRule>
    <cfRule type="cellIs" dxfId="9874" priority="10587" operator="equal">
      <formula>"CL-H"</formula>
    </cfRule>
    <cfRule type="cellIs" dxfId="9873" priority="10588" operator="equal">
      <formula>"EL-H"</formula>
    </cfRule>
    <cfRule type="cellIs" dxfId="9872" priority="10589" operator="equal">
      <formula>"CL"</formula>
    </cfRule>
    <cfRule type="cellIs" dxfId="9871" priority="10590" operator="equal">
      <formula>"EL"</formula>
    </cfRule>
  </conditionalFormatting>
  <conditionalFormatting sqref="AE24">
    <cfRule type="containsText" dxfId="9870" priority="10579" operator="containsText" text="S">
      <formula>NOT(ISERROR(SEARCH("S",AE24)))</formula>
    </cfRule>
    <cfRule type="containsText" dxfId="9869" priority="10580" operator="containsText" text="P">
      <formula>NOT(ISERROR(SEARCH("P",AE24)))</formula>
    </cfRule>
    <cfRule type="containsText" dxfId="9868" priority="10581" operator="containsText" text="H">
      <formula>NOT(ISERROR(SEARCH("H",AE24)))</formula>
    </cfRule>
    <cfRule type="containsText" dxfId="9867" priority="10583" operator="containsText" text="&quot;H&quot;">
      <formula>NOT(ISERROR(SEARCH("""H""",AE24)))</formula>
    </cfRule>
    <cfRule type="containsText" dxfId="9866" priority="10584" operator="containsText" text="&quot;A&quot;">
      <formula>NOT(ISERROR(SEARCH("""A""",AE24)))</formula>
    </cfRule>
  </conditionalFormatting>
  <conditionalFormatting sqref="AE24">
    <cfRule type="containsText" dxfId="9865" priority="10582" operator="containsText" text="A-H">
      <formula>NOT(ISERROR(SEARCH("A-H",AE24)))</formula>
    </cfRule>
  </conditionalFormatting>
  <conditionalFormatting sqref="AK24:AL24">
    <cfRule type="cellIs" dxfId="9864" priority="10573" operator="equal">
      <formula>"C-Off-H"</formula>
    </cfRule>
    <cfRule type="cellIs" dxfId="9863" priority="10574" operator="equal">
      <formula>"C-Off"</formula>
    </cfRule>
    <cfRule type="cellIs" dxfId="9862" priority="10575" operator="equal">
      <formula>"CL-H"</formula>
    </cfRule>
    <cfRule type="cellIs" dxfId="9861" priority="10576" operator="equal">
      <formula>"EL-H"</formula>
    </cfRule>
    <cfRule type="cellIs" dxfId="9860" priority="10577" operator="equal">
      <formula>"CL"</formula>
    </cfRule>
    <cfRule type="cellIs" dxfId="9859" priority="10578" operator="equal">
      <formula>"EL"</formula>
    </cfRule>
  </conditionalFormatting>
  <conditionalFormatting sqref="AK24:AL24">
    <cfRule type="containsText" dxfId="9858" priority="10567" operator="containsText" text="S">
      <formula>NOT(ISERROR(SEARCH("S",AK24)))</formula>
    </cfRule>
    <cfRule type="containsText" dxfId="9857" priority="10568" operator="containsText" text="P">
      <formula>NOT(ISERROR(SEARCH("P",AK24)))</formula>
    </cfRule>
    <cfRule type="containsText" dxfId="9856" priority="10569" operator="containsText" text="H">
      <formula>NOT(ISERROR(SEARCH("H",AK24)))</formula>
    </cfRule>
    <cfRule type="containsText" dxfId="9855" priority="10571" operator="containsText" text="&quot;H&quot;">
      <formula>NOT(ISERROR(SEARCH("""H""",AK24)))</formula>
    </cfRule>
    <cfRule type="containsText" dxfId="9854" priority="10572" operator="containsText" text="&quot;A&quot;">
      <formula>NOT(ISERROR(SEARCH("""A""",AK24)))</formula>
    </cfRule>
  </conditionalFormatting>
  <conditionalFormatting sqref="AK24:AL24">
    <cfRule type="containsText" dxfId="9853" priority="10570" operator="containsText" text="A-H">
      <formula>NOT(ISERROR(SEARCH("A-H",AK24)))</formula>
    </cfRule>
  </conditionalFormatting>
  <conditionalFormatting sqref="AN24:AO24">
    <cfRule type="cellIs" dxfId="9852" priority="10561" operator="equal">
      <formula>"C-Off-H"</formula>
    </cfRule>
    <cfRule type="cellIs" dxfId="9851" priority="10562" operator="equal">
      <formula>"C-Off"</formula>
    </cfRule>
    <cfRule type="cellIs" dxfId="9850" priority="10563" operator="equal">
      <formula>"CL-H"</formula>
    </cfRule>
    <cfRule type="cellIs" dxfId="9849" priority="10564" operator="equal">
      <formula>"EL-H"</formula>
    </cfRule>
    <cfRule type="cellIs" dxfId="9848" priority="10565" operator="equal">
      <formula>"CL"</formula>
    </cfRule>
    <cfRule type="cellIs" dxfId="9847" priority="10566" operator="equal">
      <formula>"EL"</formula>
    </cfRule>
  </conditionalFormatting>
  <conditionalFormatting sqref="AN24:AO24">
    <cfRule type="containsText" dxfId="9846" priority="10555" operator="containsText" text="S">
      <formula>NOT(ISERROR(SEARCH("S",AN24)))</formula>
    </cfRule>
    <cfRule type="containsText" dxfId="9845" priority="10556" operator="containsText" text="P">
      <formula>NOT(ISERROR(SEARCH("P",AN24)))</formula>
    </cfRule>
    <cfRule type="containsText" dxfId="9844" priority="10557" operator="containsText" text="H">
      <formula>NOT(ISERROR(SEARCH("H",AN24)))</formula>
    </cfRule>
    <cfRule type="containsText" dxfId="9843" priority="10559" operator="containsText" text="&quot;H&quot;">
      <formula>NOT(ISERROR(SEARCH("""H""",AN24)))</formula>
    </cfRule>
    <cfRule type="containsText" dxfId="9842" priority="10560" operator="containsText" text="&quot;A&quot;">
      <formula>NOT(ISERROR(SEARCH("""A""",AN24)))</formula>
    </cfRule>
  </conditionalFormatting>
  <conditionalFormatting sqref="AN24:AO24">
    <cfRule type="containsText" dxfId="9841" priority="10558" operator="containsText" text="A-H">
      <formula>NOT(ISERROR(SEARCH("A-H",AN24)))</formula>
    </cfRule>
  </conditionalFormatting>
  <conditionalFormatting sqref="AQ24:AR24">
    <cfRule type="cellIs" dxfId="9840" priority="10549" operator="equal">
      <formula>"C-Off-H"</formula>
    </cfRule>
    <cfRule type="cellIs" dxfId="9839" priority="10550" operator="equal">
      <formula>"C-Off"</formula>
    </cfRule>
    <cfRule type="cellIs" dxfId="9838" priority="10551" operator="equal">
      <formula>"CL-H"</formula>
    </cfRule>
    <cfRule type="cellIs" dxfId="9837" priority="10552" operator="equal">
      <formula>"EL-H"</formula>
    </cfRule>
    <cfRule type="cellIs" dxfId="9836" priority="10553" operator="equal">
      <formula>"CL"</formula>
    </cfRule>
    <cfRule type="cellIs" dxfId="9835" priority="10554" operator="equal">
      <formula>"EL"</formula>
    </cfRule>
  </conditionalFormatting>
  <conditionalFormatting sqref="AQ24:AR24">
    <cfRule type="containsText" dxfId="9834" priority="10543" operator="containsText" text="S">
      <formula>NOT(ISERROR(SEARCH("S",AQ24)))</formula>
    </cfRule>
    <cfRule type="containsText" dxfId="9833" priority="10544" operator="containsText" text="P">
      <formula>NOT(ISERROR(SEARCH("P",AQ24)))</formula>
    </cfRule>
    <cfRule type="containsText" dxfId="9832" priority="10545" operator="containsText" text="H">
      <formula>NOT(ISERROR(SEARCH("H",AQ24)))</formula>
    </cfRule>
    <cfRule type="containsText" dxfId="9831" priority="10547" operator="containsText" text="&quot;H&quot;">
      <formula>NOT(ISERROR(SEARCH("""H""",AQ24)))</formula>
    </cfRule>
    <cfRule type="containsText" dxfId="9830" priority="10548" operator="containsText" text="&quot;A&quot;">
      <formula>NOT(ISERROR(SEARCH("""A""",AQ24)))</formula>
    </cfRule>
  </conditionalFormatting>
  <conditionalFormatting sqref="AQ24:AR24">
    <cfRule type="containsText" dxfId="9829" priority="10546" operator="containsText" text="A-H">
      <formula>NOT(ISERROR(SEARCH("A-H",AQ24)))</formula>
    </cfRule>
  </conditionalFormatting>
  <conditionalFormatting sqref="AW24:AX24">
    <cfRule type="cellIs" dxfId="9828" priority="10537" operator="equal">
      <formula>"C-Off-H"</formula>
    </cfRule>
    <cfRule type="cellIs" dxfId="9827" priority="10538" operator="equal">
      <formula>"C-Off"</formula>
    </cfRule>
    <cfRule type="cellIs" dxfId="9826" priority="10539" operator="equal">
      <formula>"CL-H"</formula>
    </cfRule>
    <cfRule type="cellIs" dxfId="9825" priority="10540" operator="equal">
      <formula>"EL-H"</formula>
    </cfRule>
    <cfRule type="cellIs" dxfId="9824" priority="10541" operator="equal">
      <formula>"CL"</formula>
    </cfRule>
    <cfRule type="cellIs" dxfId="9823" priority="10542" operator="equal">
      <formula>"EL"</formula>
    </cfRule>
  </conditionalFormatting>
  <conditionalFormatting sqref="AW24:AX24">
    <cfRule type="containsText" dxfId="9822" priority="10531" operator="containsText" text="S">
      <formula>NOT(ISERROR(SEARCH("S",AW24)))</formula>
    </cfRule>
    <cfRule type="containsText" dxfId="9821" priority="10532" operator="containsText" text="P">
      <formula>NOT(ISERROR(SEARCH("P",AW24)))</formula>
    </cfRule>
    <cfRule type="containsText" dxfId="9820" priority="10533" operator="containsText" text="H">
      <formula>NOT(ISERROR(SEARCH("H",AW24)))</formula>
    </cfRule>
    <cfRule type="containsText" dxfId="9819" priority="10535" operator="containsText" text="&quot;H&quot;">
      <formula>NOT(ISERROR(SEARCH("""H""",AW24)))</formula>
    </cfRule>
    <cfRule type="containsText" dxfId="9818" priority="10536" operator="containsText" text="&quot;A&quot;">
      <formula>NOT(ISERROR(SEARCH("""A""",AW24)))</formula>
    </cfRule>
  </conditionalFormatting>
  <conditionalFormatting sqref="AW24:AX24">
    <cfRule type="containsText" dxfId="9817" priority="10534" operator="containsText" text="A-H">
      <formula>NOT(ISERROR(SEARCH("A-H",AW24)))</formula>
    </cfRule>
  </conditionalFormatting>
  <conditionalFormatting sqref="AZ24:BA24">
    <cfRule type="cellIs" dxfId="9816" priority="10525" operator="equal">
      <formula>"C-Off-H"</formula>
    </cfRule>
    <cfRule type="cellIs" dxfId="9815" priority="10526" operator="equal">
      <formula>"C-Off"</formula>
    </cfRule>
    <cfRule type="cellIs" dxfId="9814" priority="10527" operator="equal">
      <formula>"CL-H"</formula>
    </cfRule>
    <cfRule type="cellIs" dxfId="9813" priority="10528" operator="equal">
      <formula>"EL-H"</formula>
    </cfRule>
    <cfRule type="cellIs" dxfId="9812" priority="10529" operator="equal">
      <formula>"CL"</formula>
    </cfRule>
    <cfRule type="cellIs" dxfId="9811" priority="10530" operator="equal">
      <formula>"EL"</formula>
    </cfRule>
  </conditionalFormatting>
  <conditionalFormatting sqref="AZ24:BA24">
    <cfRule type="containsText" dxfId="9810" priority="10519" operator="containsText" text="S">
      <formula>NOT(ISERROR(SEARCH("S",AZ24)))</formula>
    </cfRule>
    <cfRule type="containsText" dxfId="9809" priority="10520" operator="containsText" text="P">
      <formula>NOT(ISERROR(SEARCH("P",AZ24)))</formula>
    </cfRule>
    <cfRule type="containsText" dxfId="9808" priority="10521" operator="containsText" text="H">
      <formula>NOT(ISERROR(SEARCH("H",AZ24)))</formula>
    </cfRule>
    <cfRule type="containsText" dxfId="9807" priority="10523" operator="containsText" text="&quot;H&quot;">
      <formula>NOT(ISERROR(SEARCH("""H""",AZ24)))</formula>
    </cfRule>
    <cfRule type="containsText" dxfId="9806" priority="10524" operator="containsText" text="&quot;A&quot;">
      <formula>NOT(ISERROR(SEARCH("""A""",AZ24)))</formula>
    </cfRule>
  </conditionalFormatting>
  <conditionalFormatting sqref="AZ24:BA24">
    <cfRule type="containsText" dxfId="9805" priority="10522" operator="containsText" text="A-H">
      <formula>NOT(ISERROR(SEARCH("A-H",AZ24)))</formula>
    </cfRule>
  </conditionalFormatting>
  <conditionalFormatting sqref="BC24:BD24">
    <cfRule type="cellIs" dxfId="9804" priority="10513" operator="equal">
      <formula>"C-Off-H"</formula>
    </cfRule>
    <cfRule type="cellIs" dxfId="9803" priority="10514" operator="equal">
      <formula>"C-Off"</formula>
    </cfRule>
    <cfRule type="cellIs" dxfId="9802" priority="10515" operator="equal">
      <formula>"CL-H"</formula>
    </cfRule>
    <cfRule type="cellIs" dxfId="9801" priority="10516" operator="equal">
      <formula>"EL-H"</formula>
    </cfRule>
    <cfRule type="cellIs" dxfId="9800" priority="10517" operator="equal">
      <formula>"CL"</formula>
    </cfRule>
    <cfRule type="cellIs" dxfId="9799" priority="10518" operator="equal">
      <formula>"EL"</formula>
    </cfRule>
  </conditionalFormatting>
  <conditionalFormatting sqref="BC24:BD24">
    <cfRule type="containsText" dxfId="9798" priority="10507" operator="containsText" text="S">
      <formula>NOT(ISERROR(SEARCH("S",BC24)))</formula>
    </cfRule>
    <cfRule type="containsText" dxfId="9797" priority="10508" operator="containsText" text="P">
      <formula>NOT(ISERROR(SEARCH("P",BC24)))</formula>
    </cfRule>
    <cfRule type="containsText" dxfId="9796" priority="10509" operator="containsText" text="H">
      <formula>NOT(ISERROR(SEARCH("H",BC24)))</formula>
    </cfRule>
    <cfRule type="containsText" dxfId="9795" priority="10511" operator="containsText" text="&quot;H&quot;">
      <formula>NOT(ISERROR(SEARCH("""H""",BC24)))</formula>
    </cfRule>
    <cfRule type="containsText" dxfId="9794" priority="10512" operator="containsText" text="&quot;A&quot;">
      <formula>NOT(ISERROR(SEARCH("""A""",BC24)))</formula>
    </cfRule>
  </conditionalFormatting>
  <conditionalFormatting sqref="BC24:BD24">
    <cfRule type="containsText" dxfId="9793" priority="10510" operator="containsText" text="A-H">
      <formula>NOT(ISERROR(SEARCH("A-H",BC24)))</formula>
    </cfRule>
  </conditionalFormatting>
  <conditionalFormatting sqref="BF24:BG24">
    <cfRule type="cellIs" dxfId="9792" priority="10501" operator="equal">
      <formula>"C-Off-H"</formula>
    </cfRule>
    <cfRule type="cellIs" dxfId="9791" priority="10502" operator="equal">
      <formula>"C-Off"</formula>
    </cfRule>
    <cfRule type="cellIs" dxfId="9790" priority="10503" operator="equal">
      <formula>"CL-H"</formula>
    </cfRule>
    <cfRule type="cellIs" dxfId="9789" priority="10504" operator="equal">
      <formula>"EL-H"</formula>
    </cfRule>
    <cfRule type="cellIs" dxfId="9788" priority="10505" operator="equal">
      <formula>"CL"</formula>
    </cfRule>
    <cfRule type="cellIs" dxfId="9787" priority="10506" operator="equal">
      <formula>"EL"</formula>
    </cfRule>
  </conditionalFormatting>
  <conditionalFormatting sqref="BF24:BG24">
    <cfRule type="containsText" dxfId="9786" priority="10495" operator="containsText" text="S">
      <formula>NOT(ISERROR(SEARCH("S",BF24)))</formula>
    </cfRule>
    <cfRule type="containsText" dxfId="9785" priority="10496" operator="containsText" text="P">
      <formula>NOT(ISERROR(SEARCH("P",BF24)))</formula>
    </cfRule>
    <cfRule type="containsText" dxfId="9784" priority="10497" operator="containsText" text="H">
      <formula>NOT(ISERROR(SEARCH("H",BF24)))</formula>
    </cfRule>
    <cfRule type="containsText" dxfId="9783" priority="10499" operator="containsText" text="&quot;H&quot;">
      <formula>NOT(ISERROR(SEARCH("""H""",BF24)))</formula>
    </cfRule>
    <cfRule type="containsText" dxfId="9782" priority="10500" operator="containsText" text="&quot;A&quot;">
      <formula>NOT(ISERROR(SEARCH("""A""",BF24)))</formula>
    </cfRule>
  </conditionalFormatting>
  <conditionalFormatting sqref="BF24:BG24">
    <cfRule type="containsText" dxfId="9781" priority="10498" operator="containsText" text="A-H">
      <formula>NOT(ISERROR(SEARCH("A-H",BF24)))</formula>
    </cfRule>
  </conditionalFormatting>
  <conditionalFormatting sqref="BI24:BJ24">
    <cfRule type="cellIs" dxfId="9780" priority="10489" operator="equal">
      <formula>"C-Off-H"</formula>
    </cfRule>
    <cfRule type="cellIs" dxfId="9779" priority="10490" operator="equal">
      <formula>"C-Off"</formula>
    </cfRule>
    <cfRule type="cellIs" dxfId="9778" priority="10491" operator="equal">
      <formula>"CL-H"</formula>
    </cfRule>
    <cfRule type="cellIs" dxfId="9777" priority="10492" operator="equal">
      <formula>"EL-H"</formula>
    </cfRule>
    <cfRule type="cellIs" dxfId="9776" priority="10493" operator="equal">
      <formula>"CL"</formula>
    </cfRule>
    <cfRule type="cellIs" dxfId="9775" priority="10494" operator="equal">
      <formula>"EL"</formula>
    </cfRule>
  </conditionalFormatting>
  <conditionalFormatting sqref="BI24:BJ24">
    <cfRule type="containsText" dxfId="9774" priority="10483" operator="containsText" text="S">
      <formula>NOT(ISERROR(SEARCH("S",BI24)))</formula>
    </cfRule>
    <cfRule type="containsText" dxfId="9773" priority="10484" operator="containsText" text="P">
      <formula>NOT(ISERROR(SEARCH("P",BI24)))</formula>
    </cfRule>
    <cfRule type="containsText" dxfId="9772" priority="10485" operator="containsText" text="H">
      <formula>NOT(ISERROR(SEARCH("H",BI24)))</formula>
    </cfRule>
    <cfRule type="containsText" dxfId="9771" priority="10487" operator="containsText" text="&quot;H&quot;">
      <formula>NOT(ISERROR(SEARCH("""H""",BI24)))</formula>
    </cfRule>
    <cfRule type="containsText" dxfId="9770" priority="10488" operator="containsText" text="&quot;A&quot;">
      <formula>NOT(ISERROR(SEARCH("""A""",BI24)))</formula>
    </cfRule>
  </conditionalFormatting>
  <conditionalFormatting sqref="BI24:BJ24">
    <cfRule type="containsText" dxfId="9769" priority="10486" operator="containsText" text="A-H">
      <formula>NOT(ISERROR(SEARCH("A-H",BI24)))</formula>
    </cfRule>
  </conditionalFormatting>
  <conditionalFormatting sqref="BL24:BM24">
    <cfRule type="cellIs" dxfId="9768" priority="10477" operator="equal">
      <formula>"C-Off-H"</formula>
    </cfRule>
    <cfRule type="cellIs" dxfId="9767" priority="10478" operator="equal">
      <formula>"C-Off"</formula>
    </cfRule>
    <cfRule type="cellIs" dxfId="9766" priority="10479" operator="equal">
      <formula>"CL-H"</formula>
    </cfRule>
    <cfRule type="cellIs" dxfId="9765" priority="10480" operator="equal">
      <formula>"EL-H"</formula>
    </cfRule>
    <cfRule type="cellIs" dxfId="9764" priority="10481" operator="equal">
      <formula>"CL"</formula>
    </cfRule>
    <cfRule type="cellIs" dxfId="9763" priority="10482" operator="equal">
      <formula>"EL"</formula>
    </cfRule>
  </conditionalFormatting>
  <conditionalFormatting sqref="BL24:BM24">
    <cfRule type="containsText" dxfId="9762" priority="10471" operator="containsText" text="S">
      <formula>NOT(ISERROR(SEARCH("S",BL24)))</formula>
    </cfRule>
    <cfRule type="containsText" dxfId="9761" priority="10472" operator="containsText" text="P">
      <formula>NOT(ISERROR(SEARCH("P",BL24)))</formula>
    </cfRule>
    <cfRule type="containsText" dxfId="9760" priority="10473" operator="containsText" text="H">
      <formula>NOT(ISERROR(SEARCH("H",BL24)))</formula>
    </cfRule>
    <cfRule type="containsText" dxfId="9759" priority="10475" operator="containsText" text="&quot;H&quot;">
      <formula>NOT(ISERROR(SEARCH("""H""",BL24)))</formula>
    </cfRule>
    <cfRule type="containsText" dxfId="9758" priority="10476" operator="containsText" text="&quot;A&quot;">
      <formula>NOT(ISERROR(SEARCH("""A""",BL24)))</formula>
    </cfRule>
  </conditionalFormatting>
  <conditionalFormatting sqref="BL24:BM24">
    <cfRule type="containsText" dxfId="9757" priority="10474" operator="containsText" text="A-H">
      <formula>NOT(ISERROR(SEARCH("A-H",BL24)))</formula>
    </cfRule>
  </conditionalFormatting>
  <conditionalFormatting sqref="BR24:BS24">
    <cfRule type="cellIs" dxfId="9756" priority="10465" operator="equal">
      <formula>"C-Off-H"</formula>
    </cfRule>
    <cfRule type="cellIs" dxfId="9755" priority="10466" operator="equal">
      <formula>"C-Off"</formula>
    </cfRule>
    <cfRule type="cellIs" dxfId="9754" priority="10467" operator="equal">
      <formula>"CL-H"</formula>
    </cfRule>
    <cfRule type="cellIs" dxfId="9753" priority="10468" operator="equal">
      <formula>"EL-H"</formula>
    </cfRule>
    <cfRule type="cellIs" dxfId="9752" priority="10469" operator="equal">
      <formula>"CL"</formula>
    </cfRule>
    <cfRule type="cellIs" dxfId="9751" priority="10470" operator="equal">
      <formula>"EL"</formula>
    </cfRule>
  </conditionalFormatting>
  <conditionalFormatting sqref="BR24:BS24">
    <cfRule type="containsText" dxfId="9750" priority="10459" operator="containsText" text="S">
      <formula>NOT(ISERROR(SEARCH("S",BR24)))</formula>
    </cfRule>
    <cfRule type="containsText" dxfId="9749" priority="10460" operator="containsText" text="P">
      <formula>NOT(ISERROR(SEARCH("P",BR24)))</formula>
    </cfRule>
    <cfRule type="containsText" dxfId="9748" priority="10461" operator="containsText" text="H">
      <formula>NOT(ISERROR(SEARCH("H",BR24)))</formula>
    </cfRule>
    <cfRule type="containsText" dxfId="9747" priority="10463" operator="containsText" text="&quot;H&quot;">
      <formula>NOT(ISERROR(SEARCH("""H""",BR24)))</formula>
    </cfRule>
    <cfRule type="containsText" dxfId="9746" priority="10464" operator="containsText" text="&quot;A&quot;">
      <formula>NOT(ISERROR(SEARCH("""A""",BR24)))</formula>
    </cfRule>
  </conditionalFormatting>
  <conditionalFormatting sqref="BR24:BS24">
    <cfRule type="containsText" dxfId="9745" priority="10462" operator="containsText" text="A-H">
      <formula>NOT(ISERROR(SEARCH("A-H",BR24)))</formula>
    </cfRule>
  </conditionalFormatting>
  <conditionalFormatting sqref="BU24:BV24">
    <cfRule type="cellIs" dxfId="9744" priority="10453" operator="equal">
      <formula>"C-Off-H"</formula>
    </cfRule>
    <cfRule type="cellIs" dxfId="9743" priority="10454" operator="equal">
      <formula>"C-Off"</formula>
    </cfRule>
    <cfRule type="cellIs" dxfId="9742" priority="10455" operator="equal">
      <formula>"CL-H"</formula>
    </cfRule>
    <cfRule type="cellIs" dxfId="9741" priority="10456" operator="equal">
      <formula>"EL-H"</formula>
    </cfRule>
    <cfRule type="cellIs" dxfId="9740" priority="10457" operator="equal">
      <formula>"CL"</formula>
    </cfRule>
    <cfRule type="cellIs" dxfId="9739" priority="10458" operator="equal">
      <formula>"EL"</formula>
    </cfRule>
  </conditionalFormatting>
  <conditionalFormatting sqref="BU24:BV24">
    <cfRule type="containsText" dxfId="9738" priority="10447" operator="containsText" text="S">
      <formula>NOT(ISERROR(SEARCH("S",BU24)))</formula>
    </cfRule>
    <cfRule type="containsText" dxfId="9737" priority="10448" operator="containsText" text="P">
      <formula>NOT(ISERROR(SEARCH("P",BU24)))</formula>
    </cfRule>
    <cfRule type="containsText" dxfId="9736" priority="10449" operator="containsText" text="H">
      <formula>NOT(ISERROR(SEARCH("H",BU24)))</formula>
    </cfRule>
    <cfRule type="containsText" dxfId="9735" priority="10451" operator="containsText" text="&quot;H&quot;">
      <formula>NOT(ISERROR(SEARCH("""H""",BU24)))</formula>
    </cfRule>
    <cfRule type="containsText" dxfId="9734" priority="10452" operator="containsText" text="&quot;A&quot;">
      <formula>NOT(ISERROR(SEARCH("""A""",BU24)))</formula>
    </cfRule>
  </conditionalFormatting>
  <conditionalFormatting sqref="BU24:BV24">
    <cfRule type="containsText" dxfId="9733" priority="10450" operator="containsText" text="A-H">
      <formula>NOT(ISERROR(SEARCH("A-H",BU24)))</formula>
    </cfRule>
  </conditionalFormatting>
  <conditionalFormatting sqref="BY24">
    <cfRule type="cellIs" dxfId="9732" priority="10441" operator="equal">
      <formula>"C-Off-H"</formula>
    </cfRule>
    <cfRule type="cellIs" dxfId="9731" priority="10442" operator="equal">
      <formula>"C-Off"</formula>
    </cfRule>
    <cfRule type="cellIs" dxfId="9730" priority="10443" operator="equal">
      <formula>"CL-H"</formula>
    </cfRule>
    <cfRule type="cellIs" dxfId="9729" priority="10444" operator="equal">
      <formula>"EL-H"</formula>
    </cfRule>
    <cfRule type="cellIs" dxfId="9728" priority="10445" operator="equal">
      <formula>"CL"</formula>
    </cfRule>
    <cfRule type="cellIs" dxfId="9727" priority="10446" operator="equal">
      <formula>"EL"</formula>
    </cfRule>
  </conditionalFormatting>
  <conditionalFormatting sqref="BY24">
    <cfRule type="containsText" dxfId="9726" priority="10435" operator="containsText" text="S">
      <formula>NOT(ISERROR(SEARCH("S",BY24)))</formula>
    </cfRule>
    <cfRule type="containsText" dxfId="9725" priority="10436" operator="containsText" text="P">
      <formula>NOT(ISERROR(SEARCH("P",BY24)))</formula>
    </cfRule>
    <cfRule type="containsText" dxfId="9724" priority="10437" operator="containsText" text="H">
      <formula>NOT(ISERROR(SEARCH("H",BY24)))</formula>
    </cfRule>
    <cfRule type="containsText" dxfId="9723" priority="10439" operator="containsText" text="&quot;H&quot;">
      <formula>NOT(ISERROR(SEARCH("""H""",BY24)))</formula>
    </cfRule>
    <cfRule type="containsText" dxfId="9722" priority="10440" operator="containsText" text="&quot;A&quot;">
      <formula>NOT(ISERROR(SEARCH("""A""",BY24)))</formula>
    </cfRule>
  </conditionalFormatting>
  <conditionalFormatting sqref="BY24">
    <cfRule type="containsText" dxfId="9721" priority="10438" operator="containsText" text="A-H">
      <formula>NOT(ISERROR(SEARCH("A-H",BY24)))</formula>
    </cfRule>
  </conditionalFormatting>
  <conditionalFormatting sqref="BX24">
    <cfRule type="cellIs" dxfId="9720" priority="10429" operator="equal">
      <formula>"C-Off-H"</formula>
    </cfRule>
    <cfRule type="cellIs" dxfId="9719" priority="10430" operator="equal">
      <formula>"C-Off"</formula>
    </cfRule>
    <cfRule type="cellIs" dxfId="9718" priority="10431" operator="equal">
      <formula>"CL-H"</formula>
    </cfRule>
    <cfRule type="cellIs" dxfId="9717" priority="10432" operator="equal">
      <formula>"EL-H"</formula>
    </cfRule>
    <cfRule type="cellIs" dxfId="9716" priority="10433" operator="equal">
      <formula>"CL"</formula>
    </cfRule>
    <cfRule type="cellIs" dxfId="9715" priority="10434" operator="equal">
      <formula>"EL"</formula>
    </cfRule>
  </conditionalFormatting>
  <conditionalFormatting sqref="BX24">
    <cfRule type="containsText" dxfId="9714" priority="10423" operator="containsText" text="S">
      <formula>NOT(ISERROR(SEARCH("S",BX24)))</formula>
    </cfRule>
    <cfRule type="containsText" dxfId="9713" priority="10424" operator="containsText" text="P">
      <formula>NOT(ISERROR(SEARCH("P",BX24)))</formula>
    </cfRule>
    <cfRule type="containsText" dxfId="9712" priority="10425" operator="containsText" text="H">
      <formula>NOT(ISERROR(SEARCH("H",BX24)))</formula>
    </cfRule>
    <cfRule type="containsText" dxfId="9711" priority="10427" operator="containsText" text="&quot;H&quot;">
      <formula>NOT(ISERROR(SEARCH("""H""",BX24)))</formula>
    </cfRule>
    <cfRule type="containsText" dxfId="9710" priority="10428" operator="containsText" text="&quot;A&quot;">
      <formula>NOT(ISERROR(SEARCH("""A""",BX24)))</formula>
    </cfRule>
  </conditionalFormatting>
  <conditionalFormatting sqref="BX24">
    <cfRule type="containsText" dxfId="9709" priority="10426" operator="containsText" text="A-H">
      <formula>NOT(ISERROR(SEARCH("A-H",BX24)))</formula>
    </cfRule>
  </conditionalFormatting>
  <conditionalFormatting sqref="J24">
    <cfRule type="cellIs" dxfId="9708" priority="10417" operator="equal">
      <formula>"C-Off-H"</formula>
    </cfRule>
    <cfRule type="cellIs" dxfId="9707" priority="10418" operator="equal">
      <formula>"C-Off"</formula>
    </cfRule>
    <cfRule type="cellIs" dxfId="9706" priority="10419" operator="equal">
      <formula>"CL-H"</formula>
    </cfRule>
    <cfRule type="cellIs" dxfId="9705" priority="10420" operator="equal">
      <formula>"EL-H"</formula>
    </cfRule>
    <cfRule type="cellIs" dxfId="9704" priority="10421" operator="equal">
      <formula>"CL"</formula>
    </cfRule>
    <cfRule type="cellIs" dxfId="9703" priority="10422" operator="equal">
      <formula>"EL"</formula>
    </cfRule>
  </conditionalFormatting>
  <conditionalFormatting sqref="J24">
    <cfRule type="containsText" dxfId="9702" priority="10411" operator="containsText" text="S">
      <formula>NOT(ISERROR(SEARCH("S",J24)))</formula>
    </cfRule>
    <cfRule type="containsText" dxfId="9701" priority="10412" operator="containsText" text="P">
      <formula>NOT(ISERROR(SEARCH("P",J24)))</formula>
    </cfRule>
    <cfRule type="containsText" dxfId="9700" priority="10413" operator="containsText" text="H">
      <formula>NOT(ISERROR(SEARCH("H",J24)))</formula>
    </cfRule>
    <cfRule type="containsText" dxfId="9699" priority="10415" operator="containsText" text="&quot;H&quot;">
      <formula>NOT(ISERROR(SEARCH("""H""",J24)))</formula>
    </cfRule>
    <cfRule type="containsText" dxfId="9698" priority="10416" operator="containsText" text="&quot;A&quot;">
      <formula>NOT(ISERROR(SEARCH("""A""",J24)))</formula>
    </cfRule>
  </conditionalFormatting>
  <conditionalFormatting sqref="J24">
    <cfRule type="containsText" dxfId="9697" priority="10414" operator="containsText" text="A-H">
      <formula>NOT(ISERROR(SEARCH("A-H",J24)))</formula>
    </cfRule>
  </conditionalFormatting>
  <conditionalFormatting sqref="CN26">
    <cfRule type="cellIs" dxfId="9696" priority="10405" operator="equal">
      <formula>"C-Off-H"</formula>
    </cfRule>
    <cfRule type="cellIs" dxfId="9695" priority="10406" operator="equal">
      <formula>"C-Off"</formula>
    </cfRule>
    <cfRule type="cellIs" dxfId="9694" priority="10407" operator="equal">
      <formula>"CL-H"</formula>
    </cfRule>
    <cfRule type="cellIs" dxfId="9693" priority="10408" operator="equal">
      <formula>"EL-H"</formula>
    </cfRule>
    <cfRule type="cellIs" dxfId="9692" priority="10409" operator="equal">
      <formula>"CL"</formula>
    </cfRule>
    <cfRule type="cellIs" dxfId="9691" priority="10410" operator="equal">
      <formula>"EL"</formula>
    </cfRule>
  </conditionalFormatting>
  <conditionalFormatting sqref="CN26">
    <cfRule type="containsText" dxfId="9690" priority="10404" operator="containsText" text="A-H">
      <formula>NOT(ISERROR(SEARCH("A-H",CN26)))</formula>
    </cfRule>
  </conditionalFormatting>
  <conditionalFormatting sqref="CN26">
    <cfRule type="containsText" dxfId="9689" priority="10403" operator="containsText" text="A">
      <formula>NOT(ISERROR(SEARCH("A",CN26)))</formula>
    </cfRule>
  </conditionalFormatting>
  <conditionalFormatting sqref="CN26">
    <cfRule type="containsText" dxfId="9688" priority="10398" operator="containsText" text="S">
      <formula>NOT(ISERROR(SEARCH("S",CN26)))</formula>
    </cfRule>
    <cfRule type="containsText" dxfId="9687" priority="10399" operator="containsText" text="P">
      <formula>NOT(ISERROR(SEARCH("P",CN26)))</formula>
    </cfRule>
    <cfRule type="containsText" dxfId="9686" priority="10400" operator="containsText" text="H">
      <formula>NOT(ISERROR(SEARCH("H",CN26)))</formula>
    </cfRule>
    <cfRule type="containsText" dxfId="9685" priority="10401" operator="containsText" text="&quot;H&quot;">
      <formula>NOT(ISERROR(SEARCH("""H""",CN26)))</formula>
    </cfRule>
    <cfRule type="containsText" dxfId="9684" priority="10402" operator="containsText" text="&quot;A&quot;">
      <formula>NOT(ISERROR(SEARCH("""A""",CN26)))</formula>
    </cfRule>
  </conditionalFormatting>
  <conditionalFormatting sqref="CA25:CB25">
    <cfRule type="cellIs" dxfId="9683" priority="10392" operator="equal">
      <formula>"C-Off-H"</formula>
    </cfRule>
    <cfRule type="cellIs" dxfId="9682" priority="10393" operator="equal">
      <formula>"C-Off"</formula>
    </cfRule>
    <cfRule type="cellIs" dxfId="9681" priority="10394" operator="equal">
      <formula>"CL-H"</formula>
    </cfRule>
    <cfRule type="cellIs" dxfId="9680" priority="10395" operator="equal">
      <formula>"EL-H"</formula>
    </cfRule>
    <cfRule type="cellIs" dxfId="9679" priority="10396" operator="equal">
      <formula>"CL"</formula>
    </cfRule>
    <cfRule type="cellIs" dxfId="9678" priority="10397" operator="equal">
      <formula>"EL"</formula>
    </cfRule>
  </conditionalFormatting>
  <conditionalFormatting sqref="CA25:CB25">
    <cfRule type="containsText" dxfId="9677" priority="10386" operator="containsText" text="S">
      <formula>NOT(ISERROR(SEARCH("S",CA25)))</formula>
    </cfRule>
    <cfRule type="containsText" dxfId="9676" priority="10387" operator="containsText" text="P">
      <formula>NOT(ISERROR(SEARCH("P",CA25)))</formula>
    </cfRule>
    <cfRule type="containsText" dxfId="9675" priority="10388" operator="containsText" text="H">
      <formula>NOT(ISERROR(SEARCH("H",CA25)))</formula>
    </cfRule>
    <cfRule type="containsText" dxfId="9674" priority="10390" operator="containsText" text="&quot;H&quot;">
      <formula>NOT(ISERROR(SEARCH("""H""",CA25)))</formula>
    </cfRule>
    <cfRule type="containsText" dxfId="9673" priority="10391" operator="containsText" text="&quot;A&quot;">
      <formula>NOT(ISERROR(SEARCH("""A""",CA25)))</formula>
    </cfRule>
  </conditionalFormatting>
  <conditionalFormatting sqref="CA25:CB25">
    <cfRule type="containsText" dxfId="9672" priority="10389" operator="containsText" text="A-H">
      <formula>NOT(ISERROR(SEARCH("A-H",CA25)))</formula>
    </cfRule>
  </conditionalFormatting>
  <conditionalFormatting sqref="CD25:CE25">
    <cfRule type="cellIs" dxfId="9671" priority="10380" operator="equal">
      <formula>"C-Off-H"</formula>
    </cfRule>
    <cfRule type="cellIs" dxfId="9670" priority="10381" operator="equal">
      <formula>"C-Off"</formula>
    </cfRule>
    <cfRule type="cellIs" dxfId="9669" priority="10382" operator="equal">
      <formula>"CL-H"</formula>
    </cfRule>
    <cfRule type="cellIs" dxfId="9668" priority="10383" operator="equal">
      <formula>"EL-H"</formula>
    </cfRule>
    <cfRule type="cellIs" dxfId="9667" priority="10384" operator="equal">
      <formula>"CL"</formula>
    </cfRule>
    <cfRule type="cellIs" dxfId="9666" priority="10385" operator="equal">
      <formula>"EL"</formula>
    </cfRule>
  </conditionalFormatting>
  <conditionalFormatting sqref="CD25:CE25">
    <cfRule type="containsText" dxfId="9665" priority="10374" operator="containsText" text="S">
      <formula>NOT(ISERROR(SEARCH("S",CD25)))</formula>
    </cfRule>
    <cfRule type="containsText" dxfId="9664" priority="10375" operator="containsText" text="P">
      <formula>NOT(ISERROR(SEARCH("P",CD25)))</formula>
    </cfRule>
    <cfRule type="containsText" dxfId="9663" priority="10376" operator="containsText" text="H">
      <formula>NOT(ISERROR(SEARCH("H",CD25)))</formula>
    </cfRule>
    <cfRule type="containsText" dxfId="9662" priority="10378" operator="containsText" text="&quot;H&quot;">
      <formula>NOT(ISERROR(SEARCH("""H""",CD25)))</formula>
    </cfRule>
    <cfRule type="containsText" dxfId="9661" priority="10379" operator="containsText" text="&quot;A&quot;">
      <formula>NOT(ISERROR(SEARCH("""A""",CD25)))</formula>
    </cfRule>
  </conditionalFormatting>
  <conditionalFormatting sqref="CD25:CE25">
    <cfRule type="containsText" dxfId="9660" priority="10377" operator="containsText" text="A-H">
      <formula>NOT(ISERROR(SEARCH("A-H",CD25)))</formula>
    </cfRule>
  </conditionalFormatting>
  <conditionalFormatting sqref="CH25">
    <cfRule type="cellIs" dxfId="9659" priority="10368" operator="equal">
      <formula>"C-Off-H"</formula>
    </cfRule>
    <cfRule type="cellIs" dxfId="9658" priority="10369" operator="equal">
      <formula>"C-Off"</formula>
    </cfRule>
    <cfRule type="cellIs" dxfId="9657" priority="10370" operator="equal">
      <formula>"CL-H"</formula>
    </cfRule>
    <cfRule type="cellIs" dxfId="9656" priority="10371" operator="equal">
      <formula>"EL-H"</formula>
    </cfRule>
    <cfRule type="cellIs" dxfId="9655" priority="10372" operator="equal">
      <formula>"CL"</formula>
    </cfRule>
    <cfRule type="cellIs" dxfId="9654" priority="10373" operator="equal">
      <formula>"EL"</formula>
    </cfRule>
  </conditionalFormatting>
  <conditionalFormatting sqref="CH25">
    <cfRule type="containsText" dxfId="9653" priority="10362" operator="containsText" text="S">
      <formula>NOT(ISERROR(SEARCH("S",CH25)))</formula>
    </cfRule>
    <cfRule type="containsText" dxfId="9652" priority="10363" operator="containsText" text="P">
      <formula>NOT(ISERROR(SEARCH("P",CH25)))</formula>
    </cfRule>
    <cfRule type="containsText" dxfId="9651" priority="10364" operator="containsText" text="H">
      <formula>NOT(ISERROR(SEARCH("H",CH25)))</formula>
    </cfRule>
    <cfRule type="containsText" dxfId="9650" priority="10366" operator="containsText" text="&quot;H&quot;">
      <formula>NOT(ISERROR(SEARCH("""H""",CH25)))</formula>
    </cfRule>
    <cfRule type="containsText" dxfId="9649" priority="10367" operator="containsText" text="&quot;A&quot;">
      <formula>NOT(ISERROR(SEARCH("""A""",CH25)))</formula>
    </cfRule>
  </conditionalFormatting>
  <conditionalFormatting sqref="CH25">
    <cfRule type="containsText" dxfId="9648" priority="10365" operator="containsText" text="A-H">
      <formula>NOT(ISERROR(SEARCH("A-H",CH25)))</formula>
    </cfRule>
  </conditionalFormatting>
  <conditionalFormatting sqref="CG25">
    <cfRule type="cellIs" dxfId="9647" priority="10356" operator="equal">
      <formula>"C-Off-H"</formula>
    </cfRule>
    <cfRule type="cellIs" dxfId="9646" priority="10357" operator="equal">
      <formula>"C-Off"</formula>
    </cfRule>
    <cfRule type="cellIs" dxfId="9645" priority="10358" operator="equal">
      <formula>"CL-H"</formula>
    </cfRule>
    <cfRule type="cellIs" dxfId="9644" priority="10359" operator="equal">
      <formula>"EL-H"</formula>
    </cfRule>
    <cfRule type="cellIs" dxfId="9643" priority="10360" operator="equal">
      <formula>"CL"</formula>
    </cfRule>
    <cfRule type="cellIs" dxfId="9642" priority="10361" operator="equal">
      <formula>"EL"</formula>
    </cfRule>
  </conditionalFormatting>
  <conditionalFormatting sqref="CG25">
    <cfRule type="containsText" dxfId="9641" priority="10350" operator="containsText" text="S">
      <formula>NOT(ISERROR(SEARCH("S",CG25)))</formula>
    </cfRule>
    <cfRule type="containsText" dxfId="9640" priority="10351" operator="containsText" text="P">
      <formula>NOT(ISERROR(SEARCH("P",CG25)))</formula>
    </cfRule>
    <cfRule type="containsText" dxfId="9639" priority="10352" operator="containsText" text="H">
      <formula>NOT(ISERROR(SEARCH("H",CG25)))</formula>
    </cfRule>
    <cfRule type="containsText" dxfId="9638" priority="10354" operator="containsText" text="&quot;H&quot;">
      <formula>NOT(ISERROR(SEARCH("""H""",CG25)))</formula>
    </cfRule>
    <cfRule type="containsText" dxfId="9637" priority="10355" operator="containsText" text="&quot;A&quot;">
      <formula>NOT(ISERROR(SEARCH("""A""",CG25)))</formula>
    </cfRule>
  </conditionalFormatting>
  <conditionalFormatting sqref="CG25">
    <cfRule type="containsText" dxfId="9636" priority="10353" operator="containsText" text="A-H">
      <formula>NOT(ISERROR(SEARCH("A-H",CG25)))</formula>
    </cfRule>
  </conditionalFormatting>
  <conditionalFormatting sqref="CA26:CB26">
    <cfRule type="cellIs" dxfId="9635" priority="10344" operator="equal">
      <formula>"C-Off-H"</formula>
    </cfRule>
    <cfRule type="cellIs" dxfId="9634" priority="10345" operator="equal">
      <formula>"C-Off"</formula>
    </cfRule>
    <cfRule type="cellIs" dxfId="9633" priority="10346" operator="equal">
      <formula>"CL-H"</formula>
    </cfRule>
    <cfRule type="cellIs" dxfId="9632" priority="10347" operator="equal">
      <formula>"EL-H"</formula>
    </cfRule>
    <cfRule type="cellIs" dxfId="9631" priority="10348" operator="equal">
      <formula>"CL"</formula>
    </cfRule>
    <cfRule type="cellIs" dxfId="9630" priority="10349" operator="equal">
      <formula>"EL"</formula>
    </cfRule>
  </conditionalFormatting>
  <conditionalFormatting sqref="CA26:CB26">
    <cfRule type="containsText" dxfId="9629" priority="10338" operator="containsText" text="S">
      <formula>NOT(ISERROR(SEARCH("S",CA26)))</formula>
    </cfRule>
    <cfRule type="containsText" dxfId="9628" priority="10339" operator="containsText" text="P">
      <formula>NOT(ISERROR(SEARCH("P",CA26)))</formula>
    </cfRule>
    <cfRule type="containsText" dxfId="9627" priority="10340" operator="containsText" text="H">
      <formula>NOT(ISERROR(SEARCH("H",CA26)))</formula>
    </cfRule>
    <cfRule type="containsText" dxfId="9626" priority="10342" operator="containsText" text="&quot;H&quot;">
      <formula>NOT(ISERROR(SEARCH("""H""",CA26)))</formula>
    </cfRule>
    <cfRule type="containsText" dxfId="9625" priority="10343" operator="containsText" text="&quot;A&quot;">
      <formula>NOT(ISERROR(SEARCH("""A""",CA26)))</formula>
    </cfRule>
  </conditionalFormatting>
  <conditionalFormatting sqref="CA26:CB26">
    <cfRule type="containsText" dxfId="9624" priority="10341" operator="containsText" text="A-H">
      <formula>NOT(ISERROR(SEARCH("A-H",CA26)))</formula>
    </cfRule>
  </conditionalFormatting>
  <conditionalFormatting sqref="CD26:CE26">
    <cfRule type="cellIs" dxfId="9623" priority="10332" operator="equal">
      <formula>"C-Off-H"</formula>
    </cfRule>
    <cfRule type="cellIs" dxfId="9622" priority="10333" operator="equal">
      <formula>"C-Off"</formula>
    </cfRule>
    <cfRule type="cellIs" dxfId="9621" priority="10334" operator="equal">
      <formula>"CL-H"</formula>
    </cfRule>
    <cfRule type="cellIs" dxfId="9620" priority="10335" operator="equal">
      <formula>"EL-H"</formula>
    </cfRule>
    <cfRule type="cellIs" dxfId="9619" priority="10336" operator="equal">
      <formula>"CL"</formula>
    </cfRule>
    <cfRule type="cellIs" dxfId="9618" priority="10337" operator="equal">
      <formula>"EL"</formula>
    </cfRule>
  </conditionalFormatting>
  <conditionalFormatting sqref="CD26:CE26">
    <cfRule type="containsText" dxfId="9617" priority="10326" operator="containsText" text="S">
      <formula>NOT(ISERROR(SEARCH("S",CD26)))</formula>
    </cfRule>
    <cfRule type="containsText" dxfId="9616" priority="10327" operator="containsText" text="P">
      <formula>NOT(ISERROR(SEARCH("P",CD26)))</formula>
    </cfRule>
    <cfRule type="containsText" dxfId="9615" priority="10328" operator="containsText" text="H">
      <formula>NOT(ISERROR(SEARCH("H",CD26)))</formula>
    </cfRule>
    <cfRule type="containsText" dxfId="9614" priority="10330" operator="containsText" text="&quot;H&quot;">
      <formula>NOT(ISERROR(SEARCH("""H""",CD26)))</formula>
    </cfRule>
    <cfRule type="containsText" dxfId="9613" priority="10331" operator="containsText" text="&quot;A&quot;">
      <formula>NOT(ISERROR(SEARCH("""A""",CD26)))</formula>
    </cfRule>
  </conditionalFormatting>
  <conditionalFormatting sqref="CD26:CE26">
    <cfRule type="containsText" dxfId="9612" priority="10329" operator="containsText" text="A-H">
      <formula>NOT(ISERROR(SEARCH("A-H",CD26)))</formula>
    </cfRule>
  </conditionalFormatting>
  <conditionalFormatting sqref="CH26">
    <cfRule type="cellIs" dxfId="9611" priority="10320" operator="equal">
      <formula>"C-Off-H"</formula>
    </cfRule>
    <cfRule type="cellIs" dxfId="9610" priority="10321" operator="equal">
      <formula>"C-Off"</formula>
    </cfRule>
    <cfRule type="cellIs" dxfId="9609" priority="10322" operator="equal">
      <formula>"CL-H"</formula>
    </cfRule>
    <cfRule type="cellIs" dxfId="9608" priority="10323" operator="equal">
      <formula>"EL-H"</formula>
    </cfRule>
    <cfRule type="cellIs" dxfId="9607" priority="10324" operator="equal">
      <formula>"CL"</formula>
    </cfRule>
    <cfRule type="cellIs" dxfId="9606" priority="10325" operator="equal">
      <formula>"EL"</formula>
    </cfRule>
  </conditionalFormatting>
  <conditionalFormatting sqref="CH26">
    <cfRule type="containsText" dxfId="9605" priority="10314" operator="containsText" text="S">
      <formula>NOT(ISERROR(SEARCH("S",CH26)))</formula>
    </cfRule>
    <cfRule type="containsText" dxfId="9604" priority="10315" operator="containsText" text="P">
      <formula>NOT(ISERROR(SEARCH("P",CH26)))</formula>
    </cfRule>
    <cfRule type="containsText" dxfId="9603" priority="10316" operator="containsText" text="H">
      <formula>NOT(ISERROR(SEARCH("H",CH26)))</formula>
    </cfRule>
    <cfRule type="containsText" dxfId="9602" priority="10318" operator="containsText" text="&quot;H&quot;">
      <formula>NOT(ISERROR(SEARCH("""H""",CH26)))</formula>
    </cfRule>
    <cfRule type="containsText" dxfId="9601" priority="10319" operator="containsText" text="&quot;A&quot;">
      <formula>NOT(ISERROR(SEARCH("""A""",CH26)))</formula>
    </cfRule>
  </conditionalFormatting>
  <conditionalFormatting sqref="CH26">
    <cfRule type="containsText" dxfId="9600" priority="10317" operator="containsText" text="A-H">
      <formula>NOT(ISERROR(SEARCH("A-H",CH26)))</formula>
    </cfRule>
  </conditionalFormatting>
  <conditionalFormatting sqref="CG26">
    <cfRule type="cellIs" dxfId="9599" priority="10308" operator="equal">
      <formula>"C-Off-H"</formula>
    </cfRule>
    <cfRule type="cellIs" dxfId="9598" priority="10309" operator="equal">
      <formula>"C-Off"</formula>
    </cfRule>
    <cfRule type="cellIs" dxfId="9597" priority="10310" operator="equal">
      <formula>"CL-H"</formula>
    </cfRule>
    <cfRule type="cellIs" dxfId="9596" priority="10311" operator="equal">
      <formula>"EL-H"</formula>
    </cfRule>
    <cfRule type="cellIs" dxfId="9595" priority="10312" operator="equal">
      <formula>"CL"</formula>
    </cfRule>
    <cfRule type="cellIs" dxfId="9594" priority="10313" operator="equal">
      <formula>"EL"</formula>
    </cfRule>
  </conditionalFormatting>
  <conditionalFormatting sqref="CG26">
    <cfRule type="containsText" dxfId="9593" priority="10302" operator="containsText" text="S">
      <formula>NOT(ISERROR(SEARCH("S",CG26)))</formula>
    </cfRule>
    <cfRule type="containsText" dxfId="9592" priority="10303" operator="containsText" text="P">
      <formula>NOT(ISERROR(SEARCH("P",CG26)))</formula>
    </cfRule>
    <cfRule type="containsText" dxfId="9591" priority="10304" operator="containsText" text="H">
      <formula>NOT(ISERROR(SEARCH("H",CG26)))</formula>
    </cfRule>
    <cfRule type="containsText" dxfId="9590" priority="10306" operator="containsText" text="&quot;H&quot;">
      <formula>NOT(ISERROR(SEARCH("""H""",CG26)))</formula>
    </cfRule>
    <cfRule type="containsText" dxfId="9589" priority="10307" operator="containsText" text="&quot;A&quot;">
      <formula>NOT(ISERROR(SEARCH("""A""",CG26)))</formula>
    </cfRule>
  </conditionalFormatting>
  <conditionalFormatting sqref="CG26">
    <cfRule type="containsText" dxfId="9588" priority="10305" operator="containsText" text="A-H">
      <formula>NOT(ISERROR(SEARCH("A-H",CG26)))</formula>
    </cfRule>
  </conditionalFormatting>
  <conditionalFormatting sqref="CA24:CB24">
    <cfRule type="cellIs" dxfId="9587" priority="10296" operator="equal">
      <formula>"C-Off-H"</formula>
    </cfRule>
    <cfRule type="cellIs" dxfId="9586" priority="10297" operator="equal">
      <formula>"C-Off"</formula>
    </cfRule>
    <cfRule type="cellIs" dxfId="9585" priority="10298" operator="equal">
      <formula>"CL-H"</formula>
    </cfRule>
    <cfRule type="cellIs" dxfId="9584" priority="10299" operator="equal">
      <formula>"EL-H"</formula>
    </cfRule>
    <cfRule type="cellIs" dxfId="9583" priority="10300" operator="equal">
      <formula>"CL"</formula>
    </cfRule>
    <cfRule type="cellIs" dxfId="9582" priority="10301" operator="equal">
      <formula>"EL"</formula>
    </cfRule>
  </conditionalFormatting>
  <conditionalFormatting sqref="CA24:CB24">
    <cfRule type="containsText" dxfId="9581" priority="10290" operator="containsText" text="S">
      <formula>NOT(ISERROR(SEARCH("S",CA24)))</formula>
    </cfRule>
    <cfRule type="containsText" dxfId="9580" priority="10291" operator="containsText" text="P">
      <formula>NOT(ISERROR(SEARCH("P",CA24)))</formula>
    </cfRule>
    <cfRule type="containsText" dxfId="9579" priority="10292" operator="containsText" text="H">
      <formula>NOT(ISERROR(SEARCH("H",CA24)))</formula>
    </cfRule>
    <cfRule type="containsText" dxfId="9578" priority="10294" operator="containsText" text="&quot;H&quot;">
      <formula>NOT(ISERROR(SEARCH("""H""",CA24)))</formula>
    </cfRule>
    <cfRule type="containsText" dxfId="9577" priority="10295" operator="containsText" text="&quot;A&quot;">
      <formula>NOT(ISERROR(SEARCH("""A""",CA24)))</formula>
    </cfRule>
  </conditionalFormatting>
  <conditionalFormatting sqref="CA24:CB24">
    <cfRule type="containsText" dxfId="9576" priority="10293" operator="containsText" text="A-H">
      <formula>NOT(ISERROR(SEARCH("A-H",CA24)))</formula>
    </cfRule>
  </conditionalFormatting>
  <conditionalFormatting sqref="CD24:CE24">
    <cfRule type="cellIs" dxfId="9575" priority="10284" operator="equal">
      <formula>"C-Off-H"</formula>
    </cfRule>
    <cfRule type="cellIs" dxfId="9574" priority="10285" operator="equal">
      <formula>"C-Off"</formula>
    </cfRule>
    <cfRule type="cellIs" dxfId="9573" priority="10286" operator="equal">
      <formula>"CL-H"</formula>
    </cfRule>
    <cfRule type="cellIs" dxfId="9572" priority="10287" operator="equal">
      <formula>"EL-H"</formula>
    </cfRule>
    <cfRule type="cellIs" dxfId="9571" priority="10288" operator="equal">
      <formula>"CL"</formula>
    </cfRule>
    <cfRule type="cellIs" dxfId="9570" priority="10289" operator="equal">
      <formula>"EL"</formula>
    </cfRule>
  </conditionalFormatting>
  <conditionalFormatting sqref="CD24:CE24">
    <cfRule type="containsText" dxfId="9569" priority="10278" operator="containsText" text="S">
      <formula>NOT(ISERROR(SEARCH("S",CD24)))</formula>
    </cfRule>
    <cfRule type="containsText" dxfId="9568" priority="10279" operator="containsText" text="P">
      <formula>NOT(ISERROR(SEARCH("P",CD24)))</formula>
    </cfRule>
    <cfRule type="containsText" dxfId="9567" priority="10280" operator="containsText" text="H">
      <formula>NOT(ISERROR(SEARCH("H",CD24)))</formula>
    </cfRule>
    <cfRule type="containsText" dxfId="9566" priority="10282" operator="containsText" text="&quot;H&quot;">
      <formula>NOT(ISERROR(SEARCH("""H""",CD24)))</formula>
    </cfRule>
    <cfRule type="containsText" dxfId="9565" priority="10283" operator="containsText" text="&quot;A&quot;">
      <formula>NOT(ISERROR(SEARCH("""A""",CD24)))</formula>
    </cfRule>
  </conditionalFormatting>
  <conditionalFormatting sqref="CD24:CE24">
    <cfRule type="containsText" dxfId="9564" priority="10281" operator="containsText" text="A-H">
      <formula>NOT(ISERROR(SEARCH("A-H",CD24)))</formula>
    </cfRule>
  </conditionalFormatting>
  <conditionalFormatting sqref="CH24">
    <cfRule type="cellIs" dxfId="9563" priority="10272" operator="equal">
      <formula>"C-Off-H"</formula>
    </cfRule>
    <cfRule type="cellIs" dxfId="9562" priority="10273" operator="equal">
      <formula>"C-Off"</formula>
    </cfRule>
    <cfRule type="cellIs" dxfId="9561" priority="10274" operator="equal">
      <formula>"CL-H"</formula>
    </cfRule>
    <cfRule type="cellIs" dxfId="9560" priority="10275" operator="equal">
      <formula>"EL-H"</formula>
    </cfRule>
    <cfRule type="cellIs" dxfId="9559" priority="10276" operator="equal">
      <formula>"CL"</formula>
    </cfRule>
    <cfRule type="cellIs" dxfId="9558" priority="10277" operator="equal">
      <formula>"EL"</formula>
    </cfRule>
  </conditionalFormatting>
  <conditionalFormatting sqref="CH24">
    <cfRule type="containsText" dxfId="9557" priority="10266" operator="containsText" text="S">
      <formula>NOT(ISERROR(SEARCH("S",CH24)))</formula>
    </cfRule>
    <cfRule type="containsText" dxfId="9556" priority="10267" operator="containsText" text="P">
      <formula>NOT(ISERROR(SEARCH("P",CH24)))</formula>
    </cfRule>
    <cfRule type="containsText" dxfId="9555" priority="10268" operator="containsText" text="H">
      <formula>NOT(ISERROR(SEARCH("H",CH24)))</formula>
    </cfRule>
    <cfRule type="containsText" dxfId="9554" priority="10270" operator="containsText" text="&quot;H&quot;">
      <formula>NOT(ISERROR(SEARCH("""H""",CH24)))</formula>
    </cfRule>
    <cfRule type="containsText" dxfId="9553" priority="10271" operator="containsText" text="&quot;A&quot;">
      <formula>NOT(ISERROR(SEARCH("""A""",CH24)))</formula>
    </cfRule>
  </conditionalFormatting>
  <conditionalFormatting sqref="CH24">
    <cfRule type="containsText" dxfId="9552" priority="10269" operator="containsText" text="A-H">
      <formula>NOT(ISERROR(SEARCH("A-H",CH24)))</formula>
    </cfRule>
  </conditionalFormatting>
  <conditionalFormatting sqref="CG24">
    <cfRule type="cellIs" dxfId="9551" priority="10260" operator="equal">
      <formula>"C-Off-H"</formula>
    </cfRule>
    <cfRule type="cellIs" dxfId="9550" priority="10261" operator="equal">
      <formula>"C-Off"</formula>
    </cfRule>
    <cfRule type="cellIs" dxfId="9549" priority="10262" operator="equal">
      <formula>"CL-H"</formula>
    </cfRule>
    <cfRule type="cellIs" dxfId="9548" priority="10263" operator="equal">
      <formula>"EL-H"</formula>
    </cfRule>
    <cfRule type="cellIs" dxfId="9547" priority="10264" operator="equal">
      <formula>"CL"</formula>
    </cfRule>
    <cfRule type="cellIs" dxfId="9546" priority="10265" operator="equal">
      <formula>"EL"</formula>
    </cfRule>
  </conditionalFormatting>
  <conditionalFormatting sqref="CG24">
    <cfRule type="containsText" dxfId="9545" priority="10254" operator="containsText" text="S">
      <formula>NOT(ISERROR(SEARCH("S",CG24)))</formula>
    </cfRule>
    <cfRule type="containsText" dxfId="9544" priority="10255" operator="containsText" text="P">
      <formula>NOT(ISERROR(SEARCH("P",CG24)))</formula>
    </cfRule>
    <cfRule type="containsText" dxfId="9543" priority="10256" operator="containsText" text="H">
      <formula>NOT(ISERROR(SEARCH("H",CG24)))</formula>
    </cfRule>
    <cfRule type="containsText" dxfId="9542" priority="10258" operator="containsText" text="&quot;H&quot;">
      <formula>NOT(ISERROR(SEARCH("""H""",CG24)))</formula>
    </cfRule>
    <cfRule type="containsText" dxfId="9541" priority="10259" operator="containsText" text="&quot;A&quot;">
      <formula>NOT(ISERROR(SEARCH("""A""",CG24)))</formula>
    </cfRule>
  </conditionalFormatting>
  <conditionalFormatting sqref="CG24">
    <cfRule type="containsText" dxfId="9540" priority="10257" operator="containsText" text="A-H">
      <formula>NOT(ISERROR(SEARCH("A-H",CG24)))</formula>
    </cfRule>
  </conditionalFormatting>
  <conditionalFormatting sqref="H25">
    <cfRule type="cellIs" dxfId="9539" priority="10248" operator="equal">
      <formula>"C-Off-H"</formula>
    </cfRule>
    <cfRule type="cellIs" dxfId="9538" priority="10249" operator="equal">
      <formula>"C-Off"</formula>
    </cfRule>
    <cfRule type="cellIs" dxfId="9537" priority="10250" operator="equal">
      <formula>"CL-H"</formula>
    </cfRule>
    <cfRule type="cellIs" dxfId="9536" priority="10251" operator="equal">
      <formula>"EL-H"</formula>
    </cfRule>
    <cfRule type="cellIs" dxfId="9535" priority="10252" operator="equal">
      <formula>"CL"</formula>
    </cfRule>
    <cfRule type="cellIs" dxfId="9534" priority="10253" operator="equal">
      <formula>"EL"</formula>
    </cfRule>
  </conditionalFormatting>
  <conditionalFormatting sqref="G25:H25">
    <cfRule type="cellIs" dxfId="9533" priority="10242" operator="equal">
      <formula>"C-Off-H"</formula>
    </cfRule>
    <cfRule type="cellIs" dxfId="9532" priority="10243" operator="equal">
      <formula>"C-Off"</formula>
    </cfRule>
    <cfRule type="cellIs" dxfId="9531" priority="10244" operator="equal">
      <formula>"CL-H"</formula>
    </cfRule>
    <cfRule type="cellIs" dxfId="9530" priority="10245" operator="equal">
      <formula>"EL-H"</formula>
    </cfRule>
    <cfRule type="cellIs" dxfId="9529" priority="10246" operator="equal">
      <formula>"CL"</formula>
    </cfRule>
    <cfRule type="cellIs" dxfId="9528" priority="10247" operator="equal">
      <formula>"EL"</formula>
    </cfRule>
  </conditionalFormatting>
  <conditionalFormatting sqref="G25:H25">
    <cfRule type="containsText" dxfId="9527" priority="10236" operator="containsText" text="S">
      <formula>NOT(ISERROR(SEARCH("S",G25)))</formula>
    </cfRule>
    <cfRule type="containsText" dxfId="9526" priority="10237" operator="containsText" text="P">
      <formula>NOT(ISERROR(SEARCH("P",G25)))</formula>
    </cfRule>
    <cfRule type="containsText" dxfId="9525" priority="10238" operator="containsText" text="H">
      <formula>NOT(ISERROR(SEARCH("H",G25)))</formula>
    </cfRule>
    <cfRule type="containsText" dxfId="9524" priority="10240" operator="containsText" text="&quot;H&quot;">
      <formula>NOT(ISERROR(SEARCH("""H""",G25)))</formula>
    </cfRule>
    <cfRule type="containsText" dxfId="9523" priority="10241" operator="containsText" text="&quot;A&quot;">
      <formula>NOT(ISERROR(SEARCH("""A""",G25)))</formula>
    </cfRule>
  </conditionalFormatting>
  <conditionalFormatting sqref="G25:H25">
    <cfRule type="containsText" dxfId="9522" priority="10239" operator="containsText" text="A-H">
      <formula>NOT(ISERROR(SEARCH("A-H",G25)))</formula>
    </cfRule>
  </conditionalFormatting>
  <conditionalFormatting sqref="H26">
    <cfRule type="cellIs" dxfId="9521" priority="10230" operator="equal">
      <formula>"C-Off-H"</formula>
    </cfRule>
    <cfRule type="cellIs" dxfId="9520" priority="10231" operator="equal">
      <formula>"C-Off"</formula>
    </cfRule>
    <cfRule type="cellIs" dxfId="9519" priority="10232" operator="equal">
      <formula>"CL-H"</formula>
    </cfRule>
    <cfRule type="cellIs" dxfId="9518" priority="10233" operator="equal">
      <formula>"EL-H"</formula>
    </cfRule>
    <cfRule type="cellIs" dxfId="9517" priority="10234" operator="equal">
      <formula>"CL"</formula>
    </cfRule>
    <cfRule type="cellIs" dxfId="9516" priority="10235" operator="equal">
      <formula>"EL"</formula>
    </cfRule>
  </conditionalFormatting>
  <conditionalFormatting sqref="G26:H26">
    <cfRule type="cellIs" dxfId="9515" priority="10224" operator="equal">
      <formula>"C-Off-H"</formula>
    </cfRule>
    <cfRule type="cellIs" dxfId="9514" priority="10225" operator="equal">
      <formula>"C-Off"</formula>
    </cfRule>
    <cfRule type="cellIs" dxfId="9513" priority="10226" operator="equal">
      <formula>"CL-H"</formula>
    </cfRule>
    <cfRule type="cellIs" dxfId="9512" priority="10227" operator="equal">
      <formula>"EL-H"</formula>
    </cfRule>
    <cfRule type="cellIs" dxfId="9511" priority="10228" operator="equal">
      <formula>"CL"</formula>
    </cfRule>
    <cfRule type="cellIs" dxfId="9510" priority="10229" operator="equal">
      <formula>"EL"</formula>
    </cfRule>
  </conditionalFormatting>
  <conditionalFormatting sqref="G26:H26">
    <cfRule type="containsText" dxfId="9509" priority="10218" operator="containsText" text="S">
      <formula>NOT(ISERROR(SEARCH("S",G26)))</formula>
    </cfRule>
    <cfRule type="containsText" dxfId="9508" priority="10219" operator="containsText" text="P">
      <formula>NOT(ISERROR(SEARCH("P",G26)))</formula>
    </cfRule>
    <cfRule type="containsText" dxfId="9507" priority="10220" operator="containsText" text="H">
      <formula>NOT(ISERROR(SEARCH("H",G26)))</formula>
    </cfRule>
    <cfRule type="containsText" dxfId="9506" priority="10222" operator="containsText" text="&quot;H&quot;">
      <formula>NOT(ISERROR(SEARCH("""H""",G26)))</formula>
    </cfRule>
    <cfRule type="containsText" dxfId="9505" priority="10223" operator="containsText" text="&quot;A&quot;">
      <formula>NOT(ISERROR(SEARCH("""A""",G26)))</formula>
    </cfRule>
  </conditionalFormatting>
  <conditionalFormatting sqref="G26:H26">
    <cfRule type="containsText" dxfId="9504" priority="10221" operator="containsText" text="A-H">
      <formula>NOT(ISERROR(SEARCH("A-H",G26)))</formula>
    </cfRule>
  </conditionalFormatting>
  <conditionalFormatting sqref="H24">
    <cfRule type="cellIs" dxfId="9503" priority="10212" operator="equal">
      <formula>"C-Off-H"</formula>
    </cfRule>
    <cfRule type="cellIs" dxfId="9502" priority="10213" operator="equal">
      <formula>"C-Off"</formula>
    </cfRule>
    <cfRule type="cellIs" dxfId="9501" priority="10214" operator="equal">
      <formula>"CL-H"</formula>
    </cfRule>
    <cfRule type="cellIs" dxfId="9500" priority="10215" operator="equal">
      <formula>"EL-H"</formula>
    </cfRule>
    <cfRule type="cellIs" dxfId="9499" priority="10216" operator="equal">
      <formula>"CL"</formula>
    </cfRule>
    <cfRule type="cellIs" dxfId="9498" priority="10217" operator="equal">
      <formula>"EL"</formula>
    </cfRule>
  </conditionalFormatting>
  <conditionalFormatting sqref="G24:H24">
    <cfRule type="cellIs" dxfId="9497" priority="10206" operator="equal">
      <formula>"C-Off-H"</formula>
    </cfRule>
    <cfRule type="cellIs" dxfId="9496" priority="10207" operator="equal">
      <formula>"C-Off"</formula>
    </cfRule>
    <cfRule type="cellIs" dxfId="9495" priority="10208" operator="equal">
      <formula>"CL-H"</formula>
    </cfRule>
    <cfRule type="cellIs" dxfId="9494" priority="10209" operator="equal">
      <formula>"EL-H"</formula>
    </cfRule>
    <cfRule type="cellIs" dxfId="9493" priority="10210" operator="equal">
      <formula>"CL"</formula>
    </cfRule>
    <cfRule type="cellIs" dxfId="9492" priority="10211" operator="equal">
      <formula>"EL"</formula>
    </cfRule>
  </conditionalFormatting>
  <conditionalFormatting sqref="G24:H24">
    <cfRule type="containsText" dxfId="9491" priority="10200" operator="containsText" text="S">
      <formula>NOT(ISERROR(SEARCH("S",G24)))</formula>
    </cfRule>
    <cfRule type="containsText" dxfId="9490" priority="10201" operator="containsText" text="P">
      <formula>NOT(ISERROR(SEARCH("P",G24)))</formula>
    </cfRule>
    <cfRule type="containsText" dxfId="9489" priority="10202" operator="containsText" text="H">
      <formula>NOT(ISERROR(SEARCH("H",G24)))</formula>
    </cfRule>
    <cfRule type="containsText" dxfId="9488" priority="10204" operator="containsText" text="&quot;H&quot;">
      <formula>NOT(ISERROR(SEARCH("""H""",G24)))</formula>
    </cfRule>
    <cfRule type="containsText" dxfId="9487" priority="10205" operator="containsText" text="&quot;A&quot;">
      <formula>NOT(ISERROR(SEARCH("""A""",G24)))</formula>
    </cfRule>
  </conditionalFormatting>
  <conditionalFormatting sqref="G24:H24">
    <cfRule type="containsText" dxfId="9486" priority="10203" operator="containsText" text="A-H">
      <formula>NOT(ISERROR(SEARCH("A-H",G24)))</formula>
    </cfRule>
  </conditionalFormatting>
  <conditionalFormatting sqref="CX23">
    <cfRule type="cellIs" dxfId="9485" priority="10127" operator="equal">
      <formula>"C-Off-H"</formula>
    </cfRule>
    <cfRule type="cellIs" dxfId="9484" priority="10128" operator="equal">
      <formula>"C-Off"</formula>
    </cfRule>
    <cfRule type="cellIs" dxfId="9483" priority="10129" operator="equal">
      <formula>"CL-H"</formula>
    </cfRule>
    <cfRule type="cellIs" dxfId="9482" priority="10130" operator="equal">
      <formula>"EL-H"</formula>
    </cfRule>
    <cfRule type="cellIs" dxfId="9481" priority="10131" operator="equal">
      <formula>"CL"</formula>
    </cfRule>
    <cfRule type="cellIs" dxfId="9480" priority="10132" operator="equal">
      <formula>"EL"</formula>
    </cfRule>
  </conditionalFormatting>
  <conditionalFormatting sqref="CX23">
    <cfRule type="containsText" dxfId="9479" priority="10126" operator="containsText" text="A-H">
      <formula>NOT(ISERROR(SEARCH("A-H",CX23)))</formula>
    </cfRule>
  </conditionalFormatting>
  <conditionalFormatting sqref="CX23">
    <cfRule type="containsText" dxfId="9478" priority="10125" operator="containsText" text="A">
      <formula>NOT(ISERROR(SEARCH("A",CX23)))</formula>
    </cfRule>
  </conditionalFormatting>
  <conditionalFormatting sqref="DC23 CP23:CW23">
    <cfRule type="cellIs" dxfId="9477" priority="10108" operator="equal">
      <formula>"C-Off-H"</formula>
    </cfRule>
    <cfRule type="cellIs" dxfId="9476" priority="10109" operator="equal">
      <formula>"C-Off"</formula>
    </cfRule>
    <cfRule type="cellIs" dxfId="9475" priority="10110" operator="equal">
      <formula>"CL-H"</formula>
    </cfRule>
    <cfRule type="cellIs" dxfId="9474" priority="10111" operator="equal">
      <formula>"EL-H"</formula>
    </cfRule>
    <cfRule type="cellIs" dxfId="9473" priority="10112" operator="equal">
      <formula>"CL"</formula>
    </cfRule>
    <cfRule type="cellIs" dxfId="9472" priority="10113" operator="equal">
      <formula>"EL"</formula>
    </cfRule>
  </conditionalFormatting>
  <conditionalFormatting sqref="DC23 CP23:CW23 CY23:DA23">
    <cfRule type="containsText" dxfId="9471" priority="10107" operator="containsText" text="A-H">
      <formula>NOT(ISERROR(SEARCH("A-H",CP23)))</formula>
    </cfRule>
  </conditionalFormatting>
  <conditionalFormatting sqref="DC23 CP23:CW23 CY23:DA23">
    <cfRule type="containsText" dxfId="9470" priority="10106" operator="containsText" text="A">
      <formula>NOT(ISERROR(SEARCH("A",CP23)))</formula>
    </cfRule>
  </conditionalFormatting>
  <conditionalFormatting sqref="CY23 DA23">
    <cfRule type="cellIs" dxfId="9469" priority="10100" stopIfTrue="1" operator="equal">
      <formula>"C-Off-H"</formula>
    </cfRule>
    <cfRule type="cellIs" dxfId="9468" priority="10101" stopIfTrue="1" operator="equal">
      <formula>"C-Off"</formula>
    </cfRule>
    <cfRule type="cellIs" dxfId="9467" priority="10102" stopIfTrue="1" operator="equal">
      <formula>"CL-H"</formula>
    </cfRule>
    <cfRule type="cellIs" dxfId="9466" priority="10103" stopIfTrue="1" operator="equal">
      <formula>"EL-H"</formula>
    </cfRule>
    <cfRule type="cellIs" dxfId="9465" priority="10104" stopIfTrue="1" operator="equal">
      <formula>"CL"</formula>
    </cfRule>
    <cfRule type="cellIs" dxfId="9464" priority="10105" stopIfTrue="1" operator="equal">
      <formula>"EL"</formula>
    </cfRule>
  </conditionalFormatting>
  <conditionalFormatting sqref="CZ23">
    <cfRule type="cellIs" dxfId="9463" priority="10094" stopIfTrue="1" operator="equal">
      <formula>"C-Off-H"</formula>
    </cfRule>
    <cfRule type="cellIs" dxfId="9462" priority="10095" stopIfTrue="1" operator="equal">
      <formula>"C-Off"</formula>
    </cfRule>
    <cfRule type="cellIs" dxfId="9461" priority="10096" stopIfTrue="1" operator="equal">
      <formula>"CL-H"</formula>
    </cfRule>
    <cfRule type="cellIs" dxfId="9460" priority="10097" stopIfTrue="1" operator="equal">
      <formula>"EL-H"</formula>
    </cfRule>
    <cfRule type="cellIs" dxfId="9459" priority="10098" stopIfTrue="1" operator="equal">
      <formula>"CL"</formula>
    </cfRule>
    <cfRule type="cellIs" dxfId="9458" priority="10099" stopIfTrue="1" operator="equal">
      <formula>"EL"</formula>
    </cfRule>
  </conditionalFormatting>
  <conditionalFormatting sqref="DD23">
    <cfRule type="cellIs" dxfId="9457" priority="10083" operator="equal">
      <formula>"C-Off-H"</formula>
    </cfRule>
    <cfRule type="cellIs" dxfId="9456" priority="10084" operator="equal">
      <formula>"C-Off"</formula>
    </cfRule>
    <cfRule type="cellIs" dxfId="9455" priority="10085" operator="equal">
      <formula>"CL-H"</formula>
    </cfRule>
    <cfRule type="cellIs" dxfId="9454" priority="10086" operator="equal">
      <formula>"EL-H"</formula>
    </cfRule>
    <cfRule type="cellIs" dxfId="9453" priority="10087" operator="equal">
      <formula>"CL"</formula>
    </cfRule>
    <cfRule type="cellIs" dxfId="9452" priority="10088" operator="equal">
      <formula>"EL"</formula>
    </cfRule>
  </conditionalFormatting>
  <conditionalFormatting sqref="DD23">
    <cfRule type="containsText" dxfId="9451" priority="10082" operator="containsText" text="A">
      <formula>NOT(ISERROR(SEARCH("A",DD23)))</formula>
    </cfRule>
  </conditionalFormatting>
  <conditionalFormatting sqref="DD23">
    <cfRule type="containsText" dxfId="9450" priority="10081" operator="containsText" text="A-H">
      <formula>NOT(ISERROR(SEARCH("A-H",DD23)))</formula>
    </cfRule>
  </conditionalFormatting>
  <conditionalFormatting sqref="AI23">
    <cfRule type="cellIs" dxfId="9449" priority="10075" operator="equal">
      <formula>"C-Off-H"</formula>
    </cfRule>
    <cfRule type="cellIs" dxfId="9448" priority="10076" operator="equal">
      <formula>"C-Off"</formula>
    </cfRule>
    <cfRule type="cellIs" dxfId="9447" priority="10077" operator="equal">
      <formula>"CL-H"</formula>
    </cfRule>
    <cfRule type="cellIs" dxfId="9446" priority="10078" operator="equal">
      <formula>"EL-H"</formula>
    </cfRule>
    <cfRule type="cellIs" dxfId="9445" priority="10079" operator="equal">
      <formula>"CL"</formula>
    </cfRule>
    <cfRule type="cellIs" dxfId="9444" priority="10080" operator="equal">
      <formula>"EL"</formula>
    </cfRule>
  </conditionalFormatting>
  <conditionalFormatting sqref="AH23:AI23">
    <cfRule type="cellIs" dxfId="9443" priority="10069" operator="equal">
      <formula>"C-Off-H"</formula>
    </cfRule>
    <cfRule type="cellIs" dxfId="9442" priority="10070" operator="equal">
      <formula>"C-Off"</formula>
    </cfRule>
    <cfRule type="cellIs" dxfId="9441" priority="10071" operator="equal">
      <formula>"CL-H"</formula>
    </cfRule>
    <cfRule type="cellIs" dxfId="9440" priority="10072" operator="equal">
      <formula>"EL-H"</formula>
    </cfRule>
    <cfRule type="cellIs" dxfId="9439" priority="10073" operator="equal">
      <formula>"CL"</formula>
    </cfRule>
    <cfRule type="cellIs" dxfId="9438" priority="10074" operator="equal">
      <formula>"EL"</formula>
    </cfRule>
  </conditionalFormatting>
  <conditionalFormatting sqref="AH23:AI23">
    <cfRule type="containsText" dxfId="9437" priority="10063" operator="containsText" text="S">
      <formula>NOT(ISERROR(SEARCH("S",AH23)))</formula>
    </cfRule>
    <cfRule type="containsText" dxfId="9436" priority="10064" operator="containsText" text="P">
      <formula>NOT(ISERROR(SEARCH("P",AH23)))</formula>
    </cfRule>
    <cfRule type="containsText" dxfId="9435" priority="10065" operator="containsText" text="H">
      <formula>NOT(ISERROR(SEARCH("H",AH23)))</formula>
    </cfRule>
    <cfRule type="containsText" dxfId="9434" priority="10067" operator="containsText" text="&quot;H&quot;">
      <formula>NOT(ISERROR(SEARCH("""H""",AH23)))</formula>
    </cfRule>
    <cfRule type="containsText" dxfId="9433" priority="10068" operator="containsText" text="&quot;A&quot;">
      <formula>NOT(ISERROR(SEARCH("""A""",AH23)))</formula>
    </cfRule>
  </conditionalFormatting>
  <conditionalFormatting sqref="AH23:AI23">
    <cfRule type="containsText" dxfId="9432" priority="10066" operator="containsText" text="A-H">
      <formula>NOT(ISERROR(SEARCH("A-H",AH23)))</formula>
    </cfRule>
  </conditionalFormatting>
  <conditionalFormatting sqref="AU23">
    <cfRule type="cellIs" dxfId="9431" priority="10057" operator="equal">
      <formula>"C-Off-H"</formula>
    </cfRule>
    <cfRule type="cellIs" dxfId="9430" priority="10058" operator="equal">
      <formula>"C-Off"</formula>
    </cfRule>
    <cfRule type="cellIs" dxfId="9429" priority="10059" operator="equal">
      <formula>"CL-H"</formula>
    </cfRule>
    <cfRule type="cellIs" dxfId="9428" priority="10060" operator="equal">
      <formula>"EL-H"</formula>
    </cfRule>
    <cfRule type="cellIs" dxfId="9427" priority="10061" operator="equal">
      <formula>"CL"</formula>
    </cfRule>
    <cfRule type="cellIs" dxfId="9426" priority="10062" operator="equal">
      <formula>"EL"</formula>
    </cfRule>
  </conditionalFormatting>
  <conditionalFormatting sqref="AT23:AU23">
    <cfRule type="cellIs" dxfId="9425" priority="10051" operator="equal">
      <formula>"C-Off-H"</formula>
    </cfRule>
    <cfRule type="cellIs" dxfId="9424" priority="10052" operator="equal">
      <formula>"C-Off"</formula>
    </cfRule>
    <cfRule type="cellIs" dxfId="9423" priority="10053" operator="equal">
      <formula>"CL-H"</formula>
    </cfRule>
    <cfRule type="cellIs" dxfId="9422" priority="10054" operator="equal">
      <formula>"EL-H"</formula>
    </cfRule>
    <cfRule type="cellIs" dxfId="9421" priority="10055" operator="equal">
      <formula>"CL"</formula>
    </cfRule>
    <cfRule type="cellIs" dxfId="9420" priority="10056" operator="equal">
      <formula>"EL"</formula>
    </cfRule>
  </conditionalFormatting>
  <conditionalFormatting sqref="AT23:AU23">
    <cfRule type="containsText" dxfId="9419" priority="10045" operator="containsText" text="S">
      <formula>NOT(ISERROR(SEARCH("S",AT23)))</formula>
    </cfRule>
    <cfRule type="containsText" dxfId="9418" priority="10046" operator="containsText" text="P">
      <formula>NOT(ISERROR(SEARCH("P",AT23)))</formula>
    </cfRule>
    <cfRule type="containsText" dxfId="9417" priority="10047" operator="containsText" text="H">
      <formula>NOT(ISERROR(SEARCH("H",AT23)))</formula>
    </cfRule>
    <cfRule type="containsText" dxfId="9416" priority="10049" operator="containsText" text="&quot;H&quot;">
      <formula>NOT(ISERROR(SEARCH("""H""",AT23)))</formula>
    </cfRule>
    <cfRule type="containsText" dxfId="9415" priority="10050" operator="containsText" text="&quot;A&quot;">
      <formula>NOT(ISERROR(SEARCH("""A""",AT23)))</formula>
    </cfRule>
  </conditionalFormatting>
  <conditionalFormatting sqref="AT23:AU23">
    <cfRule type="containsText" dxfId="9414" priority="10048" operator="containsText" text="A-H">
      <formula>NOT(ISERROR(SEARCH("A-H",AT23)))</formula>
    </cfRule>
  </conditionalFormatting>
  <conditionalFormatting sqref="E23">
    <cfRule type="cellIs" dxfId="9413" priority="10039" operator="equal">
      <formula>"C-Off-H"</formula>
    </cfRule>
    <cfRule type="cellIs" dxfId="9412" priority="10040" operator="equal">
      <formula>"C-Off"</formula>
    </cfRule>
    <cfRule type="cellIs" dxfId="9411" priority="10041" operator="equal">
      <formula>"CL-H"</formula>
    </cfRule>
    <cfRule type="cellIs" dxfId="9410" priority="10042" operator="equal">
      <formula>"EL-H"</formula>
    </cfRule>
    <cfRule type="cellIs" dxfId="9409" priority="10043" operator="equal">
      <formula>"CL"</formula>
    </cfRule>
    <cfRule type="cellIs" dxfId="9408" priority="10044" operator="equal">
      <formula>"EL"</formula>
    </cfRule>
  </conditionalFormatting>
  <conditionalFormatting sqref="D23:E23">
    <cfRule type="cellIs" dxfId="9407" priority="10033" operator="equal">
      <formula>"C-Off-H"</formula>
    </cfRule>
    <cfRule type="cellIs" dxfId="9406" priority="10034" operator="equal">
      <formula>"C-Off"</formula>
    </cfRule>
    <cfRule type="cellIs" dxfId="9405" priority="10035" operator="equal">
      <formula>"CL-H"</formula>
    </cfRule>
    <cfRule type="cellIs" dxfId="9404" priority="10036" operator="equal">
      <formula>"EL-H"</formula>
    </cfRule>
    <cfRule type="cellIs" dxfId="9403" priority="10037" operator="equal">
      <formula>"CL"</formula>
    </cfRule>
    <cfRule type="cellIs" dxfId="9402" priority="10038" operator="equal">
      <formula>"EL"</formula>
    </cfRule>
  </conditionalFormatting>
  <conditionalFormatting sqref="D23:E23">
    <cfRule type="containsText" dxfId="9401" priority="10027" operator="containsText" text="S">
      <formula>NOT(ISERROR(SEARCH("S",D23)))</formula>
    </cfRule>
    <cfRule type="containsText" dxfId="9400" priority="10028" operator="containsText" text="P">
      <formula>NOT(ISERROR(SEARCH("P",D23)))</formula>
    </cfRule>
    <cfRule type="containsText" dxfId="9399" priority="10029" operator="containsText" text="H">
      <formula>NOT(ISERROR(SEARCH("H",D23)))</formula>
    </cfRule>
    <cfRule type="containsText" dxfId="9398" priority="10031" operator="containsText" text="&quot;H&quot;">
      <formula>NOT(ISERROR(SEARCH("""H""",D23)))</formula>
    </cfRule>
    <cfRule type="containsText" dxfId="9397" priority="10032" operator="containsText" text="&quot;A&quot;">
      <formula>NOT(ISERROR(SEARCH("""A""",D23)))</formula>
    </cfRule>
  </conditionalFormatting>
  <conditionalFormatting sqref="D23:E23">
    <cfRule type="containsText" dxfId="9396" priority="10030" operator="containsText" text="A-H">
      <formula>NOT(ISERROR(SEARCH("A-H",D23)))</formula>
    </cfRule>
  </conditionalFormatting>
  <conditionalFormatting sqref="Z23">
    <cfRule type="cellIs" dxfId="9395" priority="10021" operator="equal">
      <formula>"C-Off-H"</formula>
    </cfRule>
    <cfRule type="cellIs" dxfId="9394" priority="10022" operator="equal">
      <formula>"C-Off"</formula>
    </cfRule>
    <cfRule type="cellIs" dxfId="9393" priority="10023" operator="equal">
      <formula>"CL-H"</formula>
    </cfRule>
    <cfRule type="cellIs" dxfId="9392" priority="10024" operator="equal">
      <formula>"EL-H"</formula>
    </cfRule>
    <cfRule type="cellIs" dxfId="9391" priority="10025" operator="equal">
      <formula>"CL"</formula>
    </cfRule>
    <cfRule type="cellIs" dxfId="9390" priority="10026" operator="equal">
      <formula>"EL"</formula>
    </cfRule>
  </conditionalFormatting>
  <conditionalFormatting sqref="Z23">
    <cfRule type="containsText" dxfId="9389" priority="10015" operator="containsText" text="S">
      <formula>NOT(ISERROR(SEARCH("S",Z23)))</formula>
    </cfRule>
    <cfRule type="containsText" dxfId="9388" priority="10016" operator="containsText" text="P">
      <formula>NOT(ISERROR(SEARCH("P",Z23)))</formula>
    </cfRule>
    <cfRule type="containsText" dxfId="9387" priority="10017" operator="containsText" text="H">
      <formula>NOT(ISERROR(SEARCH("H",Z23)))</formula>
    </cfRule>
    <cfRule type="containsText" dxfId="9386" priority="10019" operator="containsText" text="&quot;H&quot;">
      <formula>NOT(ISERROR(SEARCH("""H""",Z23)))</formula>
    </cfRule>
    <cfRule type="containsText" dxfId="9385" priority="10020" operator="containsText" text="&quot;A&quot;">
      <formula>NOT(ISERROR(SEARCH("""A""",Z23)))</formula>
    </cfRule>
  </conditionalFormatting>
  <conditionalFormatting sqref="Z23">
    <cfRule type="containsText" dxfId="9384" priority="10018" operator="containsText" text="A-H">
      <formula>NOT(ISERROR(SEARCH("A-H",Z23)))</formula>
    </cfRule>
  </conditionalFormatting>
  <conditionalFormatting sqref="Y23">
    <cfRule type="cellIs" dxfId="9383" priority="10009" operator="equal">
      <formula>"C-Off-H"</formula>
    </cfRule>
    <cfRule type="cellIs" dxfId="9382" priority="10010" operator="equal">
      <formula>"C-Off"</formula>
    </cfRule>
    <cfRule type="cellIs" dxfId="9381" priority="10011" operator="equal">
      <formula>"CL-H"</formula>
    </cfRule>
    <cfRule type="cellIs" dxfId="9380" priority="10012" operator="equal">
      <formula>"EL-H"</formula>
    </cfRule>
    <cfRule type="cellIs" dxfId="9379" priority="10013" operator="equal">
      <formula>"CL"</formula>
    </cfRule>
    <cfRule type="cellIs" dxfId="9378" priority="10014" operator="equal">
      <formula>"EL"</formula>
    </cfRule>
  </conditionalFormatting>
  <conditionalFormatting sqref="Y23">
    <cfRule type="containsText" dxfId="9377" priority="10003" operator="containsText" text="S">
      <formula>NOT(ISERROR(SEARCH("S",Y23)))</formula>
    </cfRule>
    <cfRule type="containsText" dxfId="9376" priority="10004" operator="containsText" text="P">
      <formula>NOT(ISERROR(SEARCH("P",Y23)))</formula>
    </cfRule>
    <cfRule type="containsText" dxfId="9375" priority="10005" operator="containsText" text="H">
      <formula>NOT(ISERROR(SEARCH("H",Y23)))</formula>
    </cfRule>
    <cfRule type="containsText" dxfId="9374" priority="10007" operator="containsText" text="&quot;H&quot;">
      <formula>NOT(ISERROR(SEARCH("""H""",Y23)))</formula>
    </cfRule>
    <cfRule type="containsText" dxfId="9373" priority="10008" operator="containsText" text="&quot;A&quot;">
      <formula>NOT(ISERROR(SEARCH("""A""",Y23)))</formula>
    </cfRule>
  </conditionalFormatting>
  <conditionalFormatting sqref="Y23">
    <cfRule type="containsText" dxfId="9372" priority="10006" operator="containsText" text="A-H">
      <formula>NOT(ISERROR(SEARCH("A-H",Y23)))</formula>
    </cfRule>
  </conditionalFormatting>
  <conditionalFormatting sqref="AF23">
    <cfRule type="cellIs" dxfId="9371" priority="9997" operator="equal">
      <formula>"C-Off-H"</formula>
    </cfRule>
    <cfRule type="cellIs" dxfId="9370" priority="9998" operator="equal">
      <formula>"C-Off"</formula>
    </cfRule>
    <cfRule type="cellIs" dxfId="9369" priority="9999" operator="equal">
      <formula>"CL-H"</formula>
    </cfRule>
    <cfRule type="cellIs" dxfId="9368" priority="10000" operator="equal">
      <formula>"EL-H"</formula>
    </cfRule>
    <cfRule type="cellIs" dxfId="9367" priority="10001" operator="equal">
      <formula>"CL"</formula>
    </cfRule>
    <cfRule type="cellIs" dxfId="9366" priority="10002" operator="equal">
      <formula>"EL"</formula>
    </cfRule>
  </conditionalFormatting>
  <conditionalFormatting sqref="AF23">
    <cfRule type="containsText" dxfId="9365" priority="9991" operator="containsText" text="S">
      <formula>NOT(ISERROR(SEARCH("S",AF23)))</formula>
    </cfRule>
    <cfRule type="containsText" dxfId="9364" priority="9992" operator="containsText" text="P">
      <formula>NOT(ISERROR(SEARCH("P",AF23)))</formula>
    </cfRule>
    <cfRule type="containsText" dxfId="9363" priority="9993" operator="containsText" text="H">
      <formula>NOT(ISERROR(SEARCH("H",AF23)))</formula>
    </cfRule>
    <cfRule type="containsText" dxfId="9362" priority="9995" operator="containsText" text="&quot;H&quot;">
      <formula>NOT(ISERROR(SEARCH("""H""",AF23)))</formula>
    </cfRule>
    <cfRule type="containsText" dxfId="9361" priority="9996" operator="containsText" text="&quot;A&quot;">
      <formula>NOT(ISERROR(SEARCH("""A""",AF23)))</formula>
    </cfRule>
  </conditionalFormatting>
  <conditionalFormatting sqref="AF23">
    <cfRule type="containsText" dxfId="9360" priority="9994" operator="containsText" text="A-H">
      <formula>NOT(ISERROR(SEARCH("A-H",AF23)))</formula>
    </cfRule>
  </conditionalFormatting>
  <conditionalFormatting sqref="BO23:BP23">
    <cfRule type="cellIs" dxfId="9359" priority="9985" operator="equal">
      <formula>"C-Off-H"</formula>
    </cfRule>
    <cfRule type="cellIs" dxfId="9358" priority="9986" operator="equal">
      <formula>"C-Off"</formula>
    </cfRule>
    <cfRule type="cellIs" dxfId="9357" priority="9987" operator="equal">
      <formula>"CL-H"</formula>
    </cfRule>
    <cfRule type="cellIs" dxfId="9356" priority="9988" operator="equal">
      <formula>"EL-H"</formula>
    </cfRule>
    <cfRule type="cellIs" dxfId="9355" priority="9989" operator="equal">
      <formula>"CL"</formula>
    </cfRule>
    <cfRule type="cellIs" dxfId="9354" priority="9990" operator="equal">
      <formula>"EL"</formula>
    </cfRule>
  </conditionalFormatting>
  <conditionalFormatting sqref="BO23:BP23">
    <cfRule type="cellIs" dxfId="9353" priority="9979" operator="equal">
      <formula>"C-Off-H"</formula>
    </cfRule>
    <cfRule type="cellIs" dxfId="9352" priority="9980" operator="equal">
      <formula>"C-Off"</formula>
    </cfRule>
    <cfRule type="cellIs" dxfId="9351" priority="9981" operator="equal">
      <formula>"CL-H"</formula>
    </cfRule>
    <cfRule type="cellIs" dxfId="9350" priority="9982" operator="equal">
      <formula>"EL-H"</formula>
    </cfRule>
    <cfRule type="cellIs" dxfId="9349" priority="9983" operator="equal">
      <formula>"CL"</formula>
    </cfRule>
    <cfRule type="cellIs" dxfId="9348" priority="9984" operator="equal">
      <formula>"EL"</formula>
    </cfRule>
  </conditionalFormatting>
  <conditionalFormatting sqref="BO23:BP23">
    <cfRule type="containsText" dxfId="9347" priority="9973" operator="containsText" text="S">
      <formula>NOT(ISERROR(SEARCH("S",BO23)))</formula>
    </cfRule>
    <cfRule type="containsText" dxfId="9346" priority="9974" operator="containsText" text="P">
      <formula>NOT(ISERROR(SEARCH("P",BO23)))</formula>
    </cfRule>
    <cfRule type="containsText" dxfId="9345" priority="9975" operator="containsText" text="H">
      <formula>NOT(ISERROR(SEARCH("H",BO23)))</formula>
    </cfRule>
    <cfRule type="containsText" dxfId="9344" priority="9977" operator="containsText" text="&quot;H&quot;">
      <formula>NOT(ISERROR(SEARCH("""H""",BO23)))</formula>
    </cfRule>
    <cfRule type="containsText" dxfId="9343" priority="9978" operator="containsText" text="&quot;A&quot;">
      <formula>NOT(ISERROR(SEARCH("""A""",BO23)))</formula>
    </cfRule>
  </conditionalFormatting>
  <conditionalFormatting sqref="BO23:BP23">
    <cfRule type="containsText" dxfId="9342" priority="9976" operator="containsText" text="A-H">
      <formula>NOT(ISERROR(SEARCH("A-H",BO23)))</formula>
    </cfRule>
  </conditionalFormatting>
  <conditionalFormatting sqref="CM23">
    <cfRule type="cellIs" dxfId="9341" priority="9967" operator="equal">
      <formula>"C-Off-H"</formula>
    </cfRule>
    <cfRule type="cellIs" dxfId="9340" priority="9968" operator="equal">
      <formula>"C-Off"</formula>
    </cfRule>
    <cfRule type="cellIs" dxfId="9339" priority="9969" operator="equal">
      <formula>"CL-H"</formula>
    </cfRule>
    <cfRule type="cellIs" dxfId="9338" priority="9970" operator="equal">
      <formula>"EL-H"</formula>
    </cfRule>
    <cfRule type="cellIs" dxfId="9337" priority="9971" operator="equal">
      <formula>"CL"</formula>
    </cfRule>
    <cfRule type="cellIs" dxfId="9336" priority="9972" operator="equal">
      <formula>"EL"</formula>
    </cfRule>
  </conditionalFormatting>
  <conditionalFormatting sqref="CM23">
    <cfRule type="cellIs" dxfId="9335" priority="9961" operator="equal">
      <formula>"C-Off-H"</formula>
    </cfRule>
    <cfRule type="cellIs" dxfId="9334" priority="9962" operator="equal">
      <formula>"C-Off"</formula>
    </cfRule>
    <cfRule type="cellIs" dxfId="9333" priority="9963" operator="equal">
      <formula>"CL-H"</formula>
    </cfRule>
    <cfRule type="cellIs" dxfId="9332" priority="9964" operator="equal">
      <formula>"EL-H"</formula>
    </cfRule>
    <cfRule type="cellIs" dxfId="9331" priority="9965" operator="equal">
      <formula>"CL"</formula>
    </cfRule>
    <cfRule type="cellIs" dxfId="9330" priority="9966" operator="equal">
      <formula>"EL"</formula>
    </cfRule>
  </conditionalFormatting>
  <conditionalFormatting sqref="CM23">
    <cfRule type="containsText" dxfId="9329" priority="9955" operator="containsText" text="S">
      <formula>NOT(ISERROR(SEARCH("S",CM23)))</formula>
    </cfRule>
    <cfRule type="containsText" dxfId="9328" priority="9956" operator="containsText" text="P">
      <formula>NOT(ISERROR(SEARCH("P",CM23)))</formula>
    </cfRule>
    <cfRule type="containsText" dxfId="9327" priority="9957" operator="containsText" text="H">
      <formula>NOT(ISERROR(SEARCH("H",CM23)))</formula>
    </cfRule>
    <cfRule type="containsText" dxfId="9326" priority="9959" operator="containsText" text="&quot;H&quot;">
      <formula>NOT(ISERROR(SEARCH("""H""",CM23)))</formula>
    </cfRule>
    <cfRule type="containsText" dxfId="9325" priority="9960" operator="containsText" text="&quot;A&quot;">
      <formula>NOT(ISERROR(SEARCH("""A""",CM23)))</formula>
    </cfRule>
  </conditionalFormatting>
  <conditionalFormatting sqref="CM23">
    <cfRule type="containsText" dxfId="9324" priority="9958" operator="containsText" text="A-H">
      <formula>NOT(ISERROR(SEARCH("A-H",CM23)))</formula>
    </cfRule>
  </conditionalFormatting>
  <conditionalFormatting sqref="V23:W23">
    <cfRule type="cellIs" dxfId="9323" priority="9925" operator="equal">
      <formula>"C-Off-H"</formula>
    </cfRule>
    <cfRule type="cellIs" dxfId="9322" priority="9926" operator="equal">
      <formula>"C-Off"</formula>
    </cfRule>
    <cfRule type="cellIs" dxfId="9321" priority="9927" operator="equal">
      <formula>"CL-H"</formula>
    </cfRule>
    <cfRule type="cellIs" dxfId="9320" priority="9928" operator="equal">
      <formula>"EL-H"</formula>
    </cfRule>
    <cfRule type="cellIs" dxfId="9319" priority="9929" operator="equal">
      <formula>"CL"</formula>
    </cfRule>
    <cfRule type="cellIs" dxfId="9318" priority="9930" operator="equal">
      <formula>"EL"</formula>
    </cfRule>
  </conditionalFormatting>
  <conditionalFormatting sqref="V23:W23">
    <cfRule type="containsText" dxfId="9317" priority="9919" operator="containsText" text="S">
      <formula>NOT(ISERROR(SEARCH("S",V23)))</formula>
    </cfRule>
    <cfRule type="containsText" dxfId="9316" priority="9920" operator="containsText" text="P">
      <formula>NOT(ISERROR(SEARCH("P",V23)))</formula>
    </cfRule>
    <cfRule type="containsText" dxfId="9315" priority="9921" operator="containsText" text="H">
      <formula>NOT(ISERROR(SEARCH("H",V23)))</formula>
    </cfRule>
    <cfRule type="containsText" dxfId="9314" priority="9923" operator="containsText" text="&quot;H&quot;">
      <formula>NOT(ISERROR(SEARCH("""H""",V23)))</formula>
    </cfRule>
    <cfRule type="containsText" dxfId="9313" priority="9924" operator="containsText" text="&quot;A&quot;">
      <formula>NOT(ISERROR(SEARCH("""A""",V23)))</formula>
    </cfRule>
  </conditionalFormatting>
  <conditionalFormatting sqref="V23:W23">
    <cfRule type="containsText" dxfId="9312" priority="9922" operator="containsText" text="A-H">
      <formula>NOT(ISERROR(SEARCH("A-H",V23)))</formula>
    </cfRule>
  </conditionalFormatting>
  <conditionalFormatting sqref="P23:Q23">
    <cfRule type="cellIs" dxfId="9311" priority="9949" operator="equal">
      <formula>"C-Off-H"</formula>
    </cfRule>
    <cfRule type="cellIs" dxfId="9310" priority="9950" operator="equal">
      <formula>"C-Off"</formula>
    </cfRule>
    <cfRule type="cellIs" dxfId="9309" priority="9951" operator="equal">
      <formula>"CL-H"</formula>
    </cfRule>
    <cfRule type="cellIs" dxfId="9308" priority="9952" operator="equal">
      <formula>"EL-H"</formula>
    </cfRule>
    <cfRule type="cellIs" dxfId="9307" priority="9953" operator="equal">
      <formula>"CL"</formula>
    </cfRule>
    <cfRule type="cellIs" dxfId="9306" priority="9954" operator="equal">
      <formula>"EL"</formula>
    </cfRule>
  </conditionalFormatting>
  <conditionalFormatting sqref="P23:Q23">
    <cfRule type="containsText" dxfId="9305" priority="9943" operator="containsText" text="S">
      <formula>NOT(ISERROR(SEARCH("S",P23)))</formula>
    </cfRule>
    <cfRule type="containsText" dxfId="9304" priority="9944" operator="containsText" text="P">
      <formula>NOT(ISERROR(SEARCH("P",P23)))</formula>
    </cfRule>
    <cfRule type="containsText" dxfId="9303" priority="9945" operator="containsText" text="H">
      <formula>NOT(ISERROR(SEARCH("H",P23)))</formula>
    </cfRule>
    <cfRule type="containsText" dxfId="9302" priority="9947" operator="containsText" text="&quot;H&quot;">
      <formula>NOT(ISERROR(SEARCH("""H""",P23)))</formula>
    </cfRule>
    <cfRule type="containsText" dxfId="9301" priority="9948" operator="containsText" text="&quot;A&quot;">
      <formula>NOT(ISERROR(SEARCH("""A""",P23)))</formula>
    </cfRule>
  </conditionalFormatting>
  <conditionalFormatting sqref="P23:Q23">
    <cfRule type="containsText" dxfId="9300" priority="9946" operator="containsText" text="A-H">
      <formula>NOT(ISERROR(SEARCH("A-H",P23)))</formula>
    </cfRule>
  </conditionalFormatting>
  <conditionalFormatting sqref="S23:T23">
    <cfRule type="cellIs" dxfId="9299" priority="9937" operator="equal">
      <formula>"C-Off-H"</formula>
    </cfRule>
    <cfRule type="cellIs" dxfId="9298" priority="9938" operator="equal">
      <formula>"C-Off"</formula>
    </cfRule>
    <cfRule type="cellIs" dxfId="9297" priority="9939" operator="equal">
      <formula>"CL-H"</formula>
    </cfRule>
    <cfRule type="cellIs" dxfId="9296" priority="9940" operator="equal">
      <formula>"EL-H"</formula>
    </cfRule>
    <cfRule type="cellIs" dxfId="9295" priority="9941" operator="equal">
      <formula>"CL"</formula>
    </cfRule>
    <cfRule type="cellIs" dxfId="9294" priority="9942" operator="equal">
      <formula>"EL"</formula>
    </cfRule>
  </conditionalFormatting>
  <conditionalFormatting sqref="S23:T23">
    <cfRule type="containsText" dxfId="9293" priority="9931" operator="containsText" text="S">
      <formula>NOT(ISERROR(SEARCH("S",S23)))</formula>
    </cfRule>
    <cfRule type="containsText" dxfId="9292" priority="9932" operator="containsText" text="P">
      <formula>NOT(ISERROR(SEARCH("P",S23)))</formula>
    </cfRule>
    <cfRule type="containsText" dxfId="9291" priority="9933" operator="containsText" text="H">
      <formula>NOT(ISERROR(SEARCH("H",S23)))</formula>
    </cfRule>
    <cfRule type="containsText" dxfId="9290" priority="9935" operator="containsText" text="&quot;H&quot;">
      <formula>NOT(ISERROR(SEARCH("""H""",S23)))</formula>
    </cfRule>
    <cfRule type="containsText" dxfId="9289" priority="9936" operator="containsText" text="&quot;A&quot;">
      <formula>NOT(ISERROR(SEARCH("""A""",S23)))</formula>
    </cfRule>
  </conditionalFormatting>
  <conditionalFormatting sqref="S23:T23">
    <cfRule type="containsText" dxfId="9288" priority="9934" operator="containsText" text="A-H">
      <formula>NOT(ISERROR(SEARCH("A-H",S23)))</formula>
    </cfRule>
  </conditionalFormatting>
  <conditionalFormatting sqref="AB23:AC23">
    <cfRule type="cellIs" dxfId="9287" priority="9913" operator="equal">
      <formula>"C-Off-H"</formula>
    </cfRule>
    <cfRule type="cellIs" dxfId="9286" priority="9914" operator="equal">
      <formula>"C-Off"</formula>
    </cfRule>
    <cfRule type="cellIs" dxfId="9285" priority="9915" operator="equal">
      <formula>"CL-H"</formula>
    </cfRule>
    <cfRule type="cellIs" dxfId="9284" priority="9916" operator="equal">
      <formula>"EL-H"</formula>
    </cfRule>
    <cfRule type="cellIs" dxfId="9283" priority="9917" operator="equal">
      <formula>"CL"</formula>
    </cfRule>
    <cfRule type="cellIs" dxfId="9282" priority="9918" operator="equal">
      <formula>"EL"</formula>
    </cfRule>
  </conditionalFormatting>
  <conditionalFormatting sqref="AB23:AC23">
    <cfRule type="containsText" dxfId="9281" priority="9907" operator="containsText" text="S">
      <formula>NOT(ISERROR(SEARCH("S",AB23)))</formula>
    </cfRule>
    <cfRule type="containsText" dxfId="9280" priority="9908" operator="containsText" text="P">
      <formula>NOT(ISERROR(SEARCH("P",AB23)))</formula>
    </cfRule>
    <cfRule type="containsText" dxfId="9279" priority="9909" operator="containsText" text="H">
      <formula>NOT(ISERROR(SEARCH("H",AB23)))</formula>
    </cfRule>
    <cfRule type="containsText" dxfId="9278" priority="9911" operator="containsText" text="&quot;H&quot;">
      <formula>NOT(ISERROR(SEARCH("""H""",AB23)))</formula>
    </cfRule>
    <cfRule type="containsText" dxfId="9277" priority="9912" operator="containsText" text="&quot;A&quot;">
      <formula>NOT(ISERROR(SEARCH("""A""",AB23)))</formula>
    </cfRule>
  </conditionalFormatting>
  <conditionalFormatting sqref="AB23:AC23">
    <cfRule type="containsText" dxfId="9276" priority="9910" operator="containsText" text="A-H">
      <formula>NOT(ISERROR(SEARCH("A-H",AB23)))</formula>
    </cfRule>
  </conditionalFormatting>
  <conditionalFormatting sqref="AE23">
    <cfRule type="cellIs" dxfId="9275" priority="9901" operator="equal">
      <formula>"C-Off-H"</formula>
    </cfRule>
    <cfRule type="cellIs" dxfId="9274" priority="9902" operator="equal">
      <formula>"C-Off"</formula>
    </cfRule>
    <cfRule type="cellIs" dxfId="9273" priority="9903" operator="equal">
      <formula>"CL-H"</formula>
    </cfRule>
    <cfRule type="cellIs" dxfId="9272" priority="9904" operator="equal">
      <formula>"EL-H"</formula>
    </cfRule>
    <cfRule type="cellIs" dxfId="9271" priority="9905" operator="equal">
      <formula>"CL"</formula>
    </cfRule>
    <cfRule type="cellIs" dxfId="9270" priority="9906" operator="equal">
      <formula>"EL"</formula>
    </cfRule>
  </conditionalFormatting>
  <conditionalFormatting sqref="AE23">
    <cfRule type="containsText" dxfId="9269" priority="9895" operator="containsText" text="S">
      <formula>NOT(ISERROR(SEARCH("S",AE23)))</formula>
    </cfRule>
    <cfRule type="containsText" dxfId="9268" priority="9896" operator="containsText" text="P">
      <formula>NOT(ISERROR(SEARCH("P",AE23)))</formula>
    </cfRule>
    <cfRule type="containsText" dxfId="9267" priority="9897" operator="containsText" text="H">
      <formula>NOT(ISERROR(SEARCH("H",AE23)))</formula>
    </cfRule>
    <cfRule type="containsText" dxfId="9266" priority="9899" operator="containsText" text="&quot;H&quot;">
      <formula>NOT(ISERROR(SEARCH("""H""",AE23)))</formula>
    </cfRule>
    <cfRule type="containsText" dxfId="9265" priority="9900" operator="containsText" text="&quot;A&quot;">
      <formula>NOT(ISERROR(SEARCH("""A""",AE23)))</formula>
    </cfRule>
  </conditionalFormatting>
  <conditionalFormatting sqref="AE23">
    <cfRule type="containsText" dxfId="9264" priority="9898" operator="containsText" text="A-H">
      <formula>NOT(ISERROR(SEARCH("A-H",AE23)))</formula>
    </cfRule>
  </conditionalFormatting>
  <conditionalFormatting sqref="AK23:AL23">
    <cfRule type="cellIs" dxfId="9263" priority="9889" operator="equal">
      <formula>"C-Off-H"</formula>
    </cfRule>
    <cfRule type="cellIs" dxfId="9262" priority="9890" operator="equal">
      <formula>"C-Off"</formula>
    </cfRule>
    <cfRule type="cellIs" dxfId="9261" priority="9891" operator="equal">
      <formula>"CL-H"</formula>
    </cfRule>
    <cfRule type="cellIs" dxfId="9260" priority="9892" operator="equal">
      <formula>"EL-H"</formula>
    </cfRule>
    <cfRule type="cellIs" dxfId="9259" priority="9893" operator="equal">
      <formula>"CL"</formula>
    </cfRule>
    <cfRule type="cellIs" dxfId="9258" priority="9894" operator="equal">
      <formula>"EL"</formula>
    </cfRule>
  </conditionalFormatting>
  <conditionalFormatting sqref="AK23:AL23">
    <cfRule type="containsText" dxfId="9257" priority="9883" operator="containsText" text="S">
      <formula>NOT(ISERROR(SEARCH("S",AK23)))</formula>
    </cfRule>
    <cfRule type="containsText" dxfId="9256" priority="9884" operator="containsText" text="P">
      <formula>NOT(ISERROR(SEARCH("P",AK23)))</formula>
    </cfRule>
    <cfRule type="containsText" dxfId="9255" priority="9885" operator="containsText" text="H">
      <formula>NOT(ISERROR(SEARCH("H",AK23)))</formula>
    </cfRule>
    <cfRule type="containsText" dxfId="9254" priority="9887" operator="containsText" text="&quot;H&quot;">
      <formula>NOT(ISERROR(SEARCH("""H""",AK23)))</formula>
    </cfRule>
    <cfRule type="containsText" dxfId="9253" priority="9888" operator="containsText" text="&quot;A&quot;">
      <formula>NOT(ISERROR(SEARCH("""A""",AK23)))</formula>
    </cfRule>
  </conditionalFormatting>
  <conditionalFormatting sqref="AK23:AL23">
    <cfRule type="containsText" dxfId="9252" priority="9886" operator="containsText" text="A-H">
      <formula>NOT(ISERROR(SEARCH("A-H",AK23)))</formula>
    </cfRule>
  </conditionalFormatting>
  <conditionalFormatting sqref="AN23:AO23">
    <cfRule type="cellIs" dxfId="9251" priority="9877" operator="equal">
      <formula>"C-Off-H"</formula>
    </cfRule>
    <cfRule type="cellIs" dxfId="9250" priority="9878" operator="equal">
      <formula>"C-Off"</formula>
    </cfRule>
    <cfRule type="cellIs" dxfId="9249" priority="9879" operator="equal">
      <formula>"CL-H"</formula>
    </cfRule>
    <cfRule type="cellIs" dxfId="9248" priority="9880" operator="equal">
      <formula>"EL-H"</formula>
    </cfRule>
    <cfRule type="cellIs" dxfId="9247" priority="9881" operator="equal">
      <formula>"CL"</formula>
    </cfRule>
    <cfRule type="cellIs" dxfId="9246" priority="9882" operator="equal">
      <formula>"EL"</formula>
    </cfRule>
  </conditionalFormatting>
  <conditionalFormatting sqref="AN23:AO23">
    <cfRule type="containsText" dxfId="9245" priority="9871" operator="containsText" text="S">
      <formula>NOT(ISERROR(SEARCH("S",AN23)))</formula>
    </cfRule>
    <cfRule type="containsText" dxfId="9244" priority="9872" operator="containsText" text="P">
      <formula>NOT(ISERROR(SEARCH("P",AN23)))</formula>
    </cfRule>
    <cfRule type="containsText" dxfId="9243" priority="9873" operator="containsText" text="H">
      <formula>NOT(ISERROR(SEARCH("H",AN23)))</formula>
    </cfRule>
    <cfRule type="containsText" dxfId="9242" priority="9875" operator="containsText" text="&quot;H&quot;">
      <formula>NOT(ISERROR(SEARCH("""H""",AN23)))</formula>
    </cfRule>
    <cfRule type="containsText" dxfId="9241" priority="9876" operator="containsText" text="&quot;A&quot;">
      <formula>NOT(ISERROR(SEARCH("""A""",AN23)))</formula>
    </cfRule>
  </conditionalFormatting>
  <conditionalFormatting sqref="AN23:AO23">
    <cfRule type="containsText" dxfId="9240" priority="9874" operator="containsText" text="A-H">
      <formula>NOT(ISERROR(SEARCH("A-H",AN23)))</formula>
    </cfRule>
  </conditionalFormatting>
  <conditionalFormatting sqref="AQ23:AR23">
    <cfRule type="cellIs" dxfId="9239" priority="9865" operator="equal">
      <formula>"C-Off-H"</formula>
    </cfRule>
    <cfRule type="cellIs" dxfId="9238" priority="9866" operator="equal">
      <formula>"C-Off"</formula>
    </cfRule>
    <cfRule type="cellIs" dxfId="9237" priority="9867" operator="equal">
      <formula>"CL-H"</formula>
    </cfRule>
    <cfRule type="cellIs" dxfId="9236" priority="9868" operator="equal">
      <formula>"EL-H"</formula>
    </cfRule>
    <cfRule type="cellIs" dxfId="9235" priority="9869" operator="equal">
      <formula>"CL"</formula>
    </cfRule>
    <cfRule type="cellIs" dxfId="9234" priority="9870" operator="equal">
      <formula>"EL"</formula>
    </cfRule>
  </conditionalFormatting>
  <conditionalFormatting sqref="AQ23:AR23">
    <cfRule type="containsText" dxfId="9233" priority="9859" operator="containsText" text="S">
      <formula>NOT(ISERROR(SEARCH("S",AQ23)))</formula>
    </cfRule>
    <cfRule type="containsText" dxfId="9232" priority="9860" operator="containsText" text="P">
      <formula>NOT(ISERROR(SEARCH("P",AQ23)))</formula>
    </cfRule>
    <cfRule type="containsText" dxfId="9231" priority="9861" operator="containsText" text="H">
      <formula>NOT(ISERROR(SEARCH("H",AQ23)))</formula>
    </cfRule>
    <cfRule type="containsText" dxfId="9230" priority="9863" operator="containsText" text="&quot;H&quot;">
      <formula>NOT(ISERROR(SEARCH("""H""",AQ23)))</formula>
    </cfRule>
    <cfRule type="containsText" dxfId="9229" priority="9864" operator="containsText" text="&quot;A&quot;">
      <formula>NOT(ISERROR(SEARCH("""A""",AQ23)))</formula>
    </cfRule>
  </conditionalFormatting>
  <conditionalFormatting sqref="AQ23:AR23">
    <cfRule type="containsText" dxfId="9228" priority="9862" operator="containsText" text="A-H">
      <formula>NOT(ISERROR(SEARCH("A-H",AQ23)))</formula>
    </cfRule>
  </conditionalFormatting>
  <conditionalFormatting sqref="AW23:AX23">
    <cfRule type="cellIs" dxfId="9227" priority="9853" operator="equal">
      <formula>"C-Off-H"</formula>
    </cfRule>
    <cfRule type="cellIs" dxfId="9226" priority="9854" operator="equal">
      <formula>"C-Off"</formula>
    </cfRule>
    <cfRule type="cellIs" dxfId="9225" priority="9855" operator="equal">
      <formula>"CL-H"</formula>
    </cfRule>
    <cfRule type="cellIs" dxfId="9224" priority="9856" operator="equal">
      <formula>"EL-H"</formula>
    </cfRule>
    <cfRule type="cellIs" dxfId="9223" priority="9857" operator="equal">
      <formula>"CL"</formula>
    </cfRule>
    <cfRule type="cellIs" dxfId="9222" priority="9858" operator="equal">
      <formula>"EL"</formula>
    </cfRule>
  </conditionalFormatting>
  <conditionalFormatting sqref="AW23:AX23">
    <cfRule type="containsText" dxfId="9221" priority="9847" operator="containsText" text="S">
      <formula>NOT(ISERROR(SEARCH("S",AW23)))</formula>
    </cfRule>
    <cfRule type="containsText" dxfId="9220" priority="9848" operator="containsText" text="P">
      <formula>NOT(ISERROR(SEARCH("P",AW23)))</formula>
    </cfRule>
    <cfRule type="containsText" dxfId="9219" priority="9849" operator="containsText" text="H">
      <formula>NOT(ISERROR(SEARCH("H",AW23)))</formula>
    </cfRule>
    <cfRule type="containsText" dxfId="9218" priority="9851" operator="containsText" text="&quot;H&quot;">
      <formula>NOT(ISERROR(SEARCH("""H""",AW23)))</formula>
    </cfRule>
    <cfRule type="containsText" dxfId="9217" priority="9852" operator="containsText" text="&quot;A&quot;">
      <formula>NOT(ISERROR(SEARCH("""A""",AW23)))</formula>
    </cfRule>
  </conditionalFormatting>
  <conditionalFormatting sqref="AW23:AX23">
    <cfRule type="containsText" dxfId="9216" priority="9850" operator="containsText" text="A-H">
      <formula>NOT(ISERROR(SEARCH("A-H",AW23)))</formula>
    </cfRule>
  </conditionalFormatting>
  <conditionalFormatting sqref="AZ23:BA23">
    <cfRule type="cellIs" dxfId="9215" priority="9841" operator="equal">
      <formula>"C-Off-H"</formula>
    </cfRule>
    <cfRule type="cellIs" dxfId="9214" priority="9842" operator="equal">
      <formula>"C-Off"</formula>
    </cfRule>
    <cfRule type="cellIs" dxfId="9213" priority="9843" operator="equal">
      <formula>"CL-H"</formula>
    </cfRule>
    <cfRule type="cellIs" dxfId="9212" priority="9844" operator="equal">
      <formula>"EL-H"</formula>
    </cfRule>
    <cfRule type="cellIs" dxfId="9211" priority="9845" operator="equal">
      <formula>"CL"</formula>
    </cfRule>
    <cfRule type="cellIs" dxfId="9210" priority="9846" operator="equal">
      <formula>"EL"</formula>
    </cfRule>
  </conditionalFormatting>
  <conditionalFormatting sqref="AZ23:BA23">
    <cfRule type="containsText" dxfId="9209" priority="9835" operator="containsText" text="S">
      <formula>NOT(ISERROR(SEARCH("S",AZ23)))</formula>
    </cfRule>
    <cfRule type="containsText" dxfId="9208" priority="9836" operator="containsText" text="P">
      <formula>NOT(ISERROR(SEARCH("P",AZ23)))</formula>
    </cfRule>
    <cfRule type="containsText" dxfId="9207" priority="9837" operator="containsText" text="H">
      <formula>NOT(ISERROR(SEARCH("H",AZ23)))</formula>
    </cfRule>
    <cfRule type="containsText" dxfId="9206" priority="9839" operator="containsText" text="&quot;H&quot;">
      <formula>NOT(ISERROR(SEARCH("""H""",AZ23)))</formula>
    </cfRule>
    <cfRule type="containsText" dxfId="9205" priority="9840" operator="containsText" text="&quot;A&quot;">
      <formula>NOT(ISERROR(SEARCH("""A""",AZ23)))</formula>
    </cfRule>
  </conditionalFormatting>
  <conditionalFormatting sqref="AZ23:BA23">
    <cfRule type="containsText" dxfId="9204" priority="9838" operator="containsText" text="A-H">
      <formula>NOT(ISERROR(SEARCH("A-H",AZ23)))</formula>
    </cfRule>
  </conditionalFormatting>
  <conditionalFormatting sqref="BC23:BD23">
    <cfRule type="cellIs" dxfId="9203" priority="9829" operator="equal">
      <formula>"C-Off-H"</formula>
    </cfRule>
    <cfRule type="cellIs" dxfId="9202" priority="9830" operator="equal">
      <formula>"C-Off"</formula>
    </cfRule>
    <cfRule type="cellIs" dxfId="9201" priority="9831" operator="equal">
      <formula>"CL-H"</formula>
    </cfRule>
    <cfRule type="cellIs" dxfId="9200" priority="9832" operator="equal">
      <formula>"EL-H"</formula>
    </cfRule>
    <cfRule type="cellIs" dxfId="9199" priority="9833" operator="equal">
      <formula>"CL"</formula>
    </cfRule>
    <cfRule type="cellIs" dxfId="9198" priority="9834" operator="equal">
      <formula>"EL"</formula>
    </cfRule>
  </conditionalFormatting>
  <conditionalFormatting sqref="BC23:BD23">
    <cfRule type="containsText" dxfId="9197" priority="9823" operator="containsText" text="S">
      <formula>NOT(ISERROR(SEARCH("S",BC23)))</formula>
    </cfRule>
    <cfRule type="containsText" dxfId="9196" priority="9824" operator="containsText" text="P">
      <formula>NOT(ISERROR(SEARCH("P",BC23)))</formula>
    </cfRule>
    <cfRule type="containsText" dxfId="9195" priority="9825" operator="containsText" text="H">
      <formula>NOT(ISERROR(SEARCH("H",BC23)))</formula>
    </cfRule>
    <cfRule type="containsText" dxfId="9194" priority="9827" operator="containsText" text="&quot;H&quot;">
      <formula>NOT(ISERROR(SEARCH("""H""",BC23)))</formula>
    </cfRule>
    <cfRule type="containsText" dxfId="9193" priority="9828" operator="containsText" text="&quot;A&quot;">
      <formula>NOT(ISERROR(SEARCH("""A""",BC23)))</formula>
    </cfRule>
  </conditionalFormatting>
  <conditionalFormatting sqref="BC23:BD23">
    <cfRule type="containsText" dxfId="9192" priority="9826" operator="containsText" text="A-H">
      <formula>NOT(ISERROR(SEARCH("A-H",BC23)))</formula>
    </cfRule>
  </conditionalFormatting>
  <conditionalFormatting sqref="BF23:BG23">
    <cfRule type="cellIs" dxfId="9191" priority="9817" operator="equal">
      <formula>"C-Off-H"</formula>
    </cfRule>
    <cfRule type="cellIs" dxfId="9190" priority="9818" operator="equal">
      <formula>"C-Off"</formula>
    </cfRule>
    <cfRule type="cellIs" dxfId="9189" priority="9819" operator="equal">
      <formula>"CL-H"</formula>
    </cfRule>
    <cfRule type="cellIs" dxfId="9188" priority="9820" operator="equal">
      <formula>"EL-H"</formula>
    </cfRule>
    <cfRule type="cellIs" dxfId="9187" priority="9821" operator="equal">
      <formula>"CL"</formula>
    </cfRule>
    <cfRule type="cellIs" dxfId="9186" priority="9822" operator="equal">
      <formula>"EL"</formula>
    </cfRule>
  </conditionalFormatting>
  <conditionalFormatting sqref="BF23:BG23">
    <cfRule type="containsText" dxfId="9185" priority="9811" operator="containsText" text="S">
      <formula>NOT(ISERROR(SEARCH("S",BF23)))</formula>
    </cfRule>
    <cfRule type="containsText" dxfId="9184" priority="9812" operator="containsText" text="P">
      <formula>NOT(ISERROR(SEARCH("P",BF23)))</formula>
    </cfRule>
    <cfRule type="containsText" dxfId="9183" priority="9813" operator="containsText" text="H">
      <formula>NOT(ISERROR(SEARCH("H",BF23)))</formula>
    </cfRule>
    <cfRule type="containsText" dxfId="9182" priority="9815" operator="containsText" text="&quot;H&quot;">
      <formula>NOT(ISERROR(SEARCH("""H""",BF23)))</formula>
    </cfRule>
    <cfRule type="containsText" dxfId="9181" priority="9816" operator="containsText" text="&quot;A&quot;">
      <formula>NOT(ISERROR(SEARCH("""A""",BF23)))</formula>
    </cfRule>
  </conditionalFormatting>
  <conditionalFormatting sqref="BF23:BG23">
    <cfRule type="containsText" dxfId="9180" priority="9814" operator="containsText" text="A-H">
      <formula>NOT(ISERROR(SEARCH("A-H",BF23)))</formula>
    </cfRule>
  </conditionalFormatting>
  <conditionalFormatting sqref="BI23:BJ23">
    <cfRule type="cellIs" dxfId="9179" priority="9805" operator="equal">
      <formula>"C-Off-H"</formula>
    </cfRule>
    <cfRule type="cellIs" dxfId="9178" priority="9806" operator="equal">
      <formula>"C-Off"</formula>
    </cfRule>
    <cfRule type="cellIs" dxfId="9177" priority="9807" operator="equal">
      <formula>"CL-H"</formula>
    </cfRule>
    <cfRule type="cellIs" dxfId="9176" priority="9808" operator="equal">
      <formula>"EL-H"</formula>
    </cfRule>
    <cfRule type="cellIs" dxfId="9175" priority="9809" operator="equal">
      <formula>"CL"</formula>
    </cfRule>
    <cfRule type="cellIs" dxfId="9174" priority="9810" operator="equal">
      <formula>"EL"</formula>
    </cfRule>
  </conditionalFormatting>
  <conditionalFormatting sqref="BI23:BJ23">
    <cfRule type="containsText" dxfId="9173" priority="9799" operator="containsText" text="S">
      <formula>NOT(ISERROR(SEARCH("S",BI23)))</formula>
    </cfRule>
    <cfRule type="containsText" dxfId="9172" priority="9800" operator="containsText" text="P">
      <formula>NOT(ISERROR(SEARCH("P",BI23)))</formula>
    </cfRule>
    <cfRule type="containsText" dxfId="9171" priority="9801" operator="containsText" text="H">
      <formula>NOT(ISERROR(SEARCH("H",BI23)))</formula>
    </cfRule>
    <cfRule type="containsText" dxfId="9170" priority="9803" operator="containsText" text="&quot;H&quot;">
      <formula>NOT(ISERROR(SEARCH("""H""",BI23)))</formula>
    </cfRule>
    <cfRule type="containsText" dxfId="9169" priority="9804" operator="containsText" text="&quot;A&quot;">
      <formula>NOT(ISERROR(SEARCH("""A""",BI23)))</formula>
    </cfRule>
  </conditionalFormatting>
  <conditionalFormatting sqref="BI23:BJ23">
    <cfRule type="containsText" dxfId="9168" priority="9802" operator="containsText" text="A-H">
      <formula>NOT(ISERROR(SEARCH("A-H",BI23)))</formula>
    </cfRule>
  </conditionalFormatting>
  <conditionalFormatting sqref="BL23:BM23">
    <cfRule type="cellIs" dxfId="9167" priority="9793" operator="equal">
      <formula>"C-Off-H"</formula>
    </cfRule>
    <cfRule type="cellIs" dxfId="9166" priority="9794" operator="equal">
      <formula>"C-Off"</formula>
    </cfRule>
    <cfRule type="cellIs" dxfId="9165" priority="9795" operator="equal">
      <formula>"CL-H"</formula>
    </cfRule>
    <cfRule type="cellIs" dxfId="9164" priority="9796" operator="equal">
      <formula>"EL-H"</formula>
    </cfRule>
    <cfRule type="cellIs" dxfId="9163" priority="9797" operator="equal">
      <formula>"CL"</formula>
    </cfRule>
    <cfRule type="cellIs" dxfId="9162" priority="9798" operator="equal">
      <formula>"EL"</formula>
    </cfRule>
  </conditionalFormatting>
  <conditionalFormatting sqref="BL23:BM23">
    <cfRule type="containsText" dxfId="9161" priority="9787" operator="containsText" text="S">
      <formula>NOT(ISERROR(SEARCH("S",BL23)))</formula>
    </cfRule>
    <cfRule type="containsText" dxfId="9160" priority="9788" operator="containsText" text="P">
      <formula>NOT(ISERROR(SEARCH("P",BL23)))</formula>
    </cfRule>
    <cfRule type="containsText" dxfId="9159" priority="9789" operator="containsText" text="H">
      <formula>NOT(ISERROR(SEARCH("H",BL23)))</formula>
    </cfRule>
    <cfRule type="containsText" dxfId="9158" priority="9791" operator="containsText" text="&quot;H&quot;">
      <formula>NOT(ISERROR(SEARCH("""H""",BL23)))</formula>
    </cfRule>
    <cfRule type="containsText" dxfId="9157" priority="9792" operator="containsText" text="&quot;A&quot;">
      <formula>NOT(ISERROR(SEARCH("""A""",BL23)))</formula>
    </cfRule>
  </conditionalFormatting>
  <conditionalFormatting sqref="BL23:BM23">
    <cfRule type="containsText" dxfId="9156" priority="9790" operator="containsText" text="A-H">
      <formula>NOT(ISERROR(SEARCH("A-H",BL23)))</formula>
    </cfRule>
  </conditionalFormatting>
  <conditionalFormatting sqref="BR23:BS23">
    <cfRule type="cellIs" dxfId="9155" priority="9781" operator="equal">
      <formula>"C-Off-H"</formula>
    </cfRule>
    <cfRule type="cellIs" dxfId="9154" priority="9782" operator="equal">
      <formula>"C-Off"</formula>
    </cfRule>
    <cfRule type="cellIs" dxfId="9153" priority="9783" operator="equal">
      <formula>"CL-H"</formula>
    </cfRule>
    <cfRule type="cellIs" dxfId="9152" priority="9784" operator="equal">
      <formula>"EL-H"</formula>
    </cfRule>
    <cfRule type="cellIs" dxfId="9151" priority="9785" operator="equal">
      <formula>"CL"</formula>
    </cfRule>
    <cfRule type="cellIs" dxfId="9150" priority="9786" operator="equal">
      <formula>"EL"</formula>
    </cfRule>
  </conditionalFormatting>
  <conditionalFormatting sqref="BR23:BS23">
    <cfRule type="containsText" dxfId="9149" priority="9775" operator="containsText" text="S">
      <formula>NOT(ISERROR(SEARCH("S",BR23)))</formula>
    </cfRule>
    <cfRule type="containsText" dxfId="9148" priority="9776" operator="containsText" text="P">
      <formula>NOT(ISERROR(SEARCH("P",BR23)))</formula>
    </cfRule>
    <cfRule type="containsText" dxfId="9147" priority="9777" operator="containsText" text="H">
      <formula>NOT(ISERROR(SEARCH("H",BR23)))</formula>
    </cfRule>
    <cfRule type="containsText" dxfId="9146" priority="9779" operator="containsText" text="&quot;H&quot;">
      <formula>NOT(ISERROR(SEARCH("""H""",BR23)))</formula>
    </cfRule>
    <cfRule type="containsText" dxfId="9145" priority="9780" operator="containsText" text="&quot;A&quot;">
      <formula>NOT(ISERROR(SEARCH("""A""",BR23)))</formula>
    </cfRule>
  </conditionalFormatting>
  <conditionalFormatting sqref="BR23:BS23">
    <cfRule type="containsText" dxfId="9144" priority="9778" operator="containsText" text="A-H">
      <formula>NOT(ISERROR(SEARCH("A-H",BR23)))</formula>
    </cfRule>
  </conditionalFormatting>
  <conditionalFormatting sqref="BU23:BV23">
    <cfRule type="cellIs" dxfId="9143" priority="9769" operator="equal">
      <formula>"C-Off-H"</formula>
    </cfRule>
    <cfRule type="cellIs" dxfId="9142" priority="9770" operator="equal">
      <formula>"C-Off"</formula>
    </cfRule>
    <cfRule type="cellIs" dxfId="9141" priority="9771" operator="equal">
      <formula>"CL-H"</formula>
    </cfRule>
    <cfRule type="cellIs" dxfId="9140" priority="9772" operator="equal">
      <formula>"EL-H"</formula>
    </cfRule>
    <cfRule type="cellIs" dxfId="9139" priority="9773" operator="equal">
      <formula>"CL"</formula>
    </cfRule>
    <cfRule type="cellIs" dxfId="9138" priority="9774" operator="equal">
      <formula>"EL"</formula>
    </cfRule>
  </conditionalFormatting>
  <conditionalFormatting sqref="BU23:BV23">
    <cfRule type="containsText" dxfId="9137" priority="9763" operator="containsText" text="S">
      <formula>NOT(ISERROR(SEARCH("S",BU23)))</formula>
    </cfRule>
    <cfRule type="containsText" dxfId="9136" priority="9764" operator="containsText" text="P">
      <formula>NOT(ISERROR(SEARCH("P",BU23)))</formula>
    </cfRule>
    <cfRule type="containsText" dxfId="9135" priority="9765" operator="containsText" text="H">
      <formula>NOT(ISERROR(SEARCH("H",BU23)))</formula>
    </cfRule>
    <cfRule type="containsText" dxfId="9134" priority="9767" operator="containsText" text="&quot;H&quot;">
      <formula>NOT(ISERROR(SEARCH("""H""",BU23)))</formula>
    </cfRule>
    <cfRule type="containsText" dxfId="9133" priority="9768" operator="containsText" text="&quot;A&quot;">
      <formula>NOT(ISERROR(SEARCH("""A""",BU23)))</formula>
    </cfRule>
  </conditionalFormatting>
  <conditionalFormatting sqref="BU23:BV23">
    <cfRule type="containsText" dxfId="9132" priority="9766" operator="containsText" text="A-H">
      <formula>NOT(ISERROR(SEARCH("A-H",BU23)))</formula>
    </cfRule>
  </conditionalFormatting>
  <conditionalFormatting sqref="BY23">
    <cfRule type="cellIs" dxfId="9131" priority="9757" operator="equal">
      <formula>"C-Off-H"</formula>
    </cfRule>
    <cfRule type="cellIs" dxfId="9130" priority="9758" operator="equal">
      <formula>"C-Off"</formula>
    </cfRule>
    <cfRule type="cellIs" dxfId="9129" priority="9759" operator="equal">
      <formula>"CL-H"</formula>
    </cfRule>
    <cfRule type="cellIs" dxfId="9128" priority="9760" operator="equal">
      <formula>"EL-H"</formula>
    </cfRule>
    <cfRule type="cellIs" dxfId="9127" priority="9761" operator="equal">
      <formula>"CL"</formula>
    </cfRule>
    <cfRule type="cellIs" dxfId="9126" priority="9762" operator="equal">
      <formula>"EL"</formula>
    </cfRule>
  </conditionalFormatting>
  <conditionalFormatting sqref="BY23">
    <cfRule type="containsText" dxfId="9125" priority="9751" operator="containsText" text="S">
      <formula>NOT(ISERROR(SEARCH("S",BY23)))</formula>
    </cfRule>
    <cfRule type="containsText" dxfId="9124" priority="9752" operator="containsText" text="P">
      <formula>NOT(ISERROR(SEARCH("P",BY23)))</formula>
    </cfRule>
    <cfRule type="containsText" dxfId="9123" priority="9753" operator="containsText" text="H">
      <formula>NOT(ISERROR(SEARCH("H",BY23)))</formula>
    </cfRule>
    <cfRule type="containsText" dxfId="9122" priority="9755" operator="containsText" text="&quot;H&quot;">
      <formula>NOT(ISERROR(SEARCH("""H""",BY23)))</formula>
    </cfRule>
    <cfRule type="containsText" dxfId="9121" priority="9756" operator="containsText" text="&quot;A&quot;">
      <formula>NOT(ISERROR(SEARCH("""A""",BY23)))</formula>
    </cfRule>
  </conditionalFormatting>
  <conditionalFormatting sqref="BY23">
    <cfRule type="containsText" dxfId="9120" priority="9754" operator="containsText" text="A-H">
      <formula>NOT(ISERROR(SEARCH("A-H",BY23)))</formula>
    </cfRule>
  </conditionalFormatting>
  <conditionalFormatting sqref="BX23">
    <cfRule type="cellIs" dxfId="9119" priority="9745" operator="equal">
      <formula>"C-Off-H"</formula>
    </cfRule>
    <cfRule type="cellIs" dxfId="9118" priority="9746" operator="equal">
      <formula>"C-Off"</formula>
    </cfRule>
    <cfRule type="cellIs" dxfId="9117" priority="9747" operator="equal">
      <formula>"CL-H"</formula>
    </cfRule>
    <cfRule type="cellIs" dxfId="9116" priority="9748" operator="equal">
      <formula>"EL-H"</formula>
    </cfRule>
    <cfRule type="cellIs" dxfId="9115" priority="9749" operator="equal">
      <formula>"CL"</formula>
    </cfRule>
    <cfRule type="cellIs" dxfId="9114" priority="9750" operator="equal">
      <formula>"EL"</formula>
    </cfRule>
  </conditionalFormatting>
  <conditionalFormatting sqref="BX23">
    <cfRule type="containsText" dxfId="9113" priority="9739" operator="containsText" text="S">
      <formula>NOT(ISERROR(SEARCH("S",BX23)))</formula>
    </cfRule>
    <cfRule type="containsText" dxfId="9112" priority="9740" operator="containsText" text="P">
      <formula>NOT(ISERROR(SEARCH("P",BX23)))</formula>
    </cfRule>
    <cfRule type="containsText" dxfId="9111" priority="9741" operator="containsText" text="H">
      <formula>NOT(ISERROR(SEARCH("H",BX23)))</formula>
    </cfRule>
    <cfRule type="containsText" dxfId="9110" priority="9743" operator="containsText" text="&quot;H&quot;">
      <formula>NOT(ISERROR(SEARCH("""H""",BX23)))</formula>
    </cfRule>
    <cfRule type="containsText" dxfId="9109" priority="9744" operator="containsText" text="&quot;A&quot;">
      <formula>NOT(ISERROR(SEARCH("""A""",BX23)))</formula>
    </cfRule>
  </conditionalFormatting>
  <conditionalFormatting sqref="BX23">
    <cfRule type="containsText" dxfId="9108" priority="9742" operator="containsText" text="A-H">
      <formula>NOT(ISERROR(SEARCH("A-H",BX23)))</formula>
    </cfRule>
  </conditionalFormatting>
  <conditionalFormatting sqref="CN23">
    <cfRule type="cellIs" dxfId="9107" priority="9733" operator="equal">
      <formula>"C-Off-H"</formula>
    </cfRule>
    <cfRule type="cellIs" dxfId="9106" priority="9734" operator="equal">
      <formula>"C-Off"</formula>
    </cfRule>
    <cfRule type="cellIs" dxfId="9105" priority="9735" operator="equal">
      <formula>"CL-H"</formula>
    </cfRule>
    <cfRule type="cellIs" dxfId="9104" priority="9736" operator="equal">
      <formula>"EL-H"</formula>
    </cfRule>
    <cfRule type="cellIs" dxfId="9103" priority="9737" operator="equal">
      <formula>"CL"</formula>
    </cfRule>
    <cfRule type="cellIs" dxfId="9102" priority="9738" operator="equal">
      <formula>"EL"</formula>
    </cfRule>
  </conditionalFormatting>
  <conditionalFormatting sqref="CN23">
    <cfRule type="containsText" dxfId="9101" priority="9732" operator="containsText" text="A-H">
      <formula>NOT(ISERROR(SEARCH("A-H",CN23)))</formula>
    </cfRule>
  </conditionalFormatting>
  <conditionalFormatting sqref="CN23">
    <cfRule type="containsText" dxfId="9100" priority="9731" operator="containsText" text="A">
      <formula>NOT(ISERROR(SEARCH("A",CN23)))</formula>
    </cfRule>
  </conditionalFormatting>
  <conditionalFormatting sqref="CN23">
    <cfRule type="containsText" dxfId="9099" priority="9726" operator="containsText" text="S">
      <formula>NOT(ISERROR(SEARCH("S",CN23)))</formula>
    </cfRule>
    <cfRule type="containsText" dxfId="9098" priority="9727" operator="containsText" text="P">
      <formula>NOT(ISERROR(SEARCH("P",CN23)))</formula>
    </cfRule>
    <cfRule type="containsText" dxfId="9097" priority="9728" operator="containsText" text="H">
      <formula>NOT(ISERROR(SEARCH("H",CN23)))</formula>
    </cfRule>
    <cfRule type="containsText" dxfId="9096" priority="9729" operator="containsText" text="&quot;H&quot;">
      <formula>NOT(ISERROR(SEARCH("""H""",CN23)))</formula>
    </cfRule>
    <cfRule type="containsText" dxfId="9095" priority="9730" operator="containsText" text="&quot;A&quot;">
      <formula>NOT(ISERROR(SEARCH("""A""",CN23)))</formula>
    </cfRule>
  </conditionalFormatting>
  <conditionalFormatting sqref="CA23:CB23">
    <cfRule type="cellIs" dxfId="9094" priority="9720" operator="equal">
      <formula>"C-Off-H"</formula>
    </cfRule>
    <cfRule type="cellIs" dxfId="9093" priority="9721" operator="equal">
      <formula>"C-Off"</formula>
    </cfRule>
    <cfRule type="cellIs" dxfId="9092" priority="9722" operator="equal">
      <formula>"CL-H"</formula>
    </cfRule>
    <cfRule type="cellIs" dxfId="9091" priority="9723" operator="equal">
      <formula>"EL-H"</formula>
    </cfRule>
    <cfRule type="cellIs" dxfId="9090" priority="9724" operator="equal">
      <formula>"CL"</formula>
    </cfRule>
    <cfRule type="cellIs" dxfId="9089" priority="9725" operator="equal">
      <formula>"EL"</formula>
    </cfRule>
  </conditionalFormatting>
  <conditionalFormatting sqref="CA23:CB23">
    <cfRule type="containsText" dxfId="9088" priority="9714" operator="containsText" text="S">
      <formula>NOT(ISERROR(SEARCH("S",CA23)))</formula>
    </cfRule>
    <cfRule type="containsText" dxfId="9087" priority="9715" operator="containsText" text="P">
      <formula>NOT(ISERROR(SEARCH("P",CA23)))</formula>
    </cfRule>
    <cfRule type="containsText" dxfId="9086" priority="9716" operator="containsText" text="H">
      <formula>NOT(ISERROR(SEARCH("H",CA23)))</formula>
    </cfRule>
    <cfRule type="containsText" dxfId="9085" priority="9718" operator="containsText" text="&quot;H&quot;">
      <formula>NOT(ISERROR(SEARCH("""H""",CA23)))</formula>
    </cfRule>
    <cfRule type="containsText" dxfId="9084" priority="9719" operator="containsText" text="&quot;A&quot;">
      <formula>NOT(ISERROR(SEARCH("""A""",CA23)))</formula>
    </cfRule>
  </conditionalFormatting>
  <conditionalFormatting sqref="CA23:CB23">
    <cfRule type="containsText" dxfId="9083" priority="9717" operator="containsText" text="A-H">
      <formula>NOT(ISERROR(SEARCH("A-H",CA23)))</formula>
    </cfRule>
  </conditionalFormatting>
  <conditionalFormatting sqref="CD23:CE23">
    <cfRule type="cellIs" dxfId="9082" priority="9708" operator="equal">
      <formula>"C-Off-H"</formula>
    </cfRule>
    <cfRule type="cellIs" dxfId="9081" priority="9709" operator="equal">
      <formula>"C-Off"</formula>
    </cfRule>
    <cfRule type="cellIs" dxfId="9080" priority="9710" operator="equal">
      <formula>"CL-H"</formula>
    </cfRule>
    <cfRule type="cellIs" dxfId="9079" priority="9711" operator="equal">
      <formula>"EL-H"</formula>
    </cfRule>
    <cfRule type="cellIs" dxfId="9078" priority="9712" operator="equal">
      <formula>"CL"</formula>
    </cfRule>
    <cfRule type="cellIs" dxfId="9077" priority="9713" operator="equal">
      <formula>"EL"</formula>
    </cfRule>
  </conditionalFormatting>
  <conditionalFormatting sqref="CD23:CE23">
    <cfRule type="containsText" dxfId="9076" priority="9702" operator="containsText" text="S">
      <formula>NOT(ISERROR(SEARCH("S",CD23)))</formula>
    </cfRule>
    <cfRule type="containsText" dxfId="9075" priority="9703" operator="containsText" text="P">
      <formula>NOT(ISERROR(SEARCH("P",CD23)))</formula>
    </cfRule>
    <cfRule type="containsText" dxfId="9074" priority="9704" operator="containsText" text="H">
      <formula>NOT(ISERROR(SEARCH("H",CD23)))</formula>
    </cfRule>
    <cfRule type="containsText" dxfId="9073" priority="9706" operator="containsText" text="&quot;H&quot;">
      <formula>NOT(ISERROR(SEARCH("""H""",CD23)))</formula>
    </cfRule>
    <cfRule type="containsText" dxfId="9072" priority="9707" operator="containsText" text="&quot;A&quot;">
      <formula>NOT(ISERROR(SEARCH("""A""",CD23)))</formula>
    </cfRule>
  </conditionalFormatting>
  <conditionalFormatting sqref="CD23:CE23">
    <cfRule type="containsText" dxfId="9071" priority="9705" operator="containsText" text="A-H">
      <formula>NOT(ISERROR(SEARCH("A-H",CD23)))</formula>
    </cfRule>
  </conditionalFormatting>
  <conditionalFormatting sqref="CH23">
    <cfRule type="cellIs" dxfId="9070" priority="9696" operator="equal">
      <formula>"C-Off-H"</formula>
    </cfRule>
    <cfRule type="cellIs" dxfId="9069" priority="9697" operator="equal">
      <formula>"C-Off"</formula>
    </cfRule>
    <cfRule type="cellIs" dxfId="9068" priority="9698" operator="equal">
      <formula>"CL-H"</formula>
    </cfRule>
    <cfRule type="cellIs" dxfId="9067" priority="9699" operator="equal">
      <formula>"EL-H"</formula>
    </cfRule>
    <cfRule type="cellIs" dxfId="9066" priority="9700" operator="equal">
      <formula>"CL"</formula>
    </cfRule>
    <cfRule type="cellIs" dxfId="9065" priority="9701" operator="equal">
      <formula>"EL"</formula>
    </cfRule>
  </conditionalFormatting>
  <conditionalFormatting sqref="CH23">
    <cfRule type="containsText" dxfId="9064" priority="9690" operator="containsText" text="S">
      <formula>NOT(ISERROR(SEARCH("S",CH23)))</formula>
    </cfRule>
    <cfRule type="containsText" dxfId="9063" priority="9691" operator="containsText" text="P">
      <formula>NOT(ISERROR(SEARCH("P",CH23)))</formula>
    </cfRule>
    <cfRule type="containsText" dxfId="9062" priority="9692" operator="containsText" text="H">
      <formula>NOT(ISERROR(SEARCH("H",CH23)))</formula>
    </cfRule>
    <cfRule type="containsText" dxfId="9061" priority="9694" operator="containsText" text="&quot;H&quot;">
      <formula>NOT(ISERROR(SEARCH("""H""",CH23)))</formula>
    </cfRule>
    <cfRule type="containsText" dxfId="9060" priority="9695" operator="containsText" text="&quot;A&quot;">
      <formula>NOT(ISERROR(SEARCH("""A""",CH23)))</formula>
    </cfRule>
  </conditionalFormatting>
  <conditionalFormatting sqref="CH23">
    <cfRule type="containsText" dxfId="9059" priority="9693" operator="containsText" text="A-H">
      <formula>NOT(ISERROR(SEARCH("A-H",CH23)))</formula>
    </cfRule>
  </conditionalFormatting>
  <conditionalFormatting sqref="CG23">
    <cfRule type="cellIs" dxfId="9058" priority="9684" operator="equal">
      <formula>"C-Off-H"</formula>
    </cfRule>
    <cfRule type="cellIs" dxfId="9057" priority="9685" operator="equal">
      <formula>"C-Off"</formula>
    </cfRule>
    <cfRule type="cellIs" dxfId="9056" priority="9686" operator="equal">
      <formula>"CL-H"</formula>
    </cfRule>
    <cfRule type="cellIs" dxfId="9055" priority="9687" operator="equal">
      <formula>"EL-H"</formula>
    </cfRule>
    <cfRule type="cellIs" dxfId="9054" priority="9688" operator="equal">
      <formula>"CL"</formula>
    </cfRule>
    <cfRule type="cellIs" dxfId="9053" priority="9689" operator="equal">
      <formula>"EL"</formula>
    </cfRule>
  </conditionalFormatting>
  <conditionalFormatting sqref="CG23">
    <cfRule type="containsText" dxfId="9052" priority="9678" operator="containsText" text="S">
      <formula>NOT(ISERROR(SEARCH("S",CG23)))</formula>
    </cfRule>
    <cfRule type="containsText" dxfId="9051" priority="9679" operator="containsText" text="P">
      <formula>NOT(ISERROR(SEARCH("P",CG23)))</formula>
    </cfRule>
    <cfRule type="containsText" dxfId="9050" priority="9680" operator="containsText" text="H">
      <formula>NOT(ISERROR(SEARCH("H",CG23)))</formula>
    </cfRule>
    <cfRule type="containsText" dxfId="9049" priority="9682" operator="containsText" text="&quot;H&quot;">
      <formula>NOT(ISERROR(SEARCH("""H""",CG23)))</formula>
    </cfRule>
    <cfRule type="containsText" dxfId="9048" priority="9683" operator="containsText" text="&quot;A&quot;">
      <formula>NOT(ISERROR(SEARCH("""A""",CG23)))</formula>
    </cfRule>
  </conditionalFormatting>
  <conditionalFormatting sqref="CG23">
    <cfRule type="containsText" dxfId="9047" priority="9681" operator="containsText" text="A-H">
      <formula>NOT(ISERROR(SEARCH("A-H",CG23)))</formula>
    </cfRule>
  </conditionalFormatting>
  <conditionalFormatting sqref="H23">
    <cfRule type="cellIs" dxfId="9046" priority="9641" operator="equal">
      <formula>"C-Off-H"</formula>
    </cfRule>
    <cfRule type="cellIs" dxfId="9045" priority="9642" operator="equal">
      <formula>"C-Off"</formula>
    </cfRule>
    <cfRule type="cellIs" dxfId="9044" priority="9643" operator="equal">
      <formula>"CL-H"</formula>
    </cfRule>
    <cfRule type="cellIs" dxfId="9043" priority="9644" operator="equal">
      <formula>"EL-H"</formula>
    </cfRule>
    <cfRule type="cellIs" dxfId="9042" priority="9645" operator="equal">
      <formula>"CL"</formula>
    </cfRule>
    <cfRule type="cellIs" dxfId="9041" priority="9646" operator="equal">
      <formula>"EL"</formula>
    </cfRule>
  </conditionalFormatting>
  <conditionalFormatting sqref="G23:H23">
    <cfRule type="cellIs" dxfId="9040" priority="9635" operator="equal">
      <formula>"C-Off-H"</formula>
    </cfRule>
    <cfRule type="cellIs" dxfId="9039" priority="9636" operator="equal">
      <formula>"C-Off"</formula>
    </cfRule>
    <cfRule type="cellIs" dxfId="9038" priority="9637" operator="equal">
      <formula>"CL-H"</formula>
    </cfRule>
    <cfRule type="cellIs" dxfId="9037" priority="9638" operator="equal">
      <formula>"EL-H"</formula>
    </cfRule>
    <cfRule type="cellIs" dxfId="9036" priority="9639" operator="equal">
      <formula>"CL"</formula>
    </cfRule>
    <cfRule type="cellIs" dxfId="9035" priority="9640" operator="equal">
      <formula>"EL"</formula>
    </cfRule>
  </conditionalFormatting>
  <conditionalFormatting sqref="G23:H23">
    <cfRule type="containsText" dxfId="9034" priority="9629" operator="containsText" text="S">
      <formula>NOT(ISERROR(SEARCH("S",G23)))</formula>
    </cfRule>
    <cfRule type="containsText" dxfId="9033" priority="9630" operator="containsText" text="P">
      <formula>NOT(ISERROR(SEARCH("P",G23)))</formula>
    </cfRule>
    <cfRule type="containsText" dxfId="9032" priority="9631" operator="containsText" text="H">
      <formula>NOT(ISERROR(SEARCH("H",G23)))</formula>
    </cfRule>
    <cfRule type="containsText" dxfId="9031" priority="9633" operator="containsText" text="&quot;H&quot;">
      <formula>NOT(ISERROR(SEARCH("""H""",G23)))</formula>
    </cfRule>
    <cfRule type="containsText" dxfId="9030" priority="9634" operator="containsText" text="&quot;A&quot;">
      <formula>NOT(ISERROR(SEARCH("""A""",G23)))</formula>
    </cfRule>
  </conditionalFormatting>
  <conditionalFormatting sqref="G23:H23">
    <cfRule type="containsText" dxfId="9029" priority="9632" operator="containsText" text="A-H">
      <formula>NOT(ISERROR(SEARCH("A-H",G23)))</formula>
    </cfRule>
  </conditionalFormatting>
  <conditionalFormatting sqref="K23">
    <cfRule type="cellIs" dxfId="9028" priority="9623" operator="equal">
      <formula>"C-Off-H"</formula>
    </cfRule>
    <cfRule type="cellIs" dxfId="9027" priority="9624" operator="equal">
      <formula>"C-Off"</formula>
    </cfRule>
    <cfRule type="cellIs" dxfId="9026" priority="9625" operator="equal">
      <formula>"CL-H"</formula>
    </cfRule>
    <cfRule type="cellIs" dxfId="9025" priority="9626" operator="equal">
      <formula>"EL-H"</formula>
    </cfRule>
    <cfRule type="cellIs" dxfId="9024" priority="9627" operator="equal">
      <formula>"CL"</formula>
    </cfRule>
    <cfRule type="cellIs" dxfId="9023" priority="9628" operator="equal">
      <formula>"EL"</formula>
    </cfRule>
  </conditionalFormatting>
  <conditionalFormatting sqref="J23:K23">
    <cfRule type="cellIs" dxfId="9022" priority="9617" operator="equal">
      <formula>"C-Off-H"</formula>
    </cfRule>
    <cfRule type="cellIs" dxfId="9021" priority="9618" operator="equal">
      <formula>"C-Off"</formula>
    </cfRule>
    <cfRule type="cellIs" dxfId="9020" priority="9619" operator="equal">
      <formula>"CL-H"</formula>
    </cfRule>
    <cfRule type="cellIs" dxfId="9019" priority="9620" operator="equal">
      <formula>"EL-H"</formula>
    </cfRule>
    <cfRule type="cellIs" dxfId="9018" priority="9621" operator="equal">
      <formula>"CL"</formula>
    </cfRule>
    <cfRule type="cellIs" dxfId="9017" priority="9622" operator="equal">
      <formula>"EL"</formula>
    </cfRule>
  </conditionalFormatting>
  <conditionalFormatting sqref="J23:K23">
    <cfRule type="containsText" dxfId="9016" priority="9611" operator="containsText" text="S">
      <formula>NOT(ISERROR(SEARCH("S",J23)))</formula>
    </cfRule>
    <cfRule type="containsText" dxfId="9015" priority="9612" operator="containsText" text="P">
      <formula>NOT(ISERROR(SEARCH("P",J23)))</formula>
    </cfRule>
    <cfRule type="containsText" dxfId="9014" priority="9613" operator="containsText" text="H">
      <formula>NOT(ISERROR(SEARCH("H",J23)))</formula>
    </cfRule>
    <cfRule type="containsText" dxfId="9013" priority="9615" operator="containsText" text="&quot;H&quot;">
      <formula>NOT(ISERROR(SEARCH("""H""",J23)))</formula>
    </cfRule>
    <cfRule type="containsText" dxfId="9012" priority="9616" operator="containsText" text="&quot;A&quot;">
      <formula>NOT(ISERROR(SEARCH("""A""",J23)))</formula>
    </cfRule>
  </conditionalFormatting>
  <conditionalFormatting sqref="J23:K23">
    <cfRule type="containsText" dxfId="9011" priority="9614" operator="containsText" text="A-H">
      <formula>NOT(ISERROR(SEARCH("A-H",J23)))</formula>
    </cfRule>
  </conditionalFormatting>
  <conditionalFormatting sqref="N23">
    <cfRule type="cellIs" dxfId="9010" priority="9605" operator="equal">
      <formula>"C-Off-H"</formula>
    </cfRule>
    <cfRule type="cellIs" dxfId="9009" priority="9606" operator="equal">
      <formula>"C-Off"</formula>
    </cfRule>
    <cfRule type="cellIs" dxfId="9008" priority="9607" operator="equal">
      <formula>"CL-H"</formula>
    </cfRule>
    <cfRule type="cellIs" dxfId="9007" priority="9608" operator="equal">
      <formula>"EL-H"</formula>
    </cfRule>
    <cfRule type="cellIs" dxfId="9006" priority="9609" operator="equal">
      <formula>"CL"</formula>
    </cfRule>
    <cfRule type="cellIs" dxfId="9005" priority="9610" operator="equal">
      <formula>"EL"</formula>
    </cfRule>
  </conditionalFormatting>
  <conditionalFormatting sqref="M23:N23">
    <cfRule type="cellIs" dxfId="9004" priority="9599" operator="equal">
      <formula>"C-Off-H"</formula>
    </cfRule>
    <cfRule type="cellIs" dxfId="9003" priority="9600" operator="equal">
      <formula>"C-Off"</formula>
    </cfRule>
    <cfRule type="cellIs" dxfId="9002" priority="9601" operator="equal">
      <formula>"CL-H"</formula>
    </cfRule>
    <cfRule type="cellIs" dxfId="9001" priority="9602" operator="equal">
      <formula>"EL-H"</formula>
    </cfRule>
    <cfRule type="cellIs" dxfId="9000" priority="9603" operator="equal">
      <formula>"CL"</formula>
    </cfRule>
    <cfRule type="cellIs" dxfId="8999" priority="9604" operator="equal">
      <formula>"EL"</formula>
    </cfRule>
  </conditionalFormatting>
  <conditionalFormatting sqref="M23:N23">
    <cfRule type="containsText" dxfId="8998" priority="9593" operator="containsText" text="S">
      <formula>NOT(ISERROR(SEARCH("S",M23)))</formula>
    </cfRule>
    <cfRule type="containsText" dxfId="8997" priority="9594" operator="containsText" text="P">
      <formula>NOT(ISERROR(SEARCH("P",M23)))</formula>
    </cfRule>
    <cfRule type="containsText" dxfId="8996" priority="9595" operator="containsText" text="H">
      <formula>NOT(ISERROR(SEARCH("H",M23)))</formula>
    </cfRule>
    <cfRule type="containsText" dxfId="8995" priority="9597" operator="containsText" text="&quot;H&quot;">
      <formula>NOT(ISERROR(SEARCH("""H""",M23)))</formula>
    </cfRule>
    <cfRule type="containsText" dxfId="8994" priority="9598" operator="containsText" text="&quot;A&quot;">
      <formula>NOT(ISERROR(SEARCH("""A""",M23)))</formula>
    </cfRule>
  </conditionalFormatting>
  <conditionalFormatting sqref="M23:N23">
    <cfRule type="containsText" dxfId="8993" priority="9596" operator="containsText" text="A-H">
      <formula>NOT(ISERROR(SEARCH("A-H",M23)))</formula>
    </cfRule>
  </conditionalFormatting>
  <conditionalFormatting sqref="K24">
    <cfRule type="cellIs" dxfId="8992" priority="9587" operator="equal">
      <formula>"C-Off-H"</formula>
    </cfRule>
    <cfRule type="cellIs" dxfId="8991" priority="9588" operator="equal">
      <formula>"C-Off"</formula>
    </cfRule>
    <cfRule type="cellIs" dxfId="8990" priority="9589" operator="equal">
      <formula>"CL-H"</formula>
    </cfRule>
    <cfRule type="cellIs" dxfId="8989" priority="9590" operator="equal">
      <formula>"EL-H"</formula>
    </cfRule>
    <cfRule type="cellIs" dxfId="8988" priority="9591" operator="equal">
      <formula>"CL"</formula>
    </cfRule>
    <cfRule type="cellIs" dxfId="8987" priority="9592" operator="equal">
      <formula>"EL"</formula>
    </cfRule>
  </conditionalFormatting>
  <conditionalFormatting sqref="K24">
    <cfRule type="containsText" dxfId="8986" priority="9586" operator="containsText" text="A-H">
      <formula>NOT(ISERROR(SEARCH("A-H",K24)))</formula>
    </cfRule>
  </conditionalFormatting>
  <conditionalFormatting sqref="K24">
    <cfRule type="containsText" dxfId="8985" priority="9581" operator="containsText" text="S">
      <formula>NOT(ISERROR(SEARCH("S",K24)))</formula>
    </cfRule>
    <cfRule type="containsText" dxfId="8984" priority="9582" operator="containsText" text="P">
      <formula>NOT(ISERROR(SEARCH("P",K24)))</formula>
    </cfRule>
    <cfRule type="containsText" dxfId="8983" priority="9583" operator="containsText" text="H">
      <formula>NOT(ISERROR(SEARCH("H",K24)))</formula>
    </cfRule>
    <cfRule type="containsText" dxfId="8982" priority="9584" operator="containsText" text="&quot;H&quot;">
      <formula>NOT(ISERROR(SEARCH("""H""",K24)))</formula>
    </cfRule>
    <cfRule type="containsText" dxfId="8981" priority="9585" operator="containsText" text="&quot;A&quot;">
      <formula>NOT(ISERROR(SEARCH("""A""",K24)))</formula>
    </cfRule>
  </conditionalFormatting>
  <conditionalFormatting sqref="DC29 CQ29:CW29 M29:N29 CX28:CX30 Z28:Z30 CN28:CN29">
    <cfRule type="cellIs" dxfId="8980" priority="9549" operator="equal">
      <formula>"C-Off-H"</formula>
    </cfRule>
    <cfRule type="cellIs" dxfId="8979" priority="9550" operator="equal">
      <formula>"C-Off"</formula>
    </cfRule>
    <cfRule type="cellIs" dxfId="8978" priority="9551" operator="equal">
      <formula>"CL-H"</formula>
    </cfRule>
    <cfRule type="cellIs" dxfId="8977" priority="9552" operator="equal">
      <formula>"EL-H"</formula>
    </cfRule>
    <cfRule type="cellIs" dxfId="8976" priority="9553" operator="equal">
      <formula>"CL"</formula>
    </cfRule>
    <cfRule type="cellIs" dxfId="8975" priority="9554" operator="equal">
      <formula>"EL"</formula>
    </cfRule>
  </conditionalFormatting>
  <conditionalFormatting sqref="CQ29:CW29 M29:N29 CY29:DA29 DC29 CX28:CX30 Z28:Z30 CN28:CN29">
    <cfRule type="containsText" dxfId="8974" priority="9548" operator="containsText" text="A-H">
      <formula>NOT(ISERROR(SEARCH("A-H",M28)))</formula>
    </cfRule>
  </conditionalFormatting>
  <conditionalFormatting sqref="CQ29:CW29 CY29:DA29 DC29 CX28:CX30 CN28:CN29">
    <cfRule type="containsText" dxfId="8973" priority="9547" operator="containsText" text="A">
      <formula>NOT(ISERROR(SEARCH("A",CN28)))</formula>
    </cfRule>
  </conditionalFormatting>
  <conditionalFormatting sqref="DA29 CY29">
    <cfRule type="cellIs" dxfId="8972" priority="9541" stopIfTrue="1" operator="equal">
      <formula>"C-Off-H"</formula>
    </cfRule>
    <cfRule type="cellIs" dxfId="8971" priority="9542" stopIfTrue="1" operator="equal">
      <formula>"C-Off"</formula>
    </cfRule>
    <cfRule type="cellIs" dxfId="8970" priority="9543" stopIfTrue="1" operator="equal">
      <formula>"CL-H"</formula>
    </cfRule>
    <cfRule type="cellIs" dxfId="8969" priority="9544" stopIfTrue="1" operator="equal">
      <formula>"EL-H"</formula>
    </cfRule>
    <cfRule type="cellIs" dxfId="8968" priority="9545" stopIfTrue="1" operator="equal">
      <formula>"CL"</formula>
    </cfRule>
    <cfRule type="cellIs" dxfId="8967" priority="9546" stopIfTrue="1" operator="equal">
      <formula>"EL"</formula>
    </cfRule>
  </conditionalFormatting>
  <conditionalFormatting sqref="CZ29">
    <cfRule type="cellIs" dxfId="8966" priority="9535" stopIfTrue="1" operator="equal">
      <formula>"C-Off-H"</formula>
    </cfRule>
    <cfRule type="cellIs" dxfId="8965" priority="9536" stopIfTrue="1" operator="equal">
      <formula>"C-Off"</formula>
    </cfRule>
    <cfRule type="cellIs" dxfId="8964" priority="9537" stopIfTrue="1" operator="equal">
      <formula>"CL-H"</formula>
    </cfRule>
    <cfRule type="cellIs" dxfId="8963" priority="9538" stopIfTrue="1" operator="equal">
      <formula>"EL-H"</formula>
    </cfRule>
    <cfRule type="cellIs" dxfId="8962" priority="9539" stopIfTrue="1" operator="equal">
      <formula>"CL"</formula>
    </cfRule>
    <cfRule type="cellIs" dxfId="8961" priority="9540" stopIfTrue="1" operator="equal">
      <formula>"EL"</formula>
    </cfRule>
  </conditionalFormatting>
  <conditionalFormatting sqref="M29:N29 Z28:Z30 CN28:CN29">
    <cfRule type="containsText" dxfId="8960" priority="9530" operator="containsText" text="S">
      <formula>NOT(ISERROR(SEARCH("S",M28)))</formula>
    </cfRule>
    <cfRule type="containsText" dxfId="8959" priority="9531" operator="containsText" text="P">
      <formula>NOT(ISERROR(SEARCH("P",M28)))</formula>
    </cfRule>
    <cfRule type="containsText" dxfId="8958" priority="9532" operator="containsText" text="H">
      <formula>NOT(ISERROR(SEARCH("H",M28)))</formula>
    </cfRule>
    <cfRule type="containsText" dxfId="8957" priority="9533" operator="containsText" text="&quot;H&quot;">
      <formula>NOT(ISERROR(SEARCH("""H""",M28)))</formula>
    </cfRule>
    <cfRule type="containsText" dxfId="8956" priority="9534" operator="containsText" text="&quot;A&quot;">
      <formula>NOT(ISERROR(SEARCH("""A""",M28)))</formula>
    </cfRule>
  </conditionalFormatting>
  <conditionalFormatting sqref="DD29">
    <cfRule type="cellIs" dxfId="8955" priority="9524" operator="equal">
      <formula>"C-Off-H"</formula>
    </cfRule>
    <cfRule type="cellIs" dxfId="8954" priority="9525" operator="equal">
      <formula>"C-Off"</formula>
    </cfRule>
    <cfRule type="cellIs" dxfId="8953" priority="9526" operator="equal">
      <formula>"CL-H"</formula>
    </cfRule>
    <cfRule type="cellIs" dxfId="8952" priority="9527" operator="equal">
      <formula>"EL-H"</formula>
    </cfRule>
    <cfRule type="cellIs" dxfId="8951" priority="9528" operator="equal">
      <formula>"CL"</formula>
    </cfRule>
    <cfRule type="cellIs" dxfId="8950" priority="9529" operator="equal">
      <formula>"EL"</formula>
    </cfRule>
  </conditionalFormatting>
  <conditionalFormatting sqref="DD29">
    <cfRule type="containsText" dxfId="8949" priority="9523" operator="containsText" text="A">
      <formula>NOT(ISERROR(SEARCH("A",DD29)))</formula>
    </cfRule>
  </conditionalFormatting>
  <conditionalFormatting sqref="DD29">
    <cfRule type="containsText" dxfId="8948" priority="9522" operator="containsText" text="A-H">
      <formula>NOT(ISERROR(SEARCH("A-H",DD29)))</formula>
    </cfRule>
  </conditionalFormatting>
  <conditionalFormatting sqref="AI29">
    <cfRule type="cellIs" dxfId="8947" priority="9516" operator="equal">
      <formula>"C-Off-H"</formula>
    </cfRule>
    <cfRule type="cellIs" dxfId="8946" priority="9517" operator="equal">
      <formula>"C-Off"</formula>
    </cfRule>
    <cfRule type="cellIs" dxfId="8945" priority="9518" operator="equal">
      <formula>"CL-H"</formula>
    </cfRule>
    <cfRule type="cellIs" dxfId="8944" priority="9519" operator="equal">
      <formula>"EL-H"</formula>
    </cfRule>
    <cfRule type="cellIs" dxfId="8943" priority="9520" operator="equal">
      <formula>"CL"</formula>
    </cfRule>
    <cfRule type="cellIs" dxfId="8942" priority="9521" operator="equal">
      <formula>"EL"</formula>
    </cfRule>
  </conditionalFormatting>
  <conditionalFormatting sqref="AH29:AI29">
    <cfRule type="cellIs" dxfId="8941" priority="9510" operator="equal">
      <formula>"C-Off-H"</formula>
    </cfRule>
    <cfRule type="cellIs" dxfId="8940" priority="9511" operator="equal">
      <formula>"C-Off"</formula>
    </cfRule>
    <cfRule type="cellIs" dxfId="8939" priority="9512" operator="equal">
      <formula>"CL-H"</formula>
    </cfRule>
    <cfRule type="cellIs" dxfId="8938" priority="9513" operator="equal">
      <formula>"EL-H"</formula>
    </cfRule>
    <cfRule type="cellIs" dxfId="8937" priority="9514" operator="equal">
      <formula>"CL"</formula>
    </cfRule>
    <cfRule type="cellIs" dxfId="8936" priority="9515" operator="equal">
      <formula>"EL"</formula>
    </cfRule>
  </conditionalFormatting>
  <conditionalFormatting sqref="AH29:AI29">
    <cfRule type="containsText" dxfId="8935" priority="9504" operator="containsText" text="S">
      <formula>NOT(ISERROR(SEARCH("S",AH29)))</formula>
    </cfRule>
    <cfRule type="containsText" dxfId="8934" priority="9505" operator="containsText" text="P">
      <formula>NOT(ISERROR(SEARCH("P",AH29)))</formula>
    </cfRule>
    <cfRule type="containsText" dxfId="8933" priority="9506" operator="containsText" text="H">
      <formula>NOT(ISERROR(SEARCH("H",AH29)))</formula>
    </cfRule>
    <cfRule type="containsText" dxfId="8932" priority="9508" operator="containsText" text="&quot;H&quot;">
      <formula>NOT(ISERROR(SEARCH("""H""",AH29)))</formula>
    </cfRule>
    <cfRule type="containsText" dxfId="8931" priority="9509" operator="containsText" text="&quot;A&quot;">
      <formula>NOT(ISERROR(SEARCH("""A""",AH29)))</formula>
    </cfRule>
  </conditionalFormatting>
  <conditionalFormatting sqref="AH29:AI29">
    <cfRule type="containsText" dxfId="8930" priority="9507" operator="containsText" text="A-H">
      <formula>NOT(ISERROR(SEARCH("A-H",AH29)))</formula>
    </cfRule>
  </conditionalFormatting>
  <conditionalFormatting sqref="AU29">
    <cfRule type="cellIs" dxfId="8929" priority="9498" operator="equal">
      <formula>"C-Off-H"</formula>
    </cfRule>
    <cfRule type="cellIs" dxfId="8928" priority="9499" operator="equal">
      <formula>"C-Off"</formula>
    </cfRule>
    <cfRule type="cellIs" dxfId="8927" priority="9500" operator="equal">
      <formula>"CL-H"</formula>
    </cfRule>
    <cfRule type="cellIs" dxfId="8926" priority="9501" operator="equal">
      <formula>"EL-H"</formula>
    </cfRule>
    <cfRule type="cellIs" dxfId="8925" priority="9502" operator="equal">
      <formula>"CL"</formula>
    </cfRule>
    <cfRule type="cellIs" dxfId="8924" priority="9503" operator="equal">
      <formula>"EL"</formula>
    </cfRule>
  </conditionalFormatting>
  <conditionalFormatting sqref="AT29:AU29">
    <cfRule type="cellIs" dxfId="8923" priority="9492" operator="equal">
      <formula>"C-Off-H"</formula>
    </cfRule>
    <cfRule type="cellIs" dxfId="8922" priority="9493" operator="equal">
      <formula>"C-Off"</formula>
    </cfRule>
    <cfRule type="cellIs" dxfId="8921" priority="9494" operator="equal">
      <formula>"CL-H"</formula>
    </cfRule>
    <cfRule type="cellIs" dxfId="8920" priority="9495" operator="equal">
      <formula>"EL-H"</formula>
    </cfRule>
    <cfRule type="cellIs" dxfId="8919" priority="9496" operator="equal">
      <formula>"CL"</formula>
    </cfRule>
    <cfRule type="cellIs" dxfId="8918" priority="9497" operator="equal">
      <formula>"EL"</formula>
    </cfRule>
  </conditionalFormatting>
  <conditionalFormatting sqref="AT29:AU29">
    <cfRule type="containsText" dxfId="8917" priority="9486" operator="containsText" text="S">
      <formula>NOT(ISERROR(SEARCH("S",AT29)))</formula>
    </cfRule>
    <cfRule type="containsText" dxfId="8916" priority="9487" operator="containsText" text="P">
      <formula>NOT(ISERROR(SEARCH("P",AT29)))</formula>
    </cfRule>
    <cfRule type="containsText" dxfId="8915" priority="9488" operator="containsText" text="H">
      <formula>NOT(ISERROR(SEARCH("H",AT29)))</formula>
    </cfRule>
    <cfRule type="containsText" dxfId="8914" priority="9490" operator="containsText" text="&quot;H&quot;">
      <formula>NOT(ISERROR(SEARCH("""H""",AT29)))</formula>
    </cfRule>
    <cfRule type="containsText" dxfId="8913" priority="9491" operator="containsText" text="&quot;A&quot;">
      <formula>NOT(ISERROR(SEARCH("""A""",AT29)))</formula>
    </cfRule>
  </conditionalFormatting>
  <conditionalFormatting sqref="AT29:AU29">
    <cfRule type="containsText" dxfId="8912" priority="9489" operator="containsText" text="A-H">
      <formula>NOT(ISERROR(SEARCH("A-H",AT29)))</formula>
    </cfRule>
  </conditionalFormatting>
  <conditionalFormatting sqref="E29">
    <cfRule type="cellIs" dxfId="8911" priority="9480" operator="equal">
      <formula>"C-Off-H"</formula>
    </cfRule>
    <cfRule type="cellIs" dxfId="8910" priority="9481" operator="equal">
      <formula>"C-Off"</formula>
    </cfRule>
    <cfRule type="cellIs" dxfId="8909" priority="9482" operator="equal">
      <formula>"CL-H"</formula>
    </cfRule>
    <cfRule type="cellIs" dxfId="8908" priority="9483" operator="equal">
      <formula>"EL-H"</formula>
    </cfRule>
    <cfRule type="cellIs" dxfId="8907" priority="9484" operator="equal">
      <formula>"CL"</formula>
    </cfRule>
    <cfRule type="cellIs" dxfId="8906" priority="9485" operator="equal">
      <formula>"EL"</formula>
    </cfRule>
  </conditionalFormatting>
  <conditionalFormatting sqref="D29:E29">
    <cfRule type="cellIs" dxfId="8905" priority="9474" operator="equal">
      <formula>"C-Off-H"</formula>
    </cfRule>
    <cfRule type="cellIs" dxfId="8904" priority="9475" operator="equal">
      <formula>"C-Off"</formula>
    </cfRule>
    <cfRule type="cellIs" dxfId="8903" priority="9476" operator="equal">
      <formula>"CL-H"</formula>
    </cfRule>
    <cfRule type="cellIs" dxfId="8902" priority="9477" operator="equal">
      <formula>"EL-H"</formula>
    </cfRule>
    <cfRule type="cellIs" dxfId="8901" priority="9478" operator="equal">
      <formula>"CL"</formula>
    </cfRule>
    <cfRule type="cellIs" dxfId="8900" priority="9479" operator="equal">
      <formula>"EL"</formula>
    </cfRule>
  </conditionalFormatting>
  <conditionalFormatting sqref="D29:E29">
    <cfRule type="containsText" dxfId="8899" priority="9468" operator="containsText" text="S">
      <formula>NOT(ISERROR(SEARCH("S",D29)))</formula>
    </cfRule>
    <cfRule type="containsText" dxfId="8898" priority="9469" operator="containsText" text="P">
      <formula>NOT(ISERROR(SEARCH("P",D29)))</formula>
    </cfRule>
    <cfRule type="containsText" dxfId="8897" priority="9470" operator="containsText" text="H">
      <formula>NOT(ISERROR(SEARCH("H",D29)))</formula>
    </cfRule>
    <cfRule type="containsText" dxfId="8896" priority="9472" operator="containsText" text="&quot;H&quot;">
      <formula>NOT(ISERROR(SEARCH("""H""",D29)))</formula>
    </cfRule>
    <cfRule type="containsText" dxfId="8895" priority="9473" operator="containsText" text="&quot;A&quot;">
      <formula>NOT(ISERROR(SEARCH("""A""",D29)))</formula>
    </cfRule>
  </conditionalFormatting>
  <conditionalFormatting sqref="D29:E29">
    <cfRule type="containsText" dxfId="8894" priority="9471" operator="containsText" text="A-H">
      <formula>NOT(ISERROR(SEARCH("A-H",D29)))</formula>
    </cfRule>
  </conditionalFormatting>
  <conditionalFormatting sqref="Y29">
    <cfRule type="cellIs" dxfId="8893" priority="9462" operator="equal">
      <formula>"C-Off-H"</formula>
    </cfRule>
    <cfRule type="cellIs" dxfId="8892" priority="9463" operator="equal">
      <formula>"C-Off"</formula>
    </cfRule>
    <cfRule type="cellIs" dxfId="8891" priority="9464" operator="equal">
      <formula>"CL-H"</formula>
    </cfRule>
    <cfRule type="cellIs" dxfId="8890" priority="9465" operator="equal">
      <formula>"EL-H"</formula>
    </cfRule>
    <cfRule type="cellIs" dxfId="8889" priority="9466" operator="equal">
      <formula>"CL"</formula>
    </cfRule>
    <cfRule type="cellIs" dxfId="8888" priority="9467" operator="equal">
      <formula>"EL"</formula>
    </cfRule>
  </conditionalFormatting>
  <conditionalFormatting sqref="Y29">
    <cfRule type="containsText" dxfId="8887" priority="9456" operator="containsText" text="S">
      <formula>NOT(ISERROR(SEARCH("S",Y29)))</formula>
    </cfRule>
    <cfRule type="containsText" dxfId="8886" priority="9457" operator="containsText" text="P">
      <formula>NOT(ISERROR(SEARCH("P",Y29)))</formula>
    </cfRule>
    <cfRule type="containsText" dxfId="8885" priority="9458" operator="containsText" text="H">
      <formula>NOT(ISERROR(SEARCH("H",Y29)))</formula>
    </cfRule>
    <cfRule type="containsText" dxfId="8884" priority="9460" operator="containsText" text="&quot;H&quot;">
      <formula>NOT(ISERROR(SEARCH("""H""",Y29)))</formula>
    </cfRule>
    <cfRule type="containsText" dxfId="8883" priority="9461" operator="containsText" text="&quot;A&quot;">
      <formula>NOT(ISERROR(SEARCH("""A""",Y29)))</formula>
    </cfRule>
  </conditionalFormatting>
  <conditionalFormatting sqref="Y29">
    <cfRule type="containsText" dxfId="8882" priority="9459" operator="containsText" text="A-H">
      <formula>NOT(ISERROR(SEARCH("A-H",Y29)))</formula>
    </cfRule>
  </conditionalFormatting>
  <conditionalFormatting sqref="AF29">
    <cfRule type="cellIs" dxfId="8881" priority="9450" operator="equal">
      <formula>"C-Off-H"</formula>
    </cfRule>
    <cfRule type="cellIs" dxfId="8880" priority="9451" operator="equal">
      <formula>"C-Off"</formula>
    </cfRule>
    <cfRule type="cellIs" dxfId="8879" priority="9452" operator="equal">
      <formula>"CL-H"</formula>
    </cfRule>
    <cfRule type="cellIs" dxfId="8878" priority="9453" operator="equal">
      <formula>"EL-H"</formula>
    </cfRule>
    <cfRule type="cellIs" dxfId="8877" priority="9454" operator="equal">
      <formula>"CL"</formula>
    </cfRule>
    <cfRule type="cellIs" dxfId="8876" priority="9455" operator="equal">
      <formula>"EL"</formula>
    </cfRule>
  </conditionalFormatting>
  <conditionalFormatting sqref="AF29">
    <cfRule type="containsText" dxfId="8875" priority="9444" operator="containsText" text="S">
      <formula>NOT(ISERROR(SEARCH("S",AF29)))</formula>
    </cfRule>
    <cfRule type="containsText" dxfId="8874" priority="9445" operator="containsText" text="P">
      <formula>NOT(ISERROR(SEARCH("P",AF29)))</formula>
    </cfRule>
    <cfRule type="containsText" dxfId="8873" priority="9446" operator="containsText" text="H">
      <formula>NOT(ISERROR(SEARCH("H",AF29)))</formula>
    </cfRule>
    <cfRule type="containsText" dxfId="8872" priority="9448" operator="containsText" text="&quot;H&quot;">
      <formula>NOT(ISERROR(SEARCH("""H""",AF29)))</formula>
    </cfRule>
    <cfRule type="containsText" dxfId="8871" priority="9449" operator="containsText" text="&quot;A&quot;">
      <formula>NOT(ISERROR(SEARCH("""A""",AF29)))</formula>
    </cfRule>
  </conditionalFormatting>
  <conditionalFormatting sqref="AF29">
    <cfRule type="containsText" dxfId="8870" priority="9447" operator="containsText" text="A-H">
      <formula>NOT(ISERROR(SEARCH("A-H",AF29)))</formula>
    </cfRule>
  </conditionalFormatting>
  <conditionalFormatting sqref="BO29:BP29">
    <cfRule type="cellIs" dxfId="8869" priority="9438" operator="equal">
      <formula>"C-Off-H"</formula>
    </cfRule>
    <cfRule type="cellIs" dxfId="8868" priority="9439" operator="equal">
      <formula>"C-Off"</formula>
    </cfRule>
    <cfRule type="cellIs" dxfId="8867" priority="9440" operator="equal">
      <formula>"CL-H"</formula>
    </cfRule>
    <cfRule type="cellIs" dxfId="8866" priority="9441" operator="equal">
      <formula>"EL-H"</formula>
    </cfRule>
    <cfRule type="cellIs" dxfId="8865" priority="9442" operator="equal">
      <formula>"CL"</formula>
    </cfRule>
    <cfRule type="cellIs" dxfId="8864" priority="9443" operator="equal">
      <formula>"EL"</formula>
    </cfRule>
  </conditionalFormatting>
  <conditionalFormatting sqref="BO29:BP29">
    <cfRule type="cellIs" dxfId="8863" priority="9432" operator="equal">
      <formula>"C-Off-H"</formula>
    </cfRule>
    <cfRule type="cellIs" dxfId="8862" priority="9433" operator="equal">
      <formula>"C-Off"</formula>
    </cfRule>
    <cfRule type="cellIs" dxfId="8861" priority="9434" operator="equal">
      <formula>"CL-H"</formula>
    </cfRule>
    <cfRule type="cellIs" dxfId="8860" priority="9435" operator="equal">
      <formula>"EL-H"</formula>
    </cfRule>
    <cfRule type="cellIs" dxfId="8859" priority="9436" operator="equal">
      <formula>"CL"</formula>
    </cfRule>
    <cfRule type="cellIs" dxfId="8858" priority="9437" operator="equal">
      <formula>"EL"</formula>
    </cfRule>
  </conditionalFormatting>
  <conditionalFormatting sqref="BO29:BP29">
    <cfRule type="containsText" dxfId="8857" priority="9426" operator="containsText" text="S">
      <formula>NOT(ISERROR(SEARCH("S",BO29)))</formula>
    </cfRule>
    <cfRule type="containsText" dxfId="8856" priority="9427" operator="containsText" text="P">
      <formula>NOT(ISERROR(SEARCH("P",BO29)))</formula>
    </cfRule>
    <cfRule type="containsText" dxfId="8855" priority="9428" operator="containsText" text="H">
      <formula>NOT(ISERROR(SEARCH("H",BO29)))</formula>
    </cfRule>
    <cfRule type="containsText" dxfId="8854" priority="9430" operator="containsText" text="&quot;H&quot;">
      <formula>NOT(ISERROR(SEARCH("""H""",BO29)))</formula>
    </cfRule>
    <cfRule type="containsText" dxfId="8853" priority="9431" operator="containsText" text="&quot;A&quot;">
      <formula>NOT(ISERROR(SEARCH("""A""",BO29)))</formula>
    </cfRule>
  </conditionalFormatting>
  <conditionalFormatting sqref="BO29:BP29">
    <cfRule type="containsText" dxfId="8852" priority="9429" operator="containsText" text="A-H">
      <formula>NOT(ISERROR(SEARCH("A-H",BO29)))</formula>
    </cfRule>
  </conditionalFormatting>
  <conditionalFormatting sqref="CM29">
    <cfRule type="cellIs" dxfId="8851" priority="9420" operator="equal">
      <formula>"C-Off-H"</formula>
    </cfRule>
    <cfRule type="cellIs" dxfId="8850" priority="9421" operator="equal">
      <formula>"C-Off"</formula>
    </cfRule>
    <cfRule type="cellIs" dxfId="8849" priority="9422" operator="equal">
      <formula>"CL-H"</formula>
    </cfRule>
    <cfRule type="cellIs" dxfId="8848" priority="9423" operator="equal">
      <formula>"EL-H"</formula>
    </cfRule>
    <cfRule type="cellIs" dxfId="8847" priority="9424" operator="equal">
      <formula>"CL"</formula>
    </cfRule>
    <cfRule type="cellIs" dxfId="8846" priority="9425" operator="equal">
      <formula>"EL"</formula>
    </cfRule>
  </conditionalFormatting>
  <conditionalFormatting sqref="CM29">
    <cfRule type="cellIs" dxfId="8845" priority="9414" operator="equal">
      <formula>"C-Off-H"</formula>
    </cfRule>
    <cfRule type="cellIs" dxfId="8844" priority="9415" operator="equal">
      <formula>"C-Off"</formula>
    </cfRule>
    <cfRule type="cellIs" dxfId="8843" priority="9416" operator="equal">
      <formula>"CL-H"</formula>
    </cfRule>
    <cfRule type="cellIs" dxfId="8842" priority="9417" operator="equal">
      <formula>"EL-H"</formula>
    </cfRule>
    <cfRule type="cellIs" dxfId="8841" priority="9418" operator="equal">
      <formula>"CL"</formula>
    </cfRule>
    <cfRule type="cellIs" dxfId="8840" priority="9419" operator="equal">
      <formula>"EL"</formula>
    </cfRule>
  </conditionalFormatting>
  <conditionalFormatting sqref="CM29">
    <cfRule type="containsText" dxfId="8839" priority="9408" operator="containsText" text="S">
      <formula>NOT(ISERROR(SEARCH("S",CM29)))</formula>
    </cfRule>
    <cfRule type="containsText" dxfId="8838" priority="9409" operator="containsText" text="P">
      <formula>NOT(ISERROR(SEARCH("P",CM29)))</formula>
    </cfRule>
    <cfRule type="containsText" dxfId="8837" priority="9410" operator="containsText" text="H">
      <formula>NOT(ISERROR(SEARCH("H",CM29)))</formula>
    </cfRule>
    <cfRule type="containsText" dxfId="8836" priority="9412" operator="containsText" text="&quot;H&quot;">
      <formula>NOT(ISERROR(SEARCH("""H""",CM29)))</formula>
    </cfRule>
    <cfRule type="containsText" dxfId="8835" priority="9413" operator="containsText" text="&quot;A&quot;">
      <formula>NOT(ISERROR(SEARCH("""A""",CM29)))</formula>
    </cfRule>
  </conditionalFormatting>
  <conditionalFormatting sqref="CM29">
    <cfRule type="containsText" dxfId="8834" priority="9411" operator="containsText" text="A-H">
      <formula>NOT(ISERROR(SEARCH("A-H",CM29)))</formula>
    </cfRule>
  </conditionalFormatting>
  <conditionalFormatting sqref="V29:W29">
    <cfRule type="cellIs" dxfId="8833" priority="9378" operator="equal">
      <formula>"C-Off-H"</formula>
    </cfRule>
    <cfRule type="cellIs" dxfId="8832" priority="9379" operator="equal">
      <formula>"C-Off"</formula>
    </cfRule>
    <cfRule type="cellIs" dxfId="8831" priority="9380" operator="equal">
      <formula>"CL-H"</formula>
    </cfRule>
    <cfRule type="cellIs" dxfId="8830" priority="9381" operator="equal">
      <formula>"EL-H"</formula>
    </cfRule>
    <cfRule type="cellIs" dxfId="8829" priority="9382" operator="equal">
      <formula>"CL"</formula>
    </cfRule>
    <cfRule type="cellIs" dxfId="8828" priority="9383" operator="equal">
      <formula>"EL"</formula>
    </cfRule>
  </conditionalFormatting>
  <conditionalFormatting sqref="V29:W29">
    <cfRule type="containsText" dxfId="8827" priority="9372" operator="containsText" text="S">
      <formula>NOT(ISERROR(SEARCH("S",V29)))</formula>
    </cfRule>
    <cfRule type="containsText" dxfId="8826" priority="9373" operator="containsText" text="P">
      <formula>NOT(ISERROR(SEARCH("P",V29)))</formula>
    </cfRule>
    <cfRule type="containsText" dxfId="8825" priority="9374" operator="containsText" text="H">
      <formula>NOT(ISERROR(SEARCH("H",V29)))</formula>
    </cfRule>
    <cfRule type="containsText" dxfId="8824" priority="9376" operator="containsText" text="&quot;H&quot;">
      <formula>NOT(ISERROR(SEARCH("""H""",V29)))</formula>
    </cfRule>
    <cfRule type="containsText" dxfId="8823" priority="9377" operator="containsText" text="&quot;A&quot;">
      <formula>NOT(ISERROR(SEARCH("""A""",V29)))</formula>
    </cfRule>
  </conditionalFormatting>
  <conditionalFormatting sqref="V29:W29">
    <cfRule type="containsText" dxfId="8822" priority="9375" operator="containsText" text="A-H">
      <formula>NOT(ISERROR(SEARCH("A-H",V29)))</formula>
    </cfRule>
  </conditionalFormatting>
  <conditionalFormatting sqref="P29:Q29">
    <cfRule type="cellIs" dxfId="8821" priority="9402" operator="equal">
      <formula>"C-Off-H"</formula>
    </cfRule>
    <cfRule type="cellIs" dxfId="8820" priority="9403" operator="equal">
      <formula>"C-Off"</formula>
    </cfRule>
    <cfRule type="cellIs" dxfId="8819" priority="9404" operator="equal">
      <formula>"CL-H"</formula>
    </cfRule>
    <cfRule type="cellIs" dxfId="8818" priority="9405" operator="equal">
      <formula>"EL-H"</formula>
    </cfRule>
    <cfRule type="cellIs" dxfId="8817" priority="9406" operator="equal">
      <formula>"CL"</formula>
    </cfRule>
    <cfRule type="cellIs" dxfId="8816" priority="9407" operator="equal">
      <formula>"EL"</formula>
    </cfRule>
  </conditionalFormatting>
  <conditionalFormatting sqref="P29:Q29">
    <cfRule type="containsText" dxfId="8815" priority="9396" operator="containsText" text="S">
      <formula>NOT(ISERROR(SEARCH("S",P29)))</formula>
    </cfRule>
    <cfRule type="containsText" dxfId="8814" priority="9397" operator="containsText" text="P">
      <formula>NOT(ISERROR(SEARCH("P",P29)))</formula>
    </cfRule>
    <cfRule type="containsText" dxfId="8813" priority="9398" operator="containsText" text="H">
      <formula>NOT(ISERROR(SEARCH("H",P29)))</formula>
    </cfRule>
    <cfRule type="containsText" dxfId="8812" priority="9400" operator="containsText" text="&quot;H&quot;">
      <formula>NOT(ISERROR(SEARCH("""H""",P29)))</formula>
    </cfRule>
    <cfRule type="containsText" dxfId="8811" priority="9401" operator="containsText" text="&quot;A&quot;">
      <formula>NOT(ISERROR(SEARCH("""A""",P29)))</formula>
    </cfRule>
  </conditionalFormatting>
  <conditionalFormatting sqref="P29:Q29">
    <cfRule type="containsText" dxfId="8810" priority="9399" operator="containsText" text="A-H">
      <formula>NOT(ISERROR(SEARCH("A-H",P29)))</formula>
    </cfRule>
  </conditionalFormatting>
  <conditionalFormatting sqref="S29:T29">
    <cfRule type="cellIs" dxfId="8809" priority="9390" operator="equal">
      <formula>"C-Off-H"</formula>
    </cfRule>
    <cfRule type="cellIs" dxfId="8808" priority="9391" operator="equal">
      <formula>"C-Off"</formula>
    </cfRule>
    <cfRule type="cellIs" dxfId="8807" priority="9392" operator="equal">
      <formula>"CL-H"</formula>
    </cfRule>
    <cfRule type="cellIs" dxfId="8806" priority="9393" operator="equal">
      <formula>"EL-H"</formula>
    </cfRule>
    <cfRule type="cellIs" dxfId="8805" priority="9394" operator="equal">
      <formula>"CL"</formula>
    </cfRule>
    <cfRule type="cellIs" dxfId="8804" priority="9395" operator="equal">
      <formula>"EL"</formula>
    </cfRule>
  </conditionalFormatting>
  <conditionalFormatting sqref="S29:T29">
    <cfRule type="containsText" dxfId="8803" priority="9384" operator="containsText" text="S">
      <formula>NOT(ISERROR(SEARCH("S",S29)))</formula>
    </cfRule>
    <cfRule type="containsText" dxfId="8802" priority="9385" operator="containsText" text="P">
      <formula>NOT(ISERROR(SEARCH("P",S29)))</formula>
    </cfRule>
    <cfRule type="containsText" dxfId="8801" priority="9386" operator="containsText" text="H">
      <formula>NOT(ISERROR(SEARCH("H",S29)))</formula>
    </cfRule>
    <cfRule type="containsText" dxfId="8800" priority="9388" operator="containsText" text="&quot;H&quot;">
      <formula>NOT(ISERROR(SEARCH("""H""",S29)))</formula>
    </cfRule>
    <cfRule type="containsText" dxfId="8799" priority="9389" operator="containsText" text="&quot;A&quot;">
      <formula>NOT(ISERROR(SEARCH("""A""",S29)))</formula>
    </cfRule>
  </conditionalFormatting>
  <conditionalFormatting sqref="S29:T29">
    <cfRule type="containsText" dxfId="8798" priority="9387" operator="containsText" text="A-H">
      <formula>NOT(ISERROR(SEARCH("A-H",S29)))</formula>
    </cfRule>
  </conditionalFormatting>
  <conditionalFormatting sqref="AB29:AC29">
    <cfRule type="cellIs" dxfId="8797" priority="9366" operator="equal">
      <formula>"C-Off-H"</formula>
    </cfRule>
    <cfRule type="cellIs" dxfId="8796" priority="9367" operator="equal">
      <formula>"C-Off"</formula>
    </cfRule>
    <cfRule type="cellIs" dxfId="8795" priority="9368" operator="equal">
      <formula>"CL-H"</formula>
    </cfRule>
    <cfRule type="cellIs" dxfId="8794" priority="9369" operator="equal">
      <formula>"EL-H"</formula>
    </cfRule>
    <cfRule type="cellIs" dxfId="8793" priority="9370" operator="equal">
      <formula>"CL"</formula>
    </cfRule>
    <cfRule type="cellIs" dxfId="8792" priority="9371" operator="equal">
      <formula>"EL"</formula>
    </cfRule>
  </conditionalFormatting>
  <conditionalFormatting sqref="AB29:AC29">
    <cfRule type="containsText" dxfId="8791" priority="9360" operator="containsText" text="S">
      <formula>NOT(ISERROR(SEARCH("S",AB29)))</formula>
    </cfRule>
    <cfRule type="containsText" dxfId="8790" priority="9361" operator="containsText" text="P">
      <formula>NOT(ISERROR(SEARCH("P",AB29)))</formula>
    </cfRule>
    <cfRule type="containsText" dxfId="8789" priority="9362" operator="containsText" text="H">
      <formula>NOT(ISERROR(SEARCH("H",AB29)))</formula>
    </cfRule>
    <cfRule type="containsText" dxfId="8788" priority="9364" operator="containsText" text="&quot;H&quot;">
      <formula>NOT(ISERROR(SEARCH("""H""",AB29)))</formula>
    </cfRule>
    <cfRule type="containsText" dxfId="8787" priority="9365" operator="containsText" text="&quot;A&quot;">
      <formula>NOT(ISERROR(SEARCH("""A""",AB29)))</formula>
    </cfRule>
  </conditionalFormatting>
  <conditionalFormatting sqref="AB29:AC29">
    <cfRule type="containsText" dxfId="8786" priority="9363" operator="containsText" text="A-H">
      <formula>NOT(ISERROR(SEARCH("A-H",AB29)))</formula>
    </cfRule>
  </conditionalFormatting>
  <conditionalFormatting sqref="AE29">
    <cfRule type="cellIs" dxfId="8785" priority="9354" operator="equal">
      <formula>"C-Off-H"</formula>
    </cfRule>
    <cfRule type="cellIs" dxfId="8784" priority="9355" operator="equal">
      <formula>"C-Off"</formula>
    </cfRule>
    <cfRule type="cellIs" dxfId="8783" priority="9356" operator="equal">
      <formula>"CL-H"</formula>
    </cfRule>
    <cfRule type="cellIs" dxfId="8782" priority="9357" operator="equal">
      <formula>"EL-H"</formula>
    </cfRule>
    <cfRule type="cellIs" dxfId="8781" priority="9358" operator="equal">
      <formula>"CL"</formula>
    </cfRule>
    <cfRule type="cellIs" dxfId="8780" priority="9359" operator="equal">
      <formula>"EL"</formula>
    </cfRule>
  </conditionalFormatting>
  <conditionalFormatting sqref="AE29">
    <cfRule type="containsText" dxfId="8779" priority="9348" operator="containsText" text="S">
      <formula>NOT(ISERROR(SEARCH("S",AE29)))</formula>
    </cfRule>
    <cfRule type="containsText" dxfId="8778" priority="9349" operator="containsText" text="P">
      <formula>NOT(ISERROR(SEARCH("P",AE29)))</formula>
    </cfRule>
    <cfRule type="containsText" dxfId="8777" priority="9350" operator="containsText" text="H">
      <formula>NOT(ISERROR(SEARCH("H",AE29)))</formula>
    </cfRule>
    <cfRule type="containsText" dxfId="8776" priority="9352" operator="containsText" text="&quot;H&quot;">
      <formula>NOT(ISERROR(SEARCH("""H""",AE29)))</formula>
    </cfRule>
    <cfRule type="containsText" dxfId="8775" priority="9353" operator="containsText" text="&quot;A&quot;">
      <formula>NOT(ISERROR(SEARCH("""A""",AE29)))</formula>
    </cfRule>
  </conditionalFormatting>
  <conditionalFormatting sqref="AE29">
    <cfRule type="containsText" dxfId="8774" priority="9351" operator="containsText" text="A-H">
      <formula>NOT(ISERROR(SEARCH("A-H",AE29)))</formula>
    </cfRule>
  </conditionalFormatting>
  <conditionalFormatting sqref="AK29:AL29">
    <cfRule type="cellIs" dxfId="8773" priority="9342" operator="equal">
      <formula>"C-Off-H"</formula>
    </cfRule>
    <cfRule type="cellIs" dxfId="8772" priority="9343" operator="equal">
      <formula>"C-Off"</formula>
    </cfRule>
    <cfRule type="cellIs" dxfId="8771" priority="9344" operator="equal">
      <formula>"CL-H"</formula>
    </cfRule>
    <cfRule type="cellIs" dxfId="8770" priority="9345" operator="equal">
      <formula>"EL-H"</formula>
    </cfRule>
    <cfRule type="cellIs" dxfId="8769" priority="9346" operator="equal">
      <formula>"CL"</formula>
    </cfRule>
    <cfRule type="cellIs" dxfId="8768" priority="9347" operator="equal">
      <formula>"EL"</formula>
    </cfRule>
  </conditionalFormatting>
  <conditionalFormatting sqref="AK29:AL29">
    <cfRule type="containsText" dxfId="8767" priority="9336" operator="containsText" text="S">
      <formula>NOT(ISERROR(SEARCH("S",AK29)))</formula>
    </cfRule>
    <cfRule type="containsText" dxfId="8766" priority="9337" operator="containsText" text="P">
      <formula>NOT(ISERROR(SEARCH("P",AK29)))</formula>
    </cfRule>
    <cfRule type="containsText" dxfId="8765" priority="9338" operator="containsText" text="H">
      <formula>NOT(ISERROR(SEARCH("H",AK29)))</formula>
    </cfRule>
    <cfRule type="containsText" dxfId="8764" priority="9340" operator="containsText" text="&quot;H&quot;">
      <formula>NOT(ISERROR(SEARCH("""H""",AK29)))</formula>
    </cfRule>
    <cfRule type="containsText" dxfId="8763" priority="9341" operator="containsText" text="&quot;A&quot;">
      <formula>NOT(ISERROR(SEARCH("""A""",AK29)))</formula>
    </cfRule>
  </conditionalFormatting>
  <conditionalFormatting sqref="AK29:AL29">
    <cfRule type="containsText" dxfId="8762" priority="9339" operator="containsText" text="A-H">
      <formula>NOT(ISERROR(SEARCH("A-H",AK29)))</formula>
    </cfRule>
  </conditionalFormatting>
  <conditionalFormatting sqref="AN29:AO29">
    <cfRule type="cellIs" dxfId="8761" priority="9330" operator="equal">
      <formula>"C-Off-H"</formula>
    </cfRule>
    <cfRule type="cellIs" dxfId="8760" priority="9331" operator="equal">
      <formula>"C-Off"</formula>
    </cfRule>
    <cfRule type="cellIs" dxfId="8759" priority="9332" operator="equal">
      <formula>"CL-H"</formula>
    </cfRule>
    <cfRule type="cellIs" dxfId="8758" priority="9333" operator="equal">
      <formula>"EL-H"</formula>
    </cfRule>
    <cfRule type="cellIs" dxfId="8757" priority="9334" operator="equal">
      <formula>"CL"</formula>
    </cfRule>
    <cfRule type="cellIs" dxfId="8756" priority="9335" operator="equal">
      <formula>"EL"</formula>
    </cfRule>
  </conditionalFormatting>
  <conditionalFormatting sqref="AN29:AO29">
    <cfRule type="containsText" dxfId="8755" priority="9324" operator="containsText" text="S">
      <formula>NOT(ISERROR(SEARCH("S",AN29)))</formula>
    </cfRule>
    <cfRule type="containsText" dxfId="8754" priority="9325" operator="containsText" text="P">
      <formula>NOT(ISERROR(SEARCH("P",AN29)))</formula>
    </cfRule>
    <cfRule type="containsText" dxfId="8753" priority="9326" operator="containsText" text="H">
      <formula>NOT(ISERROR(SEARCH("H",AN29)))</formula>
    </cfRule>
    <cfRule type="containsText" dxfId="8752" priority="9328" operator="containsText" text="&quot;H&quot;">
      <formula>NOT(ISERROR(SEARCH("""H""",AN29)))</formula>
    </cfRule>
    <cfRule type="containsText" dxfId="8751" priority="9329" operator="containsText" text="&quot;A&quot;">
      <formula>NOT(ISERROR(SEARCH("""A""",AN29)))</formula>
    </cfRule>
  </conditionalFormatting>
  <conditionalFormatting sqref="AN29:AO29">
    <cfRule type="containsText" dxfId="8750" priority="9327" operator="containsText" text="A-H">
      <formula>NOT(ISERROR(SEARCH("A-H",AN29)))</formula>
    </cfRule>
  </conditionalFormatting>
  <conditionalFormatting sqref="AQ29:AR29">
    <cfRule type="cellIs" dxfId="8749" priority="9318" operator="equal">
      <formula>"C-Off-H"</formula>
    </cfRule>
    <cfRule type="cellIs" dxfId="8748" priority="9319" operator="equal">
      <formula>"C-Off"</formula>
    </cfRule>
    <cfRule type="cellIs" dxfId="8747" priority="9320" operator="equal">
      <formula>"CL-H"</formula>
    </cfRule>
    <cfRule type="cellIs" dxfId="8746" priority="9321" operator="equal">
      <formula>"EL-H"</formula>
    </cfRule>
    <cfRule type="cellIs" dxfId="8745" priority="9322" operator="equal">
      <formula>"CL"</formula>
    </cfRule>
    <cfRule type="cellIs" dxfId="8744" priority="9323" operator="equal">
      <formula>"EL"</formula>
    </cfRule>
  </conditionalFormatting>
  <conditionalFormatting sqref="AQ29:AR29">
    <cfRule type="containsText" dxfId="8743" priority="9312" operator="containsText" text="S">
      <formula>NOT(ISERROR(SEARCH("S",AQ29)))</formula>
    </cfRule>
    <cfRule type="containsText" dxfId="8742" priority="9313" operator="containsText" text="P">
      <formula>NOT(ISERROR(SEARCH("P",AQ29)))</formula>
    </cfRule>
    <cfRule type="containsText" dxfId="8741" priority="9314" operator="containsText" text="H">
      <formula>NOT(ISERROR(SEARCH("H",AQ29)))</formula>
    </cfRule>
    <cfRule type="containsText" dxfId="8740" priority="9316" operator="containsText" text="&quot;H&quot;">
      <formula>NOT(ISERROR(SEARCH("""H""",AQ29)))</formula>
    </cfRule>
    <cfRule type="containsText" dxfId="8739" priority="9317" operator="containsText" text="&quot;A&quot;">
      <formula>NOT(ISERROR(SEARCH("""A""",AQ29)))</formula>
    </cfRule>
  </conditionalFormatting>
  <conditionalFormatting sqref="AQ29:AR29">
    <cfRule type="containsText" dxfId="8738" priority="9315" operator="containsText" text="A-H">
      <formula>NOT(ISERROR(SEARCH("A-H",AQ29)))</formula>
    </cfRule>
  </conditionalFormatting>
  <conditionalFormatting sqref="AW29:AX29">
    <cfRule type="cellIs" dxfId="8737" priority="9306" operator="equal">
      <formula>"C-Off-H"</formula>
    </cfRule>
    <cfRule type="cellIs" dxfId="8736" priority="9307" operator="equal">
      <formula>"C-Off"</formula>
    </cfRule>
    <cfRule type="cellIs" dxfId="8735" priority="9308" operator="equal">
      <formula>"CL-H"</formula>
    </cfRule>
    <cfRule type="cellIs" dxfId="8734" priority="9309" operator="equal">
      <formula>"EL-H"</formula>
    </cfRule>
    <cfRule type="cellIs" dxfId="8733" priority="9310" operator="equal">
      <formula>"CL"</formula>
    </cfRule>
    <cfRule type="cellIs" dxfId="8732" priority="9311" operator="equal">
      <formula>"EL"</formula>
    </cfRule>
  </conditionalFormatting>
  <conditionalFormatting sqref="AW29:AX29">
    <cfRule type="containsText" dxfId="8731" priority="9300" operator="containsText" text="S">
      <formula>NOT(ISERROR(SEARCH("S",AW29)))</formula>
    </cfRule>
    <cfRule type="containsText" dxfId="8730" priority="9301" operator="containsText" text="P">
      <formula>NOT(ISERROR(SEARCH("P",AW29)))</formula>
    </cfRule>
    <cfRule type="containsText" dxfId="8729" priority="9302" operator="containsText" text="H">
      <formula>NOT(ISERROR(SEARCH("H",AW29)))</formula>
    </cfRule>
    <cfRule type="containsText" dxfId="8728" priority="9304" operator="containsText" text="&quot;H&quot;">
      <formula>NOT(ISERROR(SEARCH("""H""",AW29)))</formula>
    </cfRule>
    <cfRule type="containsText" dxfId="8727" priority="9305" operator="containsText" text="&quot;A&quot;">
      <formula>NOT(ISERROR(SEARCH("""A""",AW29)))</formula>
    </cfRule>
  </conditionalFormatting>
  <conditionalFormatting sqref="AW29:AX29">
    <cfRule type="containsText" dxfId="8726" priority="9303" operator="containsText" text="A-H">
      <formula>NOT(ISERROR(SEARCH("A-H",AW29)))</formula>
    </cfRule>
  </conditionalFormatting>
  <conditionalFormatting sqref="AZ29:BA29">
    <cfRule type="cellIs" dxfId="8725" priority="9294" operator="equal">
      <formula>"C-Off-H"</formula>
    </cfRule>
    <cfRule type="cellIs" dxfId="8724" priority="9295" operator="equal">
      <formula>"C-Off"</formula>
    </cfRule>
    <cfRule type="cellIs" dxfId="8723" priority="9296" operator="equal">
      <formula>"CL-H"</formula>
    </cfRule>
    <cfRule type="cellIs" dxfId="8722" priority="9297" operator="equal">
      <formula>"EL-H"</formula>
    </cfRule>
    <cfRule type="cellIs" dxfId="8721" priority="9298" operator="equal">
      <formula>"CL"</formula>
    </cfRule>
    <cfRule type="cellIs" dxfId="8720" priority="9299" operator="equal">
      <formula>"EL"</formula>
    </cfRule>
  </conditionalFormatting>
  <conditionalFormatting sqref="AZ29:BA29">
    <cfRule type="containsText" dxfId="8719" priority="9288" operator="containsText" text="S">
      <formula>NOT(ISERROR(SEARCH("S",AZ29)))</formula>
    </cfRule>
    <cfRule type="containsText" dxfId="8718" priority="9289" operator="containsText" text="P">
      <formula>NOT(ISERROR(SEARCH("P",AZ29)))</formula>
    </cfRule>
    <cfRule type="containsText" dxfId="8717" priority="9290" operator="containsText" text="H">
      <formula>NOT(ISERROR(SEARCH("H",AZ29)))</formula>
    </cfRule>
    <cfRule type="containsText" dxfId="8716" priority="9292" operator="containsText" text="&quot;H&quot;">
      <formula>NOT(ISERROR(SEARCH("""H""",AZ29)))</formula>
    </cfRule>
    <cfRule type="containsText" dxfId="8715" priority="9293" operator="containsText" text="&quot;A&quot;">
      <formula>NOT(ISERROR(SEARCH("""A""",AZ29)))</formula>
    </cfRule>
  </conditionalFormatting>
  <conditionalFormatting sqref="AZ29:BA29">
    <cfRule type="containsText" dxfId="8714" priority="9291" operator="containsText" text="A-H">
      <formula>NOT(ISERROR(SEARCH("A-H",AZ29)))</formula>
    </cfRule>
  </conditionalFormatting>
  <conditionalFormatting sqref="BC29:BD29">
    <cfRule type="cellIs" dxfId="8713" priority="9282" operator="equal">
      <formula>"C-Off-H"</formula>
    </cfRule>
    <cfRule type="cellIs" dxfId="8712" priority="9283" operator="equal">
      <formula>"C-Off"</formula>
    </cfRule>
    <cfRule type="cellIs" dxfId="8711" priority="9284" operator="equal">
      <formula>"CL-H"</formula>
    </cfRule>
    <cfRule type="cellIs" dxfId="8710" priority="9285" operator="equal">
      <formula>"EL-H"</formula>
    </cfRule>
    <cfRule type="cellIs" dxfId="8709" priority="9286" operator="equal">
      <formula>"CL"</formula>
    </cfRule>
    <cfRule type="cellIs" dxfId="8708" priority="9287" operator="equal">
      <formula>"EL"</formula>
    </cfRule>
  </conditionalFormatting>
  <conditionalFormatting sqref="BC29:BD29">
    <cfRule type="containsText" dxfId="8707" priority="9276" operator="containsText" text="S">
      <formula>NOT(ISERROR(SEARCH("S",BC29)))</formula>
    </cfRule>
    <cfRule type="containsText" dxfId="8706" priority="9277" operator="containsText" text="P">
      <formula>NOT(ISERROR(SEARCH("P",BC29)))</formula>
    </cfRule>
    <cfRule type="containsText" dxfId="8705" priority="9278" operator="containsText" text="H">
      <formula>NOT(ISERROR(SEARCH("H",BC29)))</formula>
    </cfRule>
    <cfRule type="containsText" dxfId="8704" priority="9280" operator="containsText" text="&quot;H&quot;">
      <formula>NOT(ISERROR(SEARCH("""H""",BC29)))</formula>
    </cfRule>
    <cfRule type="containsText" dxfId="8703" priority="9281" operator="containsText" text="&quot;A&quot;">
      <formula>NOT(ISERROR(SEARCH("""A""",BC29)))</formula>
    </cfRule>
  </conditionalFormatting>
  <conditionalFormatting sqref="BC29:BD29">
    <cfRule type="containsText" dxfId="8702" priority="9279" operator="containsText" text="A-H">
      <formula>NOT(ISERROR(SEARCH("A-H",BC29)))</formula>
    </cfRule>
  </conditionalFormatting>
  <conditionalFormatting sqref="BF29:BG29">
    <cfRule type="cellIs" dxfId="8701" priority="9270" operator="equal">
      <formula>"C-Off-H"</formula>
    </cfRule>
    <cfRule type="cellIs" dxfId="8700" priority="9271" operator="equal">
      <formula>"C-Off"</formula>
    </cfRule>
    <cfRule type="cellIs" dxfId="8699" priority="9272" operator="equal">
      <formula>"CL-H"</formula>
    </cfRule>
    <cfRule type="cellIs" dxfId="8698" priority="9273" operator="equal">
      <formula>"EL-H"</formula>
    </cfRule>
    <cfRule type="cellIs" dxfId="8697" priority="9274" operator="equal">
      <formula>"CL"</formula>
    </cfRule>
    <cfRule type="cellIs" dxfId="8696" priority="9275" operator="equal">
      <formula>"EL"</formula>
    </cfRule>
  </conditionalFormatting>
  <conditionalFormatting sqref="BF29:BG29">
    <cfRule type="containsText" dxfId="8695" priority="9264" operator="containsText" text="S">
      <formula>NOT(ISERROR(SEARCH("S",BF29)))</formula>
    </cfRule>
    <cfRule type="containsText" dxfId="8694" priority="9265" operator="containsText" text="P">
      <formula>NOT(ISERROR(SEARCH("P",BF29)))</formula>
    </cfRule>
    <cfRule type="containsText" dxfId="8693" priority="9266" operator="containsText" text="H">
      <formula>NOT(ISERROR(SEARCH("H",BF29)))</formula>
    </cfRule>
    <cfRule type="containsText" dxfId="8692" priority="9268" operator="containsText" text="&quot;H&quot;">
      <formula>NOT(ISERROR(SEARCH("""H""",BF29)))</formula>
    </cfRule>
    <cfRule type="containsText" dxfId="8691" priority="9269" operator="containsText" text="&quot;A&quot;">
      <formula>NOT(ISERROR(SEARCH("""A""",BF29)))</formula>
    </cfRule>
  </conditionalFormatting>
  <conditionalFormatting sqref="BF29:BG29">
    <cfRule type="containsText" dxfId="8690" priority="9267" operator="containsText" text="A-H">
      <formula>NOT(ISERROR(SEARCH("A-H",BF29)))</formula>
    </cfRule>
  </conditionalFormatting>
  <conditionalFormatting sqref="BI29:BJ29">
    <cfRule type="cellIs" dxfId="8689" priority="9258" operator="equal">
      <formula>"C-Off-H"</formula>
    </cfRule>
    <cfRule type="cellIs" dxfId="8688" priority="9259" operator="equal">
      <formula>"C-Off"</formula>
    </cfRule>
    <cfRule type="cellIs" dxfId="8687" priority="9260" operator="equal">
      <formula>"CL-H"</formula>
    </cfRule>
    <cfRule type="cellIs" dxfId="8686" priority="9261" operator="equal">
      <formula>"EL-H"</formula>
    </cfRule>
    <cfRule type="cellIs" dxfId="8685" priority="9262" operator="equal">
      <formula>"CL"</formula>
    </cfRule>
    <cfRule type="cellIs" dxfId="8684" priority="9263" operator="equal">
      <formula>"EL"</formula>
    </cfRule>
  </conditionalFormatting>
  <conditionalFormatting sqref="BI29:BJ29">
    <cfRule type="containsText" dxfId="8683" priority="9252" operator="containsText" text="S">
      <formula>NOT(ISERROR(SEARCH("S",BI29)))</formula>
    </cfRule>
    <cfRule type="containsText" dxfId="8682" priority="9253" operator="containsText" text="P">
      <formula>NOT(ISERROR(SEARCH("P",BI29)))</formula>
    </cfRule>
    <cfRule type="containsText" dxfId="8681" priority="9254" operator="containsText" text="H">
      <formula>NOT(ISERROR(SEARCH("H",BI29)))</formula>
    </cfRule>
    <cfRule type="containsText" dxfId="8680" priority="9256" operator="containsText" text="&quot;H&quot;">
      <formula>NOT(ISERROR(SEARCH("""H""",BI29)))</formula>
    </cfRule>
    <cfRule type="containsText" dxfId="8679" priority="9257" operator="containsText" text="&quot;A&quot;">
      <formula>NOT(ISERROR(SEARCH("""A""",BI29)))</formula>
    </cfRule>
  </conditionalFormatting>
  <conditionalFormatting sqref="BI29:BJ29">
    <cfRule type="containsText" dxfId="8678" priority="9255" operator="containsText" text="A-H">
      <formula>NOT(ISERROR(SEARCH("A-H",BI29)))</formula>
    </cfRule>
  </conditionalFormatting>
  <conditionalFormatting sqref="BL29:BM29">
    <cfRule type="cellIs" dxfId="8677" priority="9246" operator="equal">
      <formula>"C-Off-H"</formula>
    </cfRule>
    <cfRule type="cellIs" dxfId="8676" priority="9247" operator="equal">
      <formula>"C-Off"</formula>
    </cfRule>
    <cfRule type="cellIs" dxfId="8675" priority="9248" operator="equal">
      <formula>"CL-H"</formula>
    </cfRule>
    <cfRule type="cellIs" dxfId="8674" priority="9249" operator="equal">
      <formula>"EL-H"</formula>
    </cfRule>
    <cfRule type="cellIs" dxfId="8673" priority="9250" operator="equal">
      <formula>"CL"</formula>
    </cfRule>
    <cfRule type="cellIs" dxfId="8672" priority="9251" operator="equal">
      <formula>"EL"</formula>
    </cfRule>
  </conditionalFormatting>
  <conditionalFormatting sqref="BL29:BM29">
    <cfRule type="containsText" dxfId="8671" priority="9240" operator="containsText" text="S">
      <formula>NOT(ISERROR(SEARCH("S",BL29)))</formula>
    </cfRule>
    <cfRule type="containsText" dxfId="8670" priority="9241" operator="containsText" text="P">
      <formula>NOT(ISERROR(SEARCH("P",BL29)))</formula>
    </cfRule>
    <cfRule type="containsText" dxfId="8669" priority="9242" operator="containsText" text="H">
      <formula>NOT(ISERROR(SEARCH("H",BL29)))</formula>
    </cfRule>
    <cfRule type="containsText" dxfId="8668" priority="9244" operator="containsText" text="&quot;H&quot;">
      <formula>NOT(ISERROR(SEARCH("""H""",BL29)))</formula>
    </cfRule>
    <cfRule type="containsText" dxfId="8667" priority="9245" operator="containsText" text="&quot;A&quot;">
      <formula>NOT(ISERROR(SEARCH("""A""",BL29)))</formula>
    </cfRule>
  </conditionalFormatting>
  <conditionalFormatting sqref="BL29:BM29">
    <cfRule type="containsText" dxfId="8666" priority="9243" operator="containsText" text="A-H">
      <formula>NOT(ISERROR(SEARCH("A-H",BL29)))</formula>
    </cfRule>
  </conditionalFormatting>
  <conditionalFormatting sqref="BR29:BS29">
    <cfRule type="cellIs" dxfId="8665" priority="9234" operator="equal">
      <formula>"C-Off-H"</formula>
    </cfRule>
    <cfRule type="cellIs" dxfId="8664" priority="9235" operator="equal">
      <formula>"C-Off"</formula>
    </cfRule>
    <cfRule type="cellIs" dxfId="8663" priority="9236" operator="equal">
      <formula>"CL-H"</formula>
    </cfRule>
    <cfRule type="cellIs" dxfId="8662" priority="9237" operator="equal">
      <formula>"EL-H"</formula>
    </cfRule>
    <cfRule type="cellIs" dxfId="8661" priority="9238" operator="equal">
      <formula>"CL"</formula>
    </cfRule>
    <cfRule type="cellIs" dxfId="8660" priority="9239" operator="equal">
      <formula>"EL"</formula>
    </cfRule>
  </conditionalFormatting>
  <conditionalFormatting sqref="BR29:BS29">
    <cfRule type="containsText" dxfId="8659" priority="9228" operator="containsText" text="S">
      <formula>NOT(ISERROR(SEARCH("S",BR29)))</formula>
    </cfRule>
    <cfRule type="containsText" dxfId="8658" priority="9229" operator="containsText" text="P">
      <formula>NOT(ISERROR(SEARCH("P",BR29)))</formula>
    </cfRule>
    <cfRule type="containsText" dxfId="8657" priority="9230" operator="containsText" text="H">
      <formula>NOT(ISERROR(SEARCH("H",BR29)))</formula>
    </cfRule>
    <cfRule type="containsText" dxfId="8656" priority="9232" operator="containsText" text="&quot;H&quot;">
      <formula>NOT(ISERROR(SEARCH("""H""",BR29)))</formula>
    </cfRule>
    <cfRule type="containsText" dxfId="8655" priority="9233" operator="containsText" text="&quot;A&quot;">
      <formula>NOT(ISERROR(SEARCH("""A""",BR29)))</formula>
    </cfRule>
  </conditionalFormatting>
  <conditionalFormatting sqref="BR29:BS29">
    <cfRule type="containsText" dxfId="8654" priority="9231" operator="containsText" text="A-H">
      <formula>NOT(ISERROR(SEARCH("A-H",BR29)))</formula>
    </cfRule>
  </conditionalFormatting>
  <conditionalFormatting sqref="BU29:BV29">
    <cfRule type="cellIs" dxfId="8653" priority="9222" operator="equal">
      <formula>"C-Off-H"</formula>
    </cfRule>
    <cfRule type="cellIs" dxfId="8652" priority="9223" operator="equal">
      <formula>"C-Off"</formula>
    </cfRule>
    <cfRule type="cellIs" dxfId="8651" priority="9224" operator="equal">
      <formula>"CL-H"</formula>
    </cfRule>
    <cfRule type="cellIs" dxfId="8650" priority="9225" operator="equal">
      <formula>"EL-H"</formula>
    </cfRule>
    <cfRule type="cellIs" dxfId="8649" priority="9226" operator="equal">
      <formula>"CL"</formula>
    </cfRule>
    <cfRule type="cellIs" dxfId="8648" priority="9227" operator="equal">
      <formula>"EL"</formula>
    </cfRule>
  </conditionalFormatting>
  <conditionalFormatting sqref="BU29:BV29">
    <cfRule type="containsText" dxfId="8647" priority="9216" operator="containsText" text="S">
      <formula>NOT(ISERROR(SEARCH("S",BU29)))</formula>
    </cfRule>
    <cfRule type="containsText" dxfId="8646" priority="9217" operator="containsText" text="P">
      <formula>NOT(ISERROR(SEARCH("P",BU29)))</formula>
    </cfRule>
    <cfRule type="containsText" dxfId="8645" priority="9218" operator="containsText" text="H">
      <formula>NOT(ISERROR(SEARCH("H",BU29)))</formula>
    </cfRule>
    <cfRule type="containsText" dxfId="8644" priority="9220" operator="containsText" text="&quot;H&quot;">
      <formula>NOT(ISERROR(SEARCH("""H""",BU29)))</formula>
    </cfRule>
    <cfRule type="containsText" dxfId="8643" priority="9221" operator="containsText" text="&quot;A&quot;">
      <formula>NOT(ISERROR(SEARCH("""A""",BU29)))</formula>
    </cfRule>
  </conditionalFormatting>
  <conditionalFormatting sqref="BU29:BV29">
    <cfRule type="containsText" dxfId="8642" priority="9219" operator="containsText" text="A-H">
      <formula>NOT(ISERROR(SEARCH("A-H",BU29)))</formula>
    </cfRule>
  </conditionalFormatting>
  <conditionalFormatting sqref="BY29">
    <cfRule type="cellIs" dxfId="8641" priority="9210" operator="equal">
      <formula>"C-Off-H"</formula>
    </cfRule>
    <cfRule type="cellIs" dxfId="8640" priority="9211" operator="equal">
      <formula>"C-Off"</formula>
    </cfRule>
    <cfRule type="cellIs" dxfId="8639" priority="9212" operator="equal">
      <formula>"CL-H"</formula>
    </cfRule>
    <cfRule type="cellIs" dxfId="8638" priority="9213" operator="equal">
      <formula>"EL-H"</formula>
    </cfRule>
    <cfRule type="cellIs" dxfId="8637" priority="9214" operator="equal">
      <formula>"CL"</formula>
    </cfRule>
    <cfRule type="cellIs" dxfId="8636" priority="9215" operator="equal">
      <formula>"EL"</formula>
    </cfRule>
  </conditionalFormatting>
  <conditionalFormatting sqref="BY29">
    <cfRule type="containsText" dxfId="8635" priority="9204" operator="containsText" text="S">
      <formula>NOT(ISERROR(SEARCH("S",BY29)))</formula>
    </cfRule>
    <cfRule type="containsText" dxfId="8634" priority="9205" operator="containsText" text="P">
      <formula>NOT(ISERROR(SEARCH("P",BY29)))</formula>
    </cfRule>
    <cfRule type="containsText" dxfId="8633" priority="9206" operator="containsText" text="H">
      <formula>NOT(ISERROR(SEARCH("H",BY29)))</formula>
    </cfRule>
    <cfRule type="containsText" dxfId="8632" priority="9208" operator="containsText" text="&quot;H&quot;">
      <formula>NOT(ISERROR(SEARCH("""H""",BY29)))</formula>
    </cfRule>
    <cfRule type="containsText" dxfId="8631" priority="9209" operator="containsText" text="&quot;A&quot;">
      <formula>NOT(ISERROR(SEARCH("""A""",BY29)))</formula>
    </cfRule>
  </conditionalFormatting>
  <conditionalFormatting sqref="BY29">
    <cfRule type="containsText" dxfId="8630" priority="9207" operator="containsText" text="A-H">
      <formula>NOT(ISERROR(SEARCH("A-H",BY29)))</formula>
    </cfRule>
  </conditionalFormatting>
  <conditionalFormatting sqref="BX29">
    <cfRule type="cellIs" dxfId="8629" priority="9198" operator="equal">
      <formula>"C-Off-H"</formula>
    </cfRule>
    <cfRule type="cellIs" dxfId="8628" priority="9199" operator="equal">
      <formula>"C-Off"</formula>
    </cfRule>
    <cfRule type="cellIs" dxfId="8627" priority="9200" operator="equal">
      <formula>"CL-H"</formula>
    </cfRule>
    <cfRule type="cellIs" dxfId="8626" priority="9201" operator="equal">
      <formula>"EL-H"</formula>
    </cfRule>
    <cfRule type="cellIs" dxfId="8625" priority="9202" operator="equal">
      <formula>"CL"</formula>
    </cfRule>
    <cfRule type="cellIs" dxfId="8624" priority="9203" operator="equal">
      <formula>"EL"</formula>
    </cfRule>
  </conditionalFormatting>
  <conditionalFormatting sqref="BX29">
    <cfRule type="containsText" dxfId="8623" priority="9192" operator="containsText" text="S">
      <formula>NOT(ISERROR(SEARCH("S",BX29)))</formula>
    </cfRule>
    <cfRule type="containsText" dxfId="8622" priority="9193" operator="containsText" text="P">
      <formula>NOT(ISERROR(SEARCH("P",BX29)))</formula>
    </cfRule>
    <cfRule type="containsText" dxfId="8621" priority="9194" operator="containsText" text="H">
      <formula>NOT(ISERROR(SEARCH("H",BX29)))</formula>
    </cfRule>
    <cfRule type="containsText" dxfId="8620" priority="9196" operator="containsText" text="&quot;H&quot;">
      <formula>NOT(ISERROR(SEARCH("""H""",BX29)))</formula>
    </cfRule>
    <cfRule type="containsText" dxfId="8619" priority="9197" operator="containsText" text="&quot;A&quot;">
      <formula>NOT(ISERROR(SEARCH("""A""",BX29)))</formula>
    </cfRule>
  </conditionalFormatting>
  <conditionalFormatting sqref="BX29">
    <cfRule type="containsText" dxfId="8618" priority="9195" operator="containsText" text="A-H">
      <formula>NOT(ISERROR(SEARCH("A-H",BX29)))</formula>
    </cfRule>
  </conditionalFormatting>
  <conditionalFormatting sqref="J29:K29">
    <cfRule type="cellIs" dxfId="8617" priority="9186" operator="equal">
      <formula>"C-Off-H"</formula>
    </cfRule>
    <cfRule type="cellIs" dxfId="8616" priority="9187" operator="equal">
      <formula>"C-Off"</formula>
    </cfRule>
    <cfRule type="cellIs" dxfId="8615" priority="9188" operator="equal">
      <formula>"CL-H"</formula>
    </cfRule>
    <cfRule type="cellIs" dxfId="8614" priority="9189" operator="equal">
      <formula>"EL-H"</formula>
    </cfRule>
    <cfRule type="cellIs" dxfId="8613" priority="9190" operator="equal">
      <formula>"CL"</formula>
    </cfRule>
    <cfRule type="cellIs" dxfId="8612" priority="9191" operator="equal">
      <formula>"EL"</formula>
    </cfRule>
  </conditionalFormatting>
  <conditionalFormatting sqref="J29:K29">
    <cfRule type="containsText" dxfId="8611" priority="9180" operator="containsText" text="S">
      <formula>NOT(ISERROR(SEARCH("S",J29)))</formula>
    </cfRule>
    <cfRule type="containsText" dxfId="8610" priority="9181" operator="containsText" text="P">
      <formula>NOT(ISERROR(SEARCH("P",J29)))</formula>
    </cfRule>
    <cfRule type="containsText" dxfId="8609" priority="9182" operator="containsText" text="H">
      <formula>NOT(ISERROR(SEARCH("H",J29)))</formula>
    </cfRule>
    <cfRule type="containsText" dxfId="8608" priority="9184" operator="containsText" text="&quot;H&quot;">
      <formula>NOT(ISERROR(SEARCH("""H""",J29)))</formula>
    </cfRule>
    <cfRule type="containsText" dxfId="8607" priority="9185" operator="containsText" text="&quot;A&quot;">
      <formula>NOT(ISERROR(SEARCH("""A""",J29)))</formula>
    </cfRule>
  </conditionalFormatting>
  <conditionalFormatting sqref="J29:K29">
    <cfRule type="containsText" dxfId="8606" priority="9183" operator="containsText" text="A-H">
      <formula>NOT(ISERROR(SEARCH("A-H",J29)))</formula>
    </cfRule>
  </conditionalFormatting>
  <conditionalFormatting sqref="DC30 M30:N30 CQ30:CW30">
    <cfRule type="cellIs" dxfId="8605" priority="9174" operator="equal">
      <formula>"C-Off-H"</formula>
    </cfRule>
    <cfRule type="cellIs" dxfId="8604" priority="9175" operator="equal">
      <formula>"C-Off"</formula>
    </cfRule>
    <cfRule type="cellIs" dxfId="8603" priority="9176" operator="equal">
      <formula>"CL-H"</formula>
    </cfRule>
    <cfRule type="cellIs" dxfId="8602" priority="9177" operator="equal">
      <formula>"EL-H"</formula>
    </cfRule>
    <cfRule type="cellIs" dxfId="8601" priority="9178" operator="equal">
      <formula>"CL"</formula>
    </cfRule>
    <cfRule type="cellIs" dxfId="8600" priority="9179" operator="equal">
      <formula>"EL"</formula>
    </cfRule>
  </conditionalFormatting>
  <conditionalFormatting sqref="M30:N30 CQ30:CW30 CY30:DA30 DC30">
    <cfRule type="containsText" dxfId="8599" priority="9173" operator="containsText" text="A-H">
      <formula>NOT(ISERROR(SEARCH("A-H",M30)))</formula>
    </cfRule>
  </conditionalFormatting>
  <conditionalFormatting sqref="CQ30:CW30 CY30:DA30 DC30">
    <cfRule type="containsText" dxfId="8598" priority="9172" operator="containsText" text="A">
      <formula>NOT(ISERROR(SEARCH("A",CQ30)))</formula>
    </cfRule>
  </conditionalFormatting>
  <conditionalFormatting sqref="CY30 DA30">
    <cfRule type="cellIs" dxfId="8597" priority="9166" stopIfTrue="1" operator="equal">
      <formula>"C-Off-H"</formula>
    </cfRule>
    <cfRule type="cellIs" dxfId="8596" priority="9167" stopIfTrue="1" operator="equal">
      <formula>"C-Off"</formula>
    </cfRule>
    <cfRule type="cellIs" dxfId="8595" priority="9168" stopIfTrue="1" operator="equal">
      <formula>"CL-H"</formula>
    </cfRule>
    <cfRule type="cellIs" dxfId="8594" priority="9169" stopIfTrue="1" operator="equal">
      <formula>"EL-H"</formula>
    </cfRule>
    <cfRule type="cellIs" dxfId="8593" priority="9170" stopIfTrue="1" operator="equal">
      <formula>"CL"</formula>
    </cfRule>
    <cfRule type="cellIs" dxfId="8592" priority="9171" stopIfTrue="1" operator="equal">
      <formula>"EL"</formula>
    </cfRule>
  </conditionalFormatting>
  <conditionalFormatting sqref="CZ30">
    <cfRule type="cellIs" dxfId="8591" priority="9160" stopIfTrue="1" operator="equal">
      <formula>"C-Off-H"</formula>
    </cfRule>
    <cfRule type="cellIs" dxfId="8590" priority="9161" stopIfTrue="1" operator="equal">
      <formula>"C-Off"</formula>
    </cfRule>
    <cfRule type="cellIs" dxfId="8589" priority="9162" stopIfTrue="1" operator="equal">
      <formula>"CL-H"</formula>
    </cfRule>
    <cfRule type="cellIs" dxfId="8588" priority="9163" stopIfTrue="1" operator="equal">
      <formula>"EL-H"</formula>
    </cfRule>
    <cfRule type="cellIs" dxfId="8587" priority="9164" stopIfTrue="1" operator="equal">
      <formula>"CL"</formula>
    </cfRule>
    <cfRule type="cellIs" dxfId="8586" priority="9165" stopIfTrue="1" operator="equal">
      <formula>"EL"</formula>
    </cfRule>
  </conditionalFormatting>
  <conditionalFormatting sqref="M30:N30">
    <cfRule type="containsText" dxfId="8585" priority="9155" operator="containsText" text="S">
      <formula>NOT(ISERROR(SEARCH("S",M30)))</formula>
    </cfRule>
    <cfRule type="containsText" dxfId="8584" priority="9156" operator="containsText" text="P">
      <formula>NOT(ISERROR(SEARCH("P",M30)))</formula>
    </cfRule>
    <cfRule type="containsText" dxfId="8583" priority="9157" operator="containsText" text="H">
      <formula>NOT(ISERROR(SEARCH("H",M30)))</formula>
    </cfRule>
    <cfRule type="containsText" dxfId="8582" priority="9158" operator="containsText" text="&quot;H&quot;">
      <formula>NOT(ISERROR(SEARCH("""H""",M30)))</formula>
    </cfRule>
    <cfRule type="containsText" dxfId="8581" priority="9159" operator="containsText" text="&quot;A&quot;">
      <formula>NOT(ISERROR(SEARCH("""A""",M30)))</formula>
    </cfRule>
  </conditionalFormatting>
  <conditionalFormatting sqref="DD30">
    <cfRule type="cellIs" dxfId="8580" priority="9149" operator="equal">
      <formula>"C-Off-H"</formula>
    </cfRule>
    <cfRule type="cellIs" dxfId="8579" priority="9150" operator="equal">
      <formula>"C-Off"</formula>
    </cfRule>
    <cfRule type="cellIs" dxfId="8578" priority="9151" operator="equal">
      <formula>"CL-H"</formula>
    </cfRule>
    <cfRule type="cellIs" dxfId="8577" priority="9152" operator="equal">
      <formula>"EL-H"</formula>
    </cfRule>
    <cfRule type="cellIs" dxfId="8576" priority="9153" operator="equal">
      <formula>"CL"</formula>
    </cfRule>
    <cfRule type="cellIs" dxfId="8575" priority="9154" operator="equal">
      <formula>"EL"</formula>
    </cfRule>
  </conditionalFormatting>
  <conditionalFormatting sqref="DD30">
    <cfRule type="containsText" dxfId="8574" priority="9148" operator="containsText" text="A">
      <formula>NOT(ISERROR(SEARCH("A",DD30)))</formula>
    </cfRule>
  </conditionalFormatting>
  <conditionalFormatting sqref="DD30">
    <cfRule type="containsText" dxfId="8573" priority="9147" operator="containsText" text="A-H">
      <formula>NOT(ISERROR(SEARCH("A-H",DD30)))</formula>
    </cfRule>
  </conditionalFormatting>
  <conditionalFormatting sqref="AI30">
    <cfRule type="cellIs" dxfId="8572" priority="9141" operator="equal">
      <formula>"C-Off-H"</formula>
    </cfRule>
    <cfRule type="cellIs" dxfId="8571" priority="9142" operator="equal">
      <formula>"C-Off"</formula>
    </cfRule>
    <cfRule type="cellIs" dxfId="8570" priority="9143" operator="equal">
      <formula>"CL-H"</formula>
    </cfRule>
    <cfRule type="cellIs" dxfId="8569" priority="9144" operator="equal">
      <formula>"EL-H"</formula>
    </cfRule>
    <cfRule type="cellIs" dxfId="8568" priority="9145" operator="equal">
      <formula>"CL"</formula>
    </cfRule>
    <cfRule type="cellIs" dxfId="8567" priority="9146" operator="equal">
      <formula>"EL"</formula>
    </cfRule>
  </conditionalFormatting>
  <conditionalFormatting sqref="AH30:AI30">
    <cfRule type="cellIs" dxfId="8566" priority="9135" operator="equal">
      <formula>"C-Off-H"</formula>
    </cfRule>
    <cfRule type="cellIs" dxfId="8565" priority="9136" operator="equal">
      <formula>"C-Off"</formula>
    </cfRule>
    <cfRule type="cellIs" dxfId="8564" priority="9137" operator="equal">
      <formula>"CL-H"</formula>
    </cfRule>
    <cfRule type="cellIs" dxfId="8563" priority="9138" operator="equal">
      <formula>"EL-H"</formula>
    </cfRule>
    <cfRule type="cellIs" dxfId="8562" priority="9139" operator="equal">
      <formula>"CL"</formula>
    </cfRule>
    <cfRule type="cellIs" dxfId="8561" priority="9140" operator="equal">
      <formula>"EL"</formula>
    </cfRule>
  </conditionalFormatting>
  <conditionalFormatting sqref="AH30:AI30">
    <cfRule type="containsText" dxfId="8560" priority="9129" operator="containsText" text="S">
      <formula>NOT(ISERROR(SEARCH("S",AH30)))</formula>
    </cfRule>
    <cfRule type="containsText" dxfId="8559" priority="9130" operator="containsText" text="P">
      <formula>NOT(ISERROR(SEARCH("P",AH30)))</formula>
    </cfRule>
    <cfRule type="containsText" dxfId="8558" priority="9131" operator="containsText" text="H">
      <formula>NOT(ISERROR(SEARCH("H",AH30)))</formula>
    </cfRule>
    <cfRule type="containsText" dxfId="8557" priority="9133" operator="containsText" text="&quot;H&quot;">
      <formula>NOT(ISERROR(SEARCH("""H""",AH30)))</formula>
    </cfRule>
    <cfRule type="containsText" dxfId="8556" priority="9134" operator="containsText" text="&quot;A&quot;">
      <formula>NOT(ISERROR(SEARCH("""A""",AH30)))</formula>
    </cfRule>
  </conditionalFormatting>
  <conditionalFormatting sqref="AH30:AI30">
    <cfRule type="containsText" dxfId="8555" priority="9132" operator="containsText" text="A-H">
      <formula>NOT(ISERROR(SEARCH("A-H",AH30)))</formula>
    </cfRule>
  </conditionalFormatting>
  <conditionalFormatting sqref="AU30">
    <cfRule type="cellIs" dxfId="8554" priority="9123" operator="equal">
      <formula>"C-Off-H"</formula>
    </cfRule>
    <cfRule type="cellIs" dxfId="8553" priority="9124" operator="equal">
      <formula>"C-Off"</formula>
    </cfRule>
    <cfRule type="cellIs" dxfId="8552" priority="9125" operator="equal">
      <formula>"CL-H"</formula>
    </cfRule>
    <cfRule type="cellIs" dxfId="8551" priority="9126" operator="equal">
      <formula>"EL-H"</formula>
    </cfRule>
    <cfRule type="cellIs" dxfId="8550" priority="9127" operator="equal">
      <formula>"CL"</formula>
    </cfRule>
    <cfRule type="cellIs" dxfId="8549" priority="9128" operator="equal">
      <formula>"EL"</formula>
    </cfRule>
  </conditionalFormatting>
  <conditionalFormatting sqref="AT30:AU30">
    <cfRule type="cellIs" dxfId="8548" priority="9117" operator="equal">
      <formula>"C-Off-H"</formula>
    </cfRule>
    <cfRule type="cellIs" dxfId="8547" priority="9118" operator="equal">
      <formula>"C-Off"</formula>
    </cfRule>
    <cfRule type="cellIs" dxfId="8546" priority="9119" operator="equal">
      <formula>"CL-H"</formula>
    </cfRule>
    <cfRule type="cellIs" dxfId="8545" priority="9120" operator="equal">
      <formula>"EL-H"</formula>
    </cfRule>
    <cfRule type="cellIs" dxfId="8544" priority="9121" operator="equal">
      <formula>"CL"</formula>
    </cfRule>
    <cfRule type="cellIs" dxfId="8543" priority="9122" operator="equal">
      <formula>"EL"</formula>
    </cfRule>
  </conditionalFormatting>
  <conditionalFormatting sqref="AT30:AU30">
    <cfRule type="containsText" dxfId="8542" priority="9111" operator="containsText" text="S">
      <formula>NOT(ISERROR(SEARCH("S",AT30)))</formula>
    </cfRule>
    <cfRule type="containsText" dxfId="8541" priority="9112" operator="containsText" text="P">
      <formula>NOT(ISERROR(SEARCH("P",AT30)))</formula>
    </cfRule>
    <cfRule type="containsText" dxfId="8540" priority="9113" operator="containsText" text="H">
      <formula>NOT(ISERROR(SEARCH("H",AT30)))</formula>
    </cfRule>
    <cfRule type="containsText" dxfId="8539" priority="9115" operator="containsText" text="&quot;H&quot;">
      <formula>NOT(ISERROR(SEARCH("""H""",AT30)))</formula>
    </cfRule>
    <cfRule type="containsText" dxfId="8538" priority="9116" operator="containsText" text="&quot;A&quot;">
      <formula>NOT(ISERROR(SEARCH("""A""",AT30)))</formula>
    </cfRule>
  </conditionalFormatting>
  <conditionalFormatting sqref="AT30:AU30">
    <cfRule type="containsText" dxfId="8537" priority="9114" operator="containsText" text="A-H">
      <formula>NOT(ISERROR(SEARCH("A-H",AT30)))</formula>
    </cfRule>
  </conditionalFormatting>
  <conditionalFormatting sqref="E30">
    <cfRule type="cellIs" dxfId="8536" priority="9105" operator="equal">
      <formula>"C-Off-H"</formula>
    </cfRule>
    <cfRule type="cellIs" dxfId="8535" priority="9106" operator="equal">
      <formula>"C-Off"</formula>
    </cfRule>
    <cfRule type="cellIs" dxfId="8534" priority="9107" operator="equal">
      <formula>"CL-H"</formula>
    </cfRule>
    <cfRule type="cellIs" dxfId="8533" priority="9108" operator="equal">
      <formula>"EL-H"</formula>
    </cfRule>
    <cfRule type="cellIs" dxfId="8532" priority="9109" operator="equal">
      <formula>"CL"</formula>
    </cfRule>
    <cfRule type="cellIs" dxfId="8531" priority="9110" operator="equal">
      <formula>"EL"</formula>
    </cfRule>
  </conditionalFormatting>
  <conditionalFormatting sqref="D30:E30">
    <cfRule type="cellIs" dxfId="8530" priority="9099" operator="equal">
      <formula>"C-Off-H"</formula>
    </cfRule>
    <cfRule type="cellIs" dxfId="8529" priority="9100" operator="equal">
      <formula>"C-Off"</formula>
    </cfRule>
    <cfRule type="cellIs" dxfId="8528" priority="9101" operator="equal">
      <formula>"CL-H"</formula>
    </cfRule>
    <cfRule type="cellIs" dxfId="8527" priority="9102" operator="equal">
      <formula>"EL-H"</formula>
    </cfRule>
    <cfRule type="cellIs" dxfId="8526" priority="9103" operator="equal">
      <formula>"CL"</formula>
    </cfRule>
    <cfRule type="cellIs" dxfId="8525" priority="9104" operator="equal">
      <formula>"EL"</formula>
    </cfRule>
  </conditionalFormatting>
  <conditionalFormatting sqref="D30:E30">
    <cfRule type="containsText" dxfId="8524" priority="9093" operator="containsText" text="S">
      <formula>NOT(ISERROR(SEARCH("S",D30)))</formula>
    </cfRule>
    <cfRule type="containsText" dxfId="8523" priority="9094" operator="containsText" text="P">
      <formula>NOT(ISERROR(SEARCH("P",D30)))</formula>
    </cfRule>
    <cfRule type="containsText" dxfId="8522" priority="9095" operator="containsText" text="H">
      <formula>NOT(ISERROR(SEARCH("H",D30)))</formula>
    </cfRule>
    <cfRule type="containsText" dxfId="8521" priority="9097" operator="containsText" text="&quot;H&quot;">
      <formula>NOT(ISERROR(SEARCH("""H""",D30)))</formula>
    </cfRule>
    <cfRule type="containsText" dxfId="8520" priority="9098" operator="containsText" text="&quot;A&quot;">
      <formula>NOT(ISERROR(SEARCH("""A""",D30)))</formula>
    </cfRule>
  </conditionalFormatting>
  <conditionalFormatting sqref="D30:E30">
    <cfRule type="containsText" dxfId="8519" priority="9096" operator="containsText" text="A-H">
      <formula>NOT(ISERROR(SEARCH("A-H",D30)))</formula>
    </cfRule>
  </conditionalFormatting>
  <conditionalFormatting sqref="Y30">
    <cfRule type="cellIs" dxfId="8518" priority="9087" operator="equal">
      <formula>"C-Off-H"</formula>
    </cfRule>
    <cfRule type="cellIs" dxfId="8517" priority="9088" operator="equal">
      <formula>"C-Off"</formula>
    </cfRule>
    <cfRule type="cellIs" dxfId="8516" priority="9089" operator="equal">
      <formula>"CL-H"</formula>
    </cfRule>
    <cfRule type="cellIs" dxfId="8515" priority="9090" operator="equal">
      <formula>"EL-H"</formula>
    </cfRule>
    <cfRule type="cellIs" dxfId="8514" priority="9091" operator="equal">
      <formula>"CL"</formula>
    </cfRule>
    <cfRule type="cellIs" dxfId="8513" priority="9092" operator="equal">
      <formula>"EL"</formula>
    </cfRule>
  </conditionalFormatting>
  <conditionalFormatting sqref="Y30">
    <cfRule type="containsText" dxfId="8512" priority="9081" operator="containsText" text="S">
      <formula>NOT(ISERROR(SEARCH("S",Y30)))</formula>
    </cfRule>
    <cfRule type="containsText" dxfId="8511" priority="9082" operator="containsText" text="P">
      <formula>NOT(ISERROR(SEARCH("P",Y30)))</formula>
    </cfRule>
    <cfRule type="containsText" dxfId="8510" priority="9083" operator="containsText" text="H">
      <formula>NOT(ISERROR(SEARCH("H",Y30)))</formula>
    </cfRule>
    <cfRule type="containsText" dxfId="8509" priority="9085" operator="containsText" text="&quot;H&quot;">
      <formula>NOT(ISERROR(SEARCH("""H""",Y30)))</formula>
    </cfRule>
    <cfRule type="containsText" dxfId="8508" priority="9086" operator="containsText" text="&quot;A&quot;">
      <formula>NOT(ISERROR(SEARCH("""A""",Y30)))</formula>
    </cfRule>
  </conditionalFormatting>
  <conditionalFormatting sqref="Y30">
    <cfRule type="containsText" dxfId="8507" priority="9084" operator="containsText" text="A-H">
      <formula>NOT(ISERROR(SEARCH("A-H",Y30)))</formula>
    </cfRule>
  </conditionalFormatting>
  <conditionalFormatting sqref="AF30">
    <cfRule type="cellIs" dxfId="8506" priority="9075" operator="equal">
      <formula>"C-Off-H"</formula>
    </cfRule>
    <cfRule type="cellIs" dxfId="8505" priority="9076" operator="equal">
      <formula>"C-Off"</formula>
    </cfRule>
    <cfRule type="cellIs" dxfId="8504" priority="9077" operator="equal">
      <formula>"CL-H"</formula>
    </cfRule>
    <cfRule type="cellIs" dxfId="8503" priority="9078" operator="equal">
      <formula>"EL-H"</formula>
    </cfRule>
    <cfRule type="cellIs" dxfId="8502" priority="9079" operator="equal">
      <formula>"CL"</formula>
    </cfRule>
    <cfRule type="cellIs" dxfId="8501" priority="9080" operator="equal">
      <formula>"EL"</formula>
    </cfRule>
  </conditionalFormatting>
  <conditionalFormatting sqref="AF30">
    <cfRule type="containsText" dxfId="8500" priority="9069" operator="containsText" text="S">
      <formula>NOT(ISERROR(SEARCH("S",AF30)))</formula>
    </cfRule>
    <cfRule type="containsText" dxfId="8499" priority="9070" operator="containsText" text="P">
      <formula>NOT(ISERROR(SEARCH("P",AF30)))</formula>
    </cfRule>
    <cfRule type="containsText" dxfId="8498" priority="9071" operator="containsText" text="H">
      <formula>NOT(ISERROR(SEARCH("H",AF30)))</formula>
    </cfRule>
    <cfRule type="containsText" dxfId="8497" priority="9073" operator="containsText" text="&quot;H&quot;">
      <formula>NOT(ISERROR(SEARCH("""H""",AF30)))</formula>
    </cfRule>
    <cfRule type="containsText" dxfId="8496" priority="9074" operator="containsText" text="&quot;A&quot;">
      <formula>NOT(ISERROR(SEARCH("""A""",AF30)))</formula>
    </cfRule>
  </conditionalFormatting>
  <conditionalFormatting sqref="AF30">
    <cfRule type="containsText" dxfId="8495" priority="9072" operator="containsText" text="A-H">
      <formula>NOT(ISERROR(SEARCH("A-H",AF30)))</formula>
    </cfRule>
  </conditionalFormatting>
  <conditionalFormatting sqref="BO30:BP30">
    <cfRule type="cellIs" dxfId="8494" priority="9063" operator="equal">
      <formula>"C-Off-H"</formula>
    </cfRule>
    <cfRule type="cellIs" dxfId="8493" priority="9064" operator="equal">
      <formula>"C-Off"</formula>
    </cfRule>
    <cfRule type="cellIs" dxfId="8492" priority="9065" operator="equal">
      <formula>"CL-H"</formula>
    </cfRule>
    <cfRule type="cellIs" dxfId="8491" priority="9066" operator="equal">
      <formula>"EL-H"</formula>
    </cfRule>
    <cfRule type="cellIs" dxfId="8490" priority="9067" operator="equal">
      <formula>"CL"</formula>
    </cfRule>
    <cfRule type="cellIs" dxfId="8489" priority="9068" operator="equal">
      <formula>"EL"</formula>
    </cfRule>
  </conditionalFormatting>
  <conditionalFormatting sqref="BO30:BP30">
    <cfRule type="cellIs" dxfId="8488" priority="9057" operator="equal">
      <formula>"C-Off-H"</formula>
    </cfRule>
    <cfRule type="cellIs" dxfId="8487" priority="9058" operator="equal">
      <formula>"C-Off"</formula>
    </cfRule>
    <cfRule type="cellIs" dxfId="8486" priority="9059" operator="equal">
      <formula>"CL-H"</formula>
    </cfRule>
    <cfRule type="cellIs" dxfId="8485" priority="9060" operator="equal">
      <formula>"EL-H"</formula>
    </cfRule>
    <cfRule type="cellIs" dxfId="8484" priority="9061" operator="equal">
      <formula>"CL"</formula>
    </cfRule>
    <cfRule type="cellIs" dxfId="8483" priority="9062" operator="equal">
      <formula>"EL"</formula>
    </cfRule>
  </conditionalFormatting>
  <conditionalFormatting sqref="BO30:BP30">
    <cfRule type="containsText" dxfId="8482" priority="9051" operator="containsText" text="S">
      <formula>NOT(ISERROR(SEARCH("S",BO30)))</formula>
    </cfRule>
    <cfRule type="containsText" dxfId="8481" priority="9052" operator="containsText" text="P">
      <formula>NOT(ISERROR(SEARCH("P",BO30)))</formula>
    </cfRule>
    <cfRule type="containsText" dxfId="8480" priority="9053" operator="containsText" text="H">
      <formula>NOT(ISERROR(SEARCH("H",BO30)))</formula>
    </cfRule>
    <cfRule type="containsText" dxfId="8479" priority="9055" operator="containsText" text="&quot;H&quot;">
      <formula>NOT(ISERROR(SEARCH("""H""",BO30)))</formula>
    </cfRule>
    <cfRule type="containsText" dxfId="8478" priority="9056" operator="containsText" text="&quot;A&quot;">
      <formula>NOT(ISERROR(SEARCH("""A""",BO30)))</formula>
    </cfRule>
  </conditionalFormatting>
  <conditionalFormatting sqref="BO30:BP30">
    <cfRule type="containsText" dxfId="8477" priority="9054" operator="containsText" text="A-H">
      <formula>NOT(ISERROR(SEARCH("A-H",BO30)))</formula>
    </cfRule>
  </conditionalFormatting>
  <conditionalFormatting sqref="CM30">
    <cfRule type="cellIs" dxfId="8476" priority="9045" operator="equal">
      <formula>"C-Off-H"</formula>
    </cfRule>
    <cfRule type="cellIs" dxfId="8475" priority="9046" operator="equal">
      <formula>"C-Off"</formula>
    </cfRule>
    <cfRule type="cellIs" dxfId="8474" priority="9047" operator="equal">
      <formula>"CL-H"</formula>
    </cfRule>
    <cfRule type="cellIs" dxfId="8473" priority="9048" operator="equal">
      <formula>"EL-H"</formula>
    </cfRule>
    <cfRule type="cellIs" dxfId="8472" priority="9049" operator="equal">
      <formula>"CL"</formula>
    </cfRule>
    <cfRule type="cellIs" dxfId="8471" priority="9050" operator="equal">
      <formula>"EL"</formula>
    </cfRule>
  </conditionalFormatting>
  <conditionalFormatting sqref="CM30">
    <cfRule type="cellIs" dxfId="8470" priority="9039" operator="equal">
      <formula>"C-Off-H"</formula>
    </cfRule>
    <cfRule type="cellIs" dxfId="8469" priority="9040" operator="equal">
      <formula>"C-Off"</formula>
    </cfRule>
    <cfRule type="cellIs" dxfId="8468" priority="9041" operator="equal">
      <formula>"CL-H"</formula>
    </cfRule>
    <cfRule type="cellIs" dxfId="8467" priority="9042" operator="equal">
      <formula>"EL-H"</formula>
    </cfRule>
    <cfRule type="cellIs" dxfId="8466" priority="9043" operator="equal">
      <formula>"CL"</formula>
    </cfRule>
    <cfRule type="cellIs" dxfId="8465" priority="9044" operator="equal">
      <formula>"EL"</formula>
    </cfRule>
  </conditionalFormatting>
  <conditionalFormatting sqref="CM30">
    <cfRule type="containsText" dxfId="8464" priority="9033" operator="containsText" text="S">
      <formula>NOT(ISERROR(SEARCH("S",CM30)))</formula>
    </cfRule>
    <cfRule type="containsText" dxfId="8463" priority="9034" operator="containsText" text="P">
      <formula>NOT(ISERROR(SEARCH("P",CM30)))</formula>
    </cfRule>
    <cfRule type="containsText" dxfId="8462" priority="9035" operator="containsText" text="H">
      <formula>NOT(ISERROR(SEARCH("H",CM30)))</formula>
    </cfRule>
    <cfRule type="containsText" dxfId="8461" priority="9037" operator="containsText" text="&quot;H&quot;">
      <formula>NOT(ISERROR(SEARCH("""H""",CM30)))</formula>
    </cfRule>
    <cfRule type="containsText" dxfId="8460" priority="9038" operator="containsText" text="&quot;A&quot;">
      <formula>NOT(ISERROR(SEARCH("""A""",CM30)))</formula>
    </cfRule>
  </conditionalFormatting>
  <conditionalFormatting sqref="CM30">
    <cfRule type="containsText" dxfId="8459" priority="9036" operator="containsText" text="A-H">
      <formula>NOT(ISERROR(SEARCH("A-H",CM30)))</formula>
    </cfRule>
  </conditionalFormatting>
  <conditionalFormatting sqref="V30:W30">
    <cfRule type="cellIs" dxfId="8458" priority="9003" operator="equal">
      <formula>"C-Off-H"</formula>
    </cfRule>
    <cfRule type="cellIs" dxfId="8457" priority="9004" operator="equal">
      <formula>"C-Off"</formula>
    </cfRule>
    <cfRule type="cellIs" dxfId="8456" priority="9005" operator="equal">
      <formula>"CL-H"</formula>
    </cfRule>
    <cfRule type="cellIs" dxfId="8455" priority="9006" operator="equal">
      <formula>"EL-H"</formula>
    </cfRule>
    <cfRule type="cellIs" dxfId="8454" priority="9007" operator="equal">
      <formula>"CL"</formula>
    </cfRule>
    <cfRule type="cellIs" dxfId="8453" priority="9008" operator="equal">
      <formula>"EL"</formula>
    </cfRule>
  </conditionalFormatting>
  <conditionalFormatting sqref="V30:W30">
    <cfRule type="containsText" dxfId="8452" priority="8997" operator="containsText" text="S">
      <formula>NOT(ISERROR(SEARCH("S",V30)))</formula>
    </cfRule>
    <cfRule type="containsText" dxfId="8451" priority="8998" operator="containsText" text="P">
      <formula>NOT(ISERROR(SEARCH("P",V30)))</formula>
    </cfRule>
    <cfRule type="containsText" dxfId="8450" priority="8999" operator="containsText" text="H">
      <formula>NOT(ISERROR(SEARCH("H",V30)))</formula>
    </cfRule>
    <cfRule type="containsText" dxfId="8449" priority="9001" operator="containsText" text="&quot;H&quot;">
      <formula>NOT(ISERROR(SEARCH("""H""",V30)))</formula>
    </cfRule>
    <cfRule type="containsText" dxfId="8448" priority="9002" operator="containsText" text="&quot;A&quot;">
      <formula>NOT(ISERROR(SEARCH("""A""",V30)))</formula>
    </cfRule>
  </conditionalFormatting>
  <conditionalFormatting sqref="V30:W30">
    <cfRule type="containsText" dxfId="8447" priority="9000" operator="containsText" text="A-H">
      <formula>NOT(ISERROR(SEARCH("A-H",V30)))</formula>
    </cfRule>
  </conditionalFormatting>
  <conditionalFormatting sqref="P30:Q30">
    <cfRule type="cellIs" dxfId="8446" priority="9027" operator="equal">
      <formula>"C-Off-H"</formula>
    </cfRule>
    <cfRule type="cellIs" dxfId="8445" priority="9028" operator="equal">
      <formula>"C-Off"</formula>
    </cfRule>
    <cfRule type="cellIs" dxfId="8444" priority="9029" operator="equal">
      <formula>"CL-H"</formula>
    </cfRule>
    <cfRule type="cellIs" dxfId="8443" priority="9030" operator="equal">
      <formula>"EL-H"</formula>
    </cfRule>
    <cfRule type="cellIs" dxfId="8442" priority="9031" operator="equal">
      <formula>"CL"</formula>
    </cfRule>
    <cfRule type="cellIs" dxfId="8441" priority="9032" operator="equal">
      <formula>"EL"</formula>
    </cfRule>
  </conditionalFormatting>
  <conditionalFormatting sqref="P30:Q30">
    <cfRule type="containsText" dxfId="8440" priority="9021" operator="containsText" text="S">
      <formula>NOT(ISERROR(SEARCH("S",P30)))</formula>
    </cfRule>
    <cfRule type="containsText" dxfId="8439" priority="9022" operator="containsText" text="P">
      <formula>NOT(ISERROR(SEARCH("P",P30)))</formula>
    </cfRule>
    <cfRule type="containsText" dxfId="8438" priority="9023" operator="containsText" text="H">
      <formula>NOT(ISERROR(SEARCH("H",P30)))</formula>
    </cfRule>
    <cfRule type="containsText" dxfId="8437" priority="9025" operator="containsText" text="&quot;H&quot;">
      <formula>NOT(ISERROR(SEARCH("""H""",P30)))</formula>
    </cfRule>
    <cfRule type="containsText" dxfId="8436" priority="9026" operator="containsText" text="&quot;A&quot;">
      <formula>NOT(ISERROR(SEARCH("""A""",P30)))</formula>
    </cfRule>
  </conditionalFormatting>
  <conditionalFormatting sqref="P30:Q30">
    <cfRule type="containsText" dxfId="8435" priority="9024" operator="containsText" text="A-H">
      <formula>NOT(ISERROR(SEARCH("A-H",P30)))</formula>
    </cfRule>
  </conditionalFormatting>
  <conditionalFormatting sqref="S30:T30">
    <cfRule type="cellIs" dxfId="8434" priority="9015" operator="equal">
      <formula>"C-Off-H"</formula>
    </cfRule>
    <cfRule type="cellIs" dxfId="8433" priority="9016" operator="equal">
      <formula>"C-Off"</formula>
    </cfRule>
    <cfRule type="cellIs" dxfId="8432" priority="9017" operator="equal">
      <formula>"CL-H"</formula>
    </cfRule>
    <cfRule type="cellIs" dxfId="8431" priority="9018" operator="equal">
      <formula>"EL-H"</formula>
    </cfRule>
    <cfRule type="cellIs" dxfId="8430" priority="9019" operator="equal">
      <formula>"CL"</formula>
    </cfRule>
    <cfRule type="cellIs" dxfId="8429" priority="9020" operator="equal">
      <formula>"EL"</formula>
    </cfRule>
  </conditionalFormatting>
  <conditionalFormatting sqref="S30:T30">
    <cfRule type="containsText" dxfId="8428" priority="9009" operator="containsText" text="S">
      <formula>NOT(ISERROR(SEARCH("S",S30)))</formula>
    </cfRule>
    <cfRule type="containsText" dxfId="8427" priority="9010" operator="containsText" text="P">
      <formula>NOT(ISERROR(SEARCH("P",S30)))</formula>
    </cfRule>
    <cfRule type="containsText" dxfId="8426" priority="9011" operator="containsText" text="H">
      <formula>NOT(ISERROR(SEARCH("H",S30)))</formula>
    </cfRule>
    <cfRule type="containsText" dxfId="8425" priority="9013" operator="containsText" text="&quot;H&quot;">
      <formula>NOT(ISERROR(SEARCH("""H""",S30)))</formula>
    </cfRule>
    <cfRule type="containsText" dxfId="8424" priority="9014" operator="containsText" text="&quot;A&quot;">
      <formula>NOT(ISERROR(SEARCH("""A""",S30)))</formula>
    </cfRule>
  </conditionalFormatting>
  <conditionalFormatting sqref="S30:T30">
    <cfRule type="containsText" dxfId="8423" priority="9012" operator="containsText" text="A-H">
      <formula>NOT(ISERROR(SEARCH("A-H",S30)))</formula>
    </cfRule>
  </conditionalFormatting>
  <conditionalFormatting sqref="AB30:AC30">
    <cfRule type="cellIs" dxfId="8422" priority="8991" operator="equal">
      <formula>"C-Off-H"</formula>
    </cfRule>
    <cfRule type="cellIs" dxfId="8421" priority="8992" operator="equal">
      <formula>"C-Off"</formula>
    </cfRule>
    <cfRule type="cellIs" dxfId="8420" priority="8993" operator="equal">
      <formula>"CL-H"</formula>
    </cfRule>
    <cfRule type="cellIs" dxfId="8419" priority="8994" operator="equal">
      <formula>"EL-H"</formula>
    </cfRule>
    <cfRule type="cellIs" dxfId="8418" priority="8995" operator="equal">
      <formula>"CL"</formula>
    </cfRule>
    <cfRule type="cellIs" dxfId="8417" priority="8996" operator="equal">
      <formula>"EL"</formula>
    </cfRule>
  </conditionalFormatting>
  <conditionalFormatting sqref="AB30:AC30">
    <cfRule type="containsText" dxfId="8416" priority="8985" operator="containsText" text="S">
      <formula>NOT(ISERROR(SEARCH("S",AB30)))</formula>
    </cfRule>
    <cfRule type="containsText" dxfId="8415" priority="8986" operator="containsText" text="P">
      <formula>NOT(ISERROR(SEARCH("P",AB30)))</formula>
    </cfRule>
    <cfRule type="containsText" dxfId="8414" priority="8987" operator="containsText" text="H">
      <formula>NOT(ISERROR(SEARCH("H",AB30)))</formula>
    </cfRule>
    <cfRule type="containsText" dxfId="8413" priority="8989" operator="containsText" text="&quot;H&quot;">
      <formula>NOT(ISERROR(SEARCH("""H""",AB30)))</formula>
    </cfRule>
    <cfRule type="containsText" dxfId="8412" priority="8990" operator="containsText" text="&quot;A&quot;">
      <formula>NOT(ISERROR(SEARCH("""A""",AB30)))</formula>
    </cfRule>
  </conditionalFormatting>
  <conditionalFormatting sqref="AB30:AC30">
    <cfRule type="containsText" dxfId="8411" priority="8988" operator="containsText" text="A-H">
      <formula>NOT(ISERROR(SEARCH("A-H",AB30)))</formula>
    </cfRule>
  </conditionalFormatting>
  <conditionalFormatting sqref="AE30">
    <cfRule type="cellIs" dxfId="8410" priority="8979" operator="equal">
      <formula>"C-Off-H"</formula>
    </cfRule>
    <cfRule type="cellIs" dxfId="8409" priority="8980" operator="equal">
      <formula>"C-Off"</formula>
    </cfRule>
    <cfRule type="cellIs" dxfId="8408" priority="8981" operator="equal">
      <formula>"CL-H"</formula>
    </cfRule>
    <cfRule type="cellIs" dxfId="8407" priority="8982" operator="equal">
      <formula>"EL-H"</formula>
    </cfRule>
    <cfRule type="cellIs" dxfId="8406" priority="8983" operator="equal">
      <formula>"CL"</formula>
    </cfRule>
    <cfRule type="cellIs" dxfId="8405" priority="8984" operator="equal">
      <formula>"EL"</formula>
    </cfRule>
  </conditionalFormatting>
  <conditionalFormatting sqref="AE30">
    <cfRule type="containsText" dxfId="8404" priority="8973" operator="containsText" text="S">
      <formula>NOT(ISERROR(SEARCH("S",AE30)))</formula>
    </cfRule>
    <cfRule type="containsText" dxfId="8403" priority="8974" operator="containsText" text="P">
      <formula>NOT(ISERROR(SEARCH("P",AE30)))</formula>
    </cfRule>
    <cfRule type="containsText" dxfId="8402" priority="8975" operator="containsText" text="H">
      <formula>NOT(ISERROR(SEARCH("H",AE30)))</formula>
    </cfRule>
    <cfRule type="containsText" dxfId="8401" priority="8977" operator="containsText" text="&quot;H&quot;">
      <formula>NOT(ISERROR(SEARCH("""H""",AE30)))</formula>
    </cfRule>
    <cfRule type="containsText" dxfId="8400" priority="8978" operator="containsText" text="&quot;A&quot;">
      <formula>NOT(ISERROR(SEARCH("""A""",AE30)))</formula>
    </cfRule>
  </conditionalFormatting>
  <conditionalFormatting sqref="AE30">
    <cfRule type="containsText" dxfId="8399" priority="8976" operator="containsText" text="A-H">
      <formula>NOT(ISERROR(SEARCH("A-H",AE30)))</formula>
    </cfRule>
  </conditionalFormatting>
  <conditionalFormatting sqref="AK30:AL30">
    <cfRule type="cellIs" dxfId="8398" priority="8967" operator="equal">
      <formula>"C-Off-H"</formula>
    </cfRule>
    <cfRule type="cellIs" dxfId="8397" priority="8968" operator="equal">
      <formula>"C-Off"</formula>
    </cfRule>
    <cfRule type="cellIs" dxfId="8396" priority="8969" operator="equal">
      <formula>"CL-H"</formula>
    </cfRule>
    <cfRule type="cellIs" dxfId="8395" priority="8970" operator="equal">
      <formula>"EL-H"</formula>
    </cfRule>
    <cfRule type="cellIs" dxfId="8394" priority="8971" operator="equal">
      <formula>"CL"</formula>
    </cfRule>
    <cfRule type="cellIs" dxfId="8393" priority="8972" operator="equal">
      <formula>"EL"</formula>
    </cfRule>
  </conditionalFormatting>
  <conditionalFormatting sqref="AK30:AL30">
    <cfRule type="containsText" dxfId="8392" priority="8961" operator="containsText" text="S">
      <formula>NOT(ISERROR(SEARCH("S",AK30)))</formula>
    </cfRule>
    <cfRule type="containsText" dxfId="8391" priority="8962" operator="containsText" text="P">
      <formula>NOT(ISERROR(SEARCH("P",AK30)))</formula>
    </cfRule>
    <cfRule type="containsText" dxfId="8390" priority="8963" operator="containsText" text="H">
      <formula>NOT(ISERROR(SEARCH("H",AK30)))</formula>
    </cfRule>
    <cfRule type="containsText" dxfId="8389" priority="8965" operator="containsText" text="&quot;H&quot;">
      <formula>NOT(ISERROR(SEARCH("""H""",AK30)))</formula>
    </cfRule>
    <cfRule type="containsText" dxfId="8388" priority="8966" operator="containsText" text="&quot;A&quot;">
      <formula>NOT(ISERROR(SEARCH("""A""",AK30)))</formula>
    </cfRule>
  </conditionalFormatting>
  <conditionalFormatting sqref="AK30:AL30">
    <cfRule type="containsText" dxfId="8387" priority="8964" operator="containsText" text="A-H">
      <formula>NOT(ISERROR(SEARCH("A-H",AK30)))</formula>
    </cfRule>
  </conditionalFormatting>
  <conditionalFormatting sqref="AN30:AO30">
    <cfRule type="cellIs" dxfId="8386" priority="8955" operator="equal">
      <formula>"C-Off-H"</formula>
    </cfRule>
    <cfRule type="cellIs" dxfId="8385" priority="8956" operator="equal">
      <formula>"C-Off"</formula>
    </cfRule>
    <cfRule type="cellIs" dxfId="8384" priority="8957" operator="equal">
      <formula>"CL-H"</formula>
    </cfRule>
    <cfRule type="cellIs" dxfId="8383" priority="8958" operator="equal">
      <formula>"EL-H"</formula>
    </cfRule>
    <cfRule type="cellIs" dxfId="8382" priority="8959" operator="equal">
      <formula>"CL"</formula>
    </cfRule>
    <cfRule type="cellIs" dxfId="8381" priority="8960" operator="equal">
      <formula>"EL"</formula>
    </cfRule>
  </conditionalFormatting>
  <conditionalFormatting sqref="AN30:AO30">
    <cfRule type="containsText" dxfId="8380" priority="8949" operator="containsText" text="S">
      <formula>NOT(ISERROR(SEARCH("S",AN30)))</formula>
    </cfRule>
    <cfRule type="containsText" dxfId="8379" priority="8950" operator="containsText" text="P">
      <formula>NOT(ISERROR(SEARCH("P",AN30)))</formula>
    </cfRule>
    <cfRule type="containsText" dxfId="8378" priority="8951" operator="containsText" text="H">
      <formula>NOT(ISERROR(SEARCH("H",AN30)))</formula>
    </cfRule>
    <cfRule type="containsText" dxfId="8377" priority="8953" operator="containsText" text="&quot;H&quot;">
      <formula>NOT(ISERROR(SEARCH("""H""",AN30)))</formula>
    </cfRule>
    <cfRule type="containsText" dxfId="8376" priority="8954" operator="containsText" text="&quot;A&quot;">
      <formula>NOT(ISERROR(SEARCH("""A""",AN30)))</formula>
    </cfRule>
  </conditionalFormatting>
  <conditionalFormatting sqref="AN30:AO30">
    <cfRule type="containsText" dxfId="8375" priority="8952" operator="containsText" text="A-H">
      <formula>NOT(ISERROR(SEARCH("A-H",AN30)))</formula>
    </cfRule>
  </conditionalFormatting>
  <conditionalFormatting sqref="AQ30:AR30">
    <cfRule type="cellIs" dxfId="8374" priority="8943" operator="equal">
      <formula>"C-Off-H"</formula>
    </cfRule>
    <cfRule type="cellIs" dxfId="8373" priority="8944" operator="equal">
      <formula>"C-Off"</formula>
    </cfRule>
    <cfRule type="cellIs" dxfId="8372" priority="8945" operator="equal">
      <formula>"CL-H"</formula>
    </cfRule>
    <cfRule type="cellIs" dxfId="8371" priority="8946" operator="equal">
      <formula>"EL-H"</formula>
    </cfRule>
    <cfRule type="cellIs" dxfId="8370" priority="8947" operator="equal">
      <formula>"CL"</formula>
    </cfRule>
    <cfRule type="cellIs" dxfId="8369" priority="8948" operator="equal">
      <formula>"EL"</formula>
    </cfRule>
  </conditionalFormatting>
  <conditionalFormatting sqref="AQ30:AR30">
    <cfRule type="containsText" dxfId="8368" priority="8937" operator="containsText" text="S">
      <formula>NOT(ISERROR(SEARCH("S",AQ30)))</formula>
    </cfRule>
    <cfRule type="containsText" dxfId="8367" priority="8938" operator="containsText" text="P">
      <formula>NOT(ISERROR(SEARCH("P",AQ30)))</formula>
    </cfRule>
    <cfRule type="containsText" dxfId="8366" priority="8939" operator="containsText" text="H">
      <formula>NOT(ISERROR(SEARCH("H",AQ30)))</formula>
    </cfRule>
    <cfRule type="containsText" dxfId="8365" priority="8941" operator="containsText" text="&quot;H&quot;">
      <formula>NOT(ISERROR(SEARCH("""H""",AQ30)))</formula>
    </cfRule>
    <cfRule type="containsText" dxfId="8364" priority="8942" operator="containsText" text="&quot;A&quot;">
      <formula>NOT(ISERROR(SEARCH("""A""",AQ30)))</formula>
    </cfRule>
  </conditionalFormatting>
  <conditionalFormatting sqref="AQ30:AR30">
    <cfRule type="containsText" dxfId="8363" priority="8940" operator="containsText" text="A-H">
      <formula>NOT(ISERROR(SEARCH("A-H",AQ30)))</formula>
    </cfRule>
  </conditionalFormatting>
  <conditionalFormatting sqref="AW30:AX30">
    <cfRule type="cellIs" dxfId="8362" priority="8931" operator="equal">
      <formula>"C-Off-H"</formula>
    </cfRule>
    <cfRule type="cellIs" dxfId="8361" priority="8932" operator="equal">
      <formula>"C-Off"</formula>
    </cfRule>
    <cfRule type="cellIs" dxfId="8360" priority="8933" operator="equal">
      <formula>"CL-H"</formula>
    </cfRule>
    <cfRule type="cellIs" dxfId="8359" priority="8934" operator="equal">
      <formula>"EL-H"</formula>
    </cfRule>
    <cfRule type="cellIs" dxfId="8358" priority="8935" operator="equal">
      <formula>"CL"</formula>
    </cfRule>
    <cfRule type="cellIs" dxfId="8357" priority="8936" operator="equal">
      <formula>"EL"</formula>
    </cfRule>
  </conditionalFormatting>
  <conditionalFormatting sqref="AW30:AX30">
    <cfRule type="containsText" dxfId="8356" priority="8925" operator="containsText" text="S">
      <formula>NOT(ISERROR(SEARCH("S",AW30)))</formula>
    </cfRule>
    <cfRule type="containsText" dxfId="8355" priority="8926" operator="containsText" text="P">
      <formula>NOT(ISERROR(SEARCH("P",AW30)))</formula>
    </cfRule>
    <cfRule type="containsText" dxfId="8354" priority="8927" operator="containsText" text="H">
      <formula>NOT(ISERROR(SEARCH("H",AW30)))</formula>
    </cfRule>
    <cfRule type="containsText" dxfId="8353" priority="8929" operator="containsText" text="&quot;H&quot;">
      <formula>NOT(ISERROR(SEARCH("""H""",AW30)))</formula>
    </cfRule>
    <cfRule type="containsText" dxfId="8352" priority="8930" operator="containsText" text="&quot;A&quot;">
      <formula>NOT(ISERROR(SEARCH("""A""",AW30)))</formula>
    </cfRule>
  </conditionalFormatting>
  <conditionalFormatting sqref="AW30:AX30">
    <cfRule type="containsText" dxfId="8351" priority="8928" operator="containsText" text="A-H">
      <formula>NOT(ISERROR(SEARCH("A-H",AW30)))</formula>
    </cfRule>
  </conditionalFormatting>
  <conditionalFormatting sqref="AZ30:BA30">
    <cfRule type="cellIs" dxfId="8350" priority="8919" operator="equal">
      <formula>"C-Off-H"</formula>
    </cfRule>
    <cfRule type="cellIs" dxfId="8349" priority="8920" operator="equal">
      <formula>"C-Off"</formula>
    </cfRule>
    <cfRule type="cellIs" dxfId="8348" priority="8921" operator="equal">
      <formula>"CL-H"</formula>
    </cfRule>
    <cfRule type="cellIs" dxfId="8347" priority="8922" operator="equal">
      <formula>"EL-H"</formula>
    </cfRule>
    <cfRule type="cellIs" dxfId="8346" priority="8923" operator="equal">
      <formula>"CL"</formula>
    </cfRule>
    <cfRule type="cellIs" dxfId="8345" priority="8924" operator="equal">
      <formula>"EL"</formula>
    </cfRule>
  </conditionalFormatting>
  <conditionalFormatting sqref="AZ30:BA30">
    <cfRule type="containsText" dxfId="8344" priority="8913" operator="containsText" text="S">
      <formula>NOT(ISERROR(SEARCH("S",AZ30)))</formula>
    </cfRule>
    <cfRule type="containsText" dxfId="8343" priority="8914" operator="containsText" text="P">
      <formula>NOT(ISERROR(SEARCH("P",AZ30)))</formula>
    </cfRule>
    <cfRule type="containsText" dxfId="8342" priority="8915" operator="containsText" text="H">
      <formula>NOT(ISERROR(SEARCH("H",AZ30)))</formula>
    </cfRule>
    <cfRule type="containsText" dxfId="8341" priority="8917" operator="containsText" text="&quot;H&quot;">
      <formula>NOT(ISERROR(SEARCH("""H""",AZ30)))</formula>
    </cfRule>
    <cfRule type="containsText" dxfId="8340" priority="8918" operator="containsText" text="&quot;A&quot;">
      <formula>NOT(ISERROR(SEARCH("""A""",AZ30)))</formula>
    </cfRule>
  </conditionalFormatting>
  <conditionalFormatting sqref="AZ30:BA30">
    <cfRule type="containsText" dxfId="8339" priority="8916" operator="containsText" text="A-H">
      <formula>NOT(ISERROR(SEARCH("A-H",AZ30)))</formula>
    </cfRule>
  </conditionalFormatting>
  <conditionalFormatting sqref="BC30:BD30">
    <cfRule type="cellIs" dxfId="8338" priority="8907" operator="equal">
      <formula>"C-Off-H"</formula>
    </cfRule>
    <cfRule type="cellIs" dxfId="8337" priority="8908" operator="equal">
      <formula>"C-Off"</formula>
    </cfRule>
    <cfRule type="cellIs" dxfId="8336" priority="8909" operator="equal">
      <formula>"CL-H"</formula>
    </cfRule>
    <cfRule type="cellIs" dxfId="8335" priority="8910" operator="equal">
      <formula>"EL-H"</formula>
    </cfRule>
    <cfRule type="cellIs" dxfId="8334" priority="8911" operator="equal">
      <formula>"CL"</formula>
    </cfRule>
    <cfRule type="cellIs" dxfId="8333" priority="8912" operator="equal">
      <formula>"EL"</formula>
    </cfRule>
  </conditionalFormatting>
  <conditionalFormatting sqref="BC30:BD30">
    <cfRule type="containsText" dxfId="8332" priority="8901" operator="containsText" text="S">
      <formula>NOT(ISERROR(SEARCH("S",BC30)))</formula>
    </cfRule>
    <cfRule type="containsText" dxfId="8331" priority="8902" operator="containsText" text="P">
      <formula>NOT(ISERROR(SEARCH("P",BC30)))</formula>
    </cfRule>
    <cfRule type="containsText" dxfId="8330" priority="8903" operator="containsText" text="H">
      <formula>NOT(ISERROR(SEARCH("H",BC30)))</formula>
    </cfRule>
    <cfRule type="containsText" dxfId="8329" priority="8905" operator="containsText" text="&quot;H&quot;">
      <formula>NOT(ISERROR(SEARCH("""H""",BC30)))</formula>
    </cfRule>
    <cfRule type="containsText" dxfId="8328" priority="8906" operator="containsText" text="&quot;A&quot;">
      <formula>NOT(ISERROR(SEARCH("""A""",BC30)))</formula>
    </cfRule>
  </conditionalFormatting>
  <conditionalFormatting sqref="BC30:BD30">
    <cfRule type="containsText" dxfId="8327" priority="8904" operator="containsText" text="A-H">
      <formula>NOT(ISERROR(SEARCH("A-H",BC30)))</formula>
    </cfRule>
  </conditionalFormatting>
  <conditionalFormatting sqref="BF30:BG30">
    <cfRule type="cellIs" dxfId="8326" priority="8895" operator="equal">
      <formula>"C-Off-H"</formula>
    </cfRule>
    <cfRule type="cellIs" dxfId="8325" priority="8896" operator="equal">
      <formula>"C-Off"</formula>
    </cfRule>
    <cfRule type="cellIs" dxfId="8324" priority="8897" operator="equal">
      <formula>"CL-H"</formula>
    </cfRule>
    <cfRule type="cellIs" dxfId="8323" priority="8898" operator="equal">
      <formula>"EL-H"</formula>
    </cfRule>
    <cfRule type="cellIs" dxfId="8322" priority="8899" operator="equal">
      <formula>"CL"</formula>
    </cfRule>
    <cfRule type="cellIs" dxfId="8321" priority="8900" operator="equal">
      <formula>"EL"</formula>
    </cfRule>
  </conditionalFormatting>
  <conditionalFormatting sqref="BF30:BG30">
    <cfRule type="containsText" dxfId="8320" priority="8889" operator="containsText" text="S">
      <formula>NOT(ISERROR(SEARCH("S",BF30)))</formula>
    </cfRule>
    <cfRule type="containsText" dxfId="8319" priority="8890" operator="containsText" text="P">
      <formula>NOT(ISERROR(SEARCH("P",BF30)))</formula>
    </cfRule>
    <cfRule type="containsText" dxfId="8318" priority="8891" operator="containsText" text="H">
      <formula>NOT(ISERROR(SEARCH("H",BF30)))</formula>
    </cfRule>
    <cfRule type="containsText" dxfId="8317" priority="8893" operator="containsText" text="&quot;H&quot;">
      <formula>NOT(ISERROR(SEARCH("""H""",BF30)))</formula>
    </cfRule>
    <cfRule type="containsText" dxfId="8316" priority="8894" operator="containsText" text="&quot;A&quot;">
      <formula>NOT(ISERROR(SEARCH("""A""",BF30)))</formula>
    </cfRule>
  </conditionalFormatting>
  <conditionalFormatting sqref="BF30:BG30">
    <cfRule type="containsText" dxfId="8315" priority="8892" operator="containsText" text="A-H">
      <formula>NOT(ISERROR(SEARCH("A-H",BF30)))</formula>
    </cfRule>
  </conditionalFormatting>
  <conditionalFormatting sqref="BI30:BJ30">
    <cfRule type="cellIs" dxfId="8314" priority="8883" operator="equal">
      <formula>"C-Off-H"</formula>
    </cfRule>
    <cfRule type="cellIs" dxfId="8313" priority="8884" operator="equal">
      <formula>"C-Off"</formula>
    </cfRule>
    <cfRule type="cellIs" dxfId="8312" priority="8885" operator="equal">
      <formula>"CL-H"</formula>
    </cfRule>
    <cfRule type="cellIs" dxfId="8311" priority="8886" operator="equal">
      <formula>"EL-H"</formula>
    </cfRule>
    <cfRule type="cellIs" dxfId="8310" priority="8887" operator="equal">
      <formula>"CL"</formula>
    </cfRule>
    <cfRule type="cellIs" dxfId="8309" priority="8888" operator="equal">
      <formula>"EL"</formula>
    </cfRule>
  </conditionalFormatting>
  <conditionalFormatting sqref="BI30:BJ30">
    <cfRule type="containsText" dxfId="8308" priority="8877" operator="containsText" text="S">
      <formula>NOT(ISERROR(SEARCH("S",BI30)))</formula>
    </cfRule>
    <cfRule type="containsText" dxfId="8307" priority="8878" operator="containsText" text="P">
      <formula>NOT(ISERROR(SEARCH("P",BI30)))</formula>
    </cfRule>
    <cfRule type="containsText" dxfId="8306" priority="8879" operator="containsText" text="H">
      <formula>NOT(ISERROR(SEARCH("H",BI30)))</formula>
    </cfRule>
    <cfRule type="containsText" dxfId="8305" priority="8881" operator="containsText" text="&quot;H&quot;">
      <formula>NOT(ISERROR(SEARCH("""H""",BI30)))</formula>
    </cfRule>
    <cfRule type="containsText" dxfId="8304" priority="8882" operator="containsText" text="&quot;A&quot;">
      <formula>NOT(ISERROR(SEARCH("""A""",BI30)))</formula>
    </cfRule>
  </conditionalFormatting>
  <conditionalFormatting sqref="BI30:BJ30">
    <cfRule type="containsText" dxfId="8303" priority="8880" operator="containsText" text="A-H">
      <formula>NOT(ISERROR(SEARCH("A-H",BI30)))</formula>
    </cfRule>
  </conditionalFormatting>
  <conditionalFormatting sqref="BL30:BM30">
    <cfRule type="cellIs" dxfId="8302" priority="8871" operator="equal">
      <formula>"C-Off-H"</formula>
    </cfRule>
    <cfRule type="cellIs" dxfId="8301" priority="8872" operator="equal">
      <formula>"C-Off"</formula>
    </cfRule>
    <cfRule type="cellIs" dxfId="8300" priority="8873" operator="equal">
      <formula>"CL-H"</formula>
    </cfRule>
    <cfRule type="cellIs" dxfId="8299" priority="8874" operator="equal">
      <formula>"EL-H"</formula>
    </cfRule>
    <cfRule type="cellIs" dxfId="8298" priority="8875" operator="equal">
      <formula>"CL"</formula>
    </cfRule>
    <cfRule type="cellIs" dxfId="8297" priority="8876" operator="equal">
      <formula>"EL"</formula>
    </cfRule>
  </conditionalFormatting>
  <conditionalFormatting sqref="BL30:BM30">
    <cfRule type="containsText" dxfId="8296" priority="8865" operator="containsText" text="S">
      <formula>NOT(ISERROR(SEARCH("S",BL30)))</formula>
    </cfRule>
    <cfRule type="containsText" dxfId="8295" priority="8866" operator="containsText" text="P">
      <formula>NOT(ISERROR(SEARCH("P",BL30)))</formula>
    </cfRule>
    <cfRule type="containsText" dxfId="8294" priority="8867" operator="containsText" text="H">
      <formula>NOT(ISERROR(SEARCH("H",BL30)))</formula>
    </cfRule>
    <cfRule type="containsText" dxfId="8293" priority="8869" operator="containsText" text="&quot;H&quot;">
      <formula>NOT(ISERROR(SEARCH("""H""",BL30)))</formula>
    </cfRule>
    <cfRule type="containsText" dxfId="8292" priority="8870" operator="containsText" text="&quot;A&quot;">
      <formula>NOT(ISERROR(SEARCH("""A""",BL30)))</formula>
    </cfRule>
  </conditionalFormatting>
  <conditionalFormatting sqref="BL30:BM30">
    <cfRule type="containsText" dxfId="8291" priority="8868" operator="containsText" text="A-H">
      <formula>NOT(ISERROR(SEARCH("A-H",BL30)))</formula>
    </cfRule>
  </conditionalFormatting>
  <conditionalFormatting sqref="BR30:BS30">
    <cfRule type="cellIs" dxfId="8290" priority="8859" operator="equal">
      <formula>"C-Off-H"</formula>
    </cfRule>
    <cfRule type="cellIs" dxfId="8289" priority="8860" operator="equal">
      <formula>"C-Off"</formula>
    </cfRule>
    <cfRule type="cellIs" dxfId="8288" priority="8861" operator="equal">
      <formula>"CL-H"</formula>
    </cfRule>
    <cfRule type="cellIs" dxfId="8287" priority="8862" operator="equal">
      <formula>"EL-H"</formula>
    </cfRule>
    <cfRule type="cellIs" dxfId="8286" priority="8863" operator="equal">
      <formula>"CL"</formula>
    </cfRule>
    <cfRule type="cellIs" dxfId="8285" priority="8864" operator="equal">
      <formula>"EL"</formula>
    </cfRule>
  </conditionalFormatting>
  <conditionalFormatting sqref="BR30:BS30">
    <cfRule type="containsText" dxfId="8284" priority="8853" operator="containsText" text="S">
      <formula>NOT(ISERROR(SEARCH("S",BR30)))</formula>
    </cfRule>
    <cfRule type="containsText" dxfId="8283" priority="8854" operator="containsText" text="P">
      <formula>NOT(ISERROR(SEARCH("P",BR30)))</formula>
    </cfRule>
    <cfRule type="containsText" dxfId="8282" priority="8855" operator="containsText" text="H">
      <formula>NOT(ISERROR(SEARCH("H",BR30)))</formula>
    </cfRule>
    <cfRule type="containsText" dxfId="8281" priority="8857" operator="containsText" text="&quot;H&quot;">
      <formula>NOT(ISERROR(SEARCH("""H""",BR30)))</formula>
    </cfRule>
    <cfRule type="containsText" dxfId="8280" priority="8858" operator="containsText" text="&quot;A&quot;">
      <formula>NOT(ISERROR(SEARCH("""A""",BR30)))</formula>
    </cfRule>
  </conditionalFormatting>
  <conditionalFormatting sqref="BR30:BS30">
    <cfRule type="containsText" dxfId="8279" priority="8856" operator="containsText" text="A-H">
      <formula>NOT(ISERROR(SEARCH("A-H",BR30)))</formula>
    </cfRule>
  </conditionalFormatting>
  <conditionalFormatting sqref="BU30:BV30">
    <cfRule type="cellIs" dxfId="8278" priority="8847" operator="equal">
      <formula>"C-Off-H"</formula>
    </cfRule>
    <cfRule type="cellIs" dxfId="8277" priority="8848" operator="equal">
      <formula>"C-Off"</formula>
    </cfRule>
    <cfRule type="cellIs" dxfId="8276" priority="8849" operator="equal">
      <formula>"CL-H"</formula>
    </cfRule>
    <cfRule type="cellIs" dxfId="8275" priority="8850" operator="equal">
      <formula>"EL-H"</formula>
    </cfRule>
    <cfRule type="cellIs" dxfId="8274" priority="8851" operator="equal">
      <formula>"CL"</formula>
    </cfRule>
    <cfRule type="cellIs" dxfId="8273" priority="8852" operator="equal">
      <formula>"EL"</formula>
    </cfRule>
  </conditionalFormatting>
  <conditionalFormatting sqref="BU30:BV30">
    <cfRule type="containsText" dxfId="8272" priority="8841" operator="containsText" text="S">
      <formula>NOT(ISERROR(SEARCH("S",BU30)))</formula>
    </cfRule>
    <cfRule type="containsText" dxfId="8271" priority="8842" operator="containsText" text="P">
      <formula>NOT(ISERROR(SEARCH("P",BU30)))</formula>
    </cfRule>
    <cfRule type="containsText" dxfId="8270" priority="8843" operator="containsText" text="H">
      <formula>NOT(ISERROR(SEARCH("H",BU30)))</formula>
    </cfRule>
    <cfRule type="containsText" dxfId="8269" priority="8845" operator="containsText" text="&quot;H&quot;">
      <formula>NOT(ISERROR(SEARCH("""H""",BU30)))</formula>
    </cfRule>
    <cfRule type="containsText" dxfId="8268" priority="8846" operator="containsText" text="&quot;A&quot;">
      <formula>NOT(ISERROR(SEARCH("""A""",BU30)))</formula>
    </cfRule>
  </conditionalFormatting>
  <conditionalFormatting sqref="BU30:BV30">
    <cfRule type="containsText" dxfId="8267" priority="8844" operator="containsText" text="A-H">
      <formula>NOT(ISERROR(SEARCH("A-H",BU30)))</formula>
    </cfRule>
  </conditionalFormatting>
  <conditionalFormatting sqref="BY30">
    <cfRule type="cellIs" dxfId="8266" priority="8835" operator="equal">
      <formula>"C-Off-H"</formula>
    </cfRule>
    <cfRule type="cellIs" dxfId="8265" priority="8836" operator="equal">
      <formula>"C-Off"</formula>
    </cfRule>
    <cfRule type="cellIs" dxfId="8264" priority="8837" operator="equal">
      <formula>"CL-H"</formula>
    </cfRule>
    <cfRule type="cellIs" dxfId="8263" priority="8838" operator="equal">
      <formula>"EL-H"</formula>
    </cfRule>
    <cfRule type="cellIs" dxfId="8262" priority="8839" operator="equal">
      <formula>"CL"</formula>
    </cfRule>
    <cfRule type="cellIs" dxfId="8261" priority="8840" operator="equal">
      <formula>"EL"</formula>
    </cfRule>
  </conditionalFormatting>
  <conditionalFormatting sqref="BY30">
    <cfRule type="containsText" dxfId="8260" priority="8829" operator="containsText" text="S">
      <formula>NOT(ISERROR(SEARCH("S",BY30)))</formula>
    </cfRule>
    <cfRule type="containsText" dxfId="8259" priority="8830" operator="containsText" text="P">
      <formula>NOT(ISERROR(SEARCH("P",BY30)))</formula>
    </cfRule>
    <cfRule type="containsText" dxfId="8258" priority="8831" operator="containsText" text="H">
      <formula>NOT(ISERROR(SEARCH("H",BY30)))</formula>
    </cfRule>
    <cfRule type="containsText" dxfId="8257" priority="8833" operator="containsText" text="&quot;H&quot;">
      <formula>NOT(ISERROR(SEARCH("""H""",BY30)))</formula>
    </cfRule>
    <cfRule type="containsText" dxfId="8256" priority="8834" operator="containsText" text="&quot;A&quot;">
      <formula>NOT(ISERROR(SEARCH("""A""",BY30)))</formula>
    </cfRule>
  </conditionalFormatting>
  <conditionalFormatting sqref="BY30">
    <cfRule type="containsText" dxfId="8255" priority="8832" operator="containsText" text="A-H">
      <formula>NOT(ISERROR(SEARCH("A-H",BY30)))</formula>
    </cfRule>
  </conditionalFormatting>
  <conditionalFormatting sqref="BX30">
    <cfRule type="cellIs" dxfId="8254" priority="8823" operator="equal">
      <formula>"C-Off-H"</formula>
    </cfRule>
    <cfRule type="cellIs" dxfId="8253" priority="8824" operator="equal">
      <formula>"C-Off"</formula>
    </cfRule>
    <cfRule type="cellIs" dxfId="8252" priority="8825" operator="equal">
      <formula>"CL-H"</formula>
    </cfRule>
    <cfRule type="cellIs" dxfId="8251" priority="8826" operator="equal">
      <formula>"EL-H"</formula>
    </cfRule>
    <cfRule type="cellIs" dxfId="8250" priority="8827" operator="equal">
      <formula>"CL"</formula>
    </cfRule>
    <cfRule type="cellIs" dxfId="8249" priority="8828" operator="equal">
      <formula>"EL"</formula>
    </cfRule>
  </conditionalFormatting>
  <conditionalFormatting sqref="BX30">
    <cfRule type="containsText" dxfId="8248" priority="8817" operator="containsText" text="S">
      <formula>NOT(ISERROR(SEARCH("S",BX30)))</formula>
    </cfRule>
    <cfRule type="containsText" dxfId="8247" priority="8818" operator="containsText" text="P">
      <formula>NOT(ISERROR(SEARCH("P",BX30)))</formula>
    </cfRule>
    <cfRule type="containsText" dxfId="8246" priority="8819" operator="containsText" text="H">
      <formula>NOT(ISERROR(SEARCH("H",BX30)))</formula>
    </cfRule>
    <cfRule type="containsText" dxfId="8245" priority="8821" operator="containsText" text="&quot;H&quot;">
      <formula>NOT(ISERROR(SEARCH("""H""",BX30)))</formula>
    </cfRule>
    <cfRule type="containsText" dxfId="8244" priority="8822" operator="containsText" text="&quot;A&quot;">
      <formula>NOT(ISERROR(SEARCH("""A""",BX30)))</formula>
    </cfRule>
  </conditionalFormatting>
  <conditionalFormatting sqref="BX30">
    <cfRule type="containsText" dxfId="8243" priority="8820" operator="containsText" text="A-H">
      <formula>NOT(ISERROR(SEARCH("A-H",BX30)))</formula>
    </cfRule>
  </conditionalFormatting>
  <conditionalFormatting sqref="J30:K30">
    <cfRule type="cellIs" dxfId="8242" priority="8811" operator="equal">
      <formula>"C-Off-H"</formula>
    </cfRule>
    <cfRule type="cellIs" dxfId="8241" priority="8812" operator="equal">
      <formula>"C-Off"</formula>
    </cfRule>
    <cfRule type="cellIs" dxfId="8240" priority="8813" operator="equal">
      <formula>"CL-H"</formula>
    </cfRule>
    <cfRule type="cellIs" dxfId="8239" priority="8814" operator="equal">
      <formula>"EL-H"</formula>
    </cfRule>
    <cfRule type="cellIs" dxfId="8238" priority="8815" operator="equal">
      <formula>"CL"</formula>
    </cfRule>
    <cfRule type="cellIs" dxfId="8237" priority="8816" operator="equal">
      <formula>"EL"</formula>
    </cfRule>
  </conditionalFormatting>
  <conditionalFormatting sqref="J30:K30">
    <cfRule type="containsText" dxfId="8236" priority="8805" operator="containsText" text="S">
      <formula>NOT(ISERROR(SEARCH("S",J30)))</formula>
    </cfRule>
    <cfRule type="containsText" dxfId="8235" priority="8806" operator="containsText" text="P">
      <formula>NOT(ISERROR(SEARCH("P",J30)))</formula>
    </cfRule>
    <cfRule type="containsText" dxfId="8234" priority="8807" operator="containsText" text="H">
      <formula>NOT(ISERROR(SEARCH("H",J30)))</formula>
    </cfRule>
    <cfRule type="containsText" dxfId="8233" priority="8809" operator="containsText" text="&quot;H&quot;">
      <formula>NOT(ISERROR(SEARCH("""H""",J30)))</formula>
    </cfRule>
    <cfRule type="containsText" dxfId="8232" priority="8810" operator="containsText" text="&quot;A&quot;">
      <formula>NOT(ISERROR(SEARCH("""A""",J30)))</formula>
    </cfRule>
  </conditionalFormatting>
  <conditionalFormatting sqref="J30:K30">
    <cfRule type="containsText" dxfId="8231" priority="8808" operator="containsText" text="A-H">
      <formula>NOT(ISERROR(SEARCH("A-H",J30)))</formula>
    </cfRule>
  </conditionalFormatting>
  <conditionalFormatting sqref="M28:N28 DC28 CQ28:CW28">
    <cfRule type="cellIs" dxfId="8230" priority="8799" operator="equal">
      <formula>"C-Off-H"</formula>
    </cfRule>
    <cfRule type="cellIs" dxfId="8229" priority="8800" operator="equal">
      <formula>"C-Off"</formula>
    </cfRule>
    <cfRule type="cellIs" dxfId="8228" priority="8801" operator="equal">
      <formula>"CL-H"</formula>
    </cfRule>
    <cfRule type="cellIs" dxfId="8227" priority="8802" operator="equal">
      <formula>"EL-H"</formula>
    </cfRule>
    <cfRule type="cellIs" dxfId="8226" priority="8803" operator="equal">
      <formula>"CL"</formula>
    </cfRule>
    <cfRule type="cellIs" dxfId="8225" priority="8804" operator="equal">
      <formula>"EL"</formula>
    </cfRule>
  </conditionalFormatting>
  <conditionalFormatting sqref="M28:N28 DC28 CQ28:CW28 CY28:DA28">
    <cfRule type="containsText" dxfId="8224" priority="8798" operator="containsText" text="A-H">
      <formula>NOT(ISERROR(SEARCH("A-H",M28)))</formula>
    </cfRule>
  </conditionalFormatting>
  <conditionalFormatting sqref="DC28 CQ28:CW28 CY28:DA28">
    <cfRule type="containsText" dxfId="8223" priority="8797" operator="containsText" text="A">
      <formula>NOT(ISERROR(SEARCH("A",CQ28)))</formula>
    </cfRule>
  </conditionalFormatting>
  <conditionalFormatting sqref="CY28 DA28">
    <cfRule type="cellIs" dxfId="8222" priority="8791" stopIfTrue="1" operator="equal">
      <formula>"C-Off-H"</formula>
    </cfRule>
    <cfRule type="cellIs" dxfId="8221" priority="8792" stopIfTrue="1" operator="equal">
      <formula>"C-Off"</formula>
    </cfRule>
    <cfRule type="cellIs" dxfId="8220" priority="8793" stopIfTrue="1" operator="equal">
      <formula>"CL-H"</formula>
    </cfRule>
    <cfRule type="cellIs" dxfId="8219" priority="8794" stopIfTrue="1" operator="equal">
      <formula>"EL-H"</formula>
    </cfRule>
    <cfRule type="cellIs" dxfId="8218" priority="8795" stopIfTrue="1" operator="equal">
      <formula>"CL"</formula>
    </cfRule>
    <cfRule type="cellIs" dxfId="8217" priority="8796" stopIfTrue="1" operator="equal">
      <formula>"EL"</formula>
    </cfRule>
  </conditionalFormatting>
  <conditionalFormatting sqref="CZ28">
    <cfRule type="cellIs" dxfId="8216" priority="8785" stopIfTrue="1" operator="equal">
      <formula>"C-Off-H"</formula>
    </cfRule>
    <cfRule type="cellIs" dxfId="8215" priority="8786" stopIfTrue="1" operator="equal">
      <formula>"C-Off"</formula>
    </cfRule>
    <cfRule type="cellIs" dxfId="8214" priority="8787" stopIfTrue="1" operator="equal">
      <formula>"CL-H"</formula>
    </cfRule>
    <cfRule type="cellIs" dxfId="8213" priority="8788" stopIfTrue="1" operator="equal">
      <formula>"EL-H"</formula>
    </cfRule>
    <cfRule type="cellIs" dxfId="8212" priority="8789" stopIfTrue="1" operator="equal">
      <formula>"CL"</formula>
    </cfRule>
    <cfRule type="cellIs" dxfId="8211" priority="8790" stopIfTrue="1" operator="equal">
      <formula>"EL"</formula>
    </cfRule>
  </conditionalFormatting>
  <conditionalFormatting sqref="M28:N28">
    <cfRule type="containsText" dxfId="8210" priority="8780" operator="containsText" text="S">
      <formula>NOT(ISERROR(SEARCH("S",M28)))</formula>
    </cfRule>
    <cfRule type="containsText" dxfId="8209" priority="8781" operator="containsText" text="P">
      <formula>NOT(ISERROR(SEARCH("P",M28)))</formula>
    </cfRule>
    <cfRule type="containsText" dxfId="8208" priority="8782" operator="containsText" text="H">
      <formula>NOT(ISERROR(SEARCH("H",M28)))</formula>
    </cfRule>
    <cfRule type="containsText" dxfId="8207" priority="8783" operator="containsText" text="&quot;H&quot;">
      <formula>NOT(ISERROR(SEARCH("""H""",M28)))</formula>
    </cfRule>
    <cfRule type="containsText" dxfId="8206" priority="8784" operator="containsText" text="&quot;A&quot;">
      <formula>NOT(ISERROR(SEARCH("""A""",M28)))</formula>
    </cfRule>
  </conditionalFormatting>
  <conditionalFormatting sqref="DD28">
    <cfRule type="cellIs" dxfId="8205" priority="8774" operator="equal">
      <formula>"C-Off-H"</formula>
    </cfRule>
    <cfRule type="cellIs" dxfId="8204" priority="8775" operator="equal">
      <formula>"C-Off"</formula>
    </cfRule>
    <cfRule type="cellIs" dxfId="8203" priority="8776" operator="equal">
      <formula>"CL-H"</formula>
    </cfRule>
    <cfRule type="cellIs" dxfId="8202" priority="8777" operator="equal">
      <formula>"EL-H"</formula>
    </cfRule>
    <cfRule type="cellIs" dxfId="8201" priority="8778" operator="equal">
      <formula>"CL"</formula>
    </cfRule>
    <cfRule type="cellIs" dxfId="8200" priority="8779" operator="equal">
      <formula>"EL"</formula>
    </cfRule>
  </conditionalFormatting>
  <conditionalFormatting sqref="DD28">
    <cfRule type="containsText" dxfId="8199" priority="8773" operator="containsText" text="A">
      <formula>NOT(ISERROR(SEARCH("A",DD28)))</formula>
    </cfRule>
  </conditionalFormatting>
  <conditionalFormatting sqref="DD28">
    <cfRule type="containsText" dxfId="8198" priority="8772" operator="containsText" text="A-H">
      <formula>NOT(ISERROR(SEARCH("A-H",DD28)))</formula>
    </cfRule>
  </conditionalFormatting>
  <conditionalFormatting sqref="AI28">
    <cfRule type="cellIs" dxfId="8197" priority="8766" operator="equal">
      <formula>"C-Off-H"</formula>
    </cfRule>
    <cfRule type="cellIs" dxfId="8196" priority="8767" operator="equal">
      <formula>"C-Off"</formula>
    </cfRule>
    <cfRule type="cellIs" dxfId="8195" priority="8768" operator="equal">
      <formula>"CL-H"</formula>
    </cfRule>
    <cfRule type="cellIs" dxfId="8194" priority="8769" operator="equal">
      <formula>"EL-H"</formula>
    </cfRule>
    <cfRule type="cellIs" dxfId="8193" priority="8770" operator="equal">
      <formula>"CL"</formula>
    </cfRule>
    <cfRule type="cellIs" dxfId="8192" priority="8771" operator="equal">
      <formula>"EL"</formula>
    </cfRule>
  </conditionalFormatting>
  <conditionalFormatting sqref="AH28:AI28">
    <cfRule type="cellIs" dxfId="8191" priority="8760" operator="equal">
      <formula>"C-Off-H"</formula>
    </cfRule>
    <cfRule type="cellIs" dxfId="8190" priority="8761" operator="equal">
      <formula>"C-Off"</formula>
    </cfRule>
    <cfRule type="cellIs" dxfId="8189" priority="8762" operator="equal">
      <formula>"CL-H"</formula>
    </cfRule>
    <cfRule type="cellIs" dxfId="8188" priority="8763" operator="equal">
      <formula>"EL-H"</formula>
    </cfRule>
    <cfRule type="cellIs" dxfId="8187" priority="8764" operator="equal">
      <formula>"CL"</formula>
    </cfRule>
    <cfRule type="cellIs" dxfId="8186" priority="8765" operator="equal">
      <formula>"EL"</formula>
    </cfRule>
  </conditionalFormatting>
  <conditionalFormatting sqref="AH28:AI28">
    <cfRule type="containsText" dxfId="8185" priority="8754" operator="containsText" text="S">
      <formula>NOT(ISERROR(SEARCH("S",AH28)))</formula>
    </cfRule>
    <cfRule type="containsText" dxfId="8184" priority="8755" operator="containsText" text="P">
      <formula>NOT(ISERROR(SEARCH("P",AH28)))</formula>
    </cfRule>
    <cfRule type="containsText" dxfId="8183" priority="8756" operator="containsText" text="H">
      <formula>NOT(ISERROR(SEARCH("H",AH28)))</formula>
    </cfRule>
    <cfRule type="containsText" dxfId="8182" priority="8758" operator="containsText" text="&quot;H&quot;">
      <formula>NOT(ISERROR(SEARCH("""H""",AH28)))</formula>
    </cfRule>
    <cfRule type="containsText" dxfId="8181" priority="8759" operator="containsText" text="&quot;A&quot;">
      <formula>NOT(ISERROR(SEARCH("""A""",AH28)))</formula>
    </cfRule>
  </conditionalFormatting>
  <conditionalFormatting sqref="AH28:AI28">
    <cfRule type="containsText" dxfId="8180" priority="8757" operator="containsText" text="A-H">
      <formula>NOT(ISERROR(SEARCH("A-H",AH28)))</formula>
    </cfRule>
  </conditionalFormatting>
  <conditionalFormatting sqref="AU28">
    <cfRule type="cellIs" dxfId="8179" priority="8748" operator="equal">
      <formula>"C-Off-H"</formula>
    </cfRule>
    <cfRule type="cellIs" dxfId="8178" priority="8749" operator="equal">
      <formula>"C-Off"</formula>
    </cfRule>
    <cfRule type="cellIs" dxfId="8177" priority="8750" operator="equal">
      <formula>"CL-H"</formula>
    </cfRule>
    <cfRule type="cellIs" dxfId="8176" priority="8751" operator="equal">
      <formula>"EL-H"</formula>
    </cfRule>
    <cfRule type="cellIs" dxfId="8175" priority="8752" operator="equal">
      <formula>"CL"</formula>
    </cfRule>
    <cfRule type="cellIs" dxfId="8174" priority="8753" operator="equal">
      <formula>"EL"</formula>
    </cfRule>
  </conditionalFormatting>
  <conditionalFormatting sqref="AT28:AU28">
    <cfRule type="cellIs" dxfId="8173" priority="8742" operator="equal">
      <formula>"C-Off-H"</formula>
    </cfRule>
    <cfRule type="cellIs" dxfId="8172" priority="8743" operator="equal">
      <formula>"C-Off"</formula>
    </cfRule>
    <cfRule type="cellIs" dxfId="8171" priority="8744" operator="equal">
      <formula>"CL-H"</formula>
    </cfRule>
    <cfRule type="cellIs" dxfId="8170" priority="8745" operator="equal">
      <formula>"EL-H"</formula>
    </cfRule>
    <cfRule type="cellIs" dxfId="8169" priority="8746" operator="equal">
      <formula>"CL"</formula>
    </cfRule>
    <cfRule type="cellIs" dxfId="8168" priority="8747" operator="equal">
      <formula>"EL"</formula>
    </cfRule>
  </conditionalFormatting>
  <conditionalFormatting sqref="AT28:AU28">
    <cfRule type="containsText" dxfId="8167" priority="8736" operator="containsText" text="S">
      <formula>NOT(ISERROR(SEARCH("S",AT28)))</formula>
    </cfRule>
    <cfRule type="containsText" dxfId="8166" priority="8737" operator="containsText" text="P">
      <formula>NOT(ISERROR(SEARCH("P",AT28)))</formula>
    </cfRule>
    <cfRule type="containsText" dxfId="8165" priority="8738" operator="containsText" text="H">
      <formula>NOT(ISERROR(SEARCH("H",AT28)))</formula>
    </cfRule>
    <cfRule type="containsText" dxfId="8164" priority="8740" operator="containsText" text="&quot;H&quot;">
      <formula>NOT(ISERROR(SEARCH("""H""",AT28)))</formula>
    </cfRule>
    <cfRule type="containsText" dxfId="8163" priority="8741" operator="containsText" text="&quot;A&quot;">
      <formula>NOT(ISERROR(SEARCH("""A""",AT28)))</formula>
    </cfRule>
  </conditionalFormatting>
  <conditionalFormatting sqref="AT28:AU28">
    <cfRule type="containsText" dxfId="8162" priority="8739" operator="containsText" text="A-H">
      <formula>NOT(ISERROR(SEARCH("A-H",AT28)))</formula>
    </cfRule>
  </conditionalFormatting>
  <conditionalFormatting sqref="E28">
    <cfRule type="cellIs" dxfId="8161" priority="8730" operator="equal">
      <formula>"C-Off-H"</formula>
    </cfRule>
    <cfRule type="cellIs" dxfId="8160" priority="8731" operator="equal">
      <formula>"C-Off"</formula>
    </cfRule>
    <cfRule type="cellIs" dxfId="8159" priority="8732" operator="equal">
      <formula>"CL-H"</formula>
    </cfRule>
    <cfRule type="cellIs" dxfId="8158" priority="8733" operator="equal">
      <formula>"EL-H"</formula>
    </cfRule>
    <cfRule type="cellIs" dxfId="8157" priority="8734" operator="equal">
      <formula>"CL"</formula>
    </cfRule>
    <cfRule type="cellIs" dxfId="8156" priority="8735" operator="equal">
      <formula>"EL"</formula>
    </cfRule>
  </conditionalFormatting>
  <conditionalFormatting sqref="D28:E28">
    <cfRule type="cellIs" dxfId="8155" priority="8724" operator="equal">
      <formula>"C-Off-H"</formula>
    </cfRule>
    <cfRule type="cellIs" dxfId="8154" priority="8725" operator="equal">
      <formula>"C-Off"</formula>
    </cfRule>
    <cfRule type="cellIs" dxfId="8153" priority="8726" operator="equal">
      <formula>"CL-H"</formula>
    </cfRule>
    <cfRule type="cellIs" dxfId="8152" priority="8727" operator="equal">
      <formula>"EL-H"</formula>
    </cfRule>
    <cfRule type="cellIs" dxfId="8151" priority="8728" operator="equal">
      <formula>"CL"</formula>
    </cfRule>
    <cfRule type="cellIs" dxfId="8150" priority="8729" operator="equal">
      <formula>"EL"</formula>
    </cfRule>
  </conditionalFormatting>
  <conditionalFormatting sqref="D28:E28">
    <cfRule type="containsText" dxfId="8149" priority="8718" operator="containsText" text="S">
      <formula>NOT(ISERROR(SEARCH("S",D28)))</formula>
    </cfRule>
    <cfRule type="containsText" dxfId="8148" priority="8719" operator="containsText" text="P">
      <formula>NOT(ISERROR(SEARCH("P",D28)))</formula>
    </cfRule>
    <cfRule type="containsText" dxfId="8147" priority="8720" operator="containsText" text="H">
      <formula>NOT(ISERROR(SEARCH("H",D28)))</formula>
    </cfRule>
    <cfRule type="containsText" dxfId="8146" priority="8722" operator="containsText" text="&quot;H&quot;">
      <formula>NOT(ISERROR(SEARCH("""H""",D28)))</formula>
    </cfRule>
    <cfRule type="containsText" dxfId="8145" priority="8723" operator="containsText" text="&quot;A&quot;">
      <formula>NOT(ISERROR(SEARCH("""A""",D28)))</formula>
    </cfRule>
  </conditionalFormatting>
  <conditionalFormatting sqref="D28:E28">
    <cfRule type="containsText" dxfId="8144" priority="8721" operator="containsText" text="A-H">
      <formula>NOT(ISERROR(SEARCH("A-H",D28)))</formula>
    </cfRule>
  </conditionalFormatting>
  <conditionalFormatting sqref="Y28">
    <cfRule type="cellIs" dxfId="8143" priority="8712" operator="equal">
      <formula>"C-Off-H"</formula>
    </cfRule>
    <cfRule type="cellIs" dxfId="8142" priority="8713" operator="equal">
      <formula>"C-Off"</formula>
    </cfRule>
    <cfRule type="cellIs" dxfId="8141" priority="8714" operator="equal">
      <formula>"CL-H"</formula>
    </cfRule>
    <cfRule type="cellIs" dxfId="8140" priority="8715" operator="equal">
      <formula>"EL-H"</formula>
    </cfRule>
    <cfRule type="cellIs" dxfId="8139" priority="8716" operator="equal">
      <formula>"CL"</formula>
    </cfRule>
    <cfRule type="cellIs" dxfId="8138" priority="8717" operator="equal">
      <formula>"EL"</formula>
    </cfRule>
  </conditionalFormatting>
  <conditionalFormatting sqref="Y28">
    <cfRule type="containsText" dxfId="8137" priority="8706" operator="containsText" text="S">
      <formula>NOT(ISERROR(SEARCH("S",Y28)))</formula>
    </cfRule>
    <cfRule type="containsText" dxfId="8136" priority="8707" operator="containsText" text="P">
      <formula>NOT(ISERROR(SEARCH("P",Y28)))</formula>
    </cfRule>
    <cfRule type="containsText" dxfId="8135" priority="8708" operator="containsText" text="H">
      <formula>NOT(ISERROR(SEARCH("H",Y28)))</formula>
    </cfRule>
    <cfRule type="containsText" dxfId="8134" priority="8710" operator="containsText" text="&quot;H&quot;">
      <formula>NOT(ISERROR(SEARCH("""H""",Y28)))</formula>
    </cfRule>
    <cfRule type="containsText" dxfId="8133" priority="8711" operator="containsText" text="&quot;A&quot;">
      <formula>NOT(ISERROR(SEARCH("""A""",Y28)))</formula>
    </cfRule>
  </conditionalFormatting>
  <conditionalFormatting sqref="Y28">
    <cfRule type="containsText" dxfId="8132" priority="8709" operator="containsText" text="A-H">
      <formula>NOT(ISERROR(SEARCH("A-H",Y28)))</formula>
    </cfRule>
  </conditionalFormatting>
  <conditionalFormatting sqref="AF28">
    <cfRule type="cellIs" dxfId="8131" priority="8700" operator="equal">
      <formula>"C-Off-H"</formula>
    </cfRule>
    <cfRule type="cellIs" dxfId="8130" priority="8701" operator="equal">
      <formula>"C-Off"</formula>
    </cfRule>
    <cfRule type="cellIs" dxfId="8129" priority="8702" operator="equal">
      <formula>"CL-H"</formula>
    </cfRule>
    <cfRule type="cellIs" dxfId="8128" priority="8703" operator="equal">
      <formula>"EL-H"</formula>
    </cfRule>
    <cfRule type="cellIs" dxfId="8127" priority="8704" operator="equal">
      <formula>"CL"</formula>
    </cfRule>
    <cfRule type="cellIs" dxfId="8126" priority="8705" operator="equal">
      <formula>"EL"</formula>
    </cfRule>
  </conditionalFormatting>
  <conditionalFormatting sqref="AF28">
    <cfRule type="containsText" dxfId="8125" priority="8694" operator="containsText" text="S">
      <formula>NOT(ISERROR(SEARCH("S",AF28)))</formula>
    </cfRule>
    <cfRule type="containsText" dxfId="8124" priority="8695" operator="containsText" text="P">
      <formula>NOT(ISERROR(SEARCH("P",AF28)))</formula>
    </cfRule>
    <cfRule type="containsText" dxfId="8123" priority="8696" operator="containsText" text="H">
      <formula>NOT(ISERROR(SEARCH("H",AF28)))</formula>
    </cfRule>
    <cfRule type="containsText" dxfId="8122" priority="8698" operator="containsText" text="&quot;H&quot;">
      <formula>NOT(ISERROR(SEARCH("""H""",AF28)))</formula>
    </cfRule>
    <cfRule type="containsText" dxfId="8121" priority="8699" operator="containsText" text="&quot;A&quot;">
      <formula>NOT(ISERROR(SEARCH("""A""",AF28)))</formula>
    </cfRule>
  </conditionalFormatting>
  <conditionalFormatting sqref="AF28">
    <cfRule type="containsText" dxfId="8120" priority="8697" operator="containsText" text="A-H">
      <formula>NOT(ISERROR(SEARCH("A-H",AF28)))</formula>
    </cfRule>
  </conditionalFormatting>
  <conditionalFormatting sqref="BO28:BP28">
    <cfRule type="cellIs" dxfId="8119" priority="8688" operator="equal">
      <formula>"C-Off-H"</formula>
    </cfRule>
    <cfRule type="cellIs" dxfId="8118" priority="8689" operator="equal">
      <formula>"C-Off"</formula>
    </cfRule>
    <cfRule type="cellIs" dxfId="8117" priority="8690" operator="equal">
      <formula>"CL-H"</formula>
    </cfRule>
    <cfRule type="cellIs" dxfId="8116" priority="8691" operator="equal">
      <formula>"EL-H"</formula>
    </cfRule>
    <cfRule type="cellIs" dxfId="8115" priority="8692" operator="equal">
      <formula>"CL"</formula>
    </cfRule>
    <cfRule type="cellIs" dxfId="8114" priority="8693" operator="equal">
      <formula>"EL"</formula>
    </cfRule>
  </conditionalFormatting>
  <conditionalFormatting sqref="BO28:BP28">
    <cfRule type="cellIs" dxfId="8113" priority="8682" operator="equal">
      <formula>"C-Off-H"</formula>
    </cfRule>
    <cfRule type="cellIs" dxfId="8112" priority="8683" operator="equal">
      <formula>"C-Off"</formula>
    </cfRule>
    <cfRule type="cellIs" dxfId="8111" priority="8684" operator="equal">
      <formula>"CL-H"</formula>
    </cfRule>
    <cfRule type="cellIs" dxfId="8110" priority="8685" operator="equal">
      <formula>"EL-H"</formula>
    </cfRule>
    <cfRule type="cellIs" dxfId="8109" priority="8686" operator="equal">
      <formula>"CL"</formula>
    </cfRule>
    <cfRule type="cellIs" dxfId="8108" priority="8687" operator="equal">
      <formula>"EL"</formula>
    </cfRule>
  </conditionalFormatting>
  <conditionalFormatting sqref="BO28:BP28">
    <cfRule type="containsText" dxfId="8107" priority="8676" operator="containsText" text="S">
      <formula>NOT(ISERROR(SEARCH("S",BO28)))</formula>
    </cfRule>
    <cfRule type="containsText" dxfId="8106" priority="8677" operator="containsText" text="P">
      <formula>NOT(ISERROR(SEARCH("P",BO28)))</formula>
    </cfRule>
    <cfRule type="containsText" dxfId="8105" priority="8678" operator="containsText" text="H">
      <formula>NOT(ISERROR(SEARCH("H",BO28)))</formula>
    </cfRule>
    <cfRule type="containsText" dxfId="8104" priority="8680" operator="containsText" text="&quot;H&quot;">
      <formula>NOT(ISERROR(SEARCH("""H""",BO28)))</formula>
    </cfRule>
    <cfRule type="containsText" dxfId="8103" priority="8681" operator="containsText" text="&quot;A&quot;">
      <formula>NOT(ISERROR(SEARCH("""A""",BO28)))</formula>
    </cfRule>
  </conditionalFormatting>
  <conditionalFormatting sqref="BO28:BP28">
    <cfRule type="containsText" dxfId="8102" priority="8679" operator="containsText" text="A-H">
      <formula>NOT(ISERROR(SEARCH("A-H",BO28)))</formula>
    </cfRule>
  </conditionalFormatting>
  <conditionalFormatting sqref="CM28">
    <cfRule type="cellIs" dxfId="8101" priority="8670" operator="equal">
      <formula>"C-Off-H"</formula>
    </cfRule>
    <cfRule type="cellIs" dxfId="8100" priority="8671" operator="equal">
      <formula>"C-Off"</formula>
    </cfRule>
    <cfRule type="cellIs" dxfId="8099" priority="8672" operator="equal">
      <formula>"CL-H"</formula>
    </cfRule>
    <cfRule type="cellIs" dxfId="8098" priority="8673" operator="equal">
      <formula>"EL-H"</formula>
    </cfRule>
    <cfRule type="cellIs" dxfId="8097" priority="8674" operator="equal">
      <formula>"CL"</formula>
    </cfRule>
    <cfRule type="cellIs" dxfId="8096" priority="8675" operator="equal">
      <formula>"EL"</formula>
    </cfRule>
  </conditionalFormatting>
  <conditionalFormatting sqref="CM28">
    <cfRule type="cellIs" dxfId="8095" priority="8664" operator="equal">
      <formula>"C-Off-H"</formula>
    </cfRule>
    <cfRule type="cellIs" dxfId="8094" priority="8665" operator="equal">
      <formula>"C-Off"</formula>
    </cfRule>
    <cfRule type="cellIs" dxfId="8093" priority="8666" operator="equal">
      <formula>"CL-H"</formula>
    </cfRule>
    <cfRule type="cellIs" dxfId="8092" priority="8667" operator="equal">
      <formula>"EL-H"</formula>
    </cfRule>
    <cfRule type="cellIs" dxfId="8091" priority="8668" operator="equal">
      <formula>"CL"</formula>
    </cfRule>
    <cfRule type="cellIs" dxfId="8090" priority="8669" operator="equal">
      <formula>"EL"</formula>
    </cfRule>
  </conditionalFormatting>
  <conditionalFormatting sqref="CM28">
    <cfRule type="containsText" dxfId="8089" priority="8658" operator="containsText" text="S">
      <formula>NOT(ISERROR(SEARCH("S",CM28)))</formula>
    </cfRule>
    <cfRule type="containsText" dxfId="8088" priority="8659" operator="containsText" text="P">
      <formula>NOT(ISERROR(SEARCH("P",CM28)))</formula>
    </cfRule>
    <cfRule type="containsText" dxfId="8087" priority="8660" operator="containsText" text="H">
      <formula>NOT(ISERROR(SEARCH("H",CM28)))</formula>
    </cfRule>
    <cfRule type="containsText" dxfId="8086" priority="8662" operator="containsText" text="&quot;H&quot;">
      <formula>NOT(ISERROR(SEARCH("""H""",CM28)))</formula>
    </cfRule>
    <cfRule type="containsText" dxfId="8085" priority="8663" operator="containsText" text="&quot;A&quot;">
      <formula>NOT(ISERROR(SEARCH("""A""",CM28)))</formula>
    </cfRule>
  </conditionalFormatting>
  <conditionalFormatting sqref="CM28">
    <cfRule type="containsText" dxfId="8084" priority="8661" operator="containsText" text="A-H">
      <formula>NOT(ISERROR(SEARCH("A-H",CM28)))</formula>
    </cfRule>
  </conditionalFormatting>
  <conditionalFormatting sqref="V28:W28">
    <cfRule type="cellIs" dxfId="8083" priority="8628" operator="equal">
      <formula>"C-Off-H"</formula>
    </cfRule>
    <cfRule type="cellIs" dxfId="8082" priority="8629" operator="equal">
      <formula>"C-Off"</formula>
    </cfRule>
    <cfRule type="cellIs" dxfId="8081" priority="8630" operator="equal">
      <formula>"CL-H"</formula>
    </cfRule>
    <cfRule type="cellIs" dxfId="8080" priority="8631" operator="equal">
      <formula>"EL-H"</formula>
    </cfRule>
    <cfRule type="cellIs" dxfId="8079" priority="8632" operator="equal">
      <formula>"CL"</formula>
    </cfRule>
    <cfRule type="cellIs" dxfId="8078" priority="8633" operator="equal">
      <formula>"EL"</formula>
    </cfRule>
  </conditionalFormatting>
  <conditionalFormatting sqref="V28:W28">
    <cfRule type="containsText" dxfId="8077" priority="8622" operator="containsText" text="S">
      <formula>NOT(ISERROR(SEARCH("S",V28)))</formula>
    </cfRule>
    <cfRule type="containsText" dxfId="8076" priority="8623" operator="containsText" text="P">
      <formula>NOT(ISERROR(SEARCH("P",V28)))</formula>
    </cfRule>
    <cfRule type="containsText" dxfId="8075" priority="8624" operator="containsText" text="H">
      <formula>NOT(ISERROR(SEARCH("H",V28)))</formula>
    </cfRule>
    <cfRule type="containsText" dxfId="8074" priority="8626" operator="containsText" text="&quot;H&quot;">
      <formula>NOT(ISERROR(SEARCH("""H""",V28)))</formula>
    </cfRule>
    <cfRule type="containsText" dxfId="8073" priority="8627" operator="containsText" text="&quot;A&quot;">
      <formula>NOT(ISERROR(SEARCH("""A""",V28)))</formula>
    </cfRule>
  </conditionalFormatting>
  <conditionalFormatting sqref="V28:W28">
    <cfRule type="containsText" dxfId="8072" priority="8625" operator="containsText" text="A-H">
      <formula>NOT(ISERROR(SEARCH("A-H",V28)))</formula>
    </cfRule>
  </conditionalFormatting>
  <conditionalFormatting sqref="P28:Q28">
    <cfRule type="cellIs" dxfId="8071" priority="8652" operator="equal">
      <formula>"C-Off-H"</formula>
    </cfRule>
    <cfRule type="cellIs" dxfId="8070" priority="8653" operator="equal">
      <formula>"C-Off"</formula>
    </cfRule>
    <cfRule type="cellIs" dxfId="8069" priority="8654" operator="equal">
      <formula>"CL-H"</formula>
    </cfRule>
    <cfRule type="cellIs" dxfId="8068" priority="8655" operator="equal">
      <formula>"EL-H"</formula>
    </cfRule>
    <cfRule type="cellIs" dxfId="8067" priority="8656" operator="equal">
      <formula>"CL"</formula>
    </cfRule>
    <cfRule type="cellIs" dxfId="8066" priority="8657" operator="equal">
      <formula>"EL"</formula>
    </cfRule>
  </conditionalFormatting>
  <conditionalFormatting sqref="P28:Q28">
    <cfRule type="containsText" dxfId="8065" priority="8646" operator="containsText" text="S">
      <formula>NOT(ISERROR(SEARCH("S",P28)))</formula>
    </cfRule>
    <cfRule type="containsText" dxfId="8064" priority="8647" operator="containsText" text="P">
      <formula>NOT(ISERROR(SEARCH("P",P28)))</formula>
    </cfRule>
    <cfRule type="containsText" dxfId="8063" priority="8648" operator="containsText" text="H">
      <formula>NOT(ISERROR(SEARCH("H",P28)))</formula>
    </cfRule>
    <cfRule type="containsText" dxfId="8062" priority="8650" operator="containsText" text="&quot;H&quot;">
      <formula>NOT(ISERROR(SEARCH("""H""",P28)))</formula>
    </cfRule>
    <cfRule type="containsText" dxfId="8061" priority="8651" operator="containsText" text="&quot;A&quot;">
      <formula>NOT(ISERROR(SEARCH("""A""",P28)))</formula>
    </cfRule>
  </conditionalFormatting>
  <conditionalFormatting sqref="P28:Q28">
    <cfRule type="containsText" dxfId="8060" priority="8649" operator="containsText" text="A-H">
      <formula>NOT(ISERROR(SEARCH("A-H",P28)))</formula>
    </cfRule>
  </conditionalFormatting>
  <conditionalFormatting sqref="S28:T28">
    <cfRule type="cellIs" dxfId="8059" priority="8640" operator="equal">
      <formula>"C-Off-H"</formula>
    </cfRule>
    <cfRule type="cellIs" dxfId="8058" priority="8641" operator="equal">
      <formula>"C-Off"</formula>
    </cfRule>
    <cfRule type="cellIs" dxfId="8057" priority="8642" operator="equal">
      <formula>"CL-H"</formula>
    </cfRule>
    <cfRule type="cellIs" dxfId="8056" priority="8643" operator="equal">
      <formula>"EL-H"</formula>
    </cfRule>
    <cfRule type="cellIs" dxfId="8055" priority="8644" operator="equal">
      <formula>"CL"</formula>
    </cfRule>
    <cfRule type="cellIs" dxfId="8054" priority="8645" operator="equal">
      <formula>"EL"</formula>
    </cfRule>
  </conditionalFormatting>
  <conditionalFormatting sqref="S28:T28">
    <cfRule type="containsText" dxfId="8053" priority="8634" operator="containsText" text="S">
      <formula>NOT(ISERROR(SEARCH("S",S28)))</formula>
    </cfRule>
    <cfRule type="containsText" dxfId="8052" priority="8635" operator="containsText" text="P">
      <formula>NOT(ISERROR(SEARCH("P",S28)))</formula>
    </cfRule>
    <cfRule type="containsText" dxfId="8051" priority="8636" operator="containsText" text="H">
      <formula>NOT(ISERROR(SEARCH("H",S28)))</formula>
    </cfRule>
    <cfRule type="containsText" dxfId="8050" priority="8638" operator="containsText" text="&quot;H&quot;">
      <formula>NOT(ISERROR(SEARCH("""H""",S28)))</formula>
    </cfRule>
    <cfRule type="containsText" dxfId="8049" priority="8639" operator="containsText" text="&quot;A&quot;">
      <formula>NOT(ISERROR(SEARCH("""A""",S28)))</formula>
    </cfRule>
  </conditionalFormatting>
  <conditionalFormatting sqref="S28:T28">
    <cfRule type="containsText" dxfId="8048" priority="8637" operator="containsText" text="A-H">
      <formula>NOT(ISERROR(SEARCH("A-H",S28)))</formula>
    </cfRule>
  </conditionalFormatting>
  <conditionalFormatting sqref="AB28:AC28">
    <cfRule type="cellIs" dxfId="8047" priority="8616" operator="equal">
      <formula>"C-Off-H"</formula>
    </cfRule>
    <cfRule type="cellIs" dxfId="8046" priority="8617" operator="equal">
      <formula>"C-Off"</formula>
    </cfRule>
    <cfRule type="cellIs" dxfId="8045" priority="8618" operator="equal">
      <formula>"CL-H"</formula>
    </cfRule>
    <cfRule type="cellIs" dxfId="8044" priority="8619" operator="equal">
      <formula>"EL-H"</formula>
    </cfRule>
    <cfRule type="cellIs" dxfId="8043" priority="8620" operator="equal">
      <formula>"CL"</formula>
    </cfRule>
    <cfRule type="cellIs" dxfId="8042" priority="8621" operator="equal">
      <formula>"EL"</formula>
    </cfRule>
  </conditionalFormatting>
  <conditionalFormatting sqref="AB28:AC28">
    <cfRule type="containsText" dxfId="8041" priority="8610" operator="containsText" text="S">
      <formula>NOT(ISERROR(SEARCH("S",AB28)))</formula>
    </cfRule>
    <cfRule type="containsText" dxfId="8040" priority="8611" operator="containsText" text="P">
      <formula>NOT(ISERROR(SEARCH("P",AB28)))</formula>
    </cfRule>
    <cfRule type="containsText" dxfId="8039" priority="8612" operator="containsText" text="H">
      <formula>NOT(ISERROR(SEARCH("H",AB28)))</formula>
    </cfRule>
    <cfRule type="containsText" dxfId="8038" priority="8614" operator="containsText" text="&quot;H&quot;">
      <formula>NOT(ISERROR(SEARCH("""H""",AB28)))</formula>
    </cfRule>
    <cfRule type="containsText" dxfId="8037" priority="8615" operator="containsText" text="&quot;A&quot;">
      <formula>NOT(ISERROR(SEARCH("""A""",AB28)))</formula>
    </cfRule>
  </conditionalFormatting>
  <conditionalFormatting sqref="AB28:AC28">
    <cfRule type="containsText" dxfId="8036" priority="8613" operator="containsText" text="A-H">
      <formula>NOT(ISERROR(SEARCH("A-H",AB28)))</formula>
    </cfRule>
  </conditionalFormatting>
  <conditionalFormatting sqref="AE28">
    <cfRule type="cellIs" dxfId="8035" priority="8604" operator="equal">
      <formula>"C-Off-H"</formula>
    </cfRule>
    <cfRule type="cellIs" dxfId="8034" priority="8605" operator="equal">
      <formula>"C-Off"</formula>
    </cfRule>
    <cfRule type="cellIs" dxfId="8033" priority="8606" operator="equal">
      <formula>"CL-H"</formula>
    </cfRule>
    <cfRule type="cellIs" dxfId="8032" priority="8607" operator="equal">
      <formula>"EL-H"</formula>
    </cfRule>
    <cfRule type="cellIs" dxfId="8031" priority="8608" operator="equal">
      <formula>"CL"</formula>
    </cfRule>
    <cfRule type="cellIs" dxfId="8030" priority="8609" operator="equal">
      <formula>"EL"</formula>
    </cfRule>
  </conditionalFormatting>
  <conditionalFormatting sqref="AE28">
    <cfRule type="containsText" dxfId="8029" priority="8598" operator="containsText" text="S">
      <formula>NOT(ISERROR(SEARCH("S",AE28)))</formula>
    </cfRule>
    <cfRule type="containsText" dxfId="8028" priority="8599" operator="containsText" text="P">
      <formula>NOT(ISERROR(SEARCH("P",AE28)))</formula>
    </cfRule>
    <cfRule type="containsText" dxfId="8027" priority="8600" operator="containsText" text="H">
      <formula>NOT(ISERROR(SEARCH("H",AE28)))</formula>
    </cfRule>
    <cfRule type="containsText" dxfId="8026" priority="8602" operator="containsText" text="&quot;H&quot;">
      <formula>NOT(ISERROR(SEARCH("""H""",AE28)))</formula>
    </cfRule>
    <cfRule type="containsText" dxfId="8025" priority="8603" operator="containsText" text="&quot;A&quot;">
      <formula>NOT(ISERROR(SEARCH("""A""",AE28)))</formula>
    </cfRule>
  </conditionalFormatting>
  <conditionalFormatting sqref="AE28">
    <cfRule type="containsText" dxfId="8024" priority="8601" operator="containsText" text="A-H">
      <formula>NOT(ISERROR(SEARCH("A-H",AE28)))</formula>
    </cfRule>
  </conditionalFormatting>
  <conditionalFormatting sqref="AK28:AL28">
    <cfRule type="cellIs" dxfId="8023" priority="8592" operator="equal">
      <formula>"C-Off-H"</formula>
    </cfRule>
    <cfRule type="cellIs" dxfId="8022" priority="8593" operator="equal">
      <formula>"C-Off"</formula>
    </cfRule>
    <cfRule type="cellIs" dxfId="8021" priority="8594" operator="equal">
      <formula>"CL-H"</formula>
    </cfRule>
    <cfRule type="cellIs" dxfId="8020" priority="8595" operator="equal">
      <formula>"EL-H"</formula>
    </cfRule>
    <cfRule type="cellIs" dxfId="8019" priority="8596" operator="equal">
      <formula>"CL"</formula>
    </cfRule>
    <cfRule type="cellIs" dxfId="8018" priority="8597" operator="equal">
      <formula>"EL"</formula>
    </cfRule>
  </conditionalFormatting>
  <conditionalFormatting sqref="AK28:AL28">
    <cfRule type="containsText" dxfId="8017" priority="8586" operator="containsText" text="S">
      <formula>NOT(ISERROR(SEARCH("S",AK28)))</formula>
    </cfRule>
    <cfRule type="containsText" dxfId="8016" priority="8587" operator="containsText" text="P">
      <formula>NOT(ISERROR(SEARCH("P",AK28)))</formula>
    </cfRule>
    <cfRule type="containsText" dxfId="8015" priority="8588" operator="containsText" text="H">
      <formula>NOT(ISERROR(SEARCH("H",AK28)))</formula>
    </cfRule>
    <cfRule type="containsText" dxfId="8014" priority="8590" operator="containsText" text="&quot;H&quot;">
      <formula>NOT(ISERROR(SEARCH("""H""",AK28)))</formula>
    </cfRule>
    <cfRule type="containsText" dxfId="8013" priority="8591" operator="containsText" text="&quot;A&quot;">
      <formula>NOT(ISERROR(SEARCH("""A""",AK28)))</formula>
    </cfRule>
  </conditionalFormatting>
  <conditionalFormatting sqref="AK28:AL28">
    <cfRule type="containsText" dxfId="8012" priority="8589" operator="containsText" text="A-H">
      <formula>NOT(ISERROR(SEARCH("A-H",AK28)))</formula>
    </cfRule>
  </conditionalFormatting>
  <conditionalFormatting sqref="AN28:AO28">
    <cfRule type="cellIs" dxfId="8011" priority="8580" operator="equal">
      <formula>"C-Off-H"</formula>
    </cfRule>
    <cfRule type="cellIs" dxfId="8010" priority="8581" operator="equal">
      <formula>"C-Off"</formula>
    </cfRule>
    <cfRule type="cellIs" dxfId="8009" priority="8582" operator="equal">
      <formula>"CL-H"</formula>
    </cfRule>
    <cfRule type="cellIs" dxfId="8008" priority="8583" operator="equal">
      <formula>"EL-H"</formula>
    </cfRule>
    <cfRule type="cellIs" dxfId="8007" priority="8584" operator="equal">
      <formula>"CL"</formula>
    </cfRule>
    <cfRule type="cellIs" dxfId="8006" priority="8585" operator="equal">
      <formula>"EL"</formula>
    </cfRule>
  </conditionalFormatting>
  <conditionalFormatting sqref="AN28:AO28">
    <cfRule type="containsText" dxfId="8005" priority="8574" operator="containsText" text="S">
      <formula>NOT(ISERROR(SEARCH("S",AN28)))</formula>
    </cfRule>
    <cfRule type="containsText" dxfId="8004" priority="8575" operator="containsText" text="P">
      <formula>NOT(ISERROR(SEARCH("P",AN28)))</formula>
    </cfRule>
    <cfRule type="containsText" dxfId="8003" priority="8576" operator="containsText" text="H">
      <formula>NOT(ISERROR(SEARCH("H",AN28)))</formula>
    </cfRule>
    <cfRule type="containsText" dxfId="8002" priority="8578" operator="containsText" text="&quot;H&quot;">
      <formula>NOT(ISERROR(SEARCH("""H""",AN28)))</formula>
    </cfRule>
    <cfRule type="containsText" dxfId="8001" priority="8579" operator="containsText" text="&quot;A&quot;">
      <formula>NOT(ISERROR(SEARCH("""A""",AN28)))</formula>
    </cfRule>
  </conditionalFormatting>
  <conditionalFormatting sqref="AN28:AO28">
    <cfRule type="containsText" dxfId="8000" priority="8577" operator="containsText" text="A-H">
      <formula>NOT(ISERROR(SEARCH("A-H",AN28)))</formula>
    </cfRule>
  </conditionalFormatting>
  <conditionalFormatting sqref="AQ28:AR28">
    <cfRule type="cellIs" dxfId="7999" priority="8568" operator="equal">
      <formula>"C-Off-H"</formula>
    </cfRule>
    <cfRule type="cellIs" dxfId="7998" priority="8569" operator="equal">
      <formula>"C-Off"</formula>
    </cfRule>
    <cfRule type="cellIs" dxfId="7997" priority="8570" operator="equal">
      <formula>"CL-H"</formula>
    </cfRule>
    <cfRule type="cellIs" dxfId="7996" priority="8571" operator="equal">
      <formula>"EL-H"</formula>
    </cfRule>
    <cfRule type="cellIs" dxfId="7995" priority="8572" operator="equal">
      <formula>"CL"</formula>
    </cfRule>
    <cfRule type="cellIs" dxfId="7994" priority="8573" operator="equal">
      <formula>"EL"</formula>
    </cfRule>
  </conditionalFormatting>
  <conditionalFormatting sqref="AQ28:AR28">
    <cfRule type="containsText" dxfId="7993" priority="8562" operator="containsText" text="S">
      <formula>NOT(ISERROR(SEARCH("S",AQ28)))</formula>
    </cfRule>
    <cfRule type="containsText" dxfId="7992" priority="8563" operator="containsText" text="P">
      <formula>NOT(ISERROR(SEARCH("P",AQ28)))</formula>
    </cfRule>
    <cfRule type="containsText" dxfId="7991" priority="8564" operator="containsText" text="H">
      <formula>NOT(ISERROR(SEARCH("H",AQ28)))</formula>
    </cfRule>
    <cfRule type="containsText" dxfId="7990" priority="8566" operator="containsText" text="&quot;H&quot;">
      <formula>NOT(ISERROR(SEARCH("""H""",AQ28)))</formula>
    </cfRule>
    <cfRule type="containsText" dxfId="7989" priority="8567" operator="containsText" text="&quot;A&quot;">
      <formula>NOT(ISERROR(SEARCH("""A""",AQ28)))</formula>
    </cfRule>
  </conditionalFormatting>
  <conditionalFormatting sqref="AQ28:AR28">
    <cfRule type="containsText" dxfId="7988" priority="8565" operator="containsText" text="A-H">
      <formula>NOT(ISERROR(SEARCH("A-H",AQ28)))</formula>
    </cfRule>
  </conditionalFormatting>
  <conditionalFormatting sqref="AW28:AX28">
    <cfRule type="cellIs" dxfId="7987" priority="8556" operator="equal">
      <formula>"C-Off-H"</formula>
    </cfRule>
    <cfRule type="cellIs" dxfId="7986" priority="8557" operator="equal">
      <formula>"C-Off"</formula>
    </cfRule>
    <cfRule type="cellIs" dxfId="7985" priority="8558" operator="equal">
      <formula>"CL-H"</formula>
    </cfRule>
    <cfRule type="cellIs" dxfId="7984" priority="8559" operator="equal">
      <formula>"EL-H"</formula>
    </cfRule>
    <cfRule type="cellIs" dxfId="7983" priority="8560" operator="equal">
      <formula>"CL"</formula>
    </cfRule>
    <cfRule type="cellIs" dxfId="7982" priority="8561" operator="equal">
      <formula>"EL"</formula>
    </cfRule>
  </conditionalFormatting>
  <conditionalFormatting sqref="AW28:AX28">
    <cfRule type="containsText" dxfId="7981" priority="8550" operator="containsText" text="S">
      <formula>NOT(ISERROR(SEARCH("S",AW28)))</formula>
    </cfRule>
    <cfRule type="containsText" dxfId="7980" priority="8551" operator="containsText" text="P">
      <formula>NOT(ISERROR(SEARCH("P",AW28)))</formula>
    </cfRule>
    <cfRule type="containsText" dxfId="7979" priority="8552" operator="containsText" text="H">
      <formula>NOT(ISERROR(SEARCH("H",AW28)))</formula>
    </cfRule>
    <cfRule type="containsText" dxfId="7978" priority="8554" operator="containsText" text="&quot;H&quot;">
      <formula>NOT(ISERROR(SEARCH("""H""",AW28)))</formula>
    </cfRule>
    <cfRule type="containsText" dxfId="7977" priority="8555" operator="containsText" text="&quot;A&quot;">
      <formula>NOT(ISERROR(SEARCH("""A""",AW28)))</formula>
    </cfRule>
  </conditionalFormatting>
  <conditionalFormatting sqref="AW28:AX28">
    <cfRule type="containsText" dxfId="7976" priority="8553" operator="containsText" text="A-H">
      <formula>NOT(ISERROR(SEARCH("A-H",AW28)))</formula>
    </cfRule>
  </conditionalFormatting>
  <conditionalFormatting sqref="AZ28:BA28">
    <cfRule type="cellIs" dxfId="7975" priority="8544" operator="equal">
      <formula>"C-Off-H"</formula>
    </cfRule>
    <cfRule type="cellIs" dxfId="7974" priority="8545" operator="equal">
      <formula>"C-Off"</formula>
    </cfRule>
    <cfRule type="cellIs" dxfId="7973" priority="8546" operator="equal">
      <formula>"CL-H"</formula>
    </cfRule>
    <cfRule type="cellIs" dxfId="7972" priority="8547" operator="equal">
      <formula>"EL-H"</formula>
    </cfRule>
    <cfRule type="cellIs" dxfId="7971" priority="8548" operator="equal">
      <formula>"CL"</formula>
    </cfRule>
    <cfRule type="cellIs" dxfId="7970" priority="8549" operator="equal">
      <formula>"EL"</formula>
    </cfRule>
  </conditionalFormatting>
  <conditionalFormatting sqref="AZ28:BA28">
    <cfRule type="containsText" dxfId="7969" priority="8538" operator="containsText" text="S">
      <formula>NOT(ISERROR(SEARCH("S",AZ28)))</formula>
    </cfRule>
    <cfRule type="containsText" dxfId="7968" priority="8539" operator="containsText" text="P">
      <formula>NOT(ISERROR(SEARCH("P",AZ28)))</formula>
    </cfRule>
    <cfRule type="containsText" dxfId="7967" priority="8540" operator="containsText" text="H">
      <formula>NOT(ISERROR(SEARCH("H",AZ28)))</formula>
    </cfRule>
    <cfRule type="containsText" dxfId="7966" priority="8542" operator="containsText" text="&quot;H&quot;">
      <formula>NOT(ISERROR(SEARCH("""H""",AZ28)))</formula>
    </cfRule>
    <cfRule type="containsText" dxfId="7965" priority="8543" operator="containsText" text="&quot;A&quot;">
      <formula>NOT(ISERROR(SEARCH("""A""",AZ28)))</formula>
    </cfRule>
  </conditionalFormatting>
  <conditionalFormatting sqref="AZ28:BA28">
    <cfRule type="containsText" dxfId="7964" priority="8541" operator="containsText" text="A-H">
      <formula>NOT(ISERROR(SEARCH("A-H",AZ28)))</formula>
    </cfRule>
  </conditionalFormatting>
  <conditionalFormatting sqref="BC28:BD28">
    <cfRule type="cellIs" dxfId="7963" priority="8532" operator="equal">
      <formula>"C-Off-H"</formula>
    </cfRule>
    <cfRule type="cellIs" dxfId="7962" priority="8533" operator="equal">
      <formula>"C-Off"</formula>
    </cfRule>
    <cfRule type="cellIs" dxfId="7961" priority="8534" operator="equal">
      <formula>"CL-H"</formula>
    </cfRule>
    <cfRule type="cellIs" dxfId="7960" priority="8535" operator="equal">
      <formula>"EL-H"</formula>
    </cfRule>
    <cfRule type="cellIs" dxfId="7959" priority="8536" operator="equal">
      <formula>"CL"</formula>
    </cfRule>
    <cfRule type="cellIs" dxfId="7958" priority="8537" operator="equal">
      <formula>"EL"</formula>
    </cfRule>
  </conditionalFormatting>
  <conditionalFormatting sqref="BC28:BD28">
    <cfRule type="containsText" dxfId="7957" priority="8526" operator="containsText" text="S">
      <formula>NOT(ISERROR(SEARCH("S",BC28)))</formula>
    </cfRule>
    <cfRule type="containsText" dxfId="7956" priority="8527" operator="containsText" text="P">
      <formula>NOT(ISERROR(SEARCH("P",BC28)))</formula>
    </cfRule>
    <cfRule type="containsText" dxfId="7955" priority="8528" operator="containsText" text="H">
      <formula>NOT(ISERROR(SEARCH("H",BC28)))</formula>
    </cfRule>
    <cfRule type="containsText" dxfId="7954" priority="8530" operator="containsText" text="&quot;H&quot;">
      <formula>NOT(ISERROR(SEARCH("""H""",BC28)))</formula>
    </cfRule>
    <cfRule type="containsText" dxfId="7953" priority="8531" operator="containsText" text="&quot;A&quot;">
      <formula>NOT(ISERROR(SEARCH("""A""",BC28)))</formula>
    </cfRule>
  </conditionalFormatting>
  <conditionalFormatting sqref="BC28:BD28">
    <cfRule type="containsText" dxfId="7952" priority="8529" operator="containsText" text="A-H">
      <formula>NOT(ISERROR(SEARCH("A-H",BC28)))</formula>
    </cfRule>
  </conditionalFormatting>
  <conditionalFormatting sqref="BF28:BG28">
    <cfRule type="cellIs" dxfId="7951" priority="8520" operator="equal">
      <formula>"C-Off-H"</formula>
    </cfRule>
    <cfRule type="cellIs" dxfId="7950" priority="8521" operator="equal">
      <formula>"C-Off"</formula>
    </cfRule>
    <cfRule type="cellIs" dxfId="7949" priority="8522" operator="equal">
      <formula>"CL-H"</formula>
    </cfRule>
    <cfRule type="cellIs" dxfId="7948" priority="8523" operator="equal">
      <formula>"EL-H"</formula>
    </cfRule>
    <cfRule type="cellIs" dxfId="7947" priority="8524" operator="equal">
      <formula>"CL"</formula>
    </cfRule>
    <cfRule type="cellIs" dxfId="7946" priority="8525" operator="equal">
      <formula>"EL"</formula>
    </cfRule>
  </conditionalFormatting>
  <conditionalFormatting sqref="BF28:BG28">
    <cfRule type="containsText" dxfId="7945" priority="8514" operator="containsText" text="S">
      <formula>NOT(ISERROR(SEARCH("S",BF28)))</formula>
    </cfRule>
    <cfRule type="containsText" dxfId="7944" priority="8515" operator="containsText" text="P">
      <formula>NOT(ISERROR(SEARCH("P",BF28)))</formula>
    </cfRule>
    <cfRule type="containsText" dxfId="7943" priority="8516" operator="containsText" text="H">
      <formula>NOT(ISERROR(SEARCH("H",BF28)))</formula>
    </cfRule>
    <cfRule type="containsText" dxfId="7942" priority="8518" operator="containsText" text="&quot;H&quot;">
      <formula>NOT(ISERROR(SEARCH("""H""",BF28)))</formula>
    </cfRule>
    <cfRule type="containsText" dxfId="7941" priority="8519" operator="containsText" text="&quot;A&quot;">
      <formula>NOT(ISERROR(SEARCH("""A""",BF28)))</formula>
    </cfRule>
  </conditionalFormatting>
  <conditionalFormatting sqref="BF28:BG28">
    <cfRule type="containsText" dxfId="7940" priority="8517" operator="containsText" text="A-H">
      <formula>NOT(ISERROR(SEARCH("A-H",BF28)))</formula>
    </cfRule>
  </conditionalFormatting>
  <conditionalFormatting sqref="BI28:BJ28">
    <cfRule type="cellIs" dxfId="7939" priority="8508" operator="equal">
      <formula>"C-Off-H"</formula>
    </cfRule>
    <cfRule type="cellIs" dxfId="7938" priority="8509" operator="equal">
      <formula>"C-Off"</formula>
    </cfRule>
    <cfRule type="cellIs" dxfId="7937" priority="8510" operator="equal">
      <formula>"CL-H"</formula>
    </cfRule>
    <cfRule type="cellIs" dxfId="7936" priority="8511" operator="equal">
      <formula>"EL-H"</formula>
    </cfRule>
    <cfRule type="cellIs" dxfId="7935" priority="8512" operator="equal">
      <formula>"CL"</formula>
    </cfRule>
    <cfRule type="cellIs" dxfId="7934" priority="8513" operator="equal">
      <formula>"EL"</formula>
    </cfRule>
  </conditionalFormatting>
  <conditionalFormatting sqref="BI28:BJ28">
    <cfRule type="containsText" dxfId="7933" priority="8502" operator="containsText" text="S">
      <formula>NOT(ISERROR(SEARCH("S",BI28)))</formula>
    </cfRule>
    <cfRule type="containsText" dxfId="7932" priority="8503" operator="containsText" text="P">
      <formula>NOT(ISERROR(SEARCH("P",BI28)))</formula>
    </cfRule>
    <cfRule type="containsText" dxfId="7931" priority="8504" operator="containsText" text="H">
      <formula>NOT(ISERROR(SEARCH("H",BI28)))</formula>
    </cfRule>
    <cfRule type="containsText" dxfId="7930" priority="8506" operator="containsText" text="&quot;H&quot;">
      <formula>NOT(ISERROR(SEARCH("""H""",BI28)))</formula>
    </cfRule>
    <cfRule type="containsText" dxfId="7929" priority="8507" operator="containsText" text="&quot;A&quot;">
      <formula>NOT(ISERROR(SEARCH("""A""",BI28)))</formula>
    </cfRule>
  </conditionalFormatting>
  <conditionalFormatting sqref="BI28:BJ28">
    <cfRule type="containsText" dxfId="7928" priority="8505" operator="containsText" text="A-H">
      <formula>NOT(ISERROR(SEARCH("A-H",BI28)))</formula>
    </cfRule>
  </conditionalFormatting>
  <conditionalFormatting sqref="BL28:BM28">
    <cfRule type="cellIs" dxfId="7927" priority="8496" operator="equal">
      <formula>"C-Off-H"</formula>
    </cfRule>
    <cfRule type="cellIs" dxfId="7926" priority="8497" operator="equal">
      <formula>"C-Off"</formula>
    </cfRule>
    <cfRule type="cellIs" dxfId="7925" priority="8498" operator="equal">
      <formula>"CL-H"</formula>
    </cfRule>
    <cfRule type="cellIs" dxfId="7924" priority="8499" operator="equal">
      <formula>"EL-H"</formula>
    </cfRule>
    <cfRule type="cellIs" dxfId="7923" priority="8500" operator="equal">
      <formula>"CL"</formula>
    </cfRule>
    <cfRule type="cellIs" dxfId="7922" priority="8501" operator="equal">
      <formula>"EL"</formula>
    </cfRule>
  </conditionalFormatting>
  <conditionalFormatting sqref="BL28:BM28">
    <cfRule type="containsText" dxfId="7921" priority="8490" operator="containsText" text="S">
      <formula>NOT(ISERROR(SEARCH("S",BL28)))</formula>
    </cfRule>
    <cfRule type="containsText" dxfId="7920" priority="8491" operator="containsText" text="P">
      <formula>NOT(ISERROR(SEARCH("P",BL28)))</formula>
    </cfRule>
    <cfRule type="containsText" dxfId="7919" priority="8492" operator="containsText" text="H">
      <formula>NOT(ISERROR(SEARCH("H",BL28)))</formula>
    </cfRule>
    <cfRule type="containsText" dxfId="7918" priority="8494" operator="containsText" text="&quot;H&quot;">
      <formula>NOT(ISERROR(SEARCH("""H""",BL28)))</formula>
    </cfRule>
    <cfRule type="containsText" dxfId="7917" priority="8495" operator="containsText" text="&quot;A&quot;">
      <formula>NOT(ISERROR(SEARCH("""A""",BL28)))</formula>
    </cfRule>
  </conditionalFormatting>
  <conditionalFormatting sqref="BL28:BM28">
    <cfRule type="containsText" dxfId="7916" priority="8493" operator="containsText" text="A-H">
      <formula>NOT(ISERROR(SEARCH("A-H",BL28)))</formula>
    </cfRule>
  </conditionalFormatting>
  <conditionalFormatting sqref="BR28:BS28">
    <cfRule type="cellIs" dxfId="7915" priority="8484" operator="equal">
      <formula>"C-Off-H"</formula>
    </cfRule>
    <cfRule type="cellIs" dxfId="7914" priority="8485" operator="equal">
      <formula>"C-Off"</formula>
    </cfRule>
    <cfRule type="cellIs" dxfId="7913" priority="8486" operator="equal">
      <formula>"CL-H"</formula>
    </cfRule>
    <cfRule type="cellIs" dxfId="7912" priority="8487" operator="equal">
      <formula>"EL-H"</formula>
    </cfRule>
    <cfRule type="cellIs" dxfId="7911" priority="8488" operator="equal">
      <formula>"CL"</formula>
    </cfRule>
    <cfRule type="cellIs" dxfId="7910" priority="8489" operator="equal">
      <formula>"EL"</formula>
    </cfRule>
  </conditionalFormatting>
  <conditionalFormatting sqref="BR28:BS28">
    <cfRule type="containsText" dxfId="7909" priority="8478" operator="containsText" text="S">
      <formula>NOT(ISERROR(SEARCH("S",BR28)))</formula>
    </cfRule>
    <cfRule type="containsText" dxfId="7908" priority="8479" operator="containsText" text="P">
      <formula>NOT(ISERROR(SEARCH("P",BR28)))</formula>
    </cfRule>
    <cfRule type="containsText" dxfId="7907" priority="8480" operator="containsText" text="H">
      <formula>NOT(ISERROR(SEARCH("H",BR28)))</formula>
    </cfRule>
    <cfRule type="containsText" dxfId="7906" priority="8482" operator="containsText" text="&quot;H&quot;">
      <formula>NOT(ISERROR(SEARCH("""H""",BR28)))</formula>
    </cfRule>
    <cfRule type="containsText" dxfId="7905" priority="8483" operator="containsText" text="&quot;A&quot;">
      <formula>NOT(ISERROR(SEARCH("""A""",BR28)))</formula>
    </cfRule>
  </conditionalFormatting>
  <conditionalFormatting sqref="BR28:BS28">
    <cfRule type="containsText" dxfId="7904" priority="8481" operator="containsText" text="A-H">
      <formula>NOT(ISERROR(SEARCH("A-H",BR28)))</formula>
    </cfRule>
  </conditionalFormatting>
  <conditionalFormatting sqref="BU28:BV28">
    <cfRule type="cellIs" dxfId="7903" priority="8472" operator="equal">
      <formula>"C-Off-H"</formula>
    </cfRule>
    <cfRule type="cellIs" dxfId="7902" priority="8473" operator="equal">
      <formula>"C-Off"</formula>
    </cfRule>
    <cfRule type="cellIs" dxfId="7901" priority="8474" operator="equal">
      <formula>"CL-H"</formula>
    </cfRule>
    <cfRule type="cellIs" dxfId="7900" priority="8475" operator="equal">
      <formula>"EL-H"</formula>
    </cfRule>
    <cfRule type="cellIs" dxfId="7899" priority="8476" operator="equal">
      <formula>"CL"</formula>
    </cfRule>
    <cfRule type="cellIs" dxfId="7898" priority="8477" operator="equal">
      <formula>"EL"</formula>
    </cfRule>
  </conditionalFormatting>
  <conditionalFormatting sqref="BU28:BV28">
    <cfRule type="containsText" dxfId="7897" priority="8466" operator="containsText" text="S">
      <formula>NOT(ISERROR(SEARCH("S",BU28)))</formula>
    </cfRule>
    <cfRule type="containsText" dxfId="7896" priority="8467" operator="containsText" text="P">
      <formula>NOT(ISERROR(SEARCH("P",BU28)))</formula>
    </cfRule>
    <cfRule type="containsText" dxfId="7895" priority="8468" operator="containsText" text="H">
      <formula>NOT(ISERROR(SEARCH("H",BU28)))</formula>
    </cfRule>
    <cfRule type="containsText" dxfId="7894" priority="8470" operator="containsText" text="&quot;H&quot;">
      <formula>NOT(ISERROR(SEARCH("""H""",BU28)))</formula>
    </cfRule>
    <cfRule type="containsText" dxfId="7893" priority="8471" operator="containsText" text="&quot;A&quot;">
      <formula>NOT(ISERROR(SEARCH("""A""",BU28)))</formula>
    </cfRule>
  </conditionalFormatting>
  <conditionalFormatting sqref="BU28:BV28">
    <cfRule type="containsText" dxfId="7892" priority="8469" operator="containsText" text="A-H">
      <formula>NOT(ISERROR(SEARCH("A-H",BU28)))</formula>
    </cfRule>
  </conditionalFormatting>
  <conditionalFormatting sqref="BY28">
    <cfRule type="cellIs" dxfId="7891" priority="8460" operator="equal">
      <formula>"C-Off-H"</formula>
    </cfRule>
    <cfRule type="cellIs" dxfId="7890" priority="8461" operator="equal">
      <formula>"C-Off"</formula>
    </cfRule>
    <cfRule type="cellIs" dxfId="7889" priority="8462" operator="equal">
      <formula>"CL-H"</formula>
    </cfRule>
    <cfRule type="cellIs" dxfId="7888" priority="8463" operator="equal">
      <formula>"EL-H"</formula>
    </cfRule>
    <cfRule type="cellIs" dxfId="7887" priority="8464" operator="equal">
      <formula>"CL"</formula>
    </cfRule>
    <cfRule type="cellIs" dxfId="7886" priority="8465" operator="equal">
      <formula>"EL"</formula>
    </cfRule>
  </conditionalFormatting>
  <conditionalFormatting sqref="BY28">
    <cfRule type="containsText" dxfId="7885" priority="8454" operator="containsText" text="S">
      <formula>NOT(ISERROR(SEARCH("S",BY28)))</formula>
    </cfRule>
    <cfRule type="containsText" dxfId="7884" priority="8455" operator="containsText" text="P">
      <formula>NOT(ISERROR(SEARCH("P",BY28)))</formula>
    </cfRule>
    <cfRule type="containsText" dxfId="7883" priority="8456" operator="containsText" text="H">
      <formula>NOT(ISERROR(SEARCH("H",BY28)))</formula>
    </cfRule>
    <cfRule type="containsText" dxfId="7882" priority="8458" operator="containsText" text="&quot;H&quot;">
      <formula>NOT(ISERROR(SEARCH("""H""",BY28)))</formula>
    </cfRule>
    <cfRule type="containsText" dxfId="7881" priority="8459" operator="containsText" text="&quot;A&quot;">
      <formula>NOT(ISERROR(SEARCH("""A""",BY28)))</formula>
    </cfRule>
  </conditionalFormatting>
  <conditionalFormatting sqref="BY28">
    <cfRule type="containsText" dxfId="7880" priority="8457" operator="containsText" text="A-H">
      <formula>NOT(ISERROR(SEARCH("A-H",BY28)))</formula>
    </cfRule>
  </conditionalFormatting>
  <conditionalFormatting sqref="BX28">
    <cfRule type="cellIs" dxfId="7879" priority="8448" operator="equal">
      <formula>"C-Off-H"</formula>
    </cfRule>
    <cfRule type="cellIs" dxfId="7878" priority="8449" operator="equal">
      <formula>"C-Off"</formula>
    </cfRule>
    <cfRule type="cellIs" dxfId="7877" priority="8450" operator="equal">
      <formula>"CL-H"</formula>
    </cfRule>
    <cfRule type="cellIs" dxfId="7876" priority="8451" operator="equal">
      <formula>"EL-H"</formula>
    </cfRule>
    <cfRule type="cellIs" dxfId="7875" priority="8452" operator="equal">
      <formula>"CL"</formula>
    </cfRule>
    <cfRule type="cellIs" dxfId="7874" priority="8453" operator="equal">
      <formula>"EL"</formula>
    </cfRule>
  </conditionalFormatting>
  <conditionalFormatting sqref="BX28">
    <cfRule type="containsText" dxfId="7873" priority="8442" operator="containsText" text="S">
      <formula>NOT(ISERROR(SEARCH("S",BX28)))</formula>
    </cfRule>
    <cfRule type="containsText" dxfId="7872" priority="8443" operator="containsText" text="P">
      <formula>NOT(ISERROR(SEARCH("P",BX28)))</formula>
    </cfRule>
    <cfRule type="containsText" dxfId="7871" priority="8444" operator="containsText" text="H">
      <formula>NOT(ISERROR(SEARCH("H",BX28)))</formula>
    </cfRule>
    <cfRule type="containsText" dxfId="7870" priority="8446" operator="containsText" text="&quot;H&quot;">
      <formula>NOT(ISERROR(SEARCH("""H""",BX28)))</formula>
    </cfRule>
    <cfRule type="containsText" dxfId="7869" priority="8447" operator="containsText" text="&quot;A&quot;">
      <formula>NOT(ISERROR(SEARCH("""A""",BX28)))</formula>
    </cfRule>
  </conditionalFormatting>
  <conditionalFormatting sqref="BX28">
    <cfRule type="containsText" dxfId="7868" priority="8445" operator="containsText" text="A-H">
      <formula>NOT(ISERROR(SEARCH("A-H",BX28)))</formula>
    </cfRule>
  </conditionalFormatting>
  <conditionalFormatting sqref="J28">
    <cfRule type="cellIs" dxfId="7867" priority="8436" operator="equal">
      <formula>"C-Off-H"</formula>
    </cfRule>
    <cfRule type="cellIs" dxfId="7866" priority="8437" operator="equal">
      <formula>"C-Off"</formula>
    </cfRule>
    <cfRule type="cellIs" dxfId="7865" priority="8438" operator="equal">
      <formula>"CL-H"</formula>
    </cfRule>
    <cfRule type="cellIs" dxfId="7864" priority="8439" operator="equal">
      <formula>"EL-H"</formula>
    </cfRule>
    <cfRule type="cellIs" dxfId="7863" priority="8440" operator="equal">
      <formula>"CL"</formula>
    </cfRule>
    <cfRule type="cellIs" dxfId="7862" priority="8441" operator="equal">
      <formula>"EL"</formula>
    </cfRule>
  </conditionalFormatting>
  <conditionalFormatting sqref="J28">
    <cfRule type="containsText" dxfId="7861" priority="8430" operator="containsText" text="S">
      <formula>NOT(ISERROR(SEARCH("S",J28)))</formula>
    </cfRule>
    <cfRule type="containsText" dxfId="7860" priority="8431" operator="containsText" text="P">
      <formula>NOT(ISERROR(SEARCH("P",J28)))</formula>
    </cfRule>
    <cfRule type="containsText" dxfId="7859" priority="8432" operator="containsText" text="H">
      <formula>NOT(ISERROR(SEARCH("H",J28)))</formula>
    </cfRule>
    <cfRule type="containsText" dxfId="7858" priority="8434" operator="containsText" text="&quot;H&quot;">
      <formula>NOT(ISERROR(SEARCH("""H""",J28)))</formula>
    </cfRule>
    <cfRule type="containsText" dxfId="7857" priority="8435" operator="containsText" text="&quot;A&quot;">
      <formula>NOT(ISERROR(SEARCH("""A""",J28)))</formula>
    </cfRule>
  </conditionalFormatting>
  <conditionalFormatting sqref="J28">
    <cfRule type="containsText" dxfId="7856" priority="8433" operator="containsText" text="A-H">
      <formula>NOT(ISERROR(SEARCH("A-H",J28)))</formula>
    </cfRule>
  </conditionalFormatting>
  <conditionalFormatting sqref="CN30">
    <cfRule type="cellIs" dxfId="7855" priority="8424" operator="equal">
      <formula>"C-Off-H"</formula>
    </cfRule>
    <cfRule type="cellIs" dxfId="7854" priority="8425" operator="equal">
      <formula>"C-Off"</formula>
    </cfRule>
    <cfRule type="cellIs" dxfId="7853" priority="8426" operator="equal">
      <formula>"CL-H"</formula>
    </cfRule>
    <cfRule type="cellIs" dxfId="7852" priority="8427" operator="equal">
      <formula>"EL-H"</formula>
    </cfRule>
    <cfRule type="cellIs" dxfId="7851" priority="8428" operator="equal">
      <formula>"CL"</formula>
    </cfRule>
    <cfRule type="cellIs" dxfId="7850" priority="8429" operator="equal">
      <formula>"EL"</formula>
    </cfRule>
  </conditionalFormatting>
  <conditionalFormatting sqref="CN30">
    <cfRule type="containsText" dxfId="7849" priority="8423" operator="containsText" text="A-H">
      <formula>NOT(ISERROR(SEARCH("A-H",CN30)))</formula>
    </cfRule>
  </conditionalFormatting>
  <conditionalFormatting sqref="CN30">
    <cfRule type="containsText" dxfId="7848" priority="8422" operator="containsText" text="A">
      <formula>NOT(ISERROR(SEARCH("A",CN30)))</formula>
    </cfRule>
  </conditionalFormatting>
  <conditionalFormatting sqref="CN30">
    <cfRule type="containsText" dxfId="7847" priority="8417" operator="containsText" text="S">
      <formula>NOT(ISERROR(SEARCH("S",CN30)))</formula>
    </cfRule>
    <cfRule type="containsText" dxfId="7846" priority="8418" operator="containsText" text="P">
      <formula>NOT(ISERROR(SEARCH("P",CN30)))</formula>
    </cfRule>
    <cfRule type="containsText" dxfId="7845" priority="8419" operator="containsText" text="H">
      <formula>NOT(ISERROR(SEARCH("H",CN30)))</formula>
    </cfRule>
    <cfRule type="containsText" dxfId="7844" priority="8420" operator="containsText" text="&quot;H&quot;">
      <formula>NOT(ISERROR(SEARCH("""H""",CN30)))</formula>
    </cfRule>
    <cfRule type="containsText" dxfId="7843" priority="8421" operator="containsText" text="&quot;A&quot;">
      <formula>NOT(ISERROR(SEARCH("""A""",CN30)))</formula>
    </cfRule>
  </conditionalFormatting>
  <conditionalFormatting sqref="CA29:CB29">
    <cfRule type="cellIs" dxfId="7842" priority="8411" operator="equal">
      <formula>"C-Off-H"</formula>
    </cfRule>
    <cfRule type="cellIs" dxfId="7841" priority="8412" operator="equal">
      <formula>"C-Off"</formula>
    </cfRule>
    <cfRule type="cellIs" dxfId="7840" priority="8413" operator="equal">
      <formula>"CL-H"</formula>
    </cfRule>
    <cfRule type="cellIs" dxfId="7839" priority="8414" operator="equal">
      <formula>"EL-H"</formula>
    </cfRule>
    <cfRule type="cellIs" dxfId="7838" priority="8415" operator="equal">
      <formula>"CL"</formula>
    </cfRule>
    <cfRule type="cellIs" dxfId="7837" priority="8416" operator="equal">
      <formula>"EL"</formula>
    </cfRule>
  </conditionalFormatting>
  <conditionalFormatting sqref="CA29:CB29">
    <cfRule type="containsText" dxfId="7836" priority="8405" operator="containsText" text="S">
      <formula>NOT(ISERROR(SEARCH("S",CA29)))</formula>
    </cfRule>
    <cfRule type="containsText" dxfId="7835" priority="8406" operator="containsText" text="P">
      <formula>NOT(ISERROR(SEARCH("P",CA29)))</formula>
    </cfRule>
    <cfRule type="containsText" dxfId="7834" priority="8407" operator="containsText" text="H">
      <formula>NOT(ISERROR(SEARCH("H",CA29)))</formula>
    </cfRule>
    <cfRule type="containsText" dxfId="7833" priority="8409" operator="containsText" text="&quot;H&quot;">
      <formula>NOT(ISERROR(SEARCH("""H""",CA29)))</formula>
    </cfRule>
    <cfRule type="containsText" dxfId="7832" priority="8410" operator="containsText" text="&quot;A&quot;">
      <formula>NOT(ISERROR(SEARCH("""A""",CA29)))</formula>
    </cfRule>
  </conditionalFormatting>
  <conditionalFormatting sqref="CA29:CB29">
    <cfRule type="containsText" dxfId="7831" priority="8408" operator="containsText" text="A-H">
      <formula>NOT(ISERROR(SEARCH("A-H",CA29)))</formula>
    </cfRule>
  </conditionalFormatting>
  <conditionalFormatting sqref="CD29:CE29">
    <cfRule type="cellIs" dxfId="7830" priority="8399" operator="equal">
      <formula>"C-Off-H"</formula>
    </cfRule>
    <cfRule type="cellIs" dxfId="7829" priority="8400" operator="equal">
      <formula>"C-Off"</formula>
    </cfRule>
    <cfRule type="cellIs" dxfId="7828" priority="8401" operator="equal">
      <formula>"CL-H"</formula>
    </cfRule>
    <cfRule type="cellIs" dxfId="7827" priority="8402" operator="equal">
      <formula>"EL-H"</formula>
    </cfRule>
    <cfRule type="cellIs" dxfId="7826" priority="8403" operator="equal">
      <formula>"CL"</formula>
    </cfRule>
    <cfRule type="cellIs" dxfId="7825" priority="8404" operator="equal">
      <formula>"EL"</formula>
    </cfRule>
  </conditionalFormatting>
  <conditionalFormatting sqref="CD29:CE29">
    <cfRule type="containsText" dxfId="7824" priority="8393" operator="containsText" text="S">
      <formula>NOT(ISERROR(SEARCH("S",CD29)))</formula>
    </cfRule>
    <cfRule type="containsText" dxfId="7823" priority="8394" operator="containsText" text="P">
      <formula>NOT(ISERROR(SEARCH("P",CD29)))</formula>
    </cfRule>
    <cfRule type="containsText" dxfId="7822" priority="8395" operator="containsText" text="H">
      <formula>NOT(ISERROR(SEARCH("H",CD29)))</formula>
    </cfRule>
    <cfRule type="containsText" dxfId="7821" priority="8397" operator="containsText" text="&quot;H&quot;">
      <formula>NOT(ISERROR(SEARCH("""H""",CD29)))</formula>
    </cfRule>
    <cfRule type="containsText" dxfId="7820" priority="8398" operator="containsText" text="&quot;A&quot;">
      <formula>NOT(ISERROR(SEARCH("""A""",CD29)))</formula>
    </cfRule>
  </conditionalFormatting>
  <conditionalFormatting sqref="CD29:CE29">
    <cfRule type="containsText" dxfId="7819" priority="8396" operator="containsText" text="A-H">
      <formula>NOT(ISERROR(SEARCH("A-H",CD29)))</formula>
    </cfRule>
  </conditionalFormatting>
  <conditionalFormatting sqref="CH29">
    <cfRule type="cellIs" dxfId="7818" priority="8387" operator="equal">
      <formula>"C-Off-H"</formula>
    </cfRule>
    <cfRule type="cellIs" dxfId="7817" priority="8388" operator="equal">
      <formula>"C-Off"</formula>
    </cfRule>
    <cfRule type="cellIs" dxfId="7816" priority="8389" operator="equal">
      <formula>"CL-H"</formula>
    </cfRule>
    <cfRule type="cellIs" dxfId="7815" priority="8390" operator="equal">
      <formula>"EL-H"</formula>
    </cfRule>
    <cfRule type="cellIs" dxfId="7814" priority="8391" operator="equal">
      <formula>"CL"</formula>
    </cfRule>
    <cfRule type="cellIs" dxfId="7813" priority="8392" operator="equal">
      <formula>"EL"</formula>
    </cfRule>
  </conditionalFormatting>
  <conditionalFormatting sqref="CH29">
    <cfRule type="containsText" dxfId="7812" priority="8381" operator="containsText" text="S">
      <formula>NOT(ISERROR(SEARCH("S",CH29)))</formula>
    </cfRule>
    <cfRule type="containsText" dxfId="7811" priority="8382" operator="containsText" text="P">
      <formula>NOT(ISERROR(SEARCH("P",CH29)))</formula>
    </cfRule>
    <cfRule type="containsText" dxfId="7810" priority="8383" operator="containsText" text="H">
      <formula>NOT(ISERROR(SEARCH("H",CH29)))</formula>
    </cfRule>
    <cfRule type="containsText" dxfId="7809" priority="8385" operator="containsText" text="&quot;H&quot;">
      <formula>NOT(ISERROR(SEARCH("""H""",CH29)))</formula>
    </cfRule>
    <cfRule type="containsText" dxfId="7808" priority="8386" operator="containsText" text="&quot;A&quot;">
      <formula>NOT(ISERROR(SEARCH("""A""",CH29)))</formula>
    </cfRule>
  </conditionalFormatting>
  <conditionalFormatting sqref="CH29">
    <cfRule type="containsText" dxfId="7807" priority="8384" operator="containsText" text="A-H">
      <formula>NOT(ISERROR(SEARCH("A-H",CH29)))</formula>
    </cfRule>
  </conditionalFormatting>
  <conditionalFormatting sqref="CG29">
    <cfRule type="cellIs" dxfId="7806" priority="8375" operator="equal">
      <formula>"C-Off-H"</formula>
    </cfRule>
    <cfRule type="cellIs" dxfId="7805" priority="8376" operator="equal">
      <formula>"C-Off"</formula>
    </cfRule>
    <cfRule type="cellIs" dxfId="7804" priority="8377" operator="equal">
      <formula>"CL-H"</formula>
    </cfRule>
    <cfRule type="cellIs" dxfId="7803" priority="8378" operator="equal">
      <formula>"EL-H"</formula>
    </cfRule>
    <cfRule type="cellIs" dxfId="7802" priority="8379" operator="equal">
      <formula>"CL"</formula>
    </cfRule>
    <cfRule type="cellIs" dxfId="7801" priority="8380" operator="equal">
      <formula>"EL"</formula>
    </cfRule>
  </conditionalFormatting>
  <conditionalFormatting sqref="CG29">
    <cfRule type="containsText" dxfId="7800" priority="8369" operator="containsText" text="S">
      <formula>NOT(ISERROR(SEARCH("S",CG29)))</formula>
    </cfRule>
    <cfRule type="containsText" dxfId="7799" priority="8370" operator="containsText" text="P">
      <formula>NOT(ISERROR(SEARCH("P",CG29)))</formula>
    </cfRule>
    <cfRule type="containsText" dxfId="7798" priority="8371" operator="containsText" text="H">
      <formula>NOT(ISERROR(SEARCH("H",CG29)))</formula>
    </cfRule>
    <cfRule type="containsText" dxfId="7797" priority="8373" operator="containsText" text="&quot;H&quot;">
      <formula>NOT(ISERROR(SEARCH("""H""",CG29)))</formula>
    </cfRule>
    <cfRule type="containsText" dxfId="7796" priority="8374" operator="containsText" text="&quot;A&quot;">
      <formula>NOT(ISERROR(SEARCH("""A""",CG29)))</formula>
    </cfRule>
  </conditionalFormatting>
  <conditionalFormatting sqref="CG29">
    <cfRule type="containsText" dxfId="7795" priority="8372" operator="containsText" text="A-H">
      <formula>NOT(ISERROR(SEARCH("A-H",CG29)))</formula>
    </cfRule>
  </conditionalFormatting>
  <conditionalFormatting sqref="CA30:CB30">
    <cfRule type="cellIs" dxfId="7794" priority="8363" operator="equal">
      <formula>"C-Off-H"</formula>
    </cfRule>
    <cfRule type="cellIs" dxfId="7793" priority="8364" operator="equal">
      <formula>"C-Off"</formula>
    </cfRule>
    <cfRule type="cellIs" dxfId="7792" priority="8365" operator="equal">
      <formula>"CL-H"</formula>
    </cfRule>
    <cfRule type="cellIs" dxfId="7791" priority="8366" operator="equal">
      <formula>"EL-H"</formula>
    </cfRule>
    <cfRule type="cellIs" dxfId="7790" priority="8367" operator="equal">
      <formula>"CL"</formula>
    </cfRule>
    <cfRule type="cellIs" dxfId="7789" priority="8368" operator="equal">
      <formula>"EL"</formula>
    </cfRule>
  </conditionalFormatting>
  <conditionalFormatting sqref="CA30:CB30">
    <cfRule type="containsText" dxfId="7788" priority="8357" operator="containsText" text="S">
      <formula>NOT(ISERROR(SEARCH("S",CA30)))</formula>
    </cfRule>
    <cfRule type="containsText" dxfId="7787" priority="8358" operator="containsText" text="P">
      <formula>NOT(ISERROR(SEARCH("P",CA30)))</formula>
    </cfRule>
    <cfRule type="containsText" dxfId="7786" priority="8359" operator="containsText" text="H">
      <formula>NOT(ISERROR(SEARCH("H",CA30)))</formula>
    </cfRule>
    <cfRule type="containsText" dxfId="7785" priority="8361" operator="containsText" text="&quot;H&quot;">
      <formula>NOT(ISERROR(SEARCH("""H""",CA30)))</formula>
    </cfRule>
    <cfRule type="containsText" dxfId="7784" priority="8362" operator="containsText" text="&quot;A&quot;">
      <formula>NOT(ISERROR(SEARCH("""A""",CA30)))</formula>
    </cfRule>
  </conditionalFormatting>
  <conditionalFormatting sqref="CA30:CB30">
    <cfRule type="containsText" dxfId="7783" priority="8360" operator="containsText" text="A-H">
      <formula>NOT(ISERROR(SEARCH("A-H",CA30)))</formula>
    </cfRule>
  </conditionalFormatting>
  <conditionalFormatting sqref="CD30:CE30">
    <cfRule type="cellIs" dxfId="7782" priority="8351" operator="equal">
      <formula>"C-Off-H"</formula>
    </cfRule>
    <cfRule type="cellIs" dxfId="7781" priority="8352" operator="equal">
      <formula>"C-Off"</formula>
    </cfRule>
    <cfRule type="cellIs" dxfId="7780" priority="8353" operator="equal">
      <formula>"CL-H"</formula>
    </cfRule>
    <cfRule type="cellIs" dxfId="7779" priority="8354" operator="equal">
      <formula>"EL-H"</formula>
    </cfRule>
    <cfRule type="cellIs" dxfId="7778" priority="8355" operator="equal">
      <formula>"CL"</formula>
    </cfRule>
    <cfRule type="cellIs" dxfId="7777" priority="8356" operator="equal">
      <formula>"EL"</formula>
    </cfRule>
  </conditionalFormatting>
  <conditionalFormatting sqref="CD30:CE30">
    <cfRule type="containsText" dxfId="7776" priority="8345" operator="containsText" text="S">
      <formula>NOT(ISERROR(SEARCH("S",CD30)))</formula>
    </cfRule>
    <cfRule type="containsText" dxfId="7775" priority="8346" operator="containsText" text="P">
      <formula>NOT(ISERROR(SEARCH("P",CD30)))</formula>
    </cfRule>
    <cfRule type="containsText" dxfId="7774" priority="8347" operator="containsText" text="H">
      <formula>NOT(ISERROR(SEARCH("H",CD30)))</formula>
    </cfRule>
    <cfRule type="containsText" dxfId="7773" priority="8349" operator="containsText" text="&quot;H&quot;">
      <formula>NOT(ISERROR(SEARCH("""H""",CD30)))</formula>
    </cfRule>
    <cfRule type="containsText" dxfId="7772" priority="8350" operator="containsText" text="&quot;A&quot;">
      <formula>NOT(ISERROR(SEARCH("""A""",CD30)))</formula>
    </cfRule>
  </conditionalFormatting>
  <conditionalFormatting sqref="CD30:CE30">
    <cfRule type="containsText" dxfId="7771" priority="8348" operator="containsText" text="A-H">
      <formula>NOT(ISERROR(SEARCH("A-H",CD30)))</formula>
    </cfRule>
  </conditionalFormatting>
  <conditionalFormatting sqref="CH30">
    <cfRule type="cellIs" dxfId="7770" priority="8339" operator="equal">
      <formula>"C-Off-H"</formula>
    </cfRule>
    <cfRule type="cellIs" dxfId="7769" priority="8340" operator="equal">
      <formula>"C-Off"</formula>
    </cfRule>
    <cfRule type="cellIs" dxfId="7768" priority="8341" operator="equal">
      <formula>"CL-H"</formula>
    </cfRule>
    <cfRule type="cellIs" dxfId="7767" priority="8342" operator="equal">
      <formula>"EL-H"</formula>
    </cfRule>
    <cfRule type="cellIs" dxfId="7766" priority="8343" operator="equal">
      <formula>"CL"</formula>
    </cfRule>
    <cfRule type="cellIs" dxfId="7765" priority="8344" operator="equal">
      <formula>"EL"</formula>
    </cfRule>
  </conditionalFormatting>
  <conditionalFormatting sqref="CH30">
    <cfRule type="containsText" dxfId="7764" priority="8333" operator="containsText" text="S">
      <formula>NOT(ISERROR(SEARCH("S",CH30)))</formula>
    </cfRule>
    <cfRule type="containsText" dxfId="7763" priority="8334" operator="containsText" text="P">
      <formula>NOT(ISERROR(SEARCH("P",CH30)))</formula>
    </cfRule>
    <cfRule type="containsText" dxfId="7762" priority="8335" operator="containsText" text="H">
      <formula>NOT(ISERROR(SEARCH("H",CH30)))</formula>
    </cfRule>
    <cfRule type="containsText" dxfId="7761" priority="8337" operator="containsText" text="&quot;H&quot;">
      <formula>NOT(ISERROR(SEARCH("""H""",CH30)))</formula>
    </cfRule>
    <cfRule type="containsText" dxfId="7760" priority="8338" operator="containsText" text="&quot;A&quot;">
      <formula>NOT(ISERROR(SEARCH("""A""",CH30)))</formula>
    </cfRule>
  </conditionalFormatting>
  <conditionalFormatting sqref="CH30">
    <cfRule type="containsText" dxfId="7759" priority="8336" operator="containsText" text="A-H">
      <formula>NOT(ISERROR(SEARCH("A-H",CH30)))</formula>
    </cfRule>
  </conditionalFormatting>
  <conditionalFormatting sqref="CG30">
    <cfRule type="cellIs" dxfId="7758" priority="8327" operator="equal">
      <formula>"C-Off-H"</formula>
    </cfRule>
    <cfRule type="cellIs" dxfId="7757" priority="8328" operator="equal">
      <formula>"C-Off"</formula>
    </cfRule>
    <cfRule type="cellIs" dxfId="7756" priority="8329" operator="equal">
      <formula>"CL-H"</formula>
    </cfRule>
    <cfRule type="cellIs" dxfId="7755" priority="8330" operator="equal">
      <formula>"EL-H"</formula>
    </cfRule>
    <cfRule type="cellIs" dxfId="7754" priority="8331" operator="equal">
      <formula>"CL"</formula>
    </cfRule>
    <cfRule type="cellIs" dxfId="7753" priority="8332" operator="equal">
      <formula>"EL"</formula>
    </cfRule>
  </conditionalFormatting>
  <conditionalFormatting sqref="CG30">
    <cfRule type="containsText" dxfId="7752" priority="8321" operator="containsText" text="S">
      <formula>NOT(ISERROR(SEARCH("S",CG30)))</formula>
    </cfRule>
    <cfRule type="containsText" dxfId="7751" priority="8322" operator="containsText" text="P">
      <formula>NOT(ISERROR(SEARCH("P",CG30)))</formula>
    </cfRule>
    <cfRule type="containsText" dxfId="7750" priority="8323" operator="containsText" text="H">
      <formula>NOT(ISERROR(SEARCH("H",CG30)))</formula>
    </cfRule>
    <cfRule type="containsText" dxfId="7749" priority="8325" operator="containsText" text="&quot;H&quot;">
      <formula>NOT(ISERROR(SEARCH("""H""",CG30)))</formula>
    </cfRule>
    <cfRule type="containsText" dxfId="7748" priority="8326" operator="containsText" text="&quot;A&quot;">
      <formula>NOT(ISERROR(SEARCH("""A""",CG30)))</formula>
    </cfRule>
  </conditionalFormatting>
  <conditionalFormatting sqref="CG30">
    <cfRule type="containsText" dxfId="7747" priority="8324" operator="containsText" text="A-H">
      <formula>NOT(ISERROR(SEARCH("A-H",CG30)))</formula>
    </cfRule>
  </conditionalFormatting>
  <conditionalFormatting sqref="CA28:CB28">
    <cfRule type="cellIs" dxfId="7746" priority="8315" operator="equal">
      <formula>"C-Off-H"</formula>
    </cfRule>
    <cfRule type="cellIs" dxfId="7745" priority="8316" operator="equal">
      <formula>"C-Off"</formula>
    </cfRule>
    <cfRule type="cellIs" dxfId="7744" priority="8317" operator="equal">
      <formula>"CL-H"</formula>
    </cfRule>
    <cfRule type="cellIs" dxfId="7743" priority="8318" operator="equal">
      <formula>"EL-H"</formula>
    </cfRule>
    <cfRule type="cellIs" dxfId="7742" priority="8319" operator="equal">
      <formula>"CL"</formula>
    </cfRule>
    <cfRule type="cellIs" dxfId="7741" priority="8320" operator="equal">
      <formula>"EL"</formula>
    </cfRule>
  </conditionalFormatting>
  <conditionalFormatting sqref="CA28:CB28">
    <cfRule type="containsText" dxfId="7740" priority="8309" operator="containsText" text="S">
      <formula>NOT(ISERROR(SEARCH("S",CA28)))</formula>
    </cfRule>
    <cfRule type="containsText" dxfId="7739" priority="8310" operator="containsText" text="P">
      <formula>NOT(ISERROR(SEARCH("P",CA28)))</formula>
    </cfRule>
    <cfRule type="containsText" dxfId="7738" priority="8311" operator="containsText" text="H">
      <formula>NOT(ISERROR(SEARCH("H",CA28)))</formula>
    </cfRule>
    <cfRule type="containsText" dxfId="7737" priority="8313" operator="containsText" text="&quot;H&quot;">
      <formula>NOT(ISERROR(SEARCH("""H""",CA28)))</formula>
    </cfRule>
    <cfRule type="containsText" dxfId="7736" priority="8314" operator="containsText" text="&quot;A&quot;">
      <formula>NOT(ISERROR(SEARCH("""A""",CA28)))</formula>
    </cfRule>
  </conditionalFormatting>
  <conditionalFormatting sqref="CA28:CB28">
    <cfRule type="containsText" dxfId="7735" priority="8312" operator="containsText" text="A-H">
      <formula>NOT(ISERROR(SEARCH("A-H",CA28)))</formula>
    </cfRule>
  </conditionalFormatting>
  <conditionalFormatting sqref="CD28:CE28">
    <cfRule type="cellIs" dxfId="7734" priority="8303" operator="equal">
      <formula>"C-Off-H"</formula>
    </cfRule>
    <cfRule type="cellIs" dxfId="7733" priority="8304" operator="equal">
      <formula>"C-Off"</formula>
    </cfRule>
    <cfRule type="cellIs" dxfId="7732" priority="8305" operator="equal">
      <formula>"CL-H"</formula>
    </cfRule>
    <cfRule type="cellIs" dxfId="7731" priority="8306" operator="equal">
      <formula>"EL-H"</formula>
    </cfRule>
    <cfRule type="cellIs" dxfId="7730" priority="8307" operator="equal">
      <formula>"CL"</formula>
    </cfRule>
    <cfRule type="cellIs" dxfId="7729" priority="8308" operator="equal">
      <formula>"EL"</formula>
    </cfRule>
  </conditionalFormatting>
  <conditionalFormatting sqref="CD28:CE28">
    <cfRule type="containsText" dxfId="7728" priority="8297" operator="containsText" text="S">
      <formula>NOT(ISERROR(SEARCH("S",CD28)))</formula>
    </cfRule>
    <cfRule type="containsText" dxfId="7727" priority="8298" operator="containsText" text="P">
      <formula>NOT(ISERROR(SEARCH("P",CD28)))</formula>
    </cfRule>
    <cfRule type="containsText" dxfId="7726" priority="8299" operator="containsText" text="H">
      <formula>NOT(ISERROR(SEARCH("H",CD28)))</formula>
    </cfRule>
    <cfRule type="containsText" dxfId="7725" priority="8301" operator="containsText" text="&quot;H&quot;">
      <formula>NOT(ISERROR(SEARCH("""H""",CD28)))</formula>
    </cfRule>
    <cfRule type="containsText" dxfId="7724" priority="8302" operator="containsText" text="&quot;A&quot;">
      <formula>NOT(ISERROR(SEARCH("""A""",CD28)))</formula>
    </cfRule>
  </conditionalFormatting>
  <conditionalFormatting sqref="CD28:CE28">
    <cfRule type="containsText" dxfId="7723" priority="8300" operator="containsText" text="A-H">
      <formula>NOT(ISERROR(SEARCH("A-H",CD28)))</formula>
    </cfRule>
  </conditionalFormatting>
  <conditionalFormatting sqref="CH28">
    <cfRule type="cellIs" dxfId="7722" priority="8291" operator="equal">
      <formula>"C-Off-H"</formula>
    </cfRule>
    <cfRule type="cellIs" dxfId="7721" priority="8292" operator="equal">
      <formula>"C-Off"</formula>
    </cfRule>
    <cfRule type="cellIs" dxfId="7720" priority="8293" operator="equal">
      <formula>"CL-H"</formula>
    </cfRule>
    <cfRule type="cellIs" dxfId="7719" priority="8294" operator="equal">
      <formula>"EL-H"</formula>
    </cfRule>
    <cfRule type="cellIs" dxfId="7718" priority="8295" operator="equal">
      <formula>"CL"</formula>
    </cfRule>
    <cfRule type="cellIs" dxfId="7717" priority="8296" operator="equal">
      <formula>"EL"</formula>
    </cfRule>
  </conditionalFormatting>
  <conditionalFormatting sqref="CH28">
    <cfRule type="containsText" dxfId="7716" priority="8285" operator="containsText" text="S">
      <formula>NOT(ISERROR(SEARCH("S",CH28)))</formula>
    </cfRule>
    <cfRule type="containsText" dxfId="7715" priority="8286" operator="containsText" text="P">
      <formula>NOT(ISERROR(SEARCH("P",CH28)))</formula>
    </cfRule>
    <cfRule type="containsText" dxfId="7714" priority="8287" operator="containsText" text="H">
      <formula>NOT(ISERROR(SEARCH("H",CH28)))</formula>
    </cfRule>
    <cfRule type="containsText" dxfId="7713" priority="8289" operator="containsText" text="&quot;H&quot;">
      <formula>NOT(ISERROR(SEARCH("""H""",CH28)))</formula>
    </cfRule>
    <cfRule type="containsText" dxfId="7712" priority="8290" operator="containsText" text="&quot;A&quot;">
      <formula>NOT(ISERROR(SEARCH("""A""",CH28)))</formula>
    </cfRule>
  </conditionalFormatting>
  <conditionalFormatting sqref="CH28">
    <cfRule type="containsText" dxfId="7711" priority="8288" operator="containsText" text="A-H">
      <formula>NOT(ISERROR(SEARCH("A-H",CH28)))</formula>
    </cfRule>
  </conditionalFormatting>
  <conditionalFormatting sqref="CG28">
    <cfRule type="cellIs" dxfId="7710" priority="8279" operator="equal">
      <formula>"C-Off-H"</formula>
    </cfRule>
    <cfRule type="cellIs" dxfId="7709" priority="8280" operator="equal">
      <formula>"C-Off"</formula>
    </cfRule>
    <cfRule type="cellIs" dxfId="7708" priority="8281" operator="equal">
      <formula>"CL-H"</formula>
    </cfRule>
    <cfRule type="cellIs" dxfId="7707" priority="8282" operator="equal">
      <formula>"EL-H"</formula>
    </cfRule>
    <cfRule type="cellIs" dxfId="7706" priority="8283" operator="equal">
      <formula>"CL"</formula>
    </cfRule>
    <cfRule type="cellIs" dxfId="7705" priority="8284" operator="equal">
      <formula>"EL"</formula>
    </cfRule>
  </conditionalFormatting>
  <conditionalFormatting sqref="CG28">
    <cfRule type="containsText" dxfId="7704" priority="8273" operator="containsText" text="S">
      <formula>NOT(ISERROR(SEARCH("S",CG28)))</formula>
    </cfRule>
    <cfRule type="containsText" dxfId="7703" priority="8274" operator="containsText" text="P">
      <formula>NOT(ISERROR(SEARCH("P",CG28)))</formula>
    </cfRule>
    <cfRule type="containsText" dxfId="7702" priority="8275" operator="containsText" text="H">
      <formula>NOT(ISERROR(SEARCH("H",CG28)))</formula>
    </cfRule>
    <cfRule type="containsText" dxfId="7701" priority="8277" operator="containsText" text="&quot;H&quot;">
      <formula>NOT(ISERROR(SEARCH("""H""",CG28)))</formula>
    </cfRule>
    <cfRule type="containsText" dxfId="7700" priority="8278" operator="containsText" text="&quot;A&quot;">
      <formula>NOT(ISERROR(SEARCH("""A""",CG28)))</formula>
    </cfRule>
  </conditionalFormatting>
  <conditionalFormatting sqref="CG28">
    <cfRule type="containsText" dxfId="7699" priority="8276" operator="containsText" text="A-H">
      <formula>NOT(ISERROR(SEARCH("A-H",CG28)))</formula>
    </cfRule>
  </conditionalFormatting>
  <conditionalFormatting sqref="H29">
    <cfRule type="cellIs" dxfId="7698" priority="8267" operator="equal">
      <formula>"C-Off-H"</formula>
    </cfRule>
    <cfRule type="cellIs" dxfId="7697" priority="8268" operator="equal">
      <formula>"C-Off"</formula>
    </cfRule>
    <cfRule type="cellIs" dxfId="7696" priority="8269" operator="equal">
      <formula>"CL-H"</formula>
    </cfRule>
    <cfRule type="cellIs" dxfId="7695" priority="8270" operator="equal">
      <formula>"EL-H"</formula>
    </cfRule>
    <cfRule type="cellIs" dxfId="7694" priority="8271" operator="equal">
      <formula>"CL"</formula>
    </cfRule>
    <cfRule type="cellIs" dxfId="7693" priority="8272" operator="equal">
      <formula>"EL"</formula>
    </cfRule>
  </conditionalFormatting>
  <conditionalFormatting sqref="G29:H29">
    <cfRule type="cellIs" dxfId="7692" priority="8261" operator="equal">
      <formula>"C-Off-H"</formula>
    </cfRule>
    <cfRule type="cellIs" dxfId="7691" priority="8262" operator="equal">
      <formula>"C-Off"</formula>
    </cfRule>
    <cfRule type="cellIs" dxfId="7690" priority="8263" operator="equal">
      <formula>"CL-H"</formula>
    </cfRule>
    <cfRule type="cellIs" dxfId="7689" priority="8264" operator="equal">
      <formula>"EL-H"</formula>
    </cfRule>
    <cfRule type="cellIs" dxfId="7688" priority="8265" operator="equal">
      <formula>"CL"</formula>
    </cfRule>
    <cfRule type="cellIs" dxfId="7687" priority="8266" operator="equal">
      <formula>"EL"</formula>
    </cfRule>
  </conditionalFormatting>
  <conditionalFormatting sqref="G29:H29">
    <cfRule type="containsText" dxfId="7686" priority="8255" operator="containsText" text="S">
      <formula>NOT(ISERROR(SEARCH("S",G29)))</formula>
    </cfRule>
    <cfRule type="containsText" dxfId="7685" priority="8256" operator="containsText" text="P">
      <formula>NOT(ISERROR(SEARCH("P",G29)))</formula>
    </cfRule>
    <cfRule type="containsText" dxfId="7684" priority="8257" operator="containsText" text="H">
      <formula>NOT(ISERROR(SEARCH("H",G29)))</formula>
    </cfRule>
    <cfRule type="containsText" dxfId="7683" priority="8259" operator="containsText" text="&quot;H&quot;">
      <formula>NOT(ISERROR(SEARCH("""H""",G29)))</formula>
    </cfRule>
    <cfRule type="containsText" dxfId="7682" priority="8260" operator="containsText" text="&quot;A&quot;">
      <formula>NOT(ISERROR(SEARCH("""A""",G29)))</formula>
    </cfRule>
  </conditionalFormatting>
  <conditionalFormatting sqref="G29:H29">
    <cfRule type="containsText" dxfId="7681" priority="8258" operator="containsText" text="A-H">
      <formula>NOT(ISERROR(SEARCH("A-H",G29)))</formula>
    </cfRule>
  </conditionalFormatting>
  <conditionalFormatting sqref="H30">
    <cfRule type="cellIs" dxfId="7680" priority="8249" operator="equal">
      <formula>"C-Off-H"</formula>
    </cfRule>
    <cfRule type="cellIs" dxfId="7679" priority="8250" operator="equal">
      <formula>"C-Off"</formula>
    </cfRule>
    <cfRule type="cellIs" dxfId="7678" priority="8251" operator="equal">
      <formula>"CL-H"</formula>
    </cfRule>
    <cfRule type="cellIs" dxfId="7677" priority="8252" operator="equal">
      <formula>"EL-H"</formula>
    </cfRule>
    <cfRule type="cellIs" dxfId="7676" priority="8253" operator="equal">
      <formula>"CL"</formula>
    </cfRule>
    <cfRule type="cellIs" dxfId="7675" priority="8254" operator="equal">
      <formula>"EL"</formula>
    </cfRule>
  </conditionalFormatting>
  <conditionalFormatting sqref="G30:H30">
    <cfRule type="cellIs" dxfId="7674" priority="8243" operator="equal">
      <formula>"C-Off-H"</formula>
    </cfRule>
    <cfRule type="cellIs" dxfId="7673" priority="8244" operator="equal">
      <formula>"C-Off"</formula>
    </cfRule>
    <cfRule type="cellIs" dxfId="7672" priority="8245" operator="equal">
      <formula>"CL-H"</formula>
    </cfRule>
    <cfRule type="cellIs" dxfId="7671" priority="8246" operator="equal">
      <formula>"EL-H"</formula>
    </cfRule>
    <cfRule type="cellIs" dxfId="7670" priority="8247" operator="equal">
      <formula>"CL"</formula>
    </cfRule>
    <cfRule type="cellIs" dxfId="7669" priority="8248" operator="equal">
      <formula>"EL"</formula>
    </cfRule>
  </conditionalFormatting>
  <conditionalFormatting sqref="G30:H30">
    <cfRule type="containsText" dxfId="7668" priority="8237" operator="containsText" text="S">
      <formula>NOT(ISERROR(SEARCH("S",G30)))</formula>
    </cfRule>
    <cfRule type="containsText" dxfId="7667" priority="8238" operator="containsText" text="P">
      <formula>NOT(ISERROR(SEARCH("P",G30)))</formula>
    </cfRule>
    <cfRule type="containsText" dxfId="7666" priority="8239" operator="containsText" text="H">
      <formula>NOT(ISERROR(SEARCH("H",G30)))</formula>
    </cfRule>
    <cfRule type="containsText" dxfId="7665" priority="8241" operator="containsText" text="&quot;H&quot;">
      <formula>NOT(ISERROR(SEARCH("""H""",G30)))</formula>
    </cfRule>
    <cfRule type="containsText" dxfId="7664" priority="8242" operator="containsText" text="&quot;A&quot;">
      <formula>NOT(ISERROR(SEARCH("""A""",G30)))</formula>
    </cfRule>
  </conditionalFormatting>
  <conditionalFormatting sqref="G30:H30">
    <cfRule type="containsText" dxfId="7663" priority="8240" operator="containsText" text="A-H">
      <formula>NOT(ISERROR(SEARCH("A-H",G30)))</formula>
    </cfRule>
  </conditionalFormatting>
  <conditionalFormatting sqref="H28">
    <cfRule type="cellIs" dxfId="7662" priority="8231" operator="equal">
      <formula>"C-Off-H"</formula>
    </cfRule>
    <cfRule type="cellIs" dxfId="7661" priority="8232" operator="equal">
      <formula>"C-Off"</formula>
    </cfRule>
    <cfRule type="cellIs" dxfId="7660" priority="8233" operator="equal">
      <formula>"CL-H"</formula>
    </cfRule>
    <cfRule type="cellIs" dxfId="7659" priority="8234" operator="equal">
      <formula>"EL-H"</formula>
    </cfRule>
    <cfRule type="cellIs" dxfId="7658" priority="8235" operator="equal">
      <formula>"CL"</formula>
    </cfRule>
    <cfRule type="cellIs" dxfId="7657" priority="8236" operator="equal">
      <formula>"EL"</formula>
    </cfRule>
  </conditionalFormatting>
  <conditionalFormatting sqref="G28:H28">
    <cfRule type="cellIs" dxfId="7656" priority="8225" operator="equal">
      <formula>"C-Off-H"</formula>
    </cfRule>
    <cfRule type="cellIs" dxfId="7655" priority="8226" operator="equal">
      <formula>"C-Off"</formula>
    </cfRule>
    <cfRule type="cellIs" dxfId="7654" priority="8227" operator="equal">
      <formula>"CL-H"</formula>
    </cfRule>
    <cfRule type="cellIs" dxfId="7653" priority="8228" operator="equal">
      <formula>"EL-H"</formula>
    </cfRule>
    <cfRule type="cellIs" dxfId="7652" priority="8229" operator="equal">
      <formula>"CL"</formula>
    </cfRule>
    <cfRule type="cellIs" dxfId="7651" priority="8230" operator="equal">
      <formula>"EL"</formula>
    </cfRule>
  </conditionalFormatting>
  <conditionalFormatting sqref="G28:H28">
    <cfRule type="containsText" dxfId="7650" priority="8219" operator="containsText" text="S">
      <formula>NOT(ISERROR(SEARCH("S",G28)))</formula>
    </cfRule>
    <cfRule type="containsText" dxfId="7649" priority="8220" operator="containsText" text="P">
      <formula>NOT(ISERROR(SEARCH("P",G28)))</formula>
    </cfRule>
    <cfRule type="containsText" dxfId="7648" priority="8221" operator="containsText" text="H">
      <formula>NOT(ISERROR(SEARCH("H",G28)))</formula>
    </cfRule>
    <cfRule type="containsText" dxfId="7647" priority="8223" operator="containsText" text="&quot;H&quot;">
      <formula>NOT(ISERROR(SEARCH("""H""",G28)))</formula>
    </cfRule>
    <cfRule type="containsText" dxfId="7646" priority="8224" operator="containsText" text="&quot;A&quot;">
      <formula>NOT(ISERROR(SEARCH("""A""",G28)))</formula>
    </cfRule>
  </conditionalFormatting>
  <conditionalFormatting sqref="G28:H28">
    <cfRule type="containsText" dxfId="7645" priority="8222" operator="containsText" text="A-H">
      <formula>NOT(ISERROR(SEARCH("A-H",G28)))</formula>
    </cfRule>
  </conditionalFormatting>
  <conditionalFormatting sqref="CX27">
    <cfRule type="cellIs" dxfId="7644" priority="8146" operator="equal">
      <formula>"C-Off-H"</formula>
    </cfRule>
    <cfRule type="cellIs" dxfId="7643" priority="8147" operator="equal">
      <formula>"C-Off"</formula>
    </cfRule>
    <cfRule type="cellIs" dxfId="7642" priority="8148" operator="equal">
      <formula>"CL-H"</formula>
    </cfRule>
    <cfRule type="cellIs" dxfId="7641" priority="8149" operator="equal">
      <formula>"EL-H"</formula>
    </cfRule>
    <cfRule type="cellIs" dxfId="7640" priority="8150" operator="equal">
      <formula>"CL"</formula>
    </cfRule>
    <cfRule type="cellIs" dxfId="7639" priority="8151" operator="equal">
      <formula>"EL"</formula>
    </cfRule>
  </conditionalFormatting>
  <conditionalFormatting sqref="CX27">
    <cfRule type="containsText" dxfId="7638" priority="8145" operator="containsText" text="A-H">
      <formula>NOT(ISERROR(SEARCH("A-H",CX27)))</formula>
    </cfRule>
  </conditionalFormatting>
  <conditionalFormatting sqref="CX27">
    <cfRule type="containsText" dxfId="7637" priority="8144" operator="containsText" text="A">
      <formula>NOT(ISERROR(SEARCH("A",CX27)))</formula>
    </cfRule>
  </conditionalFormatting>
  <conditionalFormatting sqref="DC27 CP27:CW27">
    <cfRule type="cellIs" dxfId="7636" priority="8127" operator="equal">
      <formula>"C-Off-H"</formula>
    </cfRule>
    <cfRule type="cellIs" dxfId="7635" priority="8128" operator="equal">
      <formula>"C-Off"</formula>
    </cfRule>
    <cfRule type="cellIs" dxfId="7634" priority="8129" operator="equal">
      <formula>"CL-H"</formula>
    </cfRule>
    <cfRule type="cellIs" dxfId="7633" priority="8130" operator="equal">
      <formula>"EL-H"</formula>
    </cfRule>
    <cfRule type="cellIs" dxfId="7632" priority="8131" operator="equal">
      <formula>"CL"</formula>
    </cfRule>
    <cfRule type="cellIs" dxfId="7631" priority="8132" operator="equal">
      <formula>"EL"</formula>
    </cfRule>
  </conditionalFormatting>
  <conditionalFormatting sqref="DC27 CP27:CW27 CY27:DA27">
    <cfRule type="containsText" dxfId="7630" priority="8126" operator="containsText" text="A-H">
      <formula>NOT(ISERROR(SEARCH("A-H",CP27)))</formula>
    </cfRule>
  </conditionalFormatting>
  <conditionalFormatting sqref="DC27 CP27:CW27 CY27:DA27">
    <cfRule type="containsText" dxfId="7629" priority="8125" operator="containsText" text="A">
      <formula>NOT(ISERROR(SEARCH("A",CP27)))</formula>
    </cfRule>
  </conditionalFormatting>
  <conditionalFormatting sqref="CY27 DA27">
    <cfRule type="cellIs" dxfId="7628" priority="8119" stopIfTrue="1" operator="equal">
      <formula>"C-Off-H"</formula>
    </cfRule>
    <cfRule type="cellIs" dxfId="7627" priority="8120" stopIfTrue="1" operator="equal">
      <formula>"C-Off"</formula>
    </cfRule>
    <cfRule type="cellIs" dxfId="7626" priority="8121" stopIfTrue="1" operator="equal">
      <formula>"CL-H"</formula>
    </cfRule>
    <cfRule type="cellIs" dxfId="7625" priority="8122" stopIfTrue="1" operator="equal">
      <formula>"EL-H"</formula>
    </cfRule>
    <cfRule type="cellIs" dxfId="7624" priority="8123" stopIfTrue="1" operator="equal">
      <formula>"CL"</formula>
    </cfRule>
    <cfRule type="cellIs" dxfId="7623" priority="8124" stopIfTrue="1" operator="equal">
      <formula>"EL"</formula>
    </cfRule>
  </conditionalFormatting>
  <conditionalFormatting sqref="CZ27">
    <cfRule type="cellIs" dxfId="7622" priority="8113" stopIfTrue="1" operator="equal">
      <formula>"C-Off-H"</formula>
    </cfRule>
    <cfRule type="cellIs" dxfId="7621" priority="8114" stopIfTrue="1" operator="equal">
      <formula>"C-Off"</formula>
    </cfRule>
    <cfRule type="cellIs" dxfId="7620" priority="8115" stopIfTrue="1" operator="equal">
      <formula>"CL-H"</formula>
    </cfRule>
    <cfRule type="cellIs" dxfId="7619" priority="8116" stopIfTrue="1" operator="equal">
      <formula>"EL-H"</formula>
    </cfRule>
    <cfRule type="cellIs" dxfId="7618" priority="8117" stopIfTrue="1" operator="equal">
      <formula>"CL"</formula>
    </cfRule>
    <cfRule type="cellIs" dxfId="7617" priority="8118" stopIfTrue="1" operator="equal">
      <formula>"EL"</formula>
    </cfRule>
  </conditionalFormatting>
  <conditionalFormatting sqref="DD27">
    <cfRule type="cellIs" dxfId="7616" priority="8102" operator="equal">
      <formula>"C-Off-H"</formula>
    </cfRule>
    <cfRule type="cellIs" dxfId="7615" priority="8103" operator="equal">
      <formula>"C-Off"</formula>
    </cfRule>
    <cfRule type="cellIs" dxfId="7614" priority="8104" operator="equal">
      <formula>"CL-H"</formula>
    </cfRule>
    <cfRule type="cellIs" dxfId="7613" priority="8105" operator="equal">
      <formula>"EL-H"</formula>
    </cfRule>
    <cfRule type="cellIs" dxfId="7612" priority="8106" operator="equal">
      <formula>"CL"</formula>
    </cfRule>
    <cfRule type="cellIs" dxfId="7611" priority="8107" operator="equal">
      <formula>"EL"</formula>
    </cfRule>
  </conditionalFormatting>
  <conditionalFormatting sqref="DD27">
    <cfRule type="containsText" dxfId="7610" priority="8101" operator="containsText" text="A">
      <formula>NOT(ISERROR(SEARCH("A",DD27)))</formula>
    </cfRule>
  </conditionalFormatting>
  <conditionalFormatting sqref="DD27">
    <cfRule type="containsText" dxfId="7609" priority="8100" operator="containsText" text="A-H">
      <formula>NOT(ISERROR(SEARCH("A-H",DD27)))</formula>
    </cfRule>
  </conditionalFormatting>
  <conditionalFormatting sqref="AI27">
    <cfRule type="cellIs" dxfId="7608" priority="8094" operator="equal">
      <formula>"C-Off-H"</formula>
    </cfRule>
    <cfRule type="cellIs" dxfId="7607" priority="8095" operator="equal">
      <formula>"C-Off"</formula>
    </cfRule>
    <cfRule type="cellIs" dxfId="7606" priority="8096" operator="equal">
      <formula>"CL-H"</formula>
    </cfRule>
    <cfRule type="cellIs" dxfId="7605" priority="8097" operator="equal">
      <formula>"EL-H"</formula>
    </cfRule>
    <cfRule type="cellIs" dxfId="7604" priority="8098" operator="equal">
      <formula>"CL"</formula>
    </cfRule>
    <cfRule type="cellIs" dxfId="7603" priority="8099" operator="equal">
      <formula>"EL"</formula>
    </cfRule>
  </conditionalFormatting>
  <conditionalFormatting sqref="AH27:AI27">
    <cfRule type="cellIs" dxfId="7602" priority="8088" operator="equal">
      <formula>"C-Off-H"</formula>
    </cfRule>
    <cfRule type="cellIs" dxfId="7601" priority="8089" operator="equal">
      <formula>"C-Off"</formula>
    </cfRule>
    <cfRule type="cellIs" dxfId="7600" priority="8090" operator="equal">
      <formula>"CL-H"</formula>
    </cfRule>
    <cfRule type="cellIs" dxfId="7599" priority="8091" operator="equal">
      <formula>"EL-H"</formula>
    </cfRule>
    <cfRule type="cellIs" dxfId="7598" priority="8092" operator="equal">
      <formula>"CL"</formula>
    </cfRule>
    <cfRule type="cellIs" dxfId="7597" priority="8093" operator="equal">
      <formula>"EL"</formula>
    </cfRule>
  </conditionalFormatting>
  <conditionalFormatting sqref="AH27:AI27">
    <cfRule type="containsText" dxfId="7596" priority="8082" operator="containsText" text="S">
      <formula>NOT(ISERROR(SEARCH("S",AH27)))</formula>
    </cfRule>
    <cfRule type="containsText" dxfId="7595" priority="8083" operator="containsText" text="P">
      <formula>NOT(ISERROR(SEARCH("P",AH27)))</formula>
    </cfRule>
    <cfRule type="containsText" dxfId="7594" priority="8084" operator="containsText" text="H">
      <formula>NOT(ISERROR(SEARCH("H",AH27)))</formula>
    </cfRule>
    <cfRule type="containsText" dxfId="7593" priority="8086" operator="containsText" text="&quot;H&quot;">
      <formula>NOT(ISERROR(SEARCH("""H""",AH27)))</formula>
    </cfRule>
    <cfRule type="containsText" dxfId="7592" priority="8087" operator="containsText" text="&quot;A&quot;">
      <formula>NOT(ISERROR(SEARCH("""A""",AH27)))</formula>
    </cfRule>
  </conditionalFormatting>
  <conditionalFormatting sqref="AH27:AI27">
    <cfRule type="containsText" dxfId="7591" priority="8085" operator="containsText" text="A-H">
      <formula>NOT(ISERROR(SEARCH("A-H",AH27)))</formula>
    </cfRule>
  </conditionalFormatting>
  <conditionalFormatting sqref="AU27">
    <cfRule type="cellIs" dxfId="7590" priority="8076" operator="equal">
      <formula>"C-Off-H"</formula>
    </cfRule>
    <cfRule type="cellIs" dxfId="7589" priority="8077" operator="equal">
      <formula>"C-Off"</formula>
    </cfRule>
    <cfRule type="cellIs" dxfId="7588" priority="8078" operator="equal">
      <formula>"CL-H"</formula>
    </cfRule>
    <cfRule type="cellIs" dxfId="7587" priority="8079" operator="equal">
      <formula>"EL-H"</formula>
    </cfRule>
    <cfRule type="cellIs" dxfId="7586" priority="8080" operator="equal">
      <formula>"CL"</formula>
    </cfRule>
    <cfRule type="cellIs" dxfId="7585" priority="8081" operator="equal">
      <formula>"EL"</formula>
    </cfRule>
  </conditionalFormatting>
  <conditionalFormatting sqref="AT27:AU27">
    <cfRule type="cellIs" dxfId="7584" priority="8070" operator="equal">
      <formula>"C-Off-H"</formula>
    </cfRule>
    <cfRule type="cellIs" dxfId="7583" priority="8071" operator="equal">
      <formula>"C-Off"</formula>
    </cfRule>
    <cfRule type="cellIs" dxfId="7582" priority="8072" operator="equal">
      <formula>"CL-H"</formula>
    </cfRule>
    <cfRule type="cellIs" dxfId="7581" priority="8073" operator="equal">
      <formula>"EL-H"</formula>
    </cfRule>
    <cfRule type="cellIs" dxfId="7580" priority="8074" operator="equal">
      <formula>"CL"</formula>
    </cfRule>
    <cfRule type="cellIs" dxfId="7579" priority="8075" operator="equal">
      <formula>"EL"</formula>
    </cfRule>
  </conditionalFormatting>
  <conditionalFormatting sqref="AT27:AU27">
    <cfRule type="containsText" dxfId="7578" priority="8064" operator="containsText" text="S">
      <formula>NOT(ISERROR(SEARCH("S",AT27)))</formula>
    </cfRule>
    <cfRule type="containsText" dxfId="7577" priority="8065" operator="containsText" text="P">
      <formula>NOT(ISERROR(SEARCH("P",AT27)))</formula>
    </cfRule>
    <cfRule type="containsText" dxfId="7576" priority="8066" operator="containsText" text="H">
      <formula>NOT(ISERROR(SEARCH("H",AT27)))</formula>
    </cfRule>
    <cfRule type="containsText" dxfId="7575" priority="8068" operator="containsText" text="&quot;H&quot;">
      <formula>NOT(ISERROR(SEARCH("""H""",AT27)))</formula>
    </cfRule>
    <cfRule type="containsText" dxfId="7574" priority="8069" operator="containsText" text="&quot;A&quot;">
      <formula>NOT(ISERROR(SEARCH("""A""",AT27)))</formula>
    </cfRule>
  </conditionalFormatting>
  <conditionalFormatting sqref="AT27:AU27">
    <cfRule type="containsText" dxfId="7573" priority="8067" operator="containsText" text="A-H">
      <formula>NOT(ISERROR(SEARCH("A-H",AT27)))</formula>
    </cfRule>
  </conditionalFormatting>
  <conditionalFormatting sqref="E27">
    <cfRule type="cellIs" dxfId="7572" priority="8058" operator="equal">
      <formula>"C-Off-H"</formula>
    </cfRule>
    <cfRule type="cellIs" dxfId="7571" priority="8059" operator="equal">
      <formula>"C-Off"</formula>
    </cfRule>
    <cfRule type="cellIs" dxfId="7570" priority="8060" operator="equal">
      <formula>"CL-H"</formula>
    </cfRule>
    <cfRule type="cellIs" dxfId="7569" priority="8061" operator="equal">
      <formula>"EL-H"</formula>
    </cfRule>
    <cfRule type="cellIs" dxfId="7568" priority="8062" operator="equal">
      <formula>"CL"</formula>
    </cfRule>
    <cfRule type="cellIs" dxfId="7567" priority="8063" operator="equal">
      <formula>"EL"</formula>
    </cfRule>
  </conditionalFormatting>
  <conditionalFormatting sqref="D27:E27">
    <cfRule type="cellIs" dxfId="7566" priority="8052" operator="equal">
      <formula>"C-Off-H"</formula>
    </cfRule>
    <cfRule type="cellIs" dxfId="7565" priority="8053" operator="equal">
      <formula>"C-Off"</formula>
    </cfRule>
    <cfRule type="cellIs" dxfId="7564" priority="8054" operator="equal">
      <formula>"CL-H"</formula>
    </cfRule>
    <cfRule type="cellIs" dxfId="7563" priority="8055" operator="equal">
      <formula>"EL-H"</formula>
    </cfRule>
    <cfRule type="cellIs" dxfId="7562" priority="8056" operator="equal">
      <formula>"CL"</formula>
    </cfRule>
    <cfRule type="cellIs" dxfId="7561" priority="8057" operator="equal">
      <formula>"EL"</formula>
    </cfRule>
  </conditionalFormatting>
  <conditionalFormatting sqref="D27:E27">
    <cfRule type="containsText" dxfId="7560" priority="8046" operator="containsText" text="S">
      <formula>NOT(ISERROR(SEARCH("S",D27)))</formula>
    </cfRule>
    <cfRule type="containsText" dxfId="7559" priority="8047" operator="containsText" text="P">
      <formula>NOT(ISERROR(SEARCH("P",D27)))</formula>
    </cfRule>
    <cfRule type="containsText" dxfId="7558" priority="8048" operator="containsText" text="H">
      <formula>NOT(ISERROR(SEARCH("H",D27)))</formula>
    </cfRule>
    <cfRule type="containsText" dxfId="7557" priority="8050" operator="containsText" text="&quot;H&quot;">
      <formula>NOT(ISERROR(SEARCH("""H""",D27)))</formula>
    </cfRule>
    <cfRule type="containsText" dxfId="7556" priority="8051" operator="containsText" text="&quot;A&quot;">
      <formula>NOT(ISERROR(SEARCH("""A""",D27)))</formula>
    </cfRule>
  </conditionalFormatting>
  <conditionalFormatting sqref="D27:E27">
    <cfRule type="containsText" dxfId="7555" priority="8049" operator="containsText" text="A-H">
      <formula>NOT(ISERROR(SEARCH("A-H",D27)))</formula>
    </cfRule>
  </conditionalFormatting>
  <conditionalFormatting sqref="Z27">
    <cfRule type="cellIs" dxfId="7554" priority="8040" operator="equal">
      <formula>"C-Off-H"</formula>
    </cfRule>
    <cfRule type="cellIs" dxfId="7553" priority="8041" operator="equal">
      <formula>"C-Off"</formula>
    </cfRule>
    <cfRule type="cellIs" dxfId="7552" priority="8042" operator="equal">
      <formula>"CL-H"</formula>
    </cfRule>
    <cfRule type="cellIs" dxfId="7551" priority="8043" operator="equal">
      <formula>"EL-H"</formula>
    </cfRule>
    <cfRule type="cellIs" dxfId="7550" priority="8044" operator="equal">
      <formula>"CL"</formula>
    </cfRule>
    <cfRule type="cellIs" dxfId="7549" priority="8045" operator="equal">
      <formula>"EL"</formula>
    </cfRule>
  </conditionalFormatting>
  <conditionalFormatting sqref="Z27">
    <cfRule type="containsText" dxfId="7548" priority="8034" operator="containsText" text="S">
      <formula>NOT(ISERROR(SEARCH("S",Z27)))</formula>
    </cfRule>
    <cfRule type="containsText" dxfId="7547" priority="8035" operator="containsText" text="P">
      <formula>NOT(ISERROR(SEARCH("P",Z27)))</formula>
    </cfRule>
    <cfRule type="containsText" dxfId="7546" priority="8036" operator="containsText" text="H">
      <formula>NOT(ISERROR(SEARCH("H",Z27)))</formula>
    </cfRule>
    <cfRule type="containsText" dxfId="7545" priority="8038" operator="containsText" text="&quot;H&quot;">
      <formula>NOT(ISERROR(SEARCH("""H""",Z27)))</formula>
    </cfRule>
    <cfRule type="containsText" dxfId="7544" priority="8039" operator="containsText" text="&quot;A&quot;">
      <formula>NOT(ISERROR(SEARCH("""A""",Z27)))</formula>
    </cfRule>
  </conditionalFormatting>
  <conditionalFormatting sqref="Z27">
    <cfRule type="containsText" dxfId="7543" priority="8037" operator="containsText" text="A-H">
      <formula>NOT(ISERROR(SEARCH("A-H",Z27)))</formula>
    </cfRule>
  </conditionalFormatting>
  <conditionalFormatting sqref="Y27">
    <cfRule type="cellIs" dxfId="7542" priority="8028" operator="equal">
      <formula>"C-Off-H"</formula>
    </cfRule>
    <cfRule type="cellIs" dxfId="7541" priority="8029" operator="equal">
      <formula>"C-Off"</formula>
    </cfRule>
    <cfRule type="cellIs" dxfId="7540" priority="8030" operator="equal">
      <formula>"CL-H"</formula>
    </cfRule>
    <cfRule type="cellIs" dxfId="7539" priority="8031" operator="equal">
      <formula>"EL-H"</formula>
    </cfRule>
    <cfRule type="cellIs" dxfId="7538" priority="8032" operator="equal">
      <formula>"CL"</formula>
    </cfRule>
    <cfRule type="cellIs" dxfId="7537" priority="8033" operator="equal">
      <formula>"EL"</formula>
    </cfRule>
  </conditionalFormatting>
  <conditionalFormatting sqref="Y27">
    <cfRule type="containsText" dxfId="7536" priority="8022" operator="containsText" text="S">
      <formula>NOT(ISERROR(SEARCH("S",Y27)))</formula>
    </cfRule>
    <cfRule type="containsText" dxfId="7535" priority="8023" operator="containsText" text="P">
      <formula>NOT(ISERROR(SEARCH("P",Y27)))</formula>
    </cfRule>
    <cfRule type="containsText" dxfId="7534" priority="8024" operator="containsText" text="H">
      <formula>NOT(ISERROR(SEARCH("H",Y27)))</formula>
    </cfRule>
    <cfRule type="containsText" dxfId="7533" priority="8026" operator="containsText" text="&quot;H&quot;">
      <formula>NOT(ISERROR(SEARCH("""H""",Y27)))</formula>
    </cfRule>
    <cfRule type="containsText" dxfId="7532" priority="8027" operator="containsText" text="&quot;A&quot;">
      <formula>NOT(ISERROR(SEARCH("""A""",Y27)))</formula>
    </cfRule>
  </conditionalFormatting>
  <conditionalFormatting sqref="Y27">
    <cfRule type="containsText" dxfId="7531" priority="8025" operator="containsText" text="A-H">
      <formula>NOT(ISERROR(SEARCH("A-H",Y27)))</formula>
    </cfRule>
  </conditionalFormatting>
  <conditionalFormatting sqref="AF27">
    <cfRule type="cellIs" dxfId="7530" priority="8016" operator="equal">
      <formula>"C-Off-H"</formula>
    </cfRule>
    <cfRule type="cellIs" dxfId="7529" priority="8017" operator="equal">
      <formula>"C-Off"</formula>
    </cfRule>
    <cfRule type="cellIs" dxfId="7528" priority="8018" operator="equal">
      <formula>"CL-H"</formula>
    </cfRule>
    <cfRule type="cellIs" dxfId="7527" priority="8019" operator="equal">
      <formula>"EL-H"</formula>
    </cfRule>
    <cfRule type="cellIs" dxfId="7526" priority="8020" operator="equal">
      <formula>"CL"</formula>
    </cfRule>
    <cfRule type="cellIs" dxfId="7525" priority="8021" operator="equal">
      <formula>"EL"</formula>
    </cfRule>
  </conditionalFormatting>
  <conditionalFormatting sqref="AF27">
    <cfRule type="containsText" dxfId="7524" priority="8010" operator="containsText" text="S">
      <formula>NOT(ISERROR(SEARCH("S",AF27)))</formula>
    </cfRule>
    <cfRule type="containsText" dxfId="7523" priority="8011" operator="containsText" text="P">
      <formula>NOT(ISERROR(SEARCH("P",AF27)))</formula>
    </cfRule>
    <cfRule type="containsText" dxfId="7522" priority="8012" operator="containsText" text="H">
      <formula>NOT(ISERROR(SEARCH("H",AF27)))</formula>
    </cfRule>
    <cfRule type="containsText" dxfId="7521" priority="8014" operator="containsText" text="&quot;H&quot;">
      <formula>NOT(ISERROR(SEARCH("""H""",AF27)))</formula>
    </cfRule>
    <cfRule type="containsText" dxfId="7520" priority="8015" operator="containsText" text="&quot;A&quot;">
      <formula>NOT(ISERROR(SEARCH("""A""",AF27)))</formula>
    </cfRule>
  </conditionalFormatting>
  <conditionalFormatting sqref="AF27">
    <cfRule type="containsText" dxfId="7519" priority="8013" operator="containsText" text="A-H">
      <formula>NOT(ISERROR(SEARCH("A-H",AF27)))</formula>
    </cfRule>
  </conditionalFormatting>
  <conditionalFormatting sqref="BO27:BP27">
    <cfRule type="cellIs" dxfId="7518" priority="8004" operator="equal">
      <formula>"C-Off-H"</formula>
    </cfRule>
    <cfRule type="cellIs" dxfId="7517" priority="8005" operator="equal">
      <formula>"C-Off"</formula>
    </cfRule>
    <cfRule type="cellIs" dxfId="7516" priority="8006" operator="equal">
      <formula>"CL-H"</formula>
    </cfRule>
    <cfRule type="cellIs" dxfId="7515" priority="8007" operator="equal">
      <formula>"EL-H"</formula>
    </cfRule>
    <cfRule type="cellIs" dxfId="7514" priority="8008" operator="equal">
      <formula>"CL"</formula>
    </cfRule>
    <cfRule type="cellIs" dxfId="7513" priority="8009" operator="equal">
      <formula>"EL"</formula>
    </cfRule>
  </conditionalFormatting>
  <conditionalFormatting sqref="BO27:BP27">
    <cfRule type="cellIs" dxfId="7512" priority="7998" operator="equal">
      <formula>"C-Off-H"</formula>
    </cfRule>
    <cfRule type="cellIs" dxfId="7511" priority="7999" operator="equal">
      <formula>"C-Off"</formula>
    </cfRule>
    <cfRule type="cellIs" dxfId="7510" priority="8000" operator="equal">
      <formula>"CL-H"</formula>
    </cfRule>
    <cfRule type="cellIs" dxfId="7509" priority="8001" operator="equal">
      <formula>"EL-H"</formula>
    </cfRule>
    <cfRule type="cellIs" dxfId="7508" priority="8002" operator="equal">
      <formula>"CL"</formula>
    </cfRule>
    <cfRule type="cellIs" dxfId="7507" priority="8003" operator="equal">
      <formula>"EL"</formula>
    </cfRule>
  </conditionalFormatting>
  <conditionalFormatting sqref="BO27:BP27">
    <cfRule type="containsText" dxfId="7506" priority="7992" operator="containsText" text="S">
      <formula>NOT(ISERROR(SEARCH("S",BO27)))</formula>
    </cfRule>
    <cfRule type="containsText" dxfId="7505" priority="7993" operator="containsText" text="P">
      <formula>NOT(ISERROR(SEARCH("P",BO27)))</formula>
    </cfRule>
    <cfRule type="containsText" dxfId="7504" priority="7994" operator="containsText" text="H">
      <formula>NOT(ISERROR(SEARCH("H",BO27)))</formula>
    </cfRule>
    <cfRule type="containsText" dxfId="7503" priority="7996" operator="containsText" text="&quot;H&quot;">
      <formula>NOT(ISERROR(SEARCH("""H""",BO27)))</formula>
    </cfRule>
    <cfRule type="containsText" dxfId="7502" priority="7997" operator="containsText" text="&quot;A&quot;">
      <formula>NOT(ISERROR(SEARCH("""A""",BO27)))</formula>
    </cfRule>
  </conditionalFormatting>
  <conditionalFormatting sqref="BO27:BP27">
    <cfRule type="containsText" dxfId="7501" priority="7995" operator="containsText" text="A-H">
      <formula>NOT(ISERROR(SEARCH("A-H",BO27)))</formula>
    </cfRule>
  </conditionalFormatting>
  <conditionalFormatting sqref="CM27">
    <cfRule type="cellIs" dxfId="7500" priority="7986" operator="equal">
      <formula>"C-Off-H"</formula>
    </cfRule>
    <cfRule type="cellIs" dxfId="7499" priority="7987" operator="equal">
      <formula>"C-Off"</formula>
    </cfRule>
    <cfRule type="cellIs" dxfId="7498" priority="7988" operator="equal">
      <formula>"CL-H"</formula>
    </cfRule>
    <cfRule type="cellIs" dxfId="7497" priority="7989" operator="equal">
      <formula>"EL-H"</formula>
    </cfRule>
    <cfRule type="cellIs" dxfId="7496" priority="7990" operator="equal">
      <formula>"CL"</formula>
    </cfRule>
    <cfRule type="cellIs" dxfId="7495" priority="7991" operator="equal">
      <formula>"EL"</formula>
    </cfRule>
  </conditionalFormatting>
  <conditionalFormatting sqref="CM27">
    <cfRule type="cellIs" dxfId="7494" priority="7980" operator="equal">
      <formula>"C-Off-H"</formula>
    </cfRule>
    <cfRule type="cellIs" dxfId="7493" priority="7981" operator="equal">
      <formula>"C-Off"</formula>
    </cfRule>
    <cfRule type="cellIs" dxfId="7492" priority="7982" operator="equal">
      <formula>"CL-H"</formula>
    </cfRule>
    <cfRule type="cellIs" dxfId="7491" priority="7983" operator="equal">
      <formula>"EL-H"</formula>
    </cfRule>
    <cfRule type="cellIs" dxfId="7490" priority="7984" operator="equal">
      <formula>"CL"</formula>
    </cfRule>
    <cfRule type="cellIs" dxfId="7489" priority="7985" operator="equal">
      <formula>"EL"</formula>
    </cfRule>
  </conditionalFormatting>
  <conditionalFormatting sqref="CM27">
    <cfRule type="containsText" dxfId="7488" priority="7974" operator="containsText" text="S">
      <formula>NOT(ISERROR(SEARCH("S",CM27)))</formula>
    </cfRule>
    <cfRule type="containsText" dxfId="7487" priority="7975" operator="containsText" text="P">
      <formula>NOT(ISERROR(SEARCH("P",CM27)))</formula>
    </cfRule>
    <cfRule type="containsText" dxfId="7486" priority="7976" operator="containsText" text="H">
      <formula>NOT(ISERROR(SEARCH("H",CM27)))</formula>
    </cfRule>
    <cfRule type="containsText" dxfId="7485" priority="7978" operator="containsText" text="&quot;H&quot;">
      <formula>NOT(ISERROR(SEARCH("""H""",CM27)))</formula>
    </cfRule>
    <cfRule type="containsText" dxfId="7484" priority="7979" operator="containsText" text="&quot;A&quot;">
      <formula>NOT(ISERROR(SEARCH("""A""",CM27)))</formula>
    </cfRule>
  </conditionalFormatting>
  <conditionalFormatting sqref="CM27">
    <cfRule type="containsText" dxfId="7483" priority="7977" operator="containsText" text="A-H">
      <formula>NOT(ISERROR(SEARCH("A-H",CM27)))</formula>
    </cfRule>
  </conditionalFormatting>
  <conditionalFormatting sqref="V27:W27">
    <cfRule type="cellIs" dxfId="7482" priority="7944" operator="equal">
      <formula>"C-Off-H"</formula>
    </cfRule>
    <cfRule type="cellIs" dxfId="7481" priority="7945" operator="equal">
      <formula>"C-Off"</formula>
    </cfRule>
    <cfRule type="cellIs" dxfId="7480" priority="7946" operator="equal">
      <formula>"CL-H"</formula>
    </cfRule>
    <cfRule type="cellIs" dxfId="7479" priority="7947" operator="equal">
      <formula>"EL-H"</formula>
    </cfRule>
    <cfRule type="cellIs" dxfId="7478" priority="7948" operator="equal">
      <formula>"CL"</formula>
    </cfRule>
    <cfRule type="cellIs" dxfId="7477" priority="7949" operator="equal">
      <formula>"EL"</formula>
    </cfRule>
  </conditionalFormatting>
  <conditionalFormatting sqref="V27:W27">
    <cfRule type="containsText" dxfId="7476" priority="7938" operator="containsText" text="S">
      <formula>NOT(ISERROR(SEARCH("S",V27)))</formula>
    </cfRule>
    <cfRule type="containsText" dxfId="7475" priority="7939" operator="containsText" text="P">
      <formula>NOT(ISERROR(SEARCH("P",V27)))</formula>
    </cfRule>
    <cfRule type="containsText" dxfId="7474" priority="7940" operator="containsText" text="H">
      <formula>NOT(ISERROR(SEARCH("H",V27)))</formula>
    </cfRule>
    <cfRule type="containsText" dxfId="7473" priority="7942" operator="containsText" text="&quot;H&quot;">
      <formula>NOT(ISERROR(SEARCH("""H""",V27)))</formula>
    </cfRule>
    <cfRule type="containsText" dxfId="7472" priority="7943" operator="containsText" text="&quot;A&quot;">
      <formula>NOT(ISERROR(SEARCH("""A""",V27)))</formula>
    </cfRule>
  </conditionalFormatting>
  <conditionalFormatting sqref="V27:W27">
    <cfRule type="containsText" dxfId="7471" priority="7941" operator="containsText" text="A-H">
      <formula>NOT(ISERROR(SEARCH("A-H",V27)))</formula>
    </cfRule>
  </conditionalFormatting>
  <conditionalFormatting sqref="P27:Q27">
    <cfRule type="cellIs" dxfId="7470" priority="7968" operator="equal">
      <formula>"C-Off-H"</formula>
    </cfRule>
    <cfRule type="cellIs" dxfId="7469" priority="7969" operator="equal">
      <formula>"C-Off"</formula>
    </cfRule>
    <cfRule type="cellIs" dxfId="7468" priority="7970" operator="equal">
      <formula>"CL-H"</formula>
    </cfRule>
    <cfRule type="cellIs" dxfId="7467" priority="7971" operator="equal">
      <formula>"EL-H"</formula>
    </cfRule>
    <cfRule type="cellIs" dxfId="7466" priority="7972" operator="equal">
      <formula>"CL"</formula>
    </cfRule>
    <cfRule type="cellIs" dxfId="7465" priority="7973" operator="equal">
      <formula>"EL"</formula>
    </cfRule>
  </conditionalFormatting>
  <conditionalFormatting sqref="P27:Q27">
    <cfRule type="containsText" dxfId="7464" priority="7962" operator="containsText" text="S">
      <formula>NOT(ISERROR(SEARCH("S",P27)))</formula>
    </cfRule>
    <cfRule type="containsText" dxfId="7463" priority="7963" operator="containsText" text="P">
      <formula>NOT(ISERROR(SEARCH("P",P27)))</formula>
    </cfRule>
    <cfRule type="containsText" dxfId="7462" priority="7964" operator="containsText" text="H">
      <formula>NOT(ISERROR(SEARCH("H",P27)))</formula>
    </cfRule>
    <cfRule type="containsText" dxfId="7461" priority="7966" operator="containsText" text="&quot;H&quot;">
      <formula>NOT(ISERROR(SEARCH("""H""",P27)))</formula>
    </cfRule>
    <cfRule type="containsText" dxfId="7460" priority="7967" operator="containsText" text="&quot;A&quot;">
      <formula>NOT(ISERROR(SEARCH("""A""",P27)))</formula>
    </cfRule>
  </conditionalFormatting>
  <conditionalFormatting sqref="P27:Q27">
    <cfRule type="containsText" dxfId="7459" priority="7965" operator="containsText" text="A-H">
      <formula>NOT(ISERROR(SEARCH("A-H",P27)))</formula>
    </cfRule>
  </conditionalFormatting>
  <conditionalFormatting sqref="S27:T27">
    <cfRule type="cellIs" dxfId="7458" priority="7956" operator="equal">
      <formula>"C-Off-H"</formula>
    </cfRule>
    <cfRule type="cellIs" dxfId="7457" priority="7957" operator="equal">
      <formula>"C-Off"</formula>
    </cfRule>
    <cfRule type="cellIs" dxfId="7456" priority="7958" operator="equal">
      <formula>"CL-H"</formula>
    </cfRule>
    <cfRule type="cellIs" dxfId="7455" priority="7959" operator="equal">
      <formula>"EL-H"</formula>
    </cfRule>
    <cfRule type="cellIs" dxfId="7454" priority="7960" operator="equal">
      <formula>"CL"</formula>
    </cfRule>
    <cfRule type="cellIs" dxfId="7453" priority="7961" operator="equal">
      <formula>"EL"</formula>
    </cfRule>
  </conditionalFormatting>
  <conditionalFormatting sqref="S27:T27">
    <cfRule type="containsText" dxfId="7452" priority="7950" operator="containsText" text="S">
      <formula>NOT(ISERROR(SEARCH("S",S27)))</formula>
    </cfRule>
    <cfRule type="containsText" dxfId="7451" priority="7951" operator="containsText" text="P">
      <formula>NOT(ISERROR(SEARCH("P",S27)))</formula>
    </cfRule>
    <cfRule type="containsText" dxfId="7450" priority="7952" operator="containsText" text="H">
      <formula>NOT(ISERROR(SEARCH("H",S27)))</formula>
    </cfRule>
    <cfRule type="containsText" dxfId="7449" priority="7954" operator="containsText" text="&quot;H&quot;">
      <formula>NOT(ISERROR(SEARCH("""H""",S27)))</formula>
    </cfRule>
    <cfRule type="containsText" dxfId="7448" priority="7955" operator="containsText" text="&quot;A&quot;">
      <formula>NOT(ISERROR(SEARCH("""A""",S27)))</formula>
    </cfRule>
  </conditionalFormatting>
  <conditionalFormatting sqref="S27:T27">
    <cfRule type="containsText" dxfId="7447" priority="7953" operator="containsText" text="A-H">
      <formula>NOT(ISERROR(SEARCH("A-H",S27)))</formula>
    </cfRule>
  </conditionalFormatting>
  <conditionalFormatting sqref="AB27:AC27">
    <cfRule type="cellIs" dxfId="7446" priority="7932" operator="equal">
      <formula>"C-Off-H"</formula>
    </cfRule>
    <cfRule type="cellIs" dxfId="7445" priority="7933" operator="equal">
      <formula>"C-Off"</formula>
    </cfRule>
    <cfRule type="cellIs" dxfId="7444" priority="7934" operator="equal">
      <formula>"CL-H"</formula>
    </cfRule>
    <cfRule type="cellIs" dxfId="7443" priority="7935" operator="equal">
      <formula>"EL-H"</formula>
    </cfRule>
    <cfRule type="cellIs" dxfId="7442" priority="7936" operator="equal">
      <formula>"CL"</formula>
    </cfRule>
    <cfRule type="cellIs" dxfId="7441" priority="7937" operator="equal">
      <formula>"EL"</formula>
    </cfRule>
  </conditionalFormatting>
  <conditionalFormatting sqref="AB27:AC27">
    <cfRule type="containsText" dxfId="7440" priority="7926" operator="containsText" text="S">
      <formula>NOT(ISERROR(SEARCH("S",AB27)))</formula>
    </cfRule>
    <cfRule type="containsText" dxfId="7439" priority="7927" operator="containsText" text="P">
      <formula>NOT(ISERROR(SEARCH("P",AB27)))</formula>
    </cfRule>
    <cfRule type="containsText" dxfId="7438" priority="7928" operator="containsText" text="H">
      <formula>NOT(ISERROR(SEARCH("H",AB27)))</formula>
    </cfRule>
    <cfRule type="containsText" dxfId="7437" priority="7930" operator="containsText" text="&quot;H&quot;">
      <formula>NOT(ISERROR(SEARCH("""H""",AB27)))</formula>
    </cfRule>
    <cfRule type="containsText" dxfId="7436" priority="7931" operator="containsText" text="&quot;A&quot;">
      <formula>NOT(ISERROR(SEARCH("""A""",AB27)))</formula>
    </cfRule>
  </conditionalFormatting>
  <conditionalFormatting sqref="AB27:AC27">
    <cfRule type="containsText" dxfId="7435" priority="7929" operator="containsText" text="A-H">
      <formula>NOT(ISERROR(SEARCH("A-H",AB27)))</formula>
    </cfRule>
  </conditionalFormatting>
  <conditionalFormatting sqref="AE27">
    <cfRule type="cellIs" dxfId="7434" priority="7920" operator="equal">
      <formula>"C-Off-H"</formula>
    </cfRule>
    <cfRule type="cellIs" dxfId="7433" priority="7921" operator="equal">
      <formula>"C-Off"</formula>
    </cfRule>
    <cfRule type="cellIs" dxfId="7432" priority="7922" operator="equal">
      <formula>"CL-H"</formula>
    </cfRule>
    <cfRule type="cellIs" dxfId="7431" priority="7923" operator="equal">
      <formula>"EL-H"</formula>
    </cfRule>
    <cfRule type="cellIs" dxfId="7430" priority="7924" operator="equal">
      <formula>"CL"</formula>
    </cfRule>
    <cfRule type="cellIs" dxfId="7429" priority="7925" operator="equal">
      <formula>"EL"</formula>
    </cfRule>
  </conditionalFormatting>
  <conditionalFormatting sqref="AE27">
    <cfRule type="containsText" dxfId="7428" priority="7914" operator="containsText" text="S">
      <formula>NOT(ISERROR(SEARCH("S",AE27)))</formula>
    </cfRule>
    <cfRule type="containsText" dxfId="7427" priority="7915" operator="containsText" text="P">
      <formula>NOT(ISERROR(SEARCH("P",AE27)))</formula>
    </cfRule>
    <cfRule type="containsText" dxfId="7426" priority="7916" operator="containsText" text="H">
      <formula>NOT(ISERROR(SEARCH("H",AE27)))</formula>
    </cfRule>
    <cfRule type="containsText" dxfId="7425" priority="7918" operator="containsText" text="&quot;H&quot;">
      <formula>NOT(ISERROR(SEARCH("""H""",AE27)))</formula>
    </cfRule>
    <cfRule type="containsText" dxfId="7424" priority="7919" operator="containsText" text="&quot;A&quot;">
      <formula>NOT(ISERROR(SEARCH("""A""",AE27)))</formula>
    </cfRule>
  </conditionalFormatting>
  <conditionalFormatting sqref="AE27">
    <cfRule type="containsText" dxfId="7423" priority="7917" operator="containsText" text="A-H">
      <formula>NOT(ISERROR(SEARCH("A-H",AE27)))</formula>
    </cfRule>
  </conditionalFormatting>
  <conditionalFormatting sqref="AK27:AL27">
    <cfRule type="cellIs" dxfId="7422" priority="7908" operator="equal">
      <formula>"C-Off-H"</formula>
    </cfRule>
    <cfRule type="cellIs" dxfId="7421" priority="7909" operator="equal">
      <formula>"C-Off"</formula>
    </cfRule>
    <cfRule type="cellIs" dxfId="7420" priority="7910" operator="equal">
      <formula>"CL-H"</formula>
    </cfRule>
    <cfRule type="cellIs" dxfId="7419" priority="7911" operator="equal">
      <formula>"EL-H"</formula>
    </cfRule>
    <cfRule type="cellIs" dxfId="7418" priority="7912" operator="equal">
      <formula>"CL"</formula>
    </cfRule>
    <cfRule type="cellIs" dxfId="7417" priority="7913" operator="equal">
      <formula>"EL"</formula>
    </cfRule>
  </conditionalFormatting>
  <conditionalFormatting sqref="AK27:AL27">
    <cfRule type="containsText" dxfId="7416" priority="7902" operator="containsText" text="S">
      <formula>NOT(ISERROR(SEARCH("S",AK27)))</formula>
    </cfRule>
    <cfRule type="containsText" dxfId="7415" priority="7903" operator="containsText" text="P">
      <formula>NOT(ISERROR(SEARCH("P",AK27)))</formula>
    </cfRule>
    <cfRule type="containsText" dxfId="7414" priority="7904" operator="containsText" text="H">
      <formula>NOT(ISERROR(SEARCH("H",AK27)))</formula>
    </cfRule>
    <cfRule type="containsText" dxfId="7413" priority="7906" operator="containsText" text="&quot;H&quot;">
      <formula>NOT(ISERROR(SEARCH("""H""",AK27)))</formula>
    </cfRule>
    <cfRule type="containsText" dxfId="7412" priority="7907" operator="containsText" text="&quot;A&quot;">
      <formula>NOT(ISERROR(SEARCH("""A""",AK27)))</formula>
    </cfRule>
  </conditionalFormatting>
  <conditionalFormatting sqref="AK27:AL27">
    <cfRule type="containsText" dxfId="7411" priority="7905" operator="containsText" text="A-H">
      <formula>NOT(ISERROR(SEARCH("A-H",AK27)))</formula>
    </cfRule>
  </conditionalFormatting>
  <conditionalFormatting sqref="AN27:AO27">
    <cfRule type="cellIs" dxfId="7410" priority="7896" operator="equal">
      <formula>"C-Off-H"</formula>
    </cfRule>
    <cfRule type="cellIs" dxfId="7409" priority="7897" operator="equal">
      <formula>"C-Off"</formula>
    </cfRule>
    <cfRule type="cellIs" dxfId="7408" priority="7898" operator="equal">
      <formula>"CL-H"</formula>
    </cfRule>
    <cfRule type="cellIs" dxfId="7407" priority="7899" operator="equal">
      <formula>"EL-H"</formula>
    </cfRule>
    <cfRule type="cellIs" dxfId="7406" priority="7900" operator="equal">
      <formula>"CL"</formula>
    </cfRule>
    <cfRule type="cellIs" dxfId="7405" priority="7901" operator="equal">
      <formula>"EL"</formula>
    </cfRule>
  </conditionalFormatting>
  <conditionalFormatting sqref="AN27:AO27">
    <cfRule type="containsText" dxfId="7404" priority="7890" operator="containsText" text="S">
      <formula>NOT(ISERROR(SEARCH("S",AN27)))</formula>
    </cfRule>
    <cfRule type="containsText" dxfId="7403" priority="7891" operator="containsText" text="P">
      <formula>NOT(ISERROR(SEARCH("P",AN27)))</formula>
    </cfRule>
    <cfRule type="containsText" dxfId="7402" priority="7892" operator="containsText" text="H">
      <formula>NOT(ISERROR(SEARCH("H",AN27)))</formula>
    </cfRule>
    <cfRule type="containsText" dxfId="7401" priority="7894" operator="containsText" text="&quot;H&quot;">
      <formula>NOT(ISERROR(SEARCH("""H""",AN27)))</formula>
    </cfRule>
    <cfRule type="containsText" dxfId="7400" priority="7895" operator="containsText" text="&quot;A&quot;">
      <formula>NOT(ISERROR(SEARCH("""A""",AN27)))</formula>
    </cfRule>
  </conditionalFormatting>
  <conditionalFormatting sqref="AN27:AO27">
    <cfRule type="containsText" dxfId="7399" priority="7893" operator="containsText" text="A-H">
      <formula>NOT(ISERROR(SEARCH("A-H",AN27)))</formula>
    </cfRule>
  </conditionalFormatting>
  <conditionalFormatting sqref="AQ27:AR27">
    <cfRule type="cellIs" dxfId="7398" priority="7884" operator="equal">
      <formula>"C-Off-H"</formula>
    </cfRule>
    <cfRule type="cellIs" dxfId="7397" priority="7885" operator="equal">
      <formula>"C-Off"</formula>
    </cfRule>
    <cfRule type="cellIs" dxfId="7396" priority="7886" operator="equal">
      <formula>"CL-H"</formula>
    </cfRule>
    <cfRule type="cellIs" dxfId="7395" priority="7887" operator="equal">
      <formula>"EL-H"</formula>
    </cfRule>
    <cfRule type="cellIs" dxfId="7394" priority="7888" operator="equal">
      <formula>"CL"</formula>
    </cfRule>
    <cfRule type="cellIs" dxfId="7393" priority="7889" operator="equal">
      <formula>"EL"</formula>
    </cfRule>
  </conditionalFormatting>
  <conditionalFormatting sqref="AQ27:AR27">
    <cfRule type="containsText" dxfId="7392" priority="7878" operator="containsText" text="S">
      <formula>NOT(ISERROR(SEARCH("S",AQ27)))</formula>
    </cfRule>
    <cfRule type="containsText" dxfId="7391" priority="7879" operator="containsText" text="P">
      <formula>NOT(ISERROR(SEARCH("P",AQ27)))</formula>
    </cfRule>
    <cfRule type="containsText" dxfId="7390" priority="7880" operator="containsText" text="H">
      <formula>NOT(ISERROR(SEARCH("H",AQ27)))</formula>
    </cfRule>
    <cfRule type="containsText" dxfId="7389" priority="7882" operator="containsText" text="&quot;H&quot;">
      <formula>NOT(ISERROR(SEARCH("""H""",AQ27)))</formula>
    </cfRule>
    <cfRule type="containsText" dxfId="7388" priority="7883" operator="containsText" text="&quot;A&quot;">
      <formula>NOT(ISERROR(SEARCH("""A""",AQ27)))</formula>
    </cfRule>
  </conditionalFormatting>
  <conditionalFormatting sqref="AQ27:AR27">
    <cfRule type="containsText" dxfId="7387" priority="7881" operator="containsText" text="A-H">
      <formula>NOT(ISERROR(SEARCH("A-H",AQ27)))</formula>
    </cfRule>
  </conditionalFormatting>
  <conditionalFormatting sqref="AW27:AX27">
    <cfRule type="cellIs" dxfId="7386" priority="7872" operator="equal">
      <formula>"C-Off-H"</formula>
    </cfRule>
    <cfRule type="cellIs" dxfId="7385" priority="7873" operator="equal">
      <formula>"C-Off"</formula>
    </cfRule>
    <cfRule type="cellIs" dxfId="7384" priority="7874" operator="equal">
      <formula>"CL-H"</formula>
    </cfRule>
    <cfRule type="cellIs" dxfId="7383" priority="7875" operator="equal">
      <formula>"EL-H"</formula>
    </cfRule>
    <cfRule type="cellIs" dxfId="7382" priority="7876" operator="equal">
      <formula>"CL"</formula>
    </cfRule>
    <cfRule type="cellIs" dxfId="7381" priority="7877" operator="equal">
      <formula>"EL"</formula>
    </cfRule>
  </conditionalFormatting>
  <conditionalFormatting sqref="AW27:AX27">
    <cfRule type="containsText" dxfId="7380" priority="7866" operator="containsText" text="S">
      <formula>NOT(ISERROR(SEARCH("S",AW27)))</formula>
    </cfRule>
    <cfRule type="containsText" dxfId="7379" priority="7867" operator="containsText" text="P">
      <formula>NOT(ISERROR(SEARCH("P",AW27)))</formula>
    </cfRule>
    <cfRule type="containsText" dxfId="7378" priority="7868" operator="containsText" text="H">
      <formula>NOT(ISERROR(SEARCH("H",AW27)))</formula>
    </cfRule>
    <cfRule type="containsText" dxfId="7377" priority="7870" operator="containsText" text="&quot;H&quot;">
      <formula>NOT(ISERROR(SEARCH("""H""",AW27)))</formula>
    </cfRule>
    <cfRule type="containsText" dxfId="7376" priority="7871" operator="containsText" text="&quot;A&quot;">
      <formula>NOT(ISERROR(SEARCH("""A""",AW27)))</formula>
    </cfRule>
  </conditionalFormatting>
  <conditionalFormatting sqref="AW27:AX27">
    <cfRule type="containsText" dxfId="7375" priority="7869" operator="containsText" text="A-H">
      <formula>NOT(ISERROR(SEARCH("A-H",AW27)))</formula>
    </cfRule>
  </conditionalFormatting>
  <conditionalFormatting sqref="AZ27:BA27">
    <cfRule type="cellIs" dxfId="7374" priority="7860" operator="equal">
      <formula>"C-Off-H"</formula>
    </cfRule>
    <cfRule type="cellIs" dxfId="7373" priority="7861" operator="equal">
      <formula>"C-Off"</formula>
    </cfRule>
    <cfRule type="cellIs" dxfId="7372" priority="7862" operator="equal">
      <formula>"CL-H"</formula>
    </cfRule>
    <cfRule type="cellIs" dxfId="7371" priority="7863" operator="equal">
      <formula>"EL-H"</formula>
    </cfRule>
    <cfRule type="cellIs" dxfId="7370" priority="7864" operator="equal">
      <formula>"CL"</formula>
    </cfRule>
    <cfRule type="cellIs" dxfId="7369" priority="7865" operator="equal">
      <formula>"EL"</formula>
    </cfRule>
  </conditionalFormatting>
  <conditionalFormatting sqref="AZ27:BA27">
    <cfRule type="containsText" dxfId="7368" priority="7854" operator="containsText" text="S">
      <formula>NOT(ISERROR(SEARCH("S",AZ27)))</formula>
    </cfRule>
    <cfRule type="containsText" dxfId="7367" priority="7855" operator="containsText" text="P">
      <formula>NOT(ISERROR(SEARCH("P",AZ27)))</formula>
    </cfRule>
    <cfRule type="containsText" dxfId="7366" priority="7856" operator="containsText" text="H">
      <formula>NOT(ISERROR(SEARCH("H",AZ27)))</formula>
    </cfRule>
    <cfRule type="containsText" dxfId="7365" priority="7858" operator="containsText" text="&quot;H&quot;">
      <formula>NOT(ISERROR(SEARCH("""H""",AZ27)))</formula>
    </cfRule>
    <cfRule type="containsText" dxfId="7364" priority="7859" operator="containsText" text="&quot;A&quot;">
      <formula>NOT(ISERROR(SEARCH("""A""",AZ27)))</formula>
    </cfRule>
  </conditionalFormatting>
  <conditionalFormatting sqref="AZ27:BA27">
    <cfRule type="containsText" dxfId="7363" priority="7857" operator="containsText" text="A-H">
      <formula>NOT(ISERROR(SEARCH("A-H",AZ27)))</formula>
    </cfRule>
  </conditionalFormatting>
  <conditionalFormatting sqref="BC27:BD27">
    <cfRule type="cellIs" dxfId="7362" priority="7848" operator="equal">
      <formula>"C-Off-H"</formula>
    </cfRule>
    <cfRule type="cellIs" dxfId="7361" priority="7849" operator="equal">
      <formula>"C-Off"</formula>
    </cfRule>
    <cfRule type="cellIs" dxfId="7360" priority="7850" operator="equal">
      <formula>"CL-H"</formula>
    </cfRule>
    <cfRule type="cellIs" dxfId="7359" priority="7851" operator="equal">
      <formula>"EL-H"</formula>
    </cfRule>
    <cfRule type="cellIs" dxfId="7358" priority="7852" operator="equal">
      <formula>"CL"</formula>
    </cfRule>
    <cfRule type="cellIs" dxfId="7357" priority="7853" operator="equal">
      <formula>"EL"</formula>
    </cfRule>
  </conditionalFormatting>
  <conditionalFormatting sqref="BC27:BD27">
    <cfRule type="containsText" dxfId="7356" priority="7842" operator="containsText" text="S">
      <formula>NOT(ISERROR(SEARCH("S",BC27)))</formula>
    </cfRule>
    <cfRule type="containsText" dxfId="7355" priority="7843" operator="containsText" text="P">
      <formula>NOT(ISERROR(SEARCH("P",BC27)))</formula>
    </cfRule>
    <cfRule type="containsText" dxfId="7354" priority="7844" operator="containsText" text="H">
      <formula>NOT(ISERROR(SEARCH("H",BC27)))</formula>
    </cfRule>
    <cfRule type="containsText" dxfId="7353" priority="7846" operator="containsText" text="&quot;H&quot;">
      <formula>NOT(ISERROR(SEARCH("""H""",BC27)))</formula>
    </cfRule>
    <cfRule type="containsText" dxfId="7352" priority="7847" operator="containsText" text="&quot;A&quot;">
      <formula>NOT(ISERROR(SEARCH("""A""",BC27)))</formula>
    </cfRule>
  </conditionalFormatting>
  <conditionalFormatting sqref="BC27:BD27">
    <cfRule type="containsText" dxfId="7351" priority="7845" operator="containsText" text="A-H">
      <formula>NOT(ISERROR(SEARCH("A-H",BC27)))</formula>
    </cfRule>
  </conditionalFormatting>
  <conditionalFormatting sqref="BF27:BG27">
    <cfRule type="cellIs" dxfId="7350" priority="7836" operator="equal">
      <formula>"C-Off-H"</formula>
    </cfRule>
    <cfRule type="cellIs" dxfId="7349" priority="7837" operator="equal">
      <formula>"C-Off"</formula>
    </cfRule>
    <cfRule type="cellIs" dxfId="7348" priority="7838" operator="equal">
      <formula>"CL-H"</formula>
    </cfRule>
    <cfRule type="cellIs" dxfId="7347" priority="7839" operator="equal">
      <formula>"EL-H"</formula>
    </cfRule>
    <cfRule type="cellIs" dxfId="7346" priority="7840" operator="equal">
      <formula>"CL"</formula>
    </cfRule>
    <cfRule type="cellIs" dxfId="7345" priority="7841" operator="equal">
      <formula>"EL"</formula>
    </cfRule>
  </conditionalFormatting>
  <conditionalFormatting sqref="BF27:BG27">
    <cfRule type="containsText" dxfId="7344" priority="7830" operator="containsText" text="S">
      <formula>NOT(ISERROR(SEARCH("S",BF27)))</formula>
    </cfRule>
    <cfRule type="containsText" dxfId="7343" priority="7831" operator="containsText" text="P">
      <formula>NOT(ISERROR(SEARCH("P",BF27)))</formula>
    </cfRule>
    <cfRule type="containsText" dxfId="7342" priority="7832" operator="containsText" text="H">
      <formula>NOT(ISERROR(SEARCH("H",BF27)))</formula>
    </cfRule>
    <cfRule type="containsText" dxfId="7341" priority="7834" operator="containsText" text="&quot;H&quot;">
      <formula>NOT(ISERROR(SEARCH("""H""",BF27)))</formula>
    </cfRule>
    <cfRule type="containsText" dxfId="7340" priority="7835" operator="containsText" text="&quot;A&quot;">
      <formula>NOT(ISERROR(SEARCH("""A""",BF27)))</formula>
    </cfRule>
  </conditionalFormatting>
  <conditionalFormatting sqref="BF27:BG27">
    <cfRule type="containsText" dxfId="7339" priority="7833" operator="containsText" text="A-H">
      <formula>NOT(ISERROR(SEARCH("A-H",BF27)))</formula>
    </cfRule>
  </conditionalFormatting>
  <conditionalFormatting sqref="BI27:BJ27">
    <cfRule type="cellIs" dxfId="7338" priority="7824" operator="equal">
      <formula>"C-Off-H"</formula>
    </cfRule>
    <cfRule type="cellIs" dxfId="7337" priority="7825" operator="equal">
      <formula>"C-Off"</formula>
    </cfRule>
    <cfRule type="cellIs" dxfId="7336" priority="7826" operator="equal">
      <formula>"CL-H"</formula>
    </cfRule>
    <cfRule type="cellIs" dxfId="7335" priority="7827" operator="equal">
      <formula>"EL-H"</formula>
    </cfRule>
    <cfRule type="cellIs" dxfId="7334" priority="7828" operator="equal">
      <formula>"CL"</formula>
    </cfRule>
    <cfRule type="cellIs" dxfId="7333" priority="7829" operator="equal">
      <formula>"EL"</formula>
    </cfRule>
  </conditionalFormatting>
  <conditionalFormatting sqref="BI27:BJ27">
    <cfRule type="containsText" dxfId="7332" priority="7818" operator="containsText" text="S">
      <formula>NOT(ISERROR(SEARCH("S",BI27)))</formula>
    </cfRule>
    <cfRule type="containsText" dxfId="7331" priority="7819" operator="containsText" text="P">
      <formula>NOT(ISERROR(SEARCH("P",BI27)))</formula>
    </cfRule>
    <cfRule type="containsText" dxfId="7330" priority="7820" operator="containsText" text="H">
      <formula>NOT(ISERROR(SEARCH("H",BI27)))</formula>
    </cfRule>
    <cfRule type="containsText" dxfId="7329" priority="7822" operator="containsText" text="&quot;H&quot;">
      <formula>NOT(ISERROR(SEARCH("""H""",BI27)))</formula>
    </cfRule>
    <cfRule type="containsText" dxfId="7328" priority="7823" operator="containsText" text="&quot;A&quot;">
      <formula>NOT(ISERROR(SEARCH("""A""",BI27)))</formula>
    </cfRule>
  </conditionalFormatting>
  <conditionalFormatting sqref="BI27:BJ27">
    <cfRule type="containsText" dxfId="7327" priority="7821" operator="containsText" text="A-H">
      <formula>NOT(ISERROR(SEARCH("A-H",BI27)))</formula>
    </cfRule>
  </conditionalFormatting>
  <conditionalFormatting sqref="BL27:BM27">
    <cfRule type="cellIs" dxfId="7326" priority="7812" operator="equal">
      <formula>"C-Off-H"</formula>
    </cfRule>
    <cfRule type="cellIs" dxfId="7325" priority="7813" operator="equal">
      <formula>"C-Off"</formula>
    </cfRule>
    <cfRule type="cellIs" dxfId="7324" priority="7814" operator="equal">
      <formula>"CL-H"</formula>
    </cfRule>
    <cfRule type="cellIs" dxfId="7323" priority="7815" operator="equal">
      <formula>"EL-H"</formula>
    </cfRule>
    <cfRule type="cellIs" dxfId="7322" priority="7816" operator="equal">
      <formula>"CL"</formula>
    </cfRule>
    <cfRule type="cellIs" dxfId="7321" priority="7817" operator="equal">
      <formula>"EL"</formula>
    </cfRule>
  </conditionalFormatting>
  <conditionalFormatting sqref="BL27:BM27">
    <cfRule type="containsText" dxfId="7320" priority="7806" operator="containsText" text="S">
      <formula>NOT(ISERROR(SEARCH("S",BL27)))</formula>
    </cfRule>
    <cfRule type="containsText" dxfId="7319" priority="7807" operator="containsText" text="P">
      <formula>NOT(ISERROR(SEARCH("P",BL27)))</formula>
    </cfRule>
    <cfRule type="containsText" dxfId="7318" priority="7808" operator="containsText" text="H">
      <formula>NOT(ISERROR(SEARCH("H",BL27)))</formula>
    </cfRule>
    <cfRule type="containsText" dxfId="7317" priority="7810" operator="containsText" text="&quot;H&quot;">
      <formula>NOT(ISERROR(SEARCH("""H""",BL27)))</formula>
    </cfRule>
    <cfRule type="containsText" dxfId="7316" priority="7811" operator="containsText" text="&quot;A&quot;">
      <formula>NOT(ISERROR(SEARCH("""A""",BL27)))</formula>
    </cfRule>
  </conditionalFormatting>
  <conditionalFormatting sqref="BL27:BM27">
    <cfRule type="containsText" dxfId="7315" priority="7809" operator="containsText" text="A-H">
      <formula>NOT(ISERROR(SEARCH("A-H",BL27)))</formula>
    </cfRule>
  </conditionalFormatting>
  <conditionalFormatting sqref="BR27:BS27">
    <cfRule type="cellIs" dxfId="7314" priority="7800" operator="equal">
      <formula>"C-Off-H"</formula>
    </cfRule>
    <cfRule type="cellIs" dxfId="7313" priority="7801" operator="equal">
      <formula>"C-Off"</formula>
    </cfRule>
    <cfRule type="cellIs" dxfId="7312" priority="7802" operator="equal">
      <formula>"CL-H"</formula>
    </cfRule>
    <cfRule type="cellIs" dxfId="7311" priority="7803" operator="equal">
      <formula>"EL-H"</formula>
    </cfRule>
    <cfRule type="cellIs" dxfId="7310" priority="7804" operator="equal">
      <formula>"CL"</formula>
    </cfRule>
    <cfRule type="cellIs" dxfId="7309" priority="7805" operator="equal">
      <formula>"EL"</formula>
    </cfRule>
  </conditionalFormatting>
  <conditionalFormatting sqref="BR27:BS27">
    <cfRule type="containsText" dxfId="7308" priority="7794" operator="containsText" text="S">
      <formula>NOT(ISERROR(SEARCH("S",BR27)))</formula>
    </cfRule>
    <cfRule type="containsText" dxfId="7307" priority="7795" operator="containsText" text="P">
      <formula>NOT(ISERROR(SEARCH("P",BR27)))</formula>
    </cfRule>
    <cfRule type="containsText" dxfId="7306" priority="7796" operator="containsText" text="H">
      <formula>NOT(ISERROR(SEARCH("H",BR27)))</formula>
    </cfRule>
    <cfRule type="containsText" dxfId="7305" priority="7798" operator="containsText" text="&quot;H&quot;">
      <formula>NOT(ISERROR(SEARCH("""H""",BR27)))</formula>
    </cfRule>
    <cfRule type="containsText" dxfId="7304" priority="7799" operator="containsText" text="&quot;A&quot;">
      <formula>NOT(ISERROR(SEARCH("""A""",BR27)))</formula>
    </cfRule>
  </conditionalFormatting>
  <conditionalFormatting sqref="BR27:BS27">
    <cfRule type="containsText" dxfId="7303" priority="7797" operator="containsText" text="A-H">
      <formula>NOT(ISERROR(SEARCH("A-H",BR27)))</formula>
    </cfRule>
  </conditionalFormatting>
  <conditionalFormatting sqref="BU27:BV27">
    <cfRule type="cellIs" dxfId="7302" priority="7788" operator="equal">
      <formula>"C-Off-H"</formula>
    </cfRule>
    <cfRule type="cellIs" dxfId="7301" priority="7789" operator="equal">
      <formula>"C-Off"</formula>
    </cfRule>
    <cfRule type="cellIs" dxfId="7300" priority="7790" operator="equal">
      <formula>"CL-H"</formula>
    </cfRule>
    <cfRule type="cellIs" dxfId="7299" priority="7791" operator="equal">
      <formula>"EL-H"</formula>
    </cfRule>
    <cfRule type="cellIs" dxfId="7298" priority="7792" operator="equal">
      <formula>"CL"</formula>
    </cfRule>
    <cfRule type="cellIs" dxfId="7297" priority="7793" operator="equal">
      <formula>"EL"</formula>
    </cfRule>
  </conditionalFormatting>
  <conditionalFormatting sqref="BU27:BV27">
    <cfRule type="containsText" dxfId="7296" priority="7782" operator="containsText" text="S">
      <formula>NOT(ISERROR(SEARCH("S",BU27)))</formula>
    </cfRule>
    <cfRule type="containsText" dxfId="7295" priority="7783" operator="containsText" text="P">
      <formula>NOT(ISERROR(SEARCH("P",BU27)))</formula>
    </cfRule>
    <cfRule type="containsText" dxfId="7294" priority="7784" operator="containsText" text="H">
      <formula>NOT(ISERROR(SEARCH("H",BU27)))</formula>
    </cfRule>
    <cfRule type="containsText" dxfId="7293" priority="7786" operator="containsText" text="&quot;H&quot;">
      <formula>NOT(ISERROR(SEARCH("""H""",BU27)))</formula>
    </cfRule>
    <cfRule type="containsText" dxfId="7292" priority="7787" operator="containsText" text="&quot;A&quot;">
      <formula>NOT(ISERROR(SEARCH("""A""",BU27)))</formula>
    </cfRule>
  </conditionalFormatting>
  <conditionalFormatting sqref="BU27:BV27">
    <cfRule type="containsText" dxfId="7291" priority="7785" operator="containsText" text="A-H">
      <formula>NOT(ISERROR(SEARCH("A-H",BU27)))</formula>
    </cfRule>
  </conditionalFormatting>
  <conditionalFormatting sqref="BY27">
    <cfRule type="cellIs" dxfId="7290" priority="7776" operator="equal">
      <formula>"C-Off-H"</formula>
    </cfRule>
    <cfRule type="cellIs" dxfId="7289" priority="7777" operator="equal">
      <formula>"C-Off"</formula>
    </cfRule>
    <cfRule type="cellIs" dxfId="7288" priority="7778" operator="equal">
      <formula>"CL-H"</formula>
    </cfRule>
    <cfRule type="cellIs" dxfId="7287" priority="7779" operator="equal">
      <formula>"EL-H"</formula>
    </cfRule>
    <cfRule type="cellIs" dxfId="7286" priority="7780" operator="equal">
      <formula>"CL"</formula>
    </cfRule>
    <cfRule type="cellIs" dxfId="7285" priority="7781" operator="equal">
      <formula>"EL"</formula>
    </cfRule>
  </conditionalFormatting>
  <conditionalFormatting sqref="BY27">
    <cfRule type="containsText" dxfId="7284" priority="7770" operator="containsText" text="S">
      <formula>NOT(ISERROR(SEARCH("S",BY27)))</formula>
    </cfRule>
    <cfRule type="containsText" dxfId="7283" priority="7771" operator="containsText" text="P">
      <formula>NOT(ISERROR(SEARCH("P",BY27)))</formula>
    </cfRule>
    <cfRule type="containsText" dxfId="7282" priority="7772" operator="containsText" text="H">
      <formula>NOT(ISERROR(SEARCH("H",BY27)))</formula>
    </cfRule>
    <cfRule type="containsText" dxfId="7281" priority="7774" operator="containsText" text="&quot;H&quot;">
      <formula>NOT(ISERROR(SEARCH("""H""",BY27)))</formula>
    </cfRule>
    <cfRule type="containsText" dxfId="7280" priority="7775" operator="containsText" text="&quot;A&quot;">
      <formula>NOT(ISERROR(SEARCH("""A""",BY27)))</formula>
    </cfRule>
  </conditionalFormatting>
  <conditionalFormatting sqref="BY27">
    <cfRule type="containsText" dxfId="7279" priority="7773" operator="containsText" text="A-H">
      <formula>NOT(ISERROR(SEARCH("A-H",BY27)))</formula>
    </cfRule>
  </conditionalFormatting>
  <conditionalFormatting sqref="BX27">
    <cfRule type="cellIs" dxfId="7278" priority="7764" operator="equal">
      <formula>"C-Off-H"</formula>
    </cfRule>
    <cfRule type="cellIs" dxfId="7277" priority="7765" operator="equal">
      <formula>"C-Off"</formula>
    </cfRule>
    <cfRule type="cellIs" dxfId="7276" priority="7766" operator="equal">
      <formula>"CL-H"</formula>
    </cfRule>
    <cfRule type="cellIs" dxfId="7275" priority="7767" operator="equal">
      <formula>"EL-H"</formula>
    </cfRule>
    <cfRule type="cellIs" dxfId="7274" priority="7768" operator="equal">
      <formula>"CL"</formula>
    </cfRule>
    <cfRule type="cellIs" dxfId="7273" priority="7769" operator="equal">
      <formula>"EL"</formula>
    </cfRule>
  </conditionalFormatting>
  <conditionalFormatting sqref="BX27">
    <cfRule type="containsText" dxfId="7272" priority="7758" operator="containsText" text="S">
      <formula>NOT(ISERROR(SEARCH("S",BX27)))</formula>
    </cfRule>
    <cfRule type="containsText" dxfId="7271" priority="7759" operator="containsText" text="P">
      <formula>NOT(ISERROR(SEARCH("P",BX27)))</formula>
    </cfRule>
    <cfRule type="containsText" dxfId="7270" priority="7760" operator="containsText" text="H">
      <formula>NOT(ISERROR(SEARCH("H",BX27)))</formula>
    </cfRule>
    <cfRule type="containsText" dxfId="7269" priority="7762" operator="containsText" text="&quot;H&quot;">
      <formula>NOT(ISERROR(SEARCH("""H""",BX27)))</formula>
    </cfRule>
    <cfRule type="containsText" dxfId="7268" priority="7763" operator="containsText" text="&quot;A&quot;">
      <formula>NOT(ISERROR(SEARCH("""A""",BX27)))</formula>
    </cfRule>
  </conditionalFormatting>
  <conditionalFormatting sqref="BX27">
    <cfRule type="containsText" dxfId="7267" priority="7761" operator="containsText" text="A-H">
      <formula>NOT(ISERROR(SEARCH("A-H",BX27)))</formula>
    </cfRule>
  </conditionalFormatting>
  <conditionalFormatting sqref="CN27">
    <cfRule type="cellIs" dxfId="7266" priority="7752" operator="equal">
      <formula>"C-Off-H"</formula>
    </cfRule>
    <cfRule type="cellIs" dxfId="7265" priority="7753" operator="equal">
      <formula>"C-Off"</formula>
    </cfRule>
    <cfRule type="cellIs" dxfId="7264" priority="7754" operator="equal">
      <formula>"CL-H"</formula>
    </cfRule>
    <cfRule type="cellIs" dxfId="7263" priority="7755" operator="equal">
      <formula>"EL-H"</formula>
    </cfRule>
    <cfRule type="cellIs" dxfId="7262" priority="7756" operator="equal">
      <formula>"CL"</formula>
    </cfRule>
    <cfRule type="cellIs" dxfId="7261" priority="7757" operator="equal">
      <formula>"EL"</formula>
    </cfRule>
  </conditionalFormatting>
  <conditionalFormatting sqref="CN27">
    <cfRule type="containsText" dxfId="7260" priority="7751" operator="containsText" text="A-H">
      <formula>NOT(ISERROR(SEARCH("A-H",CN27)))</formula>
    </cfRule>
  </conditionalFormatting>
  <conditionalFormatting sqref="CN27">
    <cfRule type="containsText" dxfId="7259" priority="7750" operator="containsText" text="A">
      <formula>NOT(ISERROR(SEARCH("A",CN27)))</formula>
    </cfRule>
  </conditionalFormatting>
  <conditionalFormatting sqref="CN27">
    <cfRule type="containsText" dxfId="7258" priority="7745" operator="containsText" text="S">
      <formula>NOT(ISERROR(SEARCH("S",CN27)))</formula>
    </cfRule>
    <cfRule type="containsText" dxfId="7257" priority="7746" operator="containsText" text="P">
      <formula>NOT(ISERROR(SEARCH("P",CN27)))</formula>
    </cfRule>
    <cfRule type="containsText" dxfId="7256" priority="7747" operator="containsText" text="H">
      <formula>NOT(ISERROR(SEARCH("H",CN27)))</formula>
    </cfRule>
    <cfRule type="containsText" dxfId="7255" priority="7748" operator="containsText" text="&quot;H&quot;">
      <formula>NOT(ISERROR(SEARCH("""H""",CN27)))</formula>
    </cfRule>
    <cfRule type="containsText" dxfId="7254" priority="7749" operator="containsText" text="&quot;A&quot;">
      <formula>NOT(ISERROR(SEARCH("""A""",CN27)))</formula>
    </cfRule>
  </conditionalFormatting>
  <conditionalFormatting sqref="CA27:CB27">
    <cfRule type="cellIs" dxfId="7253" priority="7739" operator="equal">
      <formula>"C-Off-H"</formula>
    </cfRule>
    <cfRule type="cellIs" dxfId="7252" priority="7740" operator="equal">
      <formula>"C-Off"</formula>
    </cfRule>
    <cfRule type="cellIs" dxfId="7251" priority="7741" operator="equal">
      <formula>"CL-H"</formula>
    </cfRule>
    <cfRule type="cellIs" dxfId="7250" priority="7742" operator="equal">
      <formula>"EL-H"</formula>
    </cfRule>
    <cfRule type="cellIs" dxfId="7249" priority="7743" operator="equal">
      <formula>"CL"</formula>
    </cfRule>
    <cfRule type="cellIs" dxfId="7248" priority="7744" operator="equal">
      <formula>"EL"</formula>
    </cfRule>
  </conditionalFormatting>
  <conditionalFormatting sqref="CA27:CB27">
    <cfRule type="containsText" dxfId="7247" priority="7733" operator="containsText" text="S">
      <formula>NOT(ISERROR(SEARCH("S",CA27)))</formula>
    </cfRule>
    <cfRule type="containsText" dxfId="7246" priority="7734" operator="containsText" text="P">
      <formula>NOT(ISERROR(SEARCH("P",CA27)))</formula>
    </cfRule>
    <cfRule type="containsText" dxfId="7245" priority="7735" operator="containsText" text="H">
      <formula>NOT(ISERROR(SEARCH("H",CA27)))</formula>
    </cfRule>
    <cfRule type="containsText" dxfId="7244" priority="7737" operator="containsText" text="&quot;H&quot;">
      <formula>NOT(ISERROR(SEARCH("""H""",CA27)))</formula>
    </cfRule>
    <cfRule type="containsText" dxfId="7243" priority="7738" operator="containsText" text="&quot;A&quot;">
      <formula>NOT(ISERROR(SEARCH("""A""",CA27)))</formula>
    </cfRule>
  </conditionalFormatting>
  <conditionalFormatting sqref="CA27:CB27">
    <cfRule type="containsText" dxfId="7242" priority="7736" operator="containsText" text="A-H">
      <formula>NOT(ISERROR(SEARCH("A-H",CA27)))</formula>
    </cfRule>
  </conditionalFormatting>
  <conditionalFormatting sqref="CD27:CE27">
    <cfRule type="cellIs" dxfId="7241" priority="7727" operator="equal">
      <formula>"C-Off-H"</formula>
    </cfRule>
    <cfRule type="cellIs" dxfId="7240" priority="7728" operator="equal">
      <formula>"C-Off"</formula>
    </cfRule>
    <cfRule type="cellIs" dxfId="7239" priority="7729" operator="equal">
      <formula>"CL-H"</formula>
    </cfRule>
    <cfRule type="cellIs" dxfId="7238" priority="7730" operator="equal">
      <formula>"EL-H"</formula>
    </cfRule>
    <cfRule type="cellIs" dxfId="7237" priority="7731" operator="equal">
      <formula>"CL"</formula>
    </cfRule>
    <cfRule type="cellIs" dxfId="7236" priority="7732" operator="equal">
      <formula>"EL"</formula>
    </cfRule>
  </conditionalFormatting>
  <conditionalFormatting sqref="CD27:CE27">
    <cfRule type="containsText" dxfId="7235" priority="7721" operator="containsText" text="S">
      <formula>NOT(ISERROR(SEARCH("S",CD27)))</formula>
    </cfRule>
    <cfRule type="containsText" dxfId="7234" priority="7722" operator="containsText" text="P">
      <formula>NOT(ISERROR(SEARCH("P",CD27)))</formula>
    </cfRule>
    <cfRule type="containsText" dxfId="7233" priority="7723" operator="containsText" text="H">
      <formula>NOT(ISERROR(SEARCH("H",CD27)))</formula>
    </cfRule>
    <cfRule type="containsText" dxfId="7232" priority="7725" operator="containsText" text="&quot;H&quot;">
      <formula>NOT(ISERROR(SEARCH("""H""",CD27)))</formula>
    </cfRule>
    <cfRule type="containsText" dxfId="7231" priority="7726" operator="containsText" text="&quot;A&quot;">
      <formula>NOT(ISERROR(SEARCH("""A""",CD27)))</formula>
    </cfRule>
  </conditionalFormatting>
  <conditionalFormatting sqref="CD27:CE27">
    <cfRule type="containsText" dxfId="7230" priority="7724" operator="containsText" text="A-H">
      <formula>NOT(ISERROR(SEARCH("A-H",CD27)))</formula>
    </cfRule>
  </conditionalFormatting>
  <conditionalFormatting sqref="CH27">
    <cfRule type="cellIs" dxfId="7229" priority="7715" operator="equal">
      <formula>"C-Off-H"</formula>
    </cfRule>
    <cfRule type="cellIs" dxfId="7228" priority="7716" operator="equal">
      <formula>"C-Off"</formula>
    </cfRule>
    <cfRule type="cellIs" dxfId="7227" priority="7717" operator="equal">
      <formula>"CL-H"</formula>
    </cfRule>
    <cfRule type="cellIs" dxfId="7226" priority="7718" operator="equal">
      <formula>"EL-H"</formula>
    </cfRule>
    <cfRule type="cellIs" dxfId="7225" priority="7719" operator="equal">
      <formula>"CL"</formula>
    </cfRule>
    <cfRule type="cellIs" dxfId="7224" priority="7720" operator="equal">
      <formula>"EL"</formula>
    </cfRule>
  </conditionalFormatting>
  <conditionalFormatting sqref="CH27">
    <cfRule type="containsText" dxfId="7223" priority="7709" operator="containsText" text="S">
      <formula>NOT(ISERROR(SEARCH("S",CH27)))</formula>
    </cfRule>
    <cfRule type="containsText" dxfId="7222" priority="7710" operator="containsText" text="P">
      <formula>NOT(ISERROR(SEARCH("P",CH27)))</formula>
    </cfRule>
    <cfRule type="containsText" dxfId="7221" priority="7711" operator="containsText" text="H">
      <formula>NOT(ISERROR(SEARCH("H",CH27)))</formula>
    </cfRule>
    <cfRule type="containsText" dxfId="7220" priority="7713" operator="containsText" text="&quot;H&quot;">
      <formula>NOT(ISERROR(SEARCH("""H""",CH27)))</formula>
    </cfRule>
    <cfRule type="containsText" dxfId="7219" priority="7714" operator="containsText" text="&quot;A&quot;">
      <formula>NOT(ISERROR(SEARCH("""A""",CH27)))</formula>
    </cfRule>
  </conditionalFormatting>
  <conditionalFormatting sqref="CH27">
    <cfRule type="containsText" dxfId="7218" priority="7712" operator="containsText" text="A-H">
      <formula>NOT(ISERROR(SEARCH("A-H",CH27)))</formula>
    </cfRule>
  </conditionalFormatting>
  <conditionalFormatting sqref="CG27">
    <cfRule type="cellIs" dxfId="7217" priority="7703" operator="equal">
      <formula>"C-Off-H"</formula>
    </cfRule>
    <cfRule type="cellIs" dxfId="7216" priority="7704" operator="equal">
      <formula>"C-Off"</formula>
    </cfRule>
    <cfRule type="cellIs" dxfId="7215" priority="7705" operator="equal">
      <formula>"CL-H"</formula>
    </cfRule>
    <cfRule type="cellIs" dxfId="7214" priority="7706" operator="equal">
      <formula>"EL-H"</formula>
    </cfRule>
    <cfRule type="cellIs" dxfId="7213" priority="7707" operator="equal">
      <formula>"CL"</formula>
    </cfRule>
    <cfRule type="cellIs" dxfId="7212" priority="7708" operator="equal">
      <formula>"EL"</formula>
    </cfRule>
  </conditionalFormatting>
  <conditionalFormatting sqref="CG27">
    <cfRule type="containsText" dxfId="7211" priority="7697" operator="containsText" text="S">
      <formula>NOT(ISERROR(SEARCH("S",CG27)))</formula>
    </cfRule>
    <cfRule type="containsText" dxfId="7210" priority="7698" operator="containsText" text="P">
      <formula>NOT(ISERROR(SEARCH("P",CG27)))</formula>
    </cfRule>
    <cfRule type="containsText" dxfId="7209" priority="7699" operator="containsText" text="H">
      <formula>NOT(ISERROR(SEARCH("H",CG27)))</formula>
    </cfRule>
    <cfRule type="containsText" dxfId="7208" priority="7701" operator="containsText" text="&quot;H&quot;">
      <formula>NOT(ISERROR(SEARCH("""H""",CG27)))</formula>
    </cfRule>
    <cfRule type="containsText" dxfId="7207" priority="7702" operator="containsText" text="&quot;A&quot;">
      <formula>NOT(ISERROR(SEARCH("""A""",CG27)))</formula>
    </cfRule>
  </conditionalFormatting>
  <conditionalFormatting sqref="CG27">
    <cfRule type="containsText" dxfId="7206" priority="7700" operator="containsText" text="A-H">
      <formula>NOT(ISERROR(SEARCH("A-H",CG27)))</formula>
    </cfRule>
  </conditionalFormatting>
  <conditionalFormatting sqref="H27">
    <cfRule type="cellIs" dxfId="7205" priority="7660" operator="equal">
      <formula>"C-Off-H"</formula>
    </cfRule>
    <cfRule type="cellIs" dxfId="7204" priority="7661" operator="equal">
      <formula>"C-Off"</formula>
    </cfRule>
    <cfRule type="cellIs" dxfId="7203" priority="7662" operator="equal">
      <formula>"CL-H"</formula>
    </cfRule>
    <cfRule type="cellIs" dxfId="7202" priority="7663" operator="equal">
      <formula>"EL-H"</formula>
    </cfRule>
    <cfRule type="cellIs" dxfId="7201" priority="7664" operator="equal">
      <formula>"CL"</formula>
    </cfRule>
    <cfRule type="cellIs" dxfId="7200" priority="7665" operator="equal">
      <formula>"EL"</formula>
    </cfRule>
  </conditionalFormatting>
  <conditionalFormatting sqref="G27:H27">
    <cfRule type="cellIs" dxfId="7199" priority="7654" operator="equal">
      <formula>"C-Off-H"</formula>
    </cfRule>
    <cfRule type="cellIs" dxfId="7198" priority="7655" operator="equal">
      <formula>"C-Off"</formula>
    </cfRule>
    <cfRule type="cellIs" dxfId="7197" priority="7656" operator="equal">
      <formula>"CL-H"</formula>
    </cfRule>
    <cfRule type="cellIs" dxfId="7196" priority="7657" operator="equal">
      <formula>"EL-H"</formula>
    </cfRule>
    <cfRule type="cellIs" dxfId="7195" priority="7658" operator="equal">
      <formula>"CL"</formula>
    </cfRule>
    <cfRule type="cellIs" dxfId="7194" priority="7659" operator="equal">
      <formula>"EL"</formula>
    </cfRule>
  </conditionalFormatting>
  <conditionalFormatting sqref="G27:H27">
    <cfRule type="containsText" dxfId="7193" priority="7648" operator="containsText" text="S">
      <formula>NOT(ISERROR(SEARCH("S",G27)))</formula>
    </cfRule>
    <cfRule type="containsText" dxfId="7192" priority="7649" operator="containsText" text="P">
      <formula>NOT(ISERROR(SEARCH("P",G27)))</formula>
    </cfRule>
    <cfRule type="containsText" dxfId="7191" priority="7650" operator="containsText" text="H">
      <formula>NOT(ISERROR(SEARCH("H",G27)))</formula>
    </cfRule>
    <cfRule type="containsText" dxfId="7190" priority="7652" operator="containsText" text="&quot;H&quot;">
      <formula>NOT(ISERROR(SEARCH("""H""",G27)))</formula>
    </cfRule>
    <cfRule type="containsText" dxfId="7189" priority="7653" operator="containsText" text="&quot;A&quot;">
      <formula>NOT(ISERROR(SEARCH("""A""",G27)))</formula>
    </cfRule>
  </conditionalFormatting>
  <conditionalFormatting sqref="G27:H27">
    <cfRule type="containsText" dxfId="7188" priority="7651" operator="containsText" text="A-H">
      <formula>NOT(ISERROR(SEARCH("A-H",G27)))</formula>
    </cfRule>
  </conditionalFormatting>
  <conditionalFormatting sqref="K27">
    <cfRule type="cellIs" dxfId="7187" priority="7642" operator="equal">
      <formula>"C-Off-H"</formula>
    </cfRule>
    <cfRule type="cellIs" dxfId="7186" priority="7643" operator="equal">
      <formula>"C-Off"</formula>
    </cfRule>
    <cfRule type="cellIs" dxfId="7185" priority="7644" operator="equal">
      <formula>"CL-H"</formula>
    </cfRule>
    <cfRule type="cellIs" dxfId="7184" priority="7645" operator="equal">
      <formula>"EL-H"</formula>
    </cfRule>
    <cfRule type="cellIs" dxfId="7183" priority="7646" operator="equal">
      <formula>"CL"</formula>
    </cfRule>
    <cfRule type="cellIs" dxfId="7182" priority="7647" operator="equal">
      <formula>"EL"</formula>
    </cfRule>
  </conditionalFormatting>
  <conditionalFormatting sqref="J27:K27">
    <cfRule type="cellIs" dxfId="7181" priority="7636" operator="equal">
      <formula>"C-Off-H"</formula>
    </cfRule>
    <cfRule type="cellIs" dxfId="7180" priority="7637" operator="equal">
      <formula>"C-Off"</formula>
    </cfRule>
    <cfRule type="cellIs" dxfId="7179" priority="7638" operator="equal">
      <formula>"CL-H"</formula>
    </cfRule>
    <cfRule type="cellIs" dxfId="7178" priority="7639" operator="equal">
      <formula>"EL-H"</formula>
    </cfRule>
    <cfRule type="cellIs" dxfId="7177" priority="7640" operator="equal">
      <formula>"CL"</formula>
    </cfRule>
    <cfRule type="cellIs" dxfId="7176" priority="7641" operator="equal">
      <formula>"EL"</formula>
    </cfRule>
  </conditionalFormatting>
  <conditionalFormatting sqref="J27:K27">
    <cfRule type="containsText" dxfId="7175" priority="7630" operator="containsText" text="S">
      <formula>NOT(ISERROR(SEARCH("S",J27)))</formula>
    </cfRule>
    <cfRule type="containsText" dxfId="7174" priority="7631" operator="containsText" text="P">
      <formula>NOT(ISERROR(SEARCH("P",J27)))</formula>
    </cfRule>
    <cfRule type="containsText" dxfId="7173" priority="7632" operator="containsText" text="H">
      <formula>NOT(ISERROR(SEARCH("H",J27)))</formula>
    </cfRule>
    <cfRule type="containsText" dxfId="7172" priority="7634" operator="containsText" text="&quot;H&quot;">
      <formula>NOT(ISERROR(SEARCH("""H""",J27)))</formula>
    </cfRule>
    <cfRule type="containsText" dxfId="7171" priority="7635" operator="containsText" text="&quot;A&quot;">
      <formula>NOT(ISERROR(SEARCH("""A""",J27)))</formula>
    </cfRule>
  </conditionalFormatting>
  <conditionalFormatting sqref="J27:K27">
    <cfRule type="containsText" dxfId="7170" priority="7633" operator="containsText" text="A-H">
      <formula>NOT(ISERROR(SEARCH("A-H",J27)))</formula>
    </cfRule>
  </conditionalFormatting>
  <conditionalFormatting sqref="N27">
    <cfRule type="cellIs" dxfId="7169" priority="7624" operator="equal">
      <formula>"C-Off-H"</formula>
    </cfRule>
    <cfRule type="cellIs" dxfId="7168" priority="7625" operator="equal">
      <formula>"C-Off"</formula>
    </cfRule>
    <cfRule type="cellIs" dxfId="7167" priority="7626" operator="equal">
      <formula>"CL-H"</formula>
    </cfRule>
    <cfRule type="cellIs" dxfId="7166" priority="7627" operator="equal">
      <formula>"EL-H"</formula>
    </cfRule>
    <cfRule type="cellIs" dxfId="7165" priority="7628" operator="equal">
      <formula>"CL"</formula>
    </cfRule>
    <cfRule type="cellIs" dxfId="7164" priority="7629" operator="equal">
      <formula>"EL"</formula>
    </cfRule>
  </conditionalFormatting>
  <conditionalFormatting sqref="M27:N27">
    <cfRule type="cellIs" dxfId="7163" priority="7618" operator="equal">
      <formula>"C-Off-H"</formula>
    </cfRule>
    <cfRule type="cellIs" dxfId="7162" priority="7619" operator="equal">
      <formula>"C-Off"</formula>
    </cfRule>
    <cfRule type="cellIs" dxfId="7161" priority="7620" operator="equal">
      <formula>"CL-H"</formula>
    </cfRule>
    <cfRule type="cellIs" dxfId="7160" priority="7621" operator="equal">
      <formula>"EL-H"</formula>
    </cfRule>
    <cfRule type="cellIs" dxfId="7159" priority="7622" operator="equal">
      <formula>"CL"</formula>
    </cfRule>
    <cfRule type="cellIs" dxfId="7158" priority="7623" operator="equal">
      <formula>"EL"</formula>
    </cfRule>
  </conditionalFormatting>
  <conditionalFormatting sqref="M27:N27">
    <cfRule type="containsText" dxfId="7157" priority="7612" operator="containsText" text="S">
      <formula>NOT(ISERROR(SEARCH("S",M27)))</formula>
    </cfRule>
    <cfRule type="containsText" dxfId="7156" priority="7613" operator="containsText" text="P">
      <formula>NOT(ISERROR(SEARCH("P",M27)))</formula>
    </cfRule>
    <cfRule type="containsText" dxfId="7155" priority="7614" operator="containsText" text="H">
      <formula>NOT(ISERROR(SEARCH("H",M27)))</formula>
    </cfRule>
    <cfRule type="containsText" dxfId="7154" priority="7616" operator="containsText" text="&quot;H&quot;">
      <formula>NOT(ISERROR(SEARCH("""H""",M27)))</formula>
    </cfRule>
    <cfRule type="containsText" dxfId="7153" priority="7617" operator="containsText" text="&quot;A&quot;">
      <formula>NOT(ISERROR(SEARCH("""A""",M27)))</formula>
    </cfRule>
  </conditionalFormatting>
  <conditionalFormatting sqref="M27:N27">
    <cfRule type="containsText" dxfId="7152" priority="7615" operator="containsText" text="A-H">
      <formula>NOT(ISERROR(SEARCH("A-H",M27)))</formula>
    </cfRule>
  </conditionalFormatting>
  <conditionalFormatting sqref="K28">
    <cfRule type="cellIs" dxfId="7151" priority="7606" operator="equal">
      <formula>"C-Off-H"</formula>
    </cfRule>
    <cfRule type="cellIs" dxfId="7150" priority="7607" operator="equal">
      <formula>"C-Off"</formula>
    </cfRule>
    <cfRule type="cellIs" dxfId="7149" priority="7608" operator="equal">
      <formula>"CL-H"</formula>
    </cfRule>
    <cfRule type="cellIs" dxfId="7148" priority="7609" operator="equal">
      <formula>"EL-H"</formula>
    </cfRule>
    <cfRule type="cellIs" dxfId="7147" priority="7610" operator="equal">
      <formula>"CL"</formula>
    </cfRule>
    <cfRule type="cellIs" dxfId="7146" priority="7611" operator="equal">
      <formula>"EL"</formula>
    </cfRule>
  </conditionalFormatting>
  <conditionalFormatting sqref="K28">
    <cfRule type="containsText" dxfId="7145" priority="7605" operator="containsText" text="A-H">
      <formula>NOT(ISERROR(SEARCH("A-H",K28)))</formula>
    </cfRule>
  </conditionalFormatting>
  <conditionalFormatting sqref="K28">
    <cfRule type="containsText" dxfId="7144" priority="7600" operator="containsText" text="S">
      <formula>NOT(ISERROR(SEARCH("S",K28)))</formula>
    </cfRule>
    <cfRule type="containsText" dxfId="7143" priority="7601" operator="containsText" text="P">
      <formula>NOT(ISERROR(SEARCH("P",K28)))</formula>
    </cfRule>
    <cfRule type="containsText" dxfId="7142" priority="7602" operator="containsText" text="H">
      <formula>NOT(ISERROR(SEARCH("H",K28)))</formula>
    </cfRule>
    <cfRule type="containsText" dxfId="7141" priority="7603" operator="containsText" text="&quot;H&quot;">
      <formula>NOT(ISERROR(SEARCH("""H""",K28)))</formula>
    </cfRule>
    <cfRule type="containsText" dxfId="7140" priority="7604" operator="containsText" text="&quot;A&quot;">
      <formula>NOT(ISERROR(SEARCH("""A""",K28)))</formula>
    </cfRule>
  </conditionalFormatting>
  <conditionalFormatting sqref="DC33 CQ33:CW33 M33:N33 CX32:CX34 Z32:Z34 CN32:CN33">
    <cfRule type="cellIs" dxfId="7139" priority="7568" operator="equal">
      <formula>"C-Off-H"</formula>
    </cfRule>
    <cfRule type="cellIs" dxfId="7138" priority="7569" operator="equal">
      <formula>"C-Off"</formula>
    </cfRule>
    <cfRule type="cellIs" dxfId="7137" priority="7570" operator="equal">
      <formula>"CL-H"</formula>
    </cfRule>
    <cfRule type="cellIs" dxfId="7136" priority="7571" operator="equal">
      <formula>"EL-H"</formula>
    </cfRule>
    <cfRule type="cellIs" dxfId="7135" priority="7572" operator="equal">
      <formula>"CL"</formula>
    </cfRule>
    <cfRule type="cellIs" dxfId="7134" priority="7573" operator="equal">
      <formula>"EL"</formula>
    </cfRule>
  </conditionalFormatting>
  <conditionalFormatting sqref="CQ33:CW33 M33:N33 CY33:DA33 DC33 CX32:CX34 Z32:Z34 CN32:CN33">
    <cfRule type="containsText" dxfId="7133" priority="7567" operator="containsText" text="A-H">
      <formula>NOT(ISERROR(SEARCH("A-H",M32)))</formula>
    </cfRule>
  </conditionalFormatting>
  <conditionalFormatting sqref="CQ33:CW33 CY33:DA33 DC33 CX32:CX34 CN32:CN33">
    <cfRule type="containsText" dxfId="7132" priority="7566" operator="containsText" text="A">
      <formula>NOT(ISERROR(SEARCH("A",CN32)))</formula>
    </cfRule>
  </conditionalFormatting>
  <conditionalFormatting sqref="DA33 CY33">
    <cfRule type="cellIs" dxfId="7131" priority="7560" stopIfTrue="1" operator="equal">
      <formula>"C-Off-H"</formula>
    </cfRule>
    <cfRule type="cellIs" dxfId="7130" priority="7561" stopIfTrue="1" operator="equal">
      <formula>"C-Off"</formula>
    </cfRule>
    <cfRule type="cellIs" dxfId="7129" priority="7562" stopIfTrue="1" operator="equal">
      <formula>"CL-H"</formula>
    </cfRule>
    <cfRule type="cellIs" dxfId="7128" priority="7563" stopIfTrue="1" operator="equal">
      <formula>"EL-H"</formula>
    </cfRule>
    <cfRule type="cellIs" dxfId="7127" priority="7564" stopIfTrue="1" operator="equal">
      <formula>"CL"</formula>
    </cfRule>
    <cfRule type="cellIs" dxfId="7126" priority="7565" stopIfTrue="1" operator="equal">
      <formula>"EL"</formula>
    </cfRule>
  </conditionalFormatting>
  <conditionalFormatting sqref="CZ33">
    <cfRule type="cellIs" dxfId="7125" priority="7554" stopIfTrue="1" operator="equal">
      <formula>"C-Off-H"</formula>
    </cfRule>
    <cfRule type="cellIs" dxfId="7124" priority="7555" stopIfTrue="1" operator="equal">
      <formula>"C-Off"</formula>
    </cfRule>
    <cfRule type="cellIs" dxfId="7123" priority="7556" stopIfTrue="1" operator="equal">
      <formula>"CL-H"</formula>
    </cfRule>
    <cfRule type="cellIs" dxfId="7122" priority="7557" stopIfTrue="1" operator="equal">
      <formula>"EL-H"</formula>
    </cfRule>
    <cfRule type="cellIs" dxfId="7121" priority="7558" stopIfTrue="1" operator="equal">
      <formula>"CL"</formula>
    </cfRule>
    <cfRule type="cellIs" dxfId="7120" priority="7559" stopIfTrue="1" operator="equal">
      <formula>"EL"</formula>
    </cfRule>
  </conditionalFormatting>
  <conditionalFormatting sqref="M33:N33 Z32:Z34 CN32:CN33">
    <cfRule type="containsText" dxfId="7119" priority="7549" operator="containsText" text="S">
      <formula>NOT(ISERROR(SEARCH("S",M32)))</formula>
    </cfRule>
    <cfRule type="containsText" dxfId="7118" priority="7550" operator="containsText" text="P">
      <formula>NOT(ISERROR(SEARCH("P",M32)))</formula>
    </cfRule>
    <cfRule type="containsText" dxfId="7117" priority="7551" operator="containsText" text="H">
      <formula>NOT(ISERROR(SEARCH("H",M32)))</formula>
    </cfRule>
    <cfRule type="containsText" dxfId="7116" priority="7552" operator="containsText" text="&quot;H&quot;">
      <formula>NOT(ISERROR(SEARCH("""H""",M32)))</formula>
    </cfRule>
    <cfRule type="containsText" dxfId="7115" priority="7553" operator="containsText" text="&quot;A&quot;">
      <formula>NOT(ISERROR(SEARCH("""A""",M32)))</formula>
    </cfRule>
  </conditionalFormatting>
  <conditionalFormatting sqref="DD33">
    <cfRule type="cellIs" dxfId="7114" priority="7543" operator="equal">
      <formula>"C-Off-H"</formula>
    </cfRule>
    <cfRule type="cellIs" dxfId="7113" priority="7544" operator="equal">
      <formula>"C-Off"</formula>
    </cfRule>
    <cfRule type="cellIs" dxfId="7112" priority="7545" operator="equal">
      <formula>"CL-H"</formula>
    </cfRule>
    <cfRule type="cellIs" dxfId="7111" priority="7546" operator="equal">
      <formula>"EL-H"</formula>
    </cfRule>
    <cfRule type="cellIs" dxfId="7110" priority="7547" operator="equal">
      <formula>"CL"</formula>
    </cfRule>
    <cfRule type="cellIs" dxfId="7109" priority="7548" operator="equal">
      <formula>"EL"</formula>
    </cfRule>
  </conditionalFormatting>
  <conditionalFormatting sqref="DD33">
    <cfRule type="containsText" dxfId="7108" priority="7542" operator="containsText" text="A">
      <formula>NOT(ISERROR(SEARCH("A",DD33)))</formula>
    </cfRule>
  </conditionalFormatting>
  <conditionalFormatting sqref="DD33">
    <cfRule type="containsText" dxfId="7107" priority="7541" operator="containsText" text="A-H">
      <formula>NOT(ISERROR(SEARCH("A-H",DD33)))</formula>
    </cfRule>
  </conditionalFormatting>
  <conditionalFormatting sqref="AI33">
    <cfRule type="cellIs" dxfId="7106" priority="7535" operator="equal">
      <formula>"C-Off-H"</formula>
    </cfRule>
    <cfRule type="cellIs" dxfId="7105" priority="7536" operator="equal">
      <formula>"C-Off"</formula>
    </cfRule>
    <cfRule type="cellIs" dxfId="7104" priority="7537" operator="equal">
      <formula>"CL-H"</formula>
    </cfRule>
    <cfRule type="cellIs" dxfId="7103" priority="7538" operator="equal">
      <formula>"EL-H"</formula>
    </cfRule>
    <cfRule type="cellIs" dxfId="7102" priority="7539" operator="equal">
      <formula>"CL"</formula>
    </cfRule>
    <cfRule type="cellIs" dxfId="7101" priority="7540" operator="equal">
      <formula>"EL"</formula>
    </cfRule>
  </conditionalFormatting>
  <conditionalFormatting sqref="AH33:AI33">
    <cfRule type="cellIs" dxfId="7100" priority="7529" operator="equal">
      <formula>"C-Off-H"</formula>
    </cfRule>
    <cfRule type="cellIs" dxfId="7099" priority="7530" operator="equal">
      <formula>"C-Off"</formula>
    </cfRule>
    <cfRule type="cellIs" dxfId="7098" priority="7531" operator="equal">
      <formula>"CL-H"</formula>
    </cfRule>
    <cfRule type="cellIs" dxfId="7097" priority="7532" operator="equal">
      <formula>"EL-H"</formula>
    </cfRule>
    <cfRule type="cellIs" dxfId="7096" priority="7533" operator="equal">
      <formula>"CL"</formula>
    </cfRule>
    <cfRule type="cellIs" dxfId="7095" priority="7534" operator="equal">
      <formula>"EL"</formula>
    </cfRule>
  </conditionalFormatting>
  <conditionalFormatting sqref="AH33:AI33">
    <cfRule type="containsText" dxfId="7094" priority="7523" operator="containsText" text="S">
      <formula>NOT(ISERROR(SEARCH("S",AH33)))</formula>
    </cfRule>
    <cfRule type="containsText" dxfId="7093" priority="7524" operator="containsText" text="P">
      <formula>NOT(ISERROR(SEARCH("P",AH33)))</formula>
    </cfRule>
    <cfRule type="containsText" dxfId="7092" priority="7525" operator="containsText" text="H">
      <formula>NOT(ISERROR(SEARCH("H",AH33)))</formula>
    </cfRule>
    <cfRule type="containsText" dxfId="7091" priority="7527" operator="containsText" text="&quot;H&quot;">
      <formula>NOT(ISERROR(SEARCH("""H""",AH33)))</formula>
    </cfRule>
    <cfRule type="containsText" dxfId="7090" priority="7528" operator="containsText" text="&quot;A&quot;">
      <formula>NOT(ISERROR(SEARCH("""A""",AH33)))</formula>
    </cfRule>
  </conditionalFormatting>
  <conditionalFormatting sqref="AH33:AI33">
    <cfRule type="containsText" dxfId="7089" priority="7526" operator="containsText" text="A-H">
      <formula>NOT(ISERROR(SEARCH("A-H",AH33)))</formula>
    </cfRule>
  </conditionalFormatting>
  <conditionalFormatting sqref="AU33">
    <cfRule type="cellIs" dxfId="7088" priority="7517" operator="equal">
      <formula>"C-Off-H"</formula>
    </cfRule>
    <cfRule type="cellIs" dxfId="7087" priority="7518" operator="equal">
      <formula>"C-Off"</formula>
    </cfRule>
    <cfRule type="cellIs" dxfId="7086" priority="7519" operator="equal">
      <formula>"CL-H"</formula>
    </cfRule>
    <cfRule type="cellIs" dxfId="7085" priority="7520" operator="equal">
      <formula>"EL-H"</formula>
    </cfRule>
    <cfRule type="cellIs" dxfId="7084" priority="7521" operator="equal">
      <formula>"CL"</formula>
    </cfRule>
    <cfRule type="cellIs" dxfId="7083" priority="7522" operator="equal">
      <formula>"EL"</formula>
    </cfRule>
  </conditionalFormatting>
  <conditionalFormatting sqref="AT33:AU33">
    <cfRule type="cellIs" dxfId="7082" priority="7511" operator="equal">
      <formula>"C-Off-H"</formula>
    </cfRule>
    <cfRule type="cellIs" dxfId="7081" priority="7512" operator="equal">
      <formula>"C-Off"</formula>
    </cfRule>
    <cfRule type="cellIs" dxfId="7080" priority="7513" operator="equal">
      <formula>"CL-H"</formula>
    </cfRule>
    <cfRule type="cellIs" dxfId="7079" priority="7514" operator="equal">
      <formula>"EL-H"</formula>
    </cfRule>
    <cfRule type="cellIs" dxfId="7078" priority="7515" operator="equal">
      <formula>"CL"</formula>
    </cfRule>
    <cfRule type="cellIs" dxfId="7077" priority="7516" operator="equal">
      <formula>"EL"</formula>
    </cfRule>
  </conditionalFormatting>
  <conditionalFormatting sqref="AT33:AU33">
    <cfRule type="containsText" dxfId="7076" priority="7505" operator="containsText" text="S">
      <formula>NOT(ISERROR(SEARCH("S",AT33)))</formula>
    </cfRule>
    <cfRule type="containsText" dxfId="7075" priority="7506" operator="containsText" text="P">
      <formula>NOT(ISERROR(SEARCH("P",AT33)))</formula>
    </cfRule>
    <cfRule type="containsText" dxfId="7074" priority="7507" operator="containsText" text="H">
      <formula>NOT(ISERROR(SEARCH("H",AT33)))</formula>
    </cfRule>
    <cfRule type="containsText" dxfId="7073" priority="7509" operator="containsText" text="&quot;H&quot;">
      <formula>NOT(ISERROR(SEARCH("""H""",AT33)))</formula>
    </cfRule>
    <cfRule type="containsText" dxfId="7072" priority="7510" operator="containsText" text="&quot;A&quot;">
      <formula>NOT(ISERROR(SEARCH("""A""",AT33)))</formula>
    </cfRule>
  </conditionalFormatting>
  <conditionalFormatting sqref="AT33:AU33">
    <cfRule type="containsText" dxfId="7071" priority="7508" operator="containsText" text="A-H">
      <formula>NOT(ISERROR(SEARCH("A-H",AT33)))</formula>
    </cfRule>
  </conditionalFormatting>
  <conditionalFormatting sqref="E33">
    <cfRule type="cellIs" dxfId="7070" priority="7499" operator="equal">
      <formula>"C-Off-H"</formula>
    </cfRule>
    <cfRule type="cellIs" dxfId="7069" priority="7500" operator="equal">
      <formula>"C-Off"</formula>
    </cfRule>
    <cfRule type="cellIs" dxfId="7068" priority="7501" operator="equal">
      <formula>"CL-H"</formula>
    </cfRule>
    <cfRule type="cellIs" dxfId="7067" priority="7502" operator="equal">
      <formula>"EL-H"</formula>
    </cfRule>
    <cfRule type="cellIs" dxfId="7066" priority="7503" operator="equal">
      <formula>"CL"</formula>
    </cfRule>
    <cfRule type="cellIs" dxfId="7065" priority="7504" operator="equal">
      <formula>"EL"</formula>
    </cfRule>
  </conditionalFormatting>
  <conditionalFormatting sqref="D33:E33">
    <cfRule type="cellIs" dxfId="7064" priority="7493" operator="equal">
      <formula>"C-Off-H"</formula>
    </cfRule>
    <cfRule type="cellIs" dxfId="7063" priority="7494" operator="equal">
      <formula>"C-Off"</formula>
    </cfRule>
    <cfRule type="cellIs" dxfId="7062" priority="7495" operator="equal">
      <formula>"CL-H"</formula>
    </cfRule>
    <cfRule type="cellIs" dxfId="7061" priority="7496" operator="equal">
      <formula>"EL-H"</formula>
    </cfRule>
    <cfRule type="cellIs" dxfId="7060" priority="7497" operator="equal">
      <formula>"CL"</formula>
    </cfRule>
    <cfRule type="cellIs" dxfId="7059" priority="7498" operator="equal">
      <formula>"EL"</formula>
    </cfRule>
  </conditionalFormatting>
  <conditionalFormatting sqref="D33:E33">
    <cfRule type="containsText" dxfId="7058" priority="7487" operator="containsText" text="S">
      <formula>NOT(ISERROR(SEARCH("S",D33)))</formula>
    </cfRule>
    <cfRule type="containsText" dxfId="7057" priority="7488" operator="containsText" text="P">
      <formula>NOT(ISERROR(SEARCH("P",D33)))</formula>
    </cfRule>
    <cfRule type="containsText" dxfId="7056" priority="7489" operator="containsText" text="H">
      <formula>NOT(ISERROR(SEARCH("H",D33)))</formula>
    </cfRule>
    <cfRule type="containsText" dxfId="7055" priority="7491" operator="containsText" text="&quot;H&quot;">
      <formula>NOT(ISERROR(SEARCH("""H""",D33)))</formula>
    </cfRule>
    <cfRule type="containsText" dxfId="7054" priority="7492" operator="containsText" text="&quot;A&quot;">
      <formula>NOT(ISERROR(SEARCH("""A""",D33)))</formula>
    </cfRule>
  </conditionalFormatting>
  <conditionalFormatting sqref="D33:E33">
    <cfRule type="containsText" dxfId="7053" priority="7490" operator="containsText" text="A-H">
      <formula>NOT(ISERROR(SEARCH("A-H",D33)))</formula>
    </cfRule>
  </conditionalFormatting>
  <conditionalFormatting sqref="Y33">
    <cfRule type="cellIs" dxfId="7052" priority="7481" operator="equal">
      <formula>"C-Off-H"</formula>
    </cfRule>
    <cfRule type="cellIs" dxfId="7051" priority="7482" operator="equal">
      <formula>"C-Off"</formula>
    </cfRule>
    <cfRule type="cellIs" dxfId="7050" priority="7483" operator="equal">
      <formula>"CL-H"</formula>
    </cfRule>
    <cfRule type="cellIs" dxfId="7049" priority="7484" operator="equal">
      <formula>"EL-H"</formula>
    </cfRule>
    <cfRule type="cellIs" dxfId="7048" priority="7485" operator="equal">
      <formula>"CL"</formula>
    </cfRule>
    <cfRule type="cellIs" dxfId="7047" priority="7486" operator="equal">
      <formula>"EL"</formula>
    </cfRule>
  </conditionalFormatting>
  <conditionalFormatting sqref="Y33">
    <cfRule type="containsText" dxfId="7046" priority="7475" operator="containsText" text="S">
      <formula>NOT(ISERROR(SEARCH("S",Y33)))</formula>
    </cfRule>
    <cfRule type="containsText" dxfId="7045" priority="7476" operator="containsText" text="P">
      <formula>NOT(ISERROR(SEARCH("P",Y33)))</formula>
    </cfRule>
    <cfRule type="containsText" dxfId="7044" priority="7477" operator="containsText" text="H">
      <formula>NOT(ISERROR(SEARCH("H",Y33)))</formula>
    </cfRule>
    <cfRule type="containsText" dxfId="7043" priority="7479" operator="containsText" text="&quot;H&quot;">
      <formula>NOT(ISERROR(SEARCH("""H""",Y33)))</formula>
    </cfRule>
    <cfRule type="containsText" dxfId="7042" priority="7480" operator="containsText" text="&quot;A&quot;">
      <formula>NOT(ISERROR(SEARCH("""A""",Y33)))</formula>
    </cfRule>
  </conditionalFormatting>
  <conditionalFormatting sqref="Y33">
    <cfRule type="containsText" dxfId="7041" priority="7478" operator="containsText" text="A-H">
      <formula>NOT(ISERROR(SEARCH("A-H",Y33)))</formula>
    </cfRule>
  </conditionalFormatting>
  <conditionalFormatting sqref="AF33">
    <cfRule type="cellIs" dxfId="7040" priority="7469" operator="equal">
      <formula>"C-Off-H"</formula>
    </cfRule>
    <cfRule type="cellIs" dxfId="7039" priority="7470" operator="equal">
      <formula>"C-Off"</formula>
    </cfRule>
    <cfRule type="cellIs" dxfId="7038" priority="7471" operator="equal">
      <formula>"CL-H"</formula>
    </cfRule>
    <cfRule type="cellIs" dxfId="7037" priority="7472" operator="equal">
      <formula>"EL-H"</formula>
    </cfRule>
    <cfRule type="cellIs" dxfId="7036" priority="7473" operator="equal">
      <formula>"CL"</formula>
    </cfRule>
    <cfRule type="cellIs" dxfId="7035" priority="7474" operator="equal">
      <formula>"EL"</formula>
    </cfRule>
  </conditionalFormatting>
  <conditionalFormatting sqref="AF33">
    <cfRule type="containsText" dxfId="7034" priority="7463" operator="containsText" text="S">
      <formula>NOT(ISERROR(SEARCH("S",AF33)))</formula>
    </cfRule>
    <cfRule type="containsText" dxfId="7033" priority="7464" operator="containsText" text="P">
      <formula>NOT(ISERROR(SEARCH("P",AF33)))</formula>
    </cfRule>
    <cfRule type="containsText" dxfId="7032" priority="7465" operator="containsText" text="H">
      <formula>NOT(ISERROR(SEARCH("H",AF33)))</formula>
    </cfRule>
    <cfRule type="containsText" dxfId="7031" priority="7467" operator="containsText" text="&quot;H&quot;">
      <formula>NOT(ISERROR(SEARCH("""H""",AF33)))</formula>
    </cfRule>
    <cfRule type="containsText" dxfId="7030" priority="7468" operator="containsText" text="&quot;A&quot;">
      <formula>NOT(ISERROR(SEARCH("""A""",AF33)))</formula>
    </cfRule>
  </conditionalFormatting>
  <conditionalFormatting sqref="AF33">
    <cfRule type="containsText" dxfId="7029" priority="7466" operator="containsText" text="A-H">
      <formula>NOT(ISERROR(SEARCH("A-H",AF33)))</formula>
    </cfRule>
  </conditionalFormatting>
  <conditionalFormatting sqref="BO33:BP33">
    <cfRule type="cellIs" dxfId="7028" priority="7457" operator="equal">
      <formula>"C-Off-H"</formula>
    </cfRule>
    <cfRule type="cellIs" dxfId="7027" priority="7458" operator="equal">
      <formula>"C-Off"</formula>
    </cfRule>
    <cfRule type="cellIs" dxfId="7026" priority="7459" operator="equal">
      <formula>"CL-H"</formula>
    </cfRule>
    <cfRule type="cellIs" dxfId="7025" priority="7460" operator="equal">
      <formula>"EL-H"</formula>
    </cfRule>
    <cfRule type="cellIs" dxfId="7024" priority="7461" operator="equal">
      <formula>"CL"</formula>
    </cfRule>
    <cfRule type="cellIs" dxfId="7023" priority="7462" operator="equal">
      <formula>"EL"</formula>
    </cfRule>
  </conditionalFormatting>
  <conditionalFormatting sqref="BO33:BP33">
    <cfRule type="cellIs" dxfId="7022" priority="7451" operator="equal">
      <formula>"C-Off-H"</formula>
    </cfRule>
    <cfRule type="cellIs" dxfId="7021" priority="7452" operator="equal">
      <formula>"C-Off"</formula>
    </cfRule>
    <cfRule type="cellIs" dxfId="7020" priority="7453" operator="equal">
      <formula>"CL-H"</formula>
    </cfRule>
    <cfRule type="cellIs" dxfId="7019" priority="7454" operator="equal">
      <formula>"EL-H"</formula>
    </cfRule>
    <cfRule type="cellIs" dxfId="7018" priority="7455" operator="equal">
      <formula>"CL"</formula>
    </cfRule>
    <cfRule type="cellIs" dxfId="7017" priority="7456" operator="equal">
      <formula>"EL"</formula>
    </cfRule>
  </conditionalFormatting>
  <conditionalFormatting sqref="BO33:BP33">
    <cfRule type="containsText" dxfId="7016" priority="7445" operator="containsText" text="S">
      <formula>NOT(ISERROR(SEARCH("S",BO33)))</formula>
    </cfRule>
    <cfRule type="containsText" dxfId="7015" priority="7446" operator="containsText" text="P">
      <formula>NOT(ISERROR(SEARCH("P",BO33)))</formula>
    </cfRule>
    <cfRule type="containsText" dxfId="7014" priority="7447" operator="containsText" text="H">
      <formula>NOT(ISERROR(SEARCH("H",BO33)))</formula>
    </cfRule>
    <cfRule type="containsText" dxfId="7013" priority="7449" operator="containsText" text="&quot;H&quot;">
      <formula>NOT(ISERROR(SEARCH("""H""",BO33)))</formula>
    </cfRule>
    <cfRule type="containsText" dxfId="7012" priority="7450" operator="containsText" text="&quot;A&quot;">
      <formula>NOT(ISERROR(SEARCH("""A""",BO33)))</formula>
    </cfRule>
  </conditionalFormatting>
  <conditionalFormatting sqref="BO33:BP33">
    <cfRule type="containsText" dxfId="7011" priority="7448" operator="containsText" text="A-H">
      <formula>NOT(ISERROR(SEARCH("A-H",BO33)))</formula>
    </cfRule>
  </conditionalFormatting>
  <conditionalFormatting sqref="CM33">
    <cfRule type="cellIs" dxfId="7010" priority="7439" operator="equal">
      <formula>"C-Off-H"</formula>
    </cfRule>
    <cfRule type="cellIs" dxfId="7009" priority="7440" operator="equal">
      <formula>"C-Off"</formula>
    </cfRule>
    <cfRule type="cellIs" dxfId="7008" priority="7441" operator="equal">
      <formula>"CL-H"</formula>
    </cfRule>
    <cfRule type="cellIs" dxfId="7007" priority="7442" operator="equal">
      <formula>"EL-H"</formula>
    </cfRule>
    <cfRule type="cellIs" dxfId="7006" priority="7443" operator="equal">
      <formula>"CL"</formula>
    </cfRule>
    <cfRule type="cellIs" dxfId="7005" priority="7444" operator="equal">
      <formula>"EL"</formula>
    </cfRule>
  </conditionalFormatting>
  <conditionalFormatting sqref="CM33">
    <cfRule type="cellIs" dxfId="7004" priority="7433" operator="equal">
      <formula>"C-Off-H"</formula>
    </cfRule>
    <cfRule type="cellIs" dxfId="7003" priority="7434" operator="equal">
      <formula>"C-Off"</formula>
    </cfRule>
    <cfRule type="cellIs" dxfId="7002" priority="7435" operator="equal">
      <formula>"CL-H"</formula>
    </cfRule>
    <cfRule type="cellIs" dxfId="7001" priority="7436" operator="equal">
      <formula>"EL-H"</formula>
    </cfRule>
    <cfRule type="cellIs" dxfId="7000" priority="7437" operator="equal">
      <formula>"CL"</formula>
    </cfRule>
    <cfRule type="cellIs" dxfId="6999" priority="7438" operator="equal">
      <formula>"EL"</formula>
    </cfRule>
  </conditionalFormatting>
  <conditionalFormatting sqref="CM33">
    <cfRule type="containsText" dxfId="6998" priority="7427" operator="containsText" text="S">
      <formula>NOT(ISERROR(SEARCH("S",CM33)))</formula>
    </cfRule>
    <cfRule type="containsText" dxfId="6997" priority="7428" operator="containsText" text="P">
      <formula>NOT(ISERROR(SEARCH("P",CM33)))</formula>
    </cfRule>
    <cfRule type="containsText" dxfId="6996" priority="7429" operator="containsText" text="H">
      <formula>NOT(ISERROR(SEARCH("H",CM33)))</formula>
    </cfRule>
    <cfRule type="containsText" dxfId="6995" priority="7431" operator="containsText" text="&quot;H&quot;">
      <formula>NOT(ISERROR(SEARCH("""H""",CM33)))</formula>
    </cfRule>
    <cfRule type="containsText" dxfId="6994" priority="7432" operator="containsText" text="&quot;A&quot;">
      <formula>NOT(ISERROR(SEARCH("""A""",CM33)))</formula>
    </cfRule>
  </conditionalFormatting>
  <conditionalFormatting sqref="CM33">
    <cfRule type="containsText" dxfId="6993" priority="7430" operator="containsText" text="A-H">
      <formula>NOT(ISERROR(SEARCH("A-H",CM33)))</formula>
    </cfRule>
  </conditionalFormatting>
  <conditionalFormatting sqref="V33:W33">
    <cfRule type="cellIs" dxfId="6992" priority="7397" operator="equal">
      <formula>"C-Off-H"</formula>
    </cfRule>
    <cfRule type="cellIs" dxfId="6991" priority="7398" operator="equal">
      <formula>"C-Off"</formula>
    </cfRule>
    <cfRule type="cellIs" dxfId="6990" priority="7399" operator="equal">
      <formula>"CL-H"</formula>
    </cfRule>
    <cfRule type="cellIs" dxfId="6989" priority="7400" operator="equal">
      <formula>"EL-H"</formula>
    </cfRule>
    <cfRule type="cellIs" dxfId="6988" priority="7401" operator="equal">
      <formula>"CL"</formula>
    </cfRule>
    <cfRule type="cellIs" dxfId="6987" priority="7402" operator="equal">
      <formula>"EL"</formula>
    </cfRule>
  </conditionalFormatting>
  <conditionalFormatting sqref="V33:W33">
    <cfRule type="containsText" dxfId="6986" priority="7391" operator="containsText" text="S">
      <formula>NOT(ISERROR(SEARCH("S",V33)))</formula>
    </cfRule>
    <cfRule type="containsText" dxfId="6985" priority="7392" operator="containsText" text="P">
      <formula>NOT(ISERROR(SEARCH("P",V33)))</formula>
    </cfRule>
    <cfRule type="containsText" dxfId="6984" priority="7393" operator="containsText" text="H">
      <formula>NOT(ISERROR(SEARCH("H",V33)))</formula>
    </cfRule>
    <cfRule type="containsText" dxfId="6983" priority="7395" operator="containsText" text="&quot;H&quot;">
      <formula>NOT(ISERROR(SEARCH("""H""",V33)))</formula>
    </cfRule>
    <cfRule type="containsText" dxfId="6982" priority="7396" operator="containsText" text="&quot;A&quot;">
      <formula>NOT(ISERROR(SEARCH("""A""",V33)))</formula>
    </cfRule>
  </conditionalFormatting>
  <conditionalFormatting sqref="V33:W33">
    <cfRule type="containsText" dxfId="6981" priority="7394" operator="containsText" text="A-H">
      <formula>NOT(ISERROR(SEARCH("A-H",V33)))</formula>
    </cfRule>
  </conditionalFormatting>
  <conditionalFormatting sqref="P33:Q33">
    <cfRule type="cellIs" dxfId="6980" priority="7421" operator="equal">
      <formula>"C-Off-H"</formula>
    </cfRule>
    <cfRule type="cellIs" dxfId="6979" priority="7422" operator="equal">
      <formula>"C-Off"</formula>
    </cfRule>
    <cfRule type="cellIs" dxfId="6978" priority="7423" operator="equal">
      <formula>"CL-H"</formula>
    </cfRule>
    <cfRule type="cellIs" dxfId="6977" priority="7424" operator="equal">
      <formula>"EL-H"</formula>
    </cfRule>
    <cfRule type="cellIs" dxfId="6976" priority="7425" operator="equal">
      <formula>"CL"</formula>
    </cfRule>
    <cfRule type="cellIs" dxfId="6975" priority="7426" operator="equal">
      <formula>"EL"</formula>
    </cfRule>
  </conditionalFormatting>
  <conditionalFormatting sqref="P33:Q33">
    <cfRule type="containsText" dxfId="6974" priority="7415" operator="containsText" text="S">
      <formula>NOT(ISERROR(SEARCH("S",P33)))</formula>
    </cfRule>
    <cfRule type="containsText" dxfId="6973" priority="7416" operator="containsText" text="P">
      <formula>NOT(ISERROR(SEARCH("P",P33)))</formula>
    </cfRule>
    <cfRule type="containsText" dxfId="6972" priority="7417" operator="containsText" text="H">
      <formula>NOT(ISERROR(SEARCH("H",P33)))</formula>
    </cfRule>
    <cfRule type="containsText" dxfId="6971" priority="7419" operator="containsText" text="&quot;H&quot;">
      <formula>NOT(ISERROR(SEARCH("""H""",P33)))</formula>
    </cfRule>
    <cfRule type="containsText" dxfId="6970" priority="7420" operator="containsText" text="&quot;A&quot;">
      <formula>NOT(ISERROR(SEARCH("""A""",P33)))</formula>
    </cfRule>
  </conditionalFormatting>
  <conditionalFormatting sqref="P33:Q33">
    <cfRule type="containsText" dxfId="6969" priority="7418" operator="containsText" text="A-H">
      <formula>NOT(ISERROR(SEARCH("A-H",P33)))</formula>
    </cfRule>
  </conditionalFormatting>
  <conditionalFormatting sqref="S33:T33">
    <cfRule type="cellIs" dxfId="6968" priority="7409" operator="equal">
      <formula>"C-Off-H"</formula>
    </cfRule>
    <cfRule type="cellIs" dxfId="6967" priority="7410" operator="equal">
      <formula>"C-Off"</formula>
    </cfRule>
    <cfRule type="cellIs" dxfId="6966" priority="7411" operator="equal">
      <formula>"CL-H"</formula>
    </cfRule>
    <cfRule type="cellIs" dxfId="6965" priority="7412" operator="equal">
      <formula>"EL-H"</formula>
    </cfRule>
    <cfRule type="cellIs" dxfId="6964" priority="7413" operator="equal">
      <formula>"CL"</formula>
    </cfRule>
    <cfRule type="cellIs" dxfId="6963" priority="7414" operator="equal">
      <formula>"EL"</formula>
    </cfRule>
  </conditionalFormatting>
  <conditionalFormatting sqref="S33:T33">
    <cfRule type="containsText" dxfId="6962" priority="7403" operator="containsText" text="S">
      <formula>NOT(ISERROR(SEARCH("S",S33)))</formula>
    </cfRule>
    <cfRule type="containsText" dxfId="6961" priority="7404" operator="containsText" text="P">
      <formula>NOT(ISERROR(SEARCH("P",S33)))</formula>
    </cfRule>
    <cfRule type="containsText" dxfId="6960" priority="7405" operator="containsText" text="H">
      <formula>NOT(ISERROR(SEARCH("H",S33)))</formula>
    </cfRule>
    <cfRule type="containsText" dxfId="6959" priority="7407" operator="containsText" text="&quot;H&quot;">
      <formula>NOT(ISERROR(SEARCH("""H""",S33)))</formula>
    </cfRule>
    <cfRule type="containsText" dxfId="6958" priority="7408" operator="containsText" text="&quot;A&quot;">
      <formula>NOT(ISERROR(SEARCH("""A""",S33)))</formula>
    </cfRule>
  </conditionalFormatting>
  <conditionalFormatting sqref="S33:T33">
    <cfRule type="containsText" dxfId="6957" priority="7406" operator="containsText" text="A-H">
      <formula>NOT(ISERROR(SEARCH("A-H",S33)))</formula>
    </cfRule>
  </conditionalFormatting>
  <conditionalFormatting sqref="AB33:AC33">
    <cfRule type="cellIs" dxfId="6956" priority="7385" operator="equal">
      <formula>"C-Off-H"</formula>
    </cfRule>
    <cfRule type="cellIs" dxfId="6955" priority="7386" operator="equal">
      <formula>"C-Off"</formula>
    </cfRule>
    <cfRule type="cellIs" dxfId="6954" priority="7387" operator="equal">
      <formula>"CL-H"</formula>
    </cfRule>
    <cfRule type="cellIs" dxfId="6953" priority="7388" operator="equal">
      <formula>"EL-H"</formula>
    </cfRule>
    <cfRule type="cellIs" dxfId="6952" priority="7389" operator="equal">
      <formula>"CL"</formula>
    </cfRule>
    <cfRule type="cellIs" dxfId="6951" priority="7390" operator="equal">
      <formula>"EL"</formula>
    </cfRule>
  </conditionalFormatting>
  <conditionalFormatting sqref="AB33:AC33">
    <cfRule type="containsText" dxfId="6950" priority="7379" operator="containsText" text="S">
      <formula>NOT(ISERROR(SEARCH("S",AB33)))</formula>
    </cfRule>
    <cfRule type="containsText" dxfId="6949" priority="7380" operator="containsText" text="P">
      <formula>NOT(ISERROR(SEARCH("P",AB33)))</formula>
    </cfRule>
    <cfRule type="containsText" dxfId="6948" priority="7381" operator="containsText" text="H">
      <formula>NOT(ISERROR(SEARCH("H",AB33)))</formula>
    </cfRule>
    <cfRule type="containsText" dxfId="6947" priority="7383" operator="containsText" text="&quot;H&quot;">
      <formula>NOT(ISERROR(SEARCH("""H""",AB33)))</formula>
    </cfRule>
    <cfRule type="containsText" dxfId="6946" priority="7384" operator="containsText" text="&quot;A&quot;">
      <formula>NOT(ISERROR(SEARCH("""A""",AB33)))</formula>
    </cfRule>
  </conditionalFormatting>
  <conditionalFormatting sqref="AB33:AC33">
    <cfRule type="containsText" dxfId="6945" priority="7382" operator="containsText" text="A-H">
      <formula>NOT(ISERROR(SEARCH("A-H",AB33)))</formula>
    </cfRule>
  </conditionalFormatting>
  <conditionalFormatting sqref="AE33">
    <cfRule type="cellIs" dxfId="6944" priority="7373" operator="equal">
      <formula>"C-Off-H"</formula>
    </cfRule>
    <cfRule type="cellIs" dxfId="6943" priority="7374" operator="equal">
      <formula>"C-Off"</formula>
    </cfRule>
    <cfRule type="cellIs" dxfId="6942" priority="7375" operator="equal">
      <formula>"CL-H"</formula>
    </cfRule>
    <cfRule type="cellIs" dxfId="6941" priority="7376" operator="equal">
      <formula>"EL-H"</formula>
    </cfRule>
    <cfRule type="cellIs" dxfId="6940" priority="7377" operator="equal">
      <formula>"CL"</formula>
    </cfRule>
    <cfRule type="cellIs" dxfId="6939" priority="7378" operator="equal">
      <formula>"EL"</formula>
    </cfRule>
  </conditionalFormatting>
  <conditionalFormatting sqref="AE33">
    <cfRule type="containsText" dxfId="6938" priority="7367" operator="containsText" text="S">
      <formula>NOT(ISERROR(SEARCH("S",AE33)))</formula>
    </cfRule>
    <cfRule type="containsText" dxfId="6937" priority="7368" operator="containsText" text="P">
      <formula>NOT(ISERROR(SEARCH("P",AE33)))</formula>
    </cfRule>
    <cfRule type="containsText" dxfId="6936" priority="7369" operator="containsText" text="H">
      <formula>NOT(ISERROR(SEARCH("H",AE33)))</formula>
    </cfRule>
    <cfRule type="containsText" dxfId="6935" priority="7371" operator="containsText" text="&quot;H&quot;">
      <formula>NOT(ISERROR(SEARCH("""H""",AE33)))</formula>
    </cfRule>
    <cfRule type="containsText" dxfId="6934" priority="7372" operator="containsText" text="&quot;A&quot;">
      <formula>NOT(ISERROR(SEARCH("""A""",AE33)))</formula>
    </cfRule>
  </conditionalFormatting>
  <conditionalFormatting sqref="AE33">
    <cfRule type="containsText" dxfId="6933" priority="7370" operator="containsText" text="A-H">
      <formula>NOT(ISERROR(SEARCH("A-H",AE33)))</formula>
    </cfRule>
  </conditionalFormatting>
  <conditionalFormatting sqref="AK33:AL33">
    <cfRule type="cellIs" dxfId="6932" priority="7361" operator="equal">
      <formula>"C-Off-H"</formula>
    </cfRule>
    <cfRule type="cellIs" dxfId="6931" priority="7362" operator="equal">
      <formula>"C-Off"</formula>
    </cfRule>
    <cfRule type="cellIs" dxfId="6930" priority="7363" operator="equal">
      <formula>"CL-H"</formula>
    </cfRule>
    <cfRule type="cellIs" dxfId="6929" priority="7364" operator="equal">
      <formula>"EL-H"</formula>
    </cfRule>
    <cfRule type="cellIs" dxfId="6928" priority="7365" operator="equal">
      <formula>"CL"</formula>
    </cfRule>
    <cfRule type="cellIs" dxfId="6927" priority="7366" operator="equal">
      <formula>"EL"</formula>
    </cfRule>
  </conditionalFormatting>
  <conditionalFormatting sqref="AK33:AL33">
    <cfRule type="containsText" dxfId="6926" priority="7355" operator="containsText" text="S">
      <formula>NOT(ISERROR(SEARCH("S",AK33)))</formula>
    </cfRule>
    <cfRule type="containsText" dxfId="6925" priority="7356" operator="containsText" text="P">
      <formula>NOT(ISERROR(SEARCH("P",AK33)))</formula>
    </cfRule>
    <cfRule type="containsText" dxfId="6924" priority="7357" operator="containsText" text="H">
      <formula>NOT(ISERROR(SEARCH("H",AK33)))</formula>
    </cfRule>
    <cfRule type="containsText" dxfId="6923" priority="7359" operator="containsText" text="&quot;H&quot;">
      <formula>NOT(ISERROR(SEARCH("""H""",AK33)))</formula>
    </cfRule>
    <cfRule type="containsText" dxfId="6922" priority="7360" operator="containsText" text="&quot;A&quot;">
      <formula>NOT(ISERROR(SEARCH("""A""",AK33)))</formula>
    </cfRule>
  </conditionalFormatting>
  <conditionalFormatting sqref="AK33:AL33">
    <cfRule type="containsText" dxfId="6921" priority="7358" operator="containsText" text="A-H">
      <formula>NOT(ISERROR(SEARCH("A-H",AK33)))</formula>
    </cfRule>
  </conditionalFormatting>
  <conditionalFormatting sqref="AN33:AO33">
    <cfRule type="cellIs" dxfId="6920" priority="7349" operator="equal">
      <formula>"C-Off-H"</formula>
    </cfRule>
    <cfRule type="cellIs" dxfId="6919" priority="7350" operator="equal">
      <formula>"C-Off"</formula>
    </cfRule>
    <cfRule type="cellIs" dxfId="6918" priority="7351" operator="equal">
      <formula>"CL-H"</formula>
    </cfRule>
    <cfRule type="cellIs" dxfId="6917" priority="7352" operator="equal">
      <formula>"EL-H"</formula>
    </cfRule>
    <cfRule type="cellIs" dxfId="6916" priority="7353" operator="equal">
      <formula>"CL"</formula>
    </cfRule>
    <cfRule type="cellIs" dxfId="6915" priority="7354" operator="equal">
      <formula>"EL"</formula>
    </cfRule>
  </conditionalFormatting>
  <conditionalFormatting sqref="AN33:AO33">
    <cfRule type="containsText" dxfId="6914" priority="7343" operator="containsText" text="S">
      <formula>NOT(ISERROR(SEARCH("S",AN33)))</formula>
    </cfRule>
    <cfRule type="containsText" dxfId="6913" priority="7344" operator="containsText" text="P">
      <formula>NOT(ISERROR(SEARCH("P",AN33)))</formula>
    </cfRule>
    <cfRule type="containsText" dxfId="6912" priority="7345" operator="containsText" text="H">
      <formula>NOT(ISERROR(SEARCH("H",AN33)))</formula>
    </cfRule>
    <cfRule type="containsText" dxfId="6911" priority="7347" operator="containsText" text="&quot;H&quot;">
      <formula>NOT(ISERROR(SEARCH("""H""",AN33)))</formula>
    </cfRule>
    <cfRule type="containsText" dxfId="6910" priority="7348" operator="containsText" text="&quot;A&quot;">
      <formula>NOT(ISERROR(SEARCH("""A""",AN33)))</formula>
    </cfRule>
  </conditionalFormatting>
  <conditionalFormatting sqref="AN33:AO33">
    <cfRule type="containsText" dxfId="6909" priority="7346" operator="containsText" text="A-H">
      <formula>NOT(ISERROR(SEARCH("A-H",AN33)))</formula>
    </cfRule>
  </conditionalFormatting>
  <conditionalFormatting sqref="AQ33:AR33">
    <cfRule type="cellIs" dxfId="6908" priority="7337" operator="equal">
      <formula>"C-Off-H"</formula>
    </cfRule>
    <cfRule type="cellIs" dxfId="6907" priority="7338" operator="equal">
      <formula>"C-Off"</formula>
    </cfRule>
    <cfRule type="cellIs" dxfId="6906" priority="7339" operator="equal">
      <formula>"CL-H"</formula>
    </cfRule>
    <cfRule type="cellIs" dxfId="6905" priority="7340" operator="equal">
      <formula>"EL-H"</formula>
    </cfRule>
    <cfRule type="cellIs" dxfId="6904" priority="7341" operator="equal">
      <formula>"CL"</formula>
    </cfRule>
    <cfRule type="cellIs" dxfId="6903" priority="7342" operator="equal">
      <formula>"EL"</formula>
    </cfRule>
  </conditionalFormatting>
  <conditionalFormatting sqref="AQ33:AR33">
    <cfRule type="containsText" dxfId="6902" priority="7331" operator="containsText" text="S">
      <formula>NOT(ISERROR(SEARCH("S",AQ33)))</formula>
    </cfRule>
    <cfRule type="containsText" dxfId="6901" priority="7332" operator="containsText" text="P">
      <formula>NOT(ISERROR(SEARCH("P",AQ33)))</formula>
    </cfRule>
    <cfRule type="containsText" dxfId="6900" priority="7333" operator="containsText" text="H">
      <formula>NOT(ISERROR(SEARCH("H",AQ33)))</formula>
    </cfRule>
    <cfRule type="containsText" dxfId="6899" priority="7335" operator="containsText" text="&quot;H&quot;">
      <formula>NOT(ISERROR(SEARCH("""H""",AQ33)))</formula>
    </cfRule>
    <cfRule type="containsText" dxfId="6898" priority="7336" operator="containsText" text="&quot;A&quot;">
      <formula>NOT(ISERROR(SEARCH("""A""",AQ33)))</formula>
    </cfRule>
  </conditionalFormatting>
  <conditionalFormatting sqref="AQ33:AR33">
    <cfRule type="containsText" dxfId="6897" priority="7334" operator="containsText" text="A-H">
      <formula>NOT(ISERROR(SEARCH("A-H",AQ33)))</formula>
    </cfRule>
  </conditionalFormatting>
  <conditionalFormatting sqref="AW33:AX33">
    <cfRule type="cellIs" dxfId="6896" priority="7325" operator="equal">
      <formula>"C-Off-H"</formula>
    </cfRule>
    <cfRule type="cellIs" dxfId="6895" priority="7326" operator="equal">
      <formula>"C-Off"</formula>
    </cfRule>
    <cfRule type="cellIs" dxfId="6894" priority="7327" operator="equal">
      <formula>"CL-H"</formula>
    </cfRule>
    <cfRule type="cellIs" dxfId="6893" priority="7328" operator="equal">
      <formula>"EL-H"</formula>
    </cfRule>
    <cfRule type="cellIs" dxfId="6892" priority="7329" operator="equal">
      <formula>"CL"</formula>
    </cfRule>
    <cfRule type="cellIs" dxfId="6891" priority="7330" operator="equal">
      <formula>"EL"</formula>
    </cfRule>
  </conditionalFormatting>
  <conditionalFormatting sqref="AW33:AX33">
    <cfRule type="containsText" dxfId="6890" priority="7319" operator="containsText" text="S">
      <formula>NOT(ISERROR(SEARCH("S",AW33)))</formula>
    </cfRule>
    <cfRule type="containsText" dxfId="6889" priority="7320" operator="containsText" text="P">
      <formula>NOT(ISERROR(SEARCH("P",AW33)))</formula>
    </cfRule>
    <cfRule type="containsText" dxfId="6888" priority="7321" operator="containsText" text="H">
      <formula>NOT(ISERROR(SEARCH("H",AW33)))</formula>
    </cfRule>
    <cfRule type="containsText" dxfId="6887" priority="7323" operator="containsText" text="&quot;H&quot;">
      <formula>NOT(ISERROR(SEARCH("""H""",AW33)))</formula>
    </cfRule>
    <cfRule type="containsText" dxfId="6886" priority="7324" operator="containsText" text="&quot;A&quot;">
      <formula>NOT(ISERROR(SEARCH("""A""",AW33)))</formula>
    </cfRule>
  </conditionalFormatting>
  <conditionalFormatting sqref="AW33:AX33">
    <cfRule type="containsText" dxfId="6885" priority="7322" operator="containsText" text="A-H">
      <formula>NOT(ISERROR(SEARCH("A-H",AW33)))</formula>
    </cfRule>
  </conditionalFormatting>
  <conditionalFormatting sqref="AZ33:BA33">
    <cfRule type="cellIs" dxfId="6884" priority="7313" operator="equal">
      <formula>"C-Off-H"</formula>
    </cfRule>
    <cfRule type="cellIs" dxfId="6883" priority="7314" operator="equal">
      <formula>"C-Off"</formula>
    </cfRule>
    <cfRule type="cellIs" dxfId="6882" priority="7315" operator="equal">
      <formula>"CL-H"</formula>
    </cfRule>
    <cfRule type="cellIs" dxfId="6881" priority="7316" operator="equal">
      <formula>"EL-H"</formula>
    </cfRule>
    <cfRule type="cellIs" dxfId="6880" priority="7317" operator="equal">
      <formula>"CL"</formula>
    </cfRule>
    <cfRule type="cellIs" dxfId="6879" priority="7318" operator="equal">
      <formula>"EL"</formula>
    </cfRule>
  </conditionalFormatting>
  <conditionalFormatting sqref="AZ33:BA33">
    <cfRule type="containsText" dxfId="6878" priority="7307" operator="containsText" text="S">
      <formula>NOT(ISERROR(SEARCH("S",AZ33)))</formula>
    </cfRule>
    <cfRule type="containsText" dxfId="6877" priority="7308" operator="containsText" text="P">
      <formula>NOT(ISERROR(SEARCH("P",AZ33)))</formula>
    </cfRule>
    <cfRule type="containsText" dxfId="6876" priority="7309" operator="containsText" text="H">
      <formula>NOT(ISERROR(SEARCH("H",AZ33)))</formula>
    </cfRule>
    <cfRule type="containsText" dxfId="6875" priority="7311" operator="containsText" text="&quot;H&quot;">
      <formula>NOT(ISERROR(SEARCH("""H""",AZ33)))</formula>
    </cfRule>
    <cfRule type="containsText" dxfId="6874" priority="7312" operator="containsText" text="&quot;A&quot;">
      <formula>NOT(ISERROR(SEARCH("""A""",AZ33)))</formula>
    </cfRule>
  </conditionalFormatting>
  <conditionalFormatting sqref="AZ33:BA33">
    <cfRule type="containsText" dxfId="6873" priority="7310" operator="containsText" text="A-H">
      <formula>NOT(ISERROR(SEARCH("A-H",AZ33)))</formula>
    </cfRule>
  </conditionalFormatting>
  <conditionalFormatting sqref="BC33:BD33">
    <cfRule type="cellIs" dxfId="6872" priority="7301" operator="equal">
      <formula>"C-Off-H"</formula>
    </cfRule>
    <cfRule type="cellIs" dxfId="6871" priority="7302" operator="equal">
      <formula>"C-Off"</formula>
    </cfRule>
    <cfRule type="cellIs" dxfId="6870" priority="7303" operator="equal">
      <formula>"CL-H"</formula>
    </cfRule>
    <cfRule type="cellIs" dxfId="6869" priority="7304" operator="equal">
      <formula>"EL-H"</formula>
    </cfRule>
    <cfRule type="cellIs" dxfId="6868" priority="7305" operator="equal">
      <formula>"CL"</formula>
    </cfRule>
    <cfRule type="cellIs" dxfId="6867" priority="7306" operator="equal">
      <formula>"EL"</formula>
    </cfRule>
  </conditionalFormatting>
  <conditionalFormatting sqref="BC33:BD33">
    <cfRule type="containsText" dxfId="6866" priority="7295" operator="containsText" text="S">
      <formula>NOT(ISERROR(SEARCH("S",BC33)))</formula>
    </cfRule>
    <cfRule type="containsText" dxfId="6865" priority="7296" operator="containsText" text="P">
      <formula>NOT(ISERROR(SEARCH("P",BC33)))</formula>
    </cfRule>
    <cfRule type="containsText" dxfId="6864" priority="7297" operator="containsText" text="H">
      <formula>NOT(ISERROR(SEARCH("H",BC33)))</formula>
    </cfRule>
    <cfRule type="containsText" dxfId="6863" priority="7299" operator="containsText" text="&quot;H&quot;">
      <formula>NOT(ISERROR(SEARCH("""H""",BC33)))</formula>
    </cfRule>
    <cfRule type="containsText" dxfId="6862" priority="7300" operator="containsText" text="&quot;A&quot;">
      <formula>NOT(ISERROR(SEARCH("""A""",BC33)))</formula>
    </cfRule>
  </conditionalFormatting>
  <conditionalFormatting sqref="BC33:BD33">
    <cfRule type="containsText" dxfId="6861" priority="7298" operator="containsText" text="A-H">
      <formula>NOT(ISERROR(SEARCH("A-H",BC33)))</formula>
    </cfRule>
  </conditionalFormatting>
  <conditionalFormatting sqref="BF33:BG33">
    <cfRule type="cellIs" dxfId="6860" priority="7289" operator="equal">
      <formula>"C-Off-H"</formula>
    </cfRule>
    <cfRule type="cellIs" dxfId="6859" priority="7290" operator="equal">
      <formula>"C-Off"</formula>
    </cfRule>
    <cfRule type="cellIs" dxfId="6858" priority="7291" operator="equal">
      <formula>"CL-H"</formula>
    </cfRule>
    <cfRule type="cellIs" dxfId="6857" priority="7292" operator="equal">
      <formula>"EL-H"</formula>
    </cfRule>
    <cfRule type="cellIs" dxfId="6856" priority="7293" operator="equal">
      <formula>"CL"</formula>
    </cfRule>
    <cfRule type="cellIs" dxfId="6855" priority="7294" operator="equal">
      <formula>"EL"</formula>
    </cfRule>
  </conditionalFormatting>
  <conditionalFormatting sqref="BF33:BG33">
    <cfRule type="containsText" dxfId="6854" priority="7283" operator="containsText" text="S">
      <formula>NOT(ISERROR(SEARCH("S",BF33)))</formula>
    </cfRule>
    <cfRule type="containsText" dxfId="6853" priority="7284" operator="containsText" text="P">
      <formula>NOT(ISERROR(SEARCH("P",BF33)))</formula>
    </cfRule>
    <cfRule type="containsText" dxfId="6852" priority="7285" operator="containsText" text="H">
      <formula>NOT(ISERROR(SEARCH("H",BF33)))</formula>
    </cfRule>
    <cfRule type="containsText" dxfId="6851" priority="7287" operator="containsText" text="&quot;H&quot;">
      <formula>NOT(ISERROR(SEARCH("""H""",BF33)))</formula>
    </cfRule>
    <cfRule type="containsText" dxfId="6850" priority="7288" operator="containsText" text="&quot;A&quot;">
      <formula>NOT(ISERROR(SEARCH("""A""",BF33)))</formula>
    </cfRule>
  </conditionalFormatting>
  <conditionalFormatting sqref="BF33:BG33">
    <cfRule type="containsText" dxfId="6849" priority="7286" operator="containsText" text="A-H">
      <formula>NOT(ISERROR(SEARCH("A-H",BF33)))</formula>
    </cfRule>
  </conditionalFormatting>
  <conditionalFormatting sqref="BI33:BJ33">
    <cfRule type="cellIs" dxfId="6848" priority="7277" operator="equal">
      <formula>"C-Off-H"</formula>
    </cfRule>
    <cfRule type="cellIs" dxfId="6847" priority="7278" operator="equal">
      <formula>"C-Off"</formula>
    </cfRule>
    <cfRule type="cellIs" dxfId="6846" priority="7279" operator="equal">
      <formula>"CL-H"</formula>
    </cfRule>
    <cfRule type="cellIs" dxfId="6845" priority="7280" operator="equal">
      <formula>"EL-H"</formula>
    </cfRule>
    <cfRule type="cellIs" dxfId="6844" priority="7281" operator="equal">
      <formula>"CL"</formula>
    </cfRule>
    <cfRule type="cellIs" dxfId="6843" priority="7282" operator="equal">
      <formula>"EL"</formula>
    </cfRule>
  </conditionalFormatting>
  <conditionalFormatting sqref="BI33:BJ33">
    <cfRule type="containsText" dxfId="6842" priority="7271" operator="containsText" text="S">
      <formula>NOT(ISERROR(SEARCH("S",BI33)))</formula>
    </cfRule>
    <cfRule type="containsText" dxfId="6841" priority="7272" operator="containsText" text="P">
      <formula>NOT(ISERROR(SEARCH("P",BI33)))</formula>
    </cfRule>
    <cfRule type="containsText" dxfId="6840" priority="7273" operator="containsText" text="H">
      <formula>NOT(ISERROR(SEARCH("H",BI33)))</formula>
    </cfRule>
    <cfRule type="containsText" dxfId="6839" priority="7275" operator="containsText" text="&quot;H&quot;">
      <formula>NOT(ISERROR(SEARCH("""H""",BI33)))</formula>
    </cfRule>
    <cfRule type="containsText" dxfId="6838" priority="7276" operator="containsText" text="&quot;A&quot;">
      <formula>NOT(ISERROR(SEARCH("""A""",BI33)))</formula>
    </cfRule>
  </conditionalFormatting>
  <conditionalFormatting sqref="BI33:BJ33">
    <cfRule type="containsText" dxfId="6837" priority="7274" operator="containsText" text="A-H">
      <formula>NOT(ISERROR(SEARCH("A-H",BI33)))</formula>
    </cfRule>
  </conditionalFormatting>
  <conditionalFormatting sqref="BL33:BM33">
    <cfRule type="cellIs" dxfId="6836" priority="7265" operator="equal">
      <formula>"C-Off-H"</formula>
    </cfRule>
    <cfRule type="cellIs" dxfId="6835" priority="7266" operator="equal">
      <formula>"C-Off"</formula>
    </cfRule>
    <cfRule type="cellIs" dxfId="6834" priority="7267" operator="equal">
      <formula>"CL-H"</formula>
    </cfRule>
    <cfRule type="cellIs" dxfId="6833" priority="7268" operator="equal">
      <formula>"EL-H"</formula>
    </cfRule>
    <cfRule type="cellIs" dxfId="6832" priority="7269" operator="equal">
      <formula>"CL"</formula>
    </cfRule>
    <cfRule type="cellIs" dxfId="6831" priority="7270" operator="equal">
      <formula>"EL"</formula>
    </cfRule>
  </conditionalFormatting>
  <conditionalFormatting sqref="BL33:BM33">
    <cfRule type="containsText" dxfId="6830" priority="7259" operator="containsText" text="S">
      <formula>NOT(ISERROR(SEARCH("S",BL33)))</formula>
    </cfRule>
    <cfRule type="containsText" dxfId="6829" priority="7260" operator="containsText" text="P">
      <formula>NOT(ISERROR(SEARCH("P",BL33)))</formula>
    </cfRule>
    <cfRule type="containsText" dxfId="6828" priority="7261" operator="containsText" text="H">
      <formula>NOT(ISERROR(SEARCH("H",BL33)))</formula>
    </cfRule>
    <cfRule type="containsText" dxfId="6827" priority="7263" operator="containsText" text="&quot;H&quot;">
      <formula>NOT(ISERROR(SEARCH("""H""",BL33)))</formula>
    </cfRule>
    <cfRule type="containsText" dxfId="6826" priority="7264" operator="containsText" text="&quot;A&quot;">
      <formula>NOT(ISERROR(SEARCH("""A""",BL33)))</formula>
    </cfRule>
  </conditionalFormatting>
  <conditionalFormatting sqref="BL33:BM33">
    <cfRule type="containsText" dxfId="6825" priority="7262" operator="containsText" text="A-H">
      <formula>NOT(ISERROR(SEARCH("A-H",BL33)))</formula>
    </cfRule>
  </conditionalFormatting>
  <conditionalFormatting sqref="BR33:BS33">
    <cfRule type="cellIs" dxfId="6824" priority="7253" operator="equal">
      <formula>"C-Off-H"</formula>
    </cfRule>
    <cfRule type="cellIs" dxfId="6823" priority="7254" operator="equal">
      <formula>"C-Off"</formula>
    </cfRule>
    <cfRule type="cellIs" dxfId="6822" priority="7255" operator="equal">
      <formula>"CL-H"</formula>
    </cfRule>
    <cfRule type="cellIs" dxfId="6821" priority="7256" operator="equal">
      <formula>"EL-H"</formula>
    </cfRule>
    <cfRule type="cellIs" dxfId="6820" priority="7257" operator="equal">
      <formula>"CL"</formula>
    </cfRule>
    <cfRule type="cellIs" dxfId="6819" priority="7258" operator="equal">
      <formula>"EL"</formula>
    </cfRule>
  </conditionalFormatting>
  <conditionalFormatting sqref="BR33:BS33">
    <cfRule type="containsText" dxfId="6818" priority="7247" operator="containsText" text="S">
      <formula>NOT(ISERROR(SEARCH("S",BR33)))</formula>
    </cfRule>
    <cfRule type="containsText" dxfId="6817" priority="7248" operator="containsText" text="P">
      <formula>NOT(ISERROR(SEARCH("P",BR33)))</formula>
    </cfRule>
    <cfRule type="containsText" dxfId="6816" priority="7249" operator="containsText" text="H">
      <formula>NOT(ISERROR(SEARCH("H",BR33)))</formula>
    </cfRule>
    <cfRule type="containsText" dxfId="6815" priority="7251" operator="containsText" text="&quot;H&quot;">
      <formula>NOT(ISERROR(SEARCH("""H""",BR33)))</formula>
    </cfRule>
    <cfRule type="containsText" dxfId="6814" priority="7252" operator="containsText" text="&quot;A&quot;">
      <formula>NOT(ISERROR(SEARCH("""A""",BR33)))</formula>
    </cfRule>
  </conditionalFormatting>
  <conditionalFormatting sqref="BR33:BS33">
    <cfRule type="containsText" dxfId="6813" priority="7250" operator="containsText" text="A-H">
      <formula>NOT(ISERROR(SEARCH("A-H",BR33)))</formula>
    </cfRule>
  </conditionalFormatting>
  <conditionalFormatting sqref="BU33:BV33">
    <cfRule type="cellIs" dxfId="6812" priority="7241" operator="equal">
      <formula>"C-Off-H"</formula>
    </cfRule>
    <cfRule type="cellIs" dxfId="6811" priority="7242" operator="equal">
      <formula>"C-Off"</formula>
    </cfRule>
    <cfRule type="cellIs" dxfId="6810" priority="7243" operator="equal">
      <formula>"CL-H"</formula>
    </cfRule>
    <cfRule type="cellIs" dxfId="6809" priority="7244" operator="equal">
      <formula>"EL-H"</formula>
    </cfRule>
    <cfRule type="cellIs" dxfId="6808" priority="7245" operator="equal">
      <formula>"CL"</formula>
    </cfRule>
    <cfRule type="cellIs" dxfId="6807" priority="7246" operator="equal">
      <formula>"EL"</formula>
    </cfRule>
  </conditionalFormatting>
  <conditionalFormatting sqref="BU33:BV33">
    <cfRule type="containsText" dxfId="6806" priority="7235" operator="containsText" text="S">
      <formula>NOT(ISERROR(SEARCH("S",BU33)))</formula>
    </cfRule>
    <cfRule type="containsText" dxfId="6805" priority="7236" operator="containsText" text="P">
      <formula>NOT(ISERROR(SEARCH("P",BU33)))</formula>
    </cfRule>
    <cfRule type="containsText" dxfId="6804" priority="7237" operator="containsText" text="H">
      <formula>NOT(ISERROR(SEARCH("H",BU33)))</formula>
    </cfRule>
    <cfRule type="containsText" dxfId="6803" priority="7239" operator="containsText" text="&quot;H&quot;">
      <formula>NOT(ISERROR(SEARCH("""H""",BU33)))</formula>
    </cfRule>
    <cfRule type="containsText" dxfId="6802" priority="7240" operator="containsText" text="&quot;A&quot;">
      <formula>NOT(ISERROR(SEARCH("""A""",BU33)))</formula>
    </cfRule>
  </conditionalFormatting>
  <conditionalFormatting sqref="BU33:BV33">
    <cfRule type="containsText" dxfId="6801" priority="7238" operator="containsText" text="A-H">
      <formula>NOT(ISERROR(SEARCH("A-H",BU33)))</formula>
    </cfRule>
  </conditionalFormatting>
  <conditionalFormatting sqref="BY33">
    <cfRule type="cellIs" dxfId="6800" priority="7229" operator="equal">
      <formula>"C-Off-H"</formula>
    </cfRule>
    <cfRule type="cellIs" dxfId="6799" priority="7230" operator="equal">
      <formula>"C-Off"</formula>
    </cfRule>
    <cfRule type="cellIs" dxfId="6798" priority="7231" operator="equal">
      <formula>"CL-H"</formula>
    </cfRule>
    <cfRule type="cellIs" dxfId="6797" priority="7232" operator="equal">
      <formula>"EL-H"</formula>
    </cfRule>
    <cfRule type="cellIs" dxfId="6796" priority="7233" operator="equal">
      <formula>"CL"</formula>
    </cfRule>
    <cfRule type="cellIs" dxfId="6795" priority="7234" operator="equal">
      <formula>"EL"</formula>
    </cfRule>
  </conditionalFormatting>
  <conditionalFormatting sqref="BY33">
    <cfRule type="containsText" dxfId="6794" priority="7223" operator="containsText" text="S">
      <formula>NOT(ISERROR(SEARCH("S",BY33)))</formula>
    </cfRule>
    <cfRule type="containsText" dxfId="6793" priority="7224" operator="containsText" text="P">
      <formula>NOT(ISERROR(SEARCH("P",BY33)))</formula>
    </cfRule>
    <cfRule type="containsText" dxfId="6792" priority="7225" operator="containsText" text="H">
      <formula>NOT(ISERROR(SEARCH("H",BY33)))</formula>
    </cfRule>
    <cfRule type="containsText" dxfId="6791" priority="7227" operator="containsText" text="&quot;H&quot;">
      <formula>NOT(ISERROR(SEARCH("""H""",BY33)))</formula>
    </cfRule>
    <cfRule type="containsText" dxfId="6790" priority="7228" operator="containsText" text="&quot;A&quot;">
      <formula>NOT(ISERROR(SEARCH("""A""",BY33)))</formula>
    </cfRule>
  </conditionalFormatting>
  <conditionalFormatting sqref="BY33">
    <cfRule type="containsText" dxfId="6789" priority="7226" operator="containsText" text="A-H">
      <formula>NOT(ISERROR(SEARCH("A-H",BY33)))</formula>
    </cfRule>
  </conditionalFormatting>
  <conditionalFormatting sqref="BX33">
    <cfRule type="cellIs" dxfId="6788" priority="7217" operator="equal">
      <formula>"C-Off-H"</formula>
    </cfRule>
    <cfRule type="cellIs" dxfId="6787" priority="7218" operator="equal">
      <formula>"C-Off"</formula>
    </cfRule>
    <cfRule type="cellIs" dxfId="6786" priority="7219" operator="equal">
      <formula>"CL-H"</formula>
    </cfRule>
    <cfRule type="cellIs" dxfId="6785" priority="7220" operator="equal">
      <formula>"EL-H"</formula>
    </cfRule>
    <cfRule type="cellIs" dxfId="6784" priority="7221" operator="equal">
      <formula>"CL"</formula>
    </cfRule>
    <cfRule type="cellIs" dxfId="6783" priority="7222" operator="equal">
      <formula>"EL"</formula>
    </cfRule>
  </conditionalFormatting>
  <conditionalFormatting sqref="BX33">
    <cfRule type="containsText" dxfId="6782" priority="7211" operator="containsText" text="S">
      <formula>NOT(ISERROR(SEARCH("S",BX33)))</formula>
    </cfRule>
    <cfRule type="containsText" dxfId="6781" priority="7212" operator="containsText" text="P">
      <formula>NOT(ISERROR(SEARCH("P",BX33)))</formula>
    </cfRule>
    <cfRule type="containsText" dxfId="6780" priority="7213" operator="containsText" text="H">
      <formula>NOT(ISERROR(SEARCH("H",BX33)))</formula>
    </cfRule>
    <cfRule type="containsText" dxfId="6779" priority="7215" operator="containsText" text="&quot;H&quot;">
      <formula>NOT(ISERROR(SEARCH("""H""",BX33)))</formula>
    </cfRule>
    <cfRule type="containsText" dxfId="6778" priority="7216" operator="containsText" text="&quot;A&quot;">
      <formula>NOT(ISERROR(SEARCH("""A""",BX33)))</formula>
    </cfRule>
  </conditionalFormatting>
  <conditionalFormatting sqref="BX33">
    <cfRule type="containsText" dxfId="6777" priority="7214" operator="containsText" text="A-H">
      <formula>NOT(ISERROR(SEARCH("A-H",BX33)))</formula>
    </cfRule>
  </conditionalFormatting>
  <conditionalFormatting sqref="J33:K33">
    <cfRule type="cellIs" dxfId="6776" priority="7205" operator="equal">
      <formula>"C-Off-H"</formula>
    </cfRule>
    <cfRule type="cellIs" dxfId="6775" priority="7206" operator="equal">
      <formula>"C-Off"</formula>
    </cfRule>
    <cfRule type="cellIs" dxfId="6774" priority="7207" operator="equal">
      <formula>"CL-H"</formula>
    </cfRule>
    <cfRule type="cellIs" dxfId="6773" priority="7208" operator="equal">
      <formula>"EL-H"</formula>
    </cfRule>
    <cfRule type="cellIs" dxfId="6772" priority="7209" operator="equal">
      <formula>"CL"</formula>
    </cfRule>
    <cfRule type="cellIs" dxfId="6771" priority="7210" operator="equal">
      <formula>"EL"</formula>
    </cfRule>
  </conditionalFormatting>
  <conditionalFormatting sqref="J33:K33">
    <cfRule type="containsText" dxfId="6770" priority="7199" operator="containsText" text="S">
      <formula>NOT(ISERROR(SEARCH("S",J33)))</formula>
    </cfRule>
    <cfRule type="containsText" dxfId="6769" priority="7200" operator="containsText" text="P">
      <formula>NOT(ISERROR(SEARCH("P",J33)))</formula>
    </cfRule>
    <cfRule type="containsText" dxfId="6768" priority="7201" operator="containsText" text="H">
      <formula>NOT(ISERROR(SEARCH("H",J33)))</formula>
    </cfRule>
    <cfRule type="containsText" dxfId="6767" priority="7203" operator="containsText" text="&quot;H&quot;">
      <formula>NOT(ISERROR(SEARCH("""H""",J33)))</formula>
    </cfRule>
    <cfRule type="containsText" dxfId="6766" priority="7204" operator="containsText" text="&quot;A&quot;">
      <formula>NOT(ISERROR(SEARCH("""A""",J33)))</formula>
    </cfRule>
  </conditionalFormatting>
  <conditionalFormatting sqref="J33:K33">
    <cfRule type="containsText" dxfId="6765" priority="7202" operator="containsText" text="A-H">
      <formula>NOT(ISERROR(SEARCH("A-H",J33)))</formula>
    </cfRule>
  </conditionalFormatting>
  <conditionalFormatting sqref="DC34 M34:N34 CQ34:CW34">
    <cfRule type="cellIs" dxfId="6764" priority="7193" operator="equal">
      <formula>"C-Off-H"</formula>
    </cfRule>
    <cfRule type="cellIs" dxfId="6763" priority="7194" operator="equal">
      <formula>"C-Off"</formula>
    </cfRule>
    <cfRule type="cellIs" dxfId="6762" priority="7195" operator="equal">
      <formula>"CL-H"</formula>
    </cfRule>
    <cfRule type="cellIs" dxfId="6761" priority="7196" operator="equal">
      <formula>"EL-H"</formula>
    </cfRule>
    <cfRule type="cellIs" dxfId="6760" priority="7197" operator="equal">
      <formula>"CL"</formula>
    </cfRule>
    <cfRule type="cellIs" dxfId="6759" priority="7198" operator="equal">
      <formula>"EL"</formula>
    </cfRule>
  </conditionalFormatting>
  <conditionalFormatting sqref="M34:N34 CQ34:CW34 CY34:DA34 DC34">
    <cfRule type="containsText" dxfId="6758" priority="7192" operator="containsText" text="A-H">
      <formula>NOT(ISERROR(SEARCH("A-H",M34)))</formula>
    </cfRule>
  </conditionalFormatting>
  <conditionalFormatting sqref="CQ34:CW34 CY34:DA34 DC34">
    <cfRule type="containsText" dxfId="6757" priority="7191" operator="containsText" text="A">
      <formula>NOT(ISERROR(SEARCH("A",CQ34)))</formula>
    </cfRule>
  </conditionalFormatting>
  <conditionalFormatting sqref="CY34 DA34">
    <cfRule type="cellIs" dxfId="6756" priority="7185" stopIfTrue="1" operator="equal">
      <formula>"C-Off-H"</formula>
    </cfRule>
    <cfRule type="cellIs" dxfId="6755" priority="7186" stopIfTrue="1" operator="equal">
      <formula>"C-Off"</formula>
    </cfRule>
    <cfRule type="cellIs" dxfId="6754" priority="7187" stopIfTrue="1" operator="equal">
      <formula>"CL-H"</formula>
    </cfRule>
    <cfRule type="cellIs" dxfId="6753" priority="7188" stopIfTrue="1" operator="equal">
      <formula>"EL-H"</formula>
    </cfRule>
    <cfRule type="cellIs" dxfId="6752" priority="7189" stopIfTrue="1" operator="equal">
      <formula>"CL"</formula>
    </cfRule>
    <cfRule type="cellIs" dxfId="6751" priority="7190" stopIfTrue="1" operator="equal">
      <formula>"EL"</formula>
    </cfRule>
  </conditionalFormatting>
  <conditionalFormatting sqref="CZ34">
    <cfRule type="cellIs" dxfId="6750" priority="7179" stopIfTrue="1" operator="equal">
      <formula>"C-Off-H"</formula>
    </cfRule>
    <cfRule type="cellIs" dxfId="6749" priority="7180" stopIfTrue="1" operator="equal">
      <formula>"C-Off"</formula>
    </cfRule>
    <cfRule type="cellIs" dxfId="6748" priority="7181" stopIfTrue="1" operator="equal">
      <formula>"CL-H"</formula>
    </cfRule>
    <cfRule type="cellIs" dxfId="6747" priority="7182" stopIfTrue="1" operator="equal">
      <formula>"EL-H"</formula>
    </cfRule>
    <cfRule type="cellIs" dxfId="6746" priority="7183" stopIfTrue="1" operator="equal">
      <formula>"CL"</formula>
    </cfRule>
    <cfRule type="cellIs" dxfId="6745" priority="7184" stopIfTrue="1" operator="equal">
      <formula>"EL"</formula>
    </cfRule>
  </conditionalFormatting>
  <conditionalFormatting sqref="M34:N34">
    <cfRule type="containsText" dxfId="6744" priority="7174" operator="containsText" text="S">
      <formula>NOT(ISERROR(SEARCH("S",M34)))</formula>
    </cfRule>
    <cfRule type="containsText" dxfId="6743" priority="7175" operator="containsText" text="P">
      <formula>NOT(ISERROR(SEARCH("P",M34)))</formula>
    </cfRule>
    <cfRule type="containsText" dxfId="6742" priority="7176" operator="containsText" text="H">
      <formula>NOT(ISERROR(SEARCH("H",M34)))</formula>
    </cfRule>
    <cfRule type="containsText" dxfId="6741" priority="7177" operator="containsText" text="&quot;H&quot;">
      <formula>NOT(ISERROR(SEARCH("""H""",M34)))</formula>
    </cfRule>
    <cfRule type="containsText" dxfId="6740" priority="7178" operator="containsText" text="&quot;A&quot;">
      <formula>NOT(ISERROR(SEARCH("""A""",M34)))</formula>
    </cfRule>
  </conditionalFormatting>
  <conditionalFormatting sqref="DD34">
    <cfRule type="cellIs" dxfId="6739" priority="7168" operator="equal">
      <formula>"C-Off-H"</formula>
    </cfRule>
    <cfRule type="cellIs" dxfId="6738" priority="7169" operator="equal">
      <formula>"C-Off"</formula>
    </cfRule>
    <cfRule type="cellIs" dxfId="6737" priority="7170" operator="equal">
      <formula>"CL-H"</formula>
    </cfRule>
    <cfRule type="cellIs" dxfId="6736" priority="7171" operator="equal">
      <formula>"EL-H"</formula>
    </cfRule>
    <cfRule type="cellIs" dxfId="6735" priority="7172" operator="equal">
      <formula>"CL"</formula>
    </cfRule>
    <cfRule type="cellIs" dxfId="6734" priority="7173" operator="equal">
      <formula>"EL"</formula>
    </cfRule>
  </conditionalFormatting>
  <conditionalFormatting sqref="DD34">
    <cfRule type="containsText" dxfId="6733" priority="7167" operator="containsText" text="A">
      <formula>NOT(ISERROR(SEARCH("A",DD34)))</formula>
    </cfRule>
  </conditionalFormatting>
  <conditionalFormatting sqref="DD34">
    <cfRule type="containsText" dxfId="6732" priority="7166" operator="containsText" text="A-H">
      <formula>NOT(ISERROR(SEARCH("A-H",DD34)))</formula>
    </cfRule>
  </conditionalFormatting>
  <conditionalFormatting sqref="AI34">
    <cfRule type="cellIs" dxfId="6731" priority="7160" operator="equal">
      <formula>"C-Off-H"</formula>
    </cfRule>
    <cfRule type="cellIs" dxfId="6730" priority="7161" operator="equal">
      <formula>"C-Off"</formula>
    </cfRule>
    <cfRule type="cellIs" dxfId="6729" priority="7162" operator="equal">
      <formula>"CL-H"</formula>
    </cfRule>
    <cfRule type="cellIs" dxfId="6728" priority="7163" operator="equal">
      <formula>"EL-H"</formula>
    </cfRule>
    <cfRule type="cellIs" dxfId="6727" priority="7164" operator="equal">
      <formula>"CL"</formula>
    </cfRule>
    <cfRule type="cellIs" dxfId="6726" priority="7165" operator="equal">
      <formula>"EL"</formula>
    </cfRule>
  </conditionalFormatting>
  <conditionalFormatting sqref="AH34:AI34">
    <cfRule type="cellIs" dxfId="6725" priority="7154" operator="equal">
      <formula>"C-Off-H"</formula>
    </cfRule>
    <cfRule type="cellIs" dxfId="6724" priority="7155" operator="equal">
      <formula>"C-Off"</formula>
    </cfRule>
    <cfRule type="cellIs" dxfId="6723" priority="7156" operator="equal">
      <formula>"CL-H"</formula>
    </cfRule>
    <cfRule type="cellIs" dxfId="6722" priority="7157" operator="equal">
      <formula>"EL-H"</formula>
    </cfRule>
    <cfRule type="cellIs" dxfId="6721" priority="7158" operator="equal">
      <formula>"CL"</formula>
    </cfRule>
    <cfRule type="cellIs" dxfId="6720" priority="7159" operator="equal">
      <formula>"EL"</formula>
    </cfRule>
  </conditionalFormatting>
  <conditionalFormatting sqref="AH34:AI34">
    <cfRule type="containsText" dxfId="6719" priority="7148" operator="containsText" text="S">
      <formula>NOT(ISERROR(SEARCH("S",AH34)))</formula>
    </cfRule>
    <cfRule type="containsText" dxfId="6718" priority="7149" operator="containsText" text="P">
      <formula>NOT(ISERROR(SEARCH("P",AH34)))</formula>
    </cfRule>
    <cfRule type="containsText" dxfId="6717" priority="7150" operator="containsText" text="H">
      <formula>NOT(ISERROR(SEARCH("H",AH34)))</formula>
    </cfRule>
    <cfRule type="containsText" dxfId="6716" priority="7152" operator="containsText" text="&quot;H&quot;">
      <formula>NOT(ISERROR(SEARCH("""H""",AH34)))</formula>
    </cfRule>
    <cfRule type="containsText" dxfId="6715" priority="7153" operator="containsText" text="&quot;A&quot;">
      <formula>NOT(ISERROR(SEARCH("""A""",AH34)))</formula>
    </cfRule>
  </conditionalFormatting>
  <conditionalFormatting sqref="AH34:AI34">
    <cfRule type="containsText" dxfId="6714" priority="7151" operator="containsText" text="A-H">
      <formula>NOT(ISERROR(SEARCH("A-H",AH34)))</formula>
    </cfRule>
  </conditionalFormatting>
  <conditionalFormatting sqref="AU34">
    <cfRule type="cellIs" dxfId="6713" priority="7142" operator="equal">
      <formula>"C-Off-H"</formula>
    </cfRule>
    <cfRule type="cellIs" dxfId="6712" priority="7143" operator="equal">
      <formula>"C-Off"</formula>
    </cfRule>
    <cfRule type="cellIs" dxfId="6711" priority="7144" operator="equal">
      <formula>"CL-H"</formula>
    </cfRule>
    <cfRule type="cellIs" dxfId="6710" priority="7145" operator="equal">
      <formula>"EL-H"</formula>
    </cfRule>
    <cfRule type="cellIs" dxfId="6709" priority="7146" operator="equal">
      <formula>"CL"</formula>
    </cfRule>
    <cfRule type="cellIs" dxfId="6708" priority="7147" operator="equal">
      <formula>"EL"</formula>
    </cfRule>
  </conditionalFormatting>
  <conditionalFormatting sqref="AT34:AU34">
    <cfRule type="cellIs" dxfId="6707" priority="7136" operator="equal">
      <formula>"C-Off-H"</formula>
    </cfRule>
    <cfRule type="cellIs" dxfId="6706" priority="7137" operator="equal">
      <formula>"C-Off"</formula>
    </cfRule>
    <cfRule type="cellIs" dxfId="6705" priority="7138" operator="equal">
      <formula>"CL-H"</formula>
    </cfRule>
    <cfRule type="cellIs" dxfId="6704" priority="7139" operator="equal">
      <formula>"EL-H"</formula>
    </cfRule>
    <cfRule type="cellIs" dxfId="6703" priority="7140" operator="equal">
      <formula>"CL"</formula>
    </cfRule>
    <cfRule type="cellIs" dxfId="6702" priority="7141" operator="equal">
      <formula>"EL"</formula>
    </cfRule>
  </conditionalFormatting>
  <conditionalFormatting sqref="AT34:AU34">
    <cfRule type="containsText" dxfId="6701" priority="7130" operator="containsText" text="S">
      <formula>NOT(ISERROR(SEARCH("S",AT34)))</formula>
    </cfRule>
    <cfRule type="containsText" dxfId="6700" priority="7131" operator="containsText" text="P">
      <formula>NOT(ISERROR(SEARCH("P",AT34)))</formula>
    </cfRule>
    <cfRule type="containsText" dxfId="6699" priority="7132" operator="containsText" text="H">
      <formula>NOT(ISERROR(SEARCH("H",AT34)))</formula>
    </cfRule>
    <cfRule type="containsText" dxfId="6698" priority="7134" operator="containsText" text="&quot;H&quot;">
      <formula>NOT(ISERROR(SEARCH("""H""",AT34)))</formula>
    </cfRule>
    <cfRule type="containsText" dxfId="6697" priority="7135" operator="containsText" text="&quot;A&quot;">
      <formula>NOT(ISERROR(SEARCH("""A""",AT34)))</formula>
    </cfRule>
  </conditionalFormatting>
  <conditionalFormatting sqref="AT34:AU34">
    <cfRule type="containsText" dxfId="6696" priority="7133" operator="containsText" text="A-H">
      <formula>NOT(ISERROR(SEARCH("A-H",AT34)))</formula>
    </cfRule>
  </conditionalFormatting>
  <conditionalFormatting sqref="E34">
    <cfRule type="cellIs" dxfId="6695" priority="7124" operator="equal">
      <formula>"C-Off-H"</formula>
    </cfRule>
    <cfRule type="cellIs" dxfId="6694" priority="7125" operator="equal">
      <formula>"C-Off"</formula>
    </cfRule>
    <cfRule type="cellIs" dxfId="6693" priority="7126" operator="equal">
      <formula>"CL-H"</formula>
    </cfRule>
    <cfRule type="cellIs" dxfId="6692" priority="7127" operator="equal">
      <formula>"EL-H"</formula>
    </cfRule>
    <cfRule type="cellIs" dxfId="6691" priority="7128" operator="equal">
      <formula>"CL"</formula>
    </cfRule>
    <cfRule type="cellIs" dxfId="6690" priority="7129" operator="equal">
      <formula>"EL"</formula>
    </cfRule>
  </conditionalFormatting>
  <conditionalFormatting sqref="D34:E34">
    <cfRule type="cellIs" dxfId="6689" priority="7118" operator="equal">
      <formula>"C-Off-H"</formula>
    </cfRule>
    <cfRule type="cellIs" dxfId="6688" priority="7119" operator="equal">
      <formula>"C-Off"</formula>
    </cfRule>
    <cfRule type="cellIs" dxfId="6687" priority="7120" operator="equal">
      <formula>"CL-H"</formula>
    </cfRule>
    <cfRule type="cellIs" dxfId="6686" priority="7121" operator="equal">
      <formula>"EL-H"</formula>
    </cfRule>
    <cfRule type="cellIs" dxfId="6685" priority="7122" operator="equal">
      <formula>"CL"</formula>
    </cfRule>
    <cfRule type="cellIs" dxfId="6684" priority="7123" operator="equal">
      <formula>"EL"</formula>
    </cfRule>
  </conditionalFormatting>
  <conditionalFormatting sqref="D34:E34">
    <cfRule type="containsText" dxfId="6683" priority="7112" operator="containsText" text="S">
      <formula>NOT(ISERROR(SEARCH("S",D34)))</formula>
    </cfRule>
    <cfRule type="containsText" dxfId="6682" priority="7113" operator="containsText" text="P">
      <formula>NOT(ISERROR(SEARCH("P",D34)))</formula>
    </cfRule>
    <cfRule type="containsText" dxfId="6681" priority="7114" operator="containsText" text="H">
      <formula>NOT(ISERROR(SEARCH("H",D34)))</formula>
    </cfRule>
    <cfRule type="containsText" dxfId="6680" priority="7116" operator="containsText" text="&quot;H&quot;">
      <formula>NOT(ISERROR(SEARCH("""H""",D34)))</formula>
    </cfRule>
    <cfRule type="containsText" dxfId="6679" priority="7117" operator="containsText" text="&quot;A&quot;">
      <formula>NOT(ISERROR(SEARCH("""A""",D34)))</formula>
    </cfRule>
  </conditionalFormatting>
  <conditionalFormatting sqref="D34:E34">
    <cfRule type="containsText" dxfId="6678" priority="7115" operator="containsText" text="A-H">
      <formula>NOT(ISERROR(SEARCH("A-H",D34)))</formula>
    </cfRule>
  </conditionalFormatting>
  <conditionalFormatting sqref="Y34">
    <cfRule type="cellIs" dxfId="6677" priority="7106" operator="equal">
      <formula>"C-Off-H"</formula>
    </cfRule>
    <cfRule type="cellIs" dxfId="6676" priority="7107" operator="equal">
      <formula>"C-Off"</formula>
    </cfRule>
    <cfRule type="cellIs" dxfId="6675" priority="7108" operator="equal">
      <formula>"CL-H"</formula>
    </cfRule>
    <cfRule type="cellIs" dxfId="6674" priority="7109" operator="equal">
      <formula>"EL-H"</formula>
    </cfRule>
    <cfRule type="cellIs" dxfId="6673" priority="7110" operator="equal">
      <formula>"CL"</formula>
    </cfRule>
    <cfRule type="cellIs" dxfId="6672" priority="7111" operator="equal">
      <formula>"EL"</formula>
    </cfRule>
  </conditionalFormatting>
  <conditionalFormatting sqref="Y34">
    <cfRule type="containsText" dxfId="6671" priority="7100" operator="containsText" text="S">
      <formula>NOT(ISERROR(SEARCH("S",Y34)))</formula>
    </cfRule>
    <cfRule type="containsText" dxfId="6670" priority="7101" operator="containsText" text="P">
      <formula>NOT(ISERROR(SEARCH("P",Y34)))</formula>
    </cfRule>
    <cfRule type="containsText" dxfId="6669" priority="7102" operator="containsText" text="H">
      <formula>NOT(ISERROR(SEARCH("H",Y34)))</formula>
    </cfRule>
    <cfRule type="containsText" dxfId="6668" priority="7104" operator="containsText" text="&quot;H&quot;">
      <formula>NOT(ISERROR(SEARCH("""H""",Y34)))</formula>
    </cfRule>
    <cfRule type="containsText" dxfId="6667" priority="7105" operator="containsText" text="&quot;A&quot;">
      <formula>NOT(ISERROR(SEARCH("""A""",Y34)))</formula>
    </cfRule>
  </conditionalFormatting>
  <conditionalFormatting sqref="Y34">
    <cfRule type="containsText" dxfId="6666" priority="7103" operator="containsText" text="A-H">
      <formula>NOT(ISERROR(SEARCH("A-H",Y34)))</formula>
    </cfRule>
  </conditionalFormatting>
  <conditionalFormatting sqref="AF34">
    <cfRule type="cellIs" dxfId="6665" priority="7094" operator="equal">
      <formula>"C-Off-H"</formula>
    </cfRule>
    <cfRule type="cellIs" dxfId="6664" priority="7095" operator="equal">
      <formula>"C-Off"</formula>
    </cfRule>
    <cfRule type="cellIs" dxfId="6663" priority="7096" operator="equal">
      <formula>"CL-H"</formula>
    </cfRule>
    <cfRule type="cellIs" dxfId="6662" priority="7097" operator="equal">
      <formula>"EL-H"</formula>
    </cfRule>
    <cfRule type="cellIs" dxfId="6661" priority="7098" operator="equal">
      <formula>"CL"</formula>
    </cfRule>
    <cfRule type="cellIs" dxfId="6660" priority="7099" operator="equal">
      <formula>"EL"</formula>
    </cfRule>
  </conditionalFormatting>
  <conditionalFormatting sqref="AF34">
    <cfRule type="containsText" dxfId="6659" priority="7088" operator="containsText" text="S">
      <formula>NOT(ISERROR(SEARCH("S",AF34)))</formula>
    </cfRule>
    <cfRule type="containsText" dxfId="6658" priority="7089" operator="containsText" text="P">
      <formula>NOT(ISERROR(SEARCH("P",AF34)))</formula>
    </cfRule>
    <cfRule type="containsText" dxfId="6657" priority="7090" operator="containsText" text="H">
      <formula>NOT(ISERROR(SEARCH("H",AF34)))</formula>
    </cfRule>
    <cfRule type="containsText" dxfId="6656" priority="7092" operator="containsText" text="&quot;H&quot;">
      <formula>NOT(ISERROR(SEARCH("""H""",AF34)))</formula>
    </cfRule>
    <cfRule type="containsText" dxfId="6655" priority="7093" operator="containsText" text="&quot;A&quot;">
      <formula>NOT(ISERROR(SEARCH("""A""",AF34)))</formula>
    </cfRule>
  </conditionalFormatting>
  <conditionalFormatting sqref="AF34">
    <cfRule type="containsText" dxfId="6654" priority="7091" operator="containsText" text="A-H">
      <formula>NOT(ISERROR(SEARCH("A-H",AF34)))</formula>
    </cfRule>
  </conditionalFormatting>
  <conditionalFormatting sqref="BO34:BP34">
    <cfRule type="cellIs" dxfId="6653" priority="7082" operator="equal">
      <formula>"C-Off-H"</formula>
    </cfRule>
    <cfRule type="cellIs" dxfId="6652" priority="7083" operator="equal">
      <formula>"C-Off"</formula>
    </cfRule>
    <cfRule type="cellIs" dxfId="6651" priority="7084" operator="equal">
      <formula>"CL-H"</formula>
    </cfRule>
    <cfRule type="cellIs" dxfId="6650" priority="7085" operator="equal">
      <formula>"EL-H"</formula>
    </cfRule>
    <cfRule type="cellIs" dxfId="6649" priority="7086" operator="equal">
      <formula>"CL"</formula>
    </cfRule>
    <cfRule type="cellIs" dxfId="6648" priority="7087" operator="equal">
      <formula>"EL"</formula>
    </cfRule>
  </conditionalFormatting>
  <conditionalFormatting sqref="BO34:BP34">
    <cfRule type="cellIs" dxfId="6647" priority="7076" operator="equal">
      <formula>"C-Off-H"</formula>
    </cfRule>
    <cfRule type="cellIs" dxfId="6646" priority="7077" operator="equal">
      <formula>"C-Off"</formula>
    </cfRule>
    <cfRule type="cellIs" dxfId="6645" priority="7078" operator="equal">
      <formula>"CL-H"</formula>
    </cfRule>
    <cfRule type="cellIs" dxfId="6644" priority="7079" operator="equal">
      <formula>"EL-H"</formula>
    </cfRule>
    <cfRule type="cellIs" dxfId="6643" priority="7080" operator="equal">
      <formula>"CL"</formula>
    </cfRule>
    <cfRule type="cellIs" dxfId="6642" priority="7081" operator="equal">
      <formula>"EL"</formula>
    </cfRule>
  </conditionalFormatting>
  <conditionalFormatting sqref="BO34:BP34">
    <cfRule type="containsText" dxfId="6641" priority="7070" operator="containsText" text="S">
      <formula>NOT(ISERROR(SEARCH("S",BO34)))</formula>
    </cfRule>
    <cfRule type="containsText" dxfId="6640" priority="7071" operator="containsText" text="P">
      <formula>NOT(ISERROR(SEARCH("P",BO34)))</formula>
    </cfRule>
    <cfRule type="containsText" dxfId="6639" priority="7072" operator="containsText" text="H">
      <formula>NOT(ISERROR(SEARCH("H",BO34)))</formula>
    </cfRule>
    <cfRule type="containsText" dxfId="6638" priority="7074" operator="containsText" text="&quot;H&quot;">
      <formula>NOT(ISERROR(SEARCH("""H""",BO34)))</formula>
    </cfRule>
    <cfRule type="containsText" dxfId="6637" priority="7075" operator="containsText" text="&quot;A&quot;">
      <formula>NOT(ISERROR(SEARCH("""A""",BO34)))</formula>
    </cfRule>
  </conditionalFormatting>
  <conditionalFormatting sqref="BO34:BP34">
    <cfRule type="containsText" dxfId="6636" priority="7073" operator="containsText" text="A-H">
      <formula>NOT(ISERROR(SEARCH("A-H",BO34)))</formula>
    </cfRule>
  </conditionalFormatting>
  <conditionalFormatting sqref="CM34">
    <cfRule type="cellIs" dxfId="6635" priority="7064" operator="equal">
      <formula>"C-Off-H"</formula>
    </cfRule>
    <cfRule type="cellIs" dxfId="6634" priority="7065" operator="equal">
      <formula>"C-Off"</formula>
    </cfRule>
    <cfRule type="cellIs" dxfId="6633" priority="7066" operator="equal">
      <formula>"CL-H"</formula>
    </cfRule>
    <cfRule type="cellIs" dxfId="6632" priority="7067" operator="equal">
      <formula>"EL-H"</formula>
    </cfRule>
    <cfRule type="cellIs" dxfId="6631" priority="7068" operator="equal">
      <formula>"CL"</formula>
    </cfRule>
    <cfRule type="cellIs" dxfId="6630" priority="7069" operator="equal">
      <formula>"EL"</formula>
    </cfRule>
  </conditionalFormatting>
  <conditionalFormatting sqref="CM34">
    <cfRule type="cellIs" dxfId="6629" priority="7058" operator="equal">
      <formula>"C-Off-H"</formula>
    </cfRule>
    <cfRule type="cellIs" dxfId="6628" priority="7059" operator="equal">
      <formula>"C-Off"</formula>
    </cfRule>
    <cfRule type="cellIs" dxfId="6627" priority="7060" operator="equal">
      <formula>"CL-H"</formula>
    </cfRule>
    <cfRule type="cellIs" dxfId="6626" priority="7061" operator="equal">
      <formula>"EL-H"</formula>
    </cfRule>
    <cfRule type="cellIs" dxfId="6625" priority="7062" operator="equal">
      <formula>"CL"</formula>
    </cfRule>
    <cfRule type="cellIs" dxfId="6624" priority="7063" operator="equal">
      <formula>"EL"</formula>
    </cfRule>
  </conditionalFormatting>
  <conditionalFormatting sqref="CM34">
    <cfRule type="containsText" dxfId="6623" priority="7052" operator="containsText" text="S">
      <formula>NOT(ISERROR(SEARCH("S",CM34)))</formula>
    </cfRule>
    <cfRule type="containsText" dxfId="6622" priority="7053" operator="containsText" text="P">
      <formula>NOT(ISERROR(SEARCH("P",CM34)))</formula>
    </cfRule>
    <cfRule type="containsText" dxfId="6621" priority="7054" operator="containsText" text="H">
      <formula>NOT(ISERROR(SEARCH("H",CM34)))</formula>
    </cfRule>
    <cfRule type="containsText" dxfId="6620" priority="7056" operator="containsText" text="&quot;H&quot;">
      <formula>NOT(ISERROR(SEARCH("""H""",CM34)))</formula>
    </cfRule>
    <cfRule type="containsText" dxfId="6619" priority="7057" operator="containsText" text="&quot;A&quot;">
      <formula>NOT(ISERROR(SEARCH("""A""",CM34)))</formula>
    </cfRule>
  </conditionalFormatting>
  <conditionalFormatting sqref="CM34">
    <cfRule type="containsText" dxfId="6618" priority="7055" operator="containsText" text="A-H">
      <formula>NOT(ISERROR(SEARCH("A-H",CM34)))</formula>
    </cfRule>
  </conditionalFormatting>
  <conditionalFormatting sqref="V34:W34">
    <cfRule type="cellIs" dxfId="6617" priority="7022" operator="equal">
      <formula>"C-Off-H"</formula>
    </cfRule>
    <cfRule type="cellIs" dxfId="6616" priority="7023" operator="equal">
      <formula>"C-Off"</formula>
    </cfRule>
    <cfRule type="cellIs" dxfId="6615" priority="7024" operator="equal">
      <formula>"CL-H"</formula>
    </cfRule>
    <cfRule type="cellIs" dxfId="6614" priority="7025" operator="equal">
      <formula>"EL-H"</formula>
    </cfRule>
    <cfRule type="cellIs" dxfId="6613" priority="7026" operator="equal">
      <formula>"CL"</formula>
    </cfRule>
    <cfRule type="cellIs" dxfId="6612" priority="7027" operator="equal">
      <formula>"EL"</formula>
    </cfRule>
  </conditionalFormatting>
  <conditionalFormatting sqref="V34:W34">
    <cfRule type="containsText" dxfId="6611" priority="7016" operator="containsText" text="S">
      <formula>NOT(ISERROR(SEARCH("S",V34)))</formula>
    </cfRule>
    <cfRule type="containsText" dxfId="6610" priority="7017" operator="containsText" text="P">
      <formula>NOT(ISERROR(SEARCH("P",V34)))</formula>
    </cfRule>
    <cfRule type="containsText" dxfId="6609" priority="7018" operator="containsText" text="H">
      <formula>NOT(ISERROR(SEARCH("H",V34)))</formula>
    </cfRule>
    <cfRule type="containsText" dxfId="6608" priority="7020" operator="containsText" text="&quot;H&quot;">
      <formula>NOT(ISERROR(SEARCH("""H""",V34)))</formula>
    </cfRule>
    <cfRule type="containsText" dxfId="6607" priority="7021" operator="containsText" text="&quot;A&quot;">
      <formula>NOT(ISERROR(SEARCH("""A""",V34)))</formula>
    </cfRule>
  </conditionalFormatting>
  <conditionalFormatting sqref="V34:W34">
    <cfRule type="containsText" dxfId="6606" priority="7019" operator="containsText" text="A-H">
      <formula>NOT(ISERROR(SEARCH("A-H",V34)))</formula>
    </cfRule>
  </conditionalFormatting>
  <conditionalFormatting sqref="P34:Q34">
    <cfRule type="cellIs" dxfId="6605" priority="7046" operator="equal">
      <formula>"C-Off-H"</formula>
    </cfRule>
    <cfRule type="cellIs" dxfId="6604" priority="7047" operator="equal">
      <formula>"C-Off"</formula>
    </cfRule>
    <cfRule type="cellIs" dxfId="6603" priority="7048" operator="equal">
      <formula>"CL-H"</formula>
    </cfRule>
    <cfRule type="cellIs" dxfId="6602" priority="7049" operator="equal">
      <formula>"EL-H"</formula>
    </cfRule>
    <cfRule type="cellIs" dxfId="6601" priority="7050" operator="equal">
      <formula>"CL"</formula>
    </cfRule>
    <cfRule type="cellIs" dxfId="6600" priority="7051" operator="equal">
      <formula>"EL"</formula>
    </cfRule>
  </conditionalFormatting>
  <conditionalFormatting sqref="P34:Q34">
    <cfRule type="containsText" dxfId="6599" priority="7040" operator="containsText" text="S">
      <formula>NOT(ISERROR(SEARCH("S",P34)))</formula>
    </cfRule>
    <cfRule type="containsText" dxfId="6598" priority="7041" operator="containsText" text="P">
      <formula>NOT(ISERROR(SEARCH("P",P34)))</formula>
    </cfRule>
    <cfRule type="containsText" dxfId="6597" priority="7042" operator="containsText" text="H">
      <formula>NOT(ISERROR(SEARCH("H",P34)))</formula>
    </cfRule>
    <cfRule type="containsText" dxfId="6596" priority="7044" operator="containsText" text="&quot;H&quot;">
      <formula>NOT(ISERROR(SEARCH("""H""",P34)))</formula>
    </cfRule>
    <cfRule type="containsText" dxfId="6595" priority="7045" operator="containsText" text="&quot;A&quot;">
      <formula>NOT(ISERROR(SEARCH("""A""",P34)))</formula>
    </cfRule>
  </conditionalFormatting>
  <conditionalFormatting sqref="P34:Q34">
    <cfRule type="containsText" dxfId="6594" priority="7043" operator="containsText" text="A-H">
      <formula>NOT(ISERROR(SEARCH("A-H",P34)))</formula>
    </cfRule>
  </conditionalFormatting>
  <conditionalFormatting sqref="S34:T34">
    <cfRule type="cellIs" dxfId="6593" priority="7034" operator="equal">
      <formula>"C-Off-H"</formula>
    </cfRule>
    <cfRule type="cellIs" dxfId="6592" priority="7035" operator="equal">
      <formula>"C-Off"</formula>
    </cfRule>
    <cfRule type="cellIs" dxfId="6591" priority="7036" operator="equal">
      <formula>"CL-H"</formula>
    </cfRule>
    <cfRule type="cellIs" dxfId="6590" priority="7037" operator="equal">
      <formula>"EL-H"</formula>
    </cfRule>
    <cfRule type="cellIs" dxfId="6589" priority="7038" operator="equal">
      <formula>"CL"</formula>
    </cfRule>
    <cfRule type="cellIs" dxfId="6588" priority="7039" operator="equal">
      <formula>"EL"</formula>
    </cfRule>
  </conditionalFormatting>
  <conditionalFormatting sqref="S34:T34">
    <cfRule type="containsText" dxfId="6587" priority="7028" operator="containsText" text="S">
      <formula>NOT(ISERROR(SEARCH("S",S34)))</formula>
    </cfRule>
    <cfRule type="containsText" dxfId="6586" priority="7029" operator="containsText" text="P">
      <formula>NOT(ISERROR(SEARCH("P",S34)))</formula>
    </cfRule>
    <cfRule type="containsText" dxfId="6585" priority="7030" operator="containsText" text="H">
      <formula>NOT(ISERROR(SEARCH("H",S34)))</formula>
    </cfRule>
    <cfRule type="containsText" dxfId="6584" priority="7032" operator="containsText" text="&quot;H&quot;">
      <formula>NOT(ISERROR(SEARCH("""H""",S34)))</formula>
    </cfRule>
    <cfRule type="containsText" dxfId="6583" priority="7033" operator="containsText" text="&quot;A&quot;">
      <formula>NOT(ISERROR(SEARCH("""A""",S34)))</formula>
    </cfRule>
  </conditionalFormatting>
  <conditionalFormatting sqref="S34:T34">
    <cfRule type="containsText" dxfId="6582" priority="7031" operator="containsText" text="A-H">
      <formula>NOT(ISERROR(SEARCH("A-H",S34)))</formula>
    </cfRule>
  </conditionalFormatting>
  <conditionalFormatting sqref="AB34:AC34">
    <cfRule type="cellIs" dxfId="6581" priority="7010" operator="equal">
      <formula>"C-Off-H"</formula>
    </cfRule>
    <cfRule type="cellIs" dxfId="6580" priority="7011" operator="equal">
      <formula>"C-Off"</formula>
    </cfRule>
    <cfRule type="cellIs" dxfId="6579" priority="7012" operator="equal">
      <formula>"CL-H"</formula>
    </cfRule>
    <cfRule type="cellIs" dxfId="6578" priority="7013" operator="equal">
      <formula>"EL-H"</formula>
    </cfRule>
    <cfRule type="cellIs" dxfId="6577" priority="7014" operator="equal">
      <formula>"CL"</formula>
    </cfRule>
    <cfRule type="cellIs" dxfId="6576" priority="7015" operator="equal">
      <formula>"EL"</formula>
    </cfRule>
  </conditionalFormatting>
  <conditionalFormatting sqref="AB34:AC34">
    <cfRule type="containsText" dxfId="6575" priority="7004" operator="containsText" text="S">
      <formula>NOT(ISERROR(SEARCH("S",AB34)))</formula>
    </cfRule>
    <cfRule type="containsText" dxfId="6574" priority="7005" operator="containsText" text="P">
      <formula>NOT(ISERROR(SEARCH("P",AB34)))</formula>
    </cfRule>
    <cfRule type="containsText" dxfId="6573" priority="7006" operator="containsText" text="H">
      <formula>NOT(ISERROR(SEARCH("H",AB34)))</formula>
    </cfRule>
    <cfRule type="containsText" dxfId="6572" priority="7008" operator="containsText" text="&quot;H&quot;">
      <formula>NOT(ISERROR(SEARCH("""H""",AB34)))</formula>
    </cfRule>
    <cfRule type="containsText" dxfId="6571" priority="7009" operator="containsText" text="&quot;A&quot;">
      <formula>NOT(ISERROR(SEARCH("""A""",AB34)))</formula>
    </cfRule>
  </conditionalFormatting>
  <conditionalFormatting sqref="AB34:AC34">
    <cfRule type="containsText" dxfId="6570" priority="7007" operator="containsText" text="A-H">
      <formula>NOT(ISERROR(SEARCH("A-H",AB34)))</formula>
    </cfRule>
  </conditionalFormatting>
  <conditionalFormatting sqref="AE34">
    <cfRule type="cellIs" dxfId="6569" priority="6998" operator="equal">
      <formula>"C-Off-H"</formula>
    </cfRule>
    <cfRule type="cellIs" dxfId="6568" priority="6999" operator="equal">
      <formula>"C-Off"</formula>
    </cfRule>
    <cfRule type="cellIs" dxfId="6567" priority="7000" operator="equal">
      <formula>"CL-H"</formula>
    </cfRule>
    <cfRule type="cellIs" dxfId="6566" priority="7001" operator="equal">
      <formula>"EL-H"</formula>
    </cfRule>
    <cfRule type="cellIs" dxfId="6565" priority="7002" operator="equal">
      <formula>"CL"</formula>
    </cfRule>
    <cfRule type="cellIs" dxfId="6564" priority="7003" operator="equal">
      <formula>"EL"</formula>
    </cfRule>
  </conditionalFormatting>
  <conditionalFormatting sqref="AE34">
    <cfRule type="containsText" dxfId="6563" priority="6992" operator="containsText" text="S">
      <formula>NOT(ISERROR(SEARCH("S",AE34)))</formula>
    </cfRule>
    <cfRule type="containsText" dxfId="6562" priority="6993" operator="containsText" text="P">
      <formula>NOT(ISERROR(SEARCH("P",AE34)))</formula>
    </cfRule>
    <cfRule type="containsText" dxfId="6561" priority="6994" operator="containsText" text="H">
      <formula>NOT(ISERROR(SEARCH("H",AE34)))</formula>
    </cfRule>
    <cfRule type="containsText" dxfId="6560" priority="6996" operator="containsText" text="&quot;H&quot;">
      <formula>NOT(ISERROR(SEARCH("""H""",AE34)))</formula>
    </cfRule>
    <cfRule type="containsText" dxfId="6559" priority="6997" operator="containsText" text="&quot;A&quot;">
      <formula>NOT(ISERROR(SEARCH("""A""",AE34)))</formula>
    </cfRule>
  </conditionalFormatting>
  <conditionalFormatting sqref="AE34">
    <cfRule type="containsText" dxfId="6558" priority="6995" operator="containsText" text="A-H">
      <formula>NOT(ISERROR(SEARCH("A-H",AE34)))</formula>
    </cfRule>
  </conditionalFormatting>
  <conditionalFormatting sqref="AK34:AL34">
    <cfRule type="cellIs" dxfId="6557" priority="6986" operator="equal">
      <formula>"C-Off-H"</formula>
    </cfRule>
    <cfRule type="cellIs" dxfId="6556" priority="6987" operator="equal">
      <formula>"C-Off"</formula>
    </cfRule>
    <cfRule type="cellIs" dxfId="6555" priority="6988" operator="equal">
      <formula>"CL-H"</formula>
    </cfRule>
    <cfRule type="cellIs" dxfId="6554" priority="6989" operator="equal">
      <formula>"EL-H"</formula>
    </cfRule>
    <cfRule type="cellIs" dxfId="6553" priority="6990" operator="equal">
      <formula>"CL"</formula>
    </cfRule>
    <cfRule type="cellIs" dxfId="6552" priority="6991" operator="equal">
      <formula>"EL"</formula>
    </cfRule>
  </conditionalFormatting>
  <conditionalFormatting sqref="AK34:AL34">
    <cfRule type="containsText" dxfId="6551" priority="6980" operator="containsText" text="S">
      <formula>NOT(ISERROR(SEARCH("S",AK34)))</formula>
    </cfRule>
    <cfRule type="containsText" dxfId="6550" priority="6981" operator="containsText" text="P">
      <formula>NOT(ISERROR(SEARCH("P",AK34)))</formula>
    </cfRule>
    <cfRule type="containsText" dxfId="6549" priority="6982" operator="containsText" text="H">
      <formula>NOT(ISERROR(SEARCH("H",AK34)))</formula>
    </cfRule>
    <cfRule type="containsText" dxfId="6548" priority="6984" operator="containsText" text="&quot;H&quot;">
      <formula>NOT(ISERROR(SEARCH("""H""",AK34)))</formula>
    </cfRule>
    <cfRule type="containsText" dxfId="6547" priority="6985" operator="containsText" text="&quot;A&quot;">
      <formula>NOT(ISERROR(SEARCH("""A""",AK34)))</formula>
    </cfRule>
  </conditionalFormatting>
  <conditionalFormatting sqref="AK34:AL34">
    <cfRule type="containsText" dxfId="6546" priority="6983" operator="containsText" text="A-H">
      <formula>NOT(ISERROR(SEARCH("A-H",AK34)))</formula>
    </cfRule>
  </conditionalFormatting>
  <conditionalFormatting sqref="AN34:AO34">
    <cfRule type="cellIs" dxfId="6545" priority="6974" operator="equal">
      <formula>"C-Off-H"</formula>
    </cfRule>
    <cfRule type="cellIs" dxfId="6544" priority="6975" operator="equal">
      <formula>"C-Off"</formula>
    </cfRule>
    <cfRule type="cellIs" dxfId="6543" priority="6976" operator="equal">
      <formula>"CL-H"</formula>
    </cfRule>
    <cfRule type="cellIs" dxfId="6542" priority="6977" operator="equal">
      <formula>"EL-H"</formula>
    </cfRule>
    <cfRule type="cellIs" dxfId="6541" priority="6978" operator="equal">
      <formula>"CL"</formula>
    </cfRule>
    <cfRule type="cellIs" dxfId="6540" priority="6979" operator="equal">
      <formula>"EL"</formula>
    </cfRule>
  </conditionalFormatting>
  <conditionalFormatting sqref="AN34:AO34">
    <cfRule type="containsText" dxfId="6539" priority="6968" operator="containsText" text="S">
      <formula>NOT(ISERROR(SEARCH("S",AN34)))</formula>
    </cfRule>
    <cfRule type="containsText" dxfId="6538" priority="6969" operator="containsText" text="P">
      <formula>NOT(ISERROR(SEARCH("P",AN34)))</formula>
    </cfRule>
    <cfRule type="containsText" dxfId="6537" priority="6970" operator="containsText" text="H">
      <formula>NOT(ISERROR(SEARCH("H",AN34)))</formula>
    </cfRule>
    <cfRule type="containsText" dxfId="6536" priority="6972" operator="containsText" text="&quot;H&quot;">
      <formula>NOT(ISERROR(SEARCH("""H""",AN34)))</formula>
    </cfRule>
    <cfRule type="containsText" dxfId="6535" priority="6973" operator="containsText" text="&quot;A&quot;">
      <formula>NOT(ISERROR(SEARCH("""A""",AN34)))</formula>
    </cfRule>
  </conditionalFormatting>
  <conditionalFormatting sqref="AN34:AO34">
    <cfRule type="containsText" dxfId="6534" priority="6971" operator="containsText" text="A-H">
      <formula>NOT(ISERROR(SEARCH("A-H",AN34)))</formula>
    </cfRule>
  </conditionalFormatting>
  <conditionalFormatting sqref="AQ34:AR34">
    <cfRule type="cellIs" dxfId="6533" priority="6962" operator="equal">
      <formula>"C-Off-H"</formula>
    </cfRule>
    <cfRule type="cellIs" dxfId="6532" priority="6963" operator="equal">
      <formula>"C-Off"</formula>
    </cfRule>
    <cfRule type="cellIs" dxfId="6531" priority="6964" operator="equal">
      <formula>"CL-H"</formula>
    </cfRule>
    <cfRule type="cellIs" dxfId="6530" priority="6965" operator="equal">
      <formula>"EL-H"</formula>
    </cfRule>
    <cfRule type="cellIs" dxfId="6529" priority="6966" operator="equal">
      <formula>"CL"</formula>
    </cfRule>
    <cfRule type="cellIs" dxfId="6528" priority="6967" operator="equal">
      <formula>"EL"</formula>
    </cfRule>
  </conditionalFormatting>
  <conditionalFormatting sqref="AQ34:AR34">
    <cfRule type="containsText" dxfId="6527" priority="6956" operator="containsText" text="S">
      <formula>NOT(ISERROR(SEARCH("S",AQ34)))</formula>
    </cfRule>
    <cfRule type="containsText" dxfId="6526" priority="6957" operator="containsText" text="P">
      <formula>NOT(ISERROR(SEARCH("P",AQ34)))</formula>
    </cfRule>
    <cfRule type="containsText" dxfId="6525" priority="6958" operator="containsText" text="H">
      <formula>NOT(ISERROR(SEARCH("H",AQ34)))</formula>
    </cfRule>
    <cfRule type="containsText" dxfId="6524" priority="6960" operator="containsText" text="&quot;H&quot;">
      <formula>NOT(ISERROR(SEARCH("""H""",AQ34)))</formula>
    </cfRule>
    <cfRule type="containsText" dxfId="6523" priority="6961" operator="containsText" text="&quot;A&quot;">
      <formula>NOT(ISERROR(SEARCH("""A""",AQ34)))</formula>
    </cfRule>
  </conditionalFormatting>
  <conditionalFormatting sqref="AQ34:AR34">
    <cfRule type="containsText" dxfId="6522" priority="6959" operator="containsText" text="A-H">
      <formula>NOT(ISERROR(SEARCH("A-H",AQ34)))</formula>
    </cfRule>
  </conditionalFormatting>
  <conditionalFormatting sqref="AW34:AX34">
    <cfRule type="cellIs" dxfId="6521" priority="6950" operator="equal">
      <formula>"C-Off-H"</formula>
    </cfRule>
    <cfRule type="cellIs" dxfId="6520" priority="6951" operator="equal">
      <formula>"C-Off"</formula>
    </cfRule>
    <cfRule type="cellIs" dxfId="6519" priority="6952" operator="equal">
      <formula>"CL-H"</formula>
    </cfRule>
    <cfRule type="cellIs" dxfId="6518" priority="6953" operator="equal">
      <formula>"EL-H"</formula>
    </cfRule>
    <cfRule type="cellIs" dxfId="6517" priority="6954" operator="equal">
      <formula>"CL"</formula>
    </cfRule>
    <cfRule type="cellIs" dxfId="6516" priority="6955" operator="equal">
      <formula>"EL"</formula>
    </cfRule>
  </conditionalFormatting>
  <conditionalFormatting sqref="AW34:AX34">
    <cfRule type="containsText" dxfId="6515" priority="6944" operator="containsText" text="S">
      <formula>NOT(ISERROR(SEARCH("S",AW34)))</formula>
    </cfRule>
    <cfRule type="containsText" dxfId="6514" priority="6945" operator="containsText" text="P">
      <formula>NOT(ISERROR(SEARCH("P",AW34)))</formula>
    </cfRule>
    <cfRule type="containsText" dxfId="6513" priority="6946" operator="containsText" text="H">
      <formula>NOT(ISERROR(SEARCH("H",AW34)))</formula>
    </cfRule>
    <cfRule type="containsText" dxfId="6512" priority="6948" operator="containsText" text="&quot;H&quot;">
      <formula>NOT(ISERROR(SEARCH("""H""",AW34)))</formula>
    </cfRule>
    <cfRule type="containsText" dxfId="6511" priority="6949" operator="containsText" text="&quot;A&quot;">
      <formula>NOT(ISERROR(SEARCH("""A""",AW34)))</formula>
    </cfRule>
  </conditionalFormatting>
  <conditionalFormatting sqref="AW34:AX34">
    <cfRule type="containsText" dxfId="6510" priority="6947" operator="containsText" text="A-H">
      <formula>NOT(ISERROR(SEARCH("A-H",AW34)))</formula>
    </cfRule>
  </conditionalFormatting>
  <conditionalFormatting sqref="AZ34:BA34">
    <cfRule type="cellIs" dxfId="6509" priority="6938" operator="equal">
      <formula>"C-Off-H"</formula>
    </cfRule>
    <cfRule type="cellIs" dxfId="6508" priority="6939" operator="equal">
      <formula>"C-Off"</formula>
    </cfRule>
    <cfRule type="cellIs" dxfId="6507" priority="6940" operator="equal">
      <formula>"CL-H"</formula>
    </cfRule>
    <cfRule type="cellIs" dxfId="6506" priority="6941" operator="equal">
      <formula>"EL-H"</formula>
    </cfRule>
    <cfRule type="cellIs" dxfId="6505" priority="6942" operator="equal">
      <formula>"CL"</formula>
    </cfRule>
    <cfRule type="cellIs" dxfId="6504" priority="6943" operator="equal">
      <formula>"EL"</formula>
    </cfRule>
  </conditionalFormatting>
  <conditionalFormatting sqref="AZ34:BA34">
    <cfRule type="containsText" dxfId="6503" priority="6932" operator="containsText" text="S">
      <formula>NOT(ISERROR(SEARCH("S",AZ34)))</formula>
    </cfRule>
    <cfRule type="containsText" dxfId="6502" priority="6933" operator="containsText" text="P">
      <formula>NOT(ISERROR(SEARCH("P",AZ34)))</formula>
    </cfRule>
    <cfRule type="containsText" dxfId="6501" priority="6934" operator="containsText" text="H">
      <formula>NOT(ISERROR(SEARCH("H",AZ34)))</formula>
    </cfRule>
    <cfRule type="containsText" dxfId="6500" priority="6936" operator="containsText" text="&quot;H&quot;">
      <formula>NOT(ISERROR(SEARCH("""H""",AZ34)))</formula>
    </cfRule>
    <cfRule type="containsText" dxfId="6499" priority="6937" operator="containsText" text="&quot;A&quot;">
      <formula>NOT(ISERROR(SEARCH("""A""",AZ34)))</formula>
    </cfRule>
  </conditionalFormatting>
  <conditionalFormatting sqref="AZ34:BA34">
    <cfRule type="containsText" dxfId="6498" priority="6935" operator="containsText" text="A-H">
      <formula>NOT(ISERROR(SEARCH("A-H",AZ34)))</formula>
    </cfRule>
  </conditionalFormatting>
  <conditionalFormatting sqref="BC34:BD34">
    <cfRule type="cellIs" dxfId="6497" priority="6926" operator="equal">
      <formula>"C-Off-H"</formula>
    </cfRule>
    <cfRule type="cellIs" dxfId="6496" priority="6927" operator="equal">
      <formula>"C-Off"</formula>
    </cfRule>
    <cfRule type="cellIs" dxfId="6495" priority="6928" operator="equal">
      <formula>"CL-H"</formula>
    </cfRule>
    <cfRule type="cellIs" dxfId="6494" priority="6929" operator="equal">
      <formula>"EL-H"</formula>
    </cfRule>
    <cfRule type="cellIs" dxfId="6493" priority="6930" operator="equal">
      <formula>"CL"</formula>
    </cfRule>
    <cfRule type="cellIs" dxfId="6492" priority="6931" operator="equal">
      <formula>"EL"</formula>
    </cfRule>
  </conditionalFormatting>
  <conditionalFormatting sqref="BC34:BD34">
    <cfRule type="containsText" dxfId="6491" priority="6920" operator="containsText" text="S">
      <formula>NOT(ISERROR(SEARCH("S",BC34)))</formula>
    </cfRule>
    <cfRule type="containsText" dxfId="6490" priority="6921" operator="containsText" text="P">
      <formula>NOT(ISERROR(SEARCH("P",BC34)))</formula>
    </cfRule>
    <cfRule type="containsText" dxfId="6489" priority="6922" operator="containsText" text="H">
      <formula>NOT(ISERROR(SEARCH("H",BC34)))</formula>
    </cfRule>
    <cfRule type="containsText" dxfId="6488" priority="6924" operator="containsText" text="&quot;H&quot;">
      <formula>NOT(ISERROR(SEARCH("""H""",BC34)))</formula>
    </cfRule>
    <cfRule type="containsText" dxfId="6487" priority="6925" operator="containsText" text="&quot;A&quot;">
      <formula>NOT(ISERROR(SEARCH("""A""",BC34)))</formula>
    </cfRule>
  </conditionalFormatting>
  <conditionalFormatting sqref="BC34:BD34">
    <cfRule type="containsText" dxfId="6486" priority="6923" operator="containsText" text="A-H">
      <formula>NOT(ISERROR(SEARCH("A-H",BC34)))</formula>
    </cfRule>
  </conditionalFormatting>
  <conditionalFormatting sqref="BF34:BG34">
    <cfRule type="cellIs" dxfId="6485" priority="6914" operator="equal">
      <formula>"C-Off-H"</formula>
    </cfRule>
    <cfRule type="cellIs" dxfId="6484" priority="6915" operator="equal">
      <formula>"C-Off"</formula>
    </cfRule>
    <cfRule type="cellIs" dxfId="6483" priority="6916" operator="equal">
      <formula>"CL-H"</formula>
    </cfRule>
    <cfRule type="cellIs" dxfId="6482" priority="6917" operator="equal">
      <formula>"EL-H"</formula>
    </cfRule>
    <cfRule type="cellIs" dxfId="6481" priority="6918" operator="equal">
      <formula>"CL"</formula>
    </cfRule>
    <cfRule type="cellIs" dxfId="6480" priority="6919" operator="equal">
      <formula>"EL"</formula>
    </cfRule>
  </conditionalFormatting>
  <conditionalFormatting sqref="BF34:BG34">
    <cfRule type="containsText" dxfId="6479" priority="6908" operator="containsText" text="S">
      <formula>NOT(ISERROR(SEARCH("S",BF34)))</formula>
    </cfRule>
    <cfRule type="containsText" dxfId="6478" priority="6909" operator="containsText" text="P">
      <formula>NOT(ISERROR(SEARCH("P",BF34)))</formula>
    </cfRule>
    <cfRule type="containsText" dxfId="6477" priority="6910" operator="containsText" text="H">
      <formula>NOT(ISERROR(SEARCH("H",BF34)))</formula>
    </cfRule>
    <cfRule type="containsText" dxfId="6476" priority="6912" operator="containsText" text="&quot;H&quot;">
      <formula>NOT(ISERROR(SEARCH("""H""",BF34)))</formula>
    </cfRule>
    <cfRule type="containsText" dxfId="6475" priority="6913" operator="containsText" text="&quot;A&quot;">
      <formula>NOT(ISERROR(SEARCH("""A""",BF34)))</formula>
    </cfRule>
  </conditionalFormatting>
  <conditionalFormatting sqref="BF34:BG34">
    <cfRule type="containsText" dxfId="6474" priority="6911" operator="containsText" text="A-H">
      <formula>NOT(ISERROR(SEARCH("A-H",BF34)))</formula>
    </cfRule>
  </conditionalFormatting>
  <conditionalFormatting sqref="BI34:BJ34">
    <cfRule type="cellIs" dxfId="6473" priority="6902" operator="equal">
      <formula>"C-Off-H"</formula>
    </cfRule>
    <cfRule type="cellIs" dxfId="6472" priority="6903" operator="equal">
      <formula>"C-Off"</formula>
    </cfRule>
    <cfRule type="cellIs" dxfId="6471" priority="6904" operator="equal">
      <formula>"CL-H"</formula>
    </cfRule>
    <cfRule type="cellIs" dxfId="6470" priority="6905" operator="equal">
      <formula>"EL-H"</formula>
    </cfRule>
    <cfRule type="cellIs" dxfId="6469" priority="6906" operator="equal">
      <formula>"CL"</formula>
    </cfRule>
    <cfRule type="cellIs" dxfId="6468" priority="6907" operator="equal">
      <formula>"EL"</formula>
    </cfRule>
  </conditionalFormatting>
  <conditionalFormatting sqref="BI34:BJ34">
    <cfRule type="containsText" dxfId="6467" priority="6896" operator="containsText" text="S">
      <formula>NOT(ISERROR(SEARCH("S",BI34)))</formula>
    </cfRule>
    <cfRule type="containsText" dxfId="6466" priority="6897" operator="containsText" text="P">
      <formula>NOT(ISERROR(SEARCH("P",BI34)))</formula>
    </cfRule>
    <cfRule type="containsText" dxfId="6465" priority="6898" operator="containsText" text="H">
      <formula>NOT(ISERROR(SEARCH("H",BI34)))</formula>
    </cfRule>
    <cfRule type="containsText" dxfId="6464" priority="6900" operator="containsText" text="&quot;H&quot;">
      <formula>NOT(ISERROR(SEARCH("""H""",BI34)))</formula>
    </cfRule>
    <cfRule type="containsText" dxfId="6463" priority="6901" operator="containsText" text="&quot;A&quot;">
      <formula>NOT(ISERROR(SEARCH("""A""",BI34)))</formula>
    </cfRule>
  </conditionalFormatting>
  <conditionalFormatting sqref="BI34:BJ34">
    <cfRule type="containsText" dxfId="6462" priority="6899" operator="containsText" text="A-H">
      <formula>NOT(ISERROR(SEARCH("A-H",BI34)))</formula>
    </cfRule>
  </conditionalFormatting>
  <conditionalFormatting sqref="BL34:BM34">
    <cfRule type="cellIs" dxfId="6461" priority="6890" operator="equal">
      <formula>"C-Off-H"</formula>
    </cfRule>
    <cfRule type="cellIs" dxfId="6460" priority="6891" operator="equal">
      <formula>"C-Off"</formula>
    </cfRule>
    <cfRule type="cellIs" dxfId="6459" priority="6892" operator="equal">
      <formula>"CL-H"</formula>
    </cfRule>
    <cfRule type="cellIs" dxfId="6458" priority="6893" operator="equal">
      <formula>"EL-H"</formula>
    </cfRule>
    <cfRule type="cellIs" dxfId="6457" priority="6894" operator="equal">
      <formula>"CL"</formula>
    </cfRule>
    <cfRule type="cellIs" dxfId="6456" priority="6895" operator="equal">
      <formula>"EL"</formula>
    </cfRule>
  </conditionalFormatting>
  <conditionalFormatting sqref="BL34:BM34">
    <cfRule type="containsText" dxfId="6455" priority="6884" operator="containsText" text="S">
      <formula>NOT(ISERROR(SEARCH("S",BL34)))</formula>
    </cfRule>
    <cfRule type="containsText" dxfId="6454" priority="6885" operator="containsText" text="P">
      <formula>NOT(ISERROR(SEARCH("P",BL34)))</formula>
    </cfRule>
    <cfRule type="containsText" dxfId="6453" priority="6886" operator="containsText" text="H">
      <formula>NOT(ISERROR(SEARCH("H",BL34)))</formula>
    </cfRule>
    <cfRule type="containsText" dxfId="6452" priority="6888" operator="containsText" text="&quot;H&quot;">
      <formula>NOT(ISERROR(SEARCH("""H""",BL34)))</formula>
    </cfRule>
    <cfRule type="containsText" dxfId="6451" priority="6889" operator="containsText" text="&quot;A&quot;">
      <formula>NOT(ISERROR(SEARCH("""A""",BL34)))</formula>
    </cfRule>
  </conditionalFormatting>
  <conditionalFormatting sqref="BL34:BM34">
    <cfRule type="containsText" dxfId="6450" priority="6887" operator="containsText" text="A-H">
      <formula>NOT(ISERROR(SEARCH("A-H",BL34)))</formula>
    </cfRule>
  </conditionalFormatting>
  <conditionalFormatting sqref="BR34:BS34">
    <cfRule type="cellIs" dxfId="6449" priority="6878" operator="equal">
      <formula>"C-Off-H"</formula>
    </cfRule>
    <cfRule type="cellIs" dxfId="6448" priority="6879" operator="equal">
      <formula>"C-Off"</formula>
    </cfRule>
    <cfRule type="cellIs" dxfId="6447" priority="6880" operator="equal">
      <formula>"CL-H"</formula>
    </cfRule>
    <cfRule type="cellIs" dxfId="6446" priority="6881" operator="equal">
      <formula>"EL-H"</formula>
    </cfRule>
    <cfRule type="cellIs" dxfId="6445" priority="6882" operator="equal">
      <formula>"CL"</formula>
    </cfRule>
    <cfRule type="cellIs" dxfId="6444" priority="6883" operator="equal">
      <formula>"EL"</formula>
    </cfRule>
  </conditionalFormatting>
  <conditionalFormatting sqref="BR34:BS34">
    <cfRule type="containsText" dxfId="6443" priority="6872" operator="containsText" text="S">
      <formula>NOT(ISERROR(SEARCH("S",BR34)))</formula>
    </cfRule>
    <cfRule type="containsText" dxfId="6442" priority="6873" operator="containsText" text="P">
      <formula>NOT(ISERROR(SEARCH("P",BR34)))</formula>
    </cfRule>
    <cfRule type="containsText" dxfId="6441" priority="6874" operator="containsText" text="H">
      <formula>NOT(ISERROR(SEARCH("H",BR34)))</formula>
    </cfRule>
    <cfRule type="containsText" dxfId="6440" priority="6876" operator="containsText" text="&quot;H&quot;">
      <formula>NOT(ISERROR(SEARCH("""H""",BR34)))</formula>
    </cfRule>
    <cfRule type="containsText" dxfId="6439" priority="6877" operator="containsText" text="&quot;A&quot;">
      <formula>NOT(ISERROR(SEARCH("""A""",BR34)))</formula>
    </cfRule>
  </conditionalFormatting>
  <conditionalFormatting sqref="BR34:BS34">
    <cfRule type="containsText" dxfId="6438" priority="6875" operator="containsText" text="A-H">
      <formula>NOT(ISERROR(SEARCH("A-H",BR34)))</formula>
    </cfRule>
  </conditionalFormatting>
  <conditionalFormatting sqref="BU34:BV34">
    <cfRule type="cellIs" dxfId="6437" priority="6866" operator="equal">
      <formula>"C-Off-H"</formula>
    </cfRule>
    <cfRule type="cellIs" dxfId="6436" priority="6867" operator="equal">
      <formula>"C-Off"</formula>
    </cfRule>
    <cfRule type="cellIs" dxfId="6435" priority="6868" operator="equal">
      <formula>"CL-H"</formula>
    </cfRule>
    <cfRule type="cellIs" dxfId="6434" priority="6869" operator="equal">
      <formula>"EL-H"</formula>
    </cfRule>
    <cfRule type="cellIs" dxfId="6433" priority="6870" operator="equal">
      <formula>"CL"</formula>
    </cfRule>
    <cfRule type="cellIs" dxfId="6432" priority="6871" operator="equal">
      <formula>"EL"</formula>
    </cfRule>
  </conditionalFormatting>
  <conditionalFormatting sqref="BU34:BV34">
    <cfRule type="containsText" dxfId="6431" priority="6860" operator="containsText" text="S">
      <formula>NOT(ISERROR(SEARCH("S",BU34)))</formula>
    </cfRule>
    <cfRule type="containsText" dxfId="6430" priority="6861" operator="containsText" text="P">
      <formula>NOT(ISERROR(SEARCH("P",BU34)))</formula>
    </cfRule>
    <cfRule type="containsText" dxfId="6429" priority="6862" operator="containsText" text="H">
      <formula>NOT(ISERROR(SEARCH("H",BU34)))</formula>
    </cfRule>
    <cfRule type="containsText" dxfId="6428" priority="6864" operator="containsText" text="&quot;H&quot;">
      <formula>NOT(ISERROR(SEARCH("""H""",BU34)))</formula>
    </cfRule>
    <cfRule type="containsText" dxfId="6427" priority="6865" operator="containsText" text="&quot;A&quot;">
      <formula>NOT(ISERROR(SEARCH("""A""",BU34)))</formula>
    </cfRule>
  </conditionalFormatting>
  <conditionalFormatting sqref="BU34:BV34">
    <cfRule type="containsText" dxfId="6426" priority="6863" operator="containsText" text="A-H">
      <formula>NOT(ISERROR(SEARCH("A-H",BU34)))</formula>
    </cfRule>
  </conditionalFormatting>
  <conditionalFormatting sqref="BY34">
    <cfRule type="cellIs" dxfId="6425" priority="6854" operator="equal">
      <formula>"C-Off-H"</formula>
    </cfRule>
    <cfRule type="cellIs" dxfId="6424" priority="6855" operator="equal">
      <formula>"C-Off"</formula>
    </cfRule>
    <cfRule type="cellIs" dxfId="6423" priority="6856" operator="equal">
      <formula>"CL-H"</formula>
    </cfRule>
    <cfRule type="cellIs" dxfId="6422" priority="6857" operator="equal">
      <formula>"EL-H"</formula>
    </cfRule>
    <cfRule type="cellIs" dxfId="6421" priority="6858" operator="equal">
      <formula>"CL"</formula>
    </cfRule>
    <cfRule type="cellIs" dxfId="6420" priority="6859" operator="equal">
      <formula>"EL"</formula>
    </cfRule>
  </conditionalFormatting>
  <conditionalFormatting sqref="BY34">
    <cfRule type="containsText" dxfId="6419" priority="6848" operator="containsText" text="S">
      <formula>NOT(ISERROR(SEARCH("S",BY34)))</formula>
    </cfRule>
    <cfRule type="containsText" dxfId="6418" priority="6849" operator="containsText" text="P">
      <formula>NOT(ISERROR(SEARCH("P",BY34)))</formula>
    </cfRule>
    <cfRule type="containsText" dxfId="6417" priority="6850" operator="containsText" text="H">
      <formula>NOT(ISERROR(SEARCH("H",BY34)))</formula>
    </cfRule>
    <cfRule type="containsText" dxfId="6416" priority="6852" operator="containsText" text="&quot;H&quot;">
      <formula>NOT(ISERROR(SEARCH("""H""",BY34)))</formula>
    </cfRule>
    <cfRule type="containsText" dxfId="6415" priority="6853" operator="containsText" text="&quot;A&quot;">
      <formula>NOT(ISERROR(SEARCH("""A""",BY34)))</formula>
    </cfRule>
  </conditionalFormatting>
  <conditionalFormatting sqref="BY34">
    <cfRule type="containsText" dxfId="6414" priority="6851" operator="containsText" text="A-H">
      <formula>NOT(ISERROR(SEARCH("A-H",BY34)))</formula>
    </cfRule>
  </conditionalFormatting>
  <conditionalFormatting sqref="BX34">
    <cfRule type="cellIs" dxfId="6413" priority="6842" operator="equal">
      <formula>"C-Off-H"</formula>
    </cfRule>
    <cfRule type="cellIs" dxfId="6412" priority="6843" operator="equal">
      <formula>"C-Off"</formula>
    </cfRule>
    <cfRule type="cellIs" dxfId="6411" priority="6844" operator="equal">
      <formula>"CL-H"</formula>
    </cfRule>
    <cfRule type="cellIs" dxfId="6410" priority="6845" operator="equal">
      <formula>"EL-H"</formula>
    </cfRule>
    <cfRule type="cellIs" dxfId="6409" priority="6846" operator="equal">
      <formula>"CL"</formula>
    </cfRule>
    <cfRule type="cellIs" dxfId="6408" priority="6847" operator="equal">
      <formula>"EL"</formula>
    </cfRule>
  </conditionalFormatting>
  <conditionalFormatting sqref="BX34">
    <cfRule type="containsText" dxfId="6407" priority="6836" operator="containsText" text="S">
      <formula>NOT(ISERROR(SEARCH("S",BX34)))</formula>
    </cfRule>
    <cfRule type="containsText" dxfId="6406" priority="6837" operator="containsText" text="P">
      <formula>NOT(ISERROR(SEARCH("P",BX34)))</formula>
    </cfRule>
    <cfRule type="containsText" dxfId="6405" priority="6838" operator="containsText" text="H">
      <formula>NOT(ISERROR(SEARCH("H",BX34)))</formula>
    </cfRule>
    <cfRule type="containsText" dxfId="6404" priority="6840" operator="containsText" text="&quot;H&quot;">
      <formula>NOT(ISERROR(SEARCH("""H""",BX34)))</formula>
    </cfRule>
    <cfRule type="containsText" dxfId="6403" priority="6841" operator="containsText" text="&quot;A&quot;">
      <formula>NOT(ISERROR(SEARCH("""A""",BX34)))</formula>
    </cfRule>
  </conditionalFormatting>
  <conditionalFormatting sqref="BX34">
    <cfRule type="containsText" dxfId="6402" priority="6839" operator="containsText" text="A-H">
      <formula>NOT(ISERROR(SEARCH("A-H",BX34)))</formula>
    </cfRule>
  </conditionalFormatting>
  <conditionalFormatting sqref="J34:K34">
    <cfRule type="cellIs" dxfId="6401" priority="6830" operator="equal">
      <formula>"C-Off-H"</formula>
    </cfRule>
    <cfRule type="cellIs" dxfId="6400" priority="6831" operator="equal">
      <formula>"C-Off"</formula>
    </cfRule>
    <cfRule type="cellIs" dxfId="6399" priority="6832" operator="equal">
      <formula>"CL-H"</formula>
    </cfRule>
    <cfRule type="cellIs" dxfId="6398" priority="6833" operator="equal">
      <formula>"EL-H"</formula>
    </cfRule>
    <cfRule type="cellIs" dxfId="6397" priority="6834" operator="equal">
      <formula>"CL"</formula>
    </cfRule>
    <cfRule type="cellIs" dxfId="6396" priority="6835" operator="equal">
      <formula>"EL"</formula>
    </cfRule>
  </conditionalFormatting>
  <conditionalFormatting sqref="J34:K34">
    <cfRule type="containsText" dxfId="6395" priority="6824" operator="containsText" text="S">
      <formula>NOT(ISERROR(SEARCH("S",J34)))</formula>
    </cfRule>
    <cfRule type="containsText" dxfId="6394" priority="6825" operator="containsText" text="P">
      <formula>NOT(ISERROR(SEARCH("P",J34)))</formula>
    </cfRule>
    <cfRule type="containsText" dxfId="6393" priority="6826" operator="containsText" text="H">
      <formula>NOT(ISERROR(SEARCH("H",J34)))</formula>
    </cfRule>
    <cfRule type="containsText" dxfId="6392" priority="6828" operator="containsText" text="&quot;H&quot;">
      <formula>NOT(ISERROR(SEARCH("""H""",J34)))</formula>
    </cfRule>
    <cfRule type="containsText" dxfId="6391" priority="6829" operator="containsText" text="&quot;A&quot;">
      <formula>NOT(ISERROR(SEARCH("""A""",J34)))</formula>
    </cfRule>
  </conditionalFormatting>
  <conditionalFormatting sqref="J34:K34">
    <cfRule type="containsText" dxfId="6390" priority="6827" operator="containsText" text="A-H">
      <formula>NOT(ISERROR(SEARCH("A-H",J34)))</formula>
    </cfRule>
  </conditionalFormatting>
  <conditionalFormatting sqref="M32:N32 DC32 CQ32:CW32">
    <cfRule type="cellIs" dxfId="6389" priority="6818" operator="equal">
      <formula>"C-Off-H"</formula>
    </cfRule>
    <cfRule type="cellIs" dxfId="6388" priority="6819" operator="equal">
      <formula>"C-Off"</formula>
    </cfRule>
    <cfRule type="cellIs" dxfId="6387" priority="6820" operator="equal">
      <formula>"CL-H"</formula>
    </cfRule>
    <cfRule type="cellIs" dxfId="6386" priority="6821" operator="equal">
      <formula>"EL-H"</formula>
    </cfRule>
    <cfRule type="cellIs" dxfId="6385" priority="6822" operator="equal">
      <formula>"CL"</formula>
    </cfRule>
    <cfRule type="cellIs" dxfId="6384" priority="6823" operator="equal">
      <formula>"EL"</formula>
    </cfRule>
  </conditionalFormatting>
  <conditionalFormatting sqref="M32:N32 DC32 CQ32:CW32 CY32:DA32">
    <cfRule type="containsText" dxfId="6383" priority="6817" operator="containsText" text="A-H">
      <formula>NOT(ISERROR(SEARCH("A-H",M32)))</formula>
    </cfRule>
  </conditionalFormatting>
  <conditionalFormatting sqref="DC32 CQ32:CW32 CY32:DA32">
    <cfRule type="containsText" dxfId="6382" priority="6816" operator="containsText" text="A">
      <formula>NOT(ISERROR(SEARCH("A",CQ32)))</formula>
    </cfRule>
  </conditionalFormatting>
  <conditionalFormatting sqref="CY32 DA32">
    <cfRule type="cellIs" dxfId="6381" priority="6810" stopIfTrue="1" operator="equal">
      <formula>"C-Off-H"</formula>
    </cfRule>
    <cfRule type="cellIs" dxfId="6380" priority="6811" stopIfTrue="1" operator="equal">
      <formula>"C-Off"</formula>
    </cfRule>
    <cfRule type="cellIs" dxfId="6379" priority="6812" stopIfTrue="1" operator="equal">
      <formula>"CL-H"</formula>
    </cfRule>
    <cfRule type="cellIs" dxfId="6378" priority="6813" stopIfTrue="1" operator="equal">
      <formula>"EL-H"</formula>
    </cfRule>
    <cfRule type="cellIs" dxfId="6377" priority="6814" stopIfTrue="1" operator="equal">
      <formula>"CL"</formula>
    </cfRule>
    <cfRule type="cellIs" dxfId="6376" priority="6815" stopIfTrue="1" operator="equal">
      <formula>"EL"</formula>
    </cfRule>
  </conditionalFormatting>
  <conditionalFormatting sqref="CZ32">
    <cfRule type="cellIs" dxfId="6375" priority="6804" stopIfTrue="1" operator="equal">
      <formula>"C-Off-H"</formula>
    </cfRule>
    <cfRule type="cellIs" dxfId="6374" priority="6805" stopIfTrue="1" operator="equal">
      <formula>"C-Off"</formula>
    </cfRule>
    <cfRule type="cellIs" dxfId="6373" priority="6806" stopIfTrue="1" operator="equal">
      <formula>"CL-H"</formula>
    </cfRule>
    <cfRule type="cellIs" dxfId="6372" priority="6807" stopIfTrue="1" operator="equal">
      <formula>"EL-H"</formula>
    </cfRule>
    <cfRule type="cellIs" dxfId="6371" priority="6808" stopIfTrue="1" operator="equal">
      <formula>"CL"</formula>
    </cfRule>
    <cfRule type="cellIs" dxfId="6370" priority="6809" stopIfTrue="1" operator="equal">
      <formula>"EL"</formula>
    </cfRule>
  </conditionalFormatting>
  <conditionalFormatting sqref="M32:N32">
    <cfRule type="containsText" dxfId="6369" priority="6799" operator="containsText" text="S">
      <formula>NOT(ISERROR(SEARCH("S",M32)))</formula>
    </cfRule>
    <cfRule type="containsText" dxfId="6368" priority="6800" operator="containsText" text="P">
      <formula>NOT(ISERROR(SEARCH("P",M32)))</formula>
    </cfRule>
    <cfRule type="containsText" dxfId="6367" priority="6801" operator="containsText" text="H">
      <formula>NOT(ISERROR(SEARCH("H",M32)))</formula>
    </cfRule>
    <cfRule type="containsText" dxfId="6366" priority="6802" operator="containsText" text="&quot;H&quot;">
      <formula>NOT(ISERROR(SEARCH("""H""",M32)))</formula>
    </cfRule>
    <cfRule type="containsText" dxfId="6365" priority="6803" operator="containsText" text="&quot;A&quot;">
      <formula>NOT(ISERROR(SEARCH("""A""",M32)))</formula>
    </cfRule>
  </conditionalFormatting>
  <conditionalFormatting sqref="DD32">
    <cfRule type="cellIs" dxfId="6364" priority="6793" operator="equal">
      <formula>"C-Off-H"</formula>
    </cfRule>
    <cfRule type="cellIs" dxfId="6363" priority="6794" operator="equal">
      <formula>"C-Off"</formula>
    </cfRule>
    <cfRule type="cellIs" dxfId="6362" priority="6795" operator="equal">
      <formula>"CL-H"</formula>
    </cfRule>
    <cfRule type="cellIs" dxfId="6361" priority="6796" operator="equal">
      <formula>"EL-H"</formula>
    </cfRule>
    <cfRule type="cellIs" dxfId="6360" priority="6797" operator="equal">
      <formula>"CL"</formula>
    </cfRule>
    <cfRule type="cellIs" dxfId="6359" priority="6798" operator="equal">
      <formula>"EL"</formula>
    </cfRule>
  </conditionalFormatting>
  <conditionalFormatting sqref="DD32">
    <cfRule type="containsText" dxfId="6358" priority="6792" operator="containsText" text="A">
      <formula>NOT(ISERROR(SEARCH("A",DD32)))</formula>
    </cfRule>
  </conditionalFormatting>
  <conditionalFormatting sqref="DD32">
    <cfRule type="containsText" dxfId="6357" priority="6791" operator="containsText" text="A-H">
      <formula>NOT(ISERROR(SEARCH("A-H",DD32)))</formula>
    </cfRule>
  </conditionalFormatting>
  <conditionalFormatting sqref="AI32">
    <cfRule type="cellIs" dxfId="6356" priority="6785" operator="equal">
      <formula>"C-Off-H"</formula>
    </cfRule>
    <cfRule type="cellIs" dxfId="6355" priority="6786" operator="equal">
      <formula>"C-Off"</formula>
    </cfRule>
    <cfRule type="cellIs" dxfId="6354" priority="6787" operator="equal">
      <formula>"CL-H"</formula>
    </cfRule>
    <cfRule type="cellIs" dxfId="6353" priority="6788" operator="equal">
      <formula>"EL-H"</formula>
    </cfRule>
    <cfRule type="cellIs" dxfId="6352" priority="6789" operator="equal">
      <formula>"CL"</formula>
    </cfRule>
    <cfRule type="cellIs" dxfId="6351" priority="6790" operator="equal">
      <formula>"EL"</formula>
    </cfRule>
  </conditionalFormatting>
  <conditionalFormatting sqref="AH32:AI32">
    <cfRule type="cellIs" dxfId="6350" priority="6779" operator="equal">
      <formula>"C-Off-H"</formula>
    </cfRule>
    <cfRule type="cellIs" dxfId="6349" priority="6780" operator="equal">
      <formula>"C-Off"</formula>
    </cfRule>
    <cfRule type="cellIs" dxfId="6348" priority="6781" operator="equal">
      <formula>"CL-H"</formula>
    </cfRule>
    <cfRule type="cellIs" dxfId="6347" priority="6782" operator="equal">
      <formula>"EL-H"</formula>
    </cfRule>
    <cfRule type="cellIs" dxfId="6346" priority="6783" operator="equal">
      <formula>"CL"</formula>
    </cfRule>
    <cfRule type="cellIs" dxfId="6345" priority="6784" operator="equal">
      <formula>"EL"</formula>
    </cfRule>
  </conditionalFormatting>
  <conditionalFormatting sqref="AH32:AI32">
    <cfRule type="containsText" dxfId="6344" priority="6773" operator="containsText" text="S">
      <formula>NOT(ISERROR(SEARCH("S",AH32)))</formula>
    </cfRule>
    <cfRule type="containsText" dxfId="6343" priority="6774" operator="containsText" text="P">
      <formula>NOT(ISERROR(SEARCH("P",AH32)))</formula>
    </cfRule>
    <cfRule type="containsText" dxfId="6342" priority="6775" operator="containsText" text="H">
      <formula>NOT(ISERROR(SEARCH("H",AH32)))</formula>
    </cfRule>
    <cfRule type="containsText" dxfId="6341" priority="6777" operator="containsText" text="&quot;H&quot;">
      <formula>NOT(ISERROR(SEARCH("""H""",AH32)))</formula>
    </cfRule>
    <cfRule type="containsText" dxfId="6340" priority="6778" operator="containsText" text="&quot;A&quot;">
      <formula>NOT(ISERROR(SEARCH("""A""",AH32)))</formula>
    </cfRule>
  </conditionalFormatting>
  <conditionalFormatting sqref="AH32:AI32">
    <cfRule type="containsText" dxfId="6339" priority="6776" operator="containsText" text="A-H">
      <formula>NOT(ISERROR(SEARCH("A-H",AH32)))</formula>
    </cfRule>
  </conditionalFormatting>
  <conditionalFormatting sqref="AU32">
    <cfRule type="cellIs" dxfId="6338" priority="6767" operator="equal">
      <formula>"C-Off-H"</formula>
    </cfRule>
    <cfRule type="cellIs" dxfId="6337" priority="6768" operator="equal">
      <formula>"C-Off"</formula>
    </cfRule>
    <cfRule type="cellIs" dxfId="6336" priority="6769" operator="equal">
      <formula>"CL-H"</formula>
    </cfRule>
    <cfRule type="cellIs" dxfId="6335" priority="6770" operator="equal">
      <formula>"EL-H"</formula>
    </cfRule>
    <cfRule type="cellIs" dxfId="6334" priority="6771" operator="equal">
      <formula>"CL"</formula>
    </cfRule>
    <cfRule type="cellIs" dxfId="6333" priority="6772" operator="equal">
      <formula>"EL"</formula>
    </cfRule>
  </conditionalFormatting>
  <conditionalFormatting sqref="AT32:AU32">
    <cfRule type="cellIs" dxfId="6332" priority="6761" operator="equal">
      <formula>"C-Off-H"</formula>
    </cfRule>
    <cfRule type="cellIs" dxfId="6331" priority="6762" operator="equal">
      <formula>"C-Off"</formula>
    </cfRule>
    <cfRule type="cellIs" dxfId="6330" priority="6763" operator="equal">
      <formula>"CL-H"</formula>
    </cfRule>
    <cfRule type="cellIs" dxfId="6329" priority="6764" operator="equal">
      <formula>"EL-H"</formula>
    </cfRule>
    <cfRule type="cellIs" dxfId="6328" priority="6765" operator="equal">
      <formula>"CL"</formula>
    </cfRule>
    <cfRule type="cellIs" dxfId="6327" priority="6766" operator="equal">
      <formula>"EL"</formula>
    </cfRule>
  </conditionalFormatting>
  <conditionalFormatting sqref="AT32:AU32">
    <cfRule type="containsText" dxfId="6326" priority="6755" operator="containsText" text="S">
      <formula>NOT(ISERROR(SEARCH("S",AT32)))</formula>
    </cfRule>
    <cfRule type="containsText" dxfId="6325" priority="6756" operator="containsText" text="P">
      <formula>NOT(ISERROR(SEARCH("P",AT32)))</formula>
    </cfRule>
    <cfRule type="containsText" dxfId="6324" priority="6757" operator="containsText" text="H">
      <formula>NOT(ISERROR(SEARCH("H",AT32)))</formula>
    </cfRule>
    <cfRule type="containsText" dxfId="6323" priority="6759" operator="containsText" text="&quot;H&quot;">
      <formula>NOT(ISERROR(SEARCH("""H""",AT32)))</formula>
    </cfRule>
    <cfRule type="containsText" dxfId="6322" priority="6760" operator="containsText" text="&quot;A&quot;">
      <formula>NOT(ISERROR(SEARCH("""A""",AT32)))</formula>
    </cfRule>
  </conditionalFormatting>
  <conditionalFormatting sqref="AT32:AU32">
    <cfRule type="containsText" dxfId="6321" priority="6758" operator="containsText" text="A-H">
      <formula>NOT(ISERROR(SEARCH("A-H",AT32)))</formula>
    </cfRule>
  </conditionalFormatting>
  <conditionalFormatting sqref="E32">
    <cfRule type="cellIs" dxfId="6320" priority="6749" operator="equal">
      <formula>"C-Off-H"</formula>
    </cfRule>
    <cfRule type="cellIs" dxfId="6319" priority="6750" operator="equal">
      <formula>"C-Off"</formula>
    </cfRule>
    <cfRule type="cellIs" dxfId="6318" priority="6751" operator="equal">
      <formula>"CL-H"</formula>
    </cfRule>
    <cfRule type="cellIs" dxfId="6317" priority="6752" operator="equal">
      <formula>"EL-H"</formula>
    </cfRule>
    <cfRule type="cellIs" dxfId="6316" priority="6753" operator="equal">
      <formula>"CL"</formula>
    </cfRule>
    <cfRule type="cellIs" dxfId="6315" priority="6754" operator="equal">
      <formula>"EL"</formula>
    </cfRule>
  </conditionalFormatting>
  <conditionalFormatting sqref="D32:E32">
    <cfRule type="cellIs" dxfId="6314" priority="6743" operator="equal">
      <formula>"C-Off-H"</formula>
    </cfRule>
    <cfRule type="cellIs" dxfId="6313" priority="6744" operator="equal">
      <formula>"C-Off"</formula>
    </cfRule>
    <cfRule type="cellIs" dxfId="6312" priority="6745" operator="equal">
      <formula>"CL-H"</formula>
    </cfRule>
    <cfRule type="cellIs" dxfId="6311" priority="6746" operator="equal">
      <formula>"EL-H"</formula>
    </cfRule>
    <cfRule type="cellIs" dxfId="6310" priority="6747" operator="equal">
      <formula>"CL"</formula>
    </cfRule>
    <cfRule type="cellIs" dxfId="6309" priority="6748" operator="equal">
      <formula>"EL"</formula>
    </cfRule>
  </conditionalFormatting>
  <conditionalFormatting sqref="D32:E32">
    <cfRule type="containsText" dxfId="6308" priority="6737" operator="containsText" text="S">
      <formula>NOT(ISERROR(SEARCH("S",D32)))</formula>
    </cfRule>
    <cfRule type="containsText" dxfId="6307" priority="6738" operator="containsText" text="P">
      <formula>NOT(ISERROR(SEARCH("P",D32)))</formula>
    </cfRule>
    <cfRule type="containsText" dxfId="6306" priority="6739" operator="containsText" text="H">
      <formula>NOT(ISERROR(SEARCH("H",D32)))</formula>
    </cfRule>
    <cfRule type="containsText" dxfId="6305" priority="6741" operator="containsText" text="&quot;H&quot;">
      <formula>NOT(ISERROR(SEARCH("""H""",D32)))</formula>
    </cfRule>
    <cfRule type="containsText" dxfId="6304" priority="6742" operator="containsText" text="&quot;A&quot;">
      <formula>NOT(ISERROR(SEARCH("""A""",D32)))</formula>
    </cfRule>
  </conditionalFormatting>
  <conditionalFormatting sqref="D32:E32">
    <cfRule type="containsText" dxfId="6303" priority="6740" operator="containsText" text="A-H">
      <formula>NOT(ISERROR(SEARCH("A-H",D32)))</formula>
    </cfRule>
  </conditionalFormatting>
  <conditionalFormatting sqref="Y32">
    <cfRule type="cellIs" dxfId="6302" priority="6731" operator="equal">
      <formula>"C-Off-H"</formula>
    </cfRule>
    <cfRule type="cellIs" dxfId="6301" priority="6732" operator="equal">
      <formula>"C-Off"</formula>
    </cfRule>
    <cfRule type="cellIs" dxfId="6300" priority="6733" operator="equal">
      <formula>"CL-H"</formula>
    </cfRule>
    <cfRule type="cellIs" dxfId="6299" priority="6734" operator="equal">
      <formula>"EL-H"</formula>
    </cfRule>
    <cfRule type="cellIs" dxfId="6298" priority="6735" operator="equal">
      <formula>"CL"</formula>
    </cfRule>
    <cfRule type="cellIs" dxfId="6297" priority="6736" operator="equal">
      <formula>"EL"</formula>
    </cfRule>
  </conditionalFormatting>
  <conditionalFormatting sqref="Y32">
    <cfRule type="containsText" dxfId="6296" priority="6725" operator="containsText" text="S">
      <formula>NOT(ISERROR(SEARCH("S",Y32)))</formula>
    </cfRule>
    <cfRule type="containsText" dxfId="6295" priority="6726" operator="containsText" text="P">
      <formula>NOT(ISERROR(SEARCH("P",Y32)))</formula>
    </cfRule>
    <cfRule type="containsText" dxfId="6294" priority="6727" operator="containsText" text="H">
      <formula>NOT(ISERROR(SEARCH("H",Y32)))</formula>
    </cfRule>
    <cfRule type="containsText" dxfId="6293" priority="6729" operator="containsText" text="&quot;H&quot;">
      <formula>NOT(ISERROR(SEARCH("""H""",Y32)))</formula>
    </cfRule>
    <cfRule type="containsText" dxfId="6292" priority="6730" operator="containsText" text="&quot;A&quot;">
      <formula>NOT(ISERROR(SEARCH("""A""",Y32)))</formula>
    </cfRule>
  </conditionalFormatting>
  <conditionalFormatting sqref="Y32">
    <cfRule type="containsText" dxfId="6291" priority="6728" operator="containsText" text="A-H">
      <formula>NOT(ISERROR(SEARCH("A-H",Y32)))</formula>
    </cfRule>
  </conditionalFormatting>
  <conditionalFormatting sqref="AF32">
    <cfRule type="cellIs" dxfId="6290" priority="6719" operator="equal">
      <formula>"C-Off-H"</formula>
    </cfRule>
    <cfRule type="cellIs" dxfId="6289" priority="6720" operator="equal">
      <formula>"C-Off"</formula>
    </cfRule>
    <cfRule type="cellIs" dxfId="6288" priority="6721" operator="equal">
      <formula>"CL-H"</formula>
    </cfRule>
    <cfRule type="cellIs" dxfId="6287" priority="6722" operator="equal">
      <formula>"EL-H"</formula>
    </cfRule>
    <cfRule type="cellIs" dxfId="6286" priority="6723" operator="equal">
      <formula>"CL"</formula>
    </cfRule>
    <cfRule type="cellIs" dxfId="6285" priority="6724" operator="equal">
      <formula>"EL"</formula>
    </cfRule>
  </conditionalFormatting>
  <conditionalFormatting sqref="AF32">
    <cfRule type="containsText" dxfId="6284" priority="6713" operator="containsText" text="S">
      <formula>NOT(ISERROR(SEARCH("S",AF32)))</formula>
    </cfRule>
    <cfRule type="containsText" dxfId="6283" priority="6714" operator="containsText" text="P">
      <formula>NOT(ISERROR(SEARCH("P",AF32)))</formula>
    </cfRule>
    <cfRule type="containsText" dxfId="6282" priority="6715" operator="containsText" text="H">
      <formula>NOT(ISERROR(SEARCH("H",AF32)))</formula>
    </cfRule>
    <cfRule type="containsText" dxfId="6281" priority="6717" operator="containsText" text="&quot;H&quot;">
      <formula>NOT(ISERROR(SEARCH("""H""",AF32)))</formula>
    </cfRule>
    <cfRule type="containsText" dxfId="6280" priority="6718" operator="containsText" text="&quot;A&quot;">
      <formula>NOT(ISERROR(SEARCH("""A""",AF32)))</formula>
    </cfRule>
  </conditionalFormatting>
  <conditionalFormatting sqref="AF32">
    <cfRule type="containsText" dxfId="6279" priority="6716" operator="containsText" text="A-H">
      <formula>NOT(ISERROR(SEARCH("A-H",AF32)))</formula>
    </cfRule>
  </conditionalFormatting>
  <conditionalFormatting sqref="BO32:BP32">
    <cfRule type="cellIs" dxfId="6278" priority="6707" operator="equal">
      <formula>"C-Off-H"</formula>
    </cfRule>
    <cfRule type="cellIs" dxfId="6277" priority="6708" operator="equal">
      <formula>"C-Off"</formula>
    </cfRule>
    <cfRule type="cellIs" dxfId="6276" priority="6709" operator="equal">
      <formula>"CL-H"</formula>
    </cfRule>
    <cfRule type="cellIs" dxfId="6275" priority="6710" operator="equal">
      <formula>"EL-H"</formula>
    </cfRule>
    <cfRule type="cellIs" dxfId="6274" priority="6711" operator="equal">
      <formula>"CL"</formula>
    </cfRule>
    <cfRule type="cellIs" dxfId="6273" priority="6712" operator="equal">
      <formula>"EL"</formula>
    </cfRule>
  </conditionalFormatting>
  <conditionalFormatting sqref="BO32:BP32">
    <cfRule type="cellIs" dxfId="6272" priority="6701" operator="equal">
      <formula>"C-Off-H"</formula>
    </cfRule>
    <cfRule type="cellIs" dxfId="6271" priority="6702" operator="equal">
      <formula>"C-Off"</formula>
    </cfRule>
    <cfRule type="cellIs" dxfId="6270" priority="6703" operator="equal">
      <formula>"CL-H"</formula>
    </cfRule>
    <cfRule type="cellIs" dxfId="6269" priority="6704" operator="equal">
      <formula>"EL-H"</formula>
    </cfRule>
    <cfRule type="cellIs" dxfId="6268" priority="6705" operator="equal">
      <formula>"CL"</formula>
    </cfRule>
    <cfRule type="cellIs" dxfId="6267" priority="6706" operator="equal">
      <formula>"EL"</formula>
    </cfRule>
  </conditionalFormatting>
  <conditionalFormatting sqref="BO32:BP32">
    <cfRule type="containsText" dxfId="6266" priority="6695" operator="containsText" text="S">
      <formula>NOT(ISERROR(SEARCH("S",BO32)))</formula>
    </cfRule>
    <cfRule type="containsText" dxfId="6265" priority="6696" operator="containsText" text="P">
      <formula>NOT(ISERROR(SEARCH("P",BO32)))</formula>
    </cfRule>
    <cfRule type="containsText" dxfId="6264" priority="6697" operator="containsText" text="H">
      <formula>NOT(ISERROR(SEARCH("H",BO32)))</formula>
    </cfRule>
    <cfRule type="containsText" dxfId="6263" priority="6699" operator="containsText" text="&quot;H&quot;">
      <formula>NOT(ISERROR(SEARCH("""H""",BO32)))</formula>
    </cfRule>
    <cfRule type="containsText" dxfId="6262" priority="6700" operator="containsText" text="&quot;A&quot;">
      <formula>NOT(ISERROR(SEARCH("""A""",BO32)))</formula>
    </cfRule>
  </conditionalFormatting>
  <conditionalFormatting sqref="BO32:BP32">
    <cfRule type="containsText" dxfId="6261" priority="6698" operator="containsText" text="A-H">
      <formula>NOT(ISERROR(SEARCH("A-H",BO32)))</formula>
    </cfRule>
  </conditionalFormatting>
  <conditionalFormatting sqref="CM32">
    <cfRule type="cellIs" dxfId="6260" priority="6689" operator="equal">
      <formula>"C-Off-H"</formula>
    </cfRule>
    <cfRule type="cellIs" dxfId="6259" priority="6690" operator="equal">
      <formula>"C-Off"</formula>
    </cfRule>
    <cfRule type="cellIs" dxfId="6258" priority="6691" operator="equal">
      <formula>"CL-H"</formula>
    </cfRule>
    <cfRule type="cellIs" dxfId="6257" priority="6692" operator="equal">
      <formula>"EL-H"</formula>
    </cfRule>
    <cfRule type="cellIs" dxfId="6256" priority="6693" operator="equal">
      <formula>"CL"</formula>
    </cfRule>
    <cfRule type="cellIs" dxfId="6255" priority="6694" operator="equal">
      <formula>"EL"</formula>
    </cfRule>
  </conditionalFormatting>
  <conditionalFormatting sqref="CM32">
    <cfRule type="cellIs" dxfId="6254" priority="6683" operator="equal">
      <formula>"C-Off-H"</formula>
    </cfRule>
    <cfRule type="cellIs" dxfId="6253" priority="6684" operator="equal">
      <formula>"C-Off"</formula>
    </cfRule>
    <cfRule type="cellIs" dxfId="6252" priority="6685" operator="equal">
      <formula>"CL-H"</formula>
    </cfRule>
    <cfRule type="cellIs" dxfId="6251" priority="6686" operator="equal">
      <formula>"EL-H"</formula>
    </cfRule>
    <cfRule type="cellIs" dxfId="6250" priority="6687" operator="equal">
      <formula>"CL"</formula>
    </cfRule>
    <cfRule type="cellIs" dxfId="6249" priority="6688" operator="equal">
      <formula>"EL"</formula>
    </cfRule>
  </conditionalFormatting>
  <conditionalFormatting sqref="CM32">
    <cfRule type="containsText" dxfId="6248" priority="6677" operator="containsText" text="S">
      <formula>NOT(ISERROR(SEARCH("S",CM32)))</formula>
    </cfRule>
    <cfRule type="containsText" dxfId="6247" priority="6678" operator="containsText" text="P">
      <formula>NOT(ISERROR(SEARCH("P",CM32)))</formula>
    </cfRule>
    <cfRule type="containsText" dxfId="6246" priority="6679" operator="containsText" text="H">
      <formula>NOT(ISERROR(SEARCH("H",CM32)))</formula>
    </cfRule>
    <cfRule type="containsText" dxfId="6245" priority="6681" operator="containsText" text="&quot;H&quot;">
      <formula>NOT(ISERROR(SEARCH("""H""",CM32)))</formula>
    </cfRule>
    <cfRule type="containsText" dxfId="6244" priority="6682" operator="containsText" text="&quot;A&quot;">
      <formula>NOT(ISERROR(SEARCH("""A""",CM32)))</formula>
    </cfRule>
  </conditionalFormatting>
  <conditionalFormatting sqref="CM32">
    <cfRule type="containsText" dxfId="6243" priority="6680" operator="containsText" text="A-H">
      <formula>NOT(ISERROR(SEARCH("A-H",CM32)))</formula>
    </cfRule>
  </conditionalFormatting>
  <conditionalFormatting sqref="V32:W32">
    <cfRule type="cellIs" dxfId="6242" priority="6647" operator="equal">
      <formula>"C-Off-H"</formula>
    </cfRule>
    <cfRule type="cellIs" dxfId="6241" priority="6648" operator="equal">
      <formula>"C-Off"</formula>
    </cfRule>
    <cfRule type="cellIs" dxfId="6240" priority="6649" operator="equal">
      <formula>"CL-H"</formula>
    </cfRule>
    <cfRule type="cellIs" dxfId="6239" priority="6650" operator="equal">
      <formula>"EL-H"</formula>
    </cfRule>
    <cfRule type="cellIs" dxfId="6238" priority="6651" operator="equal">
      <formula>"CL"</formula>
    </cfRule>
    <cfRule type="cellIs" dxfId="6237" priority="6652" operator="equal">
      <formula>"EL"</formula>
    </cfRule>
  </conditionalFormatting>
  <conditionalFormatting sqref="V32:W32">
    <cfRule type="containsText" dxfId="6236" priority="6641" operator="containsText" text="S">
      <formula>NOT(ISERROR(SEARCH("S",V32)))</formula>
    </cfRule>
    <cfRule type="containsText" dxfId="6235" priority="6642" operator="containsText" text="P">
      <formula>NOT(ISERROR(SEARCH("P",V32)))</formula>
    </cfRule>
    <cfRule type="containsText" dxfId="6234" priority="6643" operator="containsText" text="H">
      <formula>NOT(ISERROR(SEARCH("H",V32)))</formula>
    </cfRule>
    <cfRule type="containsText" dxfId="6233" priority="6645" operator="containsText" text="&quot;H&quot;">
      <formula>NOT(ISERROR(SEARCH("""H""",V32)))</formula>
    </cfRule>
    <cfRule type="containsText" dxfId="6232" priority="6646" operator="containsText" text="&quot;A&quot;">
      <formula>NOT(ISERROR(SEARCH("""A""",V32)))</formula>
    </cfRule>
  </conditionalFormatting>
  <conditionalFormatting sqref="V32:W32">
    <cfRule type="containsText" dxfId="6231" priority="6644" operator="containsText" text="A-H">
      <formula>NOT(ISERROR(SEARCH("A-H",V32)))</formula>
    </cfRule>
  </conditionalFormatting>
  <conditionalFormatting sqref="P32:Q32">
    <cfRule type="cellIs" dxfId="6230" priority="6671" operator="equal">
      <formula>"C-Off-H"</formula>
    </cfRule>
    <cfRule type="cellIs" dxfId="6229" priority="6672" operator="equal">
      <formula>"C-Off"</formula>
    </cfRule>
    <cfRule type="cellIs" dxfId="6228" priority="6673" operator="equal">
      <formula>"CL-H"</formula>
    </cfRule>
    <cfRule type="cellIs" dxfId="6227" priority="6674" operator="equal">
      <formula>"EL-H"</formula>
    </cfRule>
    <cfRule type="cellIs" dxfId="6226" priority="6675" operator="equal">
      <formula>"CL"</formula>
    </cfRule>
    <cfRule type="cellIs" dxfId="6225" priority="6676" operator="equal">
      <formula>"EL"</formula>
    </cfRule>
  </conditionalFormatting>
  <conditionalFormatting sqref="P32:Q32">
    <cfRule type="containsText" dxfId="6224" priority="6665" operator="containsText" text="S">
      <formula>NOT(ISERROR(SEARCH("S",P32)))</formula>
    </cfRule>
    <cfRule type="containsText" dxfId="6223" priority="6666" operator="containsText" text="P">
      <formula>NOT(ISERROR(SEARCH("P",P32)))</formula>
    </cfRule>
    <cfRule type="containsText" dxfId="6222" priority="6667" operator="containsText" text="H">
      <formula>NOT(ISERROR(SEARCH("H",P32)))</formula>
    </cfRule>
    <cfRule type="containsText" dxfId="6221" priority="6669" operator="containsText" text="&quot;H&quot;">
      <formula>NOT(ISERROR(SEARCH("""H""",P32)))</formula>
    </cfRule>
    <cfRule type="containsText" dxfId="6220" priority="6670" operator="containsText" text="&quot;A&quot;">
      <formula>NOT(ISERROR(SEARCH("""A""",P32)))</formula>
    </cfRule>
  </conditionalFormatting>
  <conditionalFormatting sqref="P32:Q32">
    <cfRule type="containsText" dxfId="6219" priority="6668" operator="containsText" text="A-H">
      <formula>NOT(ISERROR(SEARCH("A-H",P32)))</formula>
    </cfRule>
  </conditionalFormatting>
  <conditionalFormatting sqref="S32:T32">
    <cfRule type="cellIs" dxfId="6218" priority="6659" operator="equal">
      <formula>"C-Off-H"</formula>
    </cfRule>
    <cfRule type="cellIs" dxfId="6217" priority="6660" operator="equal">
      <formula>"C-Off"</formula>
    </cfRule>
    <cfRule type="cellIs" dxfId="6216" priority="6661" operator="equal">
      <formula>"CL-H"</formula>
    </cfRule>
    <cfRule type="cellIs" dxfId="6215" priority="6662" operator="equal">
      <formula>"EL-H"</formula>
    </cfRule>
    <cfRule type="cellIs" dxfId="6214" priority="6663" operator="equal">
      <formula>"CL"</formula>
    </cfRule>
    <cfRule type="cellIs" dxfId="6213" priority="6664" operator="equal">
      <formula>"EL"</formula>
    </cfRule>
  </conditionalFormatting>
  <conditionalFormatting sqref="S32:T32">
    <cfRule type="containsText" dxfId="6212" priority="6653" operator="containsText" text="S">
      <formula>NOT(ISERROR(SEARCH("S",S32)))</formula>
    </cfRule>
    <cfRule type="containsText" dxfId="6211" priority="6654" operator="containsText" text="P">
      <formula>NOT(ISERROR(SEARCH("P",S32)))</formula>
    </cfRule>
    <cfRule type="containsText" dxfId="6210" priority="6655" operator="containsText" text="H">
      <formula>NOT(ISERROR(SEARCH("H",S32)))</formula>
    </cfRule>
    <cfRule type="containsText" dxfId="6209" priority="6657" operator="containsText" text="&quot;H&quot;">
      <formula>NOT(ISERROR(SEARCH("""H""",S32)))</formula>
    </cfRule>
    <cfRule type="containsText" dxfId="6208" priority="6658" operator="containsText" text="&quot;A&quot;">
      <formula>NOT(ISERROR(SEARCH("""A""",S32)))</formula>
    </cfRule>
  </conditionalFormatting>
  <conditionalFormatting sqref="S32:T32">
    <cfRule type="containsText" dxfId="6207" priority="6656" operator="containsText" text="A-H">
      <formula>NOT(ISERROR(SEARCH("A-H",S32)))</formula>
    </cfRule>
  </conditionalFormatting>
  <conditionalFormatting sqref="AB32:AC32">
    <cfRule type="cellIs" dxfId="6206" priority="6635" operator="equal">
      <formula>"C-Off-H"</formula>
    </cfRule>
    <cfRule type="cellIs" dxfId="6205" priority="6636" operator="equal">
      <formula>"C-Off"</formula>
    </cfRule>
    <cfRule type="cellIs" dxfId="6204" priority="6637" operator="equal">
      <formula>"CL-H"</formula>
    </cfRule>
    <cfRule type="cellIs" dxfId="6203" priority="6638" operator="equal">
      <formula>"EL-H"</formula>
    </cfRule>
    <cfRule type="cellIs" dxfId="6202" priority="6639" operator="equal">
      <formula>"CL"</formula>
    </cfRule>
    <cfRule type="cellIs" dxfId="6201" priority="6640" operator="equal">
      <formula>"EL"</formula>
    </cfRule>
  </conditionalFormatting>
  <conditionalFormatting sqref="AB32:AC32">
    <cfRule type="containsText" dxfId="6200" priority="6629" operator="containsText" text="S">
      <formula>NOT(ISERROR(SEARCH("S",AB32)))</formula>
    </cfRule>
    <cfRule type="containsText" dxfId="6199" priority="6630" operator="containsText" text="P">
      <formula>NOT(ISERROR(SEARCH("P",AB32)))</formula>
    </cfRule>
    <cfRule type="containsText" dxfId="6198" priority="6631" operator="containsText" text="H">
      <formula>NOT(ISERROR(SEARCH("H",AB32)))</formula>
    </cfRule>
    <cfRule type="containsText" dxfId="6197" priority="6633" operator="containsText" text="&quot;H&quot;">
      <formula>NOT(ISERROR(SEARCH("""H""",AB32)))</formula>
    </cfRule>
    <cfRule type="containsText" dxfId="6196" priority="6634" operator="containsText" text="&quot;A&quot;">
      <formula>NOT(ISERROR(SEARCH("""A""",AB32)))</formula>
    </cfRule>
  </conditionalFormatting>
  <conditionalFormatting sqref="AB32:AC32">
    <cfRule type="containsText" dxfId="6195" priority="6632" operator="containsText" text="A-H">
      <formula>NOT(ISERROR(SEARCH("A-H",AB32)))</formula>
    </cfRule>
  </conditionalFormatting>
  <conditionalFormatting sqref="AE32">
    <cfRule type="cellIs" dxfId="6194" priority="6623" operator="equal">
      <formula>"C-Off-H"</formula>
    </cfRule>
    <cfRule type="cellIs" dxfId="6193" priority="6624" operator="equal">
      <formula>"C-Off"</formula>
    </cfRule>
    <cfRule type="cellIs" dxfId="6192" priority="6625" operator="equal">
      <formula>"CL-H"</formula>
    </cfRule>
    <cfRule type="cellIs" dxfId="6191" priority="6626" operator="equal">
      <formula>"EL-H"</formula>
    </cfRule>
    <cfRule type="cellIs" dxfId="6190" priority="6627" operator="equal">
      <formula>"CL"</formula>
    </cfRule>
    <cfRule type="cellIs" dxfId="6189" priority="6628" operator="equal">
      <formula>"EL"</formula>
    </cfRule>
  </conditionalFormatting>
  <conditionalFormatting sqref="AE32">
    <cfRule type="containsText" dxfId="6188" priority="6617" operator="containsText" text="S">
      <formula>NOT(ISERROR(SEARCH("S",AE32)))</formula>
    </cfRule>
    <cfRule type="containsText" dxfId="6187" priority="6618" operator="containsText" text="P">
      <formula>NOT(ISERROR(SEARCH("P",AE32)))</formula>
    </cfRule>
    <cfRule type="containsText" dxfId="6186" priority="6619" operator="containsText" text="H">
      <formula>NOT(ISERROR(SEARCH("H",AE32)))</formula>
    </cfRule>
    <cfRule type="containsText" dxfId="6185" priority="6621" operator="containsText" text="&quot;H&quot;">
      <formula>NOT(ISERROR(SEARCH("""H""",AE32)))</formula>
    </cfRule>
    <cfRule type="containsText" dxfId="6184" priority="6622" operator="containsText" text="&quot;A&quot;">
      <formula>NOT(ISERROR(SEARCH("""A""",AE32)))</formula>
    </cfRule>
  </conditionalFormatting>
  <conditionalFormatting sqref="AE32">
    <cfRule type="containsText" dxfId="6183" priority="6620" operator="containsText" text="A-H">
      <formula>NOT(ISERROR(SEARCH("A-H",AE32)))</formula>
    </cfRule>
  </conditionalFormatting>
  <conditionalFormatting sqref="AK32:AL32">
    <cfRule type="cellIs" dxfId="6182" priority="6611" operator="equal">
      <formula>"C-Off-H"</formula>
    </cfRule>
    <cfRule type="cellIs" dxfId="6181" priority="6612" operator="equal">
      <formula>"C-Off"</formula>
    </cfRule>
    <cfRule type="cellIs" dxfId="6180" priority="6613" operator="equal">
      <formula>"CL-H"</formula>
    </cfRule>
    <cfRule type="cellIs" dxfId="6179" priority="6614" operator="equal">
      <formula>"EL-H"</formula>
    </cfRule>
    <cfRule type="cellIs" dxfId="6178" priority="6615" operator="equal">
      <formula>"CL"</formula>
    </cfRule>
    <cfRule type="cellIs" dxfId="6177" priority="6616" operator="equal">
      <formula>"EL"</formula>
    </cfRule>
  </conditionalFormatting>
  <conditionalFormatting sqref="AK32:AL32">
    <cfRule type="containsText" dxfId="6176" priority="6605" operator="containsText" text="S">
      <formula>NOT(ISERROR(SEARCH("S",AK32)))</formula>
    </cfRule>
    <cfRule type="containsText" dxfId="6175" priority="6606" operator="containsText" text="P">
      <formula>NOT(ISERROR(SEARCH("P",AK32)))</formula>
    </cfRule>
    <cfRule type="containsText" dxfId="6174" priority="6607" operator="containsText" text="H">
      <formula>NOT(ISERROR(SEARCH("H",AK32)))</formula>
    </cfRule>
    <cfRule type="containsText" dxfId="6173" priority="6609" operator="containsText" text="&quot;H&quot;">
      <formula>NOT(ISERROR(SEARCH("""H""",AK32)))</formula>
    </cfRule>
    <cfRule type="containsText" dxfId="6172" priority="6610" operator="containsText" text="&quot;A&quot;">
      <formula>NOT(ISERROR(SEARCH("""A""",AK32)))</formula>
    </cfRule>
  </conditionalFormatting>
  <conditionalFormatting sqref="AK32:AL32">
    <cfRule type="containsText" dxfId="6171" priority="6608" operator="containsText" text="A-H">
      <formula>NOT(ISERROR(SEARCH("A-H",AK32)))</formula>
    </cfRule>
  </conditionalFormatting>
  <conditionalFormatting sqref="AN32:AO32">
    <cfRule type="cellIs" dxfId="6170" priority="6599" operator="equal">
      <formula>"C-Off-H"</formula>
    </cfRule>
    <cfRule type="cellIs" dxfId="6169" priority="6600" operator="equal">
      <formula>"C-Off"</formula>
    </cfRule>
    <cfRule type="cellIs" dxfId="6168" priority="6601" operator="equal">
      <formula>"CL-H"</formula>
    </cfRule>
    <cfRule type="cellIs" dxfId="6167" priority="6602" operator="equal">
      <formula>"EL-H"</formula>
    </cfRule>
    <cfRule type="cellIs" dxfId="6166" priority="6603" operator="equal">
      <formula>"CL"</formula>
    </cfRule>
    <cfRule type="cellIs" dxfId="6165" priority="6604" operator="equal">
      <formula>"EL"</formula>
    </cfRule>
  </conditionalFormatting>
  <conditionalFormatting sqref="AN32:AO32">
    <cfRule type="containsText" dxfId="6164" priority="6593" operator="containsText" text="S">
      <formula>NOT(ISERROR(SEARCH("S",AN32)))</formula>
    </cfRule>
    <cfRule type="containsText" dxfId="6163" priority="6594" operator="containsText" text="P">
      <formula>NOT(ISERROR(SEARCH("P",AN32)))</formula>
    </cfRule>
    <cfRule type="containsText" dxfId="6162" priority="6595" operator="containsText" text="H">
      <formula>NOT(ISERROR(SEARCH("H",AN32)))</formula>
    </cfRule>
    <cfRule type="containsText" dxfId="6161" priority="6597" operator="containsText" text="&quot;H&quot;">
      <formula>NOT(ISERROR(SEARCH("""H""",AN32)))</formula>
    </cfRule>
    <cfRule type="containsText" dxfId="6160" priority="6598" operator="containsText" text="&quot;A&quot;">
      <formula>NOT(ISERROR(SEARCH("""A""",AN32)))</formula>
    </cfRule>
  </conditionalFormatting>
  <conditionalFormatting sqref="AN32:AO32">
    <cfRule type="containsText" dxfId="6159" priority="6596" operator="containsText" text="A-H">
      <formula>NOT(ISERROR(SEARCH("A-H",AN32)))</formula>
    </cfRule>
  </conditionalFormatting>
  <conditionalFormatting sqref="AQ32:AR32">
    <cfRule type="cellIs" dxfId="6158" priority="6587" operator="equal">
      <formula>"C-Off-H"</formula>
    </cfRule>
    <cfRule type="cellIs" dxfId="6157" priority="6588" operator="equal">
      <formula>"C-Off"</formula>
    </cfRule>
    <cfRule type="cellIs" dxfId="6156" priority="6589" operator="equal">
      <formula>"CL-H"</formula>
    </cfRule>
    <cfRule type="cellIs" dxfId="6155" priority="6590" operator="equal">
      <formula>"EL-H"</formula>
    </cfRule>
    <cfRule type="cellIs" dxfId="6154" priority="6591" operator="equal">
      <formula>"CL"</formula>
    </cfRule>
    <cfRule type="cellIs" dxfId="6153" priority="6592" operator="equal">
      <formula>"EL"</formula>
    </cfRule>
  </conditionalFormatting>
  <conditionalFormatting sqref="AQ32:AR32">
    <cfRule type="containsText" dxfId="6152" priority="6581" operator="containsText" text="S">
      <formula>NOT(ISERROR(SEARCH("S",AQ32)))</formula>
    </cfRule>
    <cfRule type="containsText" dxfId="6151" priority="6582" operator="containsText" text="P">
      <formula>NOT(ISERROR(SEARCH("P",AQ32)))</formula>
    </cfRule>
    <cfRule type="containsText" dxfId="6150" priority="6583" operator="containsText" text="H">
      <formula>NOT(ISERROR(SEARCH("H",AQ32)))</formula>
    </cfRule>
    <cfRule type="containsText" dxfId="6149" priority="6585" operator="containsText" text="&quot;H&quot;">
      <formula>NOT(ISERROR(SEARCH("""H""",AQ32)))</formula>
    </cfRule>
    <cfRule type="containsText" dxfId="6148" priority="6586" operator="containsText" text="&quot;A&quot;">
      <formula>NOT(ISERROR(SEARCH("""A""",AQ32)))</formula>
    </cfRule>
  </conditionalFormatting>
  <conditionalFormatting sqref="AQ32:AR32">
    <cfRule type="containsText" dxfId="6147" priority="6584" operator="containsText" text="A-H">
      <formula>NOT(ISERROR(SEARCH("A-H",AQ32)))</formula>
    </cfRule>
  </conditionalFormatting>
  <conditionalFormatting sqref="AW32:AX32">
    <cfRule type="cellIs" dxfId="6146" priority="6575" operator="equal">
      <formula>"C-Off-H"</formula>
    </cfRule>
    <cfRule type="cellIs" dxfId="6145" priority="6576" operator="equal">
      <formula>"C-Off"</formula>
    </cfRule>
    <cfRule type="cellIs" dxfId="6144" priority="6577" operator="equal">
      <formula>"CL-H"</formula>
    </cfRule>
    <cfRule type="cellIs" dxfId="6143" priority="6578" operator="equal">
      <formula>"EL-H"</formula>
    </cfRule>
    <cfRule type="cellIs" dxfId="6142" priority="6579" operator="equal">
      <formula>"CL"</formula>
    </cfRule>
    <cfRule type="cellIs" dxfId="6141" priority="6580" operator="equal">
      <formula>"EL"</formula>
    </cfRule>
  </conditionalFormatting>
  <conditionalFormatting sqref="AW32:AX32">
    <cfRule type="containsText" dxfId="6140" priority="6569" operator="containsText" text="S">
      <formula>NOT(ISERROR(SEARCH("S",AW32)))</formula>
    </cfRule>
    <cfRule type="containsText" dxfId="6139" priority="6570" operator="containsText" text="P">
      <formula>NOT(ISERROR(SEARCH("P",AW32)))</formula>
    </cfRule>
    <cfRule type="containsText" dxfId="6138" priority="6571" operator="containsText" text="H">
      <formula>NOT(ISERROR(SEARCH("H",AW32)))</formula>
    </cfRule>
    <cfRule type="containsText" dxfId="6137" priority="6573" operator="containsText" text="&quot;H&quot;">
      <formula>NOT(ISERROR(SEARCH("""H""",AW32)))</formula>
    </cfRule>
    <cfRule type="containsText" dxfId="6136" priority="6574" operator="containsText" text="&quot;A&quot;">
      <formula>NOT(ISERROR(SEARCH("""A""",AW32)))</formula>
    </cfRule>
  </conditionalFormatting>
  <conditionalFormatting sqref="AW32:AX32">
    <cfRule type="containsText" dxfId="6135" priority="6572" operator="containsText" text="A-H">
      <formula>NOT(ISERROR(SEARCH("A-H",AW32)))</formula>
    </cfRule>
  </conditionalFormatting>
  <conditionalFormatting sqref="AZ32:BA32">
    <cfRule type="cellIs" dxfId="6134" priority="6563" operator="equal">
      <formula>"C-Off-H"</formula>
    </cfRule>
    <cfRule type="cellIs" dxfId="6133" priority="6564" operator="equal">
      <formula>"C-Off"</formula>
    </cfRule>
    <cfRule type="cellIs" dxfId="6132" priority="6565" operator="equal">
      <formula>"CL-H"</formula>
    </cfRule>
    <cfRule type="cellIs" dxfId="6131" priority="6566" operator="equal">
      <formula>"EL-H"</formula>
    </cfRule>
    <cfRule type="cellIs" dxfId="6130" priority="6567" operator="equal">
      <formula>"CL"</formula>
    </cfRule>
    <cfRule type="cellIs" dxfId="6129" priority="6568" operator="equal">
      <formula>"EL"</formula>
    </cfRule>
  </conditionalFormatting>
  <conditionalFormatting sqref="AZ32:BA32">
    <cfRule type="containsText" dxfId="6128" priority="6557" operator="containsText" text="S">
      <formula>NOT(ISERROR(SEARCH("S",AZ32)))</formula>
    </cfRule>
    <cfRule type="containsText" dxfId="6127" priority="6558" operator="containsText" text="P">
      <formula>NOT(ISERROR(SEARCH("P",AZ32)))</formula>
    </cfRule>
    <cfRule type="containsText" dxfId="6126" priority="6559" operator="containsText" text="H">
      <formula>NOT(ISERROR(SEARCH("H",AZ32)))</formula>
    </cfRule>
    <cfRule type="containsText" dxfId="6125" priority="6561" operator="containsText" text="&quot;H&quot;">
      <formula>NOT(ISERROR(SEARCH("""H""",AZ32)))</formula>
    </cfRule>
    <cfRule type="containsText" dxfId="6124" priority="6562" operator="containsText" text="&quot;A&quot;">
      <formula>NOT(ISERROR(SEARCH("""A""",AZ32)))</formula>
    </cfRule>
  </conditionalFormatting>
  <conditionalFormatting sqref="AZ32:BA32">
    <cfRule type="containsText" dxfId="6123" priority="6560" operator="containsText" text="A-H">
      <formula>NOT(ISERROR(SEARCH("A-H",AZ32)))</formula>
    </cfRule>
  </conditionalFormatting>
  <conditionalFormatting sqref="BC32:BD32">
    <cfRule type="cellIs" dxfId="6122" priority="6551" operator="equal">
      <formula>"C-Off-H"</formula>
    </cfRule>
    <cfRule type="cellIs" dxfId="6121" priority="6552" operator="equal">
      <formula>"C-Off"</formula>
    </cfRule>
    <cfRule type="cellIs" dxfId="6120" priority="6553" operator="equal">
      <formula>"CL-H"</formula>
    </cfRule>
    <cfRule type="cellIs" dxfId="6119" priority="6554" operator="equal">
      <formula>"EL-H"</formula>
    </cfRule>
    <cfRule type="cellIs" dxfId="6118" priority="6555" operator="equal">
      <formula>"CL"</formula>
    </cfRule>
    <cfRule type="cellIs" dxfId="6117" priority="6556" operator="equal">
      <formula>"EL"</formula>
    </cfRule>
  </conditionalFormatting>
  <conditionalFormatting sqref="BC32:BD32">
    <cfRule type="containsText" dxfId="6116" priority="6545" operator="containsText" text="S">
      <formula>NOT(ISERROR(SEARCH("S",BC32)))</formula>
    </cfRule>
    <cfRule type="containsText" dxfId="6115" priority="6546" operator="containsText" text="P">
      <formula>NOT(ISERROR(SEARCH("P",BC32)))</formula>
    </cfRule>
    <cfRule type="containsText" dxfId="6114" priority="6547" operator="containsText" text="H">
      <formula>NOT(ISERROR(SEARCH("H",BC32)))</formula>
    </cfRule>
    <cfRule type="containsText" dxfId="6113" priority="6549" operator="containsText" text="&quot;H&quot;">
      <formula>NOT(ISERROR(SEARCH("""H""",BC32)))</formula>
    </cfRule>
    <cfRule type="containsText" dxfId="6112" priority="6550" operator="containsText" text="&quot;A&quot;">
      <formula>NOT(ISERROR(SEARCH("""A""",BC32)))</formula>
    </cfRule>
  </conditionalFormatting>
  <conditionalFormatting sqref="BC32:BD32">
    <cfRule type="containsText" dxfId="6111" priority="6548" operator="containsText" text="A-H">
      <formula>NOT(ISERROR(SEARCH("A-H",BC32)))</formula>
    </cfRule>
  </conditionalFormatting>
  <conditionalFormatting sqref="BF32:BG32">
    <cfRule type="cellIs" dxfId="6110" priority="6539" operator="equal">
      <formula>"C-Off-H"</formula>
    </cfRule>
    <cfRule type="cellIs" dxfId="6109" priority="6540" operator="equal">
      <formula>"C-Off"</formula>
    </cfRule>
    <cfRule type="cellIs" dxfId="6108" priority="6541" operator="equal">
      <formula>"CL-H"</formula>
    </cfRule>
    <cfRule type="cellIs" dxfId="6107" priority="6542" operator="equal">
      <formula>"EL-H"</formula>
    </cfRule>
    <cfRule type="cellIs" dxfId="6106" priority="6543" operator="equal">
      <formula>"CL"</formula>
    </cfRule>
    <cfRule type="cellIs" dxfId="6105" priority="6544" operator="equal">
      <formula>"EL"</formula>
    </cfRule>
  </conditionalFormatting>
  <conditionalFormatting sqref="BF32:BG32">
    <cfRule type="containsText" dxfId="6104" priority="6533" operator="containsText" text="S">
      <formula>NOT(ISERROR(SEARCH("S",BF32)))</formula>
    </cfRule>
    <cfRule type="containsText" dxfId="6103" priority="6534" operator="containsText" text="P">
      <formula>NOT(ISERROR(SEARCH("P",BF32)))</formula>
    </cfRule>
    <cfRule type="containsText" dxfId="6102" priority="6535" operator="containsText" text="H">
      <formula>NOT(ISERROR(SEARCH("H",BF32)))</formula>
    </cfRule>
    <cfRule type="containsText" dxfId="6101" priority="6537" operator="containsText" text="&quot;H&quot;">
      <formula>NOT(ISERROR(SEARCH("""H""",BF32)))</formula>
    </cfRule>
    <cfRule type="containsText" dxfId="6100" priority="6538" operator="containsText" text="&quot;A&quot;">
      <formula>NOT(ISERROR(SEARCH("""A""",BF32)))</formula>
    </cfRule>
  </conditionalFormatting>
  <conditionalFormatting sqref="BF32:BG32">
    <cfRule type="containsText" dxfId="6099" priority="6536" operator="containsText" text="A-H">
      <formula>NOT(ISERROR(SEARCH("A-H",BF32)))</formula>
    </cfRule>
  </conditionalFormatting>
  <conditionalFormatting sqref="BI32:BJ32">
    <cfRule type="cellIs" dxfId="6098" priority="6527" operator="equal">
      <formula>"C-Off-H"</formula>
    </cfRule>
    <cfRule type="cellIs" dxfId="6097" priority="6528" operator="equal">
      <formula>"C-Off"</formula>
    </cfRule>
    <cfRule type="cellIs" dxfId="6096" priority="6529" operator="equal">
      <formula>"CL-H"</formula>
    </cfRule>
    <cfRule type="cellIs" dxfId="6095" priority="6530" operator="equal">
      <formula>"EL-H"</formula>
    </cfRule>
    <cfRule type="cellIs" dxfId="6094" priority="6531" operator="equal">
      <formula>"CL"</formula>
    </cfRule>
    <cfRule type="cellIs" dxfId="6093" priority="6532" operator="equal">
      <formula>"EL"</formula>
    </cfRule>
  </conditionalFormatting>
  <conditionalFormatting sqref="BI32:BJ32">
    <cfRule type="containsText" dxfId="6092" priority="6521" operator="containsText" text="S">
      <formula>NOT(ISERROR(SEARCH("S",BI32)))</formula>
    </cfRule>
    <cfRule type="containsText" dxfId="6091" priority="6522" operator="containsText" text="P">
      <formula>NOT(ISERROR(SEARCH("P",BI32)))</formula>
    </cfRule>
    <cfRule type="containsText" dxfId="6090" priority="6523" operator="containsText" text="H">
      <formula>NOT(ISERROR(SEARCH("H",BI32)))</formula>
    </cfRule>
    <cfRule type="containsText" dxfId="6089" priority="6525" operator="containsText" text="&quot;H&quot;">
      <formula>NOT(ISERROR(SEARCH("""H""",BI32)))</formula>
    </cfRule>
    <cfRule type="containsText" dxfId="6088" priority="6526" operator="containsText" text="&quot;A&quot;">
      <formula>NOT(ISERROR(SEARCH("""A""",BI32)))</formula>
    </cfRule>
  </conditionalFormatting>
  <conditionalFormatting sqref="BI32:BJ32">
    <cfRule type="containsText" dxfId="6087" priority="6524" operator="containsText" text="A-H">
      <formula>NOT(ISERROR(SEARCH("A-H",BI32)))</formula>
    </cfRule>
  </conditionalFormatting>
  <conditionalFormatting sqref="BL32:BM32">
    <cfRule type="cellIs" dxfId="6086" priority="6515" operator="equal">
      <formula>"C-Off-H"</formula>
    </cfRule>
    <cfRule type="cellIs" dxfId="6085" priority="6516" operator="equal">
      <formula>"C-Off"</formula>
    </cfRule>
    <cfRule type="cellIs" dxfId="6084" priority="6517" operator="equal">
      <formula>"CL-H"</formula>
    </cfRule>
    <cfRule type="cellIs" dxfId="6083" priority="6518" operator="equal">
      <formula>"EL-H"</formula>
    </cfRule>
    <cfRule type="cellIs" dxfId="6082" priority="6519" operator="equal">
      <formula>"CL"</formula>
    </cfRule>
    <cfRule type="cellIs" dxfId="6081" priority="6520" operator="equal">
      <formula>"EL"</formula>
    </cfRule>
  </conditionalFormatting>
  <conditionalFormatting sqref="BL32:BM32">
    <cfRule type="containsText" dxfId="6080" priority="6509" operator="containsText" text="S">
      <formula>NOT(ISERROR(SEARCH("S",BL32)))</formula>
    </cfRule>
    <cfRule type="containsText" dxfId="6079" priority="6510" operator="containsText" text="P">
      <formula>NOT(ISERROR(SEARCH("P",BL32)))</formula>
    </cfRule>
    <cfRule type="containsText" dxfId="6078" priority="6511" operator="containsText" text="H">
      <formula>NOT(ISERROR(SEARCH("H",BL32)))</formula>
    </cfRule>
    <cfRule type="containsText" dxfId="6077" priority="6513" operator="containsText" text="&quot;H&quot;">
      <formula>NOT(ISERROR(SEARCH("""H""",BL32)))</formula>
    </cfRule>
    <cfRule type="containsText" dxfId="6076" priority="6514" operator="containsText" text="&quot;A&quot;">
      <formula>NOT(ISERROR(SEARCH("""A""",BL32)))</formula>
    </cfRule>
  </conditionalFormatting>
  <conditionalFormatting sqref="BL32:BM32">
    <cfRule type="containsText" dxfId="6075" priority="6512" operator="containsText" text="A-H">
      <formula>NOT(ISERROR(SEARCH("A-H",BL32)))</formula>
    </cfRule>
  </conditionalFormatting>
  <conditionalFormatting sqref="BR32:BS32">
    <cfRule type="cellIs" dxfId="6074" priority="6503" operator="equal">
      <formula>"C-Off-H"</formula>
    </cfRule>
    <cfRule type="cellIs" dxfId="6073" priority="6504" operator="equal">
      <formula>"C-Off"</formula>
    </cfRule>
    <cfRule type="cellIs" dxfId="6072" priority="6505" operator="equal">
      <formula>"CL-H"</formula>
    </cfRule>
    <cfRule type="cellIs" dxfId="6071" priority="6506" operator="equal">
      <formula>"EL-H"</formula>
    </cfRule>
    <cfRule type="cellIs" dxfId="6070" priority="6507" operator="equal">
      <formula>"CL"</formula>
    </cfRule>
    <cfRule type="cellIs" dxfId="6069" priority="6508" operator="equal">
      <formula>"EL"</formula>
    </cfRule>
  </conditionalFormatting>
  <conditionalFormatting sqref="BR32:BS32">
    <cfRule type="containsText" dxfId="6068" priority="6497" operator="containsText" text="S">
      <formula>NOT(ISERROR(SEARCH("S",BR32)))</formula>
    </cfRule>
    <cfRule type="containsText" dxfId="6067" priority="6498" operator="containsText" text="P">
      <formula>NOT(ISERROR(SEARCH("P",BR32)))</formula>
    </cfRule>
    <cfRule type="containsText" dxfId="6066" priority="6499" operator="containsText" text="H">
      <formula>NOT(ISERROR(SEARCH("H",BR32)))</formula>
    </cfRule>
    <cfRule type="containsText" dxfId="6065" priority="6501" operator="containsText" text="&quot;H&quot;">
      <formula>NOT(ISERROR(SEARCH("""H""",BR32)))</formula>
    </cfRule>
    <cfRule type="containsText" dxfId="6064" priority="6502" operator="containsText" text="&quot;A&quot;">
      <formula>NOT(ISERROR(SEARCH("""A""",BR32)))</formula>
    </cfRule>
  </conditionalFormatting>
  <conditionalFormatting sqref="BR32:BS32">
    <cfRule type="containsText" dxfId="6063" priority="6500" operator="containsText" text="A-H">
      <formula>NOT(ISERROR(SEARCH("A-H",BR32)))</formula>
    </cfRule>
  </conditionalFormatting>
  <conditionalFormatting sqref="BU32:BV32">
    <cfRule type="cellIs" dxfId="6062" priority="6491" operator="equal">
      <formula>"C-Off-H"</formula>
    </cfRule>
    <cfRule type="cellIs" dxfId="6061" priority="6492" operator="equal">
      <formula>"C-Off"</formula>
    </cfRule>
    <cfRule type="cellIs" dxfId="6060" priority="6493" operator="equal">
      <formula>"CL-H"</formula>
    </cfRule>
    <cfRule type="cellIs" dxfId="6059" priority="6494" operator="equal">
      <formula>"EL-H"</formula>
    </cfRule>
    <cfRule type="cellIs" dxfId="6058" priority="6495" operator="equal">
      <formula>"CL"</formula>
    </cfRule>
    <cfRule type="cellIs" dxfId="6057" priority="6496" operator="equal">
      <formula>"EL"</formula>
    </cfRule>
  </conditionalFormatting>
  <conditionalFormatting sqref="BU32:BV32">
    <cfRule type="containsText" dxfId="6056" priority="6485" operator="containsText" text="S">
      <formula>NOT(ISERROR(SEARCH("S",BU32)))</formula>
    </cfRule>
    <cfRule type="containsText" dxfId="6055" priority="6486" operator="containsText" text="P">
      <formula>NOT(ISERROR(SEARCH("P",BU32)))</formula>
    </cfRule>
    <cfRule type="containsText" dxfId="6054" priority="6487" operator="containsText" text="H">
      <formula>NOT(ISERROR(SEARCH("H",BU32)))</formula>
    </cfRule>
    <cfRule type="containsText" dxfId="6053" priority="6489" operator="containsText" text="&quot;H&quot;">
      <formula>NOT(ISERROR(SEARCH("""H""",BU32)))</formula>
    </cfRule>
    <cfRule type="containsText" dxfId="6052" priority="6490" operator="containsText" text="&quot;A&quot;">
      <formula>NOT(ISERROR(SEARCH("""A""",BU32)))</formula>
    </cfRule>
  </conditionalFormatting>
  <conditionalFormatting sqref="BU32:BV32">
    <cfRule type="containsText" dxfId="6051" priority="6488" operator="containsText" text="A-H">
      <formula>NOT(ISERROR(SEARCH("A-H",BU32)))</formula>
    </cfRule>
  </conditionalFormatting>
  <conditionalFormatting sqref="BY32">
    <cfRule type="cellIs" dxfId="6050" priority="6479" operator="equal">
      <formula>"C-Off-H"</formula>
    </cfRule>
    <cfRule type="cellIs" dxfId="6049" priority="6480" operator="equal">
      <formula>"C-Off"</formula>
    </cfRule>
    <cfRule type="cellIs" dxfId="6048" priority="6481" operator="equal">
      <formula>"CL-H"</formula>
    </cfRule>
    <cfRule type="cellIs" dxfId="6047" priority="6482" operator="equal">
      <formula>"EL-H"</formula>
    </cfRule>
    <cfRule type="cellIs" dxfId="6046" priority="6483" operator="equal">
      <formula>"CL"</formula>
    </cfRule>
    <cfRule type="cellIs" dxfId="6045" priority="6484" operator="equal">
      <formula>"EL"</formula>
    </cfRule>
  </conditionalFormatting>
  <conditionalFormatting sqref="BY32">
    <cfRule type="containsText" dxfId="6044" priority="6473" operator="containsText" text="S">
      <formula>NOT(ISERROR(SEARCH("S",BY32)))</formula>
    </cfRule>
    <cfRule type="containsText" dxfId="6043" priority="6474" operator="containsText" text="P">
      <formula>NOT(ISERROR(SEARCH("P",BY32)))</formula>
    </cfRule>
    <cfRule type="containsText" dxfId="6042" priority="6475" operator="containsText" text="H">
      <formula>NOT(ISERROR(SEARCH("H",BY32)))</formula>
    </cfRule>
    <cfRule type="containsText" dxfId="6041" priority="6477" operator="containsText" text="&quot;H&quot;">
      <formula>NOT(ISERROR(SEARCH("""H""",BY32)))</formula>
    </cfRule>
    <cfRule type="containsText" dxfId="6040" priority="6478" operator="containsText" text="&quot;A&quot;">
      <formula>NOT(ISERROR(SEARCH("""A""",BY32)))</formula>
    </cfRule>
  </conditionalFormatting>
  <conditionalFormatting sqref="BY32">
    <cfRule type="containsText" dxfId="6039" priority="6476" operator="containsText" text="A-H">
      <formula>NOT(ISERROR(SEARCH("A-H",BY32)))</formula>
    </cfRule>
  </conditionalFormatting>
  <conditionalFormatting sqref="BX32">
    <cfRule type="cellIs" dxfId="6038" priority="6467" operator="equal">
      <formula>"C-Off-H"</formula>
    </cfRule>
    <cfRule type="cellIs" dxfId="6037" priority="6468" operator="equal">
      <formula>"C-Off"</formula>
    </cfRule>
    <cfRule type="cellIs" dxfId="6036" priority="6469" operator="equal">
      <formula>"CL-H"</formula>
    </cfRule>
    <cfRule type="cellIs" dxfId="6035" priority="6470" operator="equal">
      <formula>"EL-H"</formula>
    </cfRule>
    <cfRule type="cellIs" dxfId="6034" priority="6471" operator="equal">
      <formula>"CL"</formula>
    </cfRule>
    <cfRule type="cellIs" dxfId="6033" priority="6472" operator="equal">
      <formula>"EL"</formula>
    </cfRule>
  </conditionalFormatting>
  <conditionalFormatting sqref="BX32">
    <cfRule type="containsText" dxfId="6032" priority="6461" operator="containsText" text="S">
      <formula>NOT(ISERROR(SEARCH("S",BX32)))</formula>
    </cfRule>
    <cfRule type="containsText" dxfId="6031" priority="6462" operator="containsText" text="P">
      <formula>NOT(ISERROR(SEARCH("P",BX32)))</formula>
    </cfRule>
    <cfRule type="containsText" dxfId="6030" priority="6463" operator="containsText" text="H">
      <formula>NOT(ISERROR(SEARCH("H",BX32)))</formula>
    </cfRule>
    <cfRule type="containsText" dxfId="6029" priority="6465" operator="containsText" text="&quot;H&quot;">
      <formula>NOT(ISERROR(SEARCH("""H""",BX32)))</formula>
    </cfRule>
    <cfRule type="containsText" dxfId="6028" priority="6466" operator="containsText" text="&quot;A&quot;">
      <formula>NOT(ISERROR(SEARCH("""A""",BX32)))</formula>
    </cfRule>
  </conditionalFormatting>
  <conditionalFormatting sqref="BX32">
    <cfRule type="containsText" dxfId="6027" priority="6464" operator="containsText" text="A-H">
      <formula>NOT(ISERROR(SEARCH("A-H",BX32)))</formula>
    </cfRule>
  </conditionalFormatting>
  <conditionalFormatting sqref="J32">
    <cfRule type="cellIs" dxfId="6026" priority="6455" operator="equal">
      <formula>"C-Off-H"</formula>
    </cfRule>
    <cfRule type="cellIs" dxfId="6025" priority="6456" operator="equal">
      <formula>"C-Off"</formula>
    </cfRule>
    <cfRule type="cellIs" dxfId="6024" priority="6457" operator="equal">
      <formula>"CL-H"</formula>
    </cfRule>
    <cfRule type="cellIs" dxfId="6023" priority="6458" operator="equal">
      <formula>"EL-H"</formula>
    </cfRule>
    <cfRule type="cellIs" dxfId="6022" priority="6459" operator="equal">
      <formula>"CL"</formula>
    </cfRule>
    <cfRule type="cellIs" dxfId="6021" priority="6460" operator="equal">
      <formula>"EL"</formula>
    </cfRule>
  </conditionalFormatting>
  <conditionalFormatting sqref="J32">
    <cfRule type="containsText" dxfId="6020" priority="6449" operator="containsText" text="S">
      <formula>NOT(ISERROR(SEARCH("S",J32)))</formula>
    </cfRule>
    <cfRule type="containsText" dxfId="6019" priority="6450" operator="containsText" text="P">
      <formula>NOT(ISERROR(SEARCH("P",J32)))</formula>
    </cfRule>
    <cfRule type="containsText" dxfId="6018" priority="6451" operator="containsText" text="H">
      <formula>NOT(ISERROR(SEARCH("H",J32)))</formula>
    </cfRule>
    <cfRule type="containsText" dxfId="6017" priority="6453" operator="containsText" text="&quot;H&quot;">
      <formula>NOT(ISERROR(SEARCH("""H""",J32)))</formula>
    </cfRule>
    <cfRule type="containsText" dxfId="6016" priority="6454" operator="containsText" text="&quot;A&quot;">
      <formula>NOT(ISERROR(SEARCH("""A""",J32)))</formula>
    </cfRule>
  </conditionalFormatting>
  <conditionalFormatting sqref="J32">
    <cfRule type="containsText" dxfId="6015" priority="6452" operator="containsText" text="A-H">
      <formula>NOT(ISERROR(SEARCH("A-H",J32)))</formula>
    </cfRule>
  </conditionalFormatting>
  <conditionalFormatting sqref="CN34">
    <cfRule type="cellIs" dxfId="6014" priority="6443" operator="equal">
      <formula>"C-Off-H"</formula>
    </cfRule>
    <cfRule type="cellIs" dxfId="6013" priority="6444" operator="equal">
      <formula>"C-Off"</formula>
    </cfRule>
    <cfRule type="cellIs" dxfId="6012" priority="6445" operator="equal">
      <formula>"CL-H"</formula>
    </cfRule>
    <cfRule type="cellIs" dxfId="6011" priority="6446" operator="equal">
      <formula>"EL-H"</formula>
    </cfRule>
    <cfRule type="cellIs" dxfId="6010" priority="6447" operator="equal">
      <formula>"CL"</formula>
    </cfRule>
    <cfRule type="cellIs" dxfId="6009" priority="6448" operator="equal">
      <formula>"EL"</formula>
    </cfRule>
  </conditionalFormatting>
  <conditionalFormatting sqref="CN34">
    <cfRule type="containsText" dxfId="6008" priority="6442" operator="containsText" text="A-H">
      <formula>NOT(ISERROR(SEARCH("A-H",CN34)))</formula>
    </cfRule>
  </conditionalFormatting>
  <conditionalFormatting sqref="CN34">
    <cfRule type="containsText" dxfId="6007" priority="6441" operator="containsText" text="A">
      <formula>NOT(ISERROR(SEARCH("A",CN34)))</formula>
    </cfRule>
  </conditionalFormatting>
  <conditionalFormatting sqref="CN34">
    <cfRule type="containsText" dxfId="6006" priority="6436" operator="containsText" text="S">
      <formula>NOT(ISERROR(SEARCH("S",CN34)))</formula>
    </cfRule>
    <cfRule type="containsText" dxfId="6005" priority="6437" operator="containsText" text="P">
      <formula>NOT(ISERROR(SEARCH("P",CN34)))</formula>
    </cfRule>
    <cfRule type="containsText" dxfId="6004" priority="6438" operator="containsText" text="H">
      <formula>NOT(ISERROR(SEARCH("H",CN34)))</formula>
    </cfRule>
    <cfRule type="containsText" dxfId="6003" priority="6439" operator="containsText" text="&quot;H&quot;">
      <formula>NOT(ISERROR(SEARCH("""H""",CN34)))</formula>
    </cfRule>
    <cfRule type="containsText" dxfId="6002" priority="6440" operator="containsText" text="&quot;A&quot;">
      <formula>NOT(ISERROR(SEARCH("""A""",CN34)))</formula>
    </cfRule>
  </conditionalFormatting>
  <conditionalFormatting sqref="CA33:CB33">
    <cfRule type="cellIs" dxfId="6001" priority="6430" operator="equal">
      <formula>"C-Off-H"</formula>
    </cfRule>
    <cfRule type="cellIs" dxfId="6000" priority="6431" operator="equal">
      <formula>"C-Off"</formula>
    </cfRule>
    <cfRule type="cellIs" dxfId="5999" priority="6432" operator="equal">
      <formula>"CL-H"</formula>
    </cfRule>
    <cfRule type="cellIs" dxfId="5998" priority="6433" operator="equal">
      <formula>"EL-H"</formula>
    </cfRule>
    <cfRule type="cellIs" dxfId="5997" priority="6434" operator="equal">
      <formula>"CL"</formula>
    </cfRule>
    <cfRule type="cellIs" dxfId="5996" priority="6435" operator="equal">
      <formula>"EL"</formula>
    </cfRule>
  </conditionalFormatting>
  <conditionalFormatting sqref="CA33:CB33">
    <cfRule type="containsText" dxfId="5995" priority="6424" operator="containsText" text="S">
      <formula>NOT(ISERROR(SEARCH("S",CA33)))</formula>
    </cfRule>
    <cfRule type="containsText" dxfId="5994" priority="6425" operator="containsText" text="P">
      <formula>NOT(ISERROR(SEARCH("P",CA33)))</formula>
    </cfRule>
    <cfRule type="containsText" dxfId="5993" priority="6426" operator="containsText" text="H">
      <formula>NOT(ISERROR(SEARCH("H",CA33)))</formula>
    </cfRule>
    <cfRule type="containsText" dxfId="5992" priority="6428" operator="containsText" text="&quot;H&quot;">
      <formula>NOT(ISERROR(SEARCH("""H""",CA33)))</formula>
    </cfRule>
    <cfRule type="containsText" dxfId="5991" priority="6429" operator="containsText" text="&quot;A&quot;">
      <formula>NOT(ISERROR(SEARCH("""A""",CA33)))</formula>
    </cfRule>
  </conditionalFormatting>
  <conditionalFormatting sqref="CA33:CB33">
    <cfRule type="containsText" dxfId="5990" priority="6427" operator="containsText" text="A-H">
      <formula>NOT(ISERROR(SEARCH("A-H",CA33)))</formula>
    </cfRule>
  </conditionalFormatting>
  <conditionalFormatting sqref="CD33:CE33">
    <cfRule type="cellIs" dxfId="5989" priority="6418" operator="equal">
      <formula>"C-Off-H"</formula>
    </cfRule>
    <cfRule type="cellIs" dxfId="5988" priority="6419" operator="equal">
      <formula>"C-Off"</formula>
    </cfRule>
    <cfRule type="cellIs" dxfId="5987" priority="6420" operator="equal">
      <formula>"CL-H"</formula>
    </cfRule>
    <cfRule type="cellIs" dxfId="5986" priority="6421" operator="equal">
      <formula>"EL-H"</formula>
    </cfRule>
    <cfRule type="cellIs" dxfId="5985" priority="6422" operator="equal">
      <formula>"CL"</formula>
    </cfRule>
    <cfRule type="cellIs" dxfId="5984" priority="6423" operator="equal">
      <formula>"EL"</formula>
    </cfRule>
  </conditionalFormatting>
  <conditionalFormatting sqref="CD33:CE33">
    <cfRule type="containsText" dxfId="5983" priority="6412" operator="containsText" text="S">
      <formula>NOT(ISERROR(SEARCH("S",CD33)))</formula>
    </cfRule>
    <cfRule type="containsText" dxfId="5982" priority="6413" operator="containsText" text="P">
      <formula>NOT(ISERROR(SEARCH("P",CD33)))</formula>
    </cfRule>
    <cfRule type="containsText" dxfId="5981" priority="6414" operator="containsText" text="H">
      <formula>NOT(ISERROR(SEARCH("H",CD33)))</formula>
    </cfRule>
    <cfRule type="containsText" dxfId="5980" priority="6416" operator="containsText" text="&quot;H&quot;">
      <formula>NOT(ISERROR(SEARCH("""H""",CD33)))</formula>
    </cfRule>
    <cfRule type="containsText" dxfId="5979" priority="6417" operator="containsText" text="&quot;A&quot;">
      <formula>NOT(ISERROR(SEARCH("""A""",CD33)))</formula>
    </cfRule>
  </conditionalFormatting>
  <conditionalFormatting sqref="CD33:CE33">
    <cfRule type="containsText" dxfId="5978" priority="6415" operator="containsText" text="A-H">
      <formula>NOT(ISERROR(SEARCH("A-H",CD33)))</formula>
    </cfRule>
  </conditionalFormatting>
  <conditionalFormatting sqref="CH33">
    <cfRule type="cellIs" dxfId="5977" priority="6406" operator="equal">
      <formula>"C-Off-H"</formula>
    </cfRule>
    <cfRule type="cellIs" dxfId="5976" priority="6407" operator="equal">
      <formula>"C-Off"</formula>
    </cfRule>
    <cfRule type="cellIs" dxfId="5975" priority="6408" operator="equal">
      <formula>"CL-H"</formula>
    </cfRule>
    <cfRule type="cellIs" dxfId="5974" priority="6409" operator="equal">
      <formula>"EL-H"</formula>
    </cfRule>
    <cfRule type="cellIs" dxfId="5973" priority="6410" operator="equal">
      <formula>"CL"</formula>
    </cfRule>
    <cfRule type="cellIs" dxfId="5972" priority="6411" operator="equal">
      <formula>"EL"</formula>
    </cfRule>
  </conditionalFormatting>
  <conditionalFormatting sqref="CH33">
    <cfRule type="containsText" dxfId="5971" priority="6400" operator="containsText" text="S">
      <formula>NOT(ISERROR(SEARCH("S",CH33)))</formula>
    </cfRule>
    <cfRule type="containsText" dxfId="5970" priority="6401" operator="containsText" text="P">
      <formula>NOT(ISERROR(SEARCH("P",CH33)))</formula>
    </cfRule>
    <cfRule type="containsText" dxfId="5969" priority="6402" operator="containsText" text="H">
      <formula>NOT(ISERROR(SEARCH("H",CH33)))</formula>
    </cfRule>
    <cfRule type="containsText" dxfId="5968" priority="6404" operator="containsText" text="&quot;H&quot;">
      <formula>NOT(ISERROR(SEARCH("""H""",CH33)))</formula>
    </cfRule>
    <cfRule type="containsText" dxfId="5967" priority="6405" operator="containsText" text="&quot;A&quot;">
      <formula>NOT(ISERROR(SEARCH("""A""",CH33)))</formula>
    </cfRule>
  </conditionalFormatting>
  <conditionalFormatting sqref="CH33">
    <cfRule type="containsText" dxfId="5966" priority="6403" operator="containsText" text="A-H">
      <formula>NOT(ISERROR(SEARCH("A-H",CH33)))</formula>
    </cfRule>
  </conditionalFormatting>
  <conditionalFormatting sqref="CG33">
    <cfRule type="cellIs" dxfId="5965" priority="6394" operator="equal">
      <formula>"C-Off-H"</formula>
    </cfRule>
    <cfRule type="cellIs" dxfId="5964" priority="6395" operator="equal">
      <formula>"C-Off"</formula>
    </cfRule>
    <cfRule type="cellIs" dxfId="5963" priority="6396" operator="equal">
      <formula>"CL-H"</formula>
    </cfRule>
    <cfRule type="cellIs" dxfId="5962" priority="6397" operator="equal">
      <formula>"EL-H"</formula>
    </cfRule>
    <cfRule type="cellIs" dxfId="5961" priority="6398" operator="equal">
      <formula>"CL"</formula>
    </cfRule>
    <cfRule type="cellIs" dxfId="5960" priority="6399" operator="equal">
      <formula>"EL"</formula>
    </cfRule>
  </conditionalFormatting>
  <conditionalFormatting sqref="CG33">
    <cfRule type="containsText" dxfId="5959" priority="6388" operator="containsText" text="S">
      <formula>NOT(ISERROR(SEARCH("S",CG33)))</formula>
    </cfRule>
    <cfRule type="containsText" dxfId="5958" priority="6389" operator="containsText" text="P">
      <formula>NOT(ISERROR(SEARCH("P",CG33)))</formula>
    </cfRule>
    <cfRule type="containsText" dxfId="5957" priority="6390" operator="containsText" text="H">
      <formula>NOT(ISERROR(SEARCH("H",CG33)))</formula>
    </cfRule>
    <cfRule type="containsText" dxfId="5956" priority="6392" operator="containsText" text="&quot;H&quot;">
      <formula>NOT(ISERROR(SEARCH("""H""",CG33)))</formula>
    </cfRule>
    <cfRule type="containsText" dxfId="5955" priority="6393" operator="containsText" text="&quot;A&quot;">
      <formula>NOT(ISERROR(SEARCH("""A""",CG33)))</formula>
    </cfRule>
  </conditionalFormatting>
  <conditionalFormatting sqref="CG33">
    <cfRule type="containsText" dxfId="5954" priority="6391" operator="containsText" text="A-H">
      <formula>NOT(ISERROR(SEARCH("A-H",CG33)))</formula>
    </cfRule>
  </conditionalFormatting>
  <conditionalFormatting sqref="CA34:CB34">
    <cfRule type="cellIs" dxfId="5953" priority="6382" operator="equal">
      <formula>"C-Off-H"</formula>
    </cfRule>
    <cfRule type="cellIs" dxfId="5952" priority="6383" operator="equal">
      <formula>"C-Off"</formula>
    </cfRule>
    <cfRule type="cellIs" dxfId="5951" priority="6384" operator="equal">
      <formula>"CL-H"</formula>
    </cfRule>
    <cfRule type="cellIs" dxfId="5950" priority="6385" operator="equal">
      <formula>"EL-H"</formula>
    </cfRule>
    <cfRule type="cellIs" dxfId="5949" priority="6386" operator="equal">
      <formula>"CL"</formula>
    </cfRule>
    <cfRule type="cellIs" dxfId="5948" priority="6387" operator="equal">
      <formula>"EL"</formula>
    </cfRule>
  </conditionalFormatting>
  <conditionalFormatting sqref="CA34:CB34">
    <cfRule type="containsText" dxfId="5947" priority="6376" operator="containsText" text="S">
      <formula>NOT(ISERROR(SEARCH("S",CA34)))</formula>
    </cfRule>
    <cfRule type="containsText" dxfId="5946" priority="6377" operator="containsText" text="P">
      <formula>NOT(ISERROR(SEARCH("P",CA34)))</formula>
    </cfRule>
    <cfRule type="containsText" dxfId="5945" priority="6378" operator="containsText" text="H">
      <formula>NOT(ISERROR(SEARCH("H",CA34)))</formula>
    </cfRule>
    <cfRule type="containsText" dxfId="5944" priority="6380" operator="containsText" text="&quot;H&quot;">
      <formula>NOT(ISERROR(SEARCH("""H""",CA34)))</formula>
    </cfRule>
    <cfRule type="containsText" dxfId="5943" priority="6381" operator="containsText" text="&quot;A&quot;">
      <formula>NOT(ISERROR(SEARCH("""A""",CA34)))</formula>
    </cfRule>
  </conditionalFormatting>
  <conditionalFormatting sqref="CA34:CB34">
    <cfRule type="containsText" dxfId="5942" priority="6379" operator="containsText" text="A-H">
      <formula>NOT(ISERROR(SEARCH("A-H",CA34)))</formula>
    </cfRule>
  </conditionalFormatting>
  <conditionalFormatting sqref="CD34:CE34">
    <cfRule type="cellIs" dxfId="5941" priority="6370" operator="equal">
      <formula>"C-Off-H"</formula>
    </cfRule>
    <cfRule type="cellIs" dxfId="5940" priority="6371" operator="equal">
      <formula>"C-Off"</formula>
    </cfRule>
    <cfRule type="cellIs" dxfId="5939" priority="6372" operator="equal">
      <formula>"CL-H"</formula>
    </cfRule>
    <cfRule type="cellIs" dxfId="5938" priority="6373" operator="equal">
      <formula>"EL-H"</formula>
    </cfRule>
    <cfRule type="cellIs" dxfId="5937" priority="6374" operator="equal">
      <formula>"CL"</formula>
    </cfRule>
    <cfRule type="cellIs" dxfId="5936" priority="6375" operator="equal">
      <formula>"EL"</formula>
    </cfRule>
  </conditionalFormatting>
  <conditionalFormatting sqref="CD34:CE34">
    <cfRule type="containsText" dxfId="5935" priority="6364" operator="containsText" text="S">
      <formula>NOT(ISERROR(SEARCH("S",CD34)))</formula>
    </cfRule>
    <cfRule type="containsText" dxfId="5934" priority="6365" operator="containsText" text="P">
      <formula>NOT(ISERROR(SEARCH("P",CD34)))</formula>
    </cfRule>
    <cfRule type="containsText" dxfId="5933" priority="6366" operator="containsText" text="H">
      <formula>NOT(ISERROR(SEARCH("H",CD34)))</formula>
    </cfRule>
    <cfRule type="containsText" dxfId="5932" priority="6368" operator="containsText" text="&quot;H&quot;">
      <formula>NOT(ISERROR(SEARCH("""H""",CD34)))</formula>
    </cfRule>
    <cfRule type="containsText" dxfId="5931" priority="6369" operator="containsText" text="&quot;A&quot;">
      <formula>NOT(ISERROR(SEARCH("""A""",CD34)))</formula>
    </cfRule>
  </conditionalFormatting>
  <conditionalFormatting sqref="CD34:CE34">
    <cfRule type="containsText" dxfId="5930" priority="6367" operator="containsText" text="A-H">
      <formula>NOT(ISERROR(SEARCH("A-H",CD34)))</formula>
    </cfRule>
  </conditionalFormatting>
  <conditionalFormatting sqref="CH34">
    <cfRule type="cellIs" dxfId="5929" priority="6358" operator="equal">
      <formula>"C-Off-H"</formula>
    </cfRule>
    <cfRule type="cellIs" dxfId="5928" priority="6359" operator="equal">
      <formula>"C-Off"</formula>
    </cfRule>
    <cfRule type="cellIs" dxfId="5927" priority="6360" operator="equal">
      <formula>"CL-H"</formula>
    </cfRule>
    <cfRule type="cellIs" dxfId="5926" priority="6361" operator="equal">
      <formula>"EL-H"</formula>
    </cfRule>
    <cfRule type="cellIs" dxfId="5925" priority="6362" operator="equal">
      <formula>"CL"</formula>
    </cfRule>
    <cfRule type="cellIs" dxfId="5924" priority="6363" operator="equal">
      <formula>"EL"</formula>
    </cfRule>
  </conditionalFormatting>
  <conditionalFormatting sqref="CH34">
    <cfRule type="containsText" dxfId="5923" priority="6352" operator="containsText" text="S">
      <formula>NOT(ISERROR(SEARCH("S",CH34)))</formula>
    </cfRule>
    <cfRule type="containsText" dxfId="5922" priority="6353" operator="containsText" text="P">
      <formula>NOT(ISERROR(SEARCH("P",CH34)))</formula>
    </cfRule>
    <cfRule type="containsText" dxfId="5921" priority="6354" operator="containsText" text="H">
      <formula>NOT(ISERROR(SEARCH("H",CH34)))</formula>
    </cfRule>
    <cfRule type="containsText" dxfId="5920" priority="6356" operator="containsText" text="&quot;H&quot;">
      <formula>NOT(ISERROR(SEARCH("""H""",CH34)))</formula>
    </cfRule>
    <cfRule type="containsText" dxfId="5919" priority="6357" operator="containsText" text="&quot;A&quot;">
      <formula>NOT(ISERROR(SEARCH("""A""",CH34)))</formula>
    </cfRule>
  </conditionalFormatting>
  <conditionalFormatting sqref="CH34">
    <cfRule type="containsText" dxfId="5918" priority="6355" operator="containsText" text="A-H">
      <formula>NOT(ISERROR(SEARCH("A-H",CH34)))</formula>
    </cfRule>
  </conditionalFormatting>
  <conditionalFormatting sqref="CG34">
    <cfRule type="cellIs" dxfId="5917" priority="6346" operator="equal">
      <formula>"C-Off-H"</formula>
    </cfRule>
    <cfRule type="cellIs" dxfId="5916" priority="6347" operator="equal">
      <formula>"C-Off"</formula>
    </cfRule>
    <cfRule type="cellIs" dxfId="5915" priority="6348" operator="equal">
      <formula>"CL-H"</formula>
    </cfRule>
    <cfRule type="cellIs" dxfId="5914" priority="6349" operator="equal">
      <formula>"EL-H"</formula>
    </cfRule>
    <cfRule type="cellIs" dxfId="5913" priority="6350" operator="equal">
      <formula>"CL"</formula>
    </cfRule>
    <cfRule type="cellIs" dxfId="5912" priority="6351" operator="equal">
      <formula>"EL"</formula>
    </cfRule>
  </conditionalFormatting>
  <conditionalFormatting sqref="CG34">
    <cfRule type="containsText" dxfId="5911" priority="6340" operator="containsText" text="S">
      <formula>NOT(ISERROR(SEARCH("S",CG34)))</formula>
    </cfRule>
    <cfRule type="containsText" dxfId="5910" priority="6341" operator="containsText" text="P">
      <formula>NOT(ISERROR(SEARCH("P",CG34)))</formula>
    </cfRule>
    <cfRule type="containsText" dxfId="5909" priority="6342" operator="containsText" text="H">
      <formula>NOT(ISERROR(SEARCH("H",CG34)))</formula>
    </cfRule>
    <cfRule type="containsText" dxfId="5908" priority="6344" operator="containsText" text="&quot;H&quot;">
      <formula>NOT(ISERROR(SEARCH("""H""",CG34)))</formula>
    </cfRule>
    <cfRule type="containsText" dxfId="5907" priority="6345" operator="containsText" text="&quot;A&quot;">
      <formula>NOT(ISERROR(SEARCH("""A""",CG34)))</formula>
    </cfRule>
  </conditionalFormatting>
  <conditionalFormatting sqref="CG34">
    <cfRule type="containsText" dxfId="5906" priority="6343" operator="containsText" text="A-H">
      <formula>NOT(ISERROR(SEARCH("A-H",CG34)))</formula>
    </cfRule>
  </conditionalFormatting>
  <conditionalFormatting sqref="CA32:CB32">
    <cfRule type="cellIs" dxfId="5905" priority="6334" operator="equal">
      <formula>"C-Off-H"</formula>
    </cfRule>
    <cfRule type="cellIs" dxfId="5904" priority="6335" operator="equal">
      <formula>"C-Off"</formula>
    </cfRule>
    <cfRule type="cellIs" dxfId="5903" priority="6336" operator="equal">
      <formula>"CL-H"</formula>
    </cfRule>
    <cfRule type="cellIs" dxfId="5902" priority="6337" operator="equal">
      <formula>"EL-H"</formula>
    </cfRule>
    <cfRule type="cellIs" dxfId="5901" priority="6338" operator="equal">
      <formula>"CL"</formula>
    </cfRule>
    <cfRule type="cellIs" dxfId="5900" priority="6339" operator="equal">
      <formula>"EL"</formula>
    </cfRule>
  </conditionalFormatting>
  <conditionalFormatting sqref="CA32:CB32">
    <cfRule type="containsText" dxfId="5899" priority="6328" operator="containsText" text="S">
      <formula>NOT(ISERROR(SEARCH("S",CA32)))</formula>
    </cfRule>
    <cfRule type="containsText" dxfId="5898" priority="6329" operator="containsText" text="P">
      <formula>NOT(ISERROR(SEARCH("P",CA32)))</formula>
    </cfRule>
    <cfRule type="containsText" dxfId="5897" priority="6330" operator="containsText" text="H">
      <formula>NOT(ISERROR(SEARCH("H",CA32)))</formula>
    </cfRule>
    <cfRule type="containsText" dxfId="5896" priority="6332" operator="containsText" text="&quot;H&quot;">
      <formula>NOT(ISERROR(SEARCH("""H""",CA32)))</formula>
    </cfRule>
    <cfRule type="containsText" dxfId="5895" priority="6333" operator="containsText" text="&quot;A&quot;">
      <formula>NOT(ISERROR(SEARCH("""A""",CA32)))</formula>
    </cfRule>
  </conditionalFormatting>
  <conditionalFormatting sqref="CA32:CB32">
    <cfRule type="containsText" dxfId="5894" priority="6331" operator="containsText" text="A-H">
      <formula>NOT(ISERROR(SEARCH("A-H",CA32)))</formula>
    </cfRule>
  </conditionalFormatting>
  <conditionalFormatting sqref="CD32:CE32">
    <cfRule type="cellIs" dxfId="5893" priority="6322" operator="equal">
      <formula>"C-Off-H"</formula>
    </cfRule>
    <cfRule type="cellIs" dxfId="5892" priority="6323" operator="equal">
      <formula>"C-Off"</formula>
    </cfRule>
    <cfRule type="cellIs" dxfId="5891" priority="6324" operator="equal">
      <formula>"CL-H"</formula>
    </cfRule>
    <cfRule type="cellIs" dxfId="5890" priority="6325" operator="equal">
      <formula>"EL-H"</formula>
    </cfRule>
    <cfRule type="cellIs" dxfId="5889" priority="6326" operator="equal">
      <formula>"CL"</formula>
    </cfRule>
    <cfRule type="cellIs" dxfId="5888" priority="6327" operator="equal">
      <formula>"EL"</formula>
    </cfRule>
  </conditionalFormatting>
  <conditionalFormatting sqref="CD32:CE32">
    <cfRule type="containsText" dxfId="5887" priority="6316" operator="containsText" text="S">
      <formula>NOT(ISERROR(SEARCH("S",CD32)))</formula>
    </cfRule>
    <cfRule type="containsText" dxfId="5886" priority="6317" operator="containsText" text="P">
      <formula>NOT(ISERROR(SEARCH("P",CD32)))</formula>
    </cfRule>
    <cfRule type="containsText" dxfId="5885" priority="6318" operator="containsText" text="H">
      <formula>NOT(ISERROR(SEARCH("H",CD32)))</formula>
    </cfRule>
    <cfRule type="containsText" dxfId="5884" priority="6320" operator="containsText" text="&quot;H&quot;">
      <formula>NOT(ISERROR(SEARCH("""H""",CD32)))</formula>
    </cfRule>
    <cfRule type="containsText" dxfId="5883" priority="6321" operator="containsText" text="&quot;A&quot;">
      <formula>NOT(ISERROR(SEARCH("""A""",CD32)))</formula>
    </cfRule>
  </conditionalFormatting>
  <conditionalFormatting sqref="CD32:CE32">
    <cfRule type="containsText" dxfId="5882" priority="6319" operator="containsText" text="A-H">
      <formula>NOT(ISERROR(SEARCH("A-H",CD32)))</formula>
    </cfRule>
  </conditionalFormatting>
  <conditionalFormatting sqref="CH32">
    <cfRule type="cellIs" dxfId="5881" priority="6310" operator="equal">
      <formula>"C-Off-H"</formula>
    </cfRule>
    <cfRule type="cellIs" dxfId="5880" priority="6311" operator="equal">
      <formula>"C-Off"</formula>
    </cfRule>
    <cfRule type="cellIs" dxfId="5879" priority="6312" operator="equal">
      <formula>"CL-H"</formula>
    </cfRule>
    <cfRule type="cellIs" dxfId="5878" priority="6313" operator="equal">
      <formula>"EL-H"</formula>
    </cfRule>
    <cfRule type="cellIs" dxfId="5877" priority="6314" operator="equal">
      <formula>"CL"</formula>
    </cfRule>
    <cfRule type="cellIs" dxfId="5876" priority="6315" operator="equal">
      <formula>"EL"</formula>
    </cfRule>
  </conditionalFormatting>
  <conditionalFormatting sqref="CH32">
    <cfRule type="containsText" dxfId="5875" priority="6304" operator="containsText" text="S">
      <formula>NOT(ISERROR(SEARCH("S",CH32)))</formula>
    </cfRule>
    <cfRule type="containsText" dxfId="5874" priority="6305" operator="containsText" text="P">
      <formula>NOT(ISERROR(SEARCH("P",CH32)))</formula>
    </cfRule>
    <cfRule type="containsText" dxfId="5873" priority="6306" operator="containsText" text="H">
      <formula>NOT(ISERROR(SEARCH("H",CH32)))</formula>
    </cfRule>
    <cfRule type="containsText" dxfId="5872" priority="6308" operator="containsText" text="&quot;H&quot;">
      <formula>NOT(ISERROR(SEARCH("""H""",CH32)))</formula>
    </cfRule>
    <cfRule type="containsText" dxfId="5871" priority="6309" operator="containsText" text="&quot;A&quot;">
      <formula>NOT(ISERROR(SEARCH("""A""",CH32)))</formula>
    </cfRule>
  </conditionalFormatting>
  <conditionalFormatting sqref="CH32">
    <cfRule type="containsText" dxfId="5870" priority="6307" operator="containsText" text="A-H">
      <formula>NOT(ISERROR(SEARCH("A-H",CH32)))</formula>
    </cfRule>
  </conditionalFormatting>
  <conditionalFormatting sqref="CG32">
    <cfRule type="cellIs" dxfId="5869" priority="6298" operator="equal">
      <formula>"C-Off-H"</formula>
    </cfRule>
    <cfRule type="cellIs" dxfId="5868" priority="6299" operator="equal">
      <formula>"C-Off"</formula>
    </cfRule>
    <cfRule type="cellIs" dxfId="5867" priority="6300" operator="equal">
      <formula>"CL-H"</formula>
    </cfRule>
    <cfRule type="cellIs" dxfId="5866" priority="6301" operator="equal">
      <formula>"EL-H"</formula>
    </cfRule>
    <cfRule type="cellIs" dxfId="5865" priority="6302" operator="equal">
      <formula>"CL"</formula>
    </cfRule>
    <cfRule type="cellIs" dxfId="5864" priority="6303" operator="equal">
      <formula>"EL"</formula>
    </cfRule>
  </conditionalFormatting>
  <conditionalFormatting sqref="CG32">
    <cfRule type="containsText" dxfId="5863" priority="6292" operator="containsText" text="S">
      <formula>NOT(ISERROR(SEARCH("S",CG32)))</formula>
    </cfRule>
    <cfRule type="containsText" dxfId="5862" priority="6293" operator="containsText" text="P">
      <formula>NOT(ISERROR(SEARCH("P",CG32)))</formula>
    </cfRule>
    <cfRule type="containsText" dxfId="5861" priority="6294" operator="containsText" text="H">
      <formula>NOT(ISERROR(SEARCH("H",CG32)))</formula>
    </cfRule>
    <cfRule type="containsText" dxfId="5860" priority="6296" operator="containsText" text="&quot;H&quot;">
      <formula>NOT(ISERROR(SEARCH("""H""",CG32)))</formula>
    </cfRule>
    <cfRule type="containsText" dxfId="5859" priority="6297" operator="containsText" text="&quot;A&quot;">
      <formula>NOT(ISERROR(SEARCH("""A""",CG32)))</formula>
    </cfRule>
  </conditionalFormatting>
  <conditionalFormatting sqref="CG32">
    <cfRule type="containsText" dxfId="5858" priority="6295" operator="containsText" text="A-H">
      <formula>NOT(ISERROR(SEARCH("A-H",CG32)))</formula>
    </cfRule>
  </conditionalFormatting>
  <conditionalFormatting sqref="H33">
    <cfRule type="cellIs" dxfId="5857" priority="6286" operator="equal">
      <formula>"C-Off-H"</formula>
    </cfRule>
    <cfRule type="cellIs" dxfId="5856" priority="6287" operator="equal">
      <formula>"C-Off"</formula>
    </cfRule>
    <cfRule type="cellIs" dxfId="5855" priority="6288" operator="equal">
      <formula>"CL-H"</formula>
    </cfRule>
    <cfRule type="cellIs" dxfId="5854" priority="6289" operator="equal">
      <formula>"EL-H"</formula>
    </cfRule>
    <cfRule type="cellIs" dxfId="5853" priority="6290" operator="equal">
      <formula>"CL"</formula>
    </cfRule>
    <cfRule type="cellIs" dxfId="5852" priority="6291" operator="equal">
      <formula>"EL"</formula>
    </cfRule>
  </conditionalFormatting>
  <conditionalFormatting sqref="G33:H33">
    <cfRule type="cellIs" dxfId="5851" priority="6280" operator="equal">
      <formula>"C-Off-H"</formula>
    </cfRule>
    <cfRule type="cellIs" dxfId="5850" priority="6281" operator="equal">
      <formula>"C-Off"</formula>
    </cfRule>
    <cfRule type="cellIs" dxfId="5849" priority="6282" operator="equal">
      <formula>"CL-H"</formula>
    </cfRule>
    <cfRule type="cellIs" dxfId="5848" priority="6283" operator="equal">
      <formula>"EL-H"</formula>
    </cfRule>
    <cfRule type="cellIs" dxfId="5847" priority="6284" operator="equal">
      <formula>"CL"</formula>
    </cfRule>
    <cfRule type="cellIs" dxfId="5846" priority="6285" operator="equal">
      <formula>"EL"</formula>
    </cfRule>
  </conditionalFormatting>
  <conditionalFormatting sqref="G33:H33">
    <cfRule type="containsText" dxfId="5845" priority="6274" operator="containsText" text="S">
      <formula>NOT(ISERROR(SEARCH("S",G33)))</formula>
    </cfRule>
    <cfRule type="containsText" dxfId="5844" priority="6275" operator="containsText" text="P">
      <formula>NOT(ISERROR(SEARCH("P",G33)))</formula>
    </cfRule>
    <cfRule type="containsText" dxfId="5843" priority="6276" operator="containsText" text="H">
      <formula>NOT(ISERROR(SEARCH("H",G33)))</formula>
    </cfRule>
    <cfRule type="containsText" dxfId="5842" priority="6278" operator="containsText" text="&quot;H&quot;">
      <formula>NOT(ISERROR(SEARCH("""H""",G33)))</formula>
    </cfRule>
    <cfRule type="containsText" dxfId="5841" priority="6279" operator="containsText" text="&quot;A&quot;">
      <formula>NOT(ISERROR(SEARCH("""A""",G33)))</formula>
    </cfRule>
  </conditionalFormatting>
  <conditionalFormatting sqref="G33:H33">
    <cfRule type="containsText" dxfId="5840" priority="6277" operator="containsText" text="A-H">
      <formula>NOT(ISERROR(SEARCH("A-H",G33)))</formula>
    </cfRule>
  </conditionalFormatting>
  <conditionalFormatting sqref="H34">
    <cfRule type="cellIs" dxfId="5839" priority="6268" operator="equal">
      <formula>"C-Off-H"</formula>
    </cfRule>
    <cfRule type="cellIs" dxfId="5838" priority="6269" operator="equal">
      <formula>"C-Off"</formula>
    </cfRule>
    <cfRule type="cellIs" dxfId="5837" priority="6270" operator="equal">
      <formula>"CL-H"</formula>
    </cfRule>
    <cfRule type="cellIs" dxfId="5836" priority="6271" operator="equal">
      <formula>"EL-H"</formula>
    </cfRule>
    <cfRule type="cellIs" dxfId="5835" priority="6272" operator="equal">
      <formula>"CL"</formula>
    </cfRule>
    <cfRule type="cellIs" dxfId="5834" priority="6273" operator="equal">
      <formula>"EL"</formula>
    </cfRule>
  </conditionalFormatting>
  <conditionalFormatting sqref="G34:H34">
    <cfRule type="cellIs" dxfId="5833" priority="6262" operator="equal">
      <formula>"C-Off-H"</formula>
    </cfRule>
    <cfRule type="cellIs" dxfId="5832" priority="6263" operator="equal">
      <formula>"C-Off"</formula>
    </cfRule>
    <cfRule type="cellIs" dxfId="5831" priority="6264" operator="equal">
      <formula>"CL-H"</formula>
    </cfRule>
    <cfRule type="cellIs" dxfId="5830" priority="6265" operator="equal">
      <formula>"EL-H"</formula>
    </cfRule>
    <cfRule type="cellIs" dxfId="5829" priority="6266" operator="equal">
      <formula>"CL"</formula>
    </cfRule>
    <cfRule type="cellIs" dxfId="5828" priority="6267" operator="equal">
      <formula>"EL"</formula>
    </cfRule>
  </conditionalFormatting>
  <conditionalFormatting sqref="G34:H34">
    <cfRule type="containsText" dxfId="5827" priority="6256" operator="containsText" text="S">
      <formula>NOT(ISERROR(SEARCH("S",G34)))</formula>
    </cfRule>
    <cfRule type="containsText" dxfId="5826" priority="6257" operator="containsText" text="P">
      <formula>NOT(ISERROR(SEARCH("P",G34)))</formula>
    </cfRule>
    <cfRule type="containsText" dxfId="5825" priority="6258" operator="containsText" text="H">
      <formula>NOT(ISERROR(SEARCH("H",G34)))</formula>
    </cfRule>
    <cfRule type="containsText" dxfId="5824" priority="6260" operator="containsText" text="&quot;H&quot;">
      <formula>NOT(ISERROR(SEARCH("""H""",G34)))</formula>
    </cfRule>
    <cfRule type="containsText" dxfId="5823" priority="6261" operator="containsText" text="&quot;A&quot;">
      <formula>NOT(ISERROR(SEARCH("""A""",G34)))</formula>
    </cfRule>
  </conditionalFormatting>
  <conditionalFormatting sqref="G34:H34">
    <cfRule type="containsText" dxfId="5822" priority="6259" operator="containsText" text="A-H">
      <formula>NOT(ISERROR(SEARCH("A-H",G34)))</formula>
    </cfRule>
  </conditionalFormatting>
  <conditionalFormatting sqref="H32">
    <cfRule type="cellIs" dxfId="5821" priority="6250" operator="equal">
      <formula>"C-Off-H"</formula>
    </cfRule>
    <cfRule type="cellIs" dxfId="5820" priority="6251" operator="equal">
      <formula>"C-Off"</formula>
    </cfRule>
    <cfRule type="cellIs" dxfId="5819" priority="6252" operator="equal">
      <formula>"CL-H"</formula>
    </cfRule>
    <cfRule type="cellIs" dxfId="5818" priority="6253" operator="equal">
      <formula>"EL-H"</formula>
    </cfRule>
    <cfRule type="cellIs" dxfId="5817" priority="6254" operator="equal">
      <formula>"CL"</formula>
    </cfRule>
    <cfRule type="cellIs" dxfId="5816" priority="6255" operator="equal">
      <formula>"EL"</formula>
    </cfRule>
  </conditionalFormatting>
  <conditionalFormatting sqref="G32:H32">
    <cfRule type="cellIs" dxfId="5815" priority="6244" operator="equal">
      <formula>"C-Off-H"</formula>
    </cfRule>
    <cfRule type="cellIs" dxfId="5814" priority="6245" operator="equal">
      <formula>"C-Off"</formula>
    </cfRule>
    <cfRule type="cellIs" dxfId="5813" priority="6246" operator="equal">
      <formula>"CL-H"</formula>
    </cfRule>
    <cfRule type="cellIs" dxfId="5812" priority="6247" operator="equal">
      <formula>"EL-H"</formula>
    </cfRule>
    <cfRule type="cellIs" dxfId="5811" priority="6248" operator="equal">
      <formula>"CL"</formula>
    </cfRule>
    <cfRule type="cellIs" dxfId="5810" priority="6249" operator="equal">
      <formula>"EL"</formula>
    </cfRule>
  </conditionalFormatting>
  <conditionalFormatting sqref="G32:H32">
    <cfRule type="containsText" dxfId="5809" priority="6238" operator="containsText" text="S">
      <formula>NOT(ISERROR(SEARCH("S",G32)))</formula>
    </cfRule>
    <cfRule type="containsText" dxfId="5808" priority="6239" operator="containsText" text="P">
      <formula>NOT(ISERROR(SEARCH("P",G32)))</formula>
    </cfRule>
    <cfRule type="containsText" dxfId="5807" priority="6240" operator="containsText" text="H">
      <formula>NOT(ISERROR(SEARCH("H",G32)))</formula>
    </cfRule>
    <cfRule type="containsText" dxfId="5806" priority="6242" operator="containsText" text="&quot;H&quot;">
      <formula>NOT(ISERROR(SEARCH("""H""",G32)))</formula>
    </cfRule>
    <cfRule type="containsText" dxfId="5805" priority="6243" operator="containsText" text="&quot;A&quot;">
      <formula>NOT(ISERROR(SEARCH("""A""",G32)))</formula>
    </cfRule>
  </conditionalFormatting>
  <conditionalFormatting sqref="G32:H32">
    <cfRule type="containsText" dxfId="5804" priority="6241" operator="containsText" text="A-H">
      <formula>NOT(ISERROR(SEARCH("A-H",G32)))</formula>
    </cfRule>
  </conditionalFormatting>
  <conditionalFormatting sqref="CX31">
    <cfRule type="cellIs" dxfId="5803" priority="6165" operator="equal">
      <formula>"C-Off-H"</formula>
    </cfRule>
    <cfRule type="cellIs" dxfId="5802" priority="6166" operator="equal">
      <formula>"C-Off"</formula>
    </cfRule>
    <cfRule type="cellIs" dxfId="5801" priority="6167" operator="equal">
      <formula>"CL-H"</formula>
    </cfRule>
    <cfRule type="cellIs" dxfId="5800" priority="6168" operator="equal">
      <formula>"EL-H"</formula>
    </cfRule>
    <cfRule type="cellIs" dxfId="5799" priority="6169" operator="equal">
      <formula>"CL"</formula>
    </cfRule>
    <cfRule type="cellIs" dxfId="5798" priority="6170" operator="equal">
      <formula>"EL"</formula>
    </cfRule>
  </conditionalFormatting>
  <conditionalFormatting sqref="CX31">
    <cfRule type="containsText" dxfId="5797" priority="6164" operator="containsText" text="A-H">
      <formula>NOT(ISERROR(SEARCH("A-H",CX31)))</formula>
    </cfRule>
  </conditionalFormatting>
  <conditionalFormatting sqref="CX31">
    <cfRule type="containsText" dxfId="5796" priority="6163" operator="containsText" text="A">
      <formula>NOT(ISERROR(SEARCH("A",CX31)))</formula>
    </cfRule>
  </conditionalFormatting>
  <conditionalFormatting sqref="DC31 CP31:CW31">
    <cfRule type="cellIs" dxfId="5795" priority="6146" operator="equal">
      <formula>"C-Off-H"</formula>
    </cfRule>
    <cfRule type="cellIs" dxfId="5794" priority="6147" operator="equal">
      <formula>"C-Off"</formula>
    </cfRule>
    <cfRule type="cellIs" dxfId="5793" priority="6148" operator="equal">
      <formula>"CL-H"</formula>
    </cfRule>
    <cfRule type="cellIs" dxfId="5792" priority="6149" operator="equal">
      <formula>"EL-H"</formula>
    </cfRule>
    <cfRule type="cellIs" dxfId="5791" priority="6150" operator="equal">
      <formula>"CL"</formula>
    </cfRule>
    <cfRule type="cellIs" dxfId="5790" priority="6151" operator="equal">
      <formula>"EL"</formula>
    </cfRule>
  </conditionalFormatting>
  <conditionalFormatting sqref="DC31 CP31:CW31 CY31:DA31">
    <cfRule type="containsText" dxfId="5789" priority="6145" operator="containsText" text="A-H">
      <formula>NOT(ISERROR(SEARCH("A-H",CP31)))</formula>
    </cfRule>
  </conditionalFormatting>
  <conditionalFormatting sqref="DC31 CP31:CW31 CY31:DA31">
    <cfRule type="containsText" dxfId="5788" priority="6144" operator="containsText" text="A">
      <formula>NOT(ISERROR(SEARCH("A",CP31)))</formula>
    </cfRule>
  </conditionalFormatting>
  <conditionalFormatting sqref="CY31 DA31">
    <cfRule type="cellIs" dxfId="5787" priority="6138" stopIfTrue="1" operator="equal">
      <formula>"C-Off-H"</formula>
    </cfRule>
    <cfRule type="cellIs" dxfId="5786" priority="6139" stopIfTrue="1" operator="equal">
      <formula>"C-Off"</formula>
    </cfRule>
    <cfRule type="cellIs" dxfId="5785" priority="6140" stopIfTrue="1" operator="equal">
      <formula>"CL-H"</formula>
    </cfRule>
    <cfRule type="cellIs" dxfId="5784" priority="6141" stopIfTrue="1" operator="equal">
      <formula>"EL-H"</formula>
    </cfRule>
    <cfRule type="cellIs" dxfId="5783" priority="6142" stopIfTrue="1" operator="equal">
      <formula>"CL"</formula>
    </cfRule>
    <cfRule type="cellIs" dxfId="5782" priority="6143" stopIfTrue="1" operator="equal">
      <formula>"EL"</formula>
    </cfRule>
  </conditionalFormatting>
  <conditionalFormatting sqref="CZ31">
    <cfRule type="cellIs" dxfId="5781" priority="6132" stopIfTrue="1" operator="equal">
      <formula>"C-Off-H"</formula>
    </cfRule>
    <cfRule type="cellIs" dxfId="5780" priority="6133" stopIfTrue="1" operator="equal">
      <formula>"C-Off"</formula>
    </cfRule>
    <cfRule type="cellIs" dxfId="5779" priority="6134" stopIfTrue="1" operator="equal">
      <formula>"CL-H"</formula>
    </cfRule>
    <cfRule type="cellIs" dxfId="5778" priority="6135" stopIfTrue="1" operator="equal">
      <formula>"EL-H"</formula>
    </cfRule>
    <cfRule type="cellIs" dxfId="5777" priority="6136" stopIfTrue="1" operator="equal">
      <formula>"CL"</formula>
    </cfRule>
    <cfRule type="cellIs" dxfId="5776" priority="6137" stopIfTrue="1" operator="equal">
      <formula>"EL"</formula>
    </cfRule>
  </conditionalFormatting>
  <conditionalFormatting sqref="DD31">
    <cfRule type="cellIs" dxfId="5775" priority="6121" operator="equal">
      <formula>"C-Off-H"</formula>
    </cfRule>
    <cfRule type="cellIs" dxfId="5774" priority="6122" operator="equal">
      <formula>"C-Off"</formula>
    </cfRule>
    <cfRule type="cellIs" dxfId="5773" priority="6123" operator="equal">
      <formula>"CL-H"</formula>
    </cfRule>
    <cfRule type="cellIs" dxfId="5772" priority="6124" operator="equal">
      <formula>"EL-H"</formula>
    </cfRule>
    <cfRule type="cellIs" dxfId="5771" priority="6125" operator="equal">
      <formula>"CL"</formula>
    </cfRule>
    <cfRule type="cellIs" dxfId="5770" priority="6126" operator="equal">
      <formula>"EL"</formula>
    </cfRule>
  </conditionalFormatting>
  <conditionalFormatting sqref="DD31">
    <cfRule type="containsText" dxfId="5769" priority="6120" operator="containsText" text="A">
      <formula>NOT(ISERROR(SEARCH("A",DD31)))</formula>
    </cfRule>
  </conditionalFormatting>
  <conditionalFormatting sqref="DD31">
    <cfRule type="containsText" dxfId="5768" priority="6119" operator="containsText" text="A-H">
      <formula>NOT(ISERROR(SEARCH("A-H",DD31)))</formula>
    </cfRule>
  </conditionalFormatting>
  <conditionalFormatting sqref="AI31">
    <cfRule type="cellIs" dxfId="5767" priority="6113" operator="equal">
      <formula>"C-Off-H"</formula>
    </cfRule>
    <cfRule type="cellIs" dxfId="5766" priority="6114" operator="equal">
      <formula>"C-Off"</formula>
    </cfRule>
    <cfRule type="cellIs" dxfId="5765" priority="6115" operator="equal">
      <formula>"CL-H"</formula>
    </cfRule>
    <cfRule type="cellIs" dxfId="5764" priority="6116" operator="equal">
      <formula>"EL-H"</formula>
    </cfRule>
    <cfRule type="cellIs" dxfId="5763" priority="6117" operator="equal">
      <formula>"CL"</formula>
    </cfRule>
    <cfRule type="cellIs" dxfId="5762" priority="6118" operator="equal">
      <formula>"EL"</formula>
    </cfRule>
  </conditionalFormatting>
  <conditionalFormatting sqref="AH31:AI31">
    <cfRule type="cellIs" dxfId="5761" priority="6107" operator="equal">
      <formula>"C-Off-H"</formula>
    </cfRule>
    <cfRule type="cellIs" dxfId="5760" priority="6108" operator="equal">
      <formula>"C-Off"</formula>
    </cfRule>
    <cfRule type="cellIs" dxfId="5759" priority="6109" operator="equal">
      <formula>"CL-H"</formula>
    </cfRule>
    <cfRule type="cellIs" dxfId="5758" priority="6110" operator="equal">
      <formula>"EL-H"</formula>
    </cfRule>
    <cfRule type="cellIs" dxfId="5757" priority="6111" operator="equal">
      <formula>"CL"</formula>
    </cfRule>
    <cfRule type="cellIs" dxfId="5756" priority="6112" operator="equal">
      <formula>"EL"</formula>
    </cfRule>
  </conditionalFormatting>
  <conditionalFormatting sqref="AH31:AI31">
    <cfRule type="containsText" dxfId="5755" priority="6101" operator="containsText" text="S">
      <formula>NOT(ISERROR(SEARCH("S",AH31)))</formula>
    </cfRule>
    <cfRule type="containsText" dxfId="5754" priority="6102" operator="containsText" text="P">
      <formula>NOT(ISERROR(SEARCH("P",AH31)))</formula>
    </cfRule>
    <cfRule type="containsText" dxfId="5753" priority="6103" operator="containsText" text="H">
      <formula>NOT(ISERROR(SEARCH("H",AH31)))</formula>
    </cfRule>
    <cfRule type="containsText" dxfId="5752" priority="6105" operator="containsText" text="&quot;H&quot;">
      <formula>NOT(ISERROR(SEARCH("""H""",AH31)))</formula>
    </cfRule>
    <cfRule type="containsText" dxfId="5751" priority="6106" operator="containsText" text="&quot;A&quot;">
      <formula>NOT(ISERROR(SEARCH("""A""",AH31)))</formula>
    </cfRule>
  </conditionalFormatting>
  <conditionalFormatting sqref="AH31:AI31">
    <cfRule type="containsText" dxfId="5750" priority="6104" operator="containsText" text="A-H">
      <formula>NOT(ISERROR(SEARCH("A-H",AH31)))</formula>
    </cfRule>
  </conditionalFormatting>
  <conditionalFormatting sqref="AU31">
    <cfRule type="cellIs" dxfId="5749" priority="6095" operator="equal">
      <formula>"C-Off-H"</formula>
    </cfRule>
    <cfRule type="cellIs" dxfId="5748" priority="6096" operator="equal">
      <formula>"C-Off"</formula>
    </cfRule>
    <cfRule type="cellIs" dxfId="5747" priority="6097" operator="equal">
      <formula>"CL-H"</formula>
    </cfRule>
    <cfRule type="cellIs" dxfId="5746" priority="6098" operator="equal">
      <formula>"EL-H"</formula>
    </cfRule>
    <cfRule type="cellIs" dxfId="5745" priority="6099" operator="equal">
      <formula>"CL"</formula>
    </cfRule>
    <cfRule type="cellIs" dxfId="5744" priority="6100" operator="equal">
      <formula>"EL"</formula>
    </cfRule>
  </conditionalFormatting>
  <conditionalFormatting sqref="AT31:AU31">
    <cfRule type="cellIs" dxfId="5743" priority="6089" operator="equal">
      <formula>"C-Off-H"</formula>
    </cfRule>
    <cfRule type="cellIs" dxfId="5742" priority="6090" operator="equal">
      <formula>"C-Off"</formula>
    </cfRule>
    <cfRule type="cellIs" dxfId="5741" priority="6091" operator="equal">
      <formula>"CL-H"</formula>
    </cfRule>
    <cfRule type="cellIs" dxfId="5740" priority="6092" operator="equal">
      <formula>"EL-H"</formula>
    </cfRule>
    <cfRule type="cellIs" dxfId="5739" priority="6093" operator="equal">
      <formula>"CL"</formula>
    </cfRule>
    <cfRule type="cellIs" dxfId="5738" priority="6094" operator="equal">
      <formula>"EL"</formula>
    </cfRule>
  </conditionalFormatting>
  <conditionalFormatting sqref="AT31:AU31">
    <cfRule type="containsText" dxfId="5737" priority="6083" operator="containsText" text="S">
      <formula>NOT(ISERROR(SEARCH("S",AT31)))</formula>
    </cfRule>
    <cfRule type="containsText" dxfId="5736" priority="6084" operator="containsText" text="P">
      <formula>NOT(ISERROR(SEARCH("P",AT31)))</formula>
    </cfRule>
    <cfRule type="containsText" dxfId="5735" priority="6085" operator="containsText" text="H">
      <formula>NOT(ISERROR(SEARCH("H",AT31)))</formula>
    </cfRule>
    <cfRule type="containsText" dxfId="5734" priority="6087" operator="containsText" text="&quot;H&quot;">
      <formula>NOT(ISERROR(SEARCH("""H""",AT31)))</formula>
    </cfRule>
    <cfRule type="containsText" dxfId="5733" priority="6088" operator="containsText" text="&quot;A&quot;">
      <formula>NOT(ISERROR(SEARCH("""A""",AT31)))</formula>
    </cfRule>
  </conditionalFormatting>
  <conditionalFormatting sqref="AT31:AU31">
    <cfRule type="containsText" dxfId="5732" priority="6086" operator="containsText" text="A-H">
      <formula>NOT(ISERROR(SEARCH("A-H",AT31)))</formula>
    </cfRule>
  </conditionalFormatting>
  <conditionalFormatting sqref="E31">
    <cfRule type="cellIs" dxfId="5731" priority="6077" operator="equal">
      <formula>"C-Off-H"</formula>
    </cfRule>
    <cfRule type="cellIs" dxfId="5730" priority="6078" operator="equal">
      <formula>"C-Off"</formula>
    </cfRule>
    <cfRule type="cellIs" dxfId="5729" priority="6079" operator="equal">
      <formula>"CL-H"</formula>
    </cfRule>
    <cfRule type="cellIs" dxfId="5728" priority="6080" operator="equal">
      <formula>"EL-H"</formula>
    </cfRule>
    <cfRule type="cellIs" dxfId="5727" priority="6081" operator="equal">
      <formula>"CL"</formula>
    </cfRule>
    <cfRule type="cellIs" dxfId="5726" priority="6082" operator="equal">
      <formula>"EL"</formula>
    </cfRule>
  </conditionalFormatting>
  <conditionalFormatting sqref="D31:E31">
    <cfRule type="cellIs" dxfId="5725" priority="6071" operator="equal">
      <formula>"C-Off-H"</formula>
    </cfRule>
    <cfRule type="cellIs" dxfId="5724" priority="6072" operator="equal">
      <formula>"C-Off"</formula>
    </cfRule>
    <cfRule type="cellIs" dxfId="5723" priority="6073" operator="equal">
      <formula>"CL-H"</formula>
    </cfRule>
    <cfRule type="cellIs" dxfId="5722" priority="6074" operator="equal">
      <formula>"EL-H"</formula>
    </cfRule>
    <cfRule type="cellIs" dxfId="5721" priority="6075" operator="equal">
      <formula>"CL"</formula>
    </cfRule>
    <cfRule type="cellIs" dxfId="5720" priority="6076" operator="equal">
      <formula>"EL"</formula>
    </cfRule>
  </conditionalFormatting>
  <conditionalFormatting sqref="D31:E31">
    <cfRule type="containsText" dxfId="5719" priority="6065" operator="containsText" text="S">
      <formula>NOT(ISERROR(SEARCH("S",D31)))</formula>
    </cfRule>
    <cfRule type="containsText" dxfId="5718" priority="6066" operator="containsText" text="P">
      <formula>NOT(ISERROR(SEARCH("P",D31)))</formula>
    </cfRule>
    <cfRule type="containsText" dxfId="5717" priority="6067" operator="containsText" text="H">
      <formula>NOT(ISERROR(SEARCH("H",D31)))</formula>
    </cfRule>
    <cfRule type="containsText" dxfId="5716" priority="6069" operator="containsText" text="&quot;H&quot;">
      <formula>NOT(ISERROR(SEARCH("""H""",D31)))</formula>
    </cfRule>
    <cfRule type="containsText" dxfId="5715" priority="6070" operator="containsText" text="&quot;A&quot;">
      <formula>NOT(ISERROR(SEARCH("""A""",D31)))</formula>
    </cfRule>
  </conditionalFormatting>
  <conditionalFormatting sqref="D31:E31">
    <cfRule type="containsText" dxfId="5714" priority="6068" operator="containsText" text="A-H">
      <formula>NOT(ISERROR(SEARCH("A-H",D31)))</formula>
    </cfRule>
  </conditionalFormatting>
  <conditionalFormatting sqref="Z31">
    <cfRule type="cellIs" dxfId="5713" priority="6059" operator="equal">
      <formula>"C-Off-H"</formula>
    </cfRule>
    <cfRule type="cellIs" dxfId="5712" priority="6060" operator="equal">
      <formula>"C-Off"</formula>
    </cfRule>
    <cfRule type="cellIs" dxfId="5711" priority="6061" operator="equal">
      <formula>"CL-H"</formula>
    </cfRule>
    <cfRule type="cellIs" dxfId="5710" priority="6062" operator="equal">
      <formula>"EL-H"</formula>
    </cfRule>
    <cfRule type="cellIs" dxfId="5709" priority="6063" operator="equal">
      <formula>"CL"</formula>
    </cfRule>
    <cfRule type="cellIs" dxfId="5708" priority="6064" operator="equal">
      <formula>"EL"</formula>
    </cfRule>
  </conditionalFormatting>
  <conditionalFormatting sqref="Z31">
    <cfRule type="containsText" dxfId="5707" priority="6053" operator="containsText" text="S">
      <formula>NOT(ISERROR(SEARCH("S",Z31)))</formula>
    </cfRule>
    <cfRule type="containsText" dxfId="5706" priority="6054" operator="containsText" text="P">
      <formula>NOT(ISERROR(SEARCH("P",Z31)))</formula>
    </cfRule>
    <cfRule type="containsText" dxfId="5705" priority="6055" operator="containsText" text="H">
      <formula>NOT(ISERROR(SEARCH("H",Z31)))</formula>
    </cfRule>
    <cfRule type="containsText" dxfId="5704" priority="6057" operator="containsText" text="&quot;H&quot;">
      <formula>NOT(ISERROR(SEARCH("""H""",Z31)))</formula>
    </cfRule>
    <cfRule type="containsText" dxfId="5703" priority="6058" operator="containsText" text="&quot;A&quot;">
      <formula>NOT(ISERROR(SEARCH("""A""",Z31)))</formula>
    </cfRule>
  </conditionalFormatting>
  <conditionalFormatting sqref="Z31">
    <cfRule type="containsText" dxfId="5702" priority="6056" operator="containsText" text="A-H">
      <formula>NOT(ISERROR(SEARCH("A-H",Z31)))</formula>
    </cfRule>
  </conditionalFormatting>
  <conditionalFormatting sqref="Y31">
    <cfRule type="cellIs" dxfId="5701" priority="6047" operator="equal">
      <formula>"C-Off-H"</formula>
    </cfRule>
    <cfRule type="cellIs" dxfId="5700" priority="6048" operator="equal">
      <formula>"C-Off"</formula>
    </cfRule>
    <cfRule type="cellIs" dxfId="5699" priority="6049" operator="equal">
      <formula>"CL-H"</formula>
    </cfRule>
    <cfRule type="cellIs" dxfId="5698" priority="6050" operator="equal">
      <formula>"EL-H"</formula>
    </cfRule>
    <cfRule type="cellIs" dxfId="5697" priority="6051" operator="equal">
      <formula>"CL"</formula>
    </cfRule>
    <cfRule type="cellIs" dxfId="5696" priority="6052" operator="equal">
      <formula>"EL"</formula>
    </cfRule>
  </conditionalFormatting>
  <conditionalFormatting sqref="Y31">
    <cfRule type="containsText" dxfId="5695" priority="6041" operator="containsText" text="S">
      <formula>NOT(ISERROR(SEARCH("S",Y31)))</formula>
    </cfRule>
    <cfRule type="containsText" dxfId="5694" priority="6042" operator="containsText" text="P">
      <formula>NOT(ISERROR(SEARCH("P",Y31)))</formula>
    </cfRule>
    <cfRule type="containsText" dxfId="5693" priority="6043" operator="containsText" text="H">
      <formula>NOT(ISERROR(SEARCH("H",Y31)))</formula>
    </cfRule>
    <cfRule type="containsText" dxfId="5692" priority="6045" operator="containsText" text="&quot;H&quot;">
      <formula>NOT(ISERROR(SEARCH("""H""",Y31)))</formula>
    </cfRule>
    <cfRule type="containsText" dxfId="5691" priority="6046" operator="containsText" text="&quot;A&quot;">
      <formula>NOT(ISERROR(SEARCH("""A""",Y31)))</formula>
    </cfRule>
  </conditionalFormatting>
  <conditionalFormatting sqref="Y31">
    <cfRule type="containsText" dxfId="5690" priority="6044" operator="containsText" text="A-H">
      <formula>NOT(ISERROR(SEARCH("A-H",Y31)))</formula>
    </cfRule>
  </conditionalFormatting>
  <conditionalFormatting sqref="AF31">
    <cfRule type="cellIs" dxfId="5689" priority="6035" operator="equal">
      <formula>"C-Off-H"</formula>
    </cfRule>
    <cfRule type="cellIs" dxfId="5688" priority="6036" operator="equal">
      <formula>"C-Off"</formula>
    </cfRule>
    <cfRule type="cellIs" dxfId="5687" priority="6037" operator="equal">
      <formula>"CL-H"</formula>
    </cfRule>
    <cfRule type="cellIs" dxfId="5686" priority="6038" operator="equal">
      <formula>"EL-H"</formula>
    </cfRule>
    <cfRule type="cellIs" dxfId="5685" priority="6039" operator="equal">
      <formula>"CL"</formula>
    </cfRule>
    <cfRule type="cellIs" dxfId="5684" priority="6040" operator="equal">
      <formula>"EL"</formula>
    </cfRule>
  </conditionalFormatting>
  <conditionalFormatting sqref="AF31">
    <cfRule type="containsText" dxfId="5683" priority="6029" operator="containsText" text="S">
      <formula>NOT(ISERROR(SEARCH("S",AF31)))</formula>
    </cfRule>
    <cfRule type="containsText" dxfId="5682" priority="6030" operator="containsText" text="P">
      <formula>NOT(ISERROR(SEARCH("P",AF31)))</formula>
    </cfRule>
    <cfRule type="containsText" dxfId="5681" priority="6031" operator="containsText" text="H">
      <formula>NOT(ISERROR(SEARCH("H",AF31)))</formula>
    </cfRule>
    <cfRule type="containsText" dxfId="5680" priority="6033" operator="containsText" text="&quot;H&quot;">
      <formula>NOT(ISERROR(SEARCH("""H""",AF31)))</formula>
    </cfRule>
    <cfRule type="containsText" dxfId="5679" priority="6034" operator="containsText" text="&quot;A&quot;">
      <formula>NOT(ISERROR(SEARCH("""A""",AF31)))</formula>
    </cfRule>
  </conditionalFormatting>
  <conditionalFormatting sqref="AF31">
    <cfRule type="containsText" dxfId="5678" priority="6032" operator="containsText" text="A-H">
      <formula>NOT(ISERROR(SEARCH("A-H",AF31)))</formula>
    </cfRule>
  </conditionalFormatting>
  <conditionalFormatting sqref="BO31:BP31">
    <cfRule type="cellIs" dxfId="5677" priority="6023" operator="equal">
      <formula>"C-Off-H"</formula>
    </cfRule>
    <cfRule type="cellIs" dxfId="5676" priority="6024" operator="equal">
      <formula>"C-Off"</formula>
    </cfRule>
    <cfRule type="cellIs" dxfId="5675" priority="6025" operator="equal">
      <formula>"CL-H"</formula>
    </cfRule>
    <cfRule type="cellIs" dxfId="5674" priority="6026" operator="equal">
      <formula>"EL-H"</formula>
    </cfRule>
    <cfRule type="cellIs" dxfId="5673" priority="6027" operator="equal">
      <formula>"CL"</formula>
    </cfRule>
    <cfRule type="cellIs" dxfId="5672" priority="6028" operator="equal">
      <formula>"EL"</formula>
    </cfRule>
  </conditionalFormatting>
  <conditionalFormatting sqref="BO31:BP31">
    <cfRule type="cellIs" dxfId="5671" priority="6017" operator="equal">
      <formula>"C-Off-H"</formula>
    </cfRule>
    <cfRule type="cellIs" dxfId="5670" priority="6018" operator="equal">
      <formula>"C-Off"</formula>
    </cfRule>
    <cfRule type="cellIs" dxfId="5669" priority="6019" operator="equal">
      <formula>"CL-H"</formula>
    </cfRule>
    <cfRule type="cellIs" dxfId="5668" priority="6020" operator="equal">
      <formula>"EL-H"</formula>
    </cfRule>
    <cfRule type="cellIs" dxfId="5667" priority="6021" operator="equal">
      <formula>"CL"</formula>
    </cfRule>
    <cfRule type="cellIs" dxfId="5666" priority="6022" operator="equal">
      <formula>"EL"</formula>
    </cfRule>
  </conditionalFormatting>
  <conditionalFormatting sqref="BO31:BP31">
    <cfRule type="containsText" dxfId="5665" priority="6011" operator="containsText" text="S">
      <formula>NOT(ISERROR(SEARCH("S",BO31)))</formula>
    </cfRule>
    <cfRule type="containsText" dxfId="5664" priority="6012" operator="containsText" text="P">
      <formula>NOT(ISERROR(SEARCH("P",BO31)))</formula>
    </cfRule>
    <cfRule type="containsText" dxfId="5663" priority="6013" operator="containsText" text="H">
      <formula>NOT(ISERROR(SEARCH("H",BO31)))</formula>
    </cfRule>
    <cfRule type="containsText" dxfId="5662" priority="6015" operator="containsText" text="&quot;H&quot;">
      <formula>NOT(ISERROR(SEARCH("""H""",BO31)))</formula>
    </cfRule>
    <cfRule type="containsText" dxfId="5661" priority="6016" operator="containsText" text="&quot;A&quot;">
      <formula>NOT(ISERROR(SEARCH("""A""",BO31)))</formula>
    </cfRule>
  </conditionalFormatting>
  <conditionalFormatting sqref="BO31:BP31">
    <cfRule type="containsText" dxfId="5660" priority="6014" operator="containsText" text="A-H">
      <formula>NOT(ISERROR(SEARCH("A-H",BO31)))</formula>
    </cfRule>
  </conditionalFormatting>
  <conditionalFormatting sqref="CM31">
    <cfRule type="cellIs" dxfId="5659" priority="6005" operator="equal">
      <formula>"C-Off-H"</formula>
    </cfRule>
    <cfRule type="cellIs" dxfId="5658" priority="6006" operator="equal">
      <formula>"C-Off"</formula>
    </cfRule>
    <cfRule type="cellIs" dxfId="5657" priority="6007" operator="equal">
      <formula>"CL-H"</formula>
    </cfRule>
    <cfRule type="cellIs" dxfId="5656" priority="6008" operator="equal">
      <formula>"EL-H"</formula>
    </cfRule>
    <cfRule type="cellIs" dxfId="5655" priority="6009" operator="equal">
      <formula>"CL"</formula>
    </cfRule>
    <cfRule type="cellIs" dxfId="5654" priority="6010" operator="equal">
      <formula>"EL"</formula>
    </cfRule>
  </conditionalFormatting>
  <conditionalFormatting sqref="CM31">
    <cfRule type="cellIs" dxfId="5653" priority="5999" operator="equal">
      <formula>"C-Off-H"</formula>
    </cfRule>
    <cfRule type="cellIs" dxfId="5652" priority="6000" operator="equal">
      <formula>"C-Off"</formula>
    </cfRule>
    <cfRule type="cellIs" dxfId="5651" priority="6001" operator="equal">
      <formula>"CL-H"</formula>
    </cfRule>
    <cfRule type="cellIs" dxfId="5650" priority="6002" operator="equal">
      <formula>"EL-H"</formula>
    </cfRule>
    <cfRule type="cellIs" dxfId="5649" priority="6003" operator="equal">
      <formula>"CL"</formula>
    </cfRule>
    <cfRule type="cellIs" dxfId="5648" priority="6004" operator="equal">
      <formula>"EL"</formula>
    </cfRule>
  </conditionalFormatting>
  <conditionalFormatting sqref="CM31">
    <cfRule type="containsText" dxfId="5647" priority="5993" operator="containsText" text="S">
      <formula>NOT(ISERROR(SEARCH("S",CM31)))</formula>
    </cfRule>
    <cfRule type="containsText" dxfId="5646" priority="5994" operator="containsText" text="P">
      <formula>NOT(ISERROR(SEARCH("P",CM31)))</formula>
    </cfRule>
    <cfRule type="containsText" dxfId="5645" priority="5995" operator="containsText" text="H">
      <formula>NOT(ISERROR(SEARCH("H",CM31)))</formula>
    </cfRule>
    <cfRule type="containsText" dxfId="5644" priority="5997" operator="containsText" text="&quot;H&quot;">
      <formula>NOT(ISERROR(SEARCH("""H""",CM31)))</formula>
    </cfRule>
    <cfRule type="containsText" dxfId="5643" priority="5998" operator="containsText" text="&quot;A&quot;">
      <formula>NOT(ISERROR(SEARCH("""A""",CM31)))</formula>
    </cfRule>
  </conditionalFormatting>
  <conditionalFormatting sqref="CM31">
    <cfRule type="containsText" dxfId="5642" priority="5996" operator="containsText" text="A-H">
      <formula>NOT(ISERROR(SEARCH("A-H",CM31)))</formula>
    </cfRule>
  </conditionalFormatting>
  <conditionalFormatting sqref="V31:W31">
    <cfRule type="cellIs" dxfId="5641" priority="5963" operator="equal">
      <formula>"C-Off-H"</formula>
    </cfRule>
    <cfRule type="cellIs" dxfId="5640" priority="5964" operator="equal">
      <formula>"C-Off"</formula>
    </cfRule>
    <cfRule type="cellIs" dxfId="5639" priority="5965" operator="equal">
      <formula>"CL-H"</formula>
    </cfRule>
    <cfRule type="cellIs" dxfId="5638" priority="5966" operator="equal">
      <formula>"EL-H"</formula>
    </cfRule>
    <cfRule type="cellIs" dxfId="5637" priority="5967" operator="equal">
      <formula>"CL"</formula>
    </cfRule>
    <cfRule type="cellIs" dxfId="5636" priority="5968" operator="equal">
      <formula>"EL"</formula>
    </cfRule>
  </conditionalFormatting>
  <conditionalFormatting sqref="V31:W31">
    <cfRule type="containsText" dxfId="5635" priority="5957" operator="containsText" text="S">
      <formula>NOT(ISERROR(SEARCH("S",V31)))</formula>
    </cfRule>
    <cfRule type="containsText" dxfId="5634" priority="5958" operator="containsText" text="P">
      <formula>NOT(ISERROR(SEARCH("P",V31)))</formula>
    </cfRule>
    <cfRule type="containsText" dxfId="5633" priority="5959" operator="containsText" text="H">
      <formula>NOT(ISERROR(SEARCH("H",V31)))</formula>
    </cfRule>
    <cfRule type="containsText" dxfId="5632" priority="5961" operator="containsText" text="&quot;H&quot;">
      <formula>NOT(ISERROR(SEARCH("""H""",V31)))</formula>
    </cfRule>
    <cfRule type="containsText" dxfId="5631" priority="5962" operator="containsText" text="&quot;A&quot;">
      <formula>NOT(ISERROR(SEARCH("""A""",V31)))</formula>
    </cfRule>
  </conditionalFormatting>
  <conditionalFormatting sqref="V31:W31">
    <cfRule type="containsText" dxfId="5630" priority="5960" operator="containsText" text="A-H">
      <formula>NOT(ISERROR(SEARCH("A-H",V31)))</formula>
    </cfRule>
  </conditionalFormatting>
  <conditionalFormatting sqref="P31:Q31">
    <cfRule type="cellIs" dxfId="5629" priority="5987" operator="equal">
      <formula>"C-Off-H"</formula>
    </cfRule>
    <cfRule type="cellIs" dxfId="5628" priority="5988" operator="equal">
      <formula>"C-Off"</formula>
    </cfRule>
    <cfRule type="cellIs" dxfId="5627" priority="5989" operator="equal">
      <formula>"CL-H"</formula>
    </cfRule>
    <cfRule type="cellIs" dxfId="5626" priority="5990" operator="equal">
      <formula>"EL-H"</formula>
    </cfRule>
    <cfRule type="cellIs" dxfId="5625" priority="5991" operator="equal">
      <formula>"CL"</formula>
    </cfRule>
    <cfRule type="cellIs" dxfId="5624" priority="5992" operator="equal">
      <formula>"EL"</formula>
    </cfRule>
  </conditionalFormatting>
  <conditionalFormatting sqref="P31:Q31">
    <cfRule type="containsText" dxfId="5623" priority="5981" operator="containsText" text="S">
      <formula>NOT(ISERROR(SEARCH("S",P31)))</formula>
    </cfRule>
    <cfRule type="containsText" dxfId="5622" priority="5982" operator="containsText" text="P">
      <formula>NOT(ISERROR(SEARCH("P",P31)))</formula>
    </cfRule>
    <cfRule type="containsText" dxfId="5621" priority="5983" operator="containsText" text="H">
      <formula>NOT(ISERROR(SEARCH("H",P31)))</formula>
    </cfRule>
    <cfRule type="containsText" dxfId="5620" priority="5985" operator="containsText" text="&quot;H&quot;">
      <formula>NOT(ISERROR(SEARCH("""H""",P31)))</formula>
    </cfRule>
    <cfRule type="containsText" dxfId="5619" priority="5986" operator="containsText" text="&quot;A&quot;">
      <formula>NOT(ISERROR(SEARCH("""A""",P31)))</formula>
    </cfRule>
  </conditionalFormatting>
  <conditionalFormatting sqref="P31:Q31">
    <cfRule type="containsText" dxfId="5618" priority="5984" operator="containsText" text="A-H">
      <formula>NOT(ISERROR(SEARCH("A-H",P31)))</formula>
    </cfRule>
  </conditionalFormatting>
  <conditionalFormatting sqref="S31:T31">
    <cfRule type="cellIs" dxfId="5617" priority="5975" operator="equal">
      <formula>"C-Off-H"</formula>
    </cfRule>
    <cfRule type="cellIs" dxfId="5616" priority="5976" operator="equal">
      <formula>"C-Off"</formula>
    </cfRule>
    <cfRule type="cellIs" dxfId="5615" priority="5977" operator="equal">
      <formula>"CL-H"</formula>
    </cfRule>
    <cfRule type="cellIs" dxfId="5614" priority="5978" operator="equal">
      <formula>"EL-H"</formula>
    </cfRule>
    <cfRule type="cellIs" dxfId="5613" priority="5979" operator="equal">
      <formula>"CL"</formula>
    </cfRule>
    <cfRule type="cellIs" dxfId="5612" priority="5980" operator="equal">
      <formula>"EL"</formula>
    </cfRule>
  </conditionalFormatting>
  <conditionalFormatting sqref="S31:T31">
    <cfRule type="containsText" dxfId="5611" priority="5969" operator="containsText" text="S">
      <formula>NOT(ISERROR(SEARCH("S",S31)))</formula>
    </cfRule>
    <cfRule type="containsText" dxfId="5610" priority="5970" operator="containsText" text="P">
      <formula>NOT(ISERROR(SEARCH("P",S31)))</formula>
    </cfRule>
    <cfRule type="containsText" dxfId="5609" priority="5971" operator="containsText" text="H">
      <formula>NOT(ISERROR(SEARCH("H",S31)))</formula>
    </cfRule>
    <cfRule type="containsText" dxfId="5608" priority="5973" operator="containsText" text="&quot;H&quot;">
      <formula>NOT(ISERROR(SEARCH("""H""",S31)))</formula>
    </cfRule>
    <cfRule type="containsText" dxfId="5607" priority="5974" operator="containsText" text="&quot;A&quot;">
      <formula>NOT(ISERROR(SEARCH("""A""",S31)))</formula>
    </cfRule>
  </conditionalFormatting>
  <conditionalFormatting sqref="S31:T31">
    <cfRule type="containsText" dxfId="5606" priority="5972" operator="containsText" text="A-H">
      <formula>NOT(ISERROR(SEARCH("A-H",S31)))</formula>
    </cfRule>
  </conditionalFormatting>
  <conditionalFormatting sqref="AB31:AC31">
    <cfRule type="cellIs" dxfId="5605" priority="5951" operator="equal">
      <formula>"C-Off-H"</formula>
    </cfRule>
    <cfRule type="cellIs" dxfId="5604" priority="5952" operator="equal">
      <formula>"C-Off"</formula>
    </cfRule>
    <cfRule type="cellIs" dxfId="5603" priority="5953" operator="equal">
      <formula>"CL-H"</formula>
    </cfRule>
    <cfRule type="cellIs" dxfId="5602" priority="5954" operator="equal">
      <formula>"EL-H"</formula>
    </cfRule>
    <cfRule type="cellIs" dxfId="5601" priority="5955" operator="equal">
      <formula>"CL"</formula>
    </cfRule>
    <cfRule type="cellIs" dxfId="5600" priority="5956" operator="equal">
      <formula>"EL"</formula>
    </cfRule>
  </conditionalFormatting>
  <conditionalFormatting sqref="AB31:AC31">
    <cfRule type="containsText" dxfId="5599" priority="5945" operator="containsText" text="S">
      <formula>NOT(ISERROR(SEARCH("S",AB31)))</formula>
    </cfRule>
    <cfRule type="containsText" dxfId="5598" priority="5946" operator="containsText" text="P">
      <formula>NOT(ISERROR(SEARCH("P",AB31)))</formula>
    </cfRule>
    <cfRule type="containsText" dxfId="5597" priority="5947" operator="containsText" text="H">
      <formula>NOT(ISERROR(SEARCH("H",AB31)))</formula>
    </cfRule>
    <cfRule type="containsText" dxfId="5596" priority="5949" operator="containsText" text="&quot;H&quot;">
      <formula>NOT(ISERROR(SEARCH("""H""",AB31)))</formula>
    </cfRule>
    <cfRule type="containsText" dxfId="5595" priority="5950" operator="containsText" text="&quot;A&quot;">
      <formula>NOT(ISERROR(SEARCH("""A""",AB31)))</formula>
    </cfRule>
  </conditionalFormatting>
  <conditionalFormatting sqref="AB31:AC31">
    <cfRule type="containsText" dxfId="5594" priority="5948" operator="containsText" text="A-H">
      <formula>NOT(ISERROR(SEARCH("A-H",AB31)))</formula>
    </cfRule>
  </conditionalFormatting>
  <conditionalFormatting sqref="AE31">
    <cfRule type="cellIs" dxfId="5593" priority="5939" operator="equal">
      <formula>"C-Off-H"</formula>
    </cfRule>
    <cfRule type="cellIs" dxfId="5592" priority="5940" operator="equal">
      <formula>"C-Off"</formula>
    </cfRule>
    <cfRule type="cellIs" dxfId="5591" priority="5941" operator="equal">
      <formula>"CL-H"</formula>
    </cfRule>
    <cfRule type="cellIs" dxfId="5590" priority="5942" operator="equal">
      <formula>"EL-H"</formula>
    </cfRule>
    <cfRule type="cellIs" dxfId="5589" priority="5943" operator="equal">
      <formula>"CL"</formula>
    </cfRule>
    <cfRule type="cellIs" dxfId="5588" priority="5944" operator="equal">
      <formula>"EL"</formula>
    </cfRule>
  </conditionalFormatting>
  <conditionalFormatting sqref="AE31">
    <cfRule type="containsText" dxfId="5587" priority="5933" operator="containsText" text="S">
      <formula>NOT(ISERROR(SEARCH("S",AE31)))</formula>
    </cfRule>
    <cfRule type="containsText" dxfId="5586" priority="5934" operator="containsText" text="P">
      <formula>NOT(ISERROR(SEARCH("P",AE31)))</formula>
    </cfRule>
    <cfRule type="containsText" dxfId="5585" priority="5935" operator="containsText" text="H">
      <formula>NOT(ISERROR(SEARCH("H",AE31)))</formula>
    </cfRule>
    <cfRule type="containsText" dxfId="5584" priority="5937" operator="containsText" text="&quot;H&quot;">
      <formula>NOT(ISERROR(SEARCH("""H""",AE31)))</formula>
    </cfRule>
    <cfRule type="containsText" dxfId="5583" priority="5938" operator="containsText" text="&quot;A&quot;">
      <formula>NOT(ISERROR(SEARCH("""A""",AE31)))</formula>
    </cfRule>
  </conditionalFormatting>
  <conditionalFormatting sqref="AE31">
    <cfRule type="containsText" dxfId="5582" priority="5936" operator="containsText" text="A-H">
      <formula>NOT(ISERROR(SEARCH("A-H",AE31)))</formula>
    </cfRule>
  </conditionalFormatting>
  <conditionalFormatting sqref="AK31:AL31">
    <cfRule type="cellIs" dxfId="5581" priority="5927" operator="equal">
      <formula>"C-Off-H"</formula>
    </cfRule>
    <cfRule type="cellIs" dxfId="5580" priority="5928" operator="equal">
      <formula>"C-Off"</formula>
    </cfRule>
    <cfRule type="cellIs" dxfId="5579" priority="5929" operator="equal">
      <formula>"CL-H"</formula>
    </cfRule>
    <cfRule type="cellIs" dxfId="5578" priority="5930" operator="equal">
      <formula>"EL-H"</formula>
    </cfRule>
    <cfRule type="cellIs" dxfId="5577" priority="5931" operator="equal">
      <formula>"CL"</formula>
    </cfRule>
    <cfRule type="cellIs" dxfId="5576" priority="5932" operator="equal">
      <formula>"EL"</formula>
    </cfRule>
  </conditionalFormatting>
  <conditionalFormatting sqref="AK31:AL31">
    <cfRule type="containsText" dxfId="5575" priority="5921" operator="containsText" text="S">
      <formula>NOT(ISERROR(SEARCH("S",AK31)))</formula>
    </cfRule>
    <cfRule type="containsText" dxfId="5574" priority="5922" operator="containsText" text="P">
      <formula>NOT(ISERROR(SEARCH("P",AK31)))</formula>
    </cfRule>
    <cfRule type="containsText" dxfId="5573" priority="5923" operator="containsText" text="H">
      <formula>NOT(ISERROR(SEARCH("H",AK31)))</formula>
    </cfRule>
    <cfRule type="containsText" dxfId="5572" priority="5925" operator="containsText" text="&quot;H&quot;">
      <formula>NOT(ISERROR(SEARCH("""H""",AK31)))</formula>
    </cfRule>
    <cfRule type="containsText" dxfId="5571" priority="5926" operator="containsText" text="&quot;A&quot;">
      <formula>NOT(ISERROR(SEARCH("""A""",AK31)))</formula>
    </cfRule>
  </conditionalFormatting>
  <conditionalFormatting sqref="AK31:AL31">
    <cfRule type="containsText" dxfId="5570" priority="5924" operator="containsText" text="A-H">
      <formula>NOT(ISERROR(SEARCH("A-H",AK31)))</formula>
    </cfRule>
  </conditionalFormatting>
  <conditionalFormatting sqref="AN31:AO31">
    <cfRule type="cellIs" dxfId="5569" priority="5915" operator="equal">
      <formula>"C-Off-H"</formula>
    </cfRule>
    <cfRule type="cellIs" dxfId="5568" priority="5916" operator="equal">
      <formula>"C-Off"</formula>
    </cfRule>
    <cfRule type="cellIs" dxfId="5567" priority="5917" operator="equal">
      <formula>"CL-H"</formula>
    </cfRule>
    <cfRule type="cellIs" dxfId="5566" priority="5918" operator="equal">
      <formula>"EL-H"</formula>
    </cfRule>
    <cfRule type="cellIs" dxfId="5565" priority="5919" operator="equal">
      <formula>"CL"</formula>
    </cfRule>
    <cfRule type="cellIs" dxfId="5564" priority="5920" operator="equal">
      <formula>"EL"</formula>
    </cfRule>
  </conditionalFormatting>
  <conditionalFormatting sqref="AN31:AO31">
    <cfRule type="containsText" dxfId="5563" priority="5909" operator="containsText" text="S">
      <formula>NOT(ISERROR(SEARCH("S",AN31)))</formula>
    </cfRule>
    <cfRule type="containsText" dxfId="5562" priority="5910" operator="containsText" text="P">
      <formula>NOT(ISERROR(SEARCH("P",AN31)))</formula>
    </cfRule>
    <cfRule type="containsText" dxfId="5561" priority="5911" operator="containsText" text="H">
      <formula>NOT(ISERROR(SEARCH("H",AN31)))</formula>
    </cfRule>
    <cfRule type="containsText" dxfId="5560" priority="5913" operator="containsText" text="&quot;H&quot;">
      <formula>NOT(ISERROR(SEARCH("""H""",AN31)))</formula>
    </cfRule>
    <cfRule type="containsText" dxfId="5559" priority="5914" operator="containsText" text="&quot;A&quot;">
      <formula>NOT(ISERROR(SEARCH("""A""",AN31)))</formula>
    </cfRule>
  </conditionalFormatting>
  <conditionalFormatting sqref="AN31:AO31">
    <cfRule type="containsText" dxfId="5558" priority="5912" operator="containsText" text="A-H">
      <formula>NOT(ISERROR(SEARCH("A-H",AN31)))</formula>
    </cfRule>
  </conditionalFormatting>
  <conditionalFormatting sqref="AQ31:AR31">
    <cfRule type="cellIs" dxfId="5557" priority="5903" operator="equal">
      <formula>"C-Off-H"</formula>
    </cfRule>
    <cfRule type="cellIs" dxfId="5556" priority="5904" operator="equal">
      <formula>"C-Off"</formula>
    </cfRule>
    <cfRule type="cellIs" dxfId="5555" priority="5905" operator="equal">
      <formula>"CL-H"</formula>
    </cfRule>
    <cfRule type="cellIs" dxfId="5554" priority="5906" operator="equal">
      <formula>"EL-H"</formula>
    </cfRule>
    <cfRule type="cellIs" dxfId="5553" priority="5907" operator="equal">
      <formula>"CL"</formula>
    </cfRule>
    <cfRule type="cellIs" dxfId="5552" priority="5908" operator="equal">
      <formula>"EL"</formula>
    </cfRule>
  </conditionalFormatting>
  <conditionalFormatting sqref="AQ31:AR31">
    <cfRule type="containsText" dxfId="5551" priority="5897" operator="containsText" text="S">
      <formula>NOT(ISERROR(SEARCH("S",AQ31)))</formula>
    </cfRule>
    <cfRule type="containsText" dxfId="5550" priority="5898" operator="containsText" text="P">
      <formula>NOT(ISERROR(SEARCH("P",AQ31)))</formula>
    </cfRule>
    <cfRule type="containsText" dxfId="5549" priority="5899" operator="containsText" text="H">
      <formula>NOT(ISERROR(SEARCH("H",AQ31)))</formula>
    </cfRule>
    <cfRule type="containsText" dxfId="5548" priority="5901" operator="containsText" text="&quot;H&quot;">
      <formula>NOT(ISERROR(SEARCH("""H""",AQ31)))</formula>
    </cfRule>
    <cfRule type="containsText" dxfId="5547" priority="5902" operator="containsText" text="&quot;A&quot;">
      <formula>NOT(ISERROR(SEARCH("""A""",AQ31)))</formula>
    </cfRule>
  </conditionalFormatting>
  <conditionalFormatting sqref="AQ31:AR31">
    <cfRule type="containsText" dxfId="5546" priority="5900" operator="containsText" text="A-H">
      <formula>NOT(ISERROR(SEARCH("A-H",AQ31)))</formula>
    </cfRule>
  </conditionalFormatting>
  <conditionalFormatting sqref="AW31:AX31">
    <cfRule type="cellIs" dxfId="5545" priority="5891" operator="equal">
      <formula>"C-Off-H"</formula>
    </cfRule>
    <cfRule type="cellIs" dxfId="5544" priority="5892" operator="equal">
      <formula>"C-Off"</formula>
    </cfRule>
    <cfRule type="cellIs" dxfId="5543" priority="5893" operator="equal">
      <formula>"CL-H"</formula>
    </cfRule>
    <cfRule type="cellIs" dxfId="5542" priority="5894" operator="equal">
      <formula>"EL-H"</formula>
    </cfRule>
    <cfRule type="cellIs" dxfId="5541" priority="5895" operator="equal">
      <formula>"CL"</formula>
    </cfRule>
    <cfRule type="cellIs" dxfId="5540" priority="5896" operator="equal">
      <formula>"EL"</formula>
    </cfRule>
  </conditionalFormatting>
  <conditionalFormatting sqref="AW31:AX31">
    <cfRule type="containsText" dxfId="5539" priority="5885" operator="containsText" text="S">
      <formula>NOT(ISERROR(SEARCH("S",AW31)))</formula>
    </cfRule>
    <cfRule type="containsText" dxfId="5538" priority="5886" operator="containsText" text="P">
      <formula>NOT(ISERROR(SEARCH("P",AW31)))</formula>
    </cfRule>
    <cfRule type="containsText" dxfId="5537" priority="5887" operator="containsText" text="H">
      <formula>NOT(ISERROR(SEARCH("H",AW31)))</formula>
    </cfRule>
    <cfRule type="containsText" dxfId="5536" priority="5889" operator="containsText" text="&quot;H&quot;">
      <formula>NOT(ISERROR(SEARCH("""H""",AW31)))</formula>
    </cfRule>
    <cfRule type="containsText" dxfId="5535" priority="5890" operator="containsText" text="&quot;A&quot;">
      <formula>NOT(ISERROR(SEARCH("""A""",AW31)))</formula>
    </cfRule>
  </conditionalFormatting>
  <conditionalFormatting sqref="AW31:AX31">
    <cfRule type="containsText" dxfId="5534" priority="5888" operator="containsText" text="A-H">
      <formula>NOT(ISERROR(SEARCH("A-H",AW31)))</formula>
    </cfRule>
  </conditionalFormatting>
  <conditionalFormatting sqref="AZ31:BA31">
    <cfRule type="cellIs" dxfId="5533" priority="5879" operator="equal">
      <formula>"C-Off-H"</formula>
    </cfRule>
    <cfRule type="cellIs" dxfId="5532" priority="5880" operator="equal">
      <formula>"C-Off"</formula>
    </cfRule>
    <cfRule type="cellIs" dxfId="5531" priority="5881" operator="equal">
      <formula>"CL-H"</formula>
    </cfRule>
    <cfRule type="cellIs" dxfId="5530" priority="5882" operator="equal">
      <formula>"EL-H"</formula>
    </cfRule>
    <cfRule type="cellIs" dxfId="5529" priority="5883" operator="equal">
      <formula>"CL"</formula>
    </cfRule>
    <cfRule type="cellIs" dxfId="5528" priority="5884" operator="equal">
      <formula>"EL"</formula>
    </cfRule>
  </conditionalFormatting>
  <conditionalFormatting sqref="AZ31:BA31">
    <cfRule type="containsText" dxfId="5527" priority="5873" operator="containsText" text="S">
      <formula>NOT(ISERROR(SEARCH("S",AZ31)))</formula>
    </cfRule>
    <cfRule type="containsText" dxfId="5526" priority="5874" operator="containsText" text="P">
      <formula>NOT(ISERROR(SEARCH("P",AZ31)))</formula>
    </cfRule>
    <cfRule type="containsText" dxfId="5525" priority="5875" operator="containsText" text="H">
      <formula>NOT(ISERROR(SEARCH("H",AZ31)))</formula>
    </cfRule>
    <cfRule type="containsText" dxfId="5524" priority="5877" operator="containsText" text="&quot;H&quot;">
      <formula>NOT(ISERROR(SEARCH("""H""",AZ31)))</formula>
    </cfRule>
    <cfRule type="containsText" dxfId="5523" priority="5878" operator="containsText" text="&quot;A&quot;">
      <formula>NOT(ISERROR(SEARCH("""A""",AZ31)))</formula>
    </cfRule>
  </conditionalFormatting>
  <conditionalFormatting sqref="AZ31:BA31">
    <cfRule type="containsText" dxfId="5522" priority="5876" operator="containsText" text="A-H">
      <formula>NOT(ISERROR(SEARCH("A-H",AZ31)))</formula>
    </cfRule>
  </conditionalFormatting>
  <conditionalFormatting sqref="BC31:BD31">
    <cfRule type="cellIs" dxfId="5521" priority="5867" operator="equal">
      <formula>"C-Off-H"</formula>
    </cfRule>
    <cfRule type="cellIs" dxfId="5520" priority="5868" operator="equal">
      <formula>"C-Off"</formula>
    </cfRule>
    <cfRule type="cellIs" dxfId="5519" priority="5869" operator="equal">
      <formula>"CL-H"</formula>
    </cfRule>
    <cfRule type="cellIs" dxfId="5518" priority="5870" operator="equal">
      <formula>"EL-H"</formula>
    </cfRule>
    <cfRule type="cellIs" dxfId="5517" priority="5871" operator="equal">
      <formula>"CL"</formula>
    </cfRule>
    <cfRule type="cellIs" dxfId="5516" priority="5872" operator="equal">
      <formula>"EL"</formula>
    </cfRule>
  </conditionalFormatting>
  <conditionalFormatting sqref="BC31:BD31">
    <cfRule type="containsText" dxfId="5515" priority="5861" operator="containsText" text="S">
      <formula>NOT(ISERROR(SEARCH("S",BC31)))</formula>
    </cfRule>
    <cfRule type="containsText" dxfId="5514" priority="5862" operator="containsText" text="P">
      <formula>NOT(ISERROR(SEARCH("P",BC31)))</formula>
    </cfRule>
    <cfRule type="containsText" dxfId="5513" priority="5863" operator="containsText" text="H">
      <formula>NOT(ISERROR(SEARCH("H",BC31)))</formula>
    </cfRule>
    <cfRule type="containsText" dxfId="5512" priority="5865" operator="containsText" text="&quot;H&quot;">
      <formula>NOT(ISERROR(SEARCH("""H""",BC31)))</formula>
    </cfRule>
    <cfRule type="containsText" dxfId="5511" priority="5866" operator="containsText" text="&quot;A&quot;">
      <formula>NOT(ISERROR(SEARCH("""A""",BC31)))</formula>
    </cfRule>
  </conditionalFormatting>
  <conditionalFormatting sqref="BC31:BD31">
    <cfRule type="containsText" dxfId="5510" priority="5864" operator="containsText" text="A-H">
      <formula>NOT(ISERROR(SEARCH("A-H",BC31)))</formula>
    </cfRule>
  </conditionalFormatting>
  <conditionalFormatting sqref="BF31:BG31">
    <cfRule type="cellIs" dxfId="5509" priority="5855" operator="equal">
      <formula>"C-Off-H"</formula>
    </cfRule>
    <cfRule type="cellIs" dxfId="5508" priority="5856" operator="equal">
      <formula>"C-Off"</formula>
    </cfRule>
    <cfRule type="cellIs" dxfId="5507" priority="5857" operator="equal">
      <formula>"CL-H"</formula>
    </cfRule>
    <cfRule type="cellIs" dxfId="5506" priority="5858" operator="equal">
      <formula>"EL-H"</formula>
    </cfRule>
    <cfRule type="cellIs" dxfId="5505" priority="5859" operator="equal">
      <formula>"CL"</formula>
    </cfRule>
    <cfRule type="cellIs" dxfId="5504" priority="5860" operator="equal">
      <formula>"EL"</formula>
    </cfRule>
  </conditionalFormatting>
  <conditionalFormatting sqref="BF31:BG31">
    <cfRule type="containsText" dxfId="5503" priority="5849" operator="containsText" text="S">
      <formula>NOT(ISERROR(SEARCH("S",BF31)))</formula>
    </cfRule>
    <cfRule type="containsText" dxfId="5502" priority="5850" operator="containsText" text="P">
      <formula>NOT(ISERROR(SEARCH("P",BF31)))</formula>
    </cfRule>
    <cfRule type="containsText" dxfId="5501" priority="5851" operator="containsText" text="H">
      <formula>NOT(ISERROR(SEARCH("H",BF31)))</formula>
    </cfRule>
    <cfRule type="containsText" dxfId="5500" priority="5853" operator="containsText" text="&quot;H&quot;">
      <formula>NOT(ISERROR(SEARCH("""H""",BF31)))</formula>
    </cfRule>
    <cfRule type="containsText" dxfId="5499" priority="5854" operator="containsText" text="&quot;A&quot;">
      <formula>NOT(ISERROR(SEARCH("""A""",BF31)))</formula>
    </cfRule>
  </conditionalFormatting>
  <conditionalFormatting sqref="BF31:BG31">
    <cfRule type="containsText" dxfId="5498" priority="5852" operator="containsText" text="A-H">
      <formula>NOT(ISERROR(SEARCH("A-H",BF31)))</formula>
    </cfRule>
  </conditionalFormatting>
  <conditionalFormatting sqref="BI31:BJ31">
    <cfRule type="cellIs" dxfId="5497" priority="5843" operator="equal">
      <formula>"C-Off-H"</formula>
    </cfRule>
    <cfRule type="cellIs" dxfId="5496" priority="5844" operator="equal">
      <formula>"C-Off"</formula>
    </cfRule>
    <cfRule type="cellIs" dxfId="5495" priority="5845" operator="equal">
      <formula>"CL-H"</formula>
    </cfRule>
    <cfRule type="cellIs" dxfId="5494" priority="5846" operator="equal">
      <formula>"EL-H"</formula>
    </cfRule>
    <cfRule type="cellIs" dxfId="5493" priority="5847" operator="equal">
      <formula>"CL"</formula>
    </cfRule>
    <cfRule type="cellIs" dxfId="5492" priority="5848" operator="equal">
      <formula>"EL"</formula>
    </cfRule>
  </conditionalFormatting>
  <conditionalFormatting sqref="BI31:BJ31">
    <cfRule type="containsText" dxfId="5491" priority="5837" operator="containsText" text="S">
      <formula>NOT(ISERROR(SEARCH("S",BI31)))</formula>
    </cfRule>
    <cfRule type="containsText" dxfId="5490" priority="5838" operator="containsText" text="P">
      <formula>NOT(ISERROR(SEARCH("P",BI31)))</formula>
    </cfRule>
    <cfRule type="containsText" dxfId="5489" priority="5839" operator="containsText" text="H">
      <formula>NOT(ISERROR(SEARCH("H",BI31)))</formula>
    </cfRule>
    <cfRule type="containsText" dxfId="5488" priority="5841" operator="containsText" text="&quot;H&quot;">
      <formula>NOT(ISERROR(SEARCH("""H""",BI31)))</formula>
    </cfRule>
    <cfRule type="containsText" dxfId="5487" priority="5842" operator="containsText" text="&quot;A&quot;">
      <formula>NOT(ISERROR(SEARCH("""A""",BI31)))</formula>
    </cfRule>
  </conditionalFormatting>
  <conditionalFormatting sqref="BI31:BJ31">
    <cfRule type="containsText" dxfId="5486" priority="5840" operator="containsText" text="A-H">
      <formula>NOT(ISERROR(SEARCH("A-H",BI31)))</formula>
    </cfRule>
  </conditionalFormatting>
  <conditionalFormatting sqref="BL31:BM31">
    <cfRule type="cellIs" dxfId="5485" priority="5831" operator="equal">
      <formula>"C-Off-H"</formula>
    </cfRule>
    <cfRule type="cellIs" dxfId="5484" priority="5832" operator="equal">
      <formula>"C-Off"</formula>
    </cfRule>
    <cfRule type="cellIs" dxfId="5483" priority="5833" operator="equal">
      <formula>"CL-H"</formula>
    </cfRule>
    <cfRule type="cellIs" dxfId="5482" priority="5834" operator="equal">
      <formula>"EL-H"</formula>
    </cfRule>
    <cfRule type="cellIs" dxfId="5481" priority="5835" operator="equal">
      <formula>"CL"</formula>
    </cfRule>
    <cfRule type="cellIs" dxfId="5480" priority="5836" operator="equal">
      <formula>"EL"</formula>
    </cfRule>
  </conditionalFormatting>
  <conditionalFormatting sqref="BL31:BM31">
    <cfRule type="containsText" dxfId="5479" priority="5825" operator="containsText" text="S">
      <formula>NOT(ISERROR(SEARCH("S",BL31)))</formula>
    </cfRule>
    <cfRule type="containsText" dxfId="5478" priority="5826" operator="containsText" text="P">
      <formula>NOT(ISERROR(SEARCH("P",BL31)))</formula>
    </cfRule>
    <cfRule type="containsText" dxfId="5477" priority="5827" operator="containsText" text="H">
      <formula>NOT(ISERROR(SEARCH("H",BL31)))</formula>
    </cfRule>
    <cfRule type="containsText" dxfId="5476" priority="5829" operator="containsText" text="&quot;H&quot;">
      <formula>NOT(ISERROR(SEARCH("""H""",BL31)))</formula>
    </cfRule>
    <cfRule type="containsText" dxfId="5475" priority="5830" operator="containsText" text="&quot;A&quot;">
      <formula>NOT(ISERROR(SEARCH("""A""",BL31)))</formula>
    </cfRule>
  </conditionalFormatting>
  <conditionalFormatting sqref="BL31:BM31">
    <cfRule type="containsText" dxfId="5474" priority="5828" operator="containsText" text="A-H">
      <formula>NOT(ISERROR(SEARCH("A-H",BL31)))</formula>
    </cfRule>
  </conditionalFormatting>
  <conditionalFormatting sqref="BR31:BS31">
    <cfRule type="cellIs" dxfId="5473" priority="5819" operator="equal">
      <formula>"C-Off-H"</formula>
    </cfRule>
    <cfRule type="cellIs" dxfId="5472" priority="5820" operator="equal">
      <formula>"C-Off"</formula>
    </cfRule>
    <cfRule type="cellIs" dxfId="5471" priority="5821" operator="equal">
      <formula>"CL-H"</formula>
    </cfRule>
    <cfRule type="cellIs" dxfId="5470" priority="5822" operator="equal">
      <formula>"EL-H"</formula>
    </cfRule>
    <cfRule type="cellIs" dxfId="5469" priority="5823" operator="equal">
      <formula>"CL"</formula>
    </cfRule>
    <cfRule type="cellIs" dxfId="5468" priority="5824" operator="equal">
      <formula>"EL"</formula>
    </cfRule>
  </conditionalFormatting>
  <conditionalFormatting sqref="BR31:BS31">
    <cfRule type="containsText" dxfId="5467" priority="5813" operator="containsText" text="S">
      <formula>NOT(ISERROR(SEARCH("S",BR31)))</formula>
    </cfRule>
    <cfRule type="containsText" dxfId="5466" priority="5814" operator="containsText" text="P">
      <formula>NOT(ISERROR(SEARCH("P",BR31)))</formula>
    </cfRule>
    <cfRule type="containsText" dxfId="5465" priority="5815" operator="containsText" text="H">
      <formula>NOT(ISERROR(SEARCH("H",BR31)))</formula>
    </cfRule>
    <cfRule type="containsText" dxfId="5464" priority="5817" operator="containsText" text="&quot;H&quot;">
      <formula>NOT(ISERROR(SEARCH("""H""",BR31)))</formula>
    </cfRule>
    <cfRule type="containsText" dxfId="5463" priority="5818" operator="containsText" text="&quot;A&quot;">
      <formula>NOT(ISERROR(SEARCH("""A""",BR31)))</formula>
    </cfRule>
  </conditionalFormatting>
  <conditionalFormatting sqref="BR31:BS31">
    <cfRule type="containsText" dxfId="5462" priority="5816" operator="containsText" text="A-H">
      <formula>NOT(ISERROR(SEARCH("A-H",BR31)))</formula>
    </cfRule>
  </conditionalFormatting>
  <conditionalFormatting sqref="BU31:BV31">
    <cfRule type="cellIs" dxfId="5461" priority="5807" operator="equal">
      <formula>"C-Off-H"</formula>
    </cfRule>
    <cfRule type="cellIs" dxfId="5460" priority="5808" operator="equal">
      <formula>"C-Off"</formula>
    </cfRule>
    <cfRule type="cellIs" dxfId="5459" priority="5809" operator="equal">
      <formula>"CL-H"</formula>
    </cfRule>
    <cfRule type="cellIs" dxfId="5458" priority="5810" operator="equal">
      <formula>"EL-H"</formula>
    </cfRule>
    <cfRule type="cellIs" dxfId="5457" priority="5811" operator="equal">
      <formula>"CL"</formula>
    </cfRule>
    <cfRule type="cellIs" dxfId="5456" priority="5812" operator="equal">
      <formula>"EL"</formula>
    </cfRule>
  </conditionalFormatting>
  <conditionalFormatting sqref="BU31:BV31">
    <cfRule type="containsText" dxfId="5455" priority="5801" operator="containsText" text="S">
      <formula>NOT(ISERROR(SEARCH("S",BU31)))</formula>
    </cfRule>
    <cfRule type="containsText" dxfId="5454" priority="5802" operator="containsText" text="P">
      <formula>NOT(ISERROR(SEARCH("P",BU31)))</formula>
    </cfRule>
    <cfRule type="containsText" dxfId="5453" priority="5803" operator="containsText" text="H">
      <formula>NOT(ISERROR(SEARCH("H",BU31)))</formula>
    </cfRule>
    <cfRule type="containsText" dxfId="5452" priority="5805" operator="containsText" text="&quot;H&quot;">
      <formula>NOT(ISERROR(SEARCH("""H""",BU31)))</formula>
    </cfRule>
    <cfRule type="containsText" dxfId="5451" priority="5806" operator="containsText" text="&quot;A&quot;">
      <formula>NOT(ISERROR(SEARCH("""A""",BU31)))</formula>
    </cfRule>
  </conditionalFormatting>
  <conditionalFormatting sqref="BU31:BV31">
    <cfRule type="containsText" dxfId="5450" priority="5804" operator="containsText" text="A-H">
      <formula>NOT(ISERROR(SEARCH("A-H",BU31)))</formula>
    </cfRule>
  </conditionalFormatting>
  <conditionalFormatting sqref="BY31">
    <cfRule type="cellIs" dxfId="5449" priority="5795" operator="equal">
      <formula>"C-Off-H"</formula>
    </cfRule>
    <cfRule type="cellIs" dxfId="5448" priority="5796" operator="equal">
      <formula>"C-Off"</formula>
    </cfRule>
    <cfRule type="cellIs" dxfId="5447" priority="5797" operator="equal">
      <formula>"CL-H"</formula>
    </cfRule>
    <cfRule type="cellIs" dxfId="5446" priority="5798" operator="equal">
      <formula>"EL-H"</formula>
    </cfRule>
    <cfRule type="cellIs" dxfId="5445" priority="5799" operator="equal">
      <formula>"CL"</formula>
    </cfRule>
    <cfRule type="cellIs" dxfId="5444" priority="5800" operator="equal">
      <formula>"EL"</formula>
    </cfRule>
  </conditionalFormatting>
  <conditionalFormatting sqref="BY31">
    <cfRule type="containsText" dxfId="5443" priority="5789" operator="containsText" text="S">
      <formula>NOT(ISERROR(SEARCH("S",BY31)))</formula>
    </cfRule>
    <cfRule type="containsText" dxfId="5442" priority="5790" operator="containsText" text="P">
      <formula>NOT(ISERROR(SEARCH("P",BY31)))</formula>
    </cfRule>
    <cfRule type="containsText" dxfId="5441" priority="5791" operator="containsText" text="H">
      <formula>NOT(ISERROR(SEARCH("H",BY31)))</formula>
    </cfRule>
    <cfRule type="containsText" dxfId="5440" priority="5793" operator="containsText" text="&quot;H&quot;">
      <formula>NOT(ISERROR(SEARCH("""H""",BY31)))</formula>
    </cfRule>
    <cfRule type="containsText" dxfId="5439" priority="5794" operator="containsText" text="&quot;A&quot;">
      <formula>NOT(ISERROR(SEARCH("""A""",BY31)))</formula>
    </cfRule>
  </conditionalFormatting>
  <conditionalFormatting sqref="BY31">
    <cfRule type="containsText" dxfId="5438" priority="5792" operator="containsText" text="A-H">
      <formula>NOT(ISERROR(SEARCH("A-H",BY31)))</formula>
    </cfRule>
  </conditionalFormatting>
  <conditionalFormatting sqref="BX31">
    <cfRule type="cellIs" dxfId="5437" priority="5783" operator="equal">
      <formula>"C-Off-H"</formula>
    </cfRule>
    <cfRule type="cellIs" dxfId="5436" priority="5784" operator="equal">
      <formula>"C-Off"</formula>
    </cfRule>
    <cfRule type="cellIs" dxfId="5435" priority="5785" operator="equal">
      <formula>"CL-H"</formula>
    </cfRule>
    <cfRule type="cellIs" dxfId="5434" priority="5786" operator="equal">
      <formula>"EL-H"</formula>
    </cfRule>
    <cfRule type="cellIs" dxfId="5433" priority="5787" operator="equal">
      <formula>"CL"</formula>
    </cfRule>
    <cfRule type="cellIs" dxfId="5432" priority="5788" operator="equal">
      <formula>"EL"</formula>
    </cfRule>
  </conditionalFormatting>
  <conditionalFormatting sqref="BX31">
    <cfRule type="containsText" dxfId="5431" priority="5777" operator="containsText" text="S">
      <formula>NOT(ISERROR(SEARCH("S",BX31)))</formula>
    </cfRule>
    <cfRule type="containsText" dxfId="5430" priority="5778" operator="containsText" text="P">
      <formula>NOT(ISERROR(SEARCH("P",BX31)))</formula>
    </cfRule>
    <cfRule type="containsText" dxfId="5429" priority="5779" operator="containsText" text="H">
      <formula>NOT(ISERROR(SEARCH("H",BX31)))</formula>
    </cfRule>
    <cfRule type="containsText" dxfId="5428" priority="5781" operator="containsText" text="&quot;H&quot;">
      <formula>NOT(ISERROR(SEARCH("""H""",BX31)))</formula>
    </cfRule>
    <cfRule type="containsText" dxfId="5427" priority="5782" operator="containsText" text="&quot;A&quot;">
      <formula>NOT(ISERROR(SEARCH("""A""",BX31)))</formula>
    </cfRule>
  </conditionalFormatting>
  <conditionalFormatting sqref="BX31">
    <cfRule type="containsText" dxfId="5426" priority="5780" operator="containsText" text="A-H">
      <formula>NOT(ISERROR(SEARCH("A-H",BX31)))</formula>
    </cfRule>
  </conditionalFormatting>
  <conditionalFormatting sqref="CN31">
    <cfRule type="cellIs" dxfId="5425" priority="5771" operator="equal">
      <formula>"C-Off-H"</formula>
    </cfRule>
    <cfRule type="cellIs" dxfId="5424" priority="5772" operator="equal">
      <formula>"C-Off"</formula>
    </cfRule>
    <cfRule type="cellIs" dxfId="5423" priority="5773" operator="equal">
      <formula>"CL-H"</formula>
    </cfRule>
    <cfRule type="cellIs" dxfId="5422" priority="5774" operator="equal">
      <formula>"EL-H"</formula>
    </cfRule>
    <cfRule type="cellIs" dxfId="5421" priority="5775" operator="equal">
      <formula>"CL"</formula>
    </cfRule>
    <cfRule type="cellIs" dxfId="5420" priority="5776" operator="equal">
      <formula>"EL"</formula>
    </cfRule>
  </conditionalFormatting>
  <conditionalFormatting sqref="CN31">
    <cfRule type="containsText" dxfId="5419" priority="5770" operator="containsText" text="A-H">
      <formula>NOT(ISERROR(SEARCH("A-H",CN31)))</formula>
    </cfRule>
  </conditionalFormatting>
  <conditionalFormatting sqref="CN31">
    <cfRule type="containsText" dxfId="5418" priority="5769" operator="containsText" text="A">
      <formula>NOT(ISERROR(SEARCH("A",CN31)))</formula>
    </cfRule>
  </conditionalFormatting>
  <conditionalFormatting sqref="CN31">
    <cfRule type="containsText" dxfId="5417" priority="5764" operator="containsText" text="S">
      <formula>NOT(ISERROR(SEARCH("S",CN31)))</formula>
    </cfRule>
    <cfRule type="containsText" dxfId="5416" priority="5765" operator="containsText" text="P">
      <formula>NOT(ISERROR(SEARCH("P",CN31)))</formula>
    </cfRule>
    <cfRule type="containsText" dxfId="5415" priority="5766" operator="containsText" text="H">
      <formula>NOT(ISERROR(SEARCH("H",CN31)))</formula>
    </cfRule>
    <cfRule type="containsText" dxfId="5414" priority="5767" operator="containsText" text="&quot;H&quot;">
      <formula>NOT(ISERROR(SEARCH("""H""",CN31)))</formula>
    </cfRule>
    <cfRule type="containsText" dxfId="5413" priority="5768" operator="containsText" text="&quot;A&quot;">
      <formula>NOT(ISERROR(SEARCH("""A""",CN31)))</formula>
    </cfRule>
  </conditionalFormatting>
  <conditionalFormatting sqref="CA31:CB31">
    <cfRule type="cellIs" dxfId="5412" priority="5758" operator="equal">
      <formula>"C-Off-H"</formula>
    </cfRule>
    <cfRule type="cellIs" dxfId="5411" priority="5759" operator="equal">
      <formula>"C-Off"</formula>
    </cfRule>
    <cfRule type="cellIs" dxfId="5410" priority="5760" operator="equal">
      <formula>"CL-H"</formula>
    </cfRule>
    <cfRule type="cellIs" dxfId="5409" priority="5761" operator="equal">
      <formula>"EL-H"</formula>
    </cfRule>
    <cfRule type="cellIs" dxfId="5408" priority="5762" operator="equal">
      <formula>"CL"</formula>
    </cfRule>
    <cfRule type="cellIs" dxfId="5407" priority="5763" operator="equal">
      <formula>"EL"</formula>
    </cfRule>
  </conditionalFormatting>
  <conditionalFormatting sqref="CA31:CB31">
    <cfRule type="containsText" dxfId="5406" priority="5752" operator="containsText" text="S">
      <formula>NOT(ISERROR(SEARCH("S",CA31)))</formula>
    </cfRule>
    <cfRule type="containsText" dxfId="5405" priority="5753" operator="containsText" text="P">
      <formula>NOT(ISERROR(SEARCH("P",CA31)))</formula>
    </cfRule>
    <cfRule type="containsText" dxfId="5404" priority="5754" operator="containsText" text="H">
      <formula>NOT(ISERROR(SEARCH("H",CA31)))</formula>
    </cfRule>
    <cfRule type="containsText" dxfId="5403" priority="5756" operator="containsText" text="&quot;H&quot;">
      <formula>NOT(ISERROR(SEARCH("""H""",CA31)))</formula>
    </cfRule>
    <cfRule type="containsText" dxfId="5402" priority="5757" operator="containsText" text="&quot;A&quot;">
      <formula>NOT(ISERROR(SEARCH("""A""",CA31)))</formula>
    </cfRule>
  </conditionalFormatting>
  <conditionalFormatting sqref="CA31:CB31">
    <cfRule type="containsText" dxfId="5401" priority="5755" operator="containsText" text="A-H">
      <formula>NOT(ISERROR(SEARCH("A-H",CA31)))</formula>
    </cfRule>
  </conditionalFormatting>
  <conditionalFormatting sqref="CD31:CE31">
    <cfRule type="cellIs" dxfId="5400" priority="5746" operator="equal">
      <formula>"C-Off-H"</formula>
    </cfRule>
    <cfRule type="cellIs" dxfId="5399" priority="5747" operator="equal">
      <formula>"C-Off"</formula>
    </cfRule>
    <cfRule type="cellIs" dxfId="5398" priority="5748" operator="equal">
      <formula>"CL-H"</formula>
    </cfRule>
    <cfRule type="cellIs" dxfId="5397" priority="5749" operator="equal">
      <formula>"EL-H"</formula>
    </cfRule>
    <cfRule type="cellIs" dxfId="5396" priority="5750" operator="equal">
      <formula>"CL"</formula>
    </cfRule>
    <cfRule type="cellIs" dxfId="5395" priority="5751" operator="equal">
      <formula>"EL"</formula>
    </cfRule>
  </conditionalFormatting>
  <conditionalFormatting sqref="CD31:CE31">
    <cfRule type="containsText" dxfId="5394" priority="5740" operator="containsText" text="S">
      <formula>NOT(ISERROR(SEARCH("S",CD31)))</formula>
    </cfRule>
    <cfRule type="containsText" dxfId="5393" priority="5741" operator="containsText" text="P">
      <formula>NOT(ISERROR(SEARCH("P",CD31)))</formula>
    </cfRule>
    <cfRule type="containsText" dxfId="5392" priority="5742" operator="containsText" text="H">
      <formula>NOT(ISERROR(SEARCH("H",CD31)))</formula>
    </cfRule>
    <cfRule type="containsText" dxfId="5391" priority="5744" operator="containsText" text="&quot;H&quot;">
      <formula>NOT(ISERROR(SEARCH("""H""",CD31)))</formula>
    </cfRule>
    <cfRule type="containsText" dxfId="5390" priority="5745" operator="containsText" text="&quot;A&quot;">
      <formula>NOT(ISERROR(SEARCH("""A""",CD31)))</formula>
    </cfRule>
  </conditionalFormatting>
  <conditionalFormatting sqref="CD31:CE31">
    <cfRule type="containsText" dxfId="5389" priority="5743" operator="containsText" text="A-H">
      <formula>NOT(ISERROR(SEARCH("A-H",CD31)))</formula>
    </cfRule>
  </conditionalFormatting>
  <conditionalFormatting sqref="CH31">
    <cfRule type="cellIs" dxfId="5388" priority="5734" operator="equal">
      <formula>"C-Off-H"</formula>
    </cfRule>
    <cfRule type="cellIs" dxfId="5387" priority="5735" operator="equal">
      <formula>"C-Off"</formula>
    </cfRule>
    <cfRule type="cellIs" dxfId="5386" priority="5736" operator="equal">
      <formula>"CL-H"</formula>
    </cfRule>
    <cfRule type="cellIs" dxfId="5385" priority="5737" operator="equal">
      <formula>"EL-H"</formula>
    </cfRule>
    <cfRule type="cellIs" dxfId="5384" priority="5738" operator="equal">
      <formula>"CL"</formula>
    </cfRule>
    <cfRule type="cellIs" dxfId="5383" priority="5739" operator="equal">
      <formula>"EL"</formula>
    </cfRule>
  </conditionalFormatting>
  <conditionalFormatting sqref="CH31">
    <cfRule type="containsText" dxfId="5382" priority="5728" operator="containsText" text="S">
      <formula>NOT(ISERROR(SEARCH("S",CH31)))</formula>
    </cfRule>
    <cfRule type="containsText" dxfId="5381" priority="5729" operator="containsText" text="P">
      <formula>NOT(ISERROR(SEARCH("P",CH31)))</formula>
    </cfRule>
    <cfRule type="containsText" dxfId="5380" priority="5730" operator="containsText" text="H">
      <formula>NOT(ISERROR(SEARCH("H",CH31)))</formula>
    </cfRule>
    <cfRule type="containsText" dxfId="5379" priority="5732" operator="containsText" text="&quot;H&quot;">
      <formula>NOT(ISERROR(SEARCH("""H""",CH31)))</formula>
    </cfRule>
    <cfRule type="containsText" dxfId="5378" priority="5733" operator="containsText" text="&quot;A&quot;">
      <formula>NOT(ISERROR(SEARCH("""A""",CH31)))</formula>
    </cfRule>
  </conditionalFormatting>
  <conditionalFormatting sqref="CH31">
    <cfRule type="containsText" dxfId="5377" priority="5731" operator="containsText" text="A-H">
      <formula>NOT(ISERROR(SEARCH("A-H",CH31)))</formula>
    </cfRule>
  </conditionalFormatting>
  <conditionalFormatting sqref="CG31">
    <cfRule type="cellIs" dxfId="5376" priority="5722" operator="equal">
      <formula>"C-Off-H"</formula>
    </cfRule>
    <cfRule type="cellIs" dxfId="5375" priority="5723" operator="equal">
      <formula>"C-Off"</formula>
    </cfRule>
    <cfRule type="cellIs" dxfId="5374" priority="5724" operator="equal">
      <formula>"CL-H"</formula>
    </cfRule>
    <cfRule type="cellIs" dxfId="5373" priority="5725" operator="equal">
      <formula>"EL-H"</formula>
    </cfRule>
    <cfRule type="cellIs" dxfId="5372" priority="5726" operator="equal">
      <formula>"CL"</formula>
    </cfRule>
    <cfRule type="cellIs" dxfId="5371" priority="5727" operator="equal">
      <formula>"EL"</formula>
    </cfRule>
  </conditionalFormatting>
  <conditionalFormatting sqref="CG31">
    <cfRule type="containsText" dxfId="5370" priority="5716" operator="containsText" text="S">
      <formula>NOT(ISERROR(SEARCH("S",CG31)))</formula>
    </cfRule>
    <cfRule type="containsText" dxfId="5369" priority="5717" operator="containsText" text="P">
      <formula>NOT(ISERROR(SEARCH("P",CG31)))</formula>
    </cfRule>
    <cfRule type="containsText" dxfId="5368" priority="5718" operator="containsText" text="H">
      <formula>NOT(ISERROR(SEARCH("H",CG31)))</formula>
    </cfRule>
    <cfRule type="containsText" dxfId="5367" priority="5720" operator="containsText" text="&quot;H&quot;">
      <formula>NOT(ISERROR(SEARCH("""H""",CG31)))</formula>
    </cfRule>
    <cfRule type="containsText" dxfId="5366" priority="5721" operator="containsText" text="&quot;A&quot;">
      <formula>NOT(ISERROR(SEARCH("""A""",CG31)))</formula>
    </cfRule>
  </conditionalFormatting>
  <conditionalFormatting sqref="CG31">
    <cfRule type="containsText" dxfId="5365" priority="5719" operator="containsText" text="A-H">
      <formula>NOT(ISERROR(SEARCH("A-H",CG31)))</formula>
    </cfRule>
  </conditionalFormatting>
  <conditionalFormatting sqref="H31">
    <cfRule type="cellIs" dxfId="5364" priority="5679" operator="equal">
      <formula>"C-Off-H"</formula>
    </cfRule>
    <cfRule type="cellIs" dxfId="5363" priority="5680" operator="equal">
      <formula>"C-Off"</formula>
    </cfRule>
    <cfRule type="cellIs" dxfId="5362" priority="5681" operator="equal">
      <formula>"CL-H"</formula>
    </cfRule>
    <cfRule type="cellIs" dxfId="5361" priority="5682" operator="equal">
      <formula>"EL-H"</formula>
    </cfRule>
    <cfRule type="cellIs" dxfId="5360" priority="5683" operator="equal">
      <formula>"CL"</formula>
    </cfRule>
    <cfRule type="cellIs" dxfId="5359" priority="5684" operator="equal">
      <formula>"EL"</formula>
    </cfRule>
  </conditionalFormatting>
  <conditionalFormatting sqref="G31:H31">
    <cfRule type="cellIs" dxfId="5358" priority="5673" operator="equal">
      <formula>"C-Off-H"</formula>
    </cfRule>
    <cfRule type="cellIs" dxfId="5357" priority="5674" operator="equal">
      <formula>"C-Off"</formula>
    </cfRule>
    <cfRule type="cellIs" dxfId="5356" priority="5675" operator="equal">
      <formula>"CL-H"</formula>
    </cfRule>
    <cfRule type="cellIs" dxfId="5355" priority="5676" operator="equal">
      <formula>"EL-H"</formula>
    </cfRule>
    <cfRule type="cellIs" dxfId="5354" priority="5677" operator="equal">
      <formula>"CL"</formula>
    </cfRule>
    <cfRule type="cellIs" dxfId="5353" priority="5678" operator="equal">
      <formula>"EL"</formula>
    </cfRule>
  </conditionalFormatting>
  <conditionalFormatting sqref="G31:H31">
    <cfRule type="containsText" dxfId="5352" priority="5667" operator="containsText" text="S">
      <formula>NOT(ISERROR(SEARCH("S",G31)))</formula>
    </cfRule>
    <cfRule type="containsText" dxfId="5351" priority="5668" operator="containsText" text="P">
      <formula>NOT(ISERROR(SEARCH("P",G31)))</formula>
    </cfRule>
    <cfRule type="containsText" dxfId="5350" priority="5669" operator="containsText" text="H">
      <formula>NOT(ISERROR(SEARCH("H",G31)))</formula>
    </cfRule>
    <cfRule type="containsText" dxfId="5349" priority="5671" operator="containsText" text="&quot;H&quot;">
      <formula>NOT(ISERROR(SEARCH("""H""",G31)))</formula>
    </cfRule>
    <cfRule type="containsText" dxfId="5348" priority="5672" operator="containsText" text="&quot;A&quot;">
      <formula>NOT(ISERROR(SEARCH("""A""",G31)))</formula>
    </cfRule>
  </conditionalFormatting>
  <conditionalFormatting sqref="G31:H31">
    <cfRule type="containsText" dxfId="5347" priority="5670" operator="containsText" text="A-H">
      <formula>NOT(ISERROR(SEARCH("A-H",G31)))</formula>
    </cfRule>
  </conditionalFormatting>
  <conditionalFormatting sqref="K31">
    <cfRule type="cellIs" dxfId="5346" priority="5661" operator="equal">
      <formula>"C-Off-H"</formula>
    </cfRule>
    <cfRule type="cellIs" dxfId="5345" priority="5662" operator="equal">
      <formula>"C-Off"</formula>
    </cfRule>
    <cfRule type="cellIs" dxfId="5344" priority="5663" operator="equal">
      <formula>"CL-H"</formula>
    </cfRule>
    <cfRule type="cellIs" dxfId="5343" priority="5664" operator="equal">
      <formula>"EL-H"</formula>
    </cfRule>
    <cfRule type="cellIs" dxfId="5342" priority="5665" operator="equal">
      <formula>"CL"</formula>
    </cfRule>
    <cfRule type="cellIs" dxfId="5341" priority="5666" operator="equal">
      <formula>"EL"</formula>
    </cfRule>
  </conditionalFormatting>
  <conditionalFormatting sqref="J31:K31">
    <cfRule type="cellIs" dxfId="5340" priority="5655" operator="equal">
      <formula>"C-Off-H"</formula>
    </cfRule>
    <cfRule type="cellIs" dxfId="5339" priority="5656" operator="equal">
      <formula>"C-Off"</formula>
    </cfRule>
    <cfRule type="cellIs" dxfId="5338" priority="5657" operator="equal">
      <formula>"CL-H"</formula>
    </cfRule>
    <cfRule type="cellIs" dxfId="5337" priority="5658" operator="equal">
      <formula>"EL-H"</formula>
    </cfRule>
    <cfRule type="cellIs" dxfId="5336" priority="5659" operator="equal">
      <formula>"CL"</formula>
    </cfRule>
    <cfRule type="cellIs" dxfId="5335" priority="5660" operator="equal">
      <formula>"EL"</formula>
    </cfRule>
  </conditionalFormatting>
  <conditionalFormatting sqref="J31:K31">
    <cfRule type="containsText" dxfId="5334" priority="5649" operator="containsText" text="S">
      <formula>NOT(ISERROR(SEARCH("S",J31)))</formula>
    </cfRule>
    <cfRule type="containsText" dxfId="5333" priority="5650" operator="containsText" text="P">
      <formula>NOT(ISERROR(SEARCH("P",J31)))</formula>
    </cfRule>
    <cfRule type="containsText" dxfId="5332" priority="5651" operator="containsText" text="H">
      <formula>NOT(ISERROR(SEARCH("H",J31)))</formula>
    </cfRule>
    <cfRule type="containsText" dxfId="5331" priority="5653" operator="containsText" text="&quot;H&quot;">
      <formula>NOT(ISERROR(SEARCH("""H""",J31)))</formula>
    </cfRule>
    <cfRule type="containsText" dxfId="5330" priority="5654" operator="containsText" text="&quot;A&quot;">
      <formula>NOT(ISERROR(SEARCH("""A""",J31)))</formula>
    </cfRule>
  </conditionalFormatting>
  <conditionalFormatting sqref="J31:K31">
    <cfRule type="containsText" dxfId="5329" priority="5652" operator="containsText" text="A-H">
      <formula>NOT(ISERROR(SEARCH("A-H",J31)))</formula>
    </cfRule>
  </conditionalFormatting>
  <conditionalFormatting sqref="N31">
    <cfRule type="cellIs" dxfId="5328" priority="5643" operator="equal">
      <formula>"C-Off-H"</formula>
    </cfRule>
    <cfRule type="cellIs" dxfId="5327" priority="5644" operator="equal">
      <formula>"C-Off"</formula>
    </cfRule>
    <cfRule type="cellIs" dxfId="5326" priority="5645" operator="equal">
      <formula>"CL-H"</formula>
    </cfRule>
    <cfRule type="cellIs" dxfId="5325" priority="5646" operator="equal">
      <formula>"EL-H"</formula>
    </cfRule>
    <cfRule type="cellIs" dxfId="5324" priority="5647" operator="equal">
      <formula>"CL"</formula>
    </cfRule>
    <cfRule type="cellIs" dxfId="5323" priority="5648" operator="equal">
      <formula>"EL"</formula>
    </cfRule>
  </conditionalFormatting>
  <conditionalFormatting sqref="M31:N31">
    <cfRule type="cellIs" dxfId="5322" priority="5637" operator="equal">
      <formula>"C-Off-H"</formula>
    </cfRule>
    <cfRule type="cellIs" dxfId="5321" priority="5638" operator="equal">
      <formula>"C-Off"</formula>
    </cfRule>
    <cfRule type="cellIs" dxfId="5320" priority="5639" operator="equal">
      <formula>"CL-H"</formula>
    </cfRule>
    <cfRule type="cellIs" dxfId="5319" priority="5640" operator="equal">
      <formula>"EL-H"</formula>
    </cfRule>
    <cfRule type="cellIs" dxfId="5318" priority="5641" operator="equal">
      <formula>"CL"</formula>
    </cfRule>
    <cfRule type="cellIs" dxfId="5317" priority="5642" operator="equal">
      <formula>"EL"</formula>
    </cfRule>
  </conditionalFormatting>
  <conditionalFormatting sqref="M31:N31">
    <cfRule type="containsText" dxfId="5316" priority="5631" operator="containsText" text="S">
      <formula>NOT(ISERROR(SEARCH("S",M31)))</formula>
    </cfRule>
    <cfRule type="containsText" dxfId="5315" priority="5632" operator="containsText" text="P">
      <formula>NOT(ISERROR(SEARCH("P",M31)))</formula>
    </cfRule>
    <cfRule type="containsText" dxfId="5314" priority="5633" operator="containsText" text="H">
      <formula>NOT(ISERROR(SEARCH("H",M31)))</formula>
    </cfRule>
    <cfRule type="containsText" dxfId="5313" priority="5635" operator="containsText" text="&quot;H&quot;">
      <formula>NOT(ISERROR(SEARCH("""H""",M31)))</formula>
    </cfRule>
    <cfRule type="containsText" dxfId="5312" priority="5636" operator="containsText" text="&quot;A&quot;">
      <formula>NOT(ISERROR(SEARCH("""A""",M31)))</formula>
    </cfRule>
  </conditionalFormatting>
  <conditionalFormatting sqref="M31:N31">
    <cfRule type="containsText" dxfId="5311" priority="5634" operator="containsText" text="A-H">
      <formula>NOT(ISERROR(SEARCH("A-H",M31)))</formula>
    </cfRule>
  </conditionalFormatting>
  <conditionalFormatting sqref="K32">
    <cfRule type="cellIs" dxfId="5310" priority="5625" operator="equal">
      <formula>"C-Off-H"</formula>
    </cfRule>
    <cfRule type="cellIs" dxfId="5309" priority="5626" operator="equal">
      <formula>"C-Off"</formula>
    </cfRule>
    <cfRule type="cellIs" dxfId="5308" priority="5627" operator="equal">
      <formula>"CL-H"</formula>
    </cfRule>
    <cfRule type="cellIs" dxfId="5307" priority="5628" operator="equal">
      <formula>"EL-H"</formula>
    </cfRule>
    <cfRule type="cellIs" dxfId="5306" priority="5629" operator="equal">
      <formula>"CL"</formula>
    </cfRule>
    <cfRule type="cellIs" dxfId="5305" priority="5630" operator="equal">
      <formula>"EL"</formula>
    </cfRule>
  </conditionalFormatting>
  <conditionalFormatting sqref="K32">
    <cfRule type="containsText" dxfId="5304" priority="5624" operator="containsText" text="A-H">
      <formula>NOT(ISERROR(SEARCH("A-H",K32)))</formula>
    </cfRule>
  </conditionalFormatting>
  <conditionalFormatting sqref="K32">
    <cfRule type="containsText" dxfId="5303" priority="5619" operator="containsText" text="S">
      <formula>NOT(ISERROR(SEARCH("S",K32)))</formula>
    </cfRule>
    <cfRule type="containsText" dxfId="5302" priority="5620" operator="containsText" text="P">
      <formula>NOT(ISERROR(SEARCH("P",K32)))</formula>
    </cfRule>
    <cfRule type="containsText" dxfId="5301" priority="5621" operator="containsText" text="H">
      <formula>NOT(ISERROR(SEARCH("H",K32)))</formula>
    </cfRule>
    <cfRule type="containsText" dxfId="5300" priority="5622" operator="containsText" text="&quot;H&quot;">
      <formula>NOT(ISERROR(SEARCH("""H""",K32)))</formula>
    </cfRule>
    <cfRule type="containsText" dxfId="5299" priority="5623" operator="containsText" text="&quot;A&quot;">
      <formula>NOT(ISERROR(SEARCH("""A""",K32)))</formula>
    </cfRule>
  </conditionalFormatting>
  <conditionalFormatting sqref="DC37 CQ37:CW37 M37:N37 CX36:CX38 Z36:Z38 CN36:CN37">
    <cfRule type="cellIs" dxfId="5298" priority="5587" operator="equal">
      <formula>"C-Off-H"</formula>
    </cfRule>
    <cfRule type="cellIs" dxfId="5297" priority="5588" operator="equal">
      <formula>"C-Off"</formula>
    </cfRule>
    <cfRule type="cellIs" dxfId="5296" priority="5589" operator="equal">
      <formula>"CL-H"</formula>
    </cfRule>
    <cfRule type="cellIs" dxfId="5295" priority="5590" operator="equal">
      <formula>"EL-H"</formula>
    </cfRule>
    <cfRule type="cellIs" dxfId="5294" priority="5591" operator="equal">
      <formula>"CL"</formula>
    </cfRule>
    <cfRule type="cellIs" dxfId="5293" priority="5592" operator="equal">
      <formula>"EL"</formula>
    </cfRule>
  </conditionalFormatting>
  <conditionalFormatting sqref="CQ37:CW37 M37:N37 CY37:DA37 DC37 CX36:CX38 Z36:Z38 CN36:CN37">
    <cfRule type="containsText" dxfId="5292" priority="5586" operator="containsText" text="A-H">
      <formula>NOT(ISERROR(SEARCH("A-H",M36)))</formula>
    </cfRule>
  </conditionalFormatting>
  <conditionalFormatting sqref="CQ37:CW37 CY37:DA37 DC37 CX36:CX38 CN36:CN37">
    <cfRule type="containsText" dxfId="5291" priority="5585" operator="containsText" text="A">
      <formula>NOT(ISERROR(SEARCH("A",CN36)))</formula>
    </cfRule>
  </conditionalFormatting>
  <conditionalFormatting sqref="DA37 CY37">
    <cfRule type="cellIs" dxfId="5290" priority="5579" stopIfTrue="1" operator="equal">
      <formula>"C-Off-H"</formula>
    </cfRule>
    <cfRule type="cellIs" dxfId="5289" priority="5580" stopIfTrue="1" operator="equal">
      <formula>"C-Off"</formula>
    </cfRule>
    <cfRule type="cellIs" dxfId="5288" priority="5581" stopIfTrue="1" operator="equal">
      <formula>"CL-H"</formula>
    </cfRule>
    <cfRule type="cellIs" dxfId="5287" priority="5582" stopIfTrue="1" operator="equal">
      <formula>"EL-H"</formula>
    </cfRule>
    <cfRule type="cellIs" dxfId="5286" priority="5583" stopIfTrue="1" operator="equal">
      <formula>"CL"</formula>
    </cfRule>
    <cfRule type="cellIs" dxfId="5285" priority="5584" stopIfTrue="1" operator="equal">
      <formula>"EL"</formula>
    </cfRule>
  </conditionalFormatting>
  <conditionalFormatting sqref="CZ37">
    <cfRule type="cellIs" dxfId="5284" priority="5573" stopIfTrue="1" operator="equal">
      <formula>"C-Off-H"</formula>
    </cfRule>
    <cfRule type="cellIs" dxfId="5283" priority="5574" stopIfTrue="1" operator="equal">
      <formula>"C-Off"</formula>
    </cfRule>
    <cfRule type="cellIs" dxfId="5282" priority="5575" stopIfTrue="1" operator="equal">
      <formula>"CL-H"</formula>
    </cfRule>
    <cfRule type="cellIs" dxfId="5281" priority="5576" stopIfTrue="1" operator="equal">
      <formula>"EL-H"</formula>
    </cfRule>
    <cfRule type="cellIs" dxfId="5280" priority="5577" stopIfTrue="1" operator="equal">
      <formula>"CL"</formula>
    </cfRule>
    <cfRule type="cellIs" dxfId="5279" priority="5578" stopIfTrue="1" operator="equal">
      <formula>"EL"</formula>
    </cfRule>
  </conditionalFormatting>
  <conditionalFormatting sqref="M37:N37 Z36:Z38 CN36:CN37">
    <cfRule type="containsText" dxfId="5278" priority="5568" operator="containsText" text="S">
      <formula>NOT(ISERROR(SEARCH("S",M36)))</formula>
    </cfRule>
    <cfRule type="containsText" dxfId="5277" priority="5569" operator="containsText" text="P">
      <formula>NOT(ISERROR(SEARCH("P",M36)))</formula>
    </cfRule>
    <cfRule type="containsText" dxfId="5276" priority="5570" operator="containsText" text="H">
      <formula>NOT(ISERROR(SEARCH("H",M36)))</formula>
    </cfRule>
    <cfRule type="containsText" dxfId="5275" priority="5571" operator="containsText" text="&quot;H&quot;">
      <formula>NOT(ISERROR(SEARCH("""H""",M36)))</formula>
    </cfRule>
    <cfRule type="containsText" dxfId="5274" priority="5572" operator="containsText" text="&quot;A&quot;">
      <formula>NOT(ISERROR(SEARCH("""A""",M36)))</formula>
    </cfRule>
  </conditionalFormatting>
  <conditionalFormatting sqref="DD37">
    <cfRule type="cellIs" dxfId="5273" priority="5562" operator="equal">
      <formula>"C-Off-H"</formula>
    </cfRule>
    <cfRule type="cellIs" dxfId="5272" priority="5563" operator="equal">
      <formula>"C-Off"</formula>
    </cfRule>
    <cfRule type="cellIs" dxfId="5271" priority="5564" operator="equal">
      <formula>"CL-H"</formula>
    </cfRule>
    <cfRule type="cellIs" dxfId="5270" priority="5565" operator="equal">
      <formula>"EL-H"</formula>
    </cfRule>
    <cfRule type="cellIs" dxfId="5269" priority="5566" operator="equal">
      <formula>"CL"</formula>
    </cfRule>
    <cfRule type="cellIs" dxfId="5268" priority="5567" operator="equal">
      <formula>"EL"</formula>
    </cfRule>
  </conditionalFormatting>
  <conditionalFormatting sqref="DD37">
    <cfRule type="containsText" dxfId="5267" priority="5561" operator="containsText" text="A">
      <formula>NOT(ISERROR(SEARCH("A",DD37)))</formula>
    </cfRule>
  </conditionalFormatting>
  <conditionalFormatting sqref="DD37">
    <cfRule type="containsText" dxfId="5266" priority="5560" operator="containsText" text="A-H">
      <formula>NOT(ISERROR(SEARCH("A-H",DD37)))</formula>
    </cfRule>
  </conditionalFormatting>
  <conditionalFormatting sqref="AI37">
    <cfRule type="cellIs" dxfId="5265" priority="5554" operator="equal">
      <formula>"C-Off-H"</formula>
    </cfRule>
    <cfRule type="cellIs" dxfId="5264" priority="5555" operator="equal">
      <formula>"C-Off"</formula>
    </cfRule>
    <cfRule type="cellIs" dxfId="5263" priority="5556" operator="equal">
      <formula>"CL-H"</formula>
    </cfRule>
    <cfRule type="cellIs" dxfId="5262" priority="5557" operator="equal">
      <formula>"EL-H"</formula>
    </cfRule>
    <cfRule type="cellIs" dxfId="5261" priority="5558" operator="equal">
      <formula>"CL"</formula>
    </cfRule>
    <cfRule type="cellIs" dxfId="5260" priority="5559" operator="equal">
      <formula>"EL"</formula>
    </cfRule>
  </conditionalFormatting>
  <conditionalFormatting sqref="AH37:AI37">
    <cfRule type="cellIs" dxfId="5259" priority="5548" operator="equal">
      <formula>"C-Off-H"</formula>
    </cfRule>
    <cfRule type="cellIs" dxfId="5258" priority="5549" operator="equal">
      <formula>"C-Off"</formula>
    </cfRule>
    <cfRule type="cellIs" dxfId="5257" priority="5550" operator="equal">
      <formula>"CL-H"</formula>
    </cfRule>
    <cfRule type="cellIs" dxfId="5256" priority="5551" operator="equal">
      <formula>"EL-H"</formula>
    </cfRule>
    <cfRule type="cellIs" dxfId="5255" priority="5552" operator="equal">
      <formula>"CL"</formula>
    </cfRule>
    <cfRule type="cellIs" dxfId="5254" priority="5553" operator="equal">
      <formula>"EL"</formula>
    </cfRule>
  </conditionalFormatting>
  <conditionalFormatting sqref="AH37:AI37">
    <cfRule type="containsText" dxfId="5253" priority="5542" operator="containsText" text="S">
      <formula>NOT(ISERROR(SEARCH("S",AH37)))</formula>
    </cfRule>
    <cfRule type="containsText" dxfId="5252" priority="5543" operator="containsText" text="P">
      <formula>NOT(ISERROR(SEARCH("P",AH37)))</formula>
    </cfRule>
    <cfRule type="containsText" dxfId="5251" priority="5544" operator="containsText" text="H">
      <formula>NOT(ISERROR(SEARCH("H",AH37)))</formula>
    </cfRule>
    <cfRule type="containsText" dxfId="5250" priority="5546" operator="containsText" text="&quot;H&quot;">
      <formula>NOT(ISERROR(SEARCH("""H""",AH37)))</formula>
    </cfRule>
    <cfRule type="containsText" dxfId="5249" priority="5547" operator="containsText" text="&quot;A&quot;">
      <formula>NOT(ISERROR(SEARCH("""A""",AH37)))</formula>
    </cfRule>
  </conditionalFormatting>
  <conditionalFormatting sqref="AH37:AI37">
    <cfRule type="containsText" dxfId="5248" priority="5545" operator="containsText" text="A-H">
      <formula>NOT(ISERROR(SEARCH("A-H",AH37)))</formula>
    </cfRule>
  </conditionalFormatting>
  <conditionalFormatting sqref="AU37">
    <cfRule type="cellIs" dxfId="5247" priority="5536" operator="equal">
      <formula>"C-Off-H"</formula>
    </cfRule>
    <cfRule type="cellIs" dxfId="5246" priority="5537" operator="equal">
      <formula>"C-Off"</formula>
    </cfRule>
    <cfRule type="cellIs" dxfId="5245" priority="5538" operator="equal">
      <formula>"CL-H"</formula>
    </cfRule>
    <cfRule type="cellIs" dxfId="5244" priority="5539" operator="equal">
      <formula>"EL-H"</formula>
    </cfRule>
    <cfRule type="cellIs" dxfId="5243" priority="5540" operator="equal">
      <formula>"CL"</formula>
    </cfRule>
    <cfRule type="cellIs" dxfId="5242" priority="5541" operator="equal">
      <formula>"EL"</formula>
    </cfRule>
  </conditionalFormatting>
  <conditionalFormatting sqref="AT37:AU37">
    <cfRule type="cellIs" dxfId="5241" priority="5530" operator="equal">
      <formula>"C-Off-H"</formula>
    </cfRule>
    <cfRule type="cellIs" dxfId="5240" priority="5531" operator="equal">
      <formula>"C-Off"</formula>
    </cfRule>
    <cfRule type="cellIs" dxfId="5239" priority="5532" operator="equal">
      <formula>"CL-H"</formula>
    </cfRule>
    <cfRule type="cellIs" dxfId="5238" priority="5533" operator="equal">
      <formula>"EL-H"</formula>
    </cfRule>
    <cfRule type="cellIs" dxfId="5237" priority="5534" operator="equal">
      <formula>"CL"</formula>
    </cfRule>
    <cfRule type="cellIs" dxfId="5236" priority="5535" operator="equal">
      <formula>"EL"</formula>
    </cfRule>
  </conditionalFormatting>
  <conditionalFormatting sqref="AT37:AU37">
    <cfRule type="containsText" dxfId="5235" priority="5524" operator="containsText" text="S">
      <formula>NOT(ISERROR(SEARCH("S",AT37)))</formula>
    </cfRule>
    <cfRule type="containsText" dxfId="5234" priority="5525" operator="containsText" text="P">
      <formula>NOT(ISERROR(SEARCH("P",AT37)))</formula>
    </cfRule>
    <cfRule type="containsText" dxfId="5233" priority="5526" operator="containsText" text="H">
      <formula>NOT(ISERROR(SEARCH("H",AT37)))</formula>
    </cfRule>
    <cfRule type="containsText" dxfId="5232" priority="5528" operator="containsText" text="&quot;H&quot;">
      <formula>NOT(ISERROR(SEARCH("""H""",AT37)))</formula>
    </cfRule>
    <cfRule type="containsText" dxfId="5231" priority="5529" operator="containsText" text="&quot;A&quot;">
      <formula>NOT(ISERROR(SEARCH("""A""",AT37)))</formula>
    </cfRule>
  </conditionalFormatting>
  <conditionalFormatting sqref="AT37:AU37">
    <cfRule type="containsText" dxfId="5230" priority="5527" operator="containsText" text="A-H">
      <formula>NOT(ISERROR(SEARCH("A-H",AT37)))</formula>
    </cfRule>
  </conditionalFormatting>
  <conditionalFormatting sqref="E37">
    <cfRule type="cellIs" dxfId="5229" priority="5518" operator="equal">
      <formula>"C-Off-H"</formula>
    </cfRule>
    <cfRule type="cellIs" dxfId="5228" priority="5519" operator="equal">
      <formula>"C-Off"</formula>
    </cfRule>
    <cfRule type="cellIs" dxfId="5227" priority="5520" operator="equal">
      <formula>"CL-H"</formula>
    </cfRule>
    <cfRule type="cellIs" dxfId="5226" priority="5521" operator="equal">
      <formula>"EL-H"</formula>
    </cfRule>
    <cfRule type="cellIs" dxfId="5225" priority="5522" operator="equal">
      <formula>"CL"</formula>
    </cfRule>
    <cfRule type="cellIs" dxfId="5224" priority="5523" operator="equal">
      <formula>"EL"</formula>
    </cfRule>
  </conditionalFormatting>
  <conditionalFormatting sqref="D37:E37">
    <cfRule type="cellIs" dxfId="5223" priority="5512" operator="equal">
      <formula>"C-Off-H"</formula>
    </cfRule>
    <cfRule type="cellIs" dxfId="5222" priority="5513" operator="equal">
      <formula>"C-Off"</formula>
    </cfRule>
    <cfRule type="cellIs" dxfId="5221" priority="5514" operator="equal">
      <formula>"CL-H"</formula>
    </cfRule>
    <cfRule type="cellIs" dxfId="5220" priority="5515" operator="equal">
      <formula>"EL-H"</formula>
    </cfRule>
    <cfRule type="cellIs" dxfId="5219" priority="5516" operator="equal">
      <formula>"CL"</formula>
    </cfRule>
    <cfRule type="cellIs" dxfId="5218" priority="5517" operator="equal">
      <formula>"EL"</formula>
    </cfRule>
  </conditionalFormatting>
  <conditionalFormatting sqref="D37:E37">
    <cfRule type="containsText" dxfId="5217" priority="5506" operator="containsText" text="S">
      <formula>NOT(ISERROR(SEARCH("S",D37)))</formula>
    </cfRule>
    <cfRule type="containsText" dxfId="5216" priority="5507" operator="containsText" text="P">
      <formula>NOT(ISERROR(SEARCH("P",D37)))</formula>
    </cfRule>
    <cfRule type="containsText" dxfId="5215" priority="5508" operator="containsText" text="H">
      <formula>NOT(ISERROR(SEARCH("H",D37)))</formula>
    </cfRule>
    <cfRule type="containsText" dxfId="5214" priority="5510" operator="containsText" text="&quot;H&quot;">
      <formula>NOT(ISERROR(SEARCH("""H""",D37)))</formula>
    </cfRule>
    <cfRule type="containsText" dxfId="5213" priority="5511" operator="containsText" text="&quot;A&quot;">
      <formula>NOT(ISERROR(SEARCH("""A""",D37)))</formula>
    </cfRule>
  </conditionalFormatting>
  <conditionalFormatting sqref="D37:E37">
    <cfRule type="containsText" dxfId="5212" priority="5509" operator="containsText" text="A-H">
      <formula>NOT(ISERROR(SEARCH("A-H",D37)))</formula>
    </cfRule>
  </conditionalFormatting>
  <conditionalFormatting sqref="Y37">
    <cfRule type="cellIs" dxfId="5211" priority="5500" operator="equal">
      <formula>"C-Off-H"</formula>
    </cfRule>
    <cfRule type="cellIs" dxfId="5210" priority="5501" operator="equal">
      <formula>"C-Off"</formula>
    </cfRule>
    <cfRule type="cellIs" dxfId="5209" priority="5502" operator="equal">
      <formula>"CL-H"</formula>
    </cfRule>
    <cfRule type="cellIs" dxfId="5208" priority="5503" operator="equal">
      <formula>"EL-H"</formula>
    </cfRule>
    <cfRule type="cellIs" dxfId="5207" priority="5504" operator="equal">
      <formula>"CL"</formula>
    </cfRule>
    <cfRule type="cellIs" dxfId="5206" priority="5505" operator="equal">
      <formula>"EL"</formula>
    </cfRule>
  </conditionalFormatting>
  <conditionalFormatting sqref="Y37">
    <cfRule type="containsText" dxfId="5205" priority="5494" operator="containsText" text="S">
      <formula>NOT(ISERROR(SEARCH("S",Y37)))</formula>
    </cfRule>
    <cfRule type="containsText" dxfId="5204" priority="5495" operator="containsText" text="P">
      <formula>NOT(ISERROR(SEARCH("P",Y37)))</formula>
    </cfRule>
    <cfRule type="containsText" dxfId="5203" priority="5496" operator="containsText" text="H">
      <formula>NOT(ISERROR(SEARCH("H",Y37)))</formula>
    </cfRule>
    <cfRule type="containsText" dxfId="5202" priority="5498" operator="containsText" text="&quot;H&quot;">
      <formula>NOT(ISERROR(SEARCH("""H""",Y37)))</formula>
    </cfRule>
    <cfRule type="containsText" dxfId="5201" priority="5499" operator="containsText" text="&quot;A&quot;">
      <formula>NOT(ISERROR(SEARCH("""A""",Y37)))</formula>
    </cfRule>
  </conditionalFormatting>
  <conditionalFormatting sqref="Y37">
    <cfRule type="containsText" dxfId="5200" priority="5497" operator="containsText" text="A-H">
      <formula>NOT(ISERROR(SEARCH("A-H",Y37)))</formula>
    </cfRule>
  </conditionalFormatting>
  <conditionalFormatting sqref="AF37">
    <cfRule type="cellIs" dxfId="5199" priority="5488" operator="equal">
      <formula>"C-Off-H"</formula>
    </cfRule>
    <cfRule type="cellIs" dxfId="5198" priority="5489" operator="equal">
      <formula>"C-Off"</formula>
    </cfRule>
    <cfRule type="cellIs" dxfId="5197" priority="5490" operator="equal">
      <formula>"CL-H"</formula>
    </cfRule>
    <cfRule type="cellIs" dxfId="5196" priority="5491" operator="equal">
      <formula>"EL-H"</formula>
    </cfRule>
    <cfRule type="cellIs" dxfId="5195" priority="5492" operator="equal">
      <formula>"CL"</formula>
    </cfRule>
    <cfRule type="cellIs" dxfId="5194" priority="5493" operator="equal">
      <formula>"EL"</formula>
    </cfRule>
  </conditionalFormatting>
  <conditionalFormatting sqref="AF37">
    <cfRule type="containsText" dxfId="5193" priority="5482" operator="containsText" text="S">
      <formula>NOT(ISERROR(SEARCH("S",AF37)))</formula>
    </cfRule>
    <cfRule type="containsText" dxfId="5192" priority="5483" operator="containsText" text="P">
      <formula>NOT(ISERROR(SEARCH("P",AF37)))</formula>
    </cfRule>
    <cfRule type="containsText" dxfId="5191" priority="5484" operator="containsText" text="H">
      <formula>NOT(ISERROR(SEARCH("H",AF37)))</formula>
    </cfRule>
    <cfRule type="containsText" dxfId="5190" priority="5486" operator="containsText" text="&quot;H&quot;">
      <formula>NOT(ISERROR(SEARCH("""H""",AF37)))</formula>
    </cfRule>
    <cfRule type="containsText" dxfId="5189" priority="5487" operator="containsText" text="&quot;A&quot;">
      <formula>NOT(ISERROR(SEARCH("""A""",AF37)))</formula>
    </cfRule>
  </conditionalFormatting>
  <conditionalFormatting sqref="AF37">
    <cfRule type="containsText" dxfId="5188" priority="5485" operator="containsText" text="A-H">
      <formula>NOT(ISERROR(SEARCH("A-H",AF37)))</formula>
    </cfRule>
  </conditionalFormatting>
  <conditionalFormatting sqref="BO37:BP37">
    <cfRule type="cellIs" dxfId="5187" priority="5476" operator="equal">
      <formula>"C-Off-H"</formula>
    </cfRule>
    <cfRule type="cellIs" dxfId="5186" priority="5477" operator="equal">
      <formula>"C-Off"</formula>
    </cfRule>
    <cfRule type="cellIs" dxfId="5185" priority="5478" operator="equal">
      <formula>"CL-H"</formula>
    </cfRule>
    <cfRule type="cellIs" dxfId="5184" priority="5479" operator="equal">
      <formula>"EL-H"</formula>
    </cfRule>
    <cfRule type="cellIs" dxfId="5183" priority="5480" operator="equal">
      <formula>"CL"</formula>
    </cfRule>
    <cfRule type="cellIs" dxfId="5182" priority="5481" operator="equal">
      <formula>"EL"</formula>
    </cfRule>
  </conditionalFormatting>
  <conditionalFormatting sqref="BO37:BP37">
    <cfRule type="cellIs" dxfId="5181" priority="5470" operator="equal">
      <formula>"C-Off-H"</formula>
    </cfRule>
    <cfRule type="cellIs" dxfId="5180" priority="5471" operator="equal">
      <formula>"C-Off"</formula>
    </cfRule>
    <cfRule type="cellIs" dxfId="5179" priority="5472" operator="equal">
      <formula>"CL-H"</formula>
    </cfRule>
    <cfRule type="cellIs" dxfId="5178" priority="5473" operator="equal">
      <formula>"EL-H"</formula>
    </cfRule>
    <cfRule type="cellIs" dxfId="5177" priority="5474" operator="equal">
      <formula>"CL"</formula>
    </cfRule>
    <cfRule type="cellIs" dxfId="5176" priority="5475" operator="equal">
      <formula>"EL"</formula>
    </cfRule>
  </conditionalFormatting>
  <conditionalFormatting sqref="BO37:BP37">
    <cfRule type="containsText" dxfId="5175" priority="5464" operator="containsText" text="S">
      <formula>NOT(ISERROR(SEARCH("S",BO37)))</formula>
    </cfRule>
    <cfRule type="containsText" dxfId="5174" priority="5465" operator="containsText" text="P">
      <formula>NOT(ISERROR(SEARCH("P",BO37)))</formula>
    </cfRule>
    <cfRule type="containsText" dxfId="5173" priority="5466" operator="containsText" text="H">
      <formula>NOT(ISERROR(SEARCH("H",BO37)))</formula>
    </cfRule>
    <cfRule type="containsText" dxfId="5172" priority="5468" operator="containsText" text="&quot;H&quot;">
      <formula>NOT(ISERROR(SEARCH("""H""",BO37)))</formula>
    </cfRule>
    <cfRule type="containsText" dxfId="5171" priority="5469" operator="containsText" text="&quot;A&quot;">
      <formula>NOT(ISERROR(SEARCH("""A""",BO37)))</formula>
    </cfRule>
  </conditionalFormatting>
  <conditionalFormatting sqref="BO37:BP37">
    <cfRule type="containsText" dxfId="5170" priority="5467" operator="containsText" text="A-H">
      <formula>NOT(ISERROR(SEARCH("A-H",BO37)))</formula>
    </cfRule>
  </conditionalFormatting>
  <conditionalFormatting sqref="CM37">
    <cfRule type="cellIs" dxfId="5169" priority="5458" operator="equal">
      <formula>"C-Off-H"</formula>
    </cfRule>
    <cfRule type="cellIs" dxfId="5168" priority="5459" operator="equal">
      <formula>"C-Off"</formula>
    </cfRule>
    <cfRule type="cellIs" dxfId="5167" priority="5460" operator="equal">
      <formula>"CL-H"</formula>
    </cfRule>
    <cfRule type="cellIs" dxfId="5166" priority="5461" operator="equal">
      <formula>"EL-H"</formula>
    </cfRule>
    <cfRule type="cellIs" dxfId="5165" priority="5462" operator="equal">
      <formula>"CL"</formula>
    </cfRule>
    <cfRule type="cellIs" dxfId="5164" priority="5463" operator="equal">
      <formula>"EL"</formula>
    </cfRule>
  </conditionalFormatting>
  <conditionalFormatting sqref="CM37">
    <cfRule type="cellIs" dxfId="5163" priority="5452" operator="equal">
      <formula>"C-Off-H"</formula>
    </cfRule>
    <cfRule type="cellIs" dxfId="5162" priority="5453" operator="equal">
      <formula>"C-Off"</formula>
    </cfRule>
    <cfRule type="cellIs" dxfId="5161" priority="5454" operator="equal">
      <formula>"CL-H"</formula>
    </cfRule>
    <cfRule type="cellIs" dxfId="5160" priority="5455" operator="equal">
      <formula>"EL-H"</formula>
    </cfRule>
    <cfRule type="cellIs" dxfId="5159" priority="5456" operator="equal">
      <formula>"CL"</formula>
    </cfRule>
    <cfRule type="cellIs" dxfId="5158" priority="5457" operator="equal">
      <formula>"EL"</formula>
    </cfRule>
  </conditionalFormatting>
  <conditionalFormatting sqref="CM37">
    <cfRule type="containsText" dxfId="5157" priority="5446" operator="containsText" text="S">
      <formula>NOT(ISERROR(SEARCH("S",CM37)))</formula>
    </cfRule>
    <cfRule type="containsText" dxfId="5156" priority="5447" operator="containsText" text="P">
      <formula>NOT(ISERROR(SEARCH("P",CM37)))</formula>
    </cfRule>
    <cfRule type="containsText" dxfId="5155" priority="5448" operator="containsText" text="H">
      <formula>NOT(ISERROR(SEARCH("H",CM37)))</formula>
    </cfRule>
    <cfRule type="containsText" dxfId="5154" priority="5450" operator="containsText" text="&quot;H&quot;">
      <formula>NOT(ISERROR(SEARCH("""H""",CM37)))</formula>
    </cfRule>
    <cfRule type="containsText" dxfId="5153" priority="5451" operator="containsText" text="&quot;A&quot;">
      <formula>NOT(ISERROR(SEARCH("""A""",CM37)))</formula>
    </cfRule>
  </conditionalFormatting>
  <conditionalFormatting sqref="CM37">
    <cfRule type="containsText" dxfId="5152" priority="5449" operator="containsText" text="A-H">
      <formula>NOT(ISERROR(SEARCH("A-H",CM37)))</formula>
    </cfRule>
  </conditionalFormatting>
  <conditionalFormatting sqref="V37:W37">
    <cfRule type="cellIs" dxfId="5151" priority="5416" operator="equal">
      <formula>"C-Off-H"</formula>
    </cfRule>
    <cfRule type="cellIs" dxfId="5150" priority="5417" operator="equal">
      <formula>"C-Off"</formula>
    </cfRule>
    <cfRule type="cellIs" dxfId="5149" priority="5418" operator="equal">
      <formula>"CL-H"</formula>
    </cfRule>
    <cfRule type="cellIs" dxfId="5148" priority="5419" operator="equal">
      <formula>"EL-H"</formula>
    </cfRule>
    <cfRule type="cellIs" dxfId="5147" priority="5420" operator="equal">
      <formula>"CL"</formula>
    </cfRule>
    <cfRule type="cellIs" dxfId="5146" priority="5421" operator="equal">
      <formula>"EL"</formula>
    </cfRule>
  </conditionalFormatting>
  <conditionalFormatting sqref="V37:W37">
    <cfRule type="containsText" dxfId="5145" priority="5410" operator="containsText" text="S">
      <formula>NOT(ISERROR(SEARCH("S",V37)))</formula>
    </cfRule>
    <cfRule type="containsText" dxfId="5144" priority="5411" operator="containsText" text="P">
      <formula>NOT(ISERROR(SEARCH("P",V37)))</formula>
    </cfRule>
    <cfRule type="containsText" dxfId="5143" priority="5412" operator="containsText" text="H">
      <formula>NOT(ISERROR(SEARCH("H",V37)))</formula>
    </cfRule>
    <cfRule type="containsText" dxfId="5142" priority="5414" operator="containsText" text="&quot;H&quot;">
      <formula>NOT(ISERROR(SEARCH("""H""",V37)))</formula>
    </cfRule>
    <cfRule type="containsText" dxfId="5141" priority="5415" operator="containsText" text="&quot;A&quot;">
      <formula>NOT(ISERROR(SEARCH("""A""",V37)))</formula>
    </cfRule>
  </conditionalFormatting>
  <conditionalFormatting sqref="V37:W37">
    <cfRule type="containsText" dxfId="5140" priority="5413" operator="containsText" text="A-H">
      <formula>NOT(ISERROR(SEARCH("A-H",V37)))</formula>
    </cfRule>
  </conditionalFormatting>
  <conditionalFormatting sqref="P37:Q37">
    <cfRule type="cellIs" dxfId="5139" priority="5440" operator="equal">
      <formula>"C-Off-H"</formula>
    </cfRule>
    <cfRule type="cellIs" dxfId="5138" priority="5441" operator="equal">
      <formula>"C-Off"</formula>
    </cfRule>
    <cfRule type="cellIs" dxfId="5137" priority="5442" operator="equal">
      <formula>"CL-H"</formula>
    </cfRule>
    <cfRule type="cellIs" dxfId="5136" priority="5443" operator="equal">
      <formula>"EL-H"</formula>
    </cfRule>
    <cfRule type="cellIs" dxfId="5135" priority="5444" operator="equal">
      <formula>"CL"</formula>
    </cfRule>
    <cfRule type="cellIs" dxfId="5134" priority="5445" operator="equal">
      <formula>"EL"</formula>
    </cfRule>
  </conditionalFormatting>
  <conditionalFormatting sqref="P37:Q37">
    <cfRule type="containsText" dxfId="5133" priority="5434" operator="containsText" text="S">
      <formula>NOT(ISERROR(SEARCH("S",P37)))</formula>
    </cfRule>
    <cfRule type="containsText" dxfId="5132" priority="5435" operator="containsText" text="P">
      <formula>NOT(ISERROR(SEARCH("P",P37)))</formula>
    </cfRule>
    <cfRule type="containsText" dxfId="5131" priority="5436" operator="containsText" text="H">
      <formula>NOT(ISERROR(SEARCH("H",P37)))</formula>
    </cfRule>
    <cfRule type="containsText" dxfId="5130" priority="5438" operator="containsText" text="&quot;H&quot;">
      <formula>NOT(ISERROR(SEARCH("""H""",P37)))</formula>
    </cfRule>
    <cfRule type="containsText" dxfId="5129" priority="5439" operator="containsText" text="&quot;A&quot;">
      <formula>NOT(ISERROR(SEARCH("""A""",P37)))</formula>
    </cfRule>
  </conditionalFormatting>
  <conditionalFormatting sqref="P37:Q37">
    <cfRule type="containsText" dxfId="5128" priority="5437" operator="containsText" text="A-H">
      <formula>NOT(ISERROR(SEARCH("A-H",P37)))</formula>
    </cfRule>
  </conditionalFormatting>
  <conditionalFormatting sqref="S37:T37">
    <cfRule type="cellIs" dxfId="5127" priority="5428" operator="equal">
      <formula>"C-Off-H"</formula>
    </cfRule>
    <cfRule type="cellIs" dxfId="5126" priority="5429" operator="equal">
      <formula>"C-Off"</formula>
    </cfRule>
    <cfRule type="cellIs" dxfId="5125" priority="5430" operator="equal">
      <formula>"CL-H"</formula>
    </cfRule>
    <cfRule type="cellIs" dxfId="5124" priority="5431" operator="equal">
      <formula>"EL-H"</formula>
    </cfRule>
    <cfRule type="cellIs" dxfId="5123" priority="5432" operator="equal">
      <formula>"CL"</formula>
    </cfRule>
    <cfRule type="cellIs" dxfId="5122" priority="5433" operator="equal">
      <formula>"EL"</formula>
    </cfRule>
  </conditionalFormatting>
  <conditionalFormatting sqref="S37:T37">
    <cfRule type="containsText" dxfId="5121" priority="5422" operator="containsText" text="S">
      <formula>NOT(ISERROR(SEARCH("S",S37)))</formula>
    </cfRule>
    <cfRule type="containsText" dxfId="5120" priority="5423" operator="containsText" text="P">
      <formula>NOT(ISERROR(SEARCH("P",S37)))</formula>
    </cfRule>
    <cfRule type="containsText" dxfId="5119" priority="5424" operator="containsText" text="H">
      <formula>NOT(ISERROR(SEARCH("H",S37)))</formula>
    </cfRule>
    <cfRule type="containsText" dxfId="5118" priority="5426" operator="containsText" text="&quot;H&quot;">
      <formula>NOT(ISERROR(SEARCH("""H""",S37)))</formula>
    </cfRule>
    <cfRule type="containsText" dxfId="5117" priority="5427" operator="containsText" text="&quot;A&quot;">
      <formula>NOT(ISERROR(SEARCH("""A""",S37)))</formula>
    </cfRule>
  </conditionalFormatting>
  <conditionalFormatting sqref="S37:T37">
    <cfRule type="containsText" dxfId="5116" priority="5425" operator="containsText" text="A-H">
      <formula>NOT(ISERROR(SEARCH("A-H",S37)))</formula>
    </cfRule>
  </conditionalFormatting>
  <conditionalFormatting sqref="AB37:AC37">
    <cfRule type="cellIs" dxfId="5115" priority="5404" operator="equal">
      <formula>"C-Off-H"</formula>
    </cfRule>
    <cfRule type="cellIs" dxfId="5114" priority="5405" operator="equal">
      <formula>"C-Off"</formula>
    </cfRule>
    <cfRule type="cellIs" dxfId="5113" priority="5406" operator="equal">
      <formula>"CL-H"</formula>
    </cfRule>
    <cfRule type="cellIs" dxfId="5112" priority="5407" operator="equal">
      <formula>"EL-H"</formula>
    </cfRule>
    <cfRule type="cellIs" dxfId="5111" priority="5408" operator="equal">
      <formula>"CL"</formula>
    </cfRule>
    <cfRule type="cellIs" dxfId="5110" priority="5409" operator="equal">
      <formula>"EL"</formula>
    </cfRule>
  </conditionalFormatting>
  <conditionalFormatting sqref="AB37:AC37">
    <cfRule type="containsText" dxfId="5109" priority="5398" operator="containsText" text="S">
      <formula>NOT(ISERROR(SEARCH("S",AB37)))</formula>
    </cfRule>
    <cfRule type="containsText" dxfId="5108" priority="5399" operator="containsText" text="P">
      <formula>NOT(ISERROR(SEARCH("P",AB37)))</formula>
    </cfRule>
    <cfRule type="containsText" dxfId="5107" priority="5400" operator="containsText" text="H">
      <formula>NOT(ISERROR(SEARCH("H",AB37)))</formula>
    </cfRule>
    <cfRule type="containsText" dxfId="5106" priority="5402" operator="containsText" text="&quot;H&quot;">
      <formula>NOT(ISERROR(SEARCH("""H""",AB37)))</formula>
    </cfRule>
    <cfRule type="containsText" dxfId="5105" priority="5403" operator="containsText" text="&quot;A&quot;">
      <formula>NOT(ISERROR(SEARCH("""A""",AB37)))</formula>
    </cfRule>
  </conditionalFormatting>
  <conditionalFormatting sqref="AB37:AC37">
    <cfRule type="containsText" dxfId="5104" priority="5401" operator="containsText" text="A-H">
      <formula>NOT(ISERROR(SEARCH("A-H",AB37)))</formula>
    </cfRule>
  </conditionalFormatting>
  <conditionalFormatting sqref="AE37">
    <cfRule type="cellIs" dxfId="5103" priority="5392" operator="equal">
      <formula>"C-Off-H"</formula>
    </cfRule>
    <cfRule type="cellIs" dxfId="5102" priority="5393" operator="equal">
      <formula>"C-Off"</formula>
    </cfRule>
    <cfRule type="cellIs" dxfId="5101" priority="5394" operator="equal">
      <formula>"CL-H"</formula>
    </cfRule>
    <cfRule type="cellIs" dxfId="5100" priority="5395" operator="equal">
      <formula>"EL-H"</formula>
    </cfRule>
    <cfRule type="cellIs" dxfId="5099" priority="5396" operator="equal">
      <formula>"CL"</formula>
    </cfRule>
    <cfRule type="cellIs" dxfId="5098" priority="5397" operator="equal">
      <formula>"EL"</formula>
    </cfRule>
  </conditionalFormatting>
  <conditionalFormatting sqref="AE37">
    <cfRule type="containsText" dxfId="5097" priority="5386" operator="containsText" text="S">
      <formula>NOT(ISERROR(SEARCH("S",AE37)))</formula>
    </cfRule>
    <cfRule type="containsText" dxfId="5096" priority="5387" operator="containsText" text="P">
      <formula>NOT(ISERROR(SEARCH("P",AE37)))</formula>
    </cfRule>
    <cfRule type="containsText" dxfId="5095" priority="5388" operator="containsText" text="H">
      <formula>NOT(ISERROR(SEARCH("H",AE37)))</formula>
    </cfRule>
    <cfRule type="containsText" dxfId="5094" priority="5390" operator="containsText" text="&quot;H&quot;">
      <formula>NOT(ISERROR(SEARCH("""H""",AE37)))</formula>
    </cfRule>
    <cfRule type="containsText" dxfId="5093" priority="5391" operator="containsText" text="&quot;A&quot;">
      <formula>NOT(ISERROR(SEARCH("""A""",AE37)))</formula>
    </cfRule>
  </conditionalFormatting>
  <conditionalFormatting sqref="AE37">
    <cfRule type="containsText" dxfId="5092" priority="5389" operator="containsText" text="A-H">
      <formula>NOT(ISERROR(SEARCH("A-H",AE37)))</formula>
    </cfRule>
  </conditionalFormatting>
  <conditionalFormatting sqref="AK37:AL37">
    <cfRule type="cellIs" dxfId="5091" priority="5380" operator="equal">
      <formula>"C-Off-H"</formula>
    </cfRule>
    <cfRule type="cellIs" dxfId="5090" priority="5381" operator="equal">
      <formula>"C-Off"</formula>
    </cfRule>
    <cfRule type="cellIs" dxfId="5089" priority="5382" operator="equal">
      <formula>"CL-H"</formula>
    </cfRule>
    <cfRule type="cellIs" dxfId="5088" priority="5383" operator="equal">
      <formula>"EL-H"</formula>
    </cfRule>
    <cfRule type="cellIs" dxfId="5087" priority="5384" operator="equal">
      <formula>"CL"</formula>
    </cfRule>
    <cfRule type="cellIs" dxfId="5086" priority="5385" operator="equal">
      <formula>"EL"</formula>
    </cfRule>
  </conditionalFormatting>
  <conditionalFormatting sqref="AK37:AL37">
    <cfRule type="containsText" dxfId="5085" priority="5374" operator="containsText" text="S">
      <formula>NOT(ISERROR(SEARCH("S",AK37)))</formula>
    </cfRule>
    <cfRule type="containsText" dxfId="5084" priority="5375" operator="containsText" text="P">
      <formula>NOT(ISERROR(SEARCH("P",AK37)))</formula>
    </cfRule>
    <cfRule type="containsText" dxfId="5083" priority="5376" operator="containsText" text="H">
      <formula>NOT(ISERROR(SEARCH("H",AK37)))</formula>
    </cfRule>
    <cfRule type="containsText" dxfId="5082" priority="5378" operator="containsText" text="&quot;H&quot;">
      <formula>NOT(ISERROR(SEARCH("""H""",AK37)))</formula>
    </cfRule>
    <cfRule type="containsText" dxfId="5081" priority="5379" operator="containsText" text="&quot;A&quot;">
      <formula>NOT(ISERROR(SEARCH("""A""",AK37)))</formula>
    </cfRule>
  </conditionalFormatting>
  <conditionalFormatting sqref="AK37:AL37">
    <cfRule type="containsText" dxfId="5080" priority="5377" operator="containsText" text="A-H">
      <formula>NOT(ISERROR(SEARCH("A-H",AK37)))</formula>
    </cfRule>
  </conditionalFormatting>
  <conditionalFormatting sqref="AN37:AO37">
    <cfRule type="cellIs" dxfId="5079" priority="5368" operator="equal">
      <formula>"C-Off-H"</formula>
    </cfRule>
    <cfRule type="cellIs" dxfId="5078" priority="5369" operator="equal">
      <formula>"C-Off"</formula>
    </cfRule>
    <cfRule type="cellIs" dxfId="5077" priority="5370" operator="equal">
      <formula>"CL-H"</formula>
    </cfRule>
    <cfRule type="cellIs" dxfId="5076" priority="5371" operator="equal">
      <formula>"EL-H"</formula>
    </cfRule>
    <cfRule type="cellIs" dxfId="5075" priority="5372" operator="equal">
      <formula>"CL"</formula>
    </cfRule>
    <cfRule type="cellIs" dxfId="5074" priority="5373" operator="equal">
      <formula>"EL"</formula>
    </cfRule>
  </conditionalFormatting>
  <conditionalFormatting sqref="AN37:AO37">
    <cfRule type="containsText" dxfId="5073" priority="5362" operator="containsText" text="S">
      <formula>NOT(ISERROR(SEARCH("S",AN37)))</formula>
    </cfRule>
    <cfRule type="containsText" dxfId="5072" priority="5363" operator="containsText" text="P">
      <formula>NOT(ISERROR(SEARCH("P",AN37)))</formula>
    </cfRule>
    <cfRule type="containsText" dxfId="5071" priority="5364" operator="containsText" text="H">
      <formula>NOT(ISERROR(SEARCH("H",AN37)))</formula>
    </cfRule>
    <cfRule type="containsText" dxfId="5070" priority="5366" operator="containsText" text="&quot;H&quot;">
      <formula>NOT(ISERROR(SEARCH("""H""",AN37)))</formula>
    </cfRule>
    <cfRule type="containsText" dxfId="5069" priority="5367" operator="containsText" text="&quot;A&quot;">
      <formula>NOT(ISERROR(SEARCH("""A""",AN37)))</formula>
    </cfRule>
  </conditionalFormatting>
  <conditionalFormatting sqref="AN37:AO37">
    <cfRule type="containsText" dxfId="5068" priority="5365" operator="containsText" text="A-H">
      <formula>NOT(ISERROR(SEARCH("A-H",AN37)))</formula>
    </cfRule>
  </conditionalFormatting>
  <conditionalFormatting sqref="AQ37:AR37">
    <cfRule type="cellIs" dxfId="5067" priority="5356" operator="equal">
      <formula>"C-Off-H"</formula>
    </cfRule>
    <cfRule type="cellIs" dxfId="5066" priority="5357" operator="equal">
      <formula>"C-Off"</formula>
    </cfRule>
    <cfRule type="cellIs" dxfId="5065" priority="5358" operator="equal">
      <formula>"CL-H"</formula>
    </cfRule>
    <cfRule type="cellIs" dxfId="5064" priority="5359" operator="equal">
      <formula>"EL-H"</formula>
    </cfRule>
    <cfRule type="cellIs" dxfId="5063" priority="5360" operator="equal">
      <formula>"CL"</formula>
    </cfRule>
    <cfRule type="cellIs" dxfId="5062" priority="5361" operator="equal">
      <formula>"EL"</formula>
    </cfRule>
  </conditionalFormatting>
  <conditionalFormatting sqref="AQ37:AR37">
    <cfRule type="containsText" dxfId="5061" priority="5350" operator="containsText" text="S">
      <formula>NOT(ISERROR(SEARCH("S",AQ37)))</formula>
    </cfRule>
    <cfRule type="containsText" dxfId="5060" priority="5351" operator="containsText" text="P">
      <formula>NOT(ISERROR(SEARCH("P",AQ37)))</formula>
    </cfRule>
    <cfRule type="containsText" dxfId="5059" priority="5352" operator="containsText" text="H">
      <formula>NOT(ISERROR(SEARCH("H",AQ37)))</formula>
    </cfRule>
    <cfRule type="containsText" dxfId="5058" priority="5354" operator="containsText" text="&quot;H&quot;">
      <formula>NOT(ISERROR(SEARCH("""H""",AQ37)))</formula>
    </cfRule>
    <cfRule type="containsText" dxfId="5057" priority="5355" operator="containsText" text="&quot;A&quot;">
      <formula>NOT(ISERROR(SEARCH("""A""",AQ37)))</formula>
    </cfRule>
  </conditionalFormatting>
  <conditionalFormatting sqref="AQ37:AR37">
    <cfRule type="containsText" dxfId="5056" priority="5353" operator="containsText" text="A-H">
      <formula>NOT(ISERROR(SEARCH("A-H",AQ37)))</formula>
    </cfRule>
  </conditionalFormatting>
  <conditionalFormatting sqref="AW37:AX37">
    <cfRule type="cellIs" dxfId="5055" priority="5344" operator="equal">
      <formula>"C-Off-H"</formula>
    </cfRule>
    <cfRule type="cellIs" dxfId="5054" priority="5345" operator="equal">
      <formula>"C-Off"</formula>
    </cfRule>
    <cfRule type="cellIs" dxfId="5053" priority="5346" operator="equal">
      <formula>"CL-H"</formula>
    </cfRule>
    <cfRule type="cellIs" dxfId="5052" priority="5347" operator="equal">
      <formula>"EL-H"</formula>
    </cfRule>
    <cfRule type="cellIs" dxfId="5051" priority="5348" operator="equal">
      <formula>"CL"</formula>
    </cfRule>
    <cfRule type="cellIs" dxfId="5050" priority="5349" operator="equal">
      <formula>"EL"</formula>
    </cfRule>
  </conditionalFormatting>
  <conditionalFormatting sqref="AW37:AX37">
    <cfRule type="containsText" dxfId="5049" priority="5338" operator="containsText" text="S">
      <formula>NOT(ISERROR(SEARCH("S",AW37)))</formula>
    </cfRule>
    <cfRule type="containsText" dxfId="5048" priority="5339" operator="containsText" text="P">
      <formula>NOT(ISERROR(SEARCH("P",AW37)))</formula>
    </cfRule>
    <cfRule type="containsText" dxfId="5047" priority="5340" operator="containsText" text="H">
      <formula>NOT(ISERROR(SEARCH("H",AW37)))</formula>
    </cfRule>
    <cfRule type="containsText" dxfId="5046" priority="5342" operator="containsText" text="&quot;H&quot;">
      <formula>NOT(ISERROR(SEARCH("""H""",AW37)))</formula>
    </cfRule>
    <cfRule type="containsText" dxfId="5045" priority="5343" operator="containsText" text="&quot;A&quot;">
      <formula>NOT(ISERROR(SEARCH("""A""",AW37)))</formula>
    </cfRule>
  </conditionalFormatting>
  <conditionalFormatting sqref="AW37:AX37">
    <cfRule type="containsText" dxfId="5044" priority="5341" operator="containsText" text="A-H">
      <formula>NOT(ISERROR(SEARCH("A-H",AW37)))</formula>
    </cfRule>
  </conditionalFormatting>
  <conditionalFormatting sqref="AZ37:BA37">
    <cfRule type="cellIs" dxfId="5043" priority="5332" operator="equal">
      <formula>"C-Off-H"</formula>
    </cfRule>
    <cfRule type="cellIs" dxfId="5042" priority="5333" operator="equal">
      <formula>"C-Off"</formula>
    </cfRule>
    <cfRule type="cellIs" dxfId="5041" priority="5334" operator="equal">
      <formula>"CL-H"</formula>
    </cfRule>
    <cfRule type="cellIs" dxfId="5040" priority="5335" operator="equal">
      <formula>"EL-H"</formula>
    </cfRule>
    <cfRule type="cellIs" dxfId="5039" priority="5336" operator="equal">
      <formula>"CL"</formula>
    </cfRule>
    <cfRule type="cellIs" dxfId="5038" priority="5337" operator="equal">
      <formula>"EL"</formula>
    </cfRule>
  </conditionalFormatting>
  <conditionalFormatting sqref="AZ37:BA37">
    <cfRule type="containsText" dxfId="5037" priority="5326" operator="containsText" text="S">
      <formula>NOT(ISERROR(SEARCH("S",AZ37)))</formula>
    </cfRule>
    <cfRule type="containsText" dxfId="5036" priority="5327" operator="containsText" text="P">
      <formula>NOT(ISERROR(SEARCH("P",AZ37)))</formula>
    </cfRule>
    <cfRule type="containsText" dxfId="5035" priority="5328" operator="containsText" text="H">
      <formula>NOT(ISERROR(SEARCH("H",AZ37)))</formula>
    </cfRule>
    <cfRule type="containsText" dxfId="5034" priority="5330" operator="containsText" text="&quot;H&quot;">
      <formula>NOT(ISERROR(SEARCH("""H""",AZ37)))</formula>
    </cfRule>
    <cfRule type="containsText" dxfId="5033" priority="5331" operator="containsText" text="&quot;A&quot;">
      <formula>NOT(ISERROR(SEARCH("""A""",AZ37)))</formula>
    </cfRule>
  </conditionalFormatting>
  <conditionalFormatting sqref="AZ37:BA37">
    <cfRule type="containsText" dxfId="5032" priority="5329" operator="containsText" text="A-H">
      <formula>NOT(ISERROR(SEARCH("A-H",AZ37)))</formula>
    </cfRule>
  </conditionalFormatting>
  <conditionalFormatting sqref="BC37:BD37">
    <cfRule type="cellIs" dxfId="5031" priority="5320" operator="equal">
      <formula>"C-Off-H"</formula>
    </cfRule>
    <cfRule type="cellIs" dxfId="5030" priority="5321" operator="equal">
      <formula>"C-Off"</formula>
    </cfRule>
    <cfRule type="cellIs" dxfId="5029" priority="5322" operator="equal">
      <formula>"CL-H"</formula>
    </cfRule>
    <cfRule type="cellIs" dxfId="5028" priority="5323" operator="equal">
      <formula>"EL-H"</formula>
    </cfRule>
    <cfRule type="cellIs" dxfId="5027" priority="5324" operator="equal">
      <formula>"CL"</formula>
    </cfRule>
    <cfRule type="cellIs" dxfId="5026" priority="5325" operator="equal">
      <formula>"EL"</formula>
    </cfRule>
  </conditionalFormatting>
  <conditionalFormatting sqref="BC37:BD37">
    <cfRule type="containsText" dxfId="5025" priority="5314" operator="containsText" text="S">
      <formula>NOT(ISERROR(SEARCH("S",BC37)))</formula>
    </cfRule>
    <cfRule type="containsText" dxfId="5024" priority="5315" operator="containsText" text="P">
      <formula>NOT(ISERROR(SEARCH("P",BC37)))</formula>
    </cfRule>
    <cfRule type="containsText" dxfId="5023" priority="5316" operator="containsText" text="H">
      <formula>NOT(ISERROR(SEARCH("H",BC37)))</formula>
    </cfRule>
    <cfRule type="containsText" dxfId="5022" priority="5318" operator="containsText" text="&quot;H&quot;">
      <formula>NOT(ISERROR(SEARCH("""H""",BC37)))</formula>
    </cfRule>
    <cfRule type="containsText" dxfId="5021" priority="5319" operator="containsText" text="&quot;A&quot;">
      <formula>NOT(ISERROR(SEARCH("""A""",BC37)))</formula>
    </cfRule>
  </conditionalFormatting>
  <conditionalFormatting sqref="BC37:BD37">
    <cfRule type="containsText" dxfId="5020" priority="5317" operator="containsText" text="A-H">
      <formula>NOT(ISERROR(SEARCH("A-H",BC37)))</formula>
    </cfRule>
  </conditionalFormatting>
  <conditionalFormatting sqref="BF37:BG37">
    <cfRule type="cellIs" dxfId="5019" priority="5308" operator="equal">
      <formula>"C-Off-H"</formula>
    </cfRule>
    <cfRule type="cellIs" dxfId="5018" priority="5309" operator="equal">
      <formula>"C-Off"</formula>
    </cfRule>
    <cfRule type="cellIs" dxfId="5017" priority="5310" operator="equal">
      <formula>"CL-H"</formula>
    </cfRule>
    <cfRule type="cellIs" dxfId="5016" priority="5311" operator="equal">
      <formula>"EL-H"</formula>
    </cfRule>
    <cfRule type="cellIs" dxfId="5015" priority="5312" operator="equal">
      <formula>"CL"</formula>
    </cfRule>
    <cfRule type="cellIs" dxfId="5014" priority="5313" operator="equal">
      <formula>"EL"</formula>
    </cfRule>
  </conditionalFormatting>
  <conditionalFormatting sqref="BF37:BG37">
    <cfRule type="containsText" dxfId="5013" priority="5302" operator="containsText" text="S">
      <formula>NOT(ISERROR(SEARCH("S",BF37)))</formula>
    </cfRule>
    <cfRule type="containsText" dxfId="5012" priority="5303" operator="containsText" text="P">
      <formula>NOT(ISERROR(SEARCH("P",BF37)))</formula>
    </cfRule>
    <cfRule type="containsText" dxfId="5011" priority="5304" operator="containsText" text="H">
      <formula>NOT(ISERROR(SEARCH("H",BF37)))</formula>
    </cfRule>
    <cfRule type="containsText" dxfId="5010" priority="5306" operator="containsText" text="&quot;H&quot;">
      <formula>NOT(ISERROR(SEARCH("""H""",BF37)))</formula>
    </cfRule>
    <cfRule type="containsText" dxfId="5009" priority="5307" operator="containsText" text="&quot;A&quot;">
      <formula>NOT(ISERROR(SEARCH("""A""",BF37)))</formula>
    </cfRule>
  </conditionalFormatting>
  <conditionalFormatting sqref="BF37:BG37">
    <cfRule type="containsText" dxfId="5008" priority="5305" operator="containsText" text="A-H">
      <formula>NOT(ISERROR(SEARCH("A-H",BF37)))</formula>
    </cfRule>
  </conditionalFormatting>
  <conditionalFormatting sqref="BI37:BJ37">
    <cfRule type="cellIs" dxfId="5007" priority="5296" operator="equal">
      <formula>"C-Off-H"</formula>
    </cfRule>
    <cfRule type="cellIs" dxfId="5006" priority="5297" operator="equal">
      <formula>"C-Off"</formula>
    </cfRule>
    <cfRule type="cellIs" dxfId="5005" priority="5298" operator="equal">
      <formula>"CL-H"</formula>
    </cfRule>
    <cfRule type="cellIs" dxfId="5004" priority="5299" operator="equal">
      <formula>"EL-H"</formula>
    </cfRule>
    <cfRule type="cellIs" dxfId="5003" priority="5300" operator="equal">
      <formula>"CL"</formula>
    </cfRule>
    <cfRule type="cellIs" dxfId="5002" priority="5301" operator="equal">
      <formula>"EL"</formula>
    </cfRule>
  </conditionalFormatting>
  <conditionalFormatting sqref="BI37:BJ37">
    <cfRule type="containsText" dxfId="5001" priority="5290" operator="containsText" text="S">
      <formula>NOT(ISERROR(SEARCH("S",BI37)))</formula>
    </cfRule>
    <cfRule type="containsText" dxfId="5000" priority="5291" operator="containsText" text="P">
      <formula>NOT(ISERROR(SEARCH("P",BI37)))</formula>
    </cfRule>
    <cfRule type="containsText" dxfId="4999" priority="5292" operator="containsText" text="H">
      <formula>NOT(ISERROR(SEARCH("H",BI37)))</formula>
    </cfRule>
    <cfRule type="containsText" dxfId="4998" priority="5294" operator="containsText" text="&quot;H&quot;">
      <formula>NOT(ISERROR(SEARCH("""H""",BI37)))</formula>
    </cfRule>
    <cfRule type="containsText" dxfId="4997" priority="5295" operator="containsText" text="&quot;A&quot;">
      <formula>NOT(ISERROR(SEARCH("""A""",BI37)))</formula>
    </cfRule>
  </conditionalFormatting>
  <conditionalFormatting sqref="BI37:BJ37">
    <cfRule type="containsText" dxfId="4996" priority="5293" operator="containsText" text="A-H">
      <formula>NOT(ISERROR(SEARCH("A-H",BI37)))</formula>
    </cfRule>
  </conditionalFormatting>
  <conditionalFormatting sqref="BL37:BM37">
    <cfRule type="cellIs" dxfId="4995" priority="5284" operator="equal">
      <formula>"C-Off-H"</formula>
    </cfRule>
    <cfRule type="cellIs" dxfId="4994" priority="5285" operator="equal">
      <formula>"C-Off"</formula>
    </cfRule>
    <cfRule type="cellIs" dxfId="4993" priority="5286" operator="equal">
      <formula>"CL-H"</formula>
    </cfRule>
    <cfRule type="cellIs" dxfId="4992" priority="5287" operator="equal">
      <formula>"EL-H"</formula>
    </cfRule>
    <cfRule type="cellIs" dxfId="4991" priority="5288" operator="equal">
      <formula>"CL"</formula>
    </cfRule>
    <cfRule type="cellIs" dxfId="4990" priority="5289" operator="equal">
      <formula>"EL"</formula>
    </cfRule>
  </conditionalFormatting>
  <conditionalFormatting sqref="BL37:BM37">
    <cfRule type="containsText" dxfId="4989" priority="5278" operator="containsText" text="S">
      <formula>NOT(ISERROR(SEARCH("S",BL37)))</formula>
    </cfRule>
    <cfRule type="containsText" dxfId="4988" priority="5279" operator="containsText" text="P">
      <formula>NOT(ISERROR(SEARCH("P",BL37)))</formula>
    </cfRule>
    <cfRule type="containsText" dxfId="4987" priority="5280" operator="containsText" text="H">
      <formula>NOT(ISERROR(SEARCH("H",BL37)))</formula>
    </cfRule>
    <cfRule type="containsText" dxfId="4986" priority="5282" operator="containsText" text="&quot;H&quot;">
      <formula>NOT(ISERROR(SEARCH("""H""",BL37)))</formula>
    </cfRule>
    <cfRule type="containsText" dxfId="4985" priority="5283" operator="containsText" text="&quot;A&quot;">
      <formula>NOT(ISERROR(SEARCH("""A""",BL37)))</formula>
    </cfRule>
  </conditionalFormatting>
  <conditionalFormatting sqref="BL37:BM37">
    <cfRule type="containsText" dxfId="4984" priority="5281" operator="containsText" text="A-H">
      <formula>NOT(ISERROR(SEARCH("A-H",BL37)))</formula>
    </cfRule>
  </conditionalFormatting>
  <conditionalFormatting sqref="BR37:BS37">
    <cfRule type="cellIs" dxfId="4983" priority="5272" operator="equal">
      <formula>"C-Off-H"</formula>
    </cfRule>
    <cfRule type="cellIs" dxfId="4982" priority="5273" operator="equal">
      <formula>"C-Off"</formula>
    </cfRule>
    <cfRule type="cellIs" dxfId="4981" priority="5274" operator="equal">
      <formula>"CL-H"</formula>
    </cfRule>
    <cfRule type="cellIs" dxfId="4980" priority="5275" operator="equal">
      <formula>"EL-H"</formula>
    </cfRule>
    <cfRule type="cellIs" dxfId="4979" priority="5276" operator="equal">
      <formula>"CL"</formula>
    </cfRule>
    <cfRule type="cellIs" dxfId="4978" priority="5277" operator="equal">
      <formula>"EL"</formula>
    </cfRule>
  </conditionalFormatting>
  <conditionalFormatting sqref="BR37:BS37">
    <cfRule type="containsText" dxfId="4977" priority="5266" operator="containsText" text="S">
      <formula>NOT(ISERROR(SEARCH("S",BR37)))</formula>
    </cfRule>
    <cfRule type="containsText" dxfId="4976" priority="5267" operator="containsText" text="P">
      <formula>NOT(ISERROR(SEARCH("P",BR37)))</formula>
    </cfRule>
    <cfRule type="containsText" dxfId="4975" priority="5268" operator="containsText" text="H">
      <formula>NOT(ISERROR(SEARCH("H",BR37)))</formula>
    </cfRule>
    <cfRule type="containsText" dxfId="4974" priority="5270" operator="containsText" text="&quot;H&quot;">
      <formula>NOT(ISERROR(SEARCH("""H""",BR37)))</formula>
    </cfRule>
    <cfRule type="containsText" dxfId="4973" priority="5271" operator="containsText" text="&quot;A&quot;">
      <formula>NOT(ISERROR(SEARCH("""A""",BR37)))</formula>
    </cfRule>
  </conditionalFormatting>
  <conditionalFormatting sqref="BR37:BS37">
    <cfRule type="containsText" dxfId="4972" priority="5269" operator="containsText" text="A-H">
      <formula>NOT(ISERROR(SEARCH("A-H",BR37)))</formula>
    </cfRule>
  </conditionalFormatting>
  <conditionalFormatting sqref="BU37:BV37">
    <cfRule type="cellIs" dxfId="4971" priority="5260" operator="equal">
      <formula>"C-Off-H"</formula>
    </cfRule>
    <cfRule type="cellIs" dxfId="4970" priority="5261" operator="equal">
      <formula>"C-Off"</formula>
    </cfRule>
    <cfRule type="cellIs" dxfId="4969" priority="5262" operator="equal">
      <formula>"CL-H"</formula>
    </cfRule>
    <cfRule type="cellIs" dxfId="4968" priority="5263" operator="equal">
      <formula>"EL-H"</formula>
    </cfRule>
    <cfRule type="cellIs" dxfId="4967" priority="5264" operator="equal">
      <formula>"CL"</formula>
    </cfRule>
    <cfRule type="cellIs" dxfId="4966" priority="5265" operator="equal">
      <formula>"EL"</formula>
    </cfRule>
  </conditionalFormatting>
  <conditionalFormatting sqref="BU37:BV37">
    <cfRule type="containsText" dxfId="4965" priority="5254" operator="containsText" text="S">
      <formula>NOT(ISERROR(SEARCH("S",BU37)))</formula>
    </cfRule>
    <cfRule type="containsText" dxfId="4964" priority="5255" operator="containsText" text="P">
      <formula>NOT(ISERROR(SEARCH("P",BU37)))</formula>
    </cfRule>
    <cfRule type="containsText" dxfId="4963" priority="5256" operator="containsText" text="H">
      <formula>NOT(ISERROR(SEARCH("H",BU37)))</formula>
    </cfRule>
    <cfRule type="containsText" dxfId="4962" priority="5258" operator="containsText" text="&quot;H&quot;">
      <formula>NOT(ISERROR(SEARCH("""H""",BU37)))</formula>
    </cfRule>
    <cfRule type="containsText" dxfId="4961" priority="5259" operator="containsText" text="&quot;A&quot;">
      <formula>NOT(ISERROR(SEARCH("""A""",BU37)))</formula>
    </cfRule>
  </conditionalFormatting>
  <conditionalFormatting sqref="BU37:BV37">
    <cfRule type="containsText" dxfId="4960" priority="5257" operator="containsText" text="A-H">
      <formula>NOT(ISERROR(SEARCH("A-H",BU37)))</formula>
    </cfRule>
  </conditionalFormatting>
  <conditionalFormatting sqref="BY37">
    <cfRule type="cellIs" dxfId="4959" priority="5248" operator="equal">
      <formula>"C-Off-H"</formula>
    </cfRule>
    <cfRule type="cellIs" dxfId="4958" priority="5249" operator="equal">
      <formula>"C-Off"</formula>
    </cfRule>
    <cfRule type="cellIs" dxfId="4957" priority="5250" operator="equal">
      <formula>"CL-H"</formula>
    </cfRule>
    <cfRule type="cellIs" dxfId="4956" priority="5251" operator="equal">
      <formula>"EL-H"</formula>
    </cfRule>
    <cfRule type="cellIs" dxfId="4955" priority="5252" operator="equal">
      <formula>"CL"</formula>
    </cfRule>
    <cfRule type="cellIs" dxfId="4954" priority="5253" operator="equal">
      <formula>"EL"</formula>
    </cfRule>
  </conditionalFormatting>
  <conditionalFormatting sqref="BY37">
    <cfRule type="containsText" dxfId="4953" priority="5242" operator="containsText" text="S">
      <formula>NOT(ISERROR(SEARCH("S",BY37)))</formula>
    </cfRule>
    <cfRule type="containsText" dxfId="4952" priority="5243" operator="containsText" text="P">
      <formula>NOT(ISERROR(SEARCH("P",BY37)))</formula>
    </cfRule>
    <cfRule type="containsText" dxfId="4951" priority="5244" operator="containsText" text="H">
      <formula>NOT(ISERROR(SEARCH("H",BY37)))</formula>
    </cfRule>
    <cfRule type="containsText" dxfId="4950" priority="5246" operator="containsText" text="&quot;H&quot;">
      <formula>NOT(ISERROR(SEARCH("""H""",BY37)))</formula>
    </cfRule>
    <cfRule type="containsText" dxfId="4949" priority="5247" operator="containsText" text="&quot;A&quot;">
      <formula>NOT(ISERROR(SEARCH("""A""",BY37)))</formula>
    </cfRule>
  </conditionalFormatting>
  <conditionalFormatting sqref="BY37">
    <cfRule type="containsText" dxfId="4948" priority="5245" operator="containsText" text="A-H">
      <formula>NOT(ISERROR(SEARCH("A-H",BY37)))</formula>
    </cfRule>
  </conditionalFormatting>
  <conditionalFormatting sqref="BX37">
    <cfRule type="cellIs" dxfId="4947" priority="5236" operator="equal">
      <formula>"C-Off-H"</formula>
    </cfRule>
    <cfRule type="cellIs" dxfId="4946" priority="5237" operator="equal">
      <formula>"C-Off"</formula>
    </cfRule>
    <cfRule type="cellIs" dxfId="4945" priority="5238" operator="equal">
      <formula>"CL-H"</formula>
    </cfRule>
    <cfRule type="cellIs" dxfId="4944" priority="5239" operator="equal">
      <formula>"EL-H"</formula>
    </cfRule>
    <cfRule type="cellIs" dxfId="4943" priority="5240" operator="equal">
      <formula>"CL"</formula>
    </cfRule>
    <cfRule type="cellIs" dxfId="4942" priority="5241" operator="equal">
      <formula>"EL"</formula>
    </cfRule>
  </conditionalFormatting>
  <conditionalFormatting sqref="BX37">
    <cfRule type="containsText" dxfId="4941" priority="5230" operator="containsText" text="S">
      <formula>NOT(ISERROR(SEARCH("S",BX37)))</formula>
    </cfRule>
    <cfRule type="containsText" dxfId="4940" priority="5231" operator="containsText" text="P">
      <formula>NOT(ISERROR(SEARCH("P",BX37)))</formula>
    </cfRule>
    <cfRule type="containsText" dxfId="4939" priority="5232" operator="containsText" text="H">
      <formula>NOT(ISERROR(SEARCH("H",BX37)))</formula>
    </cfRule>
    <cfRule type="containsText" dxfId="4938" priority="5234" operator="containsText" text="&quot;H&quot;">
      <formula>NOT(ISERROR(SEARCH("""H""",BX37)))</formula>
    </cfRule>
    <cfRule type="containsText" dxfId="4937" priority="5235" operator="containsText" text="&quot;A&quot;">
      <formula>NOT(ISERROR(SEARCH("""A""",BX37)))</formula>
    </cfRule>
  </conditionalFormatting>
  <conditionalFormatting sqref="BX37">
    <cfRule type="containsText" dxfId="4936" priority="5233" operator="containsText" text="A-H">
      <formula>NOT(ISERROR(SEARCH("A-H",BX37)))</formula>
    </cfRule>
  </conditionalFormatting>
  <conditionalFormatting sqref="J37:K37">
    <cfRule type="cellIs" dxfId="4935" priority="5224" operator="equal">
      <formula>"C-Off-H"</formula>
    </cfRule>
    <cfRule type="cellIs" dxfId="4934" priority="5225" operator="equal">
      <formula>"C-Off"</formula>
    </cfRule>
    <cfRule type="cellIs" dxfId="4933" priority="5226" operator="equal">
      <formula>"CL-H"</formula>
    </cfRule>
    <cfRule type="cellIs" dxfId="4932" priority="5227" operator="equal">
      <formula>"EL-H"</formula>
    </cfRule>
    <cfRule type="cellIs" dxfId="4931" priority="5228" operator="equal">
      <formula>"CL"</formula>
    </cfRule>
    <cfRule type="cellIs" dxfId="4930" priority="5229" operator="equal">
      <formula>"EL"</formula>
    </cfRule>
  </conditionalFormatting>
  <conditionalFormatting sqref="J37:K37">
    <cfRule type="containsText" dxfId="4929" priority="5218" operator="containsText" text="S">
      <formula>NOT(ISERROR(SEARCH("S",J37)))</formula>
    </cfRule>
    <cfRule type="containsText" dxfId="4928" priority="5219" operator="containsText" text="P">
      <formula>NOT(ISERROR(SEARCH("P",J37)))</formula>
    </cfRule>
    <cfRule type="containsText" dxfId="4927" priority="5220" operator="containsText" text="H">
      <formula>NOT(ISERROR(SEARCH("H",J37)))</formula>
    </cfRule>
    <cfRule type="containsText" dxfId="4926" priority="5222" operator="containsText" text="&quot;H&quot;">
      <formula>NOT(ISERROR(SEARCH("""H""",J37)))</formula>
    </cfRule>
    <cfRule type="containsText" dxfId="4925" priority="5223" operator="containsText" text="&quot;A&quot;">
      <formula>NOT(ISERROR(SEARCH("""A""",J37)))</formula>
    </cfRule>
  </conditionalFormatting>
  <conditionalFormatting sqref="J37:K37">
    <cfRule type="containsText" dxfId="4924" priority="5221" operator="containsText" text="A-H">
      <formula>NOT(ISERROR(SEARCH("A-H",J37)))</formula>
    </cfRule>
  </conditionalFormatting>
  <conditionalFormatting sqref="DC38 M38:N38 CQ38:CW38">
    <cfRule type="cellIs" dxfId="4923" priority="5212" operator="equal">
      <formula>"C-Off-H"</formula>
    </cfRule>
    <cfRule type="cellIs" dxfId="4922" priority="5213" operator="equal">
      <formula>"C-Off"</formula>
    </cfRule>
    <cfRule type="cellIs" dxfId="4921" priority="5214" operator="equal">
      <formula>"CL-H"</formula>
    </cfRule>
    <cfRule type="cellIs" dxfId="4920" priority="5215" operator="equal">
      <formula>"EL-H"</formula>
    </cfRule>
    <cfRule type="cellIs" dxfId="4919" priority="5216" operator="equal">
      <formula>"CL"</formula>
    </cfRule>
    <cfRule type="cellIs" dxfId="4918" priority="5217" operator="equal">
      <formula>"EL"</formula>
    </cfRule>
  </conditionalFormatting>
  <conditionalFormatting sqref="M38:N38 CQ38:CW38 CY38:DA38 DC38">
    <cfRule type="containsText" dxfId="4917" priority="5211" operator="containsText" text="A-H">
      <formula>NOT(ISERROR(SEARCH("A-H",M38)))</formula>
    </cfRule>
  </conditionalFormatting>
  <conditionalFormatting sqref="CQ38:CW38 CY38:DA38 DC38">
    <cfRule type="containsText" dxfId="4916" priority="5210" operator="containsText" text="A">
      <formula>NOT(ISERROR(SEARCH("A",CQ38)))</formula>
    </cfRule>
  </conditionalFormatting>
  <conditionalFormatting sqref="CY38 DA38">
    <cfRule type="cellIs" dxfId="4915" priority="5204" stopIfTrue="1" operator="equal">
      <formula>"C-Off-H"</formula>
    </cfRule>
    <cfRule type="cellIs" dxfId="4914" priority="5205" stopIfTrue="1" operator="equal">
      <formula>"C-Off"</formula>
    </cfRule>
    <cfRule type="cellIs" dxfId="4913" priority="5206" stopIfTrue="1" operator="equal">
      <formula>"CL-H"</formula>
    </cfRule>
    <cfRule type="cellIs" dxfId="4912" priority="5207" stopIfTrue="1" operator="equal">
      <formula>"EL-H"</formula>
    </cfRule>
    <cfRule type="cellIs" dxfId="4911" priority="5208" stopIfTrue="1" operator="equal">
      <formula>"CL"</formula>
    </cfRule>
    <cfRule type="cellIs" dxfId="4910" priority="5209" stopIfTrue="1" operator="equal">
      <formula>"EL"</formula>
    </cfRule>
  </conditionalFormatting>
  <conditionalFormatting sqref="CZ38">
    <cfRule type="cellIs" dxfId="4909" priority="5198" stopIfTrue="1" operator="equal">
      <formula>"C-Off-H"</formula>
    </cfRule>
    <cfRule type="cellIs" dxfId="4908" priority="5199" stopIfTrue="1" operator="equal">
      <formula>"C-Off"</formula>
    </cfRule>
    <cfRule type="cellIs" dxfId="4907" priority="5200" stopIfTrue="1" operator="equal">
      <formula>"CL-H"</formula>
    </cfRule>
    <cfRule type="cellIs" dxfId="4906" priority="5201" stopIfTrue="1" operator="equal">
      <formula>"EL-H"</formula>
    </cfRule>
    <cfRule type="cellIs" dxfId="4905" priority="5202" stopIfTrue="1" operator="equal">
      <formula>"CL"</formula>
    </cfRule>
    <cfRule type="cellIs" dxfId="4904" priority="5203" stopIfTrue="1" operator="equal">
      <formula>"EL"</formula>
    </cfRule>
  </conditionalFormatting>
  <conditionalFormatting sqref="M38:N38">
    <cfRule type="containsText" dxfId="4903" priority="5193" operator="containsText" text="S">
      <formula>NOT(ISERROR(SEARCH("S",M38)))</formula>
    </cfRule>
    <cfRule type="containsText" dxfId="4902" priority="5194" operator="containsText" text="P">
      <formula>NOT(ISERROR(SEARCH("P",M38)))</formula>
    </cfRule>
    <cfRule type="containsText" dxfId="4901" priority="5195" operator="containsText" text="H">
      <formula>NOT(ISERROR(SEARCH("H",M38)))</formula>
    </cfRule>
    <cfRule type="containsText" dxfId="4900" priority="5196" operator="containsText" text="&quot;H&quot;">
      <formula>NOT(ISERROR(SEARCH("""H""",M38)))</formula>
    </cfRule>
    <cfRule type="containsText" dxfId="4899" priority="5197" operator="containsText" text="&quot;A&quot;">
      <formula>NOT(ISERROR(SEARCH("""A""",M38)))</formula>
    </cfRule>
  </conditionalFormatting>
  <conditionalFormatting sqref="DD38">
    <cfRule type="cellIs" dxfId="4898" priority="5187" operator="equal">
      <formula>"C-Off-H"</formula>
    </cfRule>
    <cfRule type="cellIs" dxfId="4897" priority="5188" operator="equal">
      <formula>"C-Off"</formula>
    </cfRule>
    <cfRule type="cellIs" dxfId="4896" priority="5189" operator="equal">
      <formula>"CL-H"</formula>
    </cfRule>
    <cfRule type="cellIs" dxfId="4895" priority="5190" operator="equal">
      <formula>"EL-H"</formula>
    </cfRule>
    <cfRule type="cellIs" dxfId="4894" priority="5191" operator="equal">
      <formula>"CL"</formula>
    </cfRule>
    <cfRule type="cellIs" dxfId="4893" priority="5192" operator="equal">
      <formula>"EL"</formula>
    </cfRule>
  </conditionalFormatting>
  <conditionalFormatting sqref="DD38">
    <cfRule type="containsText" dxfId="4892" priority="5186" operator="containsText" text="A">
      <formula>NOT(ISERROR(SEARCH("A",DD38)))</formula>
    </cfRule>
  </conditionalFormatting>
  <conditionalFormatting sqref="DD38">
    <cfRule type="containsText" dxfId="4891" priority="5185" operator="containsText" text="A-H">
      <formula>NOT(ISERROR(SEARCH("A-H",DD38)))</formula>
    </cfRule>
  </conditionalFormatting>
  <conditionalFormatting sqref="AI38">
    <cfRule type="cellIs" dxfId="4890" priority="5179" operator="equal">
      <formula>"C-Off-H"</formula>
    </cfRule>
    <cfRule type="cellIs" dxfId="4889" priority="5180" operator="equal">
      <formula>"C-Off"</formula>
    </cfRule>
    <cfRule type="cellIs" dxfId="4888" priority="5181" operator="equal">
      <formula>"CL-H"</formula>
    </cfRule>
    <cfRule type="cellIs" dxfId="4887" priority="5182" operator="equal">
      <formula>"EL-H"</formula>
    </cfRule>
    <cfRule type="cellIs" dxfId="4886" priority="5183" operator="equal">
      <formula>"CL"</formula>
    </cfRule>
    <cfRule type="cellIs" dxfId="4885" priority="5184" operator="equal">
      <formula>"EL"</formula>
    </cfRule>
  </conditionalFormatting>
  <conditionalFormatting sqref="AH38:AI38">
    <cfRule type="cellIs" dxfId="4884" priority="5173" operator="equal">
      <formula>"C-Off-H"</formula>
    </cfRule>
    <cfRule type="cellIs" dxfId="4883" priority="5174" operator="equal">
      <formula>"C-Off"</formula>
    </cfRule>
    <cfRule type="cellIs" dxfId="4882" priority="5175" operator="equal">
      <formula>"CL-H"</formula>
    </cfRule>
    <cfRule type="cellIs" dxfId="4881" priority="5176" operator="equal">
      <formula>"EL-H"</formula>
    </cfRule>
    <cfRule type="cellIs" dxfId="4880" priority="5177" operator="equal">
      <formula>"CL"</formula>
    </cfRule>
    <cfRule type="cellIs" dxfId="4879" priority="5178" operator="equal">
      <formula>"EL"</formula>
    </cfRule>
  </conditionalFormatting>
  <conditionalFormatting sqref="AH38:AI38">
    <cfRule type="containsText" dxfId="4878" priority="5167" operator="containsText" text="S">
      <formula>NOT(ISERROR(SEARCH("S",AH38)))</formula>
    </cfRule>
    <cfRule type="containsText" dxfId="4877" priority="5168" operator="containsText" text="P">
      <formula>NOT(ISERROR(SEARCH("P",AH38)))</formula>
    </cfRule>
    <cfRule type="containsText" dxfId="4876" priority="5169" operator="containsText" text="H">
      <formula>NOT(ISERROR(SEARCH("H",AH38)))</formula>
    </cfRule>
    <cfRule type="containsText" dxfId="4875" priority="5171" operator="containsText" text="&quot;H&quot;">
      <formula>NOT(ISERROR(SEARCH("""H""",AH38)))</formula>
    </cfRule>
    <cfRule type="containsText" dxfId="4874" priority="5172" operator="containsText" text="&quot;A&quot;">
      <formula>NOT(ISERROR(SEARCH("""A""",AH38)))</formula>
    </cfRule>
  </conditionalFormatting>
  <conditionalFormatting sqref="AH38:AI38">
    <cfRule type="containsText" dxfId="4873" priority="5170" operator="containsText" text="A-H">
      <formula>NOT(ISERROR(SEARCH("A-H",AH38)))</formula>
    </cfRule>
  </conditionalFormatting>
  <conditionalFormatting sqref="AU38">
    <cfRule type="cellIs" dxfId="4872" priority="5161" operator="equal">
      <formula>"C-Off-H"</formula>
    </cfRule>
    <cfRule type="cellIs" dxfId="4871" priority="5162" operator="equal">
      <formula>"C-Off"</formula>
    </cfRule>
    <cfRule type="cellIs" dxfId="4870" priority="5163" operator="equal">
      <formula>"CL-H"</formula>
    </cfRule>
    <cfRule type="cellIs" dxfId="4869" priority="5164" operator="equal">
      <formula>"EL-H"</formula>
    </cfRule>
    <cfRule type="cellIs" dxfId="4868" priority="5165" operator="equal">
      <formula>"CL"</formula>
    </cfRule>
    <cfRule type="cellIs" dxfId="4867" priority="5166" operator="equal">
      <formula>"EL"</formula>
    </cfRule>
  </conditionalFormatting>
  <conditionalFormatting sqref="AT38:AU38">
    <cfRule type="cellIs" dxfId="4866" priority="5155" operator="equal">
      <formula>"C-Off-H"</formula>
    </cfRule>
    <cfRule type="cellIs" dxfId="4865" priority="5156" operator="equal">
      <formula>"C-Off"</formula>
    </cfRule>
    <cfRule type="cellIs" dxfId="4864" priority="5157" operator="equal">
      <formula>"CL-H"</formula>
    </cfRule>
    <cfRule type="cellIs" dxfId="4863" priority="5158" operator="equal">
      <formula>"EL-H"</formula>
    </cfRule>
    <cfRule type="cellIs" dxfId="4862" priority="5159" operator="equal">
      <formula>"CL"</formula>
    </cfRule>
    <cfRule type="cellIs" dxfId="4861" priority="5160" operator="equal">
      <formula>"EL"</formula>
    </cfRule>
  </conditionalFormatting>
  <conditionalFormatting sqref="AT38:AU38">
    <cfRule type="containsText" dxfId="4860" priority="5149" operator="containsText" text="S">
      <formula>NOT(ISERROR(SEARCH("S",AT38)))</formula>
    </cfRule>
    <cfRule type="containsText" dxfId="4859" priority="5150" operator="containsText" text="P">
      <formula>NOT(ISERROR(SEARCH("P",AT38)))</formula>
    </cfRule>
    <cfRule type="containsText" dxfId="4858" priority="5151" operator="containsText" text="H">
      <formula>NOT(ISERROR(SEARCH("H",AT38)))</formula>
    </cfRule>
    <cfRule type="containsText" dxfId="4857" priority="5153" operator="containsText" text="&quot;H&quot;">
      <formula>NOT(ISERROR(SEARCH("""H""",AT38)))</formula>
    </cfRule>
    <cfRule type="containsText" dxfId="4856" priority="5154" operator="containsText" text="&quot;A&quot;">
      <formula>NOT(ISERROR(SEARCH("""A""",AT38)))</formula>
    </cfRule>
  </conditionalFormatting>
  <conditionalFormatting sqref="AT38:AU38">
    <cfRule type="containsText" dxfId="4855" priority="5152" operator="containsText" text="A-H">
      <formula>NOT(ISERROR(SEARCH("A-H",AT38)))</formula>
    </cfRule>
  </conditionalFormatting>
  <conditionalFormatting sqref="E38">
    <cfRule type="cellIs" dxfId="4854" priority="5143" operator="equal">
      <formula>"C-Off-H"</formula>
    </cfRule>
    <cfRule type="cellIs" dxfId="4853" priority="5144" operator="equal">
      <formula>"C-Off"</formula>
    </cfRule>
    <cfRule type="cellIs" dxfId="4852" priority="5145" operator="equal">
      <formula>"CL-H"</formula>
    </cfRule>
    <cfRule type="cellIs" dxfId="4851" priority="5146" operator="equal">
      <formula>"EL-H"</formula>
    </cfRule>
    <cfRule type="cellIs" dxfId="4850" priority="5147" operator="equal">
      <formula>"CL"</formula>
    </cfRule>
    <cfRule type="cellIs" dxfId="4849" priority="5148" operator="equal">
      <formula>"EL"</formula>
    </cfRule>
  </conditionalFormatting>
  <conditionalFormatting sqref="D38:E38">
    <cfRule type="cellIs" dxfId="4848" priority="5137" operator="equal">
      <formula>"C-Off-H"</formula>
    </cfRule>
    <cfRule type="cellIs" dxfId="4847" priority="5138" operator="equal">
      <formula>"C-Off"</formula>
    </cfRule>
    <cfRule type="cellIs" dxfId="4846" priority="5139" operator="equal">
      <formula>"CL-H"</formula>
    </cfRule>
    <cfRule type="cellIs" dxfId="4845" priority="5140" operator="equal">
      <formula>"EL-H"</formula>
    </cfRule>
    <cfRule type="cellIs" dxfId="4844" priority="5141" operator="equal">
      <formula>"CL"</formula>
    </cfRule>
    <cfRule type="cellIs" dxfId="4843" priority="5142" operator="equal">
      <formula>"EL"</formula>
    </cfRule>
  </conditionalFormatting>
  <conditionalFormatting sqref="D38:E38">
    <cfRule type="containsText" dxfId="4842" priority="5131" operator="containsText" text="S">
      <formula>NOT(ISERROR(SEARCH("S",D38)))</formula>
    </cfRule>
    <cfRule type="containsText" dxfId="4841" priority="5132" operator="containsText" text="P">
      <formula>NOT(ISERROR(SEARCH("P",D38)))</formula>
    </cfRule>
    <cfRule type="containsText" dxfId="4840" priority="5133" operator="containsText" text="H">
      <formula>NOT(ISERROR(SEARCH("H",D38)))</formula>
    </cfRule>
    <cfRule type="containsText" dxfId="4839" priority="5135" operator="containsText" text="&quot;H&quot;">
      <formula>NOT(ISERROR(SEARCH("""H""",D38)))</formula>
    </cfRule>
    <cfRule type="containsText" dxfId="4838" priority="5136" operator="containsText" text="&quot;A&quot;">
      <formula>NOT(ISERROR(SEARCH("""A""",D38)))</formula>
    </cfRule>
  </conditionalFormatting>
  <conditionalFormatting sqref="D38:E38">
    <cfRule type="containsText" dxfId="4837" priority="5134" operator="containsText" text="A-H">
      <formula>NOT(ISERROR(SEARCH("A-H",D38)))</formula>
    </cfRule>
  </conditionalFormatting>
  <conditionalFormatting sqref="Y38">
    <cfRule type="cellIs" dxfId="4836" priority="5125" operator="equal">
      <formula>"C-Off-H"</formula>
    </cfRule>
    <cfRule type="cellIs" dxfId="4835" priority="5126" operator="equal">
      <formula>"C-Off"</formula>
    </cfRule>
    <cfRule type="cellIs" dxfId="4834" priority="5127" operator="equal">
      <formula>"CL-H"</formula>
    </cfRule>
    <cfRule type="cellIs" dxfId="4833" priority="5128" operator="equal">
      <formula>"EL-H"</formula>
    </cfRule>
    <cfRule type="cellIs" dxfId="4832" priority="5129" operator="equal">
      <formula>"CL"</formula>
    </cfRule>
    <cfRule type="cellIs" dxfId="4831" priority="5130" operator="equal">
      <formula>"EL"</formula>
    </cfRule>
  </conditionalFormatting>
  <conditionalFormatting sqref="Y38">
    <cfRule type="containsText" dxfId="4830" priority="5119" operator="containsText" text="S">
      <formula>NOT(ISERROR(SEARCH("S",Y38)))</formula>
    </cfRule>
    <cfRule type="containsText" dxfId="4829" priority="5120" operator="containsText" text="P">
      <formula>NOT(ISERROR(SEARCH("P",Y38)))</formula>
    </cfRule>
    <cfRule type="containsText" dxfId="4828" priority="5121" operator="containsText" text="H">
      <formula>NOT(ISERROR(SEARCH("H",Y38)))</formula>
    </cfRule>
    <cfRule type="containsText" dxfId="4827" priority="5123" operator="containsText" text="&quot;H&quot;">
      <formula>NOT(ISERROR(SEARCH("""H""",Y38)))</formula>
    </cfRule>
    <cfRule type="containsText" dxfId="4826" priority="5124" operator="containsText" text="&quot;A&quot;">
      <formula>NOT(ISERROR(SEARCH("""A""",Y38)))</formula>
    </cfRule>
  </conditionalFormatting>
  <conditionalFormatting sqref="Y38">
    <cfRule type="containsText" dxfId="4825" priority="5122" operator="containsText" text="A-H">
      <formula>NOT(ISERROR(SEARCH("A-H",Y38)))</formula>
    </cfRule>
  </conditionalFormatting>
  <conditionalFormatting sqref="AF38">
    <cfRule type="cellIs" dxfId="4824" priority="5113" operator="equal">
      <formula>"C-Off-H"</formula>
    </cfRule>
    <cfRule type="cellIs" dxfId="4823" priority="5114" operator="equal">
      <formula>"C-Off"</formula>
    </cfRule>
    <cfRule type="cellIs" dxfId="4822" priority="5115" operator="equal">
      <formula>"CL-H"</formula>
    </cfRule>
    <cfRule type="cellIs" dxfId="4821" priority="5116" operator="equal">
      <formula>"EL-H"</formula>
    </cfRule>
    <cfRule type="cellIs" dxfId="4820" priority="5117" operator="equal">
      <formula>"CL"</formula>
    </cfRule>
    <cfRule type="cellIs" dxfId="4819" priority="5118" operator="equal">
      <formula>"EL"</formula>
    </cfRule>
  </conditionalFormatting>
  <conditionalFormatting sqref="AF38">
    <cfRule type="containsText" dxfId="4818" priority="5107" operator="containsText" text="S">
      <formula>NOT(ISERROR(SEARCH("S",AF38)))</formula>
    </cfRule>
    <cfRule type="containsText" dxfId="4817" priority="5108" operator="containsText" text="P">
      <formula>NOT(ISERROR(SEARCH("P",AF38)))</formula>
    </cfRule>
    <cfRule type="containsText" dxfId="4816" priority="5109" operator="containsText" text="H">
      <formula>NOT(ISERROR(SEARCH("H",AF38)))</formula>
    </cfRule>
    <cfRule type="containsText" dxfId="4815" priority="5111" operator="containsText" text="&quot;H&quot;">
      <formula>NOT(ISERROR(SEARCH("""H""",AF38)))</formula>
    </cfRule>
    <cfRule type="containsText" dxfId="4814" priority="5112" operator="containsText" text="&quot;A&quot;">
      <formula>NOT(ISERROR(SEARCH("""A""",AF38)))</formula>
    </cfRule>
  </conditionalFormatting>
  <conditionalFormatting sqref="AF38">
    <cfRule type="containsText" dxfId="4813" priority="5110" operator="containsText" text="A-H">
      <formula>NOT(ISERROR(SEARCH("A-H",AF38)))</formula>
    </cfRule>
  </conditionalFormatting>
  <conditionalFormatting sqref="BO38:BP38">
    <cfRule type="cellIs" dxfId="4812" priority="5101" operator="equal">
      <formula>"C-Off-H"</formula>
    </cfRule>
    <cfRule type="cellIs" dxfId="4811" priority="5102" operator="equal">
      <formula>"C-Off"</formula>
    </cfRule>
    <cfRule type="cellIs" dxfId="4810" priority="5103" operator="equal">
      <formula>"CL-H"</formula>
    </cfRule>
    <cfRule type="cellIs" dxfId="4809" priority="5104" operator="equal">
      <formula>"EL-H"</formula>
    </cfRule>
    <cfRule type="cellIs" dxfId="4808" priority="5105" operator="equal">
      <formula>"CL"</formula>
    </cfRule>
    <cfRule type="cellIs" dxfId="4807" priority="5106" operator="equal">
      <formula>"EL"</formula>
    </cfRule>
  </conditionalFormatting>
  <conditionalFormatting sqref="BO38:BP38">
    <cfRule type="cellIs" dxfId="4806" priority="5095" operator="equal">
      <formula>"C-Off-H"</formula>
    </cfRule>
    <cfRule type="cellIs" dxfId="4805" priority="5096" operator="equal">
      <formula>"C-Off"</formula>
    </cfRule>
    <cfRule type="cellIs" dxfId="4804" priority="5097" operator="equal">
      <formula>"CL-H"</formula>
    </cfRule>
    <cfRule type="cellIs" dxfId="4803" priority="5098" operator="equal">
      <formula>"EL-H"</formula>
    </cfRule>
    <cfRule type="cellIs" dxfId="4802" priority="5099" operator="equal">
      <formula>"CL"</formula>
    </cfRule>
    <cfRule type="cellIs" dxfId="4801" priority="5100" operator="equal">
      <formula>"EL"</formula>
    </cfRule>
  </conditionalFormatting>
  <conditionalFormatting sqref="BO38:BP38">
    <cfRule type="containsText" dxfId="4800" priority="5089" operator="containsText" text="S">
      <formula>NOT(ISERROR(SEARCH("S",BO38)))</formula>
    </cfRule>
    <cfRule type="containsText" dxfId="4799" priority="5090" operator="containsText" text="P">
      <formula>NOT(ISERROR(SEARCH("P",BO38)))</formula>
    </cfRule>
    <cfRule type="containsText" dxfId="4798" priority="5091" operator="containsText" text="H">
      <formula>NOT(ISERROR(SEARCH("H",BO38)))</formula>
    </cfRule>
    <cfRule type="containsText" dxfId="4797" priority="5093" operator="containsText" text="&quot;H&quot;">
      <formula>NOT(ISERROR(SEARCH("""H""",BO38)))</formula>
    </cfRule>
    <cfRule type="containsText" dxfId="4796" priority="5094" operator="containsText" text="&quot;A&quot;">
      <formula>NOT(ISERROR(SEARCH("""A""",BO38)))</formula>
    </cfRule>
  </conditionalFormatting>
  <conditionalFormatting sqref="BO38:BP38">
    <cfRule type="containsText" dxfId="4795" priority="5092" operator="containsText" text="A-H">
      <formula>NOT(ISERROR(SEARCH("A-H",BO38)))</formula>
    </cfRule>
  </conditionalFormatting>
  <conditionalFormatting sqref="CM38">
    <cfRule type="cellIs" dxfId="4794" priority="5083" operator="equal">
      <formula>"C-Off-H"</formula>
    </cfRule>
    <cfRule type="cellIs" dxfId="4793" priority="5084" operator="equal">
      <formula>"C-Off"</formula>
    </cfRule>
    <cfRule type="cellIs" dxfId="4792" priority="5085" operator="equal">
      <formula>"CL-H"</formula>
    </cfRule>
    <cfRule type="cellIs" dxfId="4791" priority="5086" operator="equal">
      <formula>"EL-H"</formula>
    </cfRule>
    <cfRule type="cellIs" dxfId="4790" priority="5087" operator="equal">
      <formula>"CL"</formula>
    </cfRule>
    <cfRule type="cellIs" dxfId="4789" priority="5088" operator="equal">
      <formula>"EL"</formula>
    </cfRule>
  </conditionalFormatting>
  <conditionalFormatting sqref="CM38">
    <cfRule type="cellIs" dxfId="4788" priority="5077" operator="equal">
      <formula>"C-Off-H"</formula>
    </cfRule>
    <cfRule type="cellIs" dxfId="4787" priority="5078" operator="equal">
      <formula>"C-Off"</formula>
    </cfRule>
    <cfRule type="cellIs" dxfId="4786" priority="5079" operator="equal">
      <formula>"CL-H"</formula>
    </cfRule>
    <cfRule type="cellIs" dxfId="4785" priority="5080" operator="equal">
      <formula>"EL-H"</formula>
    </cfRule>
    <cfRule type="cellIs" dxfId="4784" priority="5081" operator="equal">
      <formula>"CL"</formula>
    </cfRule>
    <cfRule type="cellIs" dxfId="4783" priority="5082" operator="equal">
      <formula>"EL"</formula>
    </cfRule>
  </conditionalFormatting>
  <conditionalFormatting sqref="CM38">
    <cfRule type="containsText" dxfId="4782" priority="5071" operator="containsText" text="S">
      <formula>NOT(ISERROR(SEARCH("S",CM38)))</formula>
    </cfRule>
    <cfRule type="containsText" dxfId="4781" priority="5072" operator="containsText" text="P">
      <formula>NOT(ISERROR(SEARCH("P",CM38)))</formula>
    </cfRule>
    <cfRule type="containsText" dxfId="4780" priority="5073" operator="containsText" text="H">
      <formula>NOT(ISERROR(SEARCH("H",CM38)))</formula>
    </cfRule>
    <cfRule type="containsText" dxfId="4779" priority="5075" operator="containsText" text="&quot;H&quot;">
      <formula>NOT(ISERROR(SEARCH("""H""",CM38)))</formula>
    </cfRule>
    <cfRule type="containsText" dxfId="4778" priority="5076" operator="containsText" text="&quot;A&quot;">
      <formula>NOT(ISERROR(SEARCH("""A""",CM38)))</formula>
    </cfRule>
  </conditionalFormatting>
  <conditionalFormatting sqref="CM38">
    <cfRule type="containsText" dxfId="4777" priority="5074" operator="containsText" text="A-H">
      <formula>NOT(ISERROR(SEARCH("A-H",CM38)))</formula>
    </cfRule>
  </conditionalFormatting>
  <conditionalFormatting sqref="V38:W38">
    <cfRule type="cellIs" dxfId="4776" priority="5041" operator="equal">
      <formula>"C-Off-H"</formula>
    </cfRule>
    <cfRule type="cellIs" dxfId="4775" priority="5042" operator="equal">
      <formula>"C-Off"</formula>
    </cfRule>
    <cfRule type="cellIs" dxfId="4774" priority="5043" operator="equal">
      <formula>"CL-H"</formula>
    </cfRule>
    <cfRule type="cellIs" dxfId="4773" priority="5044" operator="equal">
      <formula>"EL-H"</formula>
    </cfRule>
    <cfRule type="cellIs" dxfId="4772" priority="5045" operator="equal">
      <formula>"CL"</formula>
    </cfRule>
    <cfRule type="cellIs" dxfId="4771" priority="5046" operator="equal">
      <formula>"EL"</formula>
    </cfRule>
  </conditionalFormatting>
  <conditionalFormatting sqref="V38:W38">
    <cfRule type="containsText" dxfId="4770" priority="5035" operator="containsText" text="S">
      <formula>NOT(ISERROR(SEARCH("S",V38)))</formula>
    </cfRule>
    <cfRule type="containsText" dxfId="4769" priority="5036" operator="containsText" text="P">
      <formula>NOT(ISERROR(SEARCH("P",V38)))</formula>
    </cfRule>
    <cfRule type="containsText" dxfId="4768" priority="5037" operator="containsText" text="H">
      <formula>NOT(ISERROR(SEARCH("H",V38)))</formula>
    </cfRule>
    <cfRule type="containsText" dxfId="4767" priority="5039" operator="containsText" text="&quot;H&quot;">
      <formula>NOT(ISERROR(SEARCH("""H""",V38)))</formula>
    </cfRule>
    <cfRule type="containsText" dxfId="4766" priority="5040" operator="containsText" text="&quot;A&quot;">
      <formula>NOT(ISERROR(SEARCH("""A""",V38)))</formula>
    </cfRule>
  </conditionalFormatting>
  <conditionalFormatting sqref="V38:W38">
    <cfRule type="containsText" dxfId="4765" priority="5038" operator="containsText" text="A-H">
      <formula>NOT(ISERROR(SEARCH("A-H",V38)))</formula>
    </cfRule>
  </conditionalFormatting>
  <conditionalFormatting sqref="P38:Q38">
    <cfRule type="cellIs" dxfId="4764" priority="5065" operator="equal">
      <formula>"C-Off-H"</formula>
    </cfRule>
    <cfRule type="cellIs" dxfId="4763" priority="5066" operator="equal">
      <formula>"C-Off"</formula>
    </cfRule>
    <cfRule type="cellIs" dxfId="4762" priority="5067" operator="equal">
      <formula>"CL-H"</formula>
    </cfRule>
    <cfRule type="cellIs" dxfId="4761" priority="5068" operator="equal">
      <formula>"EL-H"</formula>
    </cfRule>
    <cfRule type="cellIs" dxfId="4760" priority="5069" operator="equal">
      <formula>"CL"</formula>
    </cfRule>
    <cfRule type="cellIs" dxfId="4759" priority="5070" operator="equal">
      <formula>"EL"</formula>
    </cfRule>
  </conditionalFormatting>
  <conditionalFormatting sqref="P38:Q38">
    <cfRule type="containsText" dxfId="4758" priority="5059" operator="containsText" text="S">
      <formula>NOT(ISERROR(SEARCH("S",P38)))</formula>
    </cfRule>
    <cfRule type="containsText" dxfId="4757" priority="5060" operator="containsText" text="P">
      <formula>NOT(ISERROR(SEARCH("P",P38)))</formula>
    </cfRule>
    <cfRule type="containsText" dxfId="4756" priority="5061" operator="containsText" text="H">
      <formula>NOT(ISERROR(SEARCH("H",P38)))</formula>
    </cfRule>
    <cfRule type="containsText" dxfId="4755" priority="5063" operator="containsText" text="&quot;H&quot;">
      <formula>NOT(ISERROR(SEARCH("""H""",P38)))</formula>
    </cfRule>
    <cfRule type="containsText" dxfId="4754" priority="5064" operator="containsText" text="&quot;A&quot;">
      <formula>NOT(ISERROR(SEARCH("""A""",P38)))</formula>
    </cfRule>
  </conditionalFormatting>
  <conditionalFormatting sqref="P38:Q38">
    <cfRule type="containsText" dxfId="4753" priority="5062" operator="containsText" text="A-H">
      <formula>NOT(ISERROR(SEARCH("A-H",P38)))</formula>
    </cfRule>
  </conditionalFormatting>
  <conditionalFormatting sqref="S38:T38">
    <cfRule type="cellIs" dxfId="4752" priority="5053" operator="equal">
      <formula>"C-Off-H"</formula>
    </cfRule>
    <cfRule type="cellIs" dxfId="4751" priority="5054" operator="equal">
      <formula>"C-Off"</formula>
    </cfRule>
    <cfRule type="cellIs" dxfId="4750" priority="5055" operator="equal">
      <formula>"CL-H"</formula>
    </cfRule>
    <cfRule type="cellIs" dxfId="4749" priority="5056" operator="equal">
      <formula>"EL-H"</formula>
    </cfRule>
    <cfRule type="cellIs" dxfId="4748" priority="5057" operator="equal">
      <formula>"CL"</formula>
    </cfRule>
    <cfRule type="cellIs" dxfId="4747" priority="5058" operator="equal">
      <formula>"EL"</formula>
    </cfRule>
  </conditionalFormatting>
  <conditionalFormatting sqref="S38:T38">
    <cfRule type="containsText" dxfId="4746" priority="5047" operator="containsText" text="S">
      <formula>NOT(ISERROR(SEARCH("S",S38)))</formula>
    </cfRule>
    <cfRule type="containsText" dxfId="4745" priority="5048" operator="containsText" text="P">
      <formula>NOT(ISERROR(SEARCH("P",S38)))</formula>
    </cfRule>
    <cfRule type="containsText" dxfId="4744" priority="5049" operator="containsText" text="H">
      <formula>NOT(ISERROR(SEARCH("H",S38)))</formula>
    </cfRule>
    <cfRule type="containsText" dxfId="4743" priority="5051" operator="containsText" text="&quot;H&quot;">
      <formula>NOT(ISERROR(SEARCH("""H""",S38)))</formula>
    </cfRule>
    <cfRule type="containsText" dxfId="4742" priority="5052" operator="containsText" text="&quot;A&quot;">
      <formula>NOT(ISERROR(SEARCH("""A""",S38)))</formula>
    </cfRule>
  </conditionalFormatting>
  <conditionalFormatting sqref="S38:T38">
    <cfRule type="containsText" dxfId="4741" priority="5050" operator="containsText" text="A-H">
      <formula>NOT(ISERROR(SEARCH("A-H",S38)))</formula>
    </cfRule>
  </conditionalFormatting>
  <conditionalFormatting sqref="AB38:AC38">
    <cfRule type="cellIs" dxfId="4740" priority="5029" operator="equal">
      <formula>"C-Off-H"</formula>
    </cfRule>
    <cfRule type="cellIs" dxfId="4739" priority="5030" operator="equal">
      <formula>"C-Off"</formula>
    </cfRule>
    <cfRule type="cellIs" dxfId="4738" priority="5031" operator="equal">
      <formula>"CL-H"</formula>
    </cfRule>
    <cfRule type="cellIs" dxfId="4737" priority="5032" operator="equal">
      <formula>"EL-H"</formula>
    </cfRule>
    <cfRule type="cellIs" dxfId="4736" priority="5033" operator="equal">
      <formula>"CL"</formula>
    </cfRule>
    <cfRule type="cellIs" dxfId="4735" priority="5034" operator="equal">
      <formula>"EL"</formula>
    </cfRule>
  </conditionalFormatting>
  <conditionalFormatting sqref="AB38:AC38">
    <cfRule type="containsText" dxfId="4734" priority="5023" operator="containsText" text="S">
      <formula>NOT(ISERROR(SEARCH("S",AB38)))</formula>
    </cfRule>
    <cfRule type="containsText" dxfId="4733" priority="5024" operator="containsText" text="P">
      <formula>NOT(ISERROR(SEARCH("P",AB38)))</formula>
    </cfRule>
    <cfRule type="containsText" dxfId="4732" priority="5025" operator="containsText" text="H">
      <formula>NOT(ISERROR(SEARCH("H",AB38)))</formula>
    </cfRule>
    <cfRule type="containsText" dxfId="4731" priority="5027" operator="containsText" text="&quot;H&quot;">
      <formula>NOT(ISERROR(SEARCH("""H""",AB38)))</formula>
    </cfRule>
    <cfRule type="containsText" dxfId="4730" priority="5028" operator="containsText" text="&quot;A&quot;">
      <formula>NOT(ISERROR(SEARCH("""A""",AB38)))</formula>
    </cfRule>
  </conditionalFormatting>
  <conditionalFormatting sqref="AB38:AC38">
    <cfRule type="containsText" dxfId="4729" priority="5026" operator="containsText" text="A-H">
      <formula>NOT(ISERROR(SEARCH("A-H",AB38)))</formula>
    </cfRule>
  </conditionalFormatting>
  <conditionalFormatting sqref="AE38">
    <cfRule type="cellIs" dxfId="4728" priority="5017" operator="equal">
      <formula>"C-Off-H"</formula>
    </cfRule>
    <cfRule type="cellIs" dxfId="4727" priority="5018" operator="equal">
      <formula>"C-Off"</formula>
    </cfRule>
    <cfRule type="cellIs" dxfId="4726" priority="5019" operator="equal">
      <formula>"CL-H"</formula>
    </cfRule>
    <cfRule type="cellIs" dxfId="4725" priority="5020" operator="equal">
      <formula>"EL-H"</formula>
    </cfRule>
    <cfRule type="cellIs" dxfId="4724" priority="5021" operator="equal">
      <formula>"CL"</formula>
    </cfRule>
    <cfRule type="cellIs" dxfId="4723" priority="5022" operator="equal">
      <formula>"EL"</formula>
    </cfRule>
  </conditionalFormatting>
  <conditionalFormatting sqref="AE38">
    <cfRule type="containsText" dxfId="4722" priority="5011" operator="containsText" text="S">
      <formula>NOT(ISERROR(SEARCH("S",AE38)))</formula>
    </cfRule>
    <cfRule type="containsText" dxfId="4721" priority="5012" operator="containsText" text="P">
      <formula>NOT(ISERROR(SEARCH("P",AE38)))</formula>
    </cfRule>
    <cfRule type="containsText" dxfId="4720" priority="5013" operator="containsText" text="H">
      <formula>NOT(ISERROR(SEARCH("H",AE38)))</formula>
    </cfRule>
    <cfRule type="containsText" dxfId="4719" priority="5015" operator="containsText" text="&quot;H&quot;">
      <formula>NOT(ISERROR(SEARCH("""H""",AE38)))</formula>
    </cfRule>
    <cfRule type="containsText" dxfId="4718" priority="5016" operator="containsText" text="&quot;A&quot;">
      <formula>NOT(ISERROR(SEARCH("""A""",AE38)))</formula>
    </cfRule>
  </conditionalFormatting>
  <conditionalFormatting sqref="AE38">
    <cfRule type="containsText" dxfId="4717" priority="5014" operator="containsText" text="A-H">
      <formula>NOT(ISERROR(SEARCH("A-H",AE38)))</formula>
    </cfRule>
  </conditionalFormatting>
  <conditionalFormatting sqref="AK38:AL38">
    <cfRule type="cellIs" dxfId="4716" priority="5005" operator="equal">
      <formula>"C-Off-H"</formula>
    </cfRule>
    <cfRule type="cellIs" dxfId="4715" priority="5006" operator="equal">
      <formula>"C-Off"</formula>
    </cfRule>
    <cfRule type="cellIs" dxfId="4714" priority="5007" operator="equal">
      <formula>"CL-H"</formula>
    </cfRule>
    <cfRule type="cellIs" dxfId="4713" priority="5008" operator="equal">
      <formula>"EL-H"</formula>
    </cfRule>
    <cfRule type="cellIs" dxfId="4712" priority="5009" operator="equal">
      <formula>"CL"</formula>
    </cfRule>
    <cfRule type="cellIs" dxfId="4711" priority="5010" operator="equal">
      <formula>"EL"</formula>
    </cfRule>
  </conditionalFormatting>
  <conditionalFormatting sqref="AK38:AL38">
    <cfRule type="containsText" dxfId="4710" priority="4999" operator="containsText" text="S">
      <formula>NOT(ISERROR(SEARCH("S",AK38)))</formula>
    </cfRule>
    <cfRule type="containsText" dxfId="4709" priority="5000" operator="containsText" text="P">
      <formula>NOT(ISERROR(SEARCH("P",AK38)))</formula>
    </cfRule>
    <cfRule type="containsText" dxfId="4708" priority="5001" operator="containsText" text="H">
      <formula>NOT(ISERROR(SEARCH("H",AK38)))</formula>
    </cfRule>
    <cfRule type="containsText" dxfId="4707" priority="5003" operator="containsText" text="&quot;H&quot;">
      <formula>NOT(ISERROR(SEARCH("""H""",AK38)))</formula>
    </cfRule>
    <cfRule type="containsText" dxfId="4706" priority="5004" operator="containsText" text="&quot;A&quot;">
      <formula>NOT(ISERROR(SEARCH("""A""",AK38)))</formula>
    </cfRule>
  </conditionalFormatting>
  <conditionalFormatting sqref="AK38:AL38">
    <cfRule type="containsText" dxfId="4705" priority="5002" operator="containsText" text="A-H">
      <formula>NOT(ISERROR(SEARCH("A-H",AK38)))</formula>
    </cfRule>
  </conditionalFormatting>
  <conditionalFormatting sqref="AN38:AO38">
    <cfRule type="cellIs" dxfId="4704" priority="4993" operator="equal">
      <formula>"C-Off-H"</formula>
    </cfRule>
    <cfRule type="cellIs" dxfId="4703" priority="4994" operator="equal">
      <formula>"C-Off"</formula>
    </cfRule>
    <cfRule type="cellIs" dxfId="4702" priority="4995" operator="equal">
      <formula>"CL-H"</formula>
    </cfRule>
    <cfRule type="cellIs" dxfId="4701" priority="4996" operator="equal">
      <formula>"EL-H"</formula>
    </cfRule>
    <cfRule type="cellIs" dxfId="4700" priority="4997" operator="equal">
      <formula>"CL"</formula>
    </cfRule>
    <cfRule type="cellIs" dxfId="4699" priority="4998" operator="equal">
      <formula>"EL"</formula>
    </cfRule>
  </conditionalFormatting>
  <conditionalFormatting sqref="AN38:AO38">
    <cfRule type="containsText" dxfId="4698" priority="4987" operator="containsText" text="S">
      <formula>NOT(ISERROR(SEARCH("S",AN38)))</formula>
    </cfRule>
    <cfRule type="containsText" dxfId="4697" priority="4988" operator="containsText" text="P">
      <formula>NOT(ISERROR(SEARCH("P",AN38)))</formula>
    </cfRule>
    <cfRule type="containsText" dxfId="4696" priority="4989" operator="containsText" text="H">
      <formula>NOT(ISERROR(SEARCH("H",AN38)))</formula>
    </cfRule>
    <cfRule type="containsText" dxfId="4695" priority="4991" operator="containsText" text="&quot;H&quot;">
      <formula>NOT(ISERROR(SEARCH("""H""",AN38)))</formula>
    </cfRule>
    <cfRule type="containsText" dxfId="4694" priority="4992" operator="containsText" text="&quot;A&quot;">
      <formula>NOT(ISERROR(SEARCH("""A""",AN38)))</formula>
    </cfRule>
  </conditionalFormatting>
  <conditionalFormatting sqref="AN38:AO38">
    <cfRule type="containsText" dxfId="4693" priority="4990" operator="containsText" text="A-H">
      <formula>NOT(ISERROR(SEARCH("A-H",AN38)))</formula>
    </cfRule>
  </conditionalFormatting>
  <conditionalFormatting sqref="AQ38:AR38">
    <cfRule type="cellIs" dxfId="4692" priority="4981" operator="equal">
      <formula>"C-Off-H"</formula>
    </cfRule>
    <cfRule type="cellIs" dxfId="4691" priority="4982" operator="equal">
      <formula>"C-Off"</formula>
    </cfRule>
    <cfRule type="cellIs" dxfId="4690" priority="4983" operator="equal">
      <formula>"CL-H"</formula>
    </cfRule>
    <cfRule type="cellIs" dxfId="4689" priority="4984" operator="equal">
      <formula>"EL-H"</formula>
    </cfRule>
    <cfRule type="cellIs" dxfId="4688" priority="4985" operator="equal">
      <formula>"CL"</formula>
    </cfRule>
    <cfRule type="cellIs" dxfId="4687" priority="4986" operator="equal">
      <formula>"EL"</formula>
    </cfRule>
  </conditionalFormatting>
  <conditionalFormatting sqref="AQ38:AR38">
    <cfRule type="containsText" dxfId="4686" priority="4975" operator="containsText" text="S">
      <formula>NOT(ISERROR(SEARCH("S",AQ38)))</formula>
    </cfRule>
    <cfRule type="containsText" dxfId="4685" priority="4976" operator="containsText" text="P">
      <formula>NOT(ISERROR(SEARCH("P",AQ38)))</formula>
    </cfRule>
    <cfRule type="containsText" dxfId="4684" priority="4977" operator="containsText" text="H">
      <formula>NOT(ISERROR(SEARCH("H",AQ38)))</formula>
    </cfRule>
    <cfRule type="containsText" dxfId="4683" priority="4979" operator="containsText" text="&quot;H&quot;">
      <formula>NOT(ISERROR(SEARCH("""H""",AQ38)))</formula>
    </cfRule>
    <cfRule type="containsText" dxfId="4682" priority="4980" operator="containsText" text="&quot;A&quot;">
      <formula>NOT(ISERROR(SEARCH("""A""",AQ38)))</formula>
    </cfRule>
  </conditionalFormatting>
  <conditionalFormatting sqref="AQ38:AR38">
    <cfRule type="containsText" dxfId="4681" priority="4978" operator="containsText" text="A-H">
      <formula>NOT(ISERROR(SEARCH("A-H",AQ38)))</formula>
    </cfRule>
  </conditionalFormatting>
  <conditionalFormatting sqref="AW38:AX38">
    <cfRule type="cellIs" dxfId="4680" priority="4969" operator="equal">
      <formula>"C-Off-H"</formula>
    </cfRule>
    <cfRule type="cellIs" dxfId="4679" priority="4970" operator="equal">
      <formula>"C-Off"</formula>
    </cfRule>
    <cfRule type="cellIs" dxfId="4678" priority="4971" operator="equal">
      <formula>"CL-H"</formula>
    </cfRule>
    <cfRule type="cellIs" dxfId="4677" priority="4972" operator="equal">
      <formula>"EL-H"</formula>
    </cfRule>
    <cfRule type="cellIs" dxfId="4676" priority="4973" operator="equal">
      <formula>"CL"</formula>
    </cfRule>
    <cfRule type="cellIs" dxfId="4675" priority="4974" operator="equal">
      <formula>"EL"</formula>
    </cfRule>
  </conditionalFormatting>
  <conditionalFormatting sqref="AW38:AX38">
    <cfRule type="containsText" dxfId="4674" priority="4963" operator="containsText" text="S">
      <formula>NOT(ISERROR(SEARCH("S",AW38)))</formula>
    </cfRule>
    <cfRule type="containsText" dxfId="4673" priority="4964" operator="containsText" text="P">
      <formula>NOT(ISERROR(SEARCH("P",AW38)))</formula>
    </cfRule>
    <cfRule type="containsText" dxfId="4672" priority="4965" operator="containsText" text="H">
      <formula>NOT(ISERROR(SEARCH("H",AW38)))</formula>
    </cfRule>
    <cfRule type="containsText" dxfId="4671" priority="4967" operator="containsText" text="&quot;H&quot;">
      <formula>NOT(ISERROR(SEARCH("""H""",AW38)))</formula>
    </cfRule>
    <cfRule type="containsText" dxfId="4670" priority="4968" operator="containsText" text="&quot;A&quot;">
      <formula>NOT(ISERROR(SEARCH("""A""",AW38)))</formula>
    </cfRule>
  </conditionalFormatting>
  <conditionalFormatting sqref="AW38:AX38">
    <cfRule type="containsText" dxfId="4669" priority="4966" operator="containsText" text="A-H">
      <formula>NOT(ISERROR(SEARCH("A-H",AW38)))</formula>
    </cfRule>
  </conditionalFormatting>
  <conditionalFormatting sqref="AZ38:BA38">
    <cfRule type="cellIs" dxfId="4668" priority="4957" operator="equal">
      <formula>"C-Off-H"</formula>
    </cfRule>
    <cfRule type="cellIs" dxfId="4667" priority="4958" operator="equal">
      <formula>"C-Off"</formula>
    </cfRule>
    <cfRule type="cellIs" dxfId="4666" priority="4959" operator="equal">
      <formula>"CL-H"</formula>
    </cfRule>
    <cfRule type="cellIs" dxfId="4665" priority="4960" operator="equal">
      <formula>"EL-H"</formula>
    </cfRule>
    <cfRule type="cellIs" dxfId="4664" priority="4961" operator="equal">
      <formula>"CL"</formula>
    </cfRule>
    <cfRule type="cellIs" dxfId="4663" priority="4962" operator="equal">
      <formula>"EL"</formula>
    </cfRule>
  </conditionalFormatting>
  <conditionalFormatting sqref="AZ38:BA38">
    <cfRule type="containsText" dxfId="4662" priority="4951" operator="containsText" text="S">
      <formula>NOT(ISERROR(SEARCH("S",AZ38)))</formula>
    </cfRule>
    <cfRule type="containsText" dxfId="4661" priority="4952" operator="containsText" text="P">
      <formula>NOT(ISERROR(SEARCH("P",AZ38)))</formula>
    </cfRule>
    <cfRule type="containsText" dxfId="4660" priority="4953" operator="containsText" text="H">
      <formula>NOT(ISERROR(SEARCH("H",AZ38)))</formula>
    </cfRule>
    <cfRule type="containsText" dxfId="4659" priority="4955" operator="containsText" text="&quot;H&quot;">
      <formula>NOT(ISERROR(SEARCH("""H""",AZ38)))</formula>
    </cfRule>
    <cfRule type="containsText" dxfId="4658" priority="4956" operator="containsText" text="&quot;A&quot;">
      <formula>NOT(ISERROR(SEARCH("""A""",AZ38)))</formula>
    </cfRule>
  </conditionalFormatting>
  <conditionalFormatting sqref="AZ38:BA38">
    <cfRule type="containsText" dxfId="4657" priority="4954" operator="containsText" text="A-H">
      <formula>NOT(ISERROR(SEARCH("A-H",AZ38)))</formula>
    </cfRule>
  </conditionalFormatting>
  <conditionalFormatting sqref="BC38:BD38">
    <cfRule type="cellIs" dxfId="4656" priority="4945" operator="equal">
      <formula>"C-Off-H"</formula>
    </cfRule>
    <cfRule type="cellIs" dxfId="4655" priority="4946" operator="equal">
      <formula>"C-Off"</formula>
    </cfRule>
    <cfRule type="cellIs" dxfId="4654" priority="4947" operator="equal">
      <formula>"CL-H"</formula>
    </cfRule>
    <cfRule type="cellIs" dxfId="4653" priority="4948" operator="equal">
      <formula>"EL-H"</formula>
    </cfRule>
    <cfRule type="cellIs" dxfId="4652" priority="4949" operator="equal">
      <formula>"CL"</formula>
    </cfRule>
    <cfRule type="cellIs" dxfId="4651" priority="4950" operator="equal">
      <formula>"EL"</formula>
    </cfRule>
  </conditionalFormatting>
  <conditionalFormatting sqref="BC38:BD38">
    <cfRule type="containsText" dxfId="4650" priority="4939" operator="containsText" text="S">
      <formula>NOT(ISERROR(SEARCH("S",BC38)))</formula>
    </cfRule>
    <cfRule type="containsText" dxfId="4649" priority="4940" operator="containsText" text="P">
      <formula>NOT(ISERROR(SEARCH("P",BC38)))</formula>
    </cfRule>
    <cfRule type="containsText" dxfId="4648" priority="4941" operator="containsText" text="H">
      <formula>NOT(ISERROR(SEARCH("H",BC38)))</formula>
    </cfRule>
    <cfRule type="containsText" dxfId="4647" priority="4943" operator="containsText" text="&quot;H&quot;">
      <formula>NOT(ISERROR(SEARCH("""H""",BC38)))</formula>
    </cfRule>
    <cfRule type="containsText" dxfId="4646" priority="4944" operator="containsText" text="&quot;A&quot;">
      <formula>NOT(ISERROR(SEARCH("""A""",BC38)))</formula>
    </cfRule>
  </conditionalFormatting>
  <conditionalFormatting sqref="BC38:BD38">
    <cfRule type="containsText" dxfId="4645" priority="4942" operator="containsText" text="A-H">
      <formula>NOT(ISERROR(SEARCH("A-H",BC38)))</formula>
    </cfRule>
  </conditionalFormatting>
  <conditionalFormatting sqref="BF38:BG38">
    <cfRule type="cellIs" dxfId="4644" priority="4933" operator="equal">
      <formula>"C-Off-H"</formula>
    </cfRule>
    <cfRule type="cellIs" dxfId="4643" priority="4934" operator="equal">
      <formula>"C-Off"</formula>
    </cfRule>
    <cfRule type="cellIs" dxfId="4642" priority="4935" operator="equal">
      <formula>"CL-H"</formula>
    </cfRule>
    <cfRule type="cellIs" dxfId="4641" priority="4936" operator="equal">
      <formula>"EL-H"</formula>
    </cfRule>
    <cfRule type="cellIs" dxfId="4640" priority="4937" operator="equal">
      <formula>"CL"</formula>
    </cfRule>
    <cfRule type="cellIs" dxfId="4639" priority="4938" operator="equal">
      <formula>"EL"</formula>
    </cfRule>
  </conditionalFormatting>
  <conditionalFormatting sqref="BF38:BG38">
    <cfRule type="containsText" dxfId="4638" priority="4927" operator="containsText" text="S">
      <formula>NOT(ISERROR(SEARCH("S",BF38)))</formula>
    </cfRule>
    <cfRule type="containsText" dxfId="4637" priority="4928" operator="containsText" text="P">
      <formula>NOT(ISERROR(SEARCH("P",BF38)))</formula>
    </cfRule>
    <cfRule type="containsText" dxfId="4636" priority="4929" operator="containsText" text="H">
      <formula>NOT(ISERROR(SEARCH("H",BF38)))</formula>
    </cfRule>
    <cfRule type="containsText" dxfId="4635" priority="4931" operator="containsText" text="&quot;H&quot;">
      <formula>NOT(ISERROR(SEARCH("""H""",BF38)))</formula>
    </cfRule>
    <cfRule type="containsText" dxfId="4634" priority="4932" operator="containsText" text="&quot;A&quot;">
      <formula>NOT(ISERROR(SEARCH("""A""",BF38)))</formula>
    </cfRule>
  </conditionalFormatting>
  <conditionalFormatting sqref="BF38:BG38">
    <cfRule type="containsText" dxfId="4633" priority="4930" operator="containsText" text="A-H">
      <formula>NOT(ISERROR(SEARCH("A-H",BF38)))</formula>
    </cfRule>
  </conditionalFormatting>
  <conditionalFormatting sqref="BI38:BJ38">
    <cfRule type="cellIs" dxfId="4632" priority="4921" operator="equal">
      <formula>"C-Off-H"</formula>
    </cfRule>
    <cfRule type="cellIs" dxfId="4631" priority="4922" operator="equal">
      <formula>"C-Off"</formula>
    </cfRule>
    <cfRule type="cellIs" dxfId="4630" priority="4923" operator="equal">
      <formula>"CL-H"</formula>
    </cfRule>
    <cfRule type="cellIs" dxfId="4629" priority="4924" operator="equal">
      <formula>"EL-H"</formula>
    </cfRule>
    <cfRule type="cellIs" dxfId="4628" priority="4925" operator="equal">
      <formula>"CL"</formula>
    </cfRule>
    <cfRule type="cellIs" dxfId="4627" priority="4926" operator="equal">
      <formula>"EL"</formula>
    </cfRule>
  </conditionalFormatting>
  <conditionalFormatting sqref="BI38:BJ38">
    <cfRule type="containsText" dxfId="4626" priority="4915" operator="containsText" text="S">
      <formula>NOT(ISERROR(SEARCH("S",BI38)))</formula>
    </cfRule>
    <cfRule type="containsText" dxfId="4625" priority="4916" operator="containsText" text="P">
      <formula>NOT(ISERROR(SEARCH("P",BI38)))</formula>
    </cfRule>
    <cfRule type="containsText" dxfId="4624" priority="4917" operator="containsText" text="H">
      <formula>NOT(ISERROR(SEARCH("H",BI38)))</formula>
    </cfRule>
    <cfRule type="containsText" dxfId="4623" priority="4919" operator="containsText" text="&quot;H&quot;">
      <formula>NOT(ISERROR(SEARCH("""H""",BI38)))</formula>
    </cfRule>
    <cfRule type="containsText" dxfId="4622" priority="4920" operator="containsText" text="&quot;A&quot;">
      <formula>NOT(ISERROR(SEARCH("""A""",BI38)))</formula>
    </cfRule>
  </conditionalFormatting>
  <conditionalFormatting sqref="BI38:BJ38">
    <cfRule type="containsText" dxfId="4621" priority="4918" operator="containsText" text="A-H">
      <formula>NOT(ISERROR(SEARCH("A-H",BI38)))</formula>
    </cfRule>
  </conditionalFormatting>
  <conditionalFormatting sqref="BL38:BM38">
    <cfRule type="cellIs" dxfId="4620" priority="4909" operator="equal">
      <formula>"C-Off-H"</formula>
    </cfRule>
    <cfRule type="cellIs" dxfId="4619" priority="4910" operator="equal">
      <formula>"C-Off"</formula>
    </cfRule>
    <cfRule type="cellIs" dxfId="4618" priority="4911" operator="equal">
      <formula>"CL-H"</formula>
    </cfRule>
    <cfRule type="cellIs" dxfId="4617" priority="4912" operator="equal">
      <formula>"EL-H"</formula>
    </cfRule>
    <cfRule type="cellIs" dxfId="4616" priority="4913" operator="equal">
      <formula>"CL"</formula>
    </cfRule>
    <cfRule type="cellIs" dxfId="4615" priority="4914" operator="equal">
      <formula>"EL"</formula>
    </cfRule>
  </conditionalFormatting>
  <conditionalFormatting sqref="BL38:BM38">
    <cfRule type="containsText" dxfId="4614" priority="4903" operator="containsText" text="S">
      <formula>NOT(ISERROR(SEARCH("S",BL38)))</formula>
    </cfRule>
    <cfRule type="containsText" dxfId="4613" priority="4904" operator="containsText" text="P">
      <formula>NOT(ISERROR(SEARCH("P",BL38)))</formula>
    </cfRule>
    <cfRule type="containsText" dxfId="4612" priority="4905" operator="containsText" text="H">
      <formula>NOT(ISERROR(SEARCH("H",BL38)))</formula>
    </cfRule>
    <cfRule type="containsText" dxfId="4611" priority="4907" operator="containsText" text="&quot;H&quot;">
      <formula>NOT(ISERROR(SEARCH("""H""",BL38)))</formula>
    </cfRule>
    <cfRule type="containsText" dxfId="4610" priority="4908" operator="containsText" text="&quot;A&quot;">
      <formula>NOT(ISERROR(SEARCH("""A""",BL38)))</formula>
    </cfRule>
  </conditionalFormatting>
  <conditionalFormatting sqref="BL38:BM38">
    <cfRule type="containsText" dxfId="4609" priority="4906" operator="containsText" text="A-H">
      <formula>NOT(ISERROR(SEARCH("A-H",BL38)))</formula>
    </cfRule>
  </conditionalFormatting>
  <conditionalFormatting sqref="BR38:BS38">
    <cfRule type="cellIs" dxfId="4608" priority="4897" operator="equal">
      <formula>"C-Off-H"</formula>
    </cfRule>
    <cfRule type="cellIs" dxfId="4607" priority="4898" operator="equal">
      <formula>"C-Off"</formula>
    </cfRule>
    <cfRule type="cellIs" dxfId="4606" priority="4899" operator="equal">
      <formula>"CL-H"</formula>
    </cfRule>
    <cfRule type="cellIs" dxfId="4605" priority="4900" operator="equal">
      <formula>"EL-H"</formula>
    </cfRule>
    <cfRule type="cellIs" dxfId="4604" priority="4901" operator="equal">
      <formula>"CL"</formula>
    </cfRule>
    <cfRule type="cellIs" dxfId="4603" priority="4902" operator="equal">
      <formula>"EL"</formula>
    </cfRule>
  </conditionalFormatting>
  <conditionalFormatting sqref="BR38:BS38">
    <cfRule type="containsText" dxfId="4602" priority="4891" operator="containsText" text="S">
      <formula>NOT(ISERROR(SEARCH("S",BR38)))</formula>
    </cfRule>
    <cfRule type="containsText" dxfId="4601" priority="4892" operator="containsText" text="P">
      <formula>NOT(ISERROR(SEARCH("P",BR38)))</formula>
    </cfRule>
    <cfRule type="containsText" dxfId="4600" priority="4893" operator="containsText" text="H">
      <formula>NOT(ISERROR(SEARCH("H",BR38)))</formula>
    </cfRule>
    <cfRule type="containsText" dxfId="4599" priority="4895" operator="containsText" text="&quot;H&quot;">
      <formula>NOT(ISERROR(SEARCH("""H""",BR38)))</formula>
    </cfRule>
    <cfRule type="containsText" dxfId="4598" priority="4896" operator="containsText" text="&quot;A&quot;">
      <formula>NOT(ISERROR(SEARCH("""A""",BR38)))</formula>
    </cfRule>
  </conditionalFormatting>
  <conditionalFormatting sqref="BR38:BS38">
    <cfRule type="containsText" dxfId="4597" priority="4894" operator="containsText" text="A-H">
      <formula>NOT(ISERROR(SEARCH("A-H",BR38)))</formula>
    </cfRule>
  </conditionalFormatting>
  <conditionalFormatting sqref="BU38:BV38">
    <cfRule type="cellIs" dxfId="4596" priority="4885" operator="equal">
      <formula>"C-Off-H"</formula>
    </cfRule>
    <cfRule type="cellIs" dxfId="4595" priority="4886" operator="equal">
      <formula>"C-Off"</formula>
    </cfRule>
    <cfRule type="cellIs" dxfId="4594" priority="4887" operator="equal">
      <formula>"CL-H"</formula>
    </cfRule>
    <cfRule type="cellIs" dxfId="4593" priority="4888" operator="equal">
      <formula>"EL-H"</formula>
    </cfRule>
    <cfRule type="cellIs" dxfId="4592" priority="4889" operator="equal">
      <formula>"CL"</formula>
    </cfRule>
    <cfRule type="cellIs" dxfId="4591" priority="4890" operator="equal">
      <formula>"EL"</formula>
    </cfRule>
  </conditionalFormatting>
  <conditionalFormatting sqref="BU38:BV38">
    <cfRule type="containsText" dxfId="4590" priority="4879" operator="containsText" text="S">
      <formula>NOT(ISERROR(SEARCH("S",BU38)))</formula>
    </cfRule>
    <cfRule type="containsText" dxfId="4589" priority="4880" operator="containsText" text="P">
      <formula>NOT(ISERROR(SEARCH("P",BU38)))</formula>
    </cfRule>
    <cfRule type="containsText" dxfId="4588" priority="4881" operator="containsText" text="H">
      <formula>NOT(ISERROR(SEARCH("H",BU38)))</formula>
    </cfRule>
    <cfRule type="containsText" dxfId="4587" priority="4883" operator="containsText" text="&quot;H&quot;">
      <formula>NOT(ISERROR(SEARCH("""H""",BU38)))</formula>
    </cfRule>
    <cfRule type="containsText" dxfId="4586" priority="4884" operator="containsText" text="&quot;A&quot;">
      <formula>NOT(ISERROR(SEARCH("""A""",BU38)))</formula>
    </cfRule>
  </conditionalFormatting>
  <conditionalFormatting sqref="BU38:BV38">
    <cfRule type="containsText" dxfId="4585" priority="4882" operator="containsText" text="A-H">
      <formula>NOT(ISERROR(SEARCH("A-H",BU38)))</formula>
    </cfRule>
  </conditionalFormatting>
  <conditionalFormatting sqref="BY38">
    <cfRule type="cellIs" dxfId="4584" priority="4873" operator="equal">
      <formula>"C-Off-H"</formula>
    </cfRule>
    <cfRule type="cellIs" dxfId="4583" priority="4874" operator="equal">
      <formula>"C-Off"</formula>
    </cfRule>
    <cfRule type="cellIs" dxfId="4582" priority="4875" operator="equal">
      <formula>"CL-H"</formula>
    </cfRule>
    <cfRule type="cellIs" dxfId="4581" priority="4876" operator="equal">
      <formula>"EL-H"</formula>
    </cfRule>
    <cfRule type="cellIs" dxfId="4580" priority="4877" operator="equal">
      <formula>"CL"</formula>
    </cfRule>
    <cfRule type="cellIs" dxfId="4579" priority="4878" operator="equal">
      <formula>"EL"</formula>
    </cfRule>
  </conditionalFormatting>
  <conditionalFormatting sqref="BY38">
    <cfRule type="containsText" dxfId="4578" priority="4867" operator="containsText" text="S">
      <formula>NOT(ISERROR(SEARCH("S",BY38)))</formula>
    </cfRule>
    <cfRule type="containsText" dxfId="4577" priority="4868" operator="containsText" text="P">
      <formula>NOT(ISERROR(SEARCH("P",BY38)))</formula>
    </cfRule>
    <cfRule type="containsText" dxfId="4576" priority="4869" operator="containsText" text="H">
      <formula>NOT(ISERROR(SEARCH("H",BY38)))</formula>
    </cfRule>
    <cfRule type="containsText" dxfId="4575" priority="4871" operator="containsText" text="&quot;H&quot;">
      <formula>NOT(ISERROR(SEARCH("""H""",BY38)))</formula>
    </cfRule>
    <cfRule type="containsText" dxfId="4574" priority="4872" operator="containsText" text="&quot;A&quot;">
      <formula>NOT(ISERROR(SEARCH("""A""",BY38)))</formula>
    </cfRule>
  </conditionalFormatting>
  <conditionalFormatting sqref="BY38">
    <cfRule type="containsText" dxfId="4573" priority="4870" operator="containsText" text="A-H">
      <formula>NOT(ISERROR(SEARCH("A-H",BY38)))</formula>
    </cfRule>
  </conditionalFormatting>
  <conditionalFormatting sqref="BX38">
    <cfRule type="cellIs" dxfId="4572" priority="4861" operator="equal">
      <formula>"C-Off-H"</formula>
    </cfRule>
    <cfRule type="cellIs" dxfId="4571" priority="4862" operator="equal">
      <formula>"C-Off"</formula>
    </cfRule>
    <cfRule type="cellIs" dxfId="4570" priority="4863" operator="equal">
      <formula>"CL-H"</formula>
    </cfRule>
    <cfRule type="cellIs" dxfId="4569" priority="4864" operator="equal">
      <formula>"EL-H"</formula>
    </cfRule>
    <cfRule type="cellIs" dxfId="4568" priority="4865" operator="equal">
      <formula>"CL"</formula>
    </cfRule>
    <cfRule type="cellIs" dxfId="4567" priority="4866" operator="equal">
      <formula>"EL"</formula>
    </cfRule>
  </conditionalFormatting>
  <conditionalFormatting sqref="BX38">
    <cfRule type="containsText" dxfId="4566" priority="4855" operator="containsText" text="S">
      <formula>NOT(ISERROR(SEARCH("S",BX38)))</formula>
    </cfRule>
    <cfRule type="containsText" dxfId="4565" priority="4856" operator="containsText" text="P">
      <formula>NOT(ISERROR(SEARCH("P",BX38)))</formula>
    </cfRule>
    <cfRule type="containsText" dxfId="4564" priority="4857" operator="containsText" text="H">
      <formula>NOT(ISERROR(SEARCH("H",BX38)))</formula>
    </cfRule>
    <cfRule type="containsText" dxfId="4563" priority="4859" operator="containsText" text="&quot;H&quot;">
      <formula>NOT(ISERROR(SEARCH("""H""",BX38)))</formula>
    </cfRule>
    <cfRule type="containsText" dxfId="4562" priority="4860" operator="containsText" text="&quot;A&quot;">
      <formula>NOT(ISERROR(SEARCH("""A""",BX38)))</formula>
    </cfRule>
  </conditionalFormatting>
  <conditionalFormatting sqref="BX38">
    <cfRule type="containsText" dxfId="4561" priority="4858" operator="containsText" text="A-H">
      <formula>NOT(ISERROR(SEARCH("A-H",BX38)))</formula>
    </cfRule>
  </conditionalFormatting>
  <conditionalFormatting sqref="J38:K38">
    <cfRule type="cellIs" dxfId="4560" priority="4849" operator="equal">
      <formula>"C-Off-H"</formula>
    </cfRule>
    <cfRule type="cellIs" dxfId="4559" priority="4850" operator="equal">
      <formula>"C-Off"</formula>
    </cfRule>
    <cfRule type="cellIs" dxfId="4558" priority="4851" operator="equal">
      <formula>"CL-H"</formula>
    </cfRule>
    <cfRule type="cellIs" dxfId="4557" priority="4852" operator="equal">
      <formula>"EL-H"</formula>
    </cfRule>
    <cfRule type="cellIs" dxfId="4556" priority="4853" operator="equal">
      <formula>"CL"</formula>
    </cfRule>
    <cfRule type="cellIs" dxfId="4555" priority="4854" operator="equal">
      <formula>"EL"</formula>
    </cfRule>
  </conditionalFormatting>
  <conditionalFormatting sqref="J38:K38">
    <cfRule type="containsText" dxfId="4554" priority="4843" operator="containsText" text="S">
      <formula>NOT(ISERROR(SEARCH("S",J38)))</formula>
    </cfRule>
    <cfRule type="containsText" dxfId="4553" priority="4844" operator="containsText" text="P">
      <formula>NOT(ISERROR(SEARCH("P",J38)))</formula>
    </cfRule>
    <cfRule type="containsText" dxfId="4552" priority="4845" operator="containsText" text="H">
      <formula>NOT(ISERROR(SEARCH("H",J38)))</formula>
    </cfRule>
    <cfRule type="containsText" dxfId="4551" priority="4847" operator="containsText" text="&quot;H&quot;">
      <formula>NOT(ISERROR(SEARCH("""H""",J38)))</formula>
    </cfRule>
    <cfRule type="containsText" dxfId="4550" priority="4848" operator="containsText" text="&quot;A&quot;">
      <formula>NOT(ISERROR(SEARCH("""A""",J38)))</formula>
    </cfRule>
  </conditionalFormatting>
  <conditionalFormatting sqref="J38:K38">
    <cfRule type="containsText" dxfId="4549" priority="4846" operator="containsText" text="A-H">
      <formula>NOT(ISERROR(SEARCH("A-H",J38)))</formula>
    </cfRule>
  </conditionalFormatting>
  <conditionalFormatting sqref="M36:N36 DC36 CQ36:CW36">
    <cfRule type="cellIs" dxfId="4548" priority="4837" operator="equal">
      <formula>"C-Off-H"</formula>
    </cfRule>
    <cfRule type="cellIs" dxfId="4547" priority="4838" operator="equal">
      <formula>"C-Off"</formula>
    </cfRule>
    <cfRule type="cellIs" dxfId="4546" priority="4839" operator="equal">
      <formula>"CL-H"</formula>
    </cfRule>
    <cfRule type="cellIs" dxfId="4545" priority="4840" operator="equal">
      <formula>"EL-H"</formula>
    </cfRule>
    <cfRule type="cellIs" dxfId="4544" priority="4841" operator="equal">
      <formula>"CL"</formula>
    </cfRule>
    <cfRule type="cellIs" dxfId="4543" priority="4842" operator="equal">
      <formula>"EL"</formula>
    </cfRule>
  </conditionalFormatting>
  <conditionalFormatting sqref="M36:N36 DC36 CQ36:CW36 CY36:DA36">
    <cfRule type="containsText" dxfId="4542" priority="4836" operator="containsText" text="A-H">
      <formula>NOT(ISERROR(SEARCH("A-H",M36)))</formula>
    </cfRule>
  </conditionalFormatting>
  <conditionalFormatting sqref="DC36 CQ36:CW36 CY36:DA36">
    <cfRule type="containsText" dxfId="4541" priority="4835" operator="containsText" text="A">
      <formula>NOT(ISERROR(SEARCH("A",CQ36)))</formula>
    </cfRule>
  </conditionalFormatting>
  <conditionalFormatting sqref="CY36 DA36">
    <cfRule type="cellIs" dxfId="4540" priority="4829" stopIfTrue="1" operator="equal">
      <formula>"C-Off-H"</formula>
    </cfRule>
    <cfRule type="cellIs" dxfId="4539" priority="4830" stopIfTrue="1" operator="equal">
      <formula>"C-Off"</formula>
    </cfRule>
    <cfRule type="cellIs" dxfId="4538" priority="4831" stopIfTrue="1" operator="equal">
      <formula>"CL-H"</formula>
    </cfRule>
    <cfRule type="cellIs" dxfId="4537" priority="4832" stopIfTrue="1" operator="equal">
      <formula>"EL-H"</formula>
    </cfRule>
    <cfRule type="cellIs" dxfId="4536" priority="4833" stopIfTrue="1" operator="equal">
      <formula>"CL"</formula>
    </cfRule>
    <cfRule type="cellIs" dxfId="4535" priority="4834" stopIfTrue="1" operator="equal">
      <formula>"EL"</formula>
    </cfRule>
  </conditionalFormatting>
  <conditionalFormatting sqref="CZ36">
    <cfRule type="cellIs" dxfId="4534" priority="4823" stopIfTrue="1" operator="equal">
      <formula>"C-Off-H"</formula>
    </cfRule>
    <cfRule type="cellIs" dxfId="4533" priority="4824" stopIfTrue="1" operator="equal">
      <formula>"C-Off"</formula>
    </cfRule>
    <cfRule type="cellIs" dxfId="4532" priority="4825" stopIfTrue="1" operator="equal">
      <formula>"CL-H"</formula>
    </cfRule>
    <cfRule type="cellIs" dxfId="4531" priority="4826" stopIfTrue="1" operator="equal">
      <formula>"EL-H"</formula>
    </cfRule>
    <cfRule type="cellIs" dxfId="4530" priority="4827" stopIfTrue="1" operator="equal">
      <formula>"CL"</formula>
    </cfRule>
    <cfRule type="cellIs" dxfId="4529" priority="4828" stopIfTrue="1" operator="equal">
      <formula>"EL"</formula>
    </cfRule>
  </conditionalFormatting>
  <conditionalFormatting sqref="M36:N36">
    <cfRule type="containsText" dxfId="4528" priority="4818" operator="containsText" text="S">
      <formula>NOT(ISERROR(SEARCH("S",M36)))</formula>
    </cfRule>
    <cfRule type="containsText" dxfId="4527" priority="4819" operator="containsText" text="P">
      <formula>NOT(ISERROR(SEARCH("P",M36)))</formula>
    </cfRule>
    <cfRule type="containsText" dxfId="4526" priority="4820" operator="containsText" text="H">
      <formula>NOT(ISERROR(SEARCH("H",M36)))</formula>
    </cfRule>
    <cfRule type="containsText" dxfId="4525" priority="4821" operator="containsText" text="&quot;H&quot;">
      <formula>NOT(ISERROR(SEARCH("""H""",M36)))</formula>
    </cfRule>
    <cfRule type="containsText" dxfId="4524" priority="4822" operator="containsText" text="&quot;A&quot;">
      <formula>NOT(ISERROR(SEARCH("""A""",M36)))</formula>
    </cfRule>
  </conditionalFormatting>
  <conditionalFormatting sqref="DD36">
    <cfRule type="cellIs" dxfId="4523" priority="4812" operator="equal">
      <formula>"C-Off-H"</formula>
    </cfRule>
    <cfRule type="cellIs" dxfId="4522" priority="4813" operator="equal">
      <formula>"C-Off"</formula>
    </cfRule>
    <cfRule type="cellIs" dxfId="4521" priority="4814" operator="equal">
      <formula>"CL-H"</formula>
    </cfRule>
    <cfRule type="cellIs" dxfId="4520" priority="4815" operator="equal">
      <formula>"EL-H"</formula>
    </cfRule>
    <cfRule type="cellIs" dxfId="4519" priority="4816" operator="equal">
      <formula>"CL"</formula>
    </cfRule>
    <cfRule type="cellIs" dxfId="4518" priority="4817" operator="equal">
      <formula>"EL"</formula>
    </cfRule>
  </conditionalFormatting>
  <conditionalFormatting sqref="DD36">
    <cfRule type="containsText" dxfId="4517" priority="4811" operator="containsText" text="A">
      <formula>NOT(ISERROR(SEARCH("A",DD36)))</formula>
    </cfRule>
  </conditionalFormatting>
  <conditionalFormatting sqref="DD36">
    <cfRule type="containsText" dxfId="4516" priority="4810" operator="containsText" text="A-H">
      <formula>NOT(ISERROR(SEARCH("A-H",DD36)))</formula>
    </cfRule>
  </conditionalFormatting>
  <conditionalFormatting sqref="AI36">
    <cfRule type="cellIs" dxfId="4515" priority="4804" operator="equal">
      <formula>"C-Off-H"</formula>
    </cfRule>
    <cfRule type="cellIs" dxfId="4514" priority="4805" operator="equal">
      <formula>"C-Off"</formula>
    </cfRule>
    <cfRule type="cellIs" dxfId="4513" priority="4806" operator="equal">
      <formula>"CL-H"</formula>
    </cfRule>
    <cfRule type="cellIs" dxfId="4512" priority="4807" operator="equal">
      <formula>"EL-H"</formula>
    </cfRule>
    <cfRule type="cellIs" dxfId="4511" priority="4808" operator="equal">
      <formula>"CL"</formula>
    </cfRule>
    <cfRule type="cellIs" dxfId="4510" priority="4809" operator="equal">
      <formula>"EL"</formula>
    </cfRule>
  </conditionalFormatting>
  <conditionalFormatting sqref="AH36:AI36">
    <cfRule type="cellIs" dxfId="4509" priority="4798" operator="equal">
      <formula>"C-Off-H"</formula>
    </cfRule>
    <cfRule type="cellIs" dxfId="4508" priority="4799" operator="equal">
      <formula>"C-Off"</formula>
    </cfRule>
    <cfRule type="cellIs" dxfId="4507" priority="4800" operator="equal">
      <formula>"CL-H"</formula>
    </cfRule>
    <cfRule type="cellIs" dxfId="4506" priority="4801" operator="equal">
      <formula>"EL-H"</formula>
    </cfRule>
    <cfRule type="cellIs" dxfId="4505" priority="4802" operator="equal">
      <formula>"CL"</formula>
    </cfRule>
    <cfRule type="cellIs" dxfId="4504" priority="4803" operator="equal">
      <formula>"EL"</formula>
    </cfRule>
  </conditionalFormatting>
  <conditionalFormatting sqref="AH36:AI36">
    <cfRule type="containsText" dxfId="4503" priority="4792" operator="containsText" text="S">
      <formula>NOT(ISERROR(SEARCH("S",AH36)))</formula>
    </cfRule>
    <cfRule type="containsText" dxfId="4502" priority="4793" operator="containsText" text="P">
      <formula>NOT(ISERROR(SEARCH("P",AH36)))</formula>
    </cfRule>
    <cfRule type="containsText" dxfId="4501" priority="4794" operator="containsText" text="H">
      <formula>NOT(ISERROR(SEARCH("H",AH36)))</formula>
    </cfRule>
    <cfRule type="containsText" dxfId="4500" priority="4796" operator="containsText" text="&quot;H&quot;">
      <formula>NOT(ISERROR(SEARCH("""H""",AH36)))</formula>
    </cfRule>
    <cfRule type="containsText" dxfId="4499" priority="4797" operator="containsText" text="&quot;A&quot;">
      <formula>NOT(ISERROR(SEARCH("""A""",AH36)))</formula>
    </cfRule>
  </conditionalFormatting>
  <conditionalFormatting sqref="AH36:AI36">
    <cfRule type="containsText" dxfId="4498" priority="4795" operator="containsText" text="A-H">
      <formula>NOT(ISERROR(SEARCH("A-H",AH36)))</formula>
    </cfRule>
  </conditionalFormatting>
  <conditionalFormatting sqref="AU36">
    <cfRule type="cellIs" dxfId="4497" priority="4786" operator="equal">
      <formula>"C-Off-H"</formula>
    </cfRule>
    <cfRule type="cellIs" dxfId="4496" priority="4787" operator="equal">
      <formula>"C-Off"</formula>
    </cfRule>
    <cfRule type="cellIs" dxfId="4495" priority="4788" operator="equal">
      <formula>"CL-H"</formula>
    </cfRule>
    <cfRule type="cellIs" dxfId="4494" priority="4789" operator="equal">
      <formula>"EL-H"</formula>
    </cfRule>
    <cfRule type="cellIs" dxfId="4493" priority="4790" operator="equal">
      <formula>"CL"</formula>
    </cfRule>
    <cfRule type="cellIs" dxfId="4492" priority="4791" operator="equal">
      <formula>"EL"</formula>
    </cfRule>
  </conditionalFormatting>
  <conditionalFormatting sqref="AT36:AU36">
    <cfRule type="cellIs" dxfId="4491" priority="4780" operator="equal">
      <formula>"C-Off-H"</formula>
    </cfRule>
    <cfRule type="cellIs" dxfId="4490" priority="4781" operator="equal">
      <formula>"C-Off"</formula>
    </cfRule>
    <cfRule type="cellIs" dxfId="4489" priority="4782" operator="equal">
      <formula>"CL-H"</formula>
    </cfRule>
    <cfRule type="cellIs" dxfId="4488" priority="4783" operator="equal">
      <formula>"EL-H"</formula>
    </cfRule>
    <cfRule type="cellIs" dxfId="4487" priority="4784" operator="equal">
      <formula>"CL"</formula>
    </cfRule>
    <cfRule type="cellIs" dxfId="4486" priority="4785" operator="equal">
      <formula>"EL"</formula>
    </cfRule>
  </conditionalFormatting>
  <conditionalFormatting sqref="AT36:AU36">
    <cfRule type="containsText" dxfId="4485" priority="4774" operator="containsText" text="S">
      <formula>NOT(ISERROR(SEARCH("S",AT36)))</formula>
    </cfRule>
    <cfRule type="containsText" dxfId="4484" priority="4775" operator="containsText" text="P">
      <formula>NOT(ISERROR(SEARCH("P",AT36)))</formula>
    </cfRule>
    <cfRule type="containsText" dxfId="4483" priority="4776" operator="containsText" text="H">
      <formula>NOT(ISERROR(SEARCH("H",AT36)))</formula>
    </cfRule>
    <cfRule type="containsText" dxfId="4482" priority="4778" operator="containsText" text="&quot;H&quot;">
      <formula>NOT(ISERROR(SEARCH("""H""",AT36)))</formula>
    </cfRule>
    <cfRule type="containsText" dxfId="4481" priority="4779" operator="containsText" text="&quot;A&quot;">
      <formula>NOT(ISERROR(SEARCH("""A""",AT36)))</formula>
    </cfRule>
  </conditionalFormatting>
  <conditionalFormatting sqref="AT36:AU36">
    <cfRule type="containsText" dxfId="4480" priority="4777" operator="containsText" text="A-H">
      <formula>NOT(ISERROR(SEARCH("A-H",AT36)))</formula>
    </cfRule>
  </conditionalFormatting>
  <conditionalFormatting sqref="E36">
    <cfRule type="cellIs" dxfId="4479" priority="4768" operator="equal">
      <formula>"C-Off-H"</formula>
    </cfRule>
    <cfRule type="cellIs" dxfId="4478" priority="4769" operator="equal">
      <formula>"C-Off"</formula>
    </cfRule>
    <cfRule type="cellIs" dxfId="4477" priority="4770" operator="equal">
      <formula>"CL-H"</formula>
    </cfRule>
    <cfRule type="cellIs" dxfId="4476" priority="4771" operator="equal">
      <formula>"EL-H"</formula>
    </cfRule>
    <cfRule type="cellIs" dxfId="4475" priority="4772" operator="equal">
      <formula>"CL"</formula>
    </cfRule>
    <cfRule type="cellIs" dxfId="4474" priority="4773" operator="equal">
      <formula>"EL"</formula>
    </cfRule>
  </conditionalFormatting>
  <conditionalFormatting sqref="D36:E36">
    <cfRule type="cellIs" dxfId="4473" priority="4762" operator="equal">
      <formula>"C-Off-H"</formula>
    </cfRule>
    <cfRule type="cellIs" dxfId="4472" priority="4763" operator="equal">
      <formula>"C-Off"</formula>
    </cfRule>
    <cfRule type="cellIs" dxfId="4471" priority="4764" operator="equal">
      <formula>"CL-H"</formula>
    </cfRule>
    <cfRule type="cellIs" dxfId="4470" priority="4765" operator="equal">
      <formula>"EL-H"</formula>
    </cfRule>
    <cfRule type="cellIs" dxfId="4469" priority="4766" operator="equal">
      <formula>"CL"</formula>
    </cfRule>
    <cfRule type="cellIs" dxfId="4468" priority="4767" operator="equal">
      <formula>"EL"</formula>
    </cfRule>
  </conditionalFormatting>
  <conditionalFormatting sqref="D36:E36">
    <cfRule type="containsText" dxfId="4467" priority="4756" operator="containsText" text="S">
      <formula>NOT(ISERROR(SEARCH("S",D36)))</formula>
    </cfRule>
    <cfRule type="containsText" dxfId="4466" priority="4757" operator="containsText" text="P">
      <formula>NOT(ISERROR(SEARCH("P",D36)))</formula>
    </cfRule>
    <cfRule type="containsText" dxfId="4465" priority="4758" operator="containsText" text="H">
      <formula>NOT(ISERROR(SEARCH("H",D36)))</formula>
    </cfRule>
    <cfRule type="containsText" dxfId="4464" priority="4760" operator="containsText" text="&quot;H&quot;">
      <formula>NOT(ISERROR(SEARCH("""H""",D36)))</formula>
    </cfRule>
    <cfRule type="containsText" dxfId="4463" priority="4761" operator="containsText" text="&quot;A&quot;">
      <formula>NOT(ISERROR(SEARCH("""A""",D36)))</formula>
    </cfRule>
  </conditionalFormatting>
  <conditionalFormatting sqref="D36:E36">
    <cfRule type="containsText" dxfId="4462" priority="4759" operator="containsText" text="A-H">
      <formula>NOT(ISERROR(SEARCH("A-H",D36)))</formula>
    </cfRule>
  </conditionalFormatting>
  <conditionalFormatting sqref="Y36">
    <cfRule type="cellIs" dxfId="4461" priority="4750" operator="equal">
      <formula>"C-Off-H"</formula>
    </cfRule>
    <cfRule type="cellIs" dxfId="4460" priority="4751" operator="equal">
      <formula>"C-Off"</formula>
    </cfRule>
    <cfRule type="cellIs" dxfId="4459" priority="4752" operator="equal">
      <formula>"CL-H"</formula>
    </cfRule>
    <cfRule type="cellIs" dxfId="4458" priority="4753" operator="equal">
      <formula>"EL-H"</formula>
    </cfRule>
    <cfRule type="cellIs" dxfId="4457" priority="4754" operator="equal">
      <formula>"CL"</formula>
    </cfRule>
    <cfRule type="cellIs" dxfId="4456" priority="4755" operator="equal">
      <formula>"EL"</formula>
    </cfRule>
  </conditionalFormatting>
  <conditionalFormatting sqref="Y36">
    <cfRule type="containsText" dxfId="4455" priority="4744" operator="containsText" text="S">
      <formula>NOT(ISERROR(SEARCH("S",Y36)))</formula>
    </cfRule>
    <cfRule type="containsText" dxfId="4454" priority="4745" operator="containsText" text="P">
      <formula>NOT(ISERROR(SEARCH("P",Y36)))</formula>
    </cfRule>
    <cfRule type="containsText" dxfId="4453" priority="4746" operator="containsText" text="H">
      <formula>NOT(ISERROR(SEARCH("H",Y36)))</formula>
    </cfRule>
    <cfRule type="containsText" dxfId="4452" priority="4748" operator="containsText" text="&quot;H&quot;">
      <formula>NOT(ISERROR(SEARCH("""H""",Y36)))</formula>
    </cfRule>
    <cfRule type="containsText" dxfId="4451" priority="4749" operator="containsText" text="&quot;A&quot;">
      <formula>NOT(ISERROR(SEARCH("""A""",Y36)))</formula>
    </cfRule>
  </conditionalFormatting>
  <conditionalFormatting sqref="Y36">
    <cfRule type="containsText" dxfId="4450" priority="4747" operator="containsText" text="A-H">
      <formula>NOT(ISERROR(SEARCH("A-H",Y36)))</formula>
    </cfRule>
  </conditionalFormatting>
  <conditionalFormatting sqref="AF36">
    <cfRule type="cellIs" dxfId="4449" priority="4738" operator="equal">
      <formula>"C-Off-H"</formula>
    </cfRule>
    <cfRule type="cellIs" dxfId="4448" priority="4739" operator="equal">
      <formula>"C-Off"</formula>
    </cfRule>
    <cfRule type="cellIs" dxfId="4447" priority="4740" operator="equal">
      <formula>"CL-H"</formula>
    </cfRule>
    <cfRule type="cellIs" dxfId="4446" priority="4741" operator="equal">
      <formula>"EL-H"</formula>
    </cfRule>
    <cfRule type="cellIs" dxfId="4445" priority="4742" operator="equal">
      <formula>"CL"</formula>
    </cfRule>
    <cfRule type="cellIs" dxfId="4444" priority="4743" operator="equal">
      <formula>"EL"</formula>
    </cfRule>
  </conditionalFormatting>
  <conditionalFormatting sqref="AF36">
    <cfRule type="containsText" dxfId="4443" priority="4732" operator="containsText" text="S">
      <formula>NOT(ISERROR(SEARCH("S",AF36)))</formula>
    </cfRule>
    <cfRule type="containsText" dxfId="4442" priority="4733" operator="containsText" text="P">
      <formula>NOT(ISERROR(SEARCH("P",AF36)))</formula>
    </cfRule>
    <cfRule type="containsText" dxfId="4441" priority="4734" operator="containsText" text="H">
      <formula>NOT(ISERROR(SEARCH("H",AF36)))</formula>
    </cfRule>
    <cfRule type="containsText" dxfId="4440" priority="4736" operator="containsText" text="&quot;H&quot;">
      <formula>NOT(ISERROR(SEARCH("""H""",AF36)))</formula>
    </cfRule>
    <cfRule type="containsText" dxfId="4439" priority="4737" operator="containsText" text="&quot;A&quot;">
      <formula>NOT(ISERROR(SEARCH("""A""",AF36)))</formula>
    </cfRule>
  </conditionalFormatting>
  <conditionalFormatting sqref="AF36">
    <cfRule type="containsText" dxfId="4438" priority="4735" operator="containsText" text="A-H">
      <formula>NOT(ISERROR(SEARCH("A-H",AF36)))</formula>
    </cfRule>
  </conditionalFormatting>
  <conditionalFormatting sqref="BO36:BP36">
    <cfRule type="cellIs" dxfId="4437" priority="4726" operator="equal">
      <formula>"C-Off-H"</formula>
    </cfRule>
    <cfRule type="cellIs" dxfId="4436" priority="4727" operator="equal">
      <formula>"C-Off"</formula>
    </cfRule>
    <cfRule type="cellIs" dxfId="4435" priority="4728" operator="equal">
      <formula>"CL-H"</formula>
    </cfRule>
    <cfRule type="cellIs" dxfId="4434" priority="4729" operator="equal">
      <formula>"EL-H"</formula>
    </cfRule>
    <cfRule type="cellIs" dxfId="4433" priority="4730" operator="equal">
      <formula>"CL"</formula>
    </cfRule>
    <cfRule type="cellIs" dxfId="4432" priority="4731" operator="equal">
      <formula>"EL"</formula>
    </cfRule>
  </conditionalFormatting>
  <conditionalFormatting sqref="BO36:BP36">
    <cfRule type="cellIs" dxfId="4431" priority="4720" operator="equal">
      <formula>"C-Off-H"</formula>
    </cfRule>
    <cfRule type="cellIs" dxfId="4430" priority="4721" operator="equal">
      <formula>"C-Off"</formula>
    </cfRule>
    <cfRule type="cellIs" dxfId="4429" priority="4722" operator="equal">
      <formula>"CL-H"</formula>
    </cfRule>
    <cfRule type="cellIs" dxfId="4428" priority="4723" operator="equal">
      <formula>"EL-H"</formula>
    </cfRule>
    <cfRule type="cellIs" dxfId="4427" priority="4724" operator="equal">
      <formula>"CL"</formula>
    </cfRule>
    <cfRule type="cellIs" dxfId="4426" priority="4725" operator="equal">
      <formula>"EL"</formula>
    </cfRule>
  </conditionalFormatting>
  <conditionalFormatting sqref="BO36:BP36">
    <cfRule type="containsText" dxfId="4425" priority="4714" operator="containsText" text="S">
      <formula>NOT(ISERROR(SEARCH("S",BO36)))</formula>
    </cfRule>
    <cfRule type="containsText" dxfId="4424" priority="4715" operator="containsText" text="P">
      <formula>NOT(ISERROR(SEARCH("P",BO36)))</formula>
    </cfRule>
    <cfRule type="containsText" dxfId="4423" priority="4716" operator="containsText" text="H">
      <formula>NOT(ISERROR(SEARCH("H",BO36)))</formula>
    </cfRule>
    <cfRule type="containsText" dxfId="4422" priority="4718" operator="containsText" text="&quot;H&quot;">
      <formula>NOT(ISERROR(SEARCH("""H""",BO36)))</formula>
    </cfRule>
    <cfRule type="containsText" dxfId="4421" priority="4719" operator="containsText" text="&quot;A&quot;">
      <formula>NOT(ISERROR(SEARCH("""A""",BO36)))</formula>
    </cfRule>
  </conditionalFormatting>
  <conditionalFormatting sqref="BO36:BP36">
    <cfRule type="containsText" dxfId="4420" priority="4717" operator="containsText" text="A-H">
      <formula>NOT(ISERROR(SEARCH("A-H",BO36)))</formula>
    </cfRule>
  </conditionalFormatting>
  <conditionalFormatting sqref="CM36">
    <cfRule type="cellIs" dxfId="4419" priority="4708" operator="equal">
      <formula>"C-Off-H"</formula>
    </cfRule>
    <cfRule type="cellIs" dxfId="4418" priority="4709" operator="equal">
      <formula>"C-Off"</formula>
    </cfRule>
    <cfRule type="cellIs" dxfId="4417" priority="4710" operator="equal">
      <formula>"CL-H"</formula>
    </cfRule>
    <cfRule type="cellIs" dxfId="4416" priority="4711" operator="equal">
      <formula>"EL-H"</formula>
    </cfRule>
    <cfRule type="cellIs" dxfId="4415" priority="4712" operator="equal">
      <formula>"CL"</formula>
    </cfRule>
    <cfRule type="cellIs" dxfId="4414" priority="4713" operator="equal">
      <formula>"EL"</formula>
    </cfRule>
  </conditionalFormatting>
  <conditionalFormatting sqref="CM36">
    <cfRule type="cellIs" dxfId="4413" priority="4702" operator="equal">
      <formula>"C-Off-H"</formula>
    </cfRule>
    <cfRule type="cellIs" dxfId="4412" priority="4703" operator="equal">
      <formula>"C-Off"</formula>
    </cfRule>
    <cfRule type="cellIs" dxfId="4411" priority="4704" operator="equal">
      <formula>"CL-H"</formula>
    </cfRule>
    <cfRule type="cellIs" dxfId="4410" priority="4705" operator="equal">
      <formula>"EL-H"</formula>
    </cfRule>
    <cfRule type="cellIs" dxfId="4409" priority="4706" operator="equal">
      <formula>"CL"</formula>
    </cfRule>
    <cfRule type="cellIs" dxfId="4408" priority="4707" operator="equal">
      <formula>"EL"</formula>
    </cfRule>
  </conditionalFormatting>
  <conditionalFormatting sqref="CM36">
    <cfRule type="containsText" dxfId="4407" priority="4696" operator="containsText" text="S">
      <formula>NOT(ISERROR(SEARCH("S",CM36)))</formula>
    </cfRule>
    <cfRule type="containsText" dxfId="4406" priority="4697" operator="containsText" text="P">
      <formula>NOT(ISERROR(SEARCH("P",CM36)))</formula>
    </cfRule>
    <cfRule type="containsText" dxfId="4405" priority="4698" operator="containsText" text="H">
      <formula>NOT(ISERROR(SEARCH("H",CM36)))</formula>
    </cfRule>
    <cfRule type="containsText" dxfId="4404" priority="4700" operator="containsText" text="&quot;H&quot;">
      <formula>NOT(ISERROR(SEARCH("""H""",CM36)))</formula>
    </cfRule>
    <cfRule type="containsText" dxfId="4403" priority="4701" operator="containsText" text="&quot;A&quot;">
      <formula>NOT(ISERROR(SEARCH("""A""",CM36)))</formula>
    </cfRule>
  </conditionalFormatting>
  <conditionalFormatting sqref="CM36">
    <cfRule type="containsText" dxfId="4402" priority="4699" operator="containsText" text="A-H">
      <formula>NOT(ISERROR(SEARCH("A-H",CM36)))</formula>
    </cfRule>
  </conditionalFormatting>
  <conditionalFormatting sqref="V36:W36">
    <cfRule type="cellIs" dxfId="4401" priority="4666" operator="equal">
      <formula>"C-Off-H"</formula>
    </cfRule>
    <cfRule type="cellIs" dxfId="4400" priority="4667" operator="equal">
      <formula>"C-Off"</formula>
    </cfRule>
    <cfRule type="cellIs" dxfId="4399" priority="4668" operator="equal">
      <formula>"CL-H"</formula>
    </cfRule>
    <cfRule type="cellIs" dxfId="4398" priority="4669" operator="equal">
      <formula>"EL-H"</formula>
    </cfRule>
    <cfRule type="cellIs" dxfId="4397" priority="4670" operator="equal">
      <formula>"CL"</formula>
    </cfRule>
    <cfRule type="cellIs" dxfId="4396" priority="4671" operator="equal">
      <formula>"EL"</formula>
    </cfRule>
  </conditionalFormatting>
  <conditionalFormatting sqref="V36:W36">
    <cfRule type="containsText" dxfId="4395" priority="4660" operator="containsText" text="S">
      <formula>NOT(ISERROR(SEARCH("S",V36)))</formula>
    </cfRule>
    <cfRule type="containsText" dxfId="4394" priority="4661" operator="containsText" text="P">
      <formula>NOT(ISERROR(SEARCH("P",V36)))</formula>
    </cfRule>
    <cfRule type="containsText" dxfId="4393" priority="4662" operator="containsText" text="H">
      <formula>NOT(ISERROR(SEARCH("H",V36)))</formula>
    </cfRule>
    <cfRule type="containsText" dxfId="4392" priority="4664" operator="containsText" text="&quot;H&quot;">
      <formula>NOT(ISERROR(SEARCH("""H""",V36)))</formula>
    </cfRule>
    <cfRule type="containsText" dxfId="4391" priority="4665" operator="containsText" text="&quot;A&quot;">
      <formula>NOT(ISERROR(SEARCH("""A""",V36)))</formula>
    </cfRule>
  </conditionalFormatting>
  <conditionalFormatting sqref="V36:W36">
    <cfRule type="containsText" dxfId="4390" priority="4663" operator="containsText" text="A-H">
      <formula>NOT(ISERROR(SEARCH("A-H",V36)))</formula>
    </cfRule>
  </conditionalFormatting>
  <conditionalFormatting sqref="P36:Q36">
    <cfRule type="cellIs" dxfId="4389" priority="4690" operator="equal">
      <formula>"C-Off-H"</formula>
    </cfRule>
    <cfRule type="cellIs" dxfId="4388" priority="4691" operator="equal">
      <formula>"C-Off"</formula>
    </cfRule>
    <cfRule type="cellIs" dxfId="4387" priority="4692" operator="equal">
      <formula>"CL-H"</formula>
    </cfRule>
    <cfRule type="cellIs" dxfId="4386" priority="4693" operator="equal">
      <formula>"EL-H"</formula>
    </cfRule>
    <cfRule type="cellIs" dxfId="4385" priority="4694" operator="equal">
      <formula>"CL"</formula>
    </cfRule>
    <cfRule type="cellIs" dxfId="4384" priority="4695" operator="equal">
      <formula>"EL"</formula>
    </cfRule>
  </conditionalFormatting>
  <conditionalFormatting sqref="P36:Q36">
    <cfRule type="containsText" dxfId="4383" priority="4684" operator="containsText" text="S">
      <formula>NOT(ISERROR(SEARCH("S",P36)))</formula>
    </cfRule>
    <cfRule type="containsText" dxfId="4382" priority="4685" operator="containsText" text="P">
      <formula>NOT(ISERROR(SEARCH("P",P36)))</formula>
    </cfRule>
    <cfRule type="containsText" dxfId="4381" priority="4686" operator="containsText" text="H">
      <formula>NOT(ISERROR(SEARCH("H",P36)))</formula>
    </cfRule>
    <cfRule type="containsText" dxfId="4380" priority="4688" operator="containsText" text="&quot;H&quot;">
      <formula>NOT(ISERROR(SEARCH("""H""",P36)))</formula>
    </cfRule>
    <cfRule type="containsText" dxfId="4379" priority="4689" operator="containsText" text="&quot;A&quot;">
      <formula>NOT(ISERROR(SEARCH("""A""",P36)))</formula>
    </cfRule>
  </conditionalFormatting>
  <conditionalFormatting sqref="P36:Q36">
    <cfRule type="containsText" dxfId="4378" priority="4687" operator="containsText" text="A-H">
      <formula>NOT(ISERROR(SEARCH("A-H",P36)))</formula>
    </cfRule>
  </conditionalFormatting>
  <conditionalFormatting sqref="S36:T36">
    <cfRule type="cellIs" dxfId="4377" priority="4678" operator="equal">
      <formula>"C-Off-H"</formula>
    </cfRule>
    <cfRule type="cellIs" dxfId="4376" priority="4679" operator="equal">
      <formula>"C-Off"</formula>
    </cfRule>
    <cfRule type="cellIs" dxfId="4375" priority="4680" operator="equal">
      <formula>"CL-H"</formula>
    </cfRule>
    <cfRule type="cellIs" dxfId="4374" priority="4681" operator="equal">
      <formula>"EL-H"</formula>
    </cfRule>
    <cfRule type="cellIs" dxfId="4373" priority="4682" operator="equal">
      <formula>"CL"</formula>
    </cfRule>
    <cfRule type="cellIs" dxfId="4372" priority="4683" operator="equal">
      <formula>"EL"</formula>
    </cfRule>
  </conditionalFormatting>
  <conditionalFormatting sqref="S36:T36">
    <cfRule type="containsText" dxfId="4371" priority="4672" operator="containsText" text="S">
      <formula>NOT(ISERROR(SEARCH("S",S36)))</formula>
    </cfRule>
    <cfRule type="containsText" dxfId="4370" priority="4673" operator="containsText" text="P">
      <formula>NOT(ISERROR(SEARCH("P",S36)))</formula>
    </cfRule>
    <cfRule type="containsText" dxfId="4369" priority="4674" operator="containsText" text="H">
      <formula>NOT(ISERROR(SEARCH("H",S36)))</formula>
    </cfRule>
    <cfRule type="containsText" dxfId="4368" priority="4676" operator="containsText" text="&quot;H&quot;">
      <formula>NOT(ISERROR(SEARCH("""H""",S36)))</formula>
    </cfRule>
    <cfRule type="containsText" dxfId="4367" priority="4677" operator="containsText" text="&quot;A&quot;">
      <formula>NOT(ISERROR(SEARCH("""A""",S36)))</formula>
    </cfRule>
  </conditionalFormatting>
  <conditionalFormatting sqref="S36:T36">
    <cfRule type="containsText" dxfId="4366" priority="4675" operator="containsText" text="A-H">
      <formula>NOT(ISERROR(SEARCH("A-H",S36)))</formula>
    </cfRule>
  </conditionalFormatting>
  <conditionalFormatting sqref="AB36:AC36">
    <cfRule type="cellIs" dxfId="4365" priority="4654" operator="equal">
      <formula>"C-Off-H"</formula>
    </cfRule>
    <cfRule type="cellIs" dxfId="4364" priority="4655" operator="equal">
      <formula>"C-Off"</formula>
    </cfRule>
    <cfRule type="cellIs" dxfId="4363" priority="4656" operator="equal">
      <formula>"CL-H"</formula>
    </cfRule>
    <cfRule type="cellIs" dxfId="4362" priority="4657" operator="equal">
      <formula>"EL-H"</formula>
    </cfRule>
    <cfRule type="cellIs" dxfId="4361" priority="4658" operator="equal">
      <formula>"CL"</formula>
    </cfRule>
    <cfRule type="cellIs" dxfId="4360" priority="4659" operator="equal">
      <formula>"EL"</formula>
    </cfRule>
  </conditionalFormatting>
  <conditionalFormatting sqref="AB36:AC36">
    <cfRule type="containsText" dxfId="4359" priority="4648" operator="containsText" text="S">
      <formula>NOT(ISERROR(SEARCH("S",AB36)))</formula>
    </cfRule>
    <cfRule type="containsText" dxfId="4358" priority="4649" operator="containsText" text="P">
      <formula>NOT(ISERROR(SEARCH("P",AB36)))</formula>
    </cfRule>
    <cfRule type="containsText" dxfId="4357" priority="4650" operator="containsText" text="H">
      <formula>NOT(ISERROR(SEARCH("H",AB36)))</formula>
    </cfRule>
    <cfRule type="containsText" dxfId="4356" priority="4652" operator="containsText" text="&quot;H&quot;">
      <formula>NOT(ISERROR(SEARCH("""H""",AB36)))</formula>
    </cfRule>
    <cfRule type="containsText" dxfId="4355" priority="4653" operator="containsText" text="&quot;A&quot;">
      <formula>NOT(ISERROR(SEARCH("""A""",AB36)))</formula>
    </cfRule>
  </conditionalFormatting>
  <conditionalFormatting sqref="AB36:AC36">
    <cfRule type="containsText" dxfId="4354" priority="4651" operator="containsText" text="A-H">
      <formula>NOT(ISERROR(SEARCH("A-H",AB36)))</formula>
    </cfRule>
  </conditionalFormatting>
  <conditionalFormatting sqref="AE36">
    <cfRule type="cellIs" dxfId="4353" priority="4642" operator="equal">
      <formula>"C-Off-H"</formula>
    </cfRule>
    <cfRule type="cellIs" dxfId="4352" priority="4643" operator="equal">
      <formula>"C-Off"</formula>
    </cfRule>
    <cfRule type="cellIs" dxfId="4351" priority="4644" operator="equal">
      <formula>"CL-H"</formula>
    </cfRule>
    <cfRule type="cellIs" dxfId="4350" priority="4645" operator="equal">
      <formula>"EL-H"</formula>
    </cfRule>
    <cfRule type="cellIs" dxfId="4349" priority="4646" operator="equal">
      <formula>"CL"</formula>
    </cfRule>
    <cfRule type="cellIs" dxfId="4348" priority="4647" operator="equal">
      <formula>"EL"</formula>
    </cfRule>
  </conditionalFormatting>
  <conditionalFormatting sqref="AE36">
    <cfRule type="containsText" dxfId="4347" priority="4636" operator="containsText" text="S">
      <formula>NOT(ISERROR(SEARCH("S",AE36)))</formula>
    </cfRule>
    <cfRule type="containsText" dxfId="4346" priority="4637" operator="containsText" text="P">
      <formula>NOT(ISERROR(SEARCH("P",AE36)))</formula>
    </cfRule>
    <cfRule type="containsText" dxfId="4345" priority="4638" operator="containsText" text="H">
      <formula>NOT(ISERROR(SEARCH("H",AE36)))</formula>
    </cfRule>
    <cfRule type="containsText" dxfId="4344" priority="4640" operator="containsText" text="&quot;H&quot;">
      <formula>NOT(ISERROR(SEARCH("""H""",AE36)))</formula>
    </cfRule>
    <cfRule type="containsText" dxfId="4343" priority="4641" operator="containsText" text="&quot;A&quot;">
      <formula>NOT(ISERROR(SEARCH("""A""",AE36)))</formula>
    </cfRule>
  </conditionalFormatting>
  <conditionalFormatting sqref="AE36">
    <cfRule type="containsText" dxfId="4342" priority="4639" operator="containsText" text="A-H">
      <formula>NOT(ISERROR(SEARCH("A-H",AE36)))</formula>
    </cfRule>
  </conditionalFormatting>
  <conditionalFormatting sqref="AK36:AL36">
    <cfRule type="cellIs" dxfId="4341" priority="4630" operator="equal">
      <formula>"C-Off-H"</formula>
    </cfRule>
    <cfRule type="cellIs" dxfId="4340" priority="4631" operator="equal">
      <formula>"C-Off"</formula>
    </cfRule>
    <cfRule type="cellIs" dxfId="4339" priority="4632" operator="equal">
      <formula>"CL-H"</formula>
    </cfRule>
    <cfRule type="cellIs" dxfId="4338" priority="4633" operator="equal">
      <formula>"EL-H"</formula>
    </cfRule>
    <cfRule type="cellIs" dxfId="4337" priority="4634" operator="equal">
      <formula>"CL"</formula>
    </cfRule>
    <cfRule type="cellIs" dxfId="4336" priority="4635" operator="equal">
      <formula>"EL"</formula>
    </cfRule>
  </conditionalFormatting>
  <conditionalFormatting sqref="AK36:AL36">
    <cfRule type="containsText" dxfId="4335" priority="4624" operator="containsText" text="S">
      <formula>NOT(ISERROR(SEARCH("S",AK36)))</formula>
    </cfRule>
    <cfRule type="containsText" dxfId="4334" priority="4625" operator="containsText" text="P">
      <formula>NOT(ISERROR(SEARCH("P",AK36)))</formula>
    </cfRule>
    <cfRule type="containsText" dxfId="4333" priority="4626" operator="containsText" text="H">
      <formula>NOT(ISERROR(SEARCH("H",AK36)))</formula>
    </cfRule>
    <cfRule type="containsText" dxfId="4332" priority="4628" operator="containsText" text="&quot;H&quot;">
      <formula>NOT(ISERROR(SEARCH("""H""",AK36)))</formula>
    </cfRule>
    <cfRule type="containsText" dxfId="4331" priority="4629" operator="containsText" text="&quot;A&quot;">
      <formula>NOT(ISERROR(SEARCH("""A""",AK36)))</formula>
    </cfRule>
  </conditionalFormatting>
  <conditionalFormatting sqref="AK36:AL36">
    <cfRule type="containsText" dxfId="4330" priority="4627" operator="containsText" text="A-H">
      <formula>NOT(ISERROR(SEARCH("A-H",AK36)))</formula>
    </cfRule>
  </conditionalFormatting>
  <conditionalFormatting sqref="AN36:AO36">
    <cfRule type="cellIs" dxfId="4329" priority="4618" operator="equal">
      <formula>"C-Off-H"</formula>
    </cfRule>
    <cfRule type="cellIs" dxfId="4328" priority="4619" operator="equal">
      <formula>"C-Off"</formula>
    </cfRule>
    <cfRule type="cellIs" dxfId="4327" priority="4620" operator="equal">
      <formula>"CL-H"</formula>
    </cfRule>
    <cfRule type="cellIs" dxfId="4326" priority="4621" operator="equal">
      <formula>"EL-H"</formula>
    </cfRule>
    <cfRule type="cellIs" dxfId="4325" priority="4622" operator="equal">
      <formula>"CL"</formula>
    </cfRule>
    <cfRule type="cellIs" dxfId="4324" priority="4623" operator="equal">
      <formula>"EL"</formula>
    </cfRule>
  </conditionalFormatting>
  <conditionalFormatting sqref="AN36:AO36">
    <cfRule type="containsText" dxfId="4323" priority="4612" operator="containsText" text="S">
      <formula>NOT(ISERROR(SEARCH("S",AN36)))</formula>
    </cfRule>
    <cfRule type="containsText" dxfId="4322" priority="4613" operator="containsText" text="P">
      <formula>NOT(ISERROR(SEARCH("P",AN36)))</formula>
    </cfRule>
    <cfRule type="containsText" dxfId="4321" priority="4614" operator="containsText" text="H">
      <formula>NOT(ISERROR(SEARCH("H",AN36)))</formula>
    </cfRule>
    <cfRule type="containsText" dxfId="4320" priority="4616" operator="containsText" text="&quot;H&quot;">
      <formula>NOT(ISERROR(SEARCH("""H""",AN36)))</formula>
    </cfRule>
    <cfRule type="containsText" dxfId="4319" priority="4617" operator="containsText" text="&quot;A&quot;">
      <formula>NOT(ISERROR(SEARCH("""A""",AN36)))</formula>
    </cfRule>
  </conditionalFormatting>
  <conditionalFormatting sqref="AN36:AO36">
    <cfRule type="containsText" dxfId="4318" priority="4615" operator="containsText" text="A-H">
      <formula>NOT(ISERROR(SEARCH("A-H",AN36)))</formula>
    </cfRule>
  </conditionalFormatting>
  <conditionalFormatting sqref="AQ36:AR36">
    <cfRule type="cellIs" dxfId="4317" priority="4606" operator="equal">
      <formula>"C-Off-H"</formula>
    </cfRule>
    <cfRule type="cellIs" dxfId="4316" priority="4607" operator="equal">
      <formula>"C-Off"</formula>
    </cfRule>
    <cfRule type="cellIs" dxfId="4315" priority="4608" operator="equal">
      <formula>"CL-H"</formula>
    </cfRule>
    <cfRule type="cellIs" dxfId="4314" priority="4609" operator="equal">
      <formula>"EL-H"</formula>
    </cfRule>
    <cfRule type="cellIs" dxfId="4313" priority="4610" operator="equal">
      <formula>"CL"</formula>
    </cfRule>
    <cfRule type="cellIs" dxfId="4312" priority="4611" operator="equal">
      <formula>"EL"</formula>
    </cfRule>
  </conditionalFormatting>
  <conditionalFormatting sqref="AQ36:AR36">
    <cfRule type="containsText" dxfId="4311" priority="4600" operator="containsText" text="S">
      <formula>NOT(ISERROR(SEARCH("S",AQ36)))</formula>
    </cfRule>
    <cfRule type="containsText" dxfId="4310" priority="4601" operator="containsText" text="P">
      <formula>NOT(ISERROR(SEARCH("P",AQ36)))</formula>
    </cfRule>
    <cfRule type="containsText" dxfId="4309" priority="4602" operator="containsText" text="H">
      <formula>NOT(ISERROR(SEARCH("H",AQ36)))</formula>
    </cfRule>
    <cfRule type="containsText" dxfId="4308" priority="4604" operator="containsText" text="&quot;H&quot;">
      <formula>NOT(ISERROR(SEARCH("""H""",AQ36)))</formula>
    </cfRule>
    <cfRule type="containsText" dxfId="4307" priority="4605" operator="containsText" text="&quot;A&quot;">
      <formula>NOT(ISERROR(SEARCH("""A""",AQ36)))</formula>
    </cfRule>
  </conditionalFormatting>
  <conditionalFormatting sqref="AQ36:AR36">
    <cfRule type="containsText" dxfId="4306" priority="4603" operator="containsText" text="A-H">
      <formula>NOT(ISERROR(SEARCH("A-H",AQ36)))</formula>
    </cfRule>
  </conditionalFormatting>
  <conditionalFormatting sqref="AW36:AX36">
    <cfRule type="cellIs" dxfId="4305" priority="4594" operator="equal">
      <formula>"C-Off-H"</formula>
    </cfRule>
    <cfRule type="cellIs" dxfId="4304" priority="4595" operator="equal">
      <formula>"C-Off"</formula>
    </cfRule>
    <cfRule type="cellIs" dxfId="4303" priority="4596" operator="equal">
      <formula>"CL-H"</formula>
    </cfRule>
    <cfRule type="cellIs" dxfId="4302" priority="4597" operator="equal">
      <formula>"EL-H"</formula>
    </cfRule>
    <cfRule type="cellIs" dxfId="4301" priority="4598" operator="equal">
      <formula>"CL"</formula>
    </cfRule>
    <cfRule type="cellIs" dxfId="4300" priority="4599" operator="equal">
      <formula>"EL"</formula>
    </cfRule>
  </conditionalFormatting>
  <conditionalFormatting sqref="AW36:AX36">
    <cfRule type="containsText" dxfId="4299" priority="4588" operator="containsText" text="S">
      <formula>NOT(ISERROR(SEARCH("S",AW36)))</formula>
    </cfRule>
    <cfRule type="containsText" dxfId="4298" priority="4589" operator="containsText" text="P">
      <formula>NOT(ISERROR(SEARCH("P",AW36)))</formula>
    </cfRule>
    <cfRule type="containsText" dxfId="4297" priority="4590" operator="containsText" text="H">
      <formula>NOT(ISERROR(SEARCH("H",AW36)))</formula>
    </cfRule>
    <cfRule type="containsText" dxfId="4296" priority="4592" operator="containsText" text="&quot;H&quot;">
      <formula>NOT(ISERROR(SEARCH("""H""",AW36)))</formula>
    </cfRule>
    <cfRule type="containsText" dxfId="4295" priority="4593" operator="containsText" text="&quot;A&quot;">
      <formula>NOT(ISERROR(SEARCH("""A""",AW36)))</formula>
    </cfRule>
  </conditionalFormatting>
  <conditionalFormatting sqref="AW36:AX36">
    <cfRule type="containsText" dxfId="4294" priority="4591" operator="containsText" text="A-H">
      <formula>NOT(ISERROR(SEARCH("A-H",AW36)))</formula>
    </cfRule>
  </conditionalFormatting>
  <conditionalFormatting sqref="AZ36:BA36">
    <cfRule type="cellIs" dxfId="4293" priority="4582" operator="equal">
      <formula>"C-Off-H"</formula>
    </cfRule>
    <cfRule type="cellIs" dxfId="4292" priority="4583" operator="equal">
      <formula>"C-Off"</formula>
    </cfRule>
    <cfRule type="cellIs" dxfId="4291" priority="4584" operator="equal">
      <formula>"CL-H"</formula>
    </cfRule>
    <cfRule type="cellIs" dxfId="4290" priority="4585" operator="equal">
      <formula>"EL-H"</formula>
    </cfRule>
    <cfRule type="cellIs" dxfId="4289" priority="4586" operator="equal">
      <formula>"CL"</formula>
    </cfRule>
    <cfRule type="cellIs" dxfId="4288" priority="4587" operator="equal">
      <formula>"EL"</formula>
    </cfRule>
  </conditionalFormatting>
  <conditionalFormatting sqref="AZ36:BA36">
    <cfRule type="containsText" dxfId="4287" priority="4576" operator="containsText" text="S">
      <formula>NOT(ISERROR(SEARCH("S",AZ36)))</formula>
    </cfRule>
    <cfRule type="containsText" dxfId="4286" priority="4577" operator="containsText" text="P">
      <formula>NOT(ISERROR(SEARCH("P",AZ36)))</formula>
    </cfRule>
    <cfRule type="containsText" dxfId="4285" priority="4578" operator="containsText" text="H">
      <formula>NOT(ISERROR(SEARCH("H",AZ36)))</formula>
    </cfRule>
    <cfRule type="containsText" dxfId="4284" priority="4580" operator="containsText" text="&quot;H&quot;">
      <formula>NOT(ISERROR(SEARCH("""H""",AZ36)))</formula>
    </cfRule>
    <cfRule type="containsText" dxfId="4283" priority="4581" operator="containsText" text="&quot;A&quot;">
      <formula>NOT(ISERROR(SEARCH("""A""",AZ36)))</formula>
    </cfRule>
  </conditionalFormatting>
  <conditionalFormatting sqref="AZ36:BA36">
    <cfRule type="containsText" dxfId="4282" priority="4579" operator="containsText" text="A-H">
      <formula>NOT(ISERROR(SEARCH("A-H",AZ36)))</formula>
    </cfRule>
  </conditionalFormatting>
  <conditionalFormatting sqref="BC36:BD36">
    <cfRule type="cellIs" dxfId="4281" priority="4570" operator="equal">
      <formula>"C-Off-H"</formula>
    </cfRule>
    <cfRule type="cellIs" dxfId="4280" priority="4571" operator="equal">
      <formula>"C-Off"</formula>
    </cfRule>
    <cfRule type="cellIs" dxfId="4279" priority="4572" operator="equal">
      <formula>"CL-H"</formula>
    </cfRule>
    <cfRule type="cellIs" dxfId="4278" priority="4573" operator="equal">
      <formula>"EL-H"</formula>
    </cfRule>
    <cfRule type="cellIs" dxfId="4277" priority="4574" operator="equal">
      <formula>"CL"</formula>
    </cfRule>
    <cfRule type="cellIs" dxfId="4276" priority="4575" operator="equal">
      <formula>"EL"</formula>
    </cfRule>
  </conditionalFormatting>
  <conditionalFormatting sqref="BC36:BD36">
    <cfRule type="containsText" dxfId="4275" priority="4564" operator="containsText" text="S">
      <formula>NOT(ISERROR(SEARCH("S",BC36)))</formula>
    </cfRule>
    <cfRule type="containsText" dxfId="4274" priority="4565" operator="containsText" text="P">
      <formula>NOT(ISERROR(SEARCH("P",BC36)))</formula>
    </cfRule>
    <cfRule type="containsText" dxfId="4273" priority="4566" operator="containsText" text="H">
      <formula>NOT(ISERROR(SEARCH("H",BC36)))</formula>
    </cfRule>
    <cfRule type="containsText" dxfId="4272" priority="4568" operator="containsText" text="&quot;H&quot;">
      <formula>NOT(ISERROR(SEARCH("""H""",BC36)))</formula>
    </cfRule>
    <cfRule type="containsText" dxfId="4271" priority="4569" operator="containsText" text="&quot;A&quot;">
      <formula>NOT(ISERROR(SEARCH("""A""",BC36)))</formula>
    </cfRule>
  </conditionalFormatting>
  <conditionalFormatting sqref="BC36:BD36">
    <cfRule type="containsText" dxfId="4270" priority="4567" operator="containsText" text="A-H">
      <formula>NOT(ISERROR(SEARCH("A-H",BC36)))</formula>
    </cfRule>
  </conditionalFormatting>
  <conditionalFormatting sqref="BF36:BG36">
    <cfRule type="cellIs" dxfId="4269" priority="4558" operator="equal">
      <formula>"C-Off-H"</formula>
    </cfRule>
    <cfRule type="cellIs" dxfId="4268" priority="4559" operator="equal">
      <formula>"C-Off"</formula>
    </cfRule>
    <cfRule type="cellIs" dxfId="4267" priority="4560" operator="equal">
      <formula>"CL-H"</formula>
    </cfRule>
    <cfRule type="cellIs" dxfId="4266" priority="4561" operator="equal">
      <formula>"EL-H"</formula>
    </cfRule>
    <cfRule type="cellIs" dxfId="4265" priority="4562" operator="equal">
      <formula>"CL"</formula>
    </cfRule>
    <cfRule type="cellIs" dxfId="4264" priority="4563" operator="equal">
      <formula>"EL"</formula>
    </cfRule>
  </conditionalFormatting>
  <conditionalFormatting sqref="BF36:BG36">
    <cfRule type="containsText" dxfId="4263" priority="4552" operator="containsText" text="S">
      <formula>NOT(ISERROR(SEARCH("S",BF36)))</formula>
    </cfRule>
    <cfRule type="containsText" dxfId="4262" priority="4553" operator="containsText" text="P">
      <formula>NOT(ISERROR(SEARCH("P",BF36)))</formula>
    </cfRule>
    <cfRule type="containsText" dxfId="4261" priority="4554" operator="containsText" text="H">
      <formula>NOT(ISERROR(SEARCH("H",BF36)))</formula>
    </cfRule>
    <cfRule type="containsText" dxfId="4260" priority="4556" operator="containsText" text="&quot;H&quot;">
      <formula>NOT(ISERROR(SEARCH("""H""",BF36)))</formula>
    </cfRule>
    <cfRule type="containsText" dxfId="4259" priority="4557" operator="containsText" text="&quot;A&quot;">
      <formula>NOT(ISERROR(SEARCH("""A""",BF36)))</formula>
    </cfRule>
  </conditionalFormatting>
  <conditionalFormatting sqref="BF36:BG36">
    <cfRule type="containsText" dxfId="4258" priority="4555" operator="containsText" text="A-H">
      <formula>NOT(ISERROR(SEARCH("A-H",BF36)))</formula>
    </cfRule>
  </conditionalFormatting>
  <conditionalFormatting sqref="BI36:BJ36">
    <cfRule type="cellIs" dxfId="4257" priority="4546" operator="equal">
      <formula>"C-Off-H"</formula>
    </cfRule>
    <cfRule type="cellIs" dxfId="4256" priority="4547" operator="equal">
      <formula>"C-Off"</formula>
    </cfRule>
    <cfRule type="cellIs" dxfId="4255" priority="4548" operator="equal">
      <formula>"CL-H"</formula>
    </cfRule>
    <cfRule type="cellIs" dxfId="4254" priority="4549" operator="equal">
      <formula>"EL-H"</formula>
    </cfRule>
    <cfRule type="cellIs" dxfId="4253" priority="4550" operator="equal">
      <formula>"CL"</formula>
    </cfRule>
    <cfRule type="cellIs" dxfId="4252" priority="4551" operator="equal">
      <formula>"EL"</formula>
    </cfRule>
  </conditionalFormatting>
  <conditionalFormatting sqref="BI36:BJ36">
    <cfRule type="containsText" dxfId="4251" priority="4540" operator="containsText" text="S">
      <formula>NOT(ISERROR(SEARCH("S",BI36)))</formula>
    </cfRule>
    <cfRule type="containsText" dxfId="4250" priority="4541" operator="containsText" text="P">
      <formula>NOT(ISERROR(SEARCH("P",BI36)))</formula>
    </cfRule>
    <cfRule type="containsText" dxfId="4249" priority="4542" operator="containsText" text="H">
      <formula>NOT(ISERROR(SEARCH("H",BI36)))</formula>
    </cfRule>
    <cfRule type="containsText" dxfId="4248" priority="4544" operator="containsText" text="&quot;H&quot;">
      <formula>NOT(ISERROR(SEARCH("""H""",BI36)))</formula>
    </cfRule>
    <cfRule type="containsText" dxfId="4247" priority="4545" operator="containsText" text="&quot;A&quot;">
      <formula>NOT(ISERROR(SEARCH("""A""",BI36)))</formula>
    </cfRule>
  </conditionalFormatting>
  <conditionalFormatting sqref="BI36:BJ36">
    <cfRule type="containsText" dxfId="4246" priority="4543" operator="containsText" text="A-H">
      <formula>NOT(ISERROR(SEARCH("A-H",BI36)))</formula>
    </cfRule>
  </conditionalFormatting>
  <conditionalFormatting sqref="BL36:BM36">
    <cfRule type="cellIs" dxfId="4245" priority="4534" operator="equal">
      <formula>"C-Off-H"</formula>
    </cfRule>
    <cfRule type="cellIs" dxfId="4244" priority="4535" operator="equal">
      <formula>"C-Off"</formula>
    </cfRule>
    <cfRule type="cellIs" dxfId="4243" priority="4536" operator="equal">
      <formula>"CL-H"</formula>
    </cfRule>
    <cfRule type="cellIs" dxfId="4242" priority="4537" operator="equal">
      <formula>"EL-H"</formula>
    </cfRule>
    <cfRule type="cellIs" dxfId="4241" priority="4538" operator="equal">
      <formula>"CL"</formula>
    </cfRule>
    <cfRule type="cellIs" dxfId="4240" priority="4539" operator="equal">
      <formula>"EL"</formula>
    </cfRule>
  </conditionalFormatting>
  <conditionalFormatting sqref="BL36:BM36">
    <cfRule type="containsText" dxfId="4239" priority="4528" operator="containsText" text="S">
      <formula>NOT(ISERROR(SEARCH("S",BL36)))</formula>
    </cfRule>
    <cfRule type="containsText" dxfId="4238" priority="4529" operator="containsText" text="P">
      <formula>NOT(ISERROR(SEARCH("P",BL36)))</formula>
    </cfRule>
    <cfRule type="containsText" dxfId="4237" priority="4530" operator="containsText" text="H">
      <formula>NOT(ISERROR(SEARCH("H",BL36)))</formula>
    </cfRule>
    <cfRule type="containsText" dxfId="4236" priority="4532" operator="containsText" text="&quot;H&quot;">
      <formula>NOT(ISERROR(SEARCH("""H""",BL36)))</formula>
    </cfRule>
    <cfRule type="containsText" dxfId="4235" priority="4533" operator="containsText" text="&quot;A&quot;">
      <formula>NOT(ISERROR(SEARCH("""A""",BL36)))</formula>
    </cfRule>
  </conditionalFormatting>
  <conditionalFormatting sqref="BL36:BM36">
    <cfRule type="containsText" dxfId="4234" priority="4531" operator="containsText" text="A-H">
      <formula>NOT(ISERROR(SEARCH("A-H",BL36)))</formula>
    </cfRule>
  </conditionalFormatting>
  <conditionalFormatting sqref="BR36:BS36">
    <cfRule type="cellIs" dxfId="4233" priority="4522" operator="equal">
      <formula>"C-Off-H"</formula>
    </cfRule>
    <cfRule type="cellIs" dxfId="4232" priority="4523" operator="equal">
      <formula>"C-Off"</formula>
    </cfRule>
    <cfRule type="cellIs" dxfId="4231" priority="4524" operator="equal">
      <formula>"CL-H"</formula>
    </cfRule>
    <cfRule type="cellIs" dxfId="4230" priority="4525" operator="equal">
      <formula>"EL-H"</formula>
    </cfRule>
    <cfRule type="cellIs" dxfId="4229" priority="4526" operator="equal">
      <formula>"CL"</formula>
    </cfRule>
    <cfRule type="cellIs" dxfId="4228" priority="4527" operator="equal">
      <formula>"EL"</formula>
    </cfRule>
  </conditionalFormatting>
  <conditionalFormatting sqref="BR36:BS36">
    <cfRule type="containsText" dxfId="4227" priority="4516" operator="containsText" text="S">
      <formula>NOT(ISERROR(SEARCH("S",BR36)))</formula>
    </cfRule>
    <cfRule type="containsText" dxfId="4226" priority="4517" operator="containsText" text="P">
      <formula>NOT(ISERROR(SEARCH("P",BR36)))</formula>
    </cfRule>
    <cfRule type="containsText" dxfId="4225" priority="4518" operator="containsText" text="H">
      <formula>NOT(ISERROR(SEARCH("H",BR36)))</formula>
    </cfRule>
    <cfRule type="containsText" dxfId="4224" priority="4520" operator="containsText" text="&quot;H&quot;">
      <formula>NOT(ISERROR(SEARCH("""H""",BR36)))</formula>
    </cfRule>
    <cfRule type="containsText" dxfId="4223" priority="4521" operator="containsText" text="&quot;A&quot;">
      <formula>NOT(ISERROR(SEARCH("""A""",BR36)))</formula>
    </cfRule>
  </conditionalFormatting>
  <conditionalFormatting sqref="BR36:BS36">
    <cfRule type="containsText" dxfId="4222" priority="4519" operator="containsText" text="A-H">
      <formula>NOT(ISERROR(SEARCH("A-H",BR36)))</formula>
    </cfRule>
  </conditionalFormatting>
  <conditionalFormatting sqref="BU36:BV36">
    <cfRule type="cellIs" dxfId="4221" priority="4510" operator="equal">
      <formula>"C-Off-H"</formula>
    </cfRule>
    <cfRule type="cellIs" dxfId="4220" priority="4511" operator="equal">
      <formula>"C-Off"</formula>
    </cfRule>
    <cfRule type="cellIs" dxfId="4219" priority="4512" operator="equal">
      <formula>"CL-H"</formula>
    </cfRule>
    <cfRule type="cellIs" dxfId="4218" priority="4513" operator="equal">
      <formula>"EL-H"</formula>
    </cfRule>
    <cfRule type="cellIs" dxfId="4217" priority="4514" operator="equal">
      <formula>"CL"</formula>
    </cfRule>
    <cfRule type="cellIs" dxfId="4216" priority="4515" operator="equal">
      <formula>"EL"</formula>
    </cfRule>
  </conditionalFormatting>
  <conditionalFormatting sqref="BU36:BV36">
    <cfRule type="containsText" dxfId="4215" priority="4504" operator="containsText" text="S">
      <formula>NOT(ISERROR(SEARCH("S",BU36)))</formula>
    </cfRule>
    <cfRule type="containsText" dxfId="4214" priority="4505" operator="containsText" text="P">
      <formula>NOT(ISERROR(SEARCH("P",BU36)))</formula>
    </cfRule>
    <cfRule type="containsText" dxfId="4213" priority="4506" operator="containsText" text="H">
      <formula>NOT(ISERROR(SEARCH("H",BU36)))</formula>
    </cfRule>
    <cfRule type="containsText" dxfId="4212" priority="4508" operator="containsText" text="&quot;H&quot;">
      <formula>NOT(ISERROR(SEARCH("""H""",BU36)))</formula>
    </cfRule>
    <cfRule type="containsText" dxfId="4211" priority="4509" operator="containsText" text="&quot;A&quot;">
      <formula>NOT(ISERROR(SEARCH("""A""",BU36)))</formula>
    </cfRule>
  </conditionalFormatting>
  <conditionalFormatting sqref="BU36:BV36">
    <cfRule type="containsText" dxfId="4210" priority="4507" operator="containsText" text="A-H">
      <formula>NOT(ISERROR(SEARCH("A-H",BU36)))</formula>
    </cfRule>
  </conditionalFormatting>
  <conditionalFormatting sqref="BY36">
    <cfRule type="cellIs" dxfId="4209" priority="4498" operator="equal">
      <formula>"C-Off-H"</formula>
    </cfRule>
    <cfRule type="cellIs" dxfId="4208" priority="4499" operator="equal">
      <formula>"C-Off"</formula>
    </cfRule>
    <cfRule type="cellIs" dxfId="4207" priority="4500" operator="equal">
      <formula>"CL-H"</formula>
    </cfRule>
    <cfRule type="cellIs" dxfId="4206" priority="4501" operator="equal">
      <formula>"EL-H"</formula>
    </cfRule>
    <cfRule type="cellIs" dxfId="4205" priority="4502" operator="equal">
      <formula>"CL"</formula>
    </cfRule>
    <cfRule type="cellIs" dxfId="4204" priority="4503" operator="equal">
      <formula>"EL"</formula>
    </cfRule>
  </conditionalFormatting>
  <conditionalFormatting sqref="BY36">
    <cfRule type="containsText" dxfId="4203" priority="4492" operator="containsText" text="S">
      <formula>NOT(ISERROR(SEARCH("S",BY36)))</formula>
    </cfRule>
    <cfRule type="containsText" dxfId="4202" priority="4493" operator="containsText" text="P">
      <formula>NOT(ISERROR(SEARCH("P",BY36)))</formula>
    </cfRule>
    <cfRule type="containsText" dxfId="4201" priority="4494" operator="containsText" text="H">
      <formula>NOT(ISERROR(SEARCH("H",BY36)))</formula>
    </cfRule>
    <cfRule type="containsText" dxfId="4200" priority="4496" operator="containsText" text="&quot;H&quot;">
      <formula>NOT(ISERROR(SEARCH("""H""",BY36)))</formula>
    </cfRule>
    <cfRule type="containsText" dxfId="4199" priority="4497" operator="containsText" text="&quot;A&quot;">
      <formula>NOT(ISERROR(SEARCH("""A""",BY36)))</formula>
    </cfRule>
  </conditionalFormatting>
  <conditionalFormatting sqref="BY36">
    <cfRule type="containsText" dxfId="4198" priority="4495" operator="containsText" text="A-H">
      <formula>NOT(ISERROR(SEARCH("A-H",BY36)))</formula>
    </cfRule>
  </conditionalFormatting>
  <conditionalFormatting sqref="BX36">
    <cfRule type="cellIs" dxfId="4197" priority="4486" operator="equal">
      <formula>"C-Off-H"</formula>
    </cfRule>
    <cfRule type="cellIs" dxfId="4196" priority="4487" operator="equal">
      <formula>"C-Off"</formula>
    </cfRule>
    <cfRule type="cellIs" dxfId="4195" priority="4488" operator="equal">
      <formula>"CL-H"</formula>
    </cfRule>
    <cfRule type="cellIs" dxfId="4194" priority="4489" operator="equal">
      <formula>"EL-H"</formula>
    </cfRule>
    <cfRule type="cellIs" dxfId="4193" priority="4490" operator="equal">
      <formula>"CL"</formula>
    </cfRule>
    <cfRule type="cellIs" dxfId="4192" priority="4491" operator="equal">
      <formula>"EL"</formula>
    </cfRule>
  </conditionalFormatting>
  <conditionalFormatting sqref="BX36">
    <cfRule type="containsText" dxfId="4191" priority="4480" operator="containsText" text="S">
      <formula>NOT(ISERROR(SEARCH("S",BX36)))</formula>
    </cfRule>
    <cfRule type="containsText" dxfId="4190" priority="4481" operator="containsText" text="P">
      <formula>NOT(ISERROR(SEARCH("P",BX36)))</formula>
    </cfRule>
    <cfRule type="containsText" dxfId="4189" priority="4482" operator="containsText" text="H">
      <formula>NOT(ISERROR(SEARCH("H",BX36)))</formula>
    </cfRule>
    <cfRule type="containsText" dxfId="4188" priority="4484" operator="containsText" text="&quot;H&quot;">
      <formula>NOT(ISERROR(SEARCH("""H""",BX36)))</formula>
    </cfRule>
    <cfRule type="containsText" dxfId="4187" priority="4485" operator="containsText" text="&quot;A&quot;">
      <formula>NOT(ISERROR(SEARCH("""A""",BX36)))</formula>
    </cfRule>
  </conditionalFormatting>
  <conditionalFormatting sqref="BX36">
    <cfRule type="containsText" dxfId="4186" priority="4483" operator="containsText" text="A-H">
      <formula>NOT(ISERROR(SEARCH("A-H",BX36)))</formula>
    </cfRule>
  </conditionalFormatting>
  <conditionalFormatting sqref="J36">
    <cfRule type="cellIs" dxfId="4185" priority="4474" operator="equal">
      <formula>"C-Off-H"</formula>
    </cfRule>
    <cfRule type="cellIs" dxfId="4184" priority="4475" operator="equal">
      <formula>"C-Off"</formula>
    </cfRule>
    <cfRule type="cellIs" dxfId="4183" priority="4476" operator="equal">
      <formula>"CL-H"</formula>
    </cfRule>
    <cfRule type="cellIs" dxfId="4182" priority="4477" operator="equal">
      <formula>"EL-H"</formula>
    </cfRule>
    <cfRule type="cellIs" dxfId="4181" priority="4478" operator="equal">
      <formula>"CL"</formula>
    </cfRule>
    <cfRule type="cellIs" dxfId="4180" priority="4479" operator="equal">
      <formula>"EL"</formula>
    </cfRule>
  </conditionalFormatting>
  <conditionalFormatting sqref="J36">
    <cfRule type="containsText" dxfId="4179" priority="4468" operator="containsText" text="S">
      <formula>NOT(ISERROR(SEARCH("S",J36)))</formula>
    </cfRule>
    <cfRule type="containsText" dxfId="4178" priority="4469" operator="containsText" text="P">
      <formula>NOT(ISERROR(SEARCH("P",J36)))</formula>
    </cfRule>
    <cfRule type="containsText" dxfId="4177" priority="4470" operator="containsText" text="H">
      <formula>NOT(ISERROR(SEARCH("H",J36)))</formula>
    </cfRule>
    <cfRule type="containsText" dxfId="4176" priority="4472" operator="containsText" text="&quot;H&quot;">
      <formula>NOT(ISERROR(SEARCH("""H""",J36)))</formula>
    </cfRule>
    <cfRule type="containsText" dxfId="4175" priority="4473" operator="containsText" text="&quot;A&quot;">
      <formula>NOT(ISERROR(SEARCH("""A""",J36)))</formula>
    </cfRule>
  </conditionalFormatting>
  <conditionalFormatting sqref="J36">
    <cfRule type="containsText" dxfId="4174" priority="4471" operator="containsText" text="A-H">
      <formula>NOT(ISERROR(SEARCH("A-H",J36)))</formula>
    </cfRule>
  </conditionalFormatting>
  <conditionalFormatting sqref="CN38">
    <cfRule type="cellIs" dxfId="4173" priority="4462" operator="equal">
      <formula>"C-Off-H"</formula>
    </cfRule>
    <cfRule type="cellIs" dxfId="4172" priority="4463" operator="equal">
      <formula>"C-Off"</formula>
    </cfRule>
    <cfRule type="cellIs" dxfId="4171" priority="4464" operator="equal">
      <formula>"CL-H"</formula>
    </cfRule>
    <cfRule type="cellIs" dxfId="4170" priority="4465" operator="equal">
      <formula>"EL-H"</formula>
    </cfRule>
    <cfRule type="cellIs" dxfId="4169" priority="4466" operator="equal">
      <formula>"CL"</formula>
    </cfRule>
    <cfRule type="cellIs" dxfId="4168" priority="4467" operator="equal">
      <formula>"EL"</formula>
    </cfRule>
  </conditionalFormatting>
  <conditionalFormatting sqref="CN38">
    <cfRule type="containsText" dxfId="4167" priority="4461" operator="containsText" text="A-H">
      <formula>NOT(ISERROR(SEARCH("A-H",CN38)))</formula>
    </cfRule>
  </conditionalFormatting>
  <conditionalFormatting sqref="CN38">
    <cfRule type="containsText" dxfId="4166" priority="4460" operator="containsText" text="A">
      <formula>NOT(ISERROR(SEARCH("A",CN38)))</formula>
    </cfRule>
  </conditionalFormatting>
  <conditionalFormatting sqref="CN38">
    <cfRule type="containsText" dxfId="4165" priority="4455" operator="containsText" text="S">
      <formula>NOT(ISERROR(SEARCH("S",CN38)))</formula>
    </cfRule>
    <cfRule type="containsText" dxfId="4164" priority="4456" operator="containsText" text="P">
      <formula>NOT(ISERROR(SEARCH("P",CN38)))</formula>
    </cfRule>
    <cfRule type="containsText" dxfId="4163" priority="4457" operator="containsText" text="H">
      <formula>NOT(ISERROR(SEARCH("H",CN38)))</formula>
    </cfRule>
    <cfRule type="containsText" dxfId="4162" priority="4458" operator="containsText" text="&quot;H&quot;">
      <formula>NOT(ISERROR(SEARCH("""H""",CN38)))</formula>
    </cfRule>
    <cfRule type="containsText" dxfId="4161" priority="4459" operator="containsText" text="&quot;A&quot;">
      <formula>NOT(ISERROR(SEARCH("""A""",CN38)))</formula>
    </cfRule>
  </conditionalFormatting>
  <conditionalFormatting sqref="CA37:CB37">
    <cfRule type="cellIs" dxfId="4160" priority="4449" operator="equal">
      <formula>"C-Off-H"</formula>
    </cfRule>
    <cfRule type="cellIs" dxfId="4159" priority="4450" operator="equal">
      <formula>"C-Off"</formula>
    </cfRule>
    <cfRule type="cellIs" dxfId="4158" priority="4451" operator="equal">
      <formula>"CL-H"</formula>
    </cfRule>
    <cfRule type="cellIs" dxfId="4157" priority="4452" operator="equal">
      <formula>"EL-H"</formula>
    </cfRule>
    <cfRule type="cellIs" dxfId="4156" priority="4453" operator="equal">
      <formula>"CL"</formula>
    </cfRule>
    <cfRule type="cellIs" dxfId="4155" priority="4454" operator="equal">
      <formula>"EL"</formula>
    </cfRule>
  </conditionalFormatting>
  <conditionalFormatting sqref="CA37:CB37">
    <cfRule type="containsText" dxfId="4154" priority="4443" operator="containsText" text="S">
      <formula>NOT(ISERROR(SEARCH("S",CA37)))</formula>
    </cfRule>
    <cfRule type="containsText" dxfId="4153" priority="4444" operator="containsText" text="P">
      <formula>NOT(ISERROR(SEARCH("P",CA37)))</formula>
    </cfRule>
    <cfRule type="containsText" dxfId="4152" priority="4445" operator="containsText" text="H">
      <formula>NOT(ISERROR(SEARCH("H",CA37)))</formula>
    </cfRule>
    <cfRule type="containsText" dxfId="4151" priority="4447" operator="containsText" text="&quot;H&quot;">
      <formula>NOT(ISERROR(SEARCH("""H""",CA37)))</formula>
    </cfRule>
    <cfRule type="containsText" dxfId="4150" priority="4448" operator="containsText" text="&quot;A&quot;">
      <formula>NOT(ISERROR(SEARCH("""A""",CA37)))</formula>
    </cfRule>
  </conditionalFormatting>
  <conditionalFormatting sqref="CA37:CB37">
    <cfRule type="containsText" dxfId="4149" priority="4446" operator="containsText" text="A-H">
      <formula>NOT(ISERROR(SEARCH("A-H",CA37)))</formula>
    </cfRule>
  </conditionalFormatting>
  <conditionalFormatting sqref="CD37:CE37">
    <cfRule type="cellIs" dxfId="4148" priority="4437" operator="equal">
      <formula>"C-Off-H"</formula>
    </cfRule>
    <cfRule type="cellIs" dxfId="4147" priority="4438" operator="equal">
      <formula>"C-Off"</formula>
    </cfRule>
    <cfRule type="cellIs" dxfId="4146" priority="4439" operator="equal">
      <formula>"CL-H"</formula>
    </cfRule>
    <cfRule type="cellIs" dxfId="4145" priority="4440" operator="equal">
      <formula>"EL-H"</formula>
    </cfRule>
    <cfRule type="cellIs" dxfId="4144" priority="4441" operator="equal">
      <formula>"CL"</formula>
    </cfRule>
    <cfRule type="cellIs" dxfId="4143" priority="4442" operator="equal">
      <formula>"EL"</formula>
    </cfRule>
  </conditionalFormatting>
  <conditionalFormatting sqref="CD37:CE37">
    <cfRule type="containsText" dxfId="4142" priority="4431" operator="containsText" text="S">
      <formula>NOT(ISERROR(SEARCH("S",CD37)))</formula>
    </cfRule>
    <cfRule type="containsText" dxfId="4141" priority="4432" operator="containsText" text="P">
      <formula>NOT(ISERROR(SEARCH("P",CD37)))</formula>
    </cfRule>
    <cfRule type="containsText" dxfId="4140" priority="4433" operator="containsText" text="H">
      <formula>NOT(ISERROR(SEARCH("H",CD37)))</formula>
    </cfRule>
    <cfRule type="containsText" dxfId="4139" priority="4435" operator="containsText" text="&quot;H&quot;">
      <formula>NOT(ISERROR(SEARCH("""H""",CD37)))</formula>
    </cfRule>
    <cfRule type="containsText" dxfId="4138" priority="4436" operator="containsText" text="&quot;A&quot;">
      <formula>NOT(ISERROR(SEARCH("""A""",CD37)))</formula>
    </cfRule>
  </conditionalFormatting>
  <conditionalFormatting sqref="CD37:CE37">
    <cfRule type="containsText" dxfId="4137" priority="4434" operator="containsText" text="A-H">
      <formula>NOT(ISERROR(SEARCH("A-H",CD37)))</formula>
    </cfRule>
  </conditionalFormatting>
  <conditionalFormatting sqref="CH37">
    <cfRule type="cellIs" dxfId="4136" priority="4425" operator="equal">
      <formula>"C-Off-H"</formula>
    </cfRule>
    <cfRule type="cellIs" dxfId="4135" priority="4426" operator="equal">
      <formula>"C-Off"</formula>
    </cfRule>
    <cfRule type="cellIs" dxfId="4134" priority="4427" operator="equal">
      <formula>"CL-H"</formula>
    </cfRule>
    <cfRule type="cellIs" dxfId="4133" priority="4428" operator="equal">
      <formula>"EL-H"</formula>
    </cfRule>
    <cfRule type="cellIs" dxfId="4132" priority="4429" operator="equal">
      <formula>"CL"</formula>
    </cfRule>
    <cfRule type="cellIs" dxfId="4131" priority="4430" operator="equal">
      <formula>"EL"</formula>
    </cfRule>
  </conditionalFormatting>
  <conditionalFormatting sqref="CH37">
    <cfRule type="containsText" dxfId="4130" priority="4419" operator="containsText" text="S">
      <formula>NOT(ISERROR(SEARCH("S",CH37)))</formula>
    </cfRule>
    <cfRule type="containsText" dxfId="4129" priority="4420" operator="containsText" text="P">
      <formula>NOT(ISERROR(SEARCH("P",CH37)))</formula>
    </cfRule>
    <cfRule type="containsText" dxfId="4128" priority="4421" operator="containsText" text="H">
      <formula>NOT(ISERROR(SEARCH("H",CH37)))</formula>
    </cfRule>
    <cfRule type="containsText" dxfId="4127" priority="4423" operator="containsText" text="&quot;H&quot;">
      <formula>NOT(ISERROR(SEARCH("""H""",CH37)))</formula>
    </cfRule>
    <cfRule type="containsText" dxfId="4126" priority="4424" operator="containsText" text="&quot;A&quot;">
      <formula>NOT(ISERROR(SEARCH("""A""",CH37)))</formula>
    </cfRule>
  </conditionalFormatting>
  <conditionalFormatting sqref="CH37">
    <cfRule type="containsText" dxfId="4125" priority="4422" operator="containsText" text="A-H">
      <formula>NOT(ISERROR(SEARCH("A-H",CH37)))</formula>
    </cfRule>
  </conditionalFormatting>
  <conditionalFormatting sqref="CG37">
    <cfRule type="cellIs" dxfId="4124" priority="4413" operator="equal">
      <formula>"C-Off-H"</formula>
    </cfRule>
    <cfRule type="cellIs" dxfId="4123" priority="4414" operator="equal">
      <formula>"C-Off"</formula>
    </cfRule>
    <cfRule type="cellIs" dxfId="4122" priority="4415" operator="equal">
      <formula>"CL-H"</formula>
    </cfRule>
    <cfRule type="cellIs" dxfId="4121" priority="4416" operator="equal">
      <formula>"EL-H"</formula>
    </cfRule>
    <cfRule type="cellIs" dxfId="4120" priority="4417" operator="equal">
      <formula>"CL"</formula>
    </cfRule>
    <cfRule type="cellIs" dxfId="4119" priority="4418" operator="equal">
      <formula>"EL"</formula>
    </cfRule>
  </conditionalFormatting>
  <conditionalFormatting sqref="CG37">
    <cfRule type="containsText" dxfId="4118" priority="4407" operator="containsText" text="S">
      <formula>NOT(ISERROR(SEARCH("S",CG37)))</formula>
    </cfRule>
    <cfRule type="containsText" dxfId="4117" priority="4408" operator="containsText" text="P">
      <formula>NOT(ISERROR(SEARCH("P",CG37)))</formula>
    </cfRule>
    <cfRule type="containsText" dxfId="4116" priority="4409" operator="containsText" text="H">
      <formula>NOT(ISERROR(SEARCH("H",CG37)))</formula>
    </cfRule>
    <cfRule type="containsText" dxfId="4115" priority="4411" operator="containsText" text="&quot;H&quot;">
      <formula>NOT(ISERROR(SEARCH("""H""",CG37)))</formula>
    </cfRule>
    <cfRule type="containsText" dxfId="4114" priority="4412" operator="containsText" text="&quot;A&quot;">
      <formula>NOT(ISERROR(SEARCH("""A""",CG37)))</formula>
    </cfRule>
  </conditionalFormatting>
  <conditionalFormatting sqref="CG37">
    <cfRule type="containsText" dxfId="4113" priority="4410" operator="containsText" text="A-H">
      <formula>NOT(ISERROR(SEARCH("A-H",CG37)))</formula>
    </cfRule>
  </conditionalFormatting>
  <conditionalFormatting sqref="CA38:CB38">
    <cfRule type="cellIs" dxfId="4112" priority="4401" operator="equal">
      <formula>"C-Off-H"</formula>
    </cfRule>
    <cfRule type="cellIs" dxfId="4111" priority="4402" operator="equal">
      <formula>"C-Off"</formula>
    </cfRule>
    <cfRule type="cellIs" dxfId="4110" priority="4403" operator="equal">
      <formula>"CL-H"</formula>
    </cfRule>
    <cfRule type="cellIs" dxfId="4109" priority="4404" operator="equal">
      <formula>"EL-H"</formula>
    </cfRule>
    <cfRule type="cellIs" dxfId="4108" priority="4405" operator="equal">
      <formula>"CL"</formula>
    </cfRule>
    <cfRule type="cellIs" dxfId="4107" priority="4406" operator="equal">
      <formula>"EL"</formula>
    </cfRule>
  </conditionalFormatting>
  <conditionalFormatting sqref="CA38:CB38">
    <cfRule type="containsText" dxfId="4106" priority="4395" operator="containsText" text="S">
      <formula>NOT(ISERROR(SEARCH("S",CA38)))</formula>
    </cfRule>
    <cfRule type="containsText" dxfId="4105" priority="4396" operator="containsText" text="P">
      <formula>NOT(ISERROR(SEARCH("P",CA38)))</formula>
    </cfRule>
    <cfRule type="containsText" dxfId="4104" priority="4397" operator="containsText" text="H">
      <formula>NOT(ISERROR(SEARCH("H",CA38)))</formula>
    </cfRule>
    <cfRule type="containsText" dxfId="4103" priority="4399" operator="containsText" text="&quot;H&quot;">
      <formula>NOT(ISERROR(SEARCH("""H""",CA38)))</formula>
    </cfRule>
    <cfRule type="containsText" dxfId="4102" priority="4400" operator="containsText" text="&quot;A&quot;">
      <formula>NOT(ISERROR(SEARCH("""A""",CA38)))</formula>
    </cfRule>
  </conditionalFormatting>
  <conditionalFormatting sqref="CA38:CB38">
    <cfRule type="containsText" dxfId="4101" priority="4398" operator="containsText" text="A-H">
      <formula>NOT(ISERROR(SEARCH("A-H",CA38)))</formula>
    </cfRule>
  </conditionalFormatting>
  <conditionalFormatting sqref="CD38:CE38">
    <cfRule type="cellIs" dxfId="4100" priority="4389" operator="equal">
      <formula>"C-Off-H"</formula>
    </cfRule>
    <cfRule type="cellIs" dxfId="4099" priority="4390" operator="equal">
      <formula>"C-Off"</formula>
    </cfRule>
    <cfRule type="cellIs" dxfId="4098" priority="4391" operator="equal">
      <formula>"CL-H"</formula>
    </cfRule>
    <cfRule type="cellIs" dxfId="4097" priority="4392" operator="equal">
      <formula>"EL-H"</formula>
    </cfRule>
    <cfRule type="cellIs" dxfId="4096" priority="4393" operator="equal">
      <formula>"CL"</formula>
    </cfRule>
    <cfRule type="cellIs" dxfId="4095" priority="4394" operator="equal">
      <formula>"EL"</formula>
    </cfRule>
  </conditionalFormatting>
  <conditionalFormatting sqref="CD38:CE38">
    <cfRule type="containsText" dxfId="4094" priority="4383" operator="containsText" text="S">
      <formula>NOT(ISERROR(SEARCH("S",CD38)))</formula>
    </cfRule>
    <cfRule type="containsText" dxfId="4093" priority="4384" operator="containsText" text="P">
      <formula>NOT(ISERROR(SEARCH("P",CD38)))</formula>
    </cfRule>
    <cfRule type="containsText" dxfId="4092" priority="4385" operator="containsText" text="H">
      <formula>NOT(ISERROR(SEARCH("H",CD38)))</formula>
    </cfRule>
    <cfRule type="containsText" dxfId="4091" priority="4387" operator="containsText" text="&quot;H&quot;">
      <formula>NOT(ISERROR(SEARCH("""H""",CD38)))</formula>
    </cfRule>
    <cfRule type="containsText" dxfId="4090" priority="4388" operator="containsText" text="&quot;A&quot;">
      <formula>NOT(ISERROR(SEARCH("""A""",CD38)))</formula>
    </cfRule>
  </conditionalFormatting>
  <conditionalFormatting sqref="CD38:CE38">
    <cfRule type="containsText" dxfId="4089" priority="4386" operator="containsText" text="A-H">
      <formula>NOT(ISERROR(SEARCH("A-H",CD38)))</formula>
    </cfRule>
  </conditionalFormatting>
  <conditionalFormatting sqref="CH38">
    <cfRule type="cellIs" dxfId="4088" priority="4377" operator="equal">
      <formula>"C-Off-H"</formula>
    </cfRule>
    <cfRule type="cellIs" dxfId="4087" priority="4378" operator="equal">
      <formula>"C-Off"</formula>
    </cfRule>
    <cfRule type="cellIs" dxfId="4086" priority="4379" operator="equal">
      <formula>"CL-H"</formula>
    </cfRule>
    <cfRule type="cellIs" dxfId="4085" priority="4380" operator="equal">
      <formula>"EL-H"</formula>
    </cfRule>
    <cfRule type="cellIs" dxfId="4084" priority="4381" operator="equal">
      <formula>"CL"</formula>
    </cfRule>
    <cfRule type="cellIs" dxfId="4083" priority="4382" operator="equal">
      <formula>"EL"</formula>
    </cfRule>
  </conditionalFormatting>
  <conditionalFormatting sqref="CH38">
    <cfRule type="containsText" dxfId="4082" priority="4371" operator="containsText" text="S">
      <formula>NOT(ISERROR(SEARCH("S",CH38)))</formula>
    </cfRule>
    <cfRule type="containsText" dxfId="4081" priority="4372" operator="containsText" text="P">
      <formula>NOT(ISERROR(SEARCH("P",CH38)))</formula>
    </cfRule>
    <cfRule type="containsText" dxfId="4080" priority="4373" operator="containsText" text="H">
      <formula>NOT(ISERROR(SEARCH("H",CH38)))</formula>
    </cfRule>
    <cfRule type="containsText" dxfId="4079" priority="4375" operator="containsText" text="&quot;H&quot;">
      <formula>NOT(ISERROR(SEARCH("""H""",CH38)))</formula>
    </cfRule>
    <cfRule type="containsText" dxfId="4078" priority="4376" operator="containsText" text="&quot;A&quot;">
      <formula>NOT(ISERROR(SEARCH("""A""",CH38)))</formula>
    </cfRule>
  </conditionalFormatting>
  <conditionalFormatting sqref="CH38">
    <cfRule type="containsText" dxfId="4077" priority="4374" operator="containsText" text="A-H">
      <formula>NOT(ISERROR(SEARCH("A-H",CH38)))</formula>
    </cfRule>
  </conditionalFormatting>
  <conditionalFormatting sqref="CG38">
    <cfRule type="cellIs" dxfId="4076" priority="4365" operator="equal">
      <formula>"C-Off-H"</formula>
    </cfRule>
    <cfRule type="cellIs" dxfId="4075" priority="4366" operator="equal">
      <formula>"C-Off"</formula>
    </cfRule>
    <cfRule type="cellIs" dxfId="4074" priority="4367" operator="equal">
      <formula>"CL-H"</formula>
    </cfRule>
    <cfRule type="cellIs" dxfId="4073" priority="4368" operator="equal">
      <formula>"EL-H"</formula>
    </cfRule>
    <cfRule type="cellIs" dxfId="4072" priority="4369" operator="equal">
      <formula>"CL"</formula>
    </cfRule>
    <cfRule type="cellIs" dxfId="4071" priority="4370" operator="equal">
      <formula>"EL"</formula>
    </cfRule>
  </conditionalFormatting>
  <conditionalFormatting sqref="CG38">
    <cfRule type="containsText" dxfId="4070" priority="4359" operator="containsText" text="S">
      <formula>NOT(ISERROR(SEARCH("S",CG38)))</formula>
    </cfRule>
    <cfRule type="containsText" dxfId="4069" priority="4360" operator="containsText" text="P">
      <formula>NOT(ISERROR(SEARCH("P",CG38)))</formula>
    </cfRule>
    <cfRule type="containsText" dxfId="4068" priority="4361" operator="containsText" text="H">
      <formula>NOT(ISERROR(SEARCH("H",CG38)))</formula>
    </cfRule>
    <cfRule type="containsText" dxfId="4067" priority="4363" operator="containsText" text="&quot;H&quot;">
      <formula>NOT(ISERROR(SEARCH("""H""",CG38)))</formula>
    </cfRule>
    <cfRule type="containsText" dxfId="4066" priority="4364" operator="containsText" text="&quot;A&quot;">
      <formula>NOT(ISERROR(SEARCH("""A""",CG38)))</formula>
    </cfRule>
  </conditionalFormatting>
  <conditionalFormatting sqref="CG38">
    <cfRule type="containsText" dxfId="4065" priority="4362" operator="containsText" text="A-H">
      <formula>NOT(ISERROR(SEARCH("A-H",CG38)))</formula>
    </cfRule>
  </conditionalFormatting>
  <conditionalFormatting sqref="CA36:CB36">
    <cfRule type="cellIs" dxfId="4064" priority="4353" operator="equal">
      <formula>"C-Off-H"</formula>
    </cfRule>
    <cfRule type="cellIs" dxfId="4063" priority="4354" operator="equal">
      <formula>"C-Off"</formula>
    </cfRule>
    <cfRule type="cellIs" dxfId="4062" priority="4355" operator="equal">
      <formula>"CL-H"</formula>
    </cfRule>
    <cfRule type="cellIs" dxfId="4061" priority="4356" operator="equal">
      <formula>"EL-H"</formula>
    </cfRule>
    <cfRule type="cellIs" dxfId="4060" priority="4357" operator="equal">
      <formula>"CL"</formula>
    </cfRule>
    <cfRule type="cellIs" dxfId="4059" priority="4358" operator="equal">
      <formula>"EL"</formula>
    </cfRule>
  </conditionalFormatting>
  <conditionalFormatting sqref="CA36:CB36">
    <cfRule type="containsText" dxfId="4058" priority="4347" operator="containsText" text="S">
      <formula>NOT(ISERROR(SEARCH("S",CA36)))</formula>
    </cfRule>
    <cfRule type="containsText" dxfId="4057" priority="4348" operator="containsText" text="P">
      <formula>NOT(ISERROR(SEARCH("P",CA36)))</formula>
    </cfRule>
    <cfRule type="containsText" dxfId="4056" priority="4349" operator="containsText" text="H">
      <formula>NOT(ISERROR(SEARCH("H",CA36)))</formula>
    </cfRule>
    <cfRule type="containsText" dxfId="4055" priority="4351" operator="containsText" text="&quot;H&quot;">
      <formula>NOT(ISERROR(SEARCH("""H""",CA36)))</formula>
    </cfRule>
    <cfRule type="containsText" dxfId="4054" priority="4352" operator="containsText" text="&quot;A&quot;">
      <formula>NOT(ISERROR(SEARCH("""A""",CA36)))</formula>
    </cfRule>
  </conditionalFormatting>
  <conditionalFormatting sqref="CA36:CB36">
    <cfRule type="containsText" dxfId="4053" priority="4350" operator="containsText" text="A-H">
      <formula>NOT(ISERROR(SEARCH("A-H",CA36)))</formula>
    </cfRule>
  </conditionalFormatting>
  <conditionalFormatting sqref="CD36:CE36">
    <cfRule type="cellIs" dxfId="4052" priority="4341" operator="equal">
      <formula>"C-Off-H"</formula>
    </cfRule>
    <cfRule type="cellIs" dxfId="4051" priority="4342" operator="equal">
      <formula>"C-Off"</formula>
    </cfRule>
    <cfRule type="cellIs" dxfId="4050" priority="4343" operator="equal">
      <formula>"CL-H"</formula>
    </cfRule>
    <cfRule type="cellIs" dxfId="4049" priority="4344" operator="equal">
      <formula>"EL-H"</formula>
    </cfRule>
    <cfRule type="cellIs" dxfId="4048" priority="4345" operator="equal">
      <formula>"CL"</formula>
    </cfRule>
    <cfRule type="cellIs" dxfId="4047" priority="4346" operator="equal">
      <formula>"EL"</formula>
    </cfRule>
  </conditionalFormatting>
  <conditionalFormatting sqref="CD36:CE36">
    <cfRule type="containsText" dxfId="4046" priority="4335" operator="containsText" text="S">
      <formula>NOT(ISERROR(SEARCH("S",CD36)))</formula>
    </cfRule>
    <cfRule type="containsText" dxfId="4045" priority="4336" operator="containsText" text="P">
      <formula>NOT(ISERROR(SEARCH("P",CD36)))</formula>
    </cfRule>
    <cfRule type="containsText" dxfId="4044" priority="4337" operator="containsText" text="H">
      <formula>NOT(ISERROR(SEARCH("H",CD36)))</formula>
    </cfRule>
    <cfRule type="containsText" dxfId="4043" priority="4339" operator="containsText" text="&quot;H&quot;">
      <formula>NOT(ISERROR(SEARCH("""H""",CD36)))</formula>
    </cfRule>
    <cfRule type="containsText" dxfId="4042" priority="4340" operator="containsText" text="&quot;A&quot;">
      <formula>NOT(ISERROR(SEARCH("""A""",CD36)))</formula>
    </cfRule>
  </conditionalFormatting>
  <conditionalFormatting sqref="CD36:CE36">
    <cfRule type="containsText" dxfId="4041" priority="4338" operator="containsText" text="A-H">
      <formula>NOT(ISERROR(SEARCH("A-H",CD36)))</formula>
    </cfRule>
  </conditionalFormatting>
  <conditionalFormatting sqref="CH36">
    <cfRule type="cellIs" dxfId="4040" priority="4329" operator="equal">
      <formula>"C-Off-H"</formula>
    </cfRule>
    <cfRule type="cellIs" dxfId="4039" priority="4330" operator="equal">
      <formula>"C-Off"</formula>
    </cfRule>
    <cfRule type="cellIs" dxfId="4038" priority="4331" operator="equal">
      <formula>"CL-H"</formula>
    </cfRule>
    <cfRule type="cellIs" dxfId="4037" priority="4332" operator="equal">
      <formula>"EL-H"</formula>
    </cfRule>
    <cfRule type="cellIs" dxfId="4036" priority="4333" operator="equal">
      <formula>"CL"</formula>
    </cfRule>
    <cfRule type="cellIs" dxfId="4035" priority="4334" operator="equal">
      <formula>"EL"</formula>
    </cfRule>
  </conditionalFormatting>
  <conditionalFormatting sqref="CH36">
    <cfRule type="containsText" dxfId="4034" priority="4323" operator="containsText" text="S">
      <formula>NOT(ISERROR(SEARCH("S",CH36)))</formula>
    </cfRule>
    <cfRule type="containsText" dxfId="4033" priority="4324" operator="containsText" text="P">
      <formula>NOT(ISERROR(SEARCH("P",CH36)))</formula>
    </cfRule>
    <cfRule type="containsText" dxfId="4032" priority="4325" operator="containsText" text="H">
      <formula>NOT(ISERROR(SEARCH("H",CH36)))</formula>
    </cfRule>
    <cfRule type="containsText" dxfId="4031" priority="4327" operator="containsText" text="&quot;H&quot;">
      <formula>NOT(ISERROR(SEARCH("""H""",CH36)))</formula>
    </cfRule>
    <cfRule type="containsText" dxfId="4030" priority="4328" operator="containsText" text="&quot;A&quot;">
      <formula>NOT(ISERROR(SEARCH("""A""",CH36)))</formula>
    </cfRule>
  </conditionalFormatting>
  <conditionalFormatting sqref="CH36">
    <cfRule type="containsText" dxfId="4029" priority="4326" operator="containsText" text="A-H">
      <formula>NOT(ISERROR(SEARCH("A-H",CH36)))</formula>
    </cfRule>
  </conditionalFormatting>
  <conditionalFormatting sqref="CG36">
    <cfRule type="cellIs" dxfId="4028" priority="4317" operator="equal">
      <formula>"C-Off-H"</formula>
    </cfRule>
    <cfRule type="cellIs" dxfId="4027" priority="4318" operator="equal">
      <formula>"C-Off"</formula>
    </cfRule>
    <cfRule type="cellIs" dxfId="4026" priority="4319" operator="equal">
      <formula>"CL-H"</formula>
    </cfRule>
    <cfRule type="cellIs" dxfId="4025" priority="4320" operator="equal">
      <formula>"EL-H"</formula>
    </cfRule>
    <cfRule type="cellIs" dxfId="4024" priority="4321" operator="equal">
      <formula>"CL"</formula>
    </cfRule>
    <cfRule type="cellIs" dxfId="4023" priority="4322" operator="equal">
      <formula>"EL"</formula>
    </cfRule>
  </conditionalFormatting>
  <conditionalFormatting sqref="CG36">
    <cfRule type="containsText" dxfId="4022" priority="4311" operator="containsText" text="S">
      <formula>NOT(ISERROR(SEARCH("S",CG36)))</formula>
    </cfRule>
    <cfRule type="containsText" dxfId="4021" priority="4312" operator="containsText" text="P">
      <formula>NOT(ISERROR(SEARCH("P",CG36)))</formula>
    </cfRule>
    <cfRule type="containsText" dxfId="4020" priority="4313" operator="containsText" text="H">
      <formula>NOT(ISERROR(SEARCH("H",CG36)))</formula>
    </cfRule>
    <cfRule type="containsText" dxfId="4019" priority="4315" operator="containsText" text="&quot;H&quot;">
      <formula>NOT(ISERROR(SEARCH("""H""",CG36)))</formula>
    </cfRule>
    <cfRule type="containsText" dxfId="4018" priority="4316" operator="containsText" text="&quot;A&quot;">
      <formula>NOT(ISERROR(SEARCH("""A""",CG36)))</formula>
    </cfRule>
  </conditionalFormatting>
  <conditionalFormatting sqref="CG36">
    <cfRule type="containsText" dxfId="4017" priority="4314" operator="containsText" text="A-H">
      <formula>NOT(ISERROR(SEARCH("A-H",CG36)))</formula>
    </cfRule>
  </conditionalFormatting>
  <conditionalFormatting sqref="H37">
    <cfRule type="cellIs" dxfId="4016" priority="4305" operator="equal">
      <formula>"C-Off-H"</formula>
    </cfRule>
    <cfRule type="cellIs" dxfId="4015" priority="4306" operator="equal">
      <formula>"C-Off"</formula>
    </cfRule>
    <cfRule type="cellIs" dxfId="4014" priority="4307" operator="equal">
      <formula>"CL-H"</formula>
    </cfRule>
    <cfRule type="cellIs" dxfId="4013" priority="4308" operator="equal">
      <formula>"EL-H"</formula>
    </cfRule>
    <cfRule type="cellIs" dxfId="4012" priority="4309" operator="equal">
      <formula>"CL"</formula>
    </cfRule>
    <cfRule type="cellIs" dxfId="4011" priority="4310" operator="equal">
      <formula>"EL"</formula>
    </cfRule>
  </conditionalFormatting>
  <conditionalFormatting sqref="G37:H37">
    <cfRule type="cellIs" dxfId="4010" priority="4299" operator="equal">
      <formula>"C-Off-H"</formula>
    </cfRule>
    <cfRule type="cellIs" dxfId="4009" priority="4300" operator="equal">
      <formula>"C-Off"</formula>
    </cfRule>
    <cfRule type="cellIs" dxfId="4008" priority="4301" operator="equal">
      <formula>"CL-H"</formula>
    </cfRule>
    <cfRule type="cellIs" dxfId="4007" priority="4302" operator="equal">
      <formula>"EL-H"</formula>
    </cfRule>
    <cfRule type="cellIs" dxfId="4006" priority="4303" operator="equal">
      <formula>"CL"</formula>
    </cfRule>
    <cfRule type="cellIs" dxfId="4005" priority="4304" operator="equal">
      <formula>"EL"</formula>
    </cfRule>
  </conditionalFormatting>
  <conditionalFormatting sqref="G37:H37">
    <cfRule type="containsText" dxfId="4004" priority="4293" operator="containsText" text="S">
      <formula>NOT(ISERROR(SEARCH("S",G37)))</formula>
    </cfRule>
    <cfRule type="containsText" dxfId="4003" priority="4294" operator="containsText" text="P">
      <formula>NOT(ISERROR(SEARCH("P",G37)))</formula>
    </cfRule>
    <cfRule type="containsText" dxfId="4002" priority="4295" operator="containsText" text="H">
      <formula>NOT(ISERROR(SEARCH("H",G37)))</formula>
    </cfRule>
    <cfRule type="containsText" dxfId="4001" priority="4297" operator="containsText" text="&quot;H&quot;">
      <formula>NOT(ISERROR(SEARCH("""H""",G37)))</formula>
    </cfRule>
    <cfRule type="containsText" dxfId="4000" priority="4298" operator="containsText" text="&quot;A&quot;">
      <formula>NOT(ISERROR(SEARCH("""A""",G37)))</formula>
    </cfRule>
  </conditionalFormatting>
  <conditionalFormatting sqref="G37:H37">
    <cfRule type="containsText" dxfId="3999" priority="4296" operator="containsText" text="A-H">
      <formula>NOT(ISERROR(SEARCH("A-H",G37)))</formula>
    </cfRule>
  </conditionalFormatting>
  <conditionalFormatting sqref="H38">
    <cfRule type="cellIs" dxfId="3998" priority="4287" operator="equal">
      <formula>"C-Off-H"</formula>
    </cfRule>
    <cfRule type="cellIs" dxfId="3997" priority="4288" operator="equal">
      <formula>"C-Off"</formula>
    </cfRule>
    <cfRule type="cellIs" dxfId="3996" priority="4289" operator="equal">
      <formula>"CL-H"</formula>
    </cfRule>
    <cfRule type="cellIs" dxfId="3995" priority="4290" operator="equal">
      <formula>"EL-H"</formula>
    </cfRule>
    <cfRule type="cellIs" dxfId="3994" priority="4291" operator="equal">
      <formula>"CL"</formula>
    </cfRule>
    <cfRule type="cellIs" dxfId="3993" priority="4292" operator="equal">
      <formula>"EL"</formula>
    </cfRule>
  </conditionalFormatting>
  <conditionalFormatting sqref="G38:H38">
    <cfRule type="cellIs" dxfId="3992" priority="4281" operator="equal">
      <formula>"C-Off-H"</formula>
    </cfRule>
    <cfRule type="cellIs" dxfId="3991" priority="4282" operator="equal">
      <formula>"C-Off"</formula>
    </cfRule>
    <cfRule type="cellIs" dxfId="3990" priority="4283" operator="equal">
      <formula>"CL-H"</formula>
    </cfRule>
    <cfRule type="cellIs" dxfId="3989" priority="4284" operator="equal">
      <formula>"EL-H"</formula>
    </cfRule>
    <cfRule type="cellIs" dxfId="3988" priority="4285" operator="equal">
      <formula>"CL"</formula>
    </cfRule>
    <cfRule type="cellIs" dxfId="3987" priority="4286" operator="equal">
      <formula>"EL"</formula>
    </cfRule>
  </conditionalFormatting>
  <conditionalFormatting sqref="G38:H38">
    <cfRule type="containsText" dxfId="3986" priority="4275" operator="containsText" text="S">
      <formula>NOT(ISERROR(SEARCH("S",G38)))</formula>
    </cfRule>
    <cfRule type="containsText" dxfId="3985" priority="4276" operator="containsText" text="P">
      <formula>NOT(ISERROR(SEARCH("P",G38)))</formula>
    </cfRule>
    <cfRule type="containsText" dxfId="3984" priority="4277" operator="containsText" text="H">
      <formula>NOT(ISERROR(SEARCH("H",G38)))</formula>
    </cfRule>
    <cfRule type="containsText" dxfId="3983" priority="4279" operator="containsText" text="&quot;H&quot;">
      <formula>NOT(ISERROR(SEARCH("""H""",G38)))</formula>
    </cfRule>
    <cfRule type="containsText" dxfId="3982" priority="4280" operator="containsText" text="&quot;A&quot;">
      <formula>NOT(ISERROR(SEARCH("""A""",G38)))</formula>
    </cfRule>
  </conditionalFormatting>
  <conditionalFormatting sqref="G38:H38">
    <cfRule type="containsText" dxfId="3981" priority="4278" operator="containsText" text="A-H">
      <formula>NOT(ISERROR(SEARCH("A-H",G38)))</formula>
    </cfRule>
  </conditionalFormatting>
  <conditionalFormatting sqref="H36">
    <cfRule type="cellIs" dxfId="3980" priority="4269" operator="equal">
      <formula>"C-Off-H"</formula>
    </cfRule>
    <cfRule type="cellIs" dxfId="3979" priority="4270" operator="equal">
      <formula>"C-Off"</formula>
    </cfRule>
    <cfRule type="cellIs" dxfId="3978" priority="4271" operator="equal">
      <formula>"CL-H"</formula>
    </cfRule>
    <cfRule type="cellIs" dxfId="3977" priority="4272" operator="equal">
      <formula>"EL-H"</formula>
    </cfRule>
    <cfRule type="cellIs" dxfId="3976" priority="4273" operator="equal">
      <formula>"CL"</formula>
    </cfRule>
    <cfRule type="cellIs" dxfId="3975" priority="4274" operator="equal">
      <formula>"EL"</formula>
    </cfRule>
  </conditionalFormatting>
  <conditionalFormatting sqref="G36:H36">
    <cfRule type="cellIs" dxfId="3974" priority="4263" operator="equal">
      <formula>"C-Off-H"</formula>
    </cfRule>
    <cfRule type="cellIs" dxfId="3973" priority="4264" operator="equal">
      <formula>"C-Off"</formula>
    </cfRule>
    <cfRule type="cellIs" dxfId="3972" priority="4265" operator="equal">
      <formula>"CL-H"</formula>
    </cfRule>
    <cfRule type="cellIs" dxfId="3971" priority="4266" operator="equal">
      <formula>"EL-H"</formula>
    </cfRule>
    <cfRule type="cellIs" dxfId="3970" priority="4267" operator="equal">
      <formula>"CL"</formula>
    </cfRule>
    <cfRule type="cellIs" dxfId="3969" priority="4268" operator="equal">
      <formula>"EL"</formula>
    </cfRule>
  </conditionalFormatting>
  <conditionalFormatting sqref="G36:H36">
    <cfRule type="containsText" dxfId="3968" priority="4257" operator="containsText" text="S">
      <formula>NOT(ISERROR(SEARCH("S",G36)))</formula>
    </cfRule>
    <cfRule type="containsText" dxfId="3967" priority="4258" operator="containsText" text="P">
      <formula>NOT(ISERROR(SEARCH("P",G36)))</formula>
    </cfRule>
    <cfRule type="containsText" dxfId="3966" priority="4259" operator="containsText" text="H">
      <formula>NOT(ISERROR(SEARCH("H",G36)))</formula>
    </cfRule>
    <cfRule type="containsText" dxfId="3965" priority="4261" operator="containsText" text="&quot;H&quot;">
      <formula>NOT(ISERROR(SEARCH("""H""",G36)))</formula>
    </cfRule>
    <cfRule type="containsText" dxfId="3964" priority="4262" operator="containsText" text="&quot;A&quot;">
      <formula>NOT(ISERROR(SEARCH("""A""",G36)))</formula>
    </cfRule>
  </conditionalFormatting>
  <conditionalFormatting sqref="G36:H36">
    <cfRule type="containsText" dxfId="3963" priority="4260" operator="containsText" text="A-H">
      <formula>NOT(ISERROR(SEARCH("A-H",G36)))</formula>
    </cfRule>
  </conditionalFormatting>
  <conditionalFormatting sqref="CX35">
    <cfRule type="cellIs" dxfId="3962" priority="4184" operator="equal">
      <formula>"C-Off-H"</formula>
    </cfRule>
    <cfRule type="cellIs" dxfId="3961" priority="4185" operator="equal">
      <formula>"C-Off"</formula>
    </cfRule>
    <cfRule type="cellIs" dxfId="3960" priority="4186" operator="equal">
      <formula>"CL-H"</formula>
    </cfRule>
    <cfRule type="cellIs" dxfId="3959" priority="4187" operator="equal">
      <formula>"EL-H"</formula>
    </cfRule>
    <cfRule type="cellIs" dxfId="3958" priority="4188" operator="equal">
      <formula>"CL"</formula>
    </cfRule>
    <cfRule type="cellIs" dxfId="3957" priority="4189" operator="equal">
      <formula>"EL"</formula>
    </cfRule>
  </conditionalFormatting>
  <conditionalFormatting sqref="CX35">
    <cfRule type="containsText" dxfId="3956" priority="4183" operator="containsText" text="A-H">
      <formula>NOT(ISERROR(SEARCH("A-H",CX35)))</formula>
    </cfRule>
  </conditionalFormatting>
  <conditionalFormatting sqref="CX35">
    <cfRule type="containsText" dxfId="3955" priority="4182" operator="containsText" text="A">
      <formula>NOT(ISERROR(SEARCH("A",CX35)))</formula>
    </cfRule>
  </conditionalFormatting>
  <conditionalFormatting sqref="DC35 CP35:CW35">
    <cfRule type="cellIs" dxfId="3954" priority="4165" operator="equal">
      <formula>"C-Off-H"</formula>
    </cfRule>
    <cfRule type="cellIs" dxfId="3953" priority="4166" operator="equal">
      <formula>"C-Off"</formula>
    </cfRule>
    <cfRule type="cellIs" dxfId="3952" priority="4167" operator="equal">
      <formula>"CL-H"</formula>
    </cfRule>
    <cfRule type="cellIs" dxfId="3951" priority="4168" operator="equal">
      <formula>"EL-H"</formula>
    </cfRule>
    <cfRule type="cellIs" dxfId="3950" priority="4169" operator="equal">
      <formula>"CL"</formula>
    </cfRule>
    <cfRule type="cellIs" dxfId="3949" priority="4170" operator="equal">
      <formula>"EL"</formula>
    </cfRule>
  </conditionalFormatting>
  <conditionalFormatting sqref="DC35 CP35:CW35 CY35:DA35">
    <cfRule type="containsText" dxfId="3948" priority="4164" operator="containsText" text="A-H">
      <formula>NOT(ISERROR(SEARCH("A-H",CP35)))</formula>
    </cfRule>
  </conditionalFormatting>
  <conditionalFormatting sqref="DC35 CP35:CW35 CY35:DA35">
    <cfRule type="containsText" dxfId="3947" priority="4163" operator="containsText" text="A">
      <formula>NOT(ISERROR(SEARCH("A",CP35)))</formula>
    </cfRule>
  </conditionalFormatting>
  <conditionalFormatting sqref="CY35 DA35">
    <cfRule type="cellIs" dxfId="3946" priority="4157" stopIfTrue="1" operator="equal">
      <formula>"C-Off-H"</formula>
    </cfRule>
    <cfRule type="cellIs" dxfId="3945" priority="4158" stopIfTrue="1" operator="equal">
      <formula>"C-Off"</formula>
    </cfRule>
    <cfRule type="cellIs" dxfId="3944" priority="4159" stopIfTrue="1" operator="equal">
      <formula>"CL-H"</formula>
    </cfRule>
    <cfRule type="cellIs" dxfId="3943" priority="4160" stopIfTrue="1" operator="equal">
      <formula>"EL-H"</formula>
    </cfRule>
    <cfRule type="cellIs" dxfId="3942" priority="4161" stopIfTrue="1" operator="equal">
      <formula>"CL"</formula>
    </cfRule>
    <cfRule type="cellIs" dxfId="3941" priority="4162" stopIfTrue="1" operator="equal">
      <formula>"EL"</formula>
    </cfRule>
  </conditionalFormatting>
  <conditionalFormatting sqref="CZ35">
    <cfRule type="cellIs" dxfId="3940" priority="4151" stopIfTrue="1" operator="equal">
      <formula>"C-Off-H"</formula>
    </cfRule>
    <cfRule type="cellIs" dxfId="3939" priority="4152" stopIfTrue="1" operator="equal">
      <formula>"C-Off"</formula>
    </cfRule>
    <cfRule type="cellIs" dxfId="3938" priority="4153" stopIfTrue="1" operator="equal">
      <formula>"CL-H"</formula>
    </cfRule>
    <cfRule type="cellIs" dxfId="3937" priority="4154" stopIfTrue="1" operator="equal">
      <formula>"EL-H"</formula>
    </cfRule>
    <cfRule type="cellIs" dxfId="3936" priority="4155" stopIfTrue="1" operator="equal">
      <formula>"CL"</formula>
    </cfRule>
    <cfRule type="cellIs" dxfId="3935" priority="4156" stopIfTrue="1" operator="equal">
      <formula>"EL"</formula>
    </cfRule>
  </conditionalFormatting>
  <conditionalFormatting sqref="DD35">
    <cfRule type="cellIs" dxfId="3934" priority="4140" operator="equal">
      <formula>"C-Off-H"</formula>
    </cfRule>
    <cfRule type="cellIs" dxfId="3933" priority="4141" operator="equal">
      <formula>"C-Off"</formula>
    </cfRule>
    <cfRule type="cellIs" dxfId="3932" priority="4142" operator="equal">
      <formula>"CL-H"</formula>
    </cfRule>
    <cfRule type="cellIs" dxfId="3931" priority="4143" operator="equal">
      <formula>"EL-H"</formula>
    </cfRule>
    <cfRule type="cellIs" dxfId="3930" priority="4144" operator="equal">
      <formula>"CL"</formula>
    </cfRule>
    <cfRule type="cellIs" dxfId="3929" priority="4145" operator="equal">
      <formula>"EL"</formula>
    </cfRule>
  </conditionalFormatting>
  <conditionalFormatting sqref="DD35">
    <cfRule type="containsText" dxfId="3928" priority="4139" operator="containsText" text="A">
      <formula>NOT(ISERROR(SEARCH("A",DD35)))</formula>
    </cfRule>
  </conditionalFormatting>
  <conditionalFormatting sqref="DD35">
    <cfRule type="containsText" dxfId="3927" priority="4138" operator="containsText" text="A-H">
      <formula>NOT(ISERROR(SEARCH("A-H",DD35)))</formula>
    </cfRule>
  </conditionalFormatting>
  <conditionalFormatting sqref="AI35">
    <cfRule type="cellIs" dxfId="3926" priority="4132" operator="equal">
      <formula>"C-Off-H"</formula>
    </cfRule>
    <cfRule type="cellIs" dxfId="3925" priority="4133" operator="equal">
      <formula>"C-Off"</formula>
    </cfRule>
    <cfRule type="cellIs" dxfId="3924" priority="4134" operator="equal">
      <formula>"CL-H"</formula>
    </cfRule>
    <cfRule type="cellIs" dxfId="3923" priority="4135" operator="equal">
      <formula>"EL-H"</formula>
    </cfRule>
    <cfRule type="cellIs" dxfId="3922" priority="4136" operator="equal">
      <formula>"CL"</formula>
    </cfRule>
    <cfRule type="cellIs" dxfId="3921" priority="4137" operator="equal">
      <formula>"EL"</formula>
    </cfRule>
  </conditionalFormatting>
  <conditionalFormatting sqref="AH35:AI35">
    <cfRule type="cellIs" dxfId="3920" priority="4126" operator="equal">
      <formula>"C-Off-H"</formula>
    </cfRule>
    <cfRule type="cellIs" dxfId="3919" priority="4127" operator="equal">
      <formula>"C-Off"</formula>
    </cfRule>
    <cfRule type="cellIs" dxfId="3918" priority="4128" operator="equal">
      <formula>"CL-H"</formula>
    </cfRule>
    <cfRule type="cellIs" dxfId="3917" priority="4129" operator="equal">
      <formula>"EL-H"</formula>
    </cfRule>
    <cfRule type="cellIs" dxfId="3916" priority="4130" operator="equal">
      <formula>"CL"</formula>
    </cfRule>
    <cfRule type="cellIs" dxfId="3915" priority="4131" operator="equal">
      <formula>"EL"</formula>
    </cfRule>
  </conditionalFormatting>
  <conditionalFormatting sqref="AH35:AI35">
    <cfRule type="containsText" dxfId="3914" priority="4120" operator="containsText" text="S">
      <formula>NOT(ISERROR(SEARCH("S",AH35)))</formula>
    </cfRule>
    <cfRule type="containsText" dxfId="3913" priority="4121" operator="containsText" text="P">
      <formula>NOT(ISERROR(SEARCH("P",AH35)))</formula>
    </cfRule>
    <cfRule type="containsText" dxfId="3912" priority="4122" operator="containsText" text="H">
      <formula>NOT(ISERROR(SEARCH("H",AH35)))</formula>
    </cfRule>
    <cfRule type="containsText" dxfId="3911" priority="4124" operator="containsText" text="&quot;H&quot;">
      <formula>NOT(ISERROR(SEARCH("""H""",AH35)))</formula>
    </cfRule>
    <cfRule type="containsText" dxfId="3910" priority="4125" operator="containsText" text="&quot;A&quot;">
      <formula>NOT(ISERROR(SEARCH("""A""",AH35)))</formula>
    </cfRule>
  </conditionalFormatting>
  <conditionalFormatting sqref="AH35:AI35">
    <cfRule type="containsText" dxfId="3909" priority="4123" operator="containsText" text="A-H">
      <formula>NOT(ISERROR(SEARCH("A-H",AH35)))</formula>
    </cfRule>
  </conditionalFormatting>
  <conditionalFormatting sqref="AU35">
    <cfRule type="cellIs" dxfId="3908" priority="4114" operator="equal">
      <formula>"C-Off-H"</formula>
    </cfRule>
    <cfRule type="cellIs" dxfId="3907" priority="4115" operator="equal">
      <formula>"C-Off"</formula>
    </cfRule>
    <cfRule type="cellIs" dxfId="3906" priority="4116" operator="equal">
      <formula>"CL-H"</formula>
    </cfRule>
    <cfRule type="cellIs" dxfId="3905" priority="4117" operator="equal">
      <formula>"EL-H"</formula>
    </cfRule>
    <cfRule type="cellIs" dxfId="3904" priority="4118" operator="equal">
      <formula>"CL"</formula>
    </cfRule>
    <cfRule type="cellIs" dxfId="3903" priority="4119" operator="equal">
      <formula>"EL"</formula>
    </cfRule>
  </conditionalFormatting>
  <conditionalFormatting sqref="AT35:AU35">
    <cfRule type="cellIs" dxfId="3902" priority="4108" operator="equal">
      <formula>"C-Off-H"</formula>
    </cfRule>
    <cfRule type="cellIs" dxfId="3901" priority="4109" operator="equal">
      <formula>"C-Off"</formula>
    </cfRule>
    <cfRule type="cellIs" dxfId="3900" priority="4110" operator="equal">
      <formula>"CL-H"</formula>
    </cfRule>
    <cfRule type="cellIs" dxfId="3899" priority="4111" operator="equal">
      <formula>"EL-H"</formula>
    </cfRule>
    <cfRule type="cellIs" dxfId="3898" priority="4112" operator="equal">
      <formula>"CL"</formula>
    </cfRule>
    <cfRule type="cellIs" dxfId="3897" priority="4113" operator="equal">
      <formula>"EL"</formula>
    </cfRule>
  </conditionalFormatting>
  <conditionalFormatting sqref="AT35:AU35">
    <cfRule type="containsText" dxfId="3896" priority="4102" operator="containsText" text="S">
      <formula>NOT(ISERROR(SEARCH("S",AT35)))</formula>
    </cfRule>
    <cfRule type="containsText" dxfId="3895" priority="4103" operator="containsText" text="P">
      <formula>NOT(ISERROR(SEARCH("P",AT35)))</formula>
    </cfRule>
    <cfRule type="containsText" dxfId="3894" priority="4104" operator="containsText" text="H">
      <formula>NOT(ISERROR(SEARCH("H",AT35)))</formula>
    </cfRule>
    <cfRule type="containsText" dxfId="3893" priority="4106" operator="containsText" text="&quot;H&quot;">
      <formula>NOT(ISERROR(SEARCH("""H""",AT35)))</formula>
    </cfRule>
    <cfRule type="containsText" dxfId="3892" priority="4107" operator="containsText" text="&quot;A&quot;">
      <formula>NOT(ISERROR(SEARCH("""A""",AT35)))</formula>
    </cfRule>
  </conditionalFormatting>
  <conditionalFormatting sqref="AT35:AU35">
    <cfRule type="containsText" dxfId="3891" priority="4105" operator="containsText" text="A-H">
      <formula>NOT(ISERROR(SEARCH("A-H",AT35)))</formula>
    </cfRule>
  </conditionalFormatting>
  <conditionalFormatting sqref="E35">
    <cfRule type="cellIs" dxfId="3890" priority="4096" operator="equal">
      <formula>"C-Off-H"</formula>
    </cfRule>
    <cfRule type="cellIs" dxfId="3889" priority="4097" operator="equal">
      <formula>"C-Off"</formula>
    </cfRule>
    <cfRule type="cellIs" dxfId="3888" priority="4098" operator="equal">
      <formula>"CL-H"</formula>
    </cfRule>
    <cfRule type="cellIs" dxfId="3887" priority="4099" operator="equal">
      <formula>"EL-H"</formula>
    </cfRule>
    <cfRule type="cellIs" dxfId="3886" priority="4100" operator="equal">
      <formula>"CL"</formula>
    </cfRule>
    <cfRule type="cellIs" dxfId="3885" priority="4101" operator="equal">
      <formula>"EL"</formula>
    </cfRule>
  </conditionalFormatting>
  <conditionalFormatting sqref="D35:E35">
    <cfRule type="cellIs" dxfId="3884" priority="4090" operator="equal">
      <formula>"C-Off-H"</formula>
    </cfRule>
    <cfRule type="cellIs" dxfId="3883" priority="4091" operator="equal">
      <formula>"C-Off"</formula>
    </cfRule>
    <cfRule type="cellIs" dxfId="3882" priority="4092" operator="equal">
      <formula>"CL-H"</formula>
    </cfRule>
    <cfRule type="cellIs" dxfId="3881" priority="4093" operator="equal">
      <formula>"EL-H"</formula>
    </cfRule>
    <cfRule type="cellIs" dxfId="3880" priority="4094" operator="equal">
      <formula>"CL"</formula>
    </cfRule>
    <cfRule type="cellIs" dxfId="3879" priority="4095" operator="equal">
      <formula>"EL"</formula>
    </cfRule>
  </conditionalFormatting>
  <conditionalFormatting sqref="D35:E35">
    <cfRule type="containsText" dxfId="3878" priority="4084" operator="containsText" text="S">
      <formula>NOT(ISERROR(SEARCH("S",D35)))</formula>
    </cfRule>
    <cfRule type="containsText" dxfId="3877" priority="4085" operator="containsText" text="P">
      <formula>NOT(ISERROR(SEARCH("P",D35)))</formula>
    </cfRule>
    <cfRule type="containsText" dxfId="3876" priority="4086" operator="containsText" text="H">
      <formula>NOT(ISERROR(SEARCH("H",D35)))</formula>
    </cfRule>
    <cfRule type="containsText" dxfId="3875" priority="4088" operator="containsText" text="&quot;H&quot;">
      <formula>NOT(ISERROR(SEARCH("""H""",D35)))</formula>
    </cfRule>
    <cfRule type="containsText" dxfId="3874" priority="4089" operator="containsText" text="&quot;A&quot;">
      <formula>NOT(ISERROR(SEARCH("""A""",D35)))</formula>
    </cfRule>
  </conditionalFormatting>
  <conditionalFormatting sqref="D35:E35">
    <cfRule type="containsText" dxfId="3873" priority="4087" operator="containsText" text="A-H">
      <formula>NOT(ISERROR(SEARCH("A-H",D35)))</formula>
    </cfRule>
  </conditionalFormatting>
  <conditionalFormatting sqref="Z35">
    <cfRule type="cellIs" dxfId="3872" priority="4078" operator="equal">
      <formula>"C-Off-H"</formula>
    </cfRule>
    <cfRule type="cellIs" dxfId="3871" priority="4079" operator="equal">
      <formula>"C-Off"</formula>
    </cfRule>
    <cfRule type="cellIs" dxfId="3870" priority="4080" operator="equal">
      <formula>"CL-H"</formula>
    </cfRule>
    <cfRule type="cellIs" dxfId="3869" priority="4081" operator="equal">
      <formula>"EL-H"</formula>
    </cfRule>
    <cfRule type="cellIs" dxfId="3868" priority="4082" operator="equal">
      <formula>"CL"</formula>
    </cfRule>
    <cfRule type="cellIs" dxfId="3867" priority="4083" operator="equal">
      <formula>"EL"</formula>
    </cfRule>
  </conditionalFormatting>
  <conditionalFormatting sqref="Z35">
    <cfRule type="containsText" dxfId="3866" priority="4072" operator="containsText" text="S">
      <formula>NOT(ISERROR(SEARCH("S",Z35)))</formula>
    </cfRule>
    <cfRule type="containsText" dxfId="3865" priority="4073" operator="containsText" text="P">
      <formula>NOT(ISERROR(SEARCH("P",Z35)))</formula>
    </cfRule>
    <cfRule type="containsText" dxfId="3864" priority="4074" operator="containsText" text="H">
      <formula>NOT(ISERROR(SEARCH("H",Z35)))</formula>
    </cfRule>
    <cfRule type="containsText" dxfId="3863" priority="4076" operator="containsText" text="&quot;H&quot;">
      <formula>NOT(ISERROR(SEARCH("""H""",Z35)))</formula>
    </cfRule>
    <cfRule type="containsText" dxfId="3862" priority="4077" operator="containsText" text="&quot;A&quot;">
      <formula>NOT(ISERROR(SEARCH("""A""",Z35)))</formula>
    </cfRule>
  </conditionalFormatting>
  <conditionalFormatting sqref="Z35">
    <cfRule type="containsText" dxfId="3861" priority="4075" operator="containsText" text="A-H">
      <formula>NOT(ISERROR(SEARCH("A-H",Z35)))</formula>
    </cfRule>
  </conditionalFormatting>
  <conditionalFormatting sqref="Y35">
    <cfRule type="cellIs" dxfId="3860" priority="4066" operator="equal">
      <formula>"C-Off-H"</formula>
    </cfRule>
    <cfRule type="cellIs" dxfId="3859" priority="4067" operator="equal">
      <formula>"C-Off"</formula>
    </cfRule>
    <cfRule type="cellIs" dxfId="3858" priority="4068" operator="equal">
      <formula>"CL-H"</formula>
    </cfRule>
    <cfRule type="cellIs" dxfId="3857" priority="4069" operator="equal">
      <formula>"EL-H"</formula>
    </cfRule>
    <cfRule type="cellIs" dxfId="3856" priority="4070" operator="equal">
      <formula>"CL"</formula>
    </cfRule>
    <cfRule type="cellIs" dxfId="3855" priority="4071" operator="equal">
      <formula>"EL"</formula>
    </cfRule>
  </conditionalFormatting>
  <conditionalFormatting sqref="Y35">
    <cfRule type="containsText" dxfId="3854" priority="4060" operator="containsText" text="S">
      <formula>NOT(ISERROR(SEARCH("S",Y35)))</formula>
    </cfRule>
    <cfRule type="containsText" dxfId="3853" priority="4061" operator="containsText" text="P">
      <formula>NOT(ISERROR(SEARCH("P",Y35)))</formula>
    </cfRule>
    <cfRule type="containsText" dxfId="3852" priority="4062" operator="containsText" text="H">
      <formula>NOT(ISERROR(SEARCH("H",Y35)))</formula>
    </cfRule>
    <cfRule type="containsText" dxfId="3851" priority="4064" operator="containsText" text="&quot;H&quot;">
      <formula>NOT(ISERROR(SEARCH("""H""",Y35)))</formula>
    </cfRule>
    <cfRule type="containsText" dxfId="3850" priority="4065" operator="containsText" text="&quot;A&quot;">
      <formula>NOT(ISERROR(SEARCH("""A""",Y35)))</formula>
    </cfRule>
  </conditionalFormatting>
  <conditionalFormatting sqref="Y35">
    <cfRule type="containsText" dxfId="3849" priority="4063" operator="containsText" text="A-H">
      <formula>NOT(ISERROR(SEARCH("A-H",Y35)))</formula>
    </cfRule>
  </conditionalFormatting>
  <conditionalFormatting sqref="AF35">
    <cfRule type="cellIs" dxfId="3848" priority="4054" operator="equal">
      <formula>"C-Off-H"</formula>
    </cfRule>
    <cfRule type="cellIs" dxfId="3847" priority="4055" operator="equal">
      <formula>"C-Off"</formula>
    </cfRule>
    <cfRule type="cellIs" dxfId="3846" priority="4056" operator="equal">
      <formula>"CL-H"</formula>
    </cfRule>
    <cfRule type="cellIs" dxfId="3845" priority="4057" operator="equal">
      <formula>"EL-H"</formula>
    </cfRule>
    <cfRule type="cellIs" dxfId="3844" priority="4058" operator="equal">
      <formula>"CL"</formula>
    </cfRule>
    <cfRule type="cellIs" dxfId="3843" priority="4059" operator="equal">
      <formula>"EL"</formula>
    </cfRule>
  </conditionalFormatting>
  <conditionalFormatting sqref="AF35">
    <cfRule type="containsText" dxfId="3842" priority="4048" operator="containsText" text="S">
      <formula>NOT(ISERROR(SEARCH("S",AF35)))</formula>
    </cfRule>
    <cfRule type="containsText" dxfId="3841" priority="4049" operator="containsText" text="P">
      <formula>NOT(ISERROR(SEARCH("P",AF35)))</formula>
    </cfRule>
    <cfRule type="containsText" dxfId="3840" priority="4050" operator="containsText" text="H">
      <formula>NOT(ISERROR(SEARCH("H",AF35)))</formula>
    </cfRule>
    <cfRule type="containsText" dxfId="3839" priority="4052" operator="containsText" text="&quot;H&quot;">
      <formula>NOT(ISERROR(SEARCH("""H""",AF35)))</formula>
    </cfRule>
    <cfRule type="containsText" dxfId="3838" priority="4053" operator="containsText" text="&quot;A&quot;">
      <formula>NOT(ISERROR(SEARCH("""A""",AF35)))</formula>
    </cfRule>
  </conditionalFormatting>
  <conditionalFormatting sqref="AF35">
    <cfRule type="containsText" dxfId="3837" priority="4051" operator="containsText" text="A-H">
      <formula>NOT(ISERROR(SEARCH("A-H",AF35)))</formula>
    </cfRule>
  </conditionalFormatting>
  <conditionalFormatting sqref="BO35:BP35">
    <cfRule type="cellIs" dxfId="3836" priority="4042" operator="equal">
      <formula>"C-Off-H"</formula>
    </cfRule>
    <cfRule type="cellIs" dxfId="3835" priority="4043" operator="equal">
      <formula>"C-Off"</formula>
    </cfRule>
    <cfRule type="cellIs" dxfId="3834" priority="4044" operator="equal">
      <formula>"CL-H"</formula>
    </cfRule>
    <cfRule type="cellIs" dxfId="3833" priority="4045" operator="equal">
      <formula>"EL-H"</formula>
    </cfRule>
    <cfRule type="cellIs" dxfId="3832" priority="4046" operator="equal">
      <formula>"CL"</formula>
    </cfRule>
    <cfRule type="cellIs" dxfId="3831" priority="4047" operator="equal">
      <formula>"EL"</formula>
    </cfRule>
  </conditionalFormatting>
  <conditionalFormatting sqref="BO35:BP35">
    <cfRule type="cellIs" dxfId="3830" priority="4036" operator="equal">
      <formula>"C-Off-H"</formula>
    </cfRule>
    <cfRule type="cellIs" dxfId="3829" priority="4037" operator="equal">
      <formula>"C-Off"</formula>
    </cfRule>
    <cfRule type="cellIs" dxfId="3828" priority="4038" operator="equal">
      <formula>"CL-H"</formula>
    </cfRule>
    <cfRule type="cellIs" dxfId="3827" priority="4039" operator="equal">
      <formula>"EL-H"</formula>
    </cfRule>
    <cfRule type="cellIs" dxfId="3826" priority="4040" operator="equal">
      <formula>"CL"</formula>
    </cfRule>
    <cfRule type="cellIs" dxfId="3825" priority="4041" operator="equal">
      <formula>"EL"</formula>
    </cfRule>
  </conditionalFormatting>
  <conditionalFormatting sqref="BO35:BP35">
    <cfRule type="containsText" dxfId="3824" priority="4030" operator="containsText" text="S">
      <formula>NOT(ISERROR(SEARCH("S",BO35)))</formula>
    </cfRule>
    <cfRule type="containsText" dxfId="3823" priority="4031" operator="containsText" text="P">
      <formula>NOT(ISERROR(SEARCH("P",BO35)))</formula>
    </cfRule>
    <cfRule type="containsText" dxfId="3822" priority="4032" operator="containsText" text="H">
      <formula>NOT(ISERROR(SEARCH("H",BO35)))</formula>
    </cfRule>
    <cfRule type="containsText" dxfId="3821" priority="4034" operator="containsText" text="&quot;H&quot;">
      <formula>NOT(ISERROR(SEARCH("""H""",BO35)))</formula>
    </cfRule>
    <cfRule type="containsText" dxfId="3820" priority="4035" operator="containsText" text="&quot;A&quot;">
      <formula>NOT(ISERROR(SEARCH("""A""",BO35)))</formula>
    </cfRule>
  </conditionalFormatting>
  <conditionalFormatting sqref="BO35:BP35">
    <cfRule type="containsText" dxfId="3819" priority="4033" operator="containsText" text="A-H">
      <formula>NOT(ISERROR(SEARCH("A-H",BO35)))</formula>
    </cfRule>
  </conditionalFormatting>
  <conditionalFormatting sqref="CM35">
    <cfRule type="cellIs" dxfId="3818" priority="4024" operator="equal">
      <formula>"C-Off-H"</formula>
    </cfRule>
    <cfRule type="cellIs" dxfId="3817" priority="4025" operator="equal">
      <formula>"C-Off"</formula>
    </cfRule>
    <cfRule type="cellIs" dxfId="3816" priority="4026" operator="equal">
      <formula>"CL-H"</formula>
    </cfRule>
    <cfRule type="cellIs" dxfId="3815" priority="4027" operator="equal">
      <formula>"EL-H"</formula>
    </cfRule>
    <cfRule type="cellIs" dxfId="3814" priority="4028" operator="equal">
      <formula>"CL"</formula>
    </cfRule>
    <cfRule type="cellIs" dxfId="3813" priority="4029" operator="equal">
      <formula>"EL"</formula>
    </cfRule>
  </conditionalFormatting>
  <conditionalFormatting sqref="CM35">
    <cfRule type="cellIs" dxfId="3812" priority="4018" operator="equal">
      <formula>"C-Off-H"</formula>
    </cfRule>
    <cfRule type="cellIs" dxfId="3811" priority="4019" operator="equal">
      <formula>"C-Off"</formula>
    </cfRule>
    <cfRule type="cellIs" dxfId="3810" priority="4020" operator="equal">
      <formula>"CL-H"</formula>
    </cfRule>
    <cfRule type="cellIs" dxfId="3809" priority="4021" operator="equal">
      <formula>"EL-H"</formula>
    </cfRule>
    <cfRule type="cellIs" dxfId="3808" priority="4022" operator="equal">
      <formula>"CL"</formula>
    </cfRule>
    <cfRule type="cellIs" dxfId="3807" priority="4023" operator="equal">
      <formula>"EL"</formula>
    </cfRule>
  </conditionalFormatting>
  <conditionalFormatting sqref="CM35">
    <cfRule type="containsText" dxfId="3806" priority="4012" operator="containsText" text="S">
      <formula>NOT(ISERROR(SEARCH("S",CM35)))</formula>
    </cfRule>
    <cfRule type="containsText" dxfId="3805" priority="4013" operator="containsText" text="P">
      <formula>NOT(ISERROR(SEARCH("P",CM35)))</formula>
    </cfRule>
    <cfRule type="containsText" dxfId="3804" priority="4014" operator="containsText" text="H">
      <formula>NOT(ISERROR(SEARCH("H",CM35)))</formula>
    </cfRule>
    <cfRule type="containsText" dxfId="3803" priority="4016" operator="containsText" text="&quot;H&quot;">
      <formula>NOT(ISERROR(SEARCH("""H""",CM35)))</formula>
    </cfRule>
    <cfRule type="containsText" dxfId="3802" priority="4017" operator="containsText" text="&quot;A&quot;">
      <formula>NOT(ISERROR(SEARCH("""A""",CM35)))</formula>
    </cfRule>
  </conditionalFormatting>
  <conditionalFormatting sqref="CM35">
    <cfRule type="containsText" dxfId="3801" priority="4015" operator="containsText" text="A-H">
      <formula>NOT(ISERROR(SEARCH("A-H",CM35)))</formula>
    </cfRule>
  </conditionalFormatting>
  <conditionalFormatting sqref="V35:W35">
    <cfRule type="cellIs" dxfId="3800" priority="3982" operator="equal">
      <formula>"C-Off-H"</formula>
    </cfRule>
    <cfRule type="cellIs" dxfId="3799" priority="3983" operator="equal">
      <formula>"C-Off"</formula>
    </cfRule>
    <cfRule type="cellIs" dxfId="3798" priority="3984" operator="equal">
      <formula>"CL-H"</formula>
    </cfRule>
    <cfRule type="cellIs" dxfId="3797" priority="3985" operator="equal">
      <formula>"EL-H"</formula>
    </cfRule>
    <cfRule type="cellIs" dxfId="3796" priority="3986" operator="equal">
      <formula>"CL"</formula>
    </cfRule>
    <cfRule type="cellIs" dxfId="3795" priority="3987" operator="equal">
      <formula>"EL"</formula>
    </cfRule>
  </conditionalFormatting>
  <conditionalFormatting sqref="V35:W35">
    <cfRule type="containsText" dxfId="3794" priority="3976" operator="containsText" text="S">
      <formula>NOT(ISERROR(SEARCH("S",V35)))</formula>
    </cfRule>
    <cfRule type="containsText" dxfId="3793" priority="3977" operator="containsText" text="P">
      <formula>NOT(ISERROR(SEARCH("P",V35)))</formula>
    </cfRule>
    <cfRule type="containsText" dxfId="3792" priority="3978" operator="containsText" text="H">
      <formula>NOT(ISERROR(SEARCH("H",V35)))</formula>
    </cfRule>
    <cfRule type="containsText" dxfId="3791" priority="3980" operator="containsText" text="&quot;H&quot;">
      <formula>NOT(ISERROR(SEARCH("""H""",V35)))</formula>
    </cfRule>
    <cfRule type="containsText" dxfId="3790" priority="3981" operator="containsText" text="&quot;A&quot;">
      <formula>NOT(ISERROR(SEARCH("""A""",V35)))</formula>
    </cfRule>
  </conditionalFormatting>
  <conditionalFormatting sqref="V35:W35">
    <cfRule type="containsText" dxfId="3789" priority="3979" operator="containsText" text="A-H">
      <formula>NOT(ISERROR(SEARCH("A-H",V35)))</formula>
    </cfRule>
  </conditionalFormatting>
  <conditionalFormatting sqref="P35:Q35">
    <cfRule type="cellIs" dxfId="3788" priority="4006" operator="equal">
      <formula>"C-Off-H"</formula>
    </cfRule>
    <cfRule type="cellIs" dxfId="3787" priority="4007" operator="equal">
      <formula>"C-Off"</formula>
    </cfRule>
    <cfRule type="cellIs" dxfId="3786" priority="4008" operator="equal">
      <formula>"CL-H"</formula>
    </cfRule>
    <cfRule type="cellIs" dxfId="3785" priority="4009" operator="equal">
      <formula>"EL-H"</formula>
    </cfRule>
    <cfRule type="cellIs" dxfId="3784" priority="4010" operator="equal">
      <formula>"CL"</formula>
    </cfRule>
    <cfRule type="cellIs" dxfId="3783" priority="4011" operator="equal">
      <formula>"EL"</formula>
    </cfRule>
  </conditionalFormatting>
  <conditionalFormatting sqref="P35:Q35">
    <cfRule type="containsText" dxfId="3782" priority="4000" operator="containsText" text="S">
      <formula>NOT(ISERROR(SEARCH("S",P35)))</formula>
    </cfRule>
    <cfRule type="containsText" dxfId="3781" priority="4001" operator="containsText" text="P">
      <formula>NOT(ISERROR(SEARCH("P",P35)))</formula>
    </cfRule>
    <cfRule type="containsText" dxfId="3780" priority="4002" operator="containsText" text="H">
      <formula>NOT(ISERROR(SEARCH("H",P35)))</formula>
    </cfRule>
    <cfRule type="containsText" dxfId="3779" priority="4004" operator="containsText" text="&quot;H&quot;">
      <formula>NOT(ISERROR(SEARCH("""H""",P35)))</formula>
    </cfRule>
    <cfRule type="containsText" dxfId="3778" priority="4005" operator="containsText" text="&quot;A&quot;">
      <formula>NOT(ISERROR(SEARCH("""A""",P35)))</formula>
    </cfRule>
  </conditionalFormatting>
  <conditionalFormatting sqref="P35:Q35">
    <cfRule type="containsText" dxfId="3777" priority="4003" operator="containsText" text="A-H">
      <formula>NOT(ISERROR(SEARCH("A-H",P35)))</formula>
    </cfRule>
  </conditionalFormatting>
  <conditionalFormatting sqref="S35:T35">
    <cfRule type="cellIs" dxfId="3776" priority="3994" operator="equal">
      <formula>"C-Off-H"</formula>
    </cfRule>
    <cfRule type="cellIs" dxfId="3775" priority="3995" operator="equal">
      <formula>"C-Off"</formula>
    </cfRule>
    <cfRule type="cellIs" dxfId="3774" priority="3996" operator="equal">
      <formula>"CL-H"</formula>
    </cfRule>
    <cfRule type="cellIs" dxfId="3773" priority="3997" operator="equal">
      <formula>"EL-H"</formula>
    </cfRule>
    <cfRule type="cellIs" dxfId="3772" priority="3998" operator="equal">
      <formula>"CL"</formula>
    </cfRule>
    <cfRule type="cellIs" dxfId="3771" priority="3999" operator="equal">
      <formula>"EL"</formula>
    </cfRule>
  </conditionalFormatting>
  <conditionalFormatting sqref="S35:T35">
    <cfRule type="containsText" dxfId="3770" priority="3988" operator="containsText" text="S">
      <formula>NOT(ISERROR(SEARCH("S",S35)))</formula>
    </cfRule>
    <cfRule type="containsText" dxfId="3769" priority="3989" operator="containsText" text="P">
      <formula>NOT(ISERROR(SEARCH("P",S35)))</formula>
    </cfRule>
    <cfRule type="containsText" dxfId="3768" priority="3990" operator="containsText" text="H">
      <formula>NOT(ISERROR(SEARCH("H",S35)))</formula>
    </cfRule>
    <cfRule type="containsText" dxfId="3767" priority="3992" operator="containsText" text="&quot;H&quot;">
      <formula>NOT(ISERROR(SEARCH("""H""",S35)))</formula>
    </cfRule>
    <cfRule type="containsText" dxfId="3766" priority="3993" operator="containsText" text="&quot;A&quot;">
      <formula>NOT(ISERROR(SEARCH("""A""",S35)))</formula>
    </cfRule>
  </conditionalFormatting>
  <conditionalFormatting sqref="S35:T35">
    <cfRule type="containsText" dxfId="3765" priority="3991" operator="containsText" text="A-H">
      <formula>NOT(ISERROR(SEARCH("A-H",S35)))</formula>
    </cfRule>
  </conditionalFormatting>
  <conditionalFormatting sqref="AB35:AC35">
    <cfRule type="cellIs" dxfId="3764" priority="3970" operator="equal">
      <formula>"C-Off-H"</formula>
    </cfRule>
    <cfRule type="cellIs" dxfId="3763" priority="3971" operator="equal">
      <formula>"C-Off"</formula>
    </cfRule>
    <cfRule type="cellIs" dxfId="3762" priority="3972" operator="equal">
      <formula>"CL-H"</formula>
    </cfRule>
    <cfRule type="cellIs" dxfId="3761" priority="3973" operator="equal">
      <formula>"EL-H"</formula>
    </cfRule>
    <cfRule type="cellIs" dxfId="3760" priority="3974" operator="equal">
      <formula>"CL"</formula>
    </cfRule>
    <cfRule type="cellIs" dxfId="3759" priority="3975" operator="equal">
      <formula>"EL"</formula>
    </cfRule>
  </conditionalFormatting>
  <conditionalFormatting sqref="AB35:AC35">
    <cfRule type="containsText" dxfId="3758" priority="3964" operator="containsText" text="S">
      <formula>NOT(ISERROR(SEARCH("S",AB35)))</formula>
    </cfRule>
    <cfRule type="containsText" dxfId="3757" priority="3965" operator="containsText" text="P">
      <formula>NOT(ISERROR(SEARCH("P",AB35)))</formula>
    </cfRule>
    <cfRule type="containsText" dxfId="3756" priority="3966" operator="containsText" text="H">
      <formula>NOT(ISERROR(SEARCH("H",AB35)))</formula>
    </cfRule>
    <cfRule type="containsText" dxfId="3755" priority="3968" operator="containsText" text="&quot;H&quot;">
      <formula>NOT(ISERROR(SEARCH("""H""",AB35)))</formula>
    </cfRule>
    <cfRule type="containsText" dxfId="3754" priority="3969" operator="containsText" text="&quot;A&quot;">
      <formula>NOT(ISERROR(SEARCH("""A""",AB35)))</formula>
    </cfRule>
  </conditionalFormatting>
  <conditionalFormatting sqref="AB35:AC35">
    <cfRule type="containsText" dxfId="3753" priority="3967" operator="containsText" text="A-H">
      <formula>NOT(ISERROR(SEARCH("A-H",AB35)))</formula>
    </cfRule>
  </conditionalFormatting>
  <conditionalFormatting sqref="AE35">
    <cfRule type="cellIs" dxfId="3752" priority="3958" operator="equal">
      <formula>"C-Off-H"</formula>
    </cfRule>
    <cfRule type="cellIs" dxfId="3751" priority="3959" operator="equal">
      <formula>"C-Off"</formula>
    </cfRule>
    <cfRule type="cellIs" dxfId="3750" priority="3960" operator="equal">
      <formula>"CL-H"</formula>
    </cfRule>
    <cfRule type="cellIs" dxfId="3749" priority="3961" operator="equal">
      <formula>"EL-H"</formula>
    </cfRule>
    <cfRule type="cellIs" dxfId="3748" priority="3962" operator="equal">
      <formula>"CL"</formula>
    </cfRule>
    <cfRule type="cellIs" dxfId="3747" priority="3963" operator="equal">
      <formula>"EL"</formula>
    </cfRule>
  </conditionalFormatting>
  <conditionalFormatting sqref="AE35">
    <cfRule type="containsText" dxfId="3746" priority="3952" operator="containsText" text="S">
      <formula>NOT(ISERROR(SEARCH("S",AE35)))</formula>
    </cfRule>
    <cfRule type="containsText" dxfId="3745" priority="3953" operator="containsText" text="P">
      <formula>NOT(ISERROR(SEARCH("P",AE35)))</formula>
    </cfRule>
    <cfRule type="containsText" dxfId="3744" priority="3954" operator="containsText" text="H">
      <formula>NOT(ISERROR(SEARCH("H",AE35)))</formula>
    </cfRule>
    <cfRule type="containsText" dxfId="3743" priority="3956" operator="containsText" text="&quot;H&quot;">
      <formula>NOT(ISERROR(SEARCH("""H""",AE35)))</formula>
    </cfRule>
    <cfRule type="containsText" dxfId="3742" priority="3957" operator="containsText" text="&quot;A&quot;">
      <formula>NOT(ISERROR(SEARCH("""A""",AE35)))</formula>
    </cfRule>
  </conditionalFormatting>
  <conditionalFormatting sqref="AE35">
    <cfRule type="containsText" dxfId="3741" priority="3955" operator="containsText" text="A-H">
      <formula>NOT(ISERROR(SEARCH("A-H",AE35)))</formula>
    </cfRule>
  </conditionalFormatting>
  <conditionalFormatting sqref="AK35:AL35">
    <cfRule type="cellIs" dxfId="3740" priority="3946" operator="equal">
      <formula>"C-Off-H"</formula>
    </cfRule>
    <cfRule type="cellIs" dxfId="3739" priority="3947" operator="equal">
      <formula>"C-Off"</formula>
    </cfRule>
    <cfRule type="cellIs" dxfId="3738" priority="3948" operator="equal">
      <formula>"CL-H"</formula>
    </cfRule>
    <cfRule type="cellIs" dxfId="3737" priority="3949" operator="equal">
      <formula>"EL-H"</formula>
    </cfRule>
    <cfRule type="cellIs" dxfId="3736" priority="3950" operator="equal">
      <formula>"CL"</formula>
    </cfRule>
    <cfRule type="cellIs" dxfId="3735" priority="3951" operator="equal">
      <formula>"EL"</formula>
    </cfRule>
  </conditionalFormatting>
  <conditionalFormatting sqref="AK35:AL35">
    <cfRule type="containsText" dxfId="3734" priority="3940" operator="containsText" text="S">
      <formula>NOT(ISERROR(SEARCH("S",AK35)))</formula>
    </cfRule>
    <cfRule type="containsText" dxfId="3733" priority="3941" operator="containsText" text="P">
      <formula>NOT(ISERROR(SEARCH("P",AK35)))</formula>
    </cfRule>
    <cfRule type="containsText" dxfId="3732" priority="3942" operator="containsText" text="H">
      <formula>NOT(ISERROR(SEARCH("H",AK35)))</formula>
    </cfRule>
    <cfRule type="containsText" dxfId="3731" priority="3944" operator="containsText" text="&quot;H&quot;">
      <formula>NOT(ISERROR(SEARCH("""H""",AK35)))</formula>
    </cfRule>
    <cfRule type="containsText" dxfId="3730" priority="3945" operator="containsText" text="&quot;A&quot;">
      <formula>NOT(ISERROR(SEARCH("""A""",AK35)))</formula>
    </cfRule>
  </conditionalFormatting>
  <conditionalFormatting sqref="AK35:AL35">
    <cfRule type="containsText" dxfId="3729" priority="3943" operator="containsText" text="A-H">
      <formula>NOT(ISERROR(SEARCH("A-H",AK35)))</formula>
    </cfRule>
  </conditionalFormatting>
  <conditionalFormatting sqref="AN35:AO35">
    <cfRule type="cellIs" dxfId="3728" priority="3934" operator="equal">
      <formula>"C-Off-H"</formula>
    </cfRule>
    <cfRule type="cellIs" dxfId="3727" priority="3935" operator="equal">
      <formula>"C-Off"</formula>
    </cfRule>
    <cfRule type="cellIs" dxfId="3726" priority="3936" operator="equal">
      <formula>"CL-H"</formula>
    </cfRule>
    <cfRule type="cellIs" dxfId="3725" priority="3937" operator="equal">
      <formula>"EL-H"</formula>
    </cfRule>
    <cfRule type="cellIs" dxfId="3724" priority="3938" operator="equal">
      <formula>"CL"</formula>
    </cfRule>
    <cfRule type="cellIs" dxfId="3723" priority="3939" operator="equal">
      <formula>"EL"</formula>
    </cfRule>
  </conditionalFormatting>
  <conditionalFormatting sqref="AN35:AO35">
    <cfRule type="containsText" dxfId="3722" priority="3928" operator="containsText" text="S">
      <formula>NOT(ISERROR(SEARCH("S",AN35)))</formula>
    </cfRule>
    <cfRule type="containsText" dxfId="3721" priority="3929" operator="containsText" text="P">
      <formula>NOT(ISERROR(SEARCH("P",AN35)))</formula>
    </cfRule>
    <cfRule type="containsText" dxfId="3720" priority="3930" operator="containsText" text="H">
      <formula>NOT(ISERROR(SEARCH("H",AN35)))</formula>
    </cfRule>
    <cfRule type="containsText" dxfId="3719" priority="3932" operator="containsText" text="&quot;H&quot;">
      <formula>NOT(ISERROR(SEARCH("""H""",AN35)))</formula>
    </cfRule>
    <cfRule type="containsText" dxfId="3718" priority="3933" operator="containsText" text="&quot;A&quot;">
      <formula>NOT(ISERROR(SEARCH("""A""",AN35)))</formula>
    </cfRule>
  </conditionalFormatting>
  <conditionalFormatting sqref="AN35:AO35">
    <cfRule type="containsText" dxfId="3717" priority="3931" operator="containsText" text="A-H">
      <formula>NOT(ISERROR(SEARCH("A-H",AN35)))</formula>
    </cfRule>
  </conditionalFormatting>
  <conditionalFormatting sqref="AQ35:AR35">
    <cfRule type="cellIs" dxfId="3716" priority="3922" operator="equal">
      <formula>"C-Off-H"</formula>
    </cfRule>
    <cfRule type="cellIs" dxfId="3715" priority="3923" operator="equal">
      <formula>"C-Off"</formula>
    </cfRule>
    <cfRule type="cellIs" dxfId="3714" priority="3924" operator="equal">
      <formula>"CL-H"</formula>
    </cfRule>
    <cfRule type="cellIs" dxfId="3713" priority="3925" operator="equal">
      <formula>"EL-H"</formula>
    </cfRule>
    <cfRule type="cellIs" dxfId="3712" priority="3926" operator="equal">
      <formula>"CL"</formula>
    </cfRule>
    <cfRule type="cellIs" dxfId="3711" priority="3927" operator="equal">
      <formula>"EL"</formula>
    </cfRule>
  </conditionalFormatting>
  <conditionalFormatting sqref="AQ35:AR35">
    <cfRule type="containsText" dxfId="3710" priority="3916" operator="containsText" text="S">
      <formula>NOT(ISERROR(SEARCH("S",AQ35)))</formula>
    </cfRule>
    <cfRule type="containsText" dxfId="3709" priority="3917" operator="containsText" text="P">
      <formula>NOT(ISERROR(SEARCH("P",AQ35)))</formula>
    </cfRule>
    <cfRule type="containsText" dxfId="3708" priority="3918" operator="containsText" text="H">
      <formula>NOT(ISERROR(SEARCH("H",AQ35)))</formula>
    </cfRule>
    <cfRule type="containsText" dxfId="3707" priority="3920" operator="containsText" text="&quot;H&quot;">
      <formula>NOT(ISERROR(SEARCH("""H""",AQ35)))</formula>
    </cfRule>
    <cfRule type="containsText" dxfId="3706" priority="3921" operator="containsText" text="&quot;A&quot;">
      <formula>NOT(ISERROR(SEARCH("""A""",AQ35)))</formula>
    </cfRule>
  </conditionalFormatting>
  <conditionalFormatting sqref="AQ35:AR35">
    <cfRule type="containsText" dxfId="3705" priority="3919" operator="containsText" text="A-H">
      <formula>NOT(ISERROR(SEARCH("A-H",AQ35)))</formula>
    </cfRule>
  </conditionalFormatting>
  <conditionalFormatting sqref="AW35:AX35">
    <cfRule type="cellIs" dxfId="3704" priority="3910" operator="equal">
      <formula>"C-Off-H"</formula>
    </cfRule>
    <cfRule type="cellIs" dxfId="3703" priority="3911" operator="equal">
      <formula>"C-Off"</formula>
    </cfRule>
    <cfRule type="cellIs" dxfId="3702" priority="3912" operator="equal">
      <formula>"CL-H"</formula>
    </cfRule>
    <cfRule type="cellIs" dxfId="3701" priority="3913" operator="equal">
      <formula>"EL-H"</formula>
    </cfRule>
    <cfRule type="cellIs" dxfId="3700" priority="3914" operator="equal">
      <formula>"CL"</formula>
    </cfRule>
    <cfRule type="cellIs" dxfId="3699" priority="3915" operator="equal">
      <formula>"EL"</formula>
    </cfRule>
  </conditionalFormatting>
  <conditionalFormatting sqref="AW35:AX35">
    <cfRule type="containsText" dxfId="3698" priority="3904" operator="containsText" text="S">
      <formula>NOT(ISERROR(SEARCH("S",AW35)))</formula>
    </cfRule>
    <cfRule type="containsText" dxfId="3697" priority="3905" operator="containsText" text="P">
      <formula>NOT(ISERROR(SEARCH("P",AW35)))</formula>
    </cfRule>
    <cfRule type="containsText" dxfId="3696" priority="3906" operator="containsText" text="H">
      <formula>NOT(ISERROR(SEARCH("H",AW35)))</formula>
    </cfRule>
    <cfRule type="containsText" dxfId="3695" priority="3908" operator="containsText" text="&quot;H&quot;">
      <formula>NOT(ISERROR(SEARCH("""H""",AW35)))</formula>
    </cfRule>
    <cfRule type="containsText" dxfId="3694" priority="3909" operator="containsText" text="&quot;A&quot;">
      <formula>NOT(ISERROR(SEARCH("""A""",AW35)))</formula>
    </cfRule>
  </conditionalFormatting>
  <conditionalFormatting sqref="AW35:AX35">
    <cfRule type="containsText" dxfId="3693" priority="3907" operator="containsText" text="A-H">
      <formula>NOT(ISERROR(SEARCH("A-H",AW35)))</formula>
    </cfRule>
  </conditionalFormatting>
  <conditionalFormatting sqref="AZ35:BA35">
    <cfRule type="cellIs" dxfId="3692" priority="3898" operator="equal">
      <formula>"C-Off-H"</formula>
    </cfRule>
    <cfRule type="cellIs" dxfId="3691" priority="3899" operator="equal">
      <formula>"C-Off"</formula>
    </cfRule>
    <cfRule type="cellIs" dxfId="3690" priority="3900" operator="equal">
      <formula>"CL-H"</formula>
    </cfRule>
    <cfRule type="cellIs" dxfId="3689" priority="3901" operator="equal">
      <formula>"EL-H"</formula>
    </cfRule>
    <cfRule type="cellIs" dxfId="3688" priority="3902" operator="equal">
      <formula>"CL"</formula>
    </cfRule>
    <cfRule type="cellIs" dxfId="3687" priority="3903" operator="equal">
      <formula>"EL"</formula>
    </cfRule>
  </conditionalFormatting>
  <conditionalFormatting sqref="AZ35:BA35">
    <cfRule type="containsText" dxfId="3686" priority="3892" operator="containsText" text="S">
      <formula>NOT(ISERROR(SEARCH("S",AZ35)))</formula>
    </cfRule>
    <cfRule type="containsText" dxfId="3685" priority="3893" operator="containsText" text="P">
      <formula>NOT(ISERROR(SEARCH("P",AZ35)))</formula>
    </cfRule>
    <cfRule type="containsText" dxfId="3684" priority="3894" operator="containsText" text="H">
      <formula>NOT(ISERROR(SEARCH("H",AZ35)))</formula>
    </cfRule>
    <cfRule type="containsText" dxfId="3683" priority="3896" operator="containsText" text="&quot;H&quot;">
      <formula>NOT(ISERROR(SEARCH("""H""",AZ35)))</formula>
    </cfRule>
    <cfRule type="containsText" dxfId="3682" priority="3897" operator="containsText" text="&quot;A&quot;">
      <formula>NOT(ISERROR(SEARCH("""A""",AZ35)))</formula>
    </cfRule>
  </conditionalFormatting>
  <conditionalFormatting sqref="AZ35:BA35">
    <cfRule type="containsText" dxfId="3681" priority="3895" operator="containsText" text="A-H">
      <formula>NOT(ISERROR(SEARCH("A-H",AZ35)))</formula>
    </cfRule>
  </conditionalFormatting>
  <conditionalFormatting sqref="BC35:BD35">
    <cfRule type="cellIs" dxfId="3680" priority="3886" operator="equal">
      <formula>"C-Off-H"</formula>
    </cfRule>
    <cfRule type="cellIs" dxfId="3679" priority="3887" operator="equal">
      <formula>"C-Off"</formula>
    </cfRule>
    <cfRule type="cellIs" dxfId="3678" priority="3888" operator="equal">
      <formula>"CL-H"</formula>
    </cfRule>
    <cfRule type="cellIs" dxfId="3677" priority="3889" operator="equal">
      <formula>"EL-H"</formula>
    </cfRule>
    <cfRule type="cellIs" dxfId="3676" priority="3890" operator="equal">
      <formula>"CL"</formula>
    </cfRule>
    <cfRule type="cellIs" dxfId="3675" priority="3891" operator="equal">
      <formula>"EL"</formula>
    </cfRule>
  </conditionalFormatting>
  <conditionalFormatting sqref="BC35:BD35">
    <cfRule type="containsText" dxfId="3674" priority="3880" operator="containsText" text="S">
      <formula>NOT(ISERROR(SEARCH("S",BC35)))</formula>
    </cfRule>
    <cfRule type="containsText" dxfId="3673" priority="3881" operator="containsText" text="P">
      <formula>NOT(ISERROR(SEARCH("P",BC35)))</formula>
    </cfRule>
    <cfRule type="containsText" dxfId="3672" priority="3882" operator="containsText" text="H">
      <formula>NOT(ISERROR(SEARCH("H",BC35)))</formula>
    </cfRule>
    <cfRule type="containsText" dxfId="3671" priority="3884" operator="containsText" text="&quot;H&quot;">
      <formula>NOT(ISERROR(SEARCH("""H""",BC35)))</formula>
    </cfRule>
    <cfRule type="containsText" dxfId="3670" priority="3885" operator="containsText" text="&quot;A&quot;">
      <formula>NOT(ISERROR(SEARCH("""A""",BC35)))</formula>
    </cfRule>
  </conditionalFormatting>
  <conditionalFormatting sqref="BC35:BD35">
    <cfRule type="containsText" dxfId="3669" priority="3883" operator="containsText" text="A-H">
      <formula>NOT(ISERROR(SEARCH("A-H",BC35)))</formula>
    </cfRule>
  </conditionalFormatting>
  <conditionalFormatting sqref="BF35:BG35">
    <cfRule type="cellIs" dxfId="3668" priority="3874" operator="equal">
      <formula>"C-Off-H"</formula>
    </cfRule>
    <cfRule type="cellIs" dxfId="3667" priority="3875" operator="equal">
      <formula>"C-Off"</formula>
    </cfRule>
    <cfRule type="cellIs" dxfId="3666" priority="3876" operator="equal">
      <formula>"CL-H"</formula>
    </cfRule>
    <cfRule type="cellIs" dxfId="3665" priority="3877" operator="equal">
      <formula>"EL-H"</formula>
    </cfRule>
    <cfRule type="cellIs" dxfId="3664" priority="3878" operator="equal">
      <formula>"CL"</formula>
    </cfRule>
    <cfRule type="cellIs" dxfId="3663" priority="3879" operator="equal">
      <formula>"EL"</formula>
    </cfRule>
  </conditionalFormatting>
  <conditionalFormatting sqref="BF35:BG35">
    <cfRule type="containsText" dxfId="3662" priority="3868" operator="containsText" text="S">
      <formula>NOT(ISERROR(SEARCH("S",BF35)))</formula>
    </cfRule>
    <cfRule type="containsText" dxfId="3661" priority="3869" operator="containsText" text="P">
      <formula>NOT(ISERROR(SEARCH("P",BF35)))</formula>
    </cfRule>
    <cfRule type="containsText" dxfId="3660" priority="3870" operator="containsText" text="H">
      <formula>NOT(ISERROR(SEARCH("H",BF35)))</formula>
    </cfRule>
    <cfRule type="containsText" dxfId="3659" priority="3872" operator="containsText" text="&quot;H&quot;">
      <formula>NOT(ISERROR(SEARCH("""H""",BF35)))</formula>
    </cfRule>
    <cfRule type="containsText" dxfId="3658" priority="3873" operator="containsText" text="&quot;A&quot;">
      <formula>NOT(ISERROR(SEARCH("""A""",BF35)))</formula>
    </cfRule>
  </conditionalFormatting>
  <conditionalFormatting sqref="BF35:BG35">
    <cfRule type="containsText" dxfId="3657" priority="3871" operator="containsText" text="A-H">
      <formula>NOT(ISERROR(SEARCH("A-H",BF35)))</formula>
    </cfRule>
  </conditionalFormatting>
  <conditionalFormatting sqref="BI35:BJ35">
    <cfRule type="cellIs" dxfId="3656" priority="3862" operator="equal">
      <formula>"C-Off-H"</formula>
    </cfRule>
    <cfRule type="cellIs" dxfId="3655" priority="3863" operator="equal">
      <formula>"C-Off"</formula>
    </cfRule>
    <cfRule type="cellIs" dxfId="3654" priority="3864" operator="equal">
      <formula>"CL-H"</formula>
    </cfRule>
    <cfRule type="cellIs" dxfId="3653" priority="3865" operator="equal">
      <formula>"EL-H"</formula>
    </cfRule>
    <cfRule type="cellIs" dxfId="3652" priority="3866" operator="equal">
      <formula>"CL"</formula>
    </cfRule>
    <cfRule type="cellIs" dxfId="3651" priority="3867" operator="equal">
      <formula>"EL"</formula>
    </cfRule>
  </conditionalFormatting>
  <conditionalFormatting sqref="BI35:BJ35">
    <cfRule type="containsText" dxfId="3650" priority="3856" operator="containsText" text="S">
      <formula>NOT(ISERROR(SEARCH("S",BI35)))</formula>
    </cfRule>
    <cfRule type="containsText" dxfId="3649" priority="3857" operator="containsText" text="P">
      <formula>NOT(ISERROR(SEARCH("P",BI35)))</formula>
    </cfRule>
    <cfRule type="containsText" dxfId="3648" priority="3858" operator="containsText" text="H">
      <formula>NOT(ISERROR(SEARCH("H",BI35)))</formula>
    </cfRule>
    <cfRule type="containsText" dxfId="3647" priority="3860" operator="containsText" text="&quot;H&quot;">
      <formula>NOT(ISERROR(SEARCH("""H""",BI35)))</formula>
    </cfRule>
    <cfRule type="containsText" dxfId="3646" priority="3861" operator="containsText" text="&quot;A&quot;">
      <formula>NOT(ISERROR(SEARCH("""A""",BI35)))</formula>
    </cfRule>
  </conditionalFormatting>
  <conditionalFormatting sqref="BI35:BJ35">
    <cfRule type="containsText" dxfId="3645" priority="3859" operator="containsText" text="A-H">
      <formula>NOT(ISERROR(SEARCH("A-H",BI35)))</formula>
    </cfRule>
  </conditionalFormatting>
  <conditionalFormatting sqref="BL35:BM35">
    <cfRule type="cellIs" dxfId="3644" priority="3850" operator="equal">
      <formula>"C-Off-H"</formula>
    </cfRule>
    <cfRule type="cellIs" dxfId="3643" priority="3851" operator="equal">
      <formula>"C-Off"</formula>
    </cfRule>
    <cfRule type="cellIs" dxfId="3642" priority="3852" operator="equal">
      <formula>"CL-H"</formula>
    </cfRule>
    <cfRule type="cellIs" dxfId="3641" priority="3853" operator="equal">
      <formula>"EL-H"</formula>
    </cfRule>
    <cfRule type="cellIs" dxfId="3640" priority="3854" operator="equal">
      <formula>"CL"</formula>
    </cfRule>
    <cfRule type="cellIs" dxfId="3639" priority="3855" operator="equal">
      <formula>"EL"</formula>
    </cfRule>
  </conditionalFormatting>
  <conditionalFormatting sqref="BL35:BM35">
    <cfRule type="containsText" dxfId="3638" priority="3844" operator="containsText" text="S">
      <formula>NOT(ISERROR(SEARCH("S",BL35)))</formula>
    </cfRule>
    <cfRule type="containsText" dxfId="3637" priority="3845" operator="containsText" text="P">
      <formula>NOT(ISERROR(SEARCH("P",BL35)))</formula>
    </cfRule>
    <cfRule type="containsText" dxfId="3636" priority="3846" operator="containsText" text="H">
      <formula>NOT(ISERROR(SEARCH("H",BL35)))</formula>
    </cfRule>
    <cfRule type="containsText" dxfId="3635" priority="3848" operator="containsText" text="&quot;H&quot;">
      <formula>NOT(ISERROR(SEARCH("""H""",BL35)))</formula>
    </cfRule>
    <cfRule type="containsText" dxfId="3634" priority="3849" operator="containsText" text="&quot;A&quot;">
      <formula>NOT(ISERROR(SEARCH("""A""",BL35)))</formula>
    </cfRule>
  </conditionalFormatting>
  <conditionalFormatting sqref="BL35:BM35">
    <cfRule type="containsText" dxfId="3633" priority="3847" operator="containsText" text="A-H">
      <formula>NOT(ISERROR(SEARCH("A-H",BL35)))</formula>
    </cfRule>
  </conditionalFormatting>
  <conditionalFormatting sqref="BR35:BS35">
    <cfRule type="cellIs" dxfId="3632" priority="3838" operator="equal">
      <formula>"C-Off-H"</formula>
    </cfRule>
    <cfRule type="cellIs" dxfId="3631" priority="3839" operator="equal">
      <formula>"C-Off"</formula>
    </cfRule>
    <cfRule type="cellIs" dxfId="3630" priority="3840" operator="equal">
      <formula>"CL-H"</formula>
    </cfRule>
    <cfRule type="cellIs" dxfId="3629" priority="3841" operator="equal">
      <formula>"EL-H"</formula>
    </cfRule>
    <cfRule type="cellIs" dxfId="3628" priority="3842" operator="equal">
      <formula>"CL"</formula>
    </cfRule>
    <cfRule type="cellIs" dxfId="3627" priority="3843" operator="equal">
      <formula>"EL"</formula>
    </cfRule>
  </conditionalFormatting>
  <conditionalFormatting sqref="BR35:BS35">
    <cfRule type="containsText" dxfId="3626" priority="3832" operator="containsText" text="S">
      <formula>NOT(ISERROR(SEARCH("S",BR35)))</formula>
    </cfRule>
    <cfRule type="containsText" dxfId="3625" priority="3833" operator="containsText" text="P">
      <formula>NOT(ISERROR(SEARCH("P",BR35)))</formula>
    </cfRule>
    <cfRule type="containsText" dxfId="3624" priority="3834" operator="containsText" text="H">
      <formula>NOT(ISERROR(SEARCH("H",BR35)))</formula>
    </cfRule>
    <cfRule type="containsText" dxfId="3623" priority="3836" operator="containsText" text="&quot;H&quot;">
      <formula>NOT(ISERROR(SEARCH("""H""",BR35)))</formula>
    </cfRule>
    <cfRule type="containsText" dxfId="3622" priority="3837" operator="containsText" text="&quot;A&quot;">
      <formula>NOT(ISERROR(SEARCH("""A""",BR35)))</formula>
    </cfRule>
  </conditionalFormatting>
  <conditionalFormatting sqref="BR35:BS35">
    <cfRule type="containsText" dxfId="3621" priority="3835" operator="containsText" text="A-H">
      <formula>NOT(ISERROR(SEARCH("A-H",BR35)))</formula>
    </cfRule>
  </conditionalFormatting>
  <conditionalFormatting sqref="BU35:BV35">
    <cfRule type="cellIs" dxfId="3620" priority="3826" operator="equal">
      <formula>"C-Off-H"</formula>
    </cfRule>
    <cfRule type="cellIs" dxfId="3619" priority="3827" operator="equal">
      <formula>"C-Off"</formula>
    </cfRule>
    <cfRule type="cellIs" dxfId="3618" priority="3828" operator="equal">
      <formula>"CL-H"</formula>
    </cfRule>
    <cfRule type="cellIs" dxfId="3617" priority="3829" operator="equal">
      <formula>"EL-H"</formula>
    </cfRule>
    <cfRule type="cellIs" dxfId="3616" priority="3830" operator="equal">
      <formula>"CL"</formula>
    </cfRule>
    <cfRule type="cellIs" dxfId="3615" priority="3831" operator="equal">
      <formula>"EL"</formula>
    </cfRule>
  </conditionalFormatting>
  <conditionalFormatting sqref="BU35:BV35">
    <cfRule type="containsText" dxfId="3614" priority="3820" operator="containsText" text="S">
      <formula>NOT(ISERROR(SEARCH("S",BU35)))</formula>
    </cfRule>
    <cfRule type="containsText" dxfId="3613" priority="3821" operator="containsText" text="P">
      <formula>NOT(ISERROR(SEARCH("P",BU35)))</formula>
    </cfRule>
    <cfRule type="containsText" dxfId="3612" priority="3822" operator="containsText" text="H">
      <formula>NOT(ISERROR(SEARCH("H",BU35)))</formula>
    </cfRule>
    <cfRule type="containsText" dxfId="3611" priority="3824" operator="containsText" text="&quot;H&quot;">
      <formula>NOT(ISERROR(SEARCH("""H""",BU35)))</formula>
    </cfRule>
    <cfRule type="containsText" dxfId="3610" priority="3825" operator="containsText" text="&quot;A&quot;">
      <formula>NOT(ISERROR(SEARCH("""A""",BU35)))</formula>
    </cfRule>
  </conditionalFormatting>
  <conditionalFormatting sqref="BU35:BV35">
    <cfRule type="containsText" dxfId="3609" priority="3823" operator="containsText" text="A-H">
      <formula>NOT(ISERROR(SEARCH("A-H",BU35)))</formula>
    </cfRule>
  </conditionalFormatting>
  <conditionalFormatting sqref="BY35">
    <cfRule type="cellIs" dxfId="3608" priority="3814" operator="equal">
      <formula>"C-Off-H"</formula>
    </cfRule>
    <cfRule type="cellIs" dxfId="3607" priority="3815" operator="equal">
      <formula>"C-Off"</formula>
    </cfRule>
    <cfRule type="cellIs" dxfId="3606" priority="3816" operator="equal">
      <formula>"CL-H"</formula>
    </cfRule>
    <cfRule type="cellIs" dxfId="3605" priority="3817" operator="equal">
      <formula>"EL-H"</formula>
    </cfRule>
    <cfRule type="cellIs" dxfId="3604" priority="3818" operator="equal">
      <formula>"CL"</formula>
    </cfRule>
    <cfRule type="cellIs" dxfId="3603" priority="3819" operator="equal">
      <formula>"EL"</formula>
    </cfRule>
  </conditionalFormatting>
  <conditionalFormatting sqref="BY35">
    <cfRule type="containsText" dxfId="3602" priority="3808" operator="containsText" text="S">
      <formula>NOT(ISERROR(SEARCH("S",BY35)))</formula>
    </cfRule>
    <cfRule type="containsText" dxfId="3601" priority="3809" operator="containsText" text="P">
      <formula>NOT(ISERROR(SEARCH("P",BY35)))</formula>
    </cfRule>
    <cfRule type="containsText" dxfId="3600" priority="3810" operator="containsText" text="H">
      <formula>NOT(ISERROR(SEARCH("H",BY35)))</formula>
    </cfRule>
    <cfRule type="containsText" dxfId="3599" priority="3812" operator="containsText" text="&quot;H&quot;">
      <formula>NOT(ISERROR(SEARCH("""H""",BY35)))</formula>
    </cfRule>
    <cfRule type="containsText" dxfId="3598" priority="3813" operator="containsText" text="&quot;A&quot;">
      <formula>NOT(ISERROR(SEARCH("""A""",BY35)))</formula>
    </cfRule>
  </conditionalFormatting>
  <conditionalFormatting sqref="BY35">
    <cfRule type="containsText" dxfId="3597" priority="3811" operator="containsText" text="A-H">
      <formula>NOT(ISERROR(SEARCH("A-H",BY35)))</formula>
    </cfRule>
  </conditionalFormatting>
  <conditionalFormatting sqref="BX35">
    <cfRule type="cellIs" dxfId="3596" priority="3802" operator="equal">
      <formula>"C-Off-H"</formula>
    </cfRule>
    <cfRule type="cellIs" dxfId="3595" priority="3803" operator="equal">
      <formula>"C-Off"</formula>
    </cfRule>
    <cfRule type="cellIs" dxfId="3594" priority="3804" operator="equal">
      <formula>"CL-H"</formula>
    </cfRule>
    <cfRule type="cellIs" dxfId="3593" priority="3805" operator="equal">
      <formula>"EL-H"</formula>
    </cfRule>
    <cfRule type="cellIs" dxfId="3592" priority="3806" operator="equal">
      <formula>"CL"</formula>
    </cfRule>
    <cfRule type="cellIs" dxfId="3591" priority="3807" operator="equal">
      <formula>"EL"</formula>
    </cfRule>
  </conditionalFormatting>
  <conditionalFormatting sqref="BX35">
    <cfRule type="containsText" dxfId="3590" priority="3796" operator="containsText" text="S">
      <formula>NOT(ISERROR(SEARCH("S",BX35)))</formula>
    </cfRule>
    <cfRule type="containsText" dxfId="3589" priority="3797" operator="containsText" text="P">
      <formula>NOT(ISERROR(SEARCH("P",BX35)))</formula>
    </cfRule>
    <cfRule type="containsText" dxfId="3588" priority="3798" operator="containsText" text="H">
      <formula>NOT(ISERROR(SEARCH("H",BX35)))</formula>
    </cfRule>
    <cfRule type="containsText" dxfId="3587" priority="3800" operator="containsText" text="&quot;H&quot;">
      <formula>NOT(ISERROR(SEARCH("""H""",BX35)))</formula>
    </cfRule>
    <cfRule type="containsText" dxfId="3586" priority="3801" operator="containsText" text="&quot;A&quot;">
      <formula>NOT(ISERROR(SEARCH("""A""",BX35)))</formula>
    </cfRule>
  </conditionalFormatting>
  <conditionalFormatting sqref="BX35">
    <cfRule type="containsText" dxfId="3585" priority="3799" operator="containsText" text="A-H">
      <formula>NOT(ISERROR(SEARCH("A-H",BX35)))</formula>
    </cfRule>
  </conditionalFormatting>
  <conditionalFormatting sqref="CN35">
    <cfRule type="cellIs" dxfId="3584" priority="3790" operator="equal">
      <formula>"C-Off-H"</formula>
    </cfRule>
    <cfRule type="cellIs" dxfId="3583" priority="3791" operator="equal">
      <formula>"C-Off"</formula>
    </cfRule>
    <cfRule type="cellIs" dxfId="3582" priority="3792" operator="equal">
      <formula>"CL-H"</formula>
    </cfRule>
    <cfRule type="cellIs" dxfId="3581" priority="3793" operator="equal">
      <formula>"EL-H"</formula>
    </cfRule>
    <cfRule type="cellIs" dxfId="3580" priority="3794" operator="equal">
      <formula>"CL"</formula>
    </cfRule>
    <cfRule type="cellIs" dxfId="3579" priority="3795" operator="equal">
      <formula>"EL"</formula>
    </cfRule>
  </conditionalFormatting>
  <conditionalFormatting sqref="CN35">
    <cfRule type="containsText" dxfId="3578" priority="3789" operator="containsText" text="A-H">
      <formula>NOT(ISERROR(SEARCH("A-H",CN35)))</formula>
    </cfRule>
  </conditionalFormatting>
  <conditionalFormatting sqref="CN35">
    <cfRule type="containsText" dxfId="3577" priority="3788" operator="containsText" text="A">
      <formula>NOT(ISERROR(SEARCH("A",CN35)))</formula>
    </cfRule>
  </conditionalFormatting>
  <conditionalFormatting sqref="CN35">
    <cfRule type="containsText" dxfId="3576" priority="3783" operator="containsText" text="S">
      <formula>NOT(ISERROR(SEARCH("S",CN35)))</formula>
    </cfRule>
    <cfRule type="containsText" dxfId="3575" priority="3784" operator="containsText" text="P">
      <formula>NOT(ISERROR(SEARCH("P",CN35)))</formula>
    </cfRule>
    <cfRule type="containsText" dxfId="3574" priority="3785" operator="containsText" text="H">
      <formula>NOT(ISERROR(SEARCH("H",CN35)))</formula>
    </cfRule>
    <cfRule type="containsText" dxfId="3573" priority="3786" operator="containsText" text="&quot;H&quot;">
      <formula>NOT(ISERROR(SEARCH("""H""",CN35)))</formula>
    </cfRule>
    <cfRule type="containsText" dxfId="3572" priority="3787" operator="containsText" text="&quot;A&quot;">
      <formula>NOT(ISERROR(SEARCH("""A""",CN35)))</formula>
    </cfRule>
  </conditionalFormatting>
  <conditionalFormatting sqref="CA35:CB35">
    <cfRule type="cellIs" dxfId="3571" priority="3777" operator="equal">
      <formula>"C-Off-H"</formula>
    </cfRule>
    <cfRule type="cellIs" dxfId="3570" priority="3778" operator="equal">
      <formula>"C-Off"</formula>
    </cfRule>
    <cfRule type="cellIs" dxfId="3569" priority="3779" operator="equal">
      <formula>"CL-H"</formula>
    </cfRule>
    <cfRule type="cellIs" dxfId="3568" priority="3780" operator="equal">
      <formula>"EL-H"</formula>
    </cfRule>
    <cfRule type="cellIs" dxfId="3567" priority="3781" operator="equal">
      <formula>"CL"</formula>
    </cfRule>
    <cfRule type="cellIs" dxfId="3566" priority="3782" operator="equal">
      <formula>"EL"</formula>
    </cfRule>
  </conditionalFormatting>
  <conditionalFormatting sqref="CA35:CB35">
    <cfRule type="containsText" dxfId="3565" priority="3771" operator="containsText" text="S">
      <formula>NOT(ISERROR(SEARCH("S",CA35)))</formula>
    </cfRule>
    <cfRule type="containsText" dxfId="3564" priority="3772" operator="containsText" text="P">
      <formula>NOT(ISERROR(SEARCH("P",CA35)))</formula>
    </cfRule>
    <cfRule type="containsText" dxfId="3563" priority="3773" operator="containsText" text="H">
      <formula>NOT(ISERROR(SEARCH("H",CA35)))</formula>
    </cfRule>
    <cfRule type="containsText" dxfId="3562" priority="3775" operator="containsText" text="&quot;H&quot;">
      <formula>NOT(ISERROR(SEARCH("""H""",CA35)))</formula>
    </cfRule>
    <cfRule type="containsText" dxfId="3561" priority="3776" operator="containsText" text="&quot;A&quot;">
      <formula>NOT(ISERROR(SEARCH("""A""",CA35)))</formula>
    </cfRule>
  </conditionalFormatting>
  <conditionalFormatting sqref="CA35:CB35">
    <cfRule type="containsText" dxfId="3560" priority="3774" operator="containsText" text="A-H">
      <formula>NOT(ISERROR(SEARCH("A-H",CA35)))</formula>
    </cfRule>
  </conditionalFormatting>
  <conditionalFormatting sqref="CD35:CE35">
    <cfRule type="cellIs" dxfId="3559" priority="3765" operator="equal">
      <formula>"C-Off-H"</formula>
    </cfRule>
    <cfRule type="cellIs" dxfId="3558" priority="3766" operator="equal">
      <formula>"C-Off"</formula>
    </cfRule>
    <cfRule type="cellIs" dxfId="3557" priority="3767" operator="equal">
      <formula>"CL-H"</formula>
    </cfRule>
    <cfRule type="cellIs" dxfId="3556" priority="3768" operator="equal">
      <formula>"EL-H"</formula>
    </cfRule>
    <cfRule type="cellIs" dxfId="3555" priority="3769" operator="equal">
      <formula>"CL"</formula>
    </cfRule>
    <cfRule type="cellIs" dxfId="3554" priority="3770" operator="equal">
      <formula>"EL"</formula>
    </cfRule>
  </conditionalFormatting>
  <conditionalFormatting sqref="CD35:CE35">
    <cfRule type="containsText" dxfId="3553" priority="3759" operator="containsText" text="S">
      <formula>NOT(ISERROR(SEARCH("S",CD35)))</formula>
    </cfRule>
    <cfRule type="containsText" dxfId="3552" priority="3760" operator="containsText" text="P">
      <formula>NOT(ISERROR(SEARCH("P",CD35)))</formula>
    </cfRule>
    <cfRule type="containsText" dxfId="3551" priority="3761" operator="containsText" text="H">
      <formula>NOT(ISERROR(SEARCH("H",CD35)))</formula>
    </cfRule>
    <cfRule type="containsText" dxfId="3550" priority="3763" operator="containsText" text="&quot;H&quot;">
      <formula>NOT(ISERROR(SEARCH("""H""",CD35)))</formula>
    </cfRule>
    <cfRule type="containsText" dxfId="3549" priority="3764" operator="containsText" text="&quot;A&quot;">
      <formula>NOT(ISERROR(SEARCH("""A""",CD35)))</formula>
    </cfRule>
  </conditionalFormatting>
  <conditionalFormatting sqref="CD35:CE35">
    <cfRule type="containsText" dxfId="3548" priority="3762" operator="containsText" text="A-H">
      <formula>NOT(ISERROR(SEARCH("A-H",CD35)))</formula>
    </cfRule>
  </conditionalFormatting>
  <conditionalFormatting sqref="CH35">
    <cfRule type="cellIs" dxfId="3547" priority="3753" operator="equal">
      <formula>"C-Off-H"</formula>
    </cfRule>
    <cfRule type="cellIs" dxfId="3546" priority="3754" operator="equal">
      <formula>"C-Off"</formula>
    </cfRule>
    <cfRule type="cellIs" dxfId="3545" priority="3755" operator="equal">
      <formula>"CL-H"</formula>
    </cfRule>
    <cfRule type="cellIs" dxfId="3544" priority="3756" operator="equal">
      <formula>"EL-H"</formula>
    </cfRule>
    <cfRule type="cellIs" dxfId="3543" priority="3757" operator="equal">
      <formula>"CL"</formula>
    </cfRule>
    <cfRule type="cellIs" dxfId="3542" priority="3758" operator="equal">
      <formula>"EL"</formula>
    </cfRule>
  </conditionalFormatting>
  <conditionalFormatting sqref="CH35">
    <cfRule type="containsText" dxfId="3541" priority="3747" operator="containsText" text="S">
      <formula>NOT(ISERROR(SEARCH("S",CH35)))</formula>
    </cfRule>
    <cfRule type="containsText" dxfId="3540" priority="3748" operator="containsText" text="P">
      <formula>NOT(ISERROR(SEARCH("P",CH35)))</formula>
    </cfRule>
    <cfRule type="containsText" dxfId="3539" priority="3749" operator="containsText" text="H">
      <formula>NOT(ISERROR(SEARCH("H",CH35)))</formula>
    </cfRule>
    <cfRule type="containsText" dxfId="3538" priority="3751" operator="containsText" text="&quot;H&quot;">
      <formula>NOT(ISERROR(SEARCH("""H""",CH35)))</formula>
    </cfRule>
    <cfRule type="containsText" dxfId="3537" priority="3752" operator="containsText" text="&quot;A&quot;">
      <formula>NOT(ISERROR(SEARCH("""A""",CH35)))</formula>
    </cfRule>
  </conditionalFormatting>
  <conditionalFormatting sqref="CH35">
    <cfRule type="containsText" dxfId="3536" priority="3750" operator="containsText" text="A-H">
      <formula>NOT(ISERROR(SEARCH("A-H",CH35)))</formula>
    </cfRule>
  </conditionalFormatting>
  <conditionalFormatting sqref="CG35">
    <cfRule type="cellIs" dxfId="3535" priority="3741" operator="equal">
      <formula>"C-Off-H"</formula>
    </cfRule>
    <cfRule type="cellIs" dxfId="3534" priority="3742" operator="equal">
      <formula>"C-Off"</formula>
    </cfRule>
    <cfRule type="cellIs" dxfId="3533" priority="3743" operator="equal">
      <formula>"CL-H"</formula>
    </cfRule>
    <cfRule type="cellIs" dxfId="3532" priority="3744" operator="equal">
      <formula>"EL-H"</formula>
    </cfRule>
    <cfRule type="cellIs" dxfId="3531" priority="3745" operator="equal">
      <formula>"CL"</formula>
    </cfRule>
    <cfRule type="cellIs" dxfId="3530" priority="3746" operator="equal">
      <formula>"EL"</formula>
    </cfRule>
  </conditionalFormatting>
  <conditionalFormatting sqref="CG35">
    <cfRule type="containsText" dxfId="3529" priority="3735" operator="containsText" text="S">
      <formula>NOT(ISERROR(SEARCH("S",CG35)))</formula>
    </cfRule>
    <cfRule type="containsText" dxfId="3528" priority="3736" operator="containsText" text="P">
      <formula>NOT(ISERROR(SEARCH("P",CG35)))</formula>
    </cfRule>
    <cfRule type="containsText" dxfId="3527" priority="3737" operator="containsText" text="H">
      <formula>NOT(ISERROR(SEARCH("H",CG35)))</formula>
    </cfRule>
    <cfRule type="containsText" dxfId="3526" priority="3739" operator="containsText" text="&quot;H&quot;">
      <formula>NOT(ISERROR(SEARCH("""H""",CG35)))</formula>
    </cfRule>
    <cfRule type="containsText" dxfId="3525" priority="3740" operator="containsText" text="&quot;A&quot;">
      <formula>NOT(ISERROR(SEARCH("""A""",CG35)))</formula>
    </cfRule>
  </conditionalFormatting>
  <conditionalFormatting sqref="CG35">
    <cfRule type="containsText" dxfId="3524" priority="3738" operator="containsText" text="A-H">
      <formula>NOT(ISERROR(SEARCH("A-H",CG35)))</formula>
    </cfRule>
  </conditionalFormatting>
  <conditionalFormatting sqref="H35">
    <cfRule type="cellIs" dxfId="3523" priority="3698" operator="equal">
      <formula>"C-Off-H"</formula>
    </cfRule>
    <cfRule type="cellIs" dxfId="3522" priority="3699" operator="equal">
      <formula>"C-Off"</formula>
    </cfRule>
    <cfRule type="cellIs" dxfId="3521" priority="3700" operator="equal">
      <formula>"CL-H"</formula>
    </cfRule>
    <cfRule type="cellIs" dxfId="3520" priority="3701" operator="equal">
      <formula>"EL-H"</formula>
    </cfRule>
    <cfRule type="cellIs" dxfId="3519" priority="3702" operator="equal">
      <formula>"CL"</formula>
    </cfRule>
    <cfRule type="cellIs" dxfId="3518" priority="3703" operator="equal">
      <formula>"EL"</formula>
    </cfRule>
  </conditionalFormatting>
  <conditionalFormatting sqref="G35:H35">
    <cfRule type="cellIs" dxfId="3517" priority="3692" operator="equal">
      <formula>"C-Off-H"</formula>
    </cfRule>
    <cfRule type="cellIs" dxfId="3516" priority="3693" operator="equal">
      <formula>"C-Off"</formula>
    </cfRule>
    <cfRule type="cellIs" dxfId="3515" priority="3694" operator="equal">
      <formula>"CL-H"</formula>
    </cfRule>
    <cfRule type="cellIs" dxfId="3514" priority="3695" operator="equal">
      <formula>"EL-H"</formula>
    </cfRule>
    <cfRule type="cellIs" dxfId="3513" priority="3696" operator="equal">
      <formula>"CL"</formula>
    </cfRule>
    <cfRule type="cellIs" dxfId="3512" priority="3697" operator="equal">
      <formula>"EL"</formula>
    </cfRule>
  </conditionalFormatting>
  <conditionalFormatting sqref="G35:H35">
    <cfRule type="containsText" dxfId="3511" priority="3686" operator="containsText" text="S">
      <formula>NOT(ISERROR(SEARCH("S",G35)))</formula>
    </cfRule>
    <cfRule type="containsText" dxfId="3510" priority="3687" operator="containsText" text="P">
      <formula>NOT(ISERROR(SEARCH("P",G35)))</formula>
    </cfRule>
    <cfRule type="containsText" dxfId="3509" priority="3688" operator="containsText" text="H">
      <formula>NOT(ISERROR(SEARCH("H",G35)))</formula>
    </cfRule>
    <cfRule type="containsText" dxfId="3508" priority="3690" operator="containsText" text="&quot;H&quot;">
      <formula>NOT(ISERROR(SEARCH("""H""",G35)))</formula>
    </cfRule>
    <cfRule type="containsText" dxfId="3507" priority="3691" operator="containsText" text="&quot;A&quot;">
      <formula>NOT(ISERROR(SEARCH("""A""",G35)))</formula>
    </cfRule>
  </conditionalFormatting>
  <conditionalFormatting sqref="G35:H35">
    <cfRule type="containsText" dxfId="3506" priority="3689" operator="containsText" text="A-H">
      <formula>NOT(ISERROR(SEARCH("A-H",G35)))</formula>
    </cfRule>
  </conditionalFormatting>
  <conditionalFormatting sqref="K35">
    <cfRule type="cellIs" dxfId="3505" priority="3680" operator="equal">
      <formula>"C-Off-H"</formula>
    </cfRule>
    <cfRule type="cellIs" dxfId="3504" priority="3681" operator="equal">
      <formula>"C-Off"</formula>
    </cfRule>
    <cfRule type="cellIs" dxfId="3503" priority="3682" operator="equal">
      <formula>"CL-H"</formula>
    </cfRule>
    <cfRule type="cellIs" dxfId="3502" priority="3683" operator="equal">
      <formula>"EL-H"</formula>
    </cfRule>
    <cfRule type="cellIs" dxfId="3501" priority="3684" operator="equal">
      <formula>"CL"</formula>
    </cfRule>
    <cfRule type="cellIs" dxfId="3500" priority="3685" operator="equal">
      <formula>"EL"</formula>
    </cfRule>
  </conditionalFormatting>
  <conditionalFormatting sqref="J35:K35">
    <cfRule type="cellIs" dxfId="3499" priority="3674" operator="equal">
      <formula>"C-Off-H"</formula>
    </cfRule>
    <cfRule type="cellIs" dxfId="3498" priority="3675" operator="equal">
      <formula>"C-Off"</formula>
    </cfRule>
    <cfRule type="cellIs" dxfId="3497" priority="3676" operator="equal">
      <formula>"CL-H"</formula>
    </cfRule>
    <cfRule type="cellIs" dxfId="3496" priority="3677" operator="equal">
      <formula>"EL-H"</formula>
    </cfRule>
    <cfRule type="cellIs" dxfId="3495" priority="3678" operator="equal">
      <formula>"CL"</formula>
    </cfRule>
    <cfRule type="cellIs" dxfId="3494" priority="3679" operator="equal">
      <formula>"EL"</formula>
    </cfRule>
  </conditionalFormatting>
  <conditionalFormatting sqref="J35:K35">
    <cfRule type="containsText" dxfId="3493" priority="3668" operator="containsText" text="S">
      <formula>NOT(ISERROR(SEARCH("S",J35)))</formula>
    </cfRule>
    <cfRule type="containsText" dxfId="3492" priority="3669" operator="containsText" text="P">
      <formula>NOT(ISERROR(SEARCH("P",J35)))</formula>
    </cfRule>
    <cfRule type="containsText" dxfId="3491" priority="3670" operator="containsText" text="H">
      <formula>NOT(ISERROR(SEARCH("H",J35)))</formula>
    </cfRule>
    <cfRule type="containsText" dxfId="3490" priority="3672" operator="containsText" text="&quot;H&quot;">
      <formula>NOT(ISERROR(SEARCH("""H""",J35)))</formula>
    </cfRule>
    <cfRule type="containsText" dxfId="3489" priority="3673" operator="containsText" text="&quot;A&quot;">
      <formula>NOT(ISERROR(SEARCH("""A""",J35)))</formula>
    </cfRule>
  </conditionalFormatting>
  <conditionalFormatting sqref="J35:K35">
    <cfRule type="containsText" dxfId="3488" priority="3671" operator="containsText" text="A-H">
      <formula>NOT(ISERROR(SEARCH("A-H",J35)))</formula>
    </cfRule>
  </conditionalFormatting>
  <conditionalFormatting sqref="N35">
    <cfRule type="cellIs" dxfId="3487" priority="3662" operator="equal">
      <formula>"C-Off-H"</formula>
    </cfRule>
    <cfRule type="cellIs" dxfId="3486" priority="3663" operator="equal">
      <formula>"C-Off"</formula>
    </cfRule>
    <cfRule type="cellIs" dxfId="3485" priority="3664" operator="equal">
      <formula>"CL-H"</formula>
    </cfRule>
    <cfRule type="cellIs" dxfId="3484" priority="3665" operator="equal">
      <formula>"EL-H"</formula>
    </cfRule>
    <cfRule type="cellIs" dxfId="3483" priority="3666" operator="equal">
      <formula>"CL"</formula>
    </cfRule>
    <cfRule type="cellIs" dxfId="3482" priority="3667" operator="equal">
      <formula>"EL"</formula>
    </cfRule>
  </conditionalFormatting>
  <conditionalFormatting sqref="M35:N35">
    <cfRule type="cellIs" dxfId="3481" priority="3656" operator="equal">
      <formula>"C-Off-H"</formula>
    </cfRule>
    <cfRule type="cellIs" dxfId="3480" priority="3657" operator="equal">
      <formula>"C-Off"</formula>
    </cfRule>
    <cfRule type="cellIs" dxfId="3479" priority="3658" operator="equal">
      <formula>"CL-H"</formula>
    </cfRule>
    <cfRule type="cellIs" dxfId="3478" priority="3659" operator="equal">
      <formula>"EL-H"</formula>
    </cfRule>
    <cfRule type="cellIs" dxfId="3477" priority="3660" operator="equal">
      <formula>"CL"</formula>
    </cfRule>
    <cfRule type="cellIs" dxfId="3476" priority="3661" operator="equal">
      <formula>"EL"</formula>
    </cfRule>
  </conditionalFormatting>
  <conditionalFormatting sqref="M35:N35">
    <cfRule type="containsText" dxfId="3475" priority="3650" operator="containsText" text="S">
      <formula>NOT(ISERROR(SEARCH("S",M35)))</formula>
    </cfRule>
    <cfRule type="containsText" dxfId="3474" priority="3651" operator="containsText" text="P">
      <formula>NOT(ISERROR(SEARCH("P",M35)))</formula>
    </cfRule>
    <cfRule type="containsText" dxfId="3473" priority="3652" operator="containsText" text="H">
      <formula>NOT(ISERROR(SEARCH("H",M35)))</formula>
    </cfRule>
    <cfRule type="containsText" dxfId="3472" priority="3654" operator="containsText" text="&quot;H&quot;">
      <formula>NOT(ISERROR(SEARCH("""H""",M35)))</formula>
    </cfRule>
    <cfRule type="containsText" dxfId="3471" priority="3655" operator="containsText" text="&quot;A&quot;">
      <formula>NOT(ISERROR(SEARCH("""A""",M35)))</formula>
    </cfRule>
  </conditionalFormatting>
  <conditionalFormatting sqref="M35:N35">
    <cfRule type="containsText" dxfId="3470" priority="3653" operator="containsText" text="A-H">
      <formula>NOT(ISERROR(SEARCH("A-H",M35)))</formula>
    </cfRule>
  </conditionalFormatting>
  <conditionalFormatting sqref="K36">
    <cfRule type="cellIs" dxfId="3469" priority="3644" operator="equal">
      <formula>"C-Off-H"</formula>
    </cfRule>
    <cfRule type="cellIs" dxfId="3468" priority="3645" operator="equal">
      <formula>"C-Off"</formula>
    </cfRule>
    <cfRule type="cellIs" dxfId="3467" priority="3646" operator="equal">
      <formula>"CL-H"</formula>
    </cfRule>
    <cfRule type="cellIs" dxfId="3466" priority="3647" operator="equal">
      <formula>"EL-H"</formula>
    </cfRule>
    <cfRule type="cellIs" dxfId="3465" priority="3648" operator="equal">
      <formula>"CL"</formula>
    </cfRule>
    <cfRule type="cellIs" dxfId="3464" priority="3649" operator="equal">
      <formula>"EL"</formula>
    </cfRule>
  </conditionalFormatting>
  <conditionalFormatting sqref="K36">
    <cfRule type="containsText" dxfId="3463" priority="3643" operator="containsText" text="A-H">
      <formula>NOT(ISERROR(SEARCH("A-H",K36)))</formula>
    </cfRule>
  </conditionalFormatting>
  <conditionalFormatting sqref="K36">
    <cfRule type="containsText" dxfId="3462" priority="3638" operator="containsText" text="S">
      <formula>NOT(ISERROR(SEARCH("S",K36)))</formula>
    </cfRule>
    <cfRule type="containsText" dxfId="3461" priority="3639" operator="containsText" text="P">
      <formula>NOT(ISERROR(SEARCH("P",K36)))</formula>
    </cfRule>
    <cfRule type="containsText" dxfId="3460" priority="3640" operator="containsText" text="H">
      <formula>NOT(ISERROR(SEARCH("H",K36)))</formula>
    </cfRule>
    <cfRule type="containsText" dxfId="3459" priority="3641" operator="containsText" text="&quot;H&quot;">
      <formula>NOT(ISERROR(SEARCH("""H""",K36)))</formula>
    </cfRule>
    <cfRule type="containsText" dxfId="3458" priority="3642" operator="containsText" text="&quot;A&quot;">
      <formula>NOT(ISERROR(SEARCH("""A""",K36)))</formula>
    </cfRule>
  </conditionalFormatting>
  <conditionalFormatting sqref="DC41 CQ41:CW41 M41:N41 CX40:CX42 Z40:Z42 CN40:CN41">
    <cfRule type="cellIs" dxfId="3457" priority="3606" operator="equal">
      <formula>"C-Off-H"</formula>
    </cfRule>
    <cfRule type="cellIs" dxfId="3456" priority="3607" operator="equal">
      <formula>"C-Off"</formula>
    </cfRule>
    <cfRule type="cellIs" dxfId="3455" priority="3608" operator="equal">
      <formula>"CL-H"</formula>
    </cfRule>
    <cfRule type="cellIs" dxfId="3454" priority="3609" operator="equal">
      <formula>"EL-H"</formula>
    </cfRule>
    <cfRule type="cellIs" dxfId="3453" priority="3610" operator="equal">
      <formula>"CL"</formula>
    </cfRule>
    <cfRule type="cellIs" dxfId="3452" priority="3611" operator="equal">
      <formula>"EL"</formula>
    </cfRule>
  </conditionalFormatting>
  <conditionalFormatting sqref="CQ41:CW41 M41:N41 CY41:DA41 DC41 CX40:CX42 Z40:Z42 CN40:CN41">
    <cfRule type="containsText" dxfId="3451" priority="3605" operator="containsText" text="A-H">
      <formula>NOT(ISERROR(SEARCH("A-H",M40)))</formula>
    </cfRule>
  </conditionalFormatting>
  <conditionalFormatting sqref="CQ41:CW41 CY41:DA41 DC41 CX40:CX42 CN40:CN41">
    <cfRule type="containsText" dxfId="3450" priority="3604" operator="containsText" text="A">
      <formula>NOT(ISERROR(SEARCH("A",CN40)))</formula>
    </cfRule>
  </conditionalFormatting>
  <conditionalFormatting sqref="DA41 CY41">
    <cfRule type="cellIs" dxfId="3449" priority="3598" stopIfTrue="1" operator="equal">
      <formula>"C-Off-H"</formula>
    </cfRule>
    <cfRule type="cellIs" dxfId="3448" priority="3599" stopIfTrue="1" operator="equal">
      <formula>"C-Off"</formula>
    </cfRule>
    <cfRule type="cellIs" dxfId="3447" priority="3600" stopIfTrue="1" operator="equal">
      <formula>"CL-H"</formula>
    </cfRule>
    <cfRule type="cellIs" dxfId="3446" priority="3601" stopIfTrue="1" operator="equal">
      <formula>"EL-H"</formula>
    </cfRule>
    <cfRule type="cellIs" dxfId="3445" priority="3602" stopIfTrue="1" operator="equal">
      <formula>"CL"</formula>
    </cfRule>
    <cfRule type="cellIs" dxfId="3444" priority="3603" stopIfTrue="1" operator="equal">
      <formula>"EL"</formula>
    </cfRule>
  </conditionalFormatting>
  <conditionalFormatting sqref="CZ41">
    <cfRule type="cellIs" dxfId="3443" priority="3592" stopIfTrue="1" operator="equal">
      <formula>"C-Off-H"</formula>
    </cfRule>
    <cfRule type="cellIs" dxfId="3442" priority="3593" stopIfTrue="1" operator="equal">
      <formula>"C-Off"</formula>
    </cfRule>
    <cfRule type="cellIs" dxfId="3441" priority="3594" stopIfTrue="1" operator="equal">
      <formula>"CL-H"</formula>
    </cfRule>
    <cfRule type="cellIs" dxfId="3440" priority="3595" stopIfTrue="1" operator="equal">
      <formula>"EL-H"</formula>
    </cfRule>
    <cfRule type="cellIs" dxfId="3439" priority="3596" stopIfTrue="1" operator="equal">
      <formula>"CL"</formula>
    </cfRule>
    <cfRule type="cellIs" dxfId="3438" priority="3597" stopIfTrue="1" operator="equal">
      <formula>"EL"</formula>
    </cfRule>
  </conditionalFormatting>
  <conditionalFormatting sqref="M41:N41 Z40:Z42 CN40:CN41">
    <cfRule type="containsText" dxfId="3437" priority="3587" operator="containsText" text="S">
      <formula>NOT(ISERROR(SEARCH("S",M40)))</formula>
    </cfRule>
    <cfRule type="containsText" dxfId="3436" priority="3588" operator="containsText" text="P">
      <formula>NOT(ISERROR(SEARCH("P",M40)))</formula>
    </cfRule>
    <cfRule type="containsText" dxfId="3435" priority="3589" operator="containsText" text="H">
      <formula>NOT(ISERROR(SEARCH("H",M40)))</formula>
    </cfRule>
    <cfRule type="containsText" dxfId="3434" priority="3590" operator="containsText" text="&quot;H&quot;">
      <formula>NOT(ISERROR(SEARCH("""H""",M40)))</formula>
    </cfRule>
    <cfRule type="containsText" dxfId="3433" priority="3591" operator="containsText" text="&quot;A&quot;">
      <formula>NOT(ISERROR(SEARCH("""A""",M40)))</formula>
    </cfRule>
  </conditionalFormatting>
  <conditionalFormatting sqref="DD41">
    <cfRule type="cellIs" dxfId="3432" priority="3581" operator="equal">
      <formula>"C-Off-H"</formula>
    </cfRule>
    <cfRule type="cellIs" dxfId="3431" priority="3582" operator="equal">
      <formula>"C-Off"</formula>
    </cfRule>
    <cfRule type="cellIs" dxfId="3430" priority="3583" operator="equal">
      <formula>"CL-H"</formula>
    </cfRule>
    <cfRule type="cellIs" dxfId="3429" priority="3584" operator="equal">
      <formula>"EL-H"</formula>
    </cfRule>
    <cfRule type="cellIs" dxfId="3428" priority="3585" operator="equal">
      <formula>"CL"</formula>
    </cfRule>
    <cfRule type="cellIs" dxfId="3427" priority="3586" operator="equal">
      <formula>"EL"</formula>
    </cfRule>
  </conditionalFormatting>
  <conditionalFormatting sqref="DD41">
    <cfRule type="containsText" dxfId="3426" priority="3580" operator="containsText" text="A">
      <formula>NOT(ISERROR(SEARCH("A",DD41)))</formula>
    </cfRule>
  </conditionalFormatting>
  <conditionalFormatting sqref="DD41">
    <cfRule type="containsText" dxfId="3425" priority="3579" operator="containsText" text="A-H">
      <formula>NOT(ISERROR(SEARCH("A-H",DD41)))</formula>
    </cfRule>
  </conditionalFormatting>
  <conditionalFormatting sqref="AI41">
    <cfRule type="cellIs" dxfId="3424" priority="3573" operator="equal">
      <formula>"C-Off-H"</formula>
    </cfRule>
    <cfRule type="cellIs" dxfId="3423" priority="3574" operator="equal">
      <formula>"C-Off"</formula>
    </cfRule>
    <cfRule type="cellIs" dxfId="3422" priority="3575" operator="equal">
      <formula>"CL-H"</formula>
    </cfRule>
    <cfRule type="cellIs" dxfId="3421" priority="3576" operator="equal">
      <formula>"EL-H"</formula>
    </cfRule>
    <cfRule type="cellIs" dxfId="3420" priority="3577" operator="equal">
      <formula>"CL"</formula>
    </cfRule>
    <cfRule type="cellIs" dxfId="3419" priority="3578" operator="equal">
      <formula>"EL"</formula>
    </cfRule>
  </conditionalFormatting>
  <conditionalFormatting sqref="AH41:AI41">
    <cfRule type="cellIs" dxfId="3418" priority="3567" operator="equal">
      <formula>"C-Off-H"</formula>
    </cfRule>
    <cfRule type="cellIs" dxfId="3417" priority="3568" operator="equal">
      <formula>"C-Off"</formula>
    </cfRule>
    <cfRule type="cellIs" dxfId="3416" priority="3569" operator="equal">
      <formula>"CL-H"</formula>
    </cfRule>
    <cfRule type="cellIs" dxfId="3415" priority="3570" operator="equal">
      <formula>"EL-H"</formula>
    </cfRule>
    <cfRule type="cellIs" dxfId="3414" priority="3571" operator="equal">
      <formula>"CL"</formula>
    </cfRule>
    <cfRule type="cellIs" dxfId="3413" priority="3572" operator="equal">
      <formula>"EL"</formula>
    </cfRule>
  </conditionalFormatting>
  <conditionalFormatting sqref="AH41:AI41">
    <cfRule type="containsText" dxfId="3412" priority="3561" operator="containsText" text="S">
      <formula>NOT(ISERROR(SEARCH("S",AH41)))</formula>
    </cfRule>
    <cfRule type="containsText" dxfId="3411" priority="3562" operator="containsText" text="P">
      <formula>NOT(ISERROR(SEARCH("P",AH41)))</formula>
    </cfRule>
    <cfRule type="containsText" dxfId="3410" priority="3563" operator="containsText" text="H">
      <formula>NOT(ISERROR(SEARCH("H",AH41)))</formula>
    </cfRule>
    <cfRule type="containsText" dxfId="3409" priority="3565" operator="containsText" text="&quot;H&quot;">
      <formula>NOT(ISERROR(SEARCH("""H""",AH41)))</formula>
    </cfRule>
    <cfRule type="containsText" dxfId="3408" priority="3566" operator="containsText" text="&quot;A&quot;">
      <formula>NOT(ISERROR(SEARCH("""A""",AH41)))</formula>
    </cfRule>
  </conditionalFormatting>
  <conditionalFormatting sqref="AH41:AI41">
    <cfRule type="containsText" dxfId="3407" priority="3564" operator="containsText" text="A-H">
      <formula>NOT(ISERROR(SEARCH("A-H",AH41)))</formula>
    </cfRule>
  </conditionalFormatting>
  <conditionalFormatting sqref="AU41">
    <cfRule type="cellIs" dxfId="3406" priority="3555" operator="equal">
      <formula>"C-Off-H"</formula>
    </cfRule>
    <cfRule type="cellIs" dxfId="3405" priority="3556" operator="equal">
      <formula>"C-Off"</formula>
    </cfRule>
    <cfRule type="cellIs" dxfId="3404" priority="3557" operator="equal">
      <formula>"CL-H"</formula>
    </cfRule>
    <cfRule type="cellIs" dxfId="3403" priority="3558" operator="equal">
      <formula>"EL-H"</formula>
    </cfRule>
    <cfRule type="cellIs" dxfId="3402" priority="3559" operator="equal">
      <formula>"CL"</formula>
    </cfRule>
    <cfRule type="cellIs" dxfId="3401" priority="3560" operator="equal">
      <formula>"EL"</formula>
    </cfRule>
  </conditionalFormatting>
  <conditionalFormatting sqref="AT41:AU41">
    <cfRule type="cellIs" dxfId="3400" priority="3549" operator="equal">
      <formula>"C-Off-H"</formula>
    </cfRule>
    <cfRule type="cellIs" dxfId="3399" priority="3550" operator="equal">
      <formula>"C-Off"</formula>
    </cfRule>
    <cfRule type="cellIs" dxfId="3398" priority="3551" operator="equal">
      <formula>"CL-H"</formula>
    </cfRule>
    <cfRule type="cellIs" dxfId="3397" priority="3552" operator="equal">
      <formula>"EL-H"</formula>
    </cfRule>
    <cfRule type="cellIs" dxfId="3396" priority="3553" operator="equal">
      <formula>"CL"</formula>
    </cfRule>
    <cfRule type="cellIs" dxfId="3395" priority="3554" operator="equal">
      <formula>"EL"</formula>
    </cfRule>
  </conditionalFormatting>
  <conditionalFormatting sqref="AT41:AU41">
    <cfRule type="containsText" dxfId="3394" priority="3543" operator="containsText" text="S">
      <formula>NOT(ISERROR(SEARCH("S",AT41)))</formula>
    </cfRule>
    <cfRule type="containsText" dxfId="3393" priority="3544" operator="containsText" text="P">
      <formula>NOT(ISERROR(SEARCH("P",AT41)))</formula>
    </cfRule>
    <cfRule type="containsText" dxfId="3392" priority="3545" operator="containsText" text="H">
      <formula>NOT(ISERROR(SEARCH("H",AT41)))</formula>
    </cfRule>
    <cfRule type="containsText" dxfId="3391" priority="3547" operator="containsText" text="&quot;H&quot;">
      <formula>NOT(ISERROR(SEARCH("""H""",AT41)))</formula>
    </cfRule>
    <cfRule type="containsText" dxfId="3390" priority="3548" operator="containsText" text="&quot;A&quot;">
      <formula>NOT(ISERROR(SEARCH("""A""",AT41)))</formula>
    </cfRule>
  </conditionalFormatting>
  <conditionalFormatting sqref="AT41:AU41">
    <cfRule type="containsText" dxfId="3389" priority="3546" operator="containsText" text="A-H">
      <formula>NOT(ISERROR(SEARCH("A-H",AT41)))</formula>
    </cfRule>
  </conditionalFormatting>
  <conditionalFormatting sqref="E41">
    <cfRule type="cellIs" dxfId="3388" priority="3537" operator="equal">
      <formula>"C-Off-H"</formula>
    </cfRule>
    <cfRule type="cellIs" dxfId="3387" priority="3538" operator="equal">
      <formula>"C-Off"</formula>
    </cfRule>
    <cfRule type="cellIs" dxfId="3386" priority="3539" operator="equal">
      <formula>"CL-H"</formula>
    </cfRule>
    <cfRule type="cellIs" dxfId="3385" priority="3540" operator="equal">
      <formula>"EL-H"</formula>
    </cfRule>
    <cfRule type="cellIs" dxfId="3384" priority="3541" operator="equal">
      <formula>"CL"</formula>
    </cfRule>
    <cfRule type="cellIs" dxfId="3383" priority="3542" operator="equal">
      <formula>"EL"</formula>
    </cfRule>
  </conditionalFormatting>
  <conditionalFormatting sqref="D41:E41">
    <cfRule type="cellIs" dxfId="3382" priority="3531" operator="equal">
      <formula>"C-Off-H"</formula>
    </cfRule>
    <cfRule type="cellIs" dxfId="3381" priority="3532" operator="equal">
      <formula>"C-Off"</formula>
    </cfRule>
    <cfRule type="cellIs" dxfId="3380" priority="3533" operator="equal">
      <formula>"CL-H"</formula>
    </cfRule>
    <cfRule type="cellIs" dxfId="3379" priority="3534" operator="equal">
      <formula>"EL-H"</formula>
    </cfRule>
    <cfRule type="cellIs" dxfId="3378" priority="3535" operator="equal">
      <formula>"CL"</formula>
    </cfRule>
    <cfRule type="cellIs" dxfId="3377" priority="3536" operator="equal">
      <formula>"EL"</formula>
    </cfRule>
  </conditionalFormatting>
  <conditionalFormatting sqref="D41:E41">
    <cfRule type="containsText" dxfId="3376" priority="3525" operator="containsText" text="S">
      <formula>NOT(ISERROR(SEARCH("S",D41)))</formula>
    </cfRule>
    <cfRule type="containsText" dxfId="3375" priority="3526" operator="containsText" text="P">
      <formula>NOT(ISERROR(SEARCH("P",D41)))</formula>
    </cfRule>
    <cfRule type="containsText" dxfId="3374" priority="3527" operator="containsText" text="H">
      <formula>NOT(ISERROR(SEARCH("H",D41)))</formula>
    </cfRule>
    <cfRule type="containsText" dxfId="3373" priority="3529" operator="containsText" text="&quot;H&quot;">
      <formula>NOT(ISERROR(SEARCH("""H""",D41)))</formula>
    </cfRule>
    <cfRule type="containsText" dxfId="3372" priority="3530" operator="containsText" text="&quot;A&quot;">
      <formula>NOT(ISERROR(SEARCH("""A""",D41)))</formula>
    </cfRule>
  </conditionalFormatting>
  <conditionalFormatting sqref="D41:E41">
    <cfRule type="containsText" dxfId="3371" priority="3528" operator="containsText" text="A-H">
      <formula>NOT(ISERROR(SEARCH("A-H",D41)))</formula>
    </cfRule>
  </conditionalFormatting>
  <conditionalFormatting sqref="Y41">
    <cfRule type="cellIs" dxfId="3370" priority="3519" operator="equal">
      <formula>"C-Off-H"</formula>
    </cfRule>
    <cfRule type="cellIs" dxfId="3369" priority="3520" operator="equal">
      <formula>"C-Off"</formula>
    </cfRule>
    <cfRule type="cellIs" dxfId="3368" priority="3521" operator="equal">
      <formula>"CL-H"</formula>
    </cfRule>
    <cfRule type="cellIs" dxfId="3367" priority="3522" operator="equal">
      <formula>"EL-H"</formula>
    </cfRule>
    <cfRule type="cellIs" dxfId="3366" priority="3523" operator="equal">
      <formula>"CL"</formula>
    </cfRule>
    <cfRule type="cellIs" dxfId="3365" priority="3524" operator="equal">
      <formula>"EL"</formula>
    </cfRule>
  </conditionalFormatting>
  <conditionalFormatting sqref="Y41">
    <cfRule type="containsText" dxfId="3364" priority="3513" operator="containsText" text="S">
      <formula>NOT(ISERROR(SEARCH("S",Y41)))</formula>
    </cfRule>
    <cfRule type="containsText" dxfId="3363" priority="3514" operator="containsText" text="P">
      <formula>NOT(ISERROR(SEARCH("P",Y41)))</formula>
    </cfRule>
    <cfRule type="containsText" dxfId="3362" priority="3515" operator="containsText" text="H">
      <formula>NOT(ISERROR(SEARCH("H",Y41)))</formula>
    </cfRule>
    <cfRule type="containsText" dxfId="3361" priority="3517" operator="containsText" text="&quot;H&quot;">
      <formula>NOT(ISERROR(SEARCH("""H""",Y41)))</formula>
    </cfRule>
    <cfRule type="containsText" dxfId="3360" priority="3518" operator="containsText" text="&quot;A&quot;">
      <formula>NOT(ISERROR(SEARCH("""A""",Y41)))</formula>
    </cfRule>
  </conditionalFormatting>
  <conditionalFormatting sqref="Y41">
    <cfRule type="containsText" dxfId="3359" priority="3516" operator="containsText" text="A-H">
      <formula>NOT(ISERROR(SEARCH("A-H",Y41)))</formula>
    </cfRule>
  </conditionalFormatting>
  <conditionalFormatting sqref="AF41">
    <cfRule type="cellIs" dxfId="3358" priority="3507" operator="equal">
      <formula>"C-Off-H"</formula>
    </cfRule>
    <cfRule type="cellIs" dxfId="3357" priority="3508" operator="equal">
      <formula>"C-Off"</formula>
    </cfRule>
    <cfRule type="cellIs" dxfId="3356" priority="3509" operator="equal">
      <formula>"CL-H"</formula>
    </cfRule>
    <cfRule type="cellIs" dxfId="3355" priority="3510" operator="equal">
      <formula>"EL-H"</formula>
    </cfRule>
    <cfRule type="cellIs" dxfId="3354" priority="3511" operator="equal">
      <formula>"CL"</formula>
    </cfRule>
    <cfRule type="cellIs" dxfId="3353" priority="3512" operator="equal">
      <formula>"EL"</formula>
    </cfRule>
  </conditionalFormatting>
  <conditionalFormatting sqref="AF41">
    <cfRule type="containsText" dxfId="3352" priority="3501" operator="containsText" text="S">
      <formula>NOT(ISERROR(SEARCH("S",AF41)))</formula>
    </cfRule>
    <cfRule type="containsText" dxfId="3351" priority="3502" operator="containsText" text="P">
      <formula>NOT(ISERROR(SEARCH("P",AF41)))</formula>
    </cfRule>
    <cfRule type="containsText" dxfId="3350" priority="3503" operator="containsText" text="H">
      <formula>NOT(ISERROR(SEARCH("H",AF41)))</formula>
    </cfRule>
    <cfRule type="containsText" dxfId="3349" priority="3505" operator="containsText" text="&quot;H&quot;">
      <formula>NOT(ISERROR(SEARCH("""H""",AF41)))</formula>
    </cfRule>
    <cfRule type="containsText" dxfId="3348" priority="3506" operator="containsText" text="&quot;A&quot;">
      <formula>NOT(ISERROR(SEARCH("""A""",AF41)))</formula>
    </cfRule>
  </conditionalFormatting>
  <conditionalFormatting sqref="AF41">
    <cfRule type="containsText" dxfId="3347" priority="3504" operator="containsText" text="A-H">
      <formula>NOT(ISERROR(SEARCH("A-H",AF41)))</formula>
    </cfRule>
  </conditionalFormatting>
  <conditionalFormatting sqref="BO41:BP41">
    <cfRule type="cellIs" dxfId="3346" priority="3495" operator="equal">
      <formula>"C-Off-H"</formula>
    </cfRule>
    <cfRule type="cellIs" dxfId="3345" priority="3496" operator="equal">
      <formula>"C-Off"</formula>
    </cfRule>
    <cfRule type="cellIs" dxfId="3344" priority="3497" operator="equal">
      <formula>"CL-H"</formula>
    </cfRule>
    <cfRule type="cellIs" dxfId="3343" priority="3498" operator="equal">
      <formula>"EL-H"</formula>
    </cfRule>
    <cfRule type="cellIs" dxfId="3342" priority="3499" operator="equal">
      <formula>"CL"</formula>
    </cfRule>
    <cfRule type="cellIs" dxfId="3341" priority="3500" operator="equal">
      <formula>"EL"</formula>
    </cfRule>
  </conditionalFormatting>
  <conditionalFormatting sqref="BO41:BP41">
    <cfRule type="cellIs" dxfId="3340" priority="3489" operator="equal">
      <formula>"C-Off-H"</formula>
    </cfRule>
    <cfRule type="cellIs" dxfId="3339" priority="3490" operator="equal">
      <formula>"C-Off"</formula>
    </cfRule>
    <cfRule type="cellIs" dxfId="3338" priority="3491" operator="equal">
      <formula>"CL-H"</formula>
    </cfRule>
    <cfRule type="cellIs" dxfId="3337" priority="3492" operator="equal">
      <formula>"EL-H"</formula>
    </cfRule>
    <cfRule type="cellIs" dxfId="3336" priority="3493" operator="equal">
      <formula>"CL"</formula>
    </cfRule>
    <cfRule type="cellIs" dxfId="3335" priority="3494" operator="equal">
      <formula>"EL"</formula>
    </cfRule>
  </conditionalFormatting>
  <conditionalFormatting sqref="BO41:BP41">
    <cfRule type="containsText" dxfId="3334" priority="3483" operator="containsText" text="S">
      <formula>NOT(ISERROR(SEARCH("S",BO41)))</formula>
    </cfRule>
    <cfRule type="containsText" dxfId="3333" priority="3484" operator="containsText" text="P">
      <formula>NOT(ISERROR(SEARCH("P",BO41)))</formula>
    </cfRule>
    <cfRule type="containsText" dxfId="3332" priority="3485" operator="containsText" text="H">
      <formula>NOT(ISERROR(SEARCH("H",BO41)))</formula>
    </cfRule>
    <cfRule type="containsText" dxfId="3331" priority="3487" operator="containsText" text="&quot;H&quot;">
      <formula>NOT(ISERROR(SEARCH("""H""",BO41)))</formula>
    </cfRule>
    <cfRule type="containsText" dxfId="3330" priority="3488" operator="containsText" text="&quot;A&quot;">
      <formula>NOT(ISERROR(SEARCH("""A""",BO41)))</formula>
    </cfRule>
  </conditionalFormatting>
  <conditionalFormatting sqref="BO41:BP41">
    <cfRule type="containsText" dxfId="3329" priority="3486" operator="containsText" text="A-H">
      <formula>NOT(ISERROR(SEARCH("A-H",BO41)))</formula>
    </cfRule>
  </conditionalFormatting>
  <conditionalFormatting sqref="CM41">
    <cfRule type="cellIs" dxfId="3328" priority="3477" operator="equal">
      <formula>"C-Off-H"</formula>
    </cfRule>
    <cfRule type="cellIs" dxfId="3327" priority="3478" operator="equal">
      <formula>"C-Off"</formula>
    </cfRule>
    <cfRule type="cellIs" dxfId="3326" priority="3479" operator="equal">
      <formula>"CL-H"</formula>
    </cfRule>
    <cfRule type="cellIs" dxfId="3325" priority="3480" operator="equal">
      <formula>"EL-H"</formula>
    </cfRule>
    <cfRule type="cellIs" dxfId="3324" priority="3481" operator="equal">
      <formula>"CL"</formula>
    </cfRule>
    <cfRule type="cellIs" dxfId="3323" priority="3482" operator="equal">
      <formula>"EL"</formula>
    </cfRule>
  </conditionalFormatting>
  <conditionalFormatting sqref="CM41">
    <cfRule type="cellIs" dxfId="3322" priority="3471" operator="equal">
      <formula>"C-Off-H"</formula>
    </cfRule>
    <cfRule type="cellIs" dxfId="3321" priority="3472" operator="equal">
      <formula>"C-Off"</formula>
    </cfRule>
    <cfRule type="cellIs" dxfId="3320" priority="3473" operator="equal">
      <formula>"CL-H"</formula>
    </cfRule>
    <cfRule type="cellIs" dxfId="3319" priority="3474" operator="equal">
      <formula>"EL-H"</formula>
    </cfRule>
    <cfRule type="cellIs" dxfId="3318" priority="3475" operator="equal">
      <formula>"CL"</formula>
    </cfRule>
    <cfRule type="cellIs" dxfId="3317" priority="3476" operator="equal">
      <formula>"EL"</formula>
    </cfRule>
  </conditionalFormatting>
  <conditionalFormatting sqref="CM41">
    <cfRule type="containsText" dxfId="3316" priority="3465" operator="containsText" text="S">
      <formula>NOT(ISERROR(SEARCH("S",CM41)))</formula>
    </cfRule>
    <cfRule type="containsText" dxfId="3315" priority="3466" operator="containsText" text="P">
      <formula>NOT(ISERROR(SEARCH("P",CM41)))</formula>
    </cfRule>
    <cfRule type="containsText" dxfId="3314" priority="3467" operator="containsText" text="H">
      <formula>NOT(ISERROR(SEARCH("H",CM41)))</formula>
    </cfRule>
    <cfRule type="containsText" dxfId="3313" priority="3469" operator="containsText" text="&quot;H&quot;">
      <formula>NOT(ISERROR(SEARCH("""H""",CM41)))</formula>
    </cfRule>
    <cfRule type="containsText" dxfId="3312" priority="3470" operator="containsText" text="&quot;A&quot;">
      <formula>NOT(ISERROR(SEARCH("""A""",CM41)))</formula>
    </cfRule>
  </conditionalFormatting>
  <conditionalFormatting sqref="CM41">
    <cfRule type="containsText" dxfId="3311" priority="3468" operator="containsText" text="A-H">
      <formula>NOT(ISERROR(SEARCH("A-H",CM41)))</formula>
    </cfRule>
  </conditionalFormatting>
  <conditionalFormatting sqref="V41:W41">
    <cfRule type="cellIs" dxfId="3310" priority="3435" operator="equal">
      <formula>"C-Off-H"</formula>
    </cfRule>
    <cfRule type="cellIs" dxfId="3309" priority="3436" operator="equal">
      <formula>"C-Off"</formula>
    </cfRule>
    <cfRule type="cellIs" dxfId="3308" priority="3437" operator="equal">
      <formula>"CL-H"</formula>
    </cfRule>
    <cfRule type="cellIs" dxfId="3307" priority="3438" operator="equal">
      <formula>"EL-H"</formula>
    </cfRule>
    <cfRule type="cellIs" dxfId="3306" priority="3439" operator="equal">
      <formula>"CL"</formula>
    </cfRule>
    <cfRule type="cellIs" dxfId="3305" priority="3440" operator="equal">
      <formula>"EL"</formula>
    </cfRule>
  </conditionalFormatting>
  <conditionalFormatting sqref="V41:W41">
    <cfRule type="containsText" dxfId="3304" priority="3429" operator="containsText" text="S">
      <formula>NOT(ISERROR(SEARCH("S",V41)))</formula>
    </cfRule>
    <cfRule type="containsText" dxfId="3303" priority="3430" operator="containsText" text="P">
      <formula>NOT(ISERROR(SEARCH("P",V41)))</formula>
    </cfRule>
    <cfRule type="containsText" dxfId="3302" priority="3431" operator="containsText" text="H">
      <formula>NOT(ISERROR(SEARCH("H",V41)))</formula>
    </cfRule>
    <cfRule type="containsText" dxfId="3301" priority="3433" operator="containsText" text="&quot;H&quot;">
      <formula>NOT(ISERROR(SEARCH("""H""",V41)))</formula>
    </cfRule>
    <cfRule type="containsText" dxfId="3300" priority="3434" operator="containsText" text="&quot;A&quot;">
      <formula>NOT(ISERROR(SEARCH("""A""",V41)))</formula>
    </cfRule>
  </conditionalFormatting>
  <conditionalFormatting sqref="V41:W41">
    <cfRule type="containsText" dxfId="3299" priority="3432" operator="containsText" text="A-H">
      <formula>NOT(ISERROR(SEARCH("A-H",V41)))</formula>
    </cfRule>
  </conditionalFormatting>
  <conditionalFormatting sqref="P41:Q41">
    <cfRule type="cellIs" dxfId="3298" priority="3459" operator="equal">
      <formula>"C-Off-H"</formula>
    </cfRule>
    <cfRule type="cellIs" dxfId="3297" priority="3460" operator="equal">
      <formula>"C-Off"</formula>
    </cfRule>
    <cfRule type="cellIs" dxfId="3296" priority="3461" operator="equal">
      <formula>"CL-H"</formula>
    </cfRule>
    <cfRule type="cellIs" dxfId="3295" priority="3462" operator="equal">
      <formula>"EL-H"</formula>
    </cfRule>
    <cfRule type="cellIs" dxfId="3294" priority="3463" operator="equal">
      <formula>"CL"</formula>
    </cfRule>
    <cfRule type="cellIs" dxfId="3293" priority="3464" operator="equal">
      <formula>"EL"</formula>
    </cfRule>
  </conditionalFormatting>
  <conditionalFormatting sqref="P41:Q41">
    <cfRule type="containsText" dxfId="3292" priority="3453" operator="containsText" text="S">
      <formula>NOT(ISERROR(SEARCH("S",P41)))</formula>
    </cfRule>
    <cfRule type="containsText" dxfId="3291" priority="3454" operator="containsText" text="P">
      <formula>NOT(ISERROR(SEARCH("P",P41)))</formula>
    </cfRule>
    <cfRule type="containsText" dxfId="3290" priority="3455" operator="containsText" text="H">
      <formula>NOT(ISERROR(SEARCH("H",P41)))</formula>
    </cfRule>
    <cfRule type="containsText" dxfId="3289" priority="3457" operator="containsText" text="&quot;H&quot;">
      <formula>NOT(ISERROR(SEARCH("""H""",P41)))</formula>
    </cfRule>
    <cfRule type="containsText" dxfId="3288" priority="3458" operator="containsText" text="&quot;A&quot;">
      <formula>NOT(ISERROR(SEARCH("""A""",P41)))</formula>
    </cfRule>
  </conditionalFormatting>
  <conditionalFormatting sqref="P41:Q41">
    <cfRule type="containsText" dxfId="3287" priority="3456" operator="containsText" text="A-H">
      <formula>NOT(ISERROR(SEARCH("A-H",P41)))</formula>
    </cfRule>
  </conditionalFormatting>
  <conditionalFormatting sqref="S41:T41">
    <cfRule type="cellIs" dxfId="3286" priority="3447" operator="equal">
      <formula>"C-Off-H"</formula>
    </cfRule>
    <cfRule type="cellIs" dxfId="3285" priority="3448" operator="equal">
      <formula>"C-Off"</formula>
    </cfRule>
    <cfRule type="cellIs" dxfId="3284" priority="3449" operator="equal">
      <formula>"CL-H"</formula>
    </cfRule>
    <cfRule type="cellIs" dxfId="3283" priority="3450" operator="equal">
      <formula>"EL-H"</formula>
    </cfRule>
    <cfRule type="cellIs" dxfId="3282" priority="3451" operator="equal">
      <formula>"CL"</formula>
    </cfRule>
    <cfRule type="cellIs" dxfId="3281" priority="3452" operator="equal">
      <formula>"EL"</formula>
    </cfRule>
  </conditionalFormatting>
  <conditionalFormatting sqref="S41:T41">
    <cfRule type="containsText" dxfId="3280" priority="3441" operator="containsText" text="S">
      <formula>NOT(ISERROR(SEARCH("S",S41)))</formula>
    </cfRule>
    <cfRule type="containsText" dxfId="3279" priority="3442" operator="containsText" text="P">
      <formula>NOT(ISERROR(SEARCH("P",S41)))</formula>
    </cfRule>
    <cfRule type="containsText" dxfId="3278" priority="3443" operator="containsText" text="H">
      <formula>NOT(ISERROR(SEARCH("H",S41)))</formula>
    </cfRule>
    <cfRule type="containsText" dxfId="3277" priority="3445" operator="containsText" text="&quot;H&quot;">
      <formula>NOT(ISERROR(SEARCH("""H""",S41)))</formula>
    </cfRule>
    <cfRule type="containsText" dxfId="3276" priority="3446" operator="containsText" text="&quot;A&quot;">
      <formula>NOT(ISERROR(SEARCH("""A""",S41)))</formula>
    </cfRule>
  </conditionalFormatting>
  <conditionalFormatting sqref="S41:T41">
    <cfRule type="containsText" dxfId="3275" priority="3444" operator="containsText" text="A-H">
      <formula>NOT(ISERROR(SEARCH("A-H",S41)))</formula>
    </cfRule>
  </conditionalFormatting>
  <conditionalFormatting sqref="AB41:AC41">
    <cfRule type="cellIs" dxfId="3274" priority="3423" operator="equal">
      <formula>"C-Off-H"</formula>
    </cfRule>
    <cfRule type="cellIs" dxfId="3273" priority="3424" operator="equal">
      <formula>"C-Off"</formula>
    </cfRule>
    <cfRule type="cellIs" dxfId="3272" priority="3425" operator="equal">
      <formula>"CL-H"</formula>
    </cfRule>
    <cfRule type="cellIs" dxfId="3271" priority="3426" operator="equal">
      <formula>"EL-H"</formula>
    </cfRule>
    <cfRule type="cellIs" dxfId="3270" priority="3427" operator="equal">
      <formula>"CL"</formula>
    </cfRule>
    <cfRule type="cellIs" dxfId="3269" priority="3428" operator="equal">
      <formula>"EL"</formula>
    </cfRule>
  </conditionalFormatting>
  <conditionalFormatting sqref="AB41:AC41">
    <cfRule type="containsText" dxfId="3268" priority="3417" operator="containsText" text="S">
      <formula>NOT(ISERROR(SEARCH("S",AB41)))</formula>
    </cfRule>
    <cfRule type="containsText" dxfId="3267" priority="3418" operator="containsText" text="P">
      <formula>NOT(ISERROR(SEARCH("P",AB41)))</formula>
    </cfRule>
    <cfRule type="containsText" dxfId="3266" priority="3419" operator="containsText" text="H">
      <formula>NOT(ISERROR(SEARCH("H",AB41)))</formula>
    </cfRule>
    <cfRule type="containsText" dxfId="3265" priority="3421" operator="containsText" text="&quot;H&quot;">
      <formula>NOT(ISERROR(SEARCH("""H""",AB41)))</formula>
    </cfRule>
    <cfRule type="containsText" dxfId="3264" priority="3422" operator="containsText" text="&quot;A&quot;">
      <formula>NOT(ISERROR(SEARCH("""A""",AB41)))</formula>
    </cfRule>
  </conditionalFormatting>
  <conditionalFormatting sqref="AB41:AC41">
    <cfRule type="containsText" dxfId="3263" priority="3420" operator="containsText" text="A-H">
      <formula>NOT(ISERROR(SEARCH("A-H",AB41)))</formula>
    </cfRule>
  </conditionalFormatting>
  <conditionalFormatting sqref="AE41">
    <cfRule type="cellIs" dxfId="3262" priority="3411" operator="equal">
      <formula>"C-Off-H"</formula>
    </cfRule>
    <cfRule type="cellIs" dxfId="3261" priority="3412" operator="equal">
      <formula>"C-Off"</formula>
    </cfRule>
    <cfRule type="cellIs" dxfId="3260" priority="3413" operator="equal">
      <formula>"CL-H"</formula>
    </cfRule>
    <cfRule type="cellIs" dxfId="3259" priority="3414" operator="equal">
      <formula>"EL-H"</formula>
    </cfRule>
    <cfRule type="cellIs" dxfId="3258" priority="3415" operator="equal">
      <formula>"CL"</formula>
    </cfRule>
    <cfRule type="cellIs" dxfId="3257" priority="3416" operator="equal">
      <formula>"EL"</formula>
    </cfRule>
  </conditionalFormatting>
  <conditionalFormatting sqref="AE41">
    <cfRule type="containsText" dxfId="3256" priority="3405" operator="containsText" text="S">
      <formula>NOT(ISERROR(SEARCH("S",AE41)))</formula>
    </cfRule>
    <cfRule type="containsText" dxfId="3255" priority="3406" operator="containsText" text="P">
      <formula>NOT(ISERROR(SEARCH("P",AE41)))</formula>
    </cfRule>
    <cfRule type="containsText" dxfId="3254" priority="3407" operator="containsText" text="H">
      <formula>NOT(ISERROR(SEARCH("H",AE41)))</formula>
    </cfRule>
    <cfRule type="containsText" dxfId="3253" priority="3409" operator="containsText" text="&quot;H&quot;">
      <formula>NOT(ISERROR(SEARCH("""H""",AE41)))</formula>
    </cfRule>
    <cfRule type="containsText" dxfId="3252" priority="3410" operator="containsText" text="&quot;A&quot;">
      <formula>NOT(ISERROR(SEARCH("""A""",AE41)))</formula>
    </cfRule>
  </conditionalFormatting>
  <conditionalFormatting sqref="AE41">
    <cfRule type="containsText" dxfId="3251" priority="3408" operator="containsText" text="A-H">
      <formula>NOT(ISERROR(SEARCH("A-H",AE41)))</formula>
    </cfRule>
  </conditionalFormatting>
  <conditionalFormatting sqref="AK41:AL41">
    <cfRule type="cellIs" dxfId="3250" priority="3399" operator="equal">
      <formula>"C-Off-H"</formula>
    </cfRule>
    <cfRule type="cellIs" dxfId="3249" priority="3400" operator="equal">
      <formula>"C-Off"</formula>
    </cfRule>
    <cfRule type="cellIs" dxfId="3248" priority="3401" operator="equal">
      <formula>"CL-H"</formula>
    </cfRule>
    <cfRule type="cellIs" dxfId="3247" priority="3402" operator="equal">
      <formula>"EL-H"</formula>
    </cfRule>
    <cfRule type="cellIs" dxfId="3246" priority="3403" operator="equal">
      <formula>"CL"</formula>
    </cfRule>
    <cfRule type="cellIs" dxfId="3245" priority="3404" operator="equal">
      <formula>"EL"</formula>
    </cfRule>
  </conditionalFormatting>
  <conditionalFormatting sqref="AK41:AL41">
    <cfRule type="containsText" dxfId="3244" priority="3393" operator="containsText" text="S">
      <formula>NOT(ISERROR(SEARCH("S",AK41)))</formula>
    </cfRule>
    <cfRule type="containsText" dxfId="3243" priority="3394" operator="containsText" text="P">
      <formula>NOT(ISERROR(SEARCH("P",AK41)))</formula>
    </cfRule>
    <cfRule type="containsText" dxfId="3242" priority="3395" operator="containsText" text="H">
      <formula>NOT(ISERROR(SEARCH("H",AK41)))</formula>
    </cfRule>
    <cfRule type="containsText" dxfId="3241" priority="3397" operator="containsText" text="&quot;H&quot;">
      <formula>NOT(ISERROR(SEARCH("""H""",AK41)))</formula>
    </cfRule>
    <cfRule type="containsText" dxfId="3240" priority="3398" operator="containsText" text="&quot;A&quot;">
      <formula>NOT(ISERROR(SEARCH("""A""",AK41)))</formula>
    </cfRule>
  </conditionalFormatting>
  <conditionalFormatting sqref="AK41:AL41">
    <cfRule type="containsText" dxfId="3239" priority="3396" operator="containsText" text="A-H">
      <formula>NOT(ISERROR(SEARCH("A-H",AK41)))</formula>
    </cfRule>
  </conditionalFormatting>
  <conditionalFormatting sqref="AN41:AO41">
    <cfRule type="cellIs" dxfId="3238" priority="3387" operator="equal">
      <formula>"C-Off-H"</formula>
    </cfRule>
    <cfRule type="cellIs" dxfId="3237" priority="3388" operator="equal">
      <formula>"C-Off"</formula>
    </cfRule>
    <cfRule type="cellIs" dxfId="3236" priority="3389" operator="equal">
      <formula>"CL-H"</formula>
    </cfRule>
    <cfRule type="cellIs" dxfId="3235" priority="3390" operator="equal">
      <formula>"EL-H"</formula>
    </cfRule>
    <cfRule type="cellIs" dxfId="3234" priority="3391" operator="equal">
      <formula>"CL"</formula>
    </cfRule>
    <cfRule type="cellIs" dxfId="3233" priority="3392" operator="equal">
      <formula>"EL"</formula>
    </cfRule>
  </conditionalFormatting>
  <conditionalFormatting sqref="AN41:AO41">
    <cfRule type="containsText" dxfId="3232" priority="3381" operator="containsText" text="S">
      <formula>NOT(ISERROR(SEARCH("S",AN41)))</formula>
    </cfRule>
    <cfRule type="containsText" dxfId="3231" priority="3382" operator="containsText" text="P">
      <formula>NOT(ISERROR(SEARCH("P",AN41)))</formula>
    </cfRule>
    <cfRule type="containsText" dxfId="3230" priority="3383" operator="containsText" text="H">
      <formula>NOT(ISERROR(SEARCH("H",AN41)))</formula>
    </cfRule>
    <cfRule type="containsText" dxfId="3229" priority="3385" operator="containsText" text="&quot;H&quot;">
      <formula>NOT(ISERROR(SEARCH("""H""",AN41)))</formula>
    </cfRule>
    <cfRule type="containsText" dxfId="3228" priority="3386" operator="containsText" text="&quot;A&quot;">
      <formula>NOT(ISERROR(SEARCH("""A""",AN41)))</formula>
    </cfRule>
  </conditionalFormatting>
  <conditionalFormatting sqref="AN41:AO41">
    <cfRule type="containsText" dxfId="3227" priority="3384" operator="containsText" text="A-H">
      <formula>NOT(ISERROR(SEARCH("A-H",AN41)))</formula>
    </cfRule>
  </conditionalFormatting>
  <conditionalFormatting sqref="AQ41:AR41">
    <cfRule type="cellIs" dxfId="3226" priority="3375" operator="equal">
      <formula>"C-Off-H"</formula>
    </cfRule>
    <cfRule type="cellIs" dxfId="3225" priority="3376" operator="equal">
      <formula>"C-Off"</formula>
    </cfRule>
    <cfRule type="cellIs" dxfId="3224" priority="3377" operator="equal">
      <formula>"CL-H"</formula>
    </cfRule>
    <cfRule type="cellIs" dxfId="3223" priority="3378" operator="equal">
      <formula>"EL-H"</formula>
    </cfRule>
    <cfRule type="cellIs" dxfId="3222" priority="3379" operator="equal">
      <formula>"CL"</formula>
    </cfRule>
    <cfRule type="cellIs" dxfId="3221" priority="3380" operator="equal">
      <formula>"EL"</formula>
    </cfRule>
  </conditionalFormatting>
  <conditionalFormatting sqref="AQ41:AR41">
    <cfRule type="containsText" dxfId="3220" priority="3369" operator="containsText" text="S">
      <formula>NOT(ISERROR(SEARCH("S",AQ41)))</formula>
    </cfRule>
    <cfRule type="containsText" dxfId="3219" priority="3370" operator="containsText" text="P">
      <formula>NOT(ISERROR(SEARCH("P",AQ41)))</formula>
    </cfRule>
    <cfRule type="containsText" dxfId="3218" priority="3371" operator="containsText" text="H">
      <formula>NOT(ISERROR(SEARCH("H",AQ41)))</formula>
    </cfRule>
    <cfRule type="containsText" dxfId="3217" priority="3373" operator="containsText" text="&quot;H&quot;">
      <formula>NOT(ISERROR(SEARCH("""H""",AQ41)))</formula>
    </cfRule>
    <cfRule type="containsText" dxfId="3216" priority="3374" operator="containsText" text="&quot;A&quot;">
      <formula>NOT(ISERROR(SEARCH("""A""",AQ41)))</formula>
    </cfRule>
  </conditionalFormatting>
  <conditionalFormatting sqref="AQ41:AR41">
    <cfRule type="containsText" dxfId="3215" priority="3372" operator="containsText" text="A-H">
      <formula>NOT(ISERROR(SEARCH("A-H",AQ41)))</formula>
    </cfRule>
  </conditionalFormatting>
  <conditionalFormatting sqref="AW41:AX41">
    <cfRule type="cellIs" dxfId="3214" priority="3363" operator="equal">
      <formula>"C-Off-H"</formula>
    </cfRule>
    <cfRule type="cellIs" dxfId="3213" priority="3364" operator="equal">
      <formula>"C-Off"</formula>
    </cfRule>
    <cfRule type="cellIs" dxfId="3212" priority="3365" operator="equal">
      <formula>"CL-H"</formula>
    </cfRule>
    <cfRule type="cellIs" dxfId="3211" priority="3366" operator="equal">
      <formula>"EL-H"</formula>
    </cfRule>
    <cfRule type="cellIs" dxfId="3210" priority="3367" operator="equal">
      <formula>"CL"</formula>
    </cfRule>
    <cfRule type="cellIs" dxfId="3209" priority="3368" operator="equal">
      <formula>"EL"</formula>
    </cfRule>
  </conditionalFormatting>
  <conditionalFormatting sqref="AW41:AX41">
    <cfRule type="containsText" dxfId="3208" priority="3357" operator="containsText" text="S">
      <formula>NOT(ISERROR(SEARCH("S",AW41)))</formula>
    </cfRule>
    <cfRule type="containsText" dxfId="3207" priority="3358" operator="containsText" text="P">
      <formula>NOT(ISERROR(SEARCH("P",AW41)))</formula>
    </cfRule>
    <cfRule type="containsText" dxfId="3206" priority="3359" operator="containsText" text="H">
      <formula>NOT(ISERROR(SEARCH("H",AW41)))</formula>
    </cfRule>
    <cfRule type="containsText" dxfId="3205" priority="3361" operator="containsText" text="&quot;H&quot;">
      <formula>NOT(ISERROR(SEARCH("""H""",AW41)))</formula>
    </cfRule>
    <cfRule type="containsText" dxfId="3204" priority="3362" operator="containsText" text="&quot;A&quot;">
      <formula>NOT(ISERROR(SEARCH("""A""",AW41)))</formula>
    </cfRule>
  </conditionalFormatting>
  <conditionalFormatting sqref="AW41:AX41">
    <cfRule type="containsText" dxfId="3203" priority="3360" operator="containsText" text="A-H">
      <formula>NOT(ISERROR(SEARCH("A-H",AW41)))</formula>
    </cfRule>
  </conditionalFormatting>
  <conditionalFormatting sqref="AZ41:BA41">
    <cfRule type="cellIs" dxfId="3202" priority="3351" operator="equal">
      <formula>"C-Off-H"</formula>
    </cfRule>
    <cfRule type="cellIs" dxfId="3201" priority="3352" operator="equal">
      <formula>"C-Off"</formula>
    </cfRule>
    <cfRule type="cellIs" dxfId="3200" priority="3353" operator="equal">
      <formula>"CL-H"</formula>
    </cfRule>
    <cfRule type="cellIs" dxfId="3199" priority="3354" operator="equal">
      <formula>"EL-H"</formula>
    </cfRule>
    <cfRule type="cellIs" dxfId="3198" priority="3355" operator="equal">
      <formula>"CL"</formula>
    </cfRule>
    <cfRule type="cellIs" dxfId="3197" priority="3356" operator="equal">
      <formula>"EL"</formula>
    </cfRule>
  </conditionalFormatting>
  <conditionalFormatting sqref="AZ41:BA41">
    <cfRule type="containsText" dxfId="3196" priority="3345" operator="containsText" text="S">
      <formula>NOT(ISERROR(SEARCH("S",AZ41)))</formula>
    </cfRule>
    <cfRule type="containsText" dxfId="3195" priority="3346" operator="containsText" text="P">
      <formula>NOT(ISERROR(SEARCH("P",AZ41)))</formula>
    </cfRule>
    <cfRule type="containsText" dxfId="3194" priority="3347" operator="containsText" text="H">
      <formula>NOT(ISERROR(SEARCH("H",AZ41)))</formula>
    </cfRule>
    <cfRule type="containsText" dxfId="3193" priority="3349" operator="containsText" text="&quot;H&quot;">
      <formula>NOT(ISERROR(SEARCH("""H""",AZ41)))</formula>
    </cfRule>
    <cfRule type="containsText" dxfId="3192" priority="3350" operator="containsText" text="&quot;A&quot;">
      <formula>NOT(ISERROR(SEARCH("""A""",AZ41)))</formula>
    </cfRule>
  </conditionalFormatting>
  <conditionalFormatting sqref="AZ41:BA41">
    <cfRule type="containsText" dxfId="3191" priority="3348" operator="containsText" text="A-H">
      <formula>NOT(ISERROR(SEARCH("A-H",AZ41)))</formula>
    </cfRule>
  </conditionalFormatting>
  <conditionalFormatting sqref="BC41:BD41">
    <cfRule type="cellIs" dxfId="3190" priority="3339" operator="equal">
      <formula>"C-Off-H"</formula>
    </cfRule>
    <cfRule type="cellIs" dxfId="3189" priority="3340" operator="equal">
      <formula>"C-Off"</formula>
    </cfRule>
    <cfRule type="cellIs" dxfId="3188" priority="3341" operator="equal">
      <formula>"CL-H"</formula>
    </cfRule>
    <cfRule type="cellIs" dxfId="3187" priority="3342" operator="equal">
      <formula>"EL-H"</formula>
    </cfRule>
    <cfRule type="cellIs" dxfId="3186" priority="3343" operator="equal">
      <formula>"CL"</formula>
    </cfRule>
    <cfRule type="cellIs" dxfId="3185" priority="3344" operator="equal">
      <formula>"EL"</formula>
    </cfRule>
  </conditionalFormatting>
  <conditionalFormatting sqref="BC41:BD41">
    <cfRule type="containsText" dxfId="3184" priority="3333" operator="containsText" text="S">
      <formula>NOT(ISERROR(SEARCH("S",BC41)))</formula>
    </cfRule>
    <cfRule type="containsText" dxfId="3183" priority="3334" operator="containsText" text="P">
      <formula>NOT(ISERROR(SEARCH("P",BC41)))</formula>
    </cfRule>
    <cfRule type="containsText" dxfId="3182" priority="3335" operator="containsText" text="H">
      <formula>NOT(ISERROR(SEARCH("H",BC41)))</formula>
    </cfRule>
    <cfRule type="containsText" dxfId="3181" priority="3337" operator="containsText" text="&quot;H&quot;">
      <formula>NOT(ISERROR(SEARCH("""H""",BC41)))</formula>
    </cfRule>
    <cfRule type="containsText" dxfId="3180" priority="3338" operator="containsText" text="&quot;A&quot;">
      <formula>NOT(ISERROR(SEARCH("""A""",BC41)))</formula>
    </cfRule>
  </conditionalFormatting>
  <conditionalFormatting sqref="BC41:BD41">
    <cfRule type="containsText" dxfId="3179" priority="3336" operator="containsText" text="A-H">
      <formula>NOT(ISERROR(SEARCH("A-H",BC41)))</formula>
    </cfRule>
  </conditionalFormatting>
  <conditionalFormatting sqref="BF41:BG41">
    <cfRule type="cellIs" dxfId="3178" priority="3327" operator="equal">
      <formula>"C-Off-H"</formula>
    </cfRule>
    <cfRule type="cellIs" dxfId="3177" priority="3328" operator="equal">
      <formula>"C-Off"</formula>
    </cfRule>
    <cfRule type="cellIs" dxfId="3176" priority="3329" operator="equal">
      <formula>"CL-H"</formula>
    </cfRule>
    <cfRule type="cellIs" dxfId="3175" priority="3330" operator="equal">
      <formula>"EL-H"</formula>
    </cfRule>
    <cfRule type="cellIs" dxfId="3174" priority="3331" operator="equal">
      <formula>"CL"</formula>
    </cfRule>
    <cfRule type="cellIs" dxfId="3173" priority="3332" operator="equal">
      <formula>"EL"</formula>
    </cfRule>
  </conditionalFormatting>
  <conditionalFormatting sqref="BF41:BG41">
    <cfRule type="containsText" dxfId="3172" priority="3321" operator="containsText" text="S">
      <formula>NOT(ISERROR(SEARCH("S",BF41)))</formula>
    </cfRule>
    <cfRule type="containsText" dxfId="3171" priority="3322" operator="containsText" text="P">
      <formula>NOT(ISERROR(SEARCH("P",BF41)))</formula>
    </cfRule>
    <cfRule type="containsText" dxfId="3170" priority="3323" operator="containsText" text="H">
      <formula>NOT(ISERROR(SEARCH("H",BF41)))</formula>
    </cfRule>
    <cfRule type="containsText" dxfId="3169" priority="3325" operator="containsText" text="&quot;H&quot;">
      <formula>NOT(ISERROR(SEARCH("""H""",BF41)))</formula>
    </cfRule>
    <cfRule type="containsText" dxfId="3168" priority="3326" operator="containsText" text="&quot;A&quot;">
      <formula>NOT(ISERROR(SEARCH("""A""",BF41)))</formula>
    </cfRule>
  </conditionalFormatting>
  <conditionalFormatting sqref="BF41:BG41">
    <cfRule type="containsText" dxfId="3167" priority="3324" operator="containsText" text="A-H">
      <formula>NOT(ISERROR(SEARCH("A-H",BF41)))</formula>
    </cfRule>
  </conditionalFormatting>
  <conditionalFormatting sqref="BI41:BJ41">
    <cfRule type="cellIs" dxfId="3166" priority="3315" operator="equal">
      <formula>"C-Off-H"</formula>
    </cfRule>
    <cfRule type="cellIs" dxfId="3165" priority="3316" operator="equal">
      <formula>"C-Off"</formula>
    </cfRule>
    <cfRule type="cellIs" dxfId="3164" priority="3317" operator="equal">
      <formula>"CL-H"</formula>
    </cfRule>
    <cfRule type="cellIs" dxfId="3163" priority="3318" operator="equal">
      <formula>"EL-H"</formula>
    </cfRule>
    <cfRule type="cellIs" dxfId="3162" priority="3319" operator="equal">
      <formula>"CL"</formula>
    </cfRule>
    <cfRule type="cellIs" dxfId="3161" priority="3320" operator="equal">
      <formula>"EL"</formula>
    </cfRule>
  </conditionalFormatting>
  <conditionalFormatting sqref="BI41:BJ41">
    <cfRule type="containsText" dxfId="3160" priority="3309" operator="containsText" text="S">
      <formula>NOT(ISERROR(SEARCH("S",BI41)))</formula>
    </cfRule>
    <cfRule type="containsText" dxfId="3159" priority="3310" operator="containsText" text="P">
      <formula>NOT(ISERROR(SEARCH("P",BI41)))</formula>
    </cfRule>
    <cfRule type="containsText" dxfId="3158" priority="3311" operator="containsText" text="H">
      <formula>NOT(ISERROR(SEARCH("H",BI41)))</formula>
    </cfRule>
    <cfRule type="containsText" dxfId="3157" priority="3313" operator="containsText" text="&quot;H&quot;">
      <formula>NOT(ISERROR(SEARCH("""H""",BI41)))</formula>
    </cfRule>
    <cfRule type="containsText" dxfId="3156" priority="3314" operator="containsText" text="&quot;A&quot;">
      <formula>NOT(ISERROR(SEARCH("""A""",BI41)))</formula>
    </cfRule>
  </conditionalFormatting>
  <conditionalFormatting sqref="BI41:BJ41">
    <cfRule type="containsText" dxfId="3155" priority="3312" operator="containsText" text="A-H">
      <formula>NOT(ISERROR(SEARCH("A-H",BI41)))</formula>
    </cfRule>
  </conditionalFormatting>
  <conditionalFormatting sqref="BL41:BM41">
    <cfRule type="cellIs" dxfId="3154" priority="3303" operator="equal">
      <formula>"C-Off-H"</formula>
    </cfRule>
    <cfRule type="cellIs" dxfId="3153" priority="3304" operator="equal">
      <formula>"C-Off"</formula>
    </cfRule>
    <cfRule type="cellIs" dxfId="3152" priority="3305" operator="equal">
      <formula>"CL-H"</formula>
    </cfRule>
    <cfRule type="cellIs" dxfId="3151" priority="3306" operator="equal">
      <formula>"EL-H"</formula>
    </cfRule>
    <cfRule type="cellIs" dxfId="3150" priority="3307" operator="equal">
      <formula>"CL"</formula>
    </cfRule>
    <cfRule type="cellIs" dxfId="3149" priority="3308" operator="equal">
      <formula>"EL"</formula>
    </cfRule>
  </conditionalFormatting>
  <conditionalFormatting sqref="BL41:BM41">
    <cfRule type="containsText" dxfId="3148" priority="3297" operator="containsText" text="S">
      <formula>NOT(ISERROR(SEARCH("S",BL41)))</formula>
    </cfRule>
    <cfRule type="containsText" dxfId="3147" priority="3298" operator="containsText" text="P">
      <formula>NOT(ISERROR(SEARCH("P",BL41)))</formula>
    </cfRule>
    <cfRule type="containsText" dxfId="3146" priority="3299" operator="containsText" text="H">
      <formula>NOT(ISERROR(SEARCH("H",BL41)))</formula>
    </cfRule>
    <cfRule type="containsText" dxfId="3145" priority="3301" operator="containsText" text="&quot;H&quot;">
      <formula>NOT(ISERROR(SEARCH("""H""",BL41)))</formula>
    </cfRule>
    <cfRule type="containsText" dxfId="3144" priority="3302" operator="containsText" text="&quot;A&quot;">
      <formula>NOT(ISERROR(SEARCH("""A""",BL41)))</formula>
    </cfRule>
  </conditionalFormatting>
  <conditionalFormatting sqref="BL41:BM41">
    <cfRule type="containsText" dxfId="3143" priority="3300" operator="containsText" text="A-H">
      <formula>NOT(ISERROR(SEARCH("A-H",BL41)))</formula>
    </cfRule>
  </conditionalFormatting>
  <conditionalFormatting sqref="BR41:BS41">
    <cfRule type="cellIs" dxfId="3142" priority="3291" operator="equal">
      <formula>"C-Off-H"</formula>
    </cfRule>
    <cfRule type="cellIs" dxfId="3141" priority="3292" operator="equal">
      <formula>"C-Off"</formula>
    </cfRule>
    <cfRule type="cellIs" dxfId="3140" priority="3293" operator="equal">
      <formula>"CL-H"</formula>
    </cfRule>
    <cfRule type="cellIs" dxfId="3139" priority="3294" operator="equal">
      <formula>"EL-H"</formula>
    </cfRule>
    <cfRule type="cellIs" dxfId="3138" priority="3295" operator="equal">
      <formula>"CL"</formula>
    </cfRule>
    <cfRule type="cellIs" dxfId="3137" priority="3296" operator="equal">
      <formula>"EL"</formula>
    </cfRule>
  </conditionalFormatting>
  <conditionalFormatting sqref="BR41:BS41">
    <cfRule type="containsText" dxfId="3136" priority="3285" operator="containsText" text="S">
      <formula>NOT(ISERROR(SEARCH("S",BR41)))</formula>
    </cfRule>
    <cfRule type="containsText" dxfId="3135" priority="3286" operator="containsText" text="P">
      <formula>NOT(ISERROR(SEARCH("P",BR41)))</formula>
    </cfRule>
    <cfRule type="containsText" dxfId="3134" priority="3287" operator="containsText" text="H">
      <formula>NOT(ISERROR(SEARCH("H",BR41)))</formula>
    </cfRule>
    <cfRule type="containsText" dxfId="3133" priority="3289" operator="containsText" text="&quot;H&quot;">
      <formula>NOT(ISERROR(SEARCH("""H""",BR41)))</formula>
    </cfRule>
    <cfRule type="containsText" dxfId="3132" priority="3290" operator="containsText" text="&quot;A&quot;">
      <formula>NOT(ISERROR(SEARCH("""A""",BR41)))</formula>
    </cfRule>
  </conditionalFormatting>
  <conditionalFormatting sqref="BR41:BS41">
    <cfRule type="containsText" dxfId="3131" priority="3288" operator="containsText" text="A-H">
      <formula>NOT(ISERROR(SEARCH("A-H",BR41)))</formula>
    </cfRule>
  </conditionalFormatting>
  <conditionalFormatting sqref="BU41:BV41">
    <cfRule type="cellIs" dxfId="3130" priority="3279" operator="equal">
      <formula>"C-Off-H"</formula>
    </cfRule>
    <cfRule type="cellIs" dxfId="3129" priority="3280" operator="equal">
      <formula>"C-Off"</formula>
    </cfRule>
    <cfRule type="cellIs" dxfId="3128" priority="3281" operator="equal">
      <formula>"CL-H"</formula>
    </cfRule>
    <cfRule type="cellIs" dxfId="3127" priority="3282" operator="equal">
      <formula>"EL-H"</formula>
    </cfRule>
    <cfRule type="cellIs" dxfId="3126" priority="3283" operator="equal">
      <formula>"CL"</formula>
    </cfRule>
    <cfRule type="cellIs" dxfId="3125" priority="3284" operator="equal">
      <formula>"EL"</formula>
    </cfRule>
  </conditionalFormatting>
  <conditionalFormatting sqref="BU41:BV41">
    <cfRule type="containsText" dxfId="3124" priority="3273" operator="containsText" text="S">
      <formula>NOT(ISERROR(SEARCH("S",BU41)))</formula>
    </cfRule>
    <cfRule type="containsText" dxfId="3123" priority="3274" operator="containsText" text="P">
      <formula>NOT(ISERROR(SEARCH("P",BU41)))</formula>
    </cfRule>
    <cfRule type="containsText" dxfId="3122" priority="3275" operator="containsText" text="H">
      <formula>NOT(ISERROR(SEARCH("H",BU41)))</formula>
    </cfRule>
    <cfRule type="containsText" dxfId="3121" priority="3277" operator="containsText" text="&quot;H&quot;">
      <formula>NOT(ISERROR(SEARCH("""H""",BU41)))</formula>
    </cfRule>
    <cfRule type="containsText" dxfId="3120" priority="3278" operator="containsText" text="&quot;A&quot;">
      <formula>NOT(ISERROR(SEARCH("""A""",BU41)))</formula>
    </cfRule>
  </conditionalFormatting>
  <conditionalFormatting sqref="BU41:BV41">
    <cfRule type="containsText" dxfId="3119" priority="3276" operator="containsText" text="A-H">
      <formula>NOT(ISERROR(SEARCH("A-H",BU41)))</formula>
    </cfRule>
  </conditionalFormatting>
  <conditionalFormatting sqref="BY41">
    <cfRule type="cellIs" dxfId="3118" priority="3267" operator="equal">
      <formula>"C-Off-H"</formula>
    </cfRule>
    <cfRule type="cellIs" dxfId="3117" priority="3268" operator="equal">
      <formula>"C-Off"</formula>
    </cfRule>
    <cfRule type="cellIs" dxfId="3116" priority="3269" operator="equal">
      <formula>"CL-H"</formula>
    </cfRule>
    <cfRule type="cellIs" dxfId="3115" priority="3270" operator="equal">
      <formula>"EL-H"</formula>
    </cfRule>
    <cfRule type="cellIs" dxfId="3114" priority="3271" operator="equal">
      <formula>"CL"</formula>
    </cfRule>
    <cfRule type="cellIs" dxfId="3113" priority="3272" operator="equal">
      <formula>"EL"</formula>
    </cfRule>
  </conditionalFormatting>
  <conditionalFormatting sqref="BY41">
    <cfRule type="containsText" dxfId="3112" priority="3261" operator="containsText" text="S">
      <formula>NOT(ISERROR(SEARCH("S",BY41)))</formula>
    </cfRule>
    <cfRule type="containsText" dxfId="3111" priority="3262" operator="containsText" text="P">
      <formula>NOT(ISERROR(SEARCH("P",BY41)))</formula>
    </cfRule>
    <cfRule type="containsText" dxfId="3110" priority="3263" operator="containsText" text="H">
      <formula>NOT(ISERROR(SEARCH("H",BY41)))</formula>
    </cfRule>
    <cfRule type="containsText" dxfId="3109" priority="3265" operator="containsText" text="&quot;H&quot;">
      <formula>NOT(ISERROR(SEARCH("""H""",BY41)))</formula>
    </cfRule>
    <cfRule type="containsText" dxfId="3108" priority="3266" operator="containsText" text="&quot;A&quot;">
      <formula>NOT(ISERROR(SEARCH("""A""",BY41)))</formula>
    </cfRule>
  </conditionalFormatting>
  <conditionalFormatting sqref="BY41">
    <cfRule type="containsText" dxfId="3107" priority="3264" operator="containsText" text="A-H">
      <formula>NOT(ISERROR(SEARCH("A-H",BY41)))</formula>
    </cfRule>
  </conditionalFormatting>
  <conditionalFormatting sqref="BX41">
    <cfRule type="cellIs" dxfId="3106" priority="3255" operator="equal">
      <formula>"C-Off-H"</formula>
    </cfRule>
    <cfRule type="cellIs" dxfId="3105" priority="3256" operator="equal">
      <formula>"C-Off"</formula>
    </cfRule>
    <cfRule type="cellIs" dxfId="3104" priority="3257" operator="equal">
      <formula>"CL-H"</formula>
    </cfRule>
    <cfRule type="cellIs" dxfId="3103" priority="3258" operator="equal">
      <formula>"EL-H"</formula>
    </cfRule>
    <cfRule type="cellIs" dxfId="3102" priority="3259" operator="equal">
      <formula>"CL"</formula>
    </cfRule>
    <cfRule type="cellIs" dxfId="3101" priority="3260" operator="equal">
      <formula>"EL"</formula>
    </cfRule>
  </conditionalFormatting>
  <conditionalFormatting sqref="BX41">
    <cfRule type="containsText" dxfId="3100" priority="3249" operator="containsText" text="S">
      <formula>NOT(ISERROR(SEARCH("S",BX41)))</formula>
    </cfRule>
    <cfRule type="containsText" dxfId="3099" priority="3250" operator="containsText" text="P">
      <formula>NOT(ISERROR(SEARCH("P",BX41)))</formula>
    </cfRule>
    <cfRule type="containsText" dxfId="3098" priority="3251" operator="containsText" text="H">
      <formula>NOT(ISERROR(SEARCH("H",BX41)))</formula>
    </cfRule>
    <cfRule type="containsText" dxfId="3097" priority="3253" operator="containsText" text="&quot;H&quot;">
      <formula>NOT(ISERROR(SEARCH("""H""",BX41)))</formula>
    </cfRule>
    <cfRule type="containsText" dxfId="3096" priority="3254" operator="containsText" text="&quot;A&quot;">
      <formula>NOT(ISERROR(SEARCH("""A""",BX41)))</formula>
    </cfRule>
  </conditionalFormatting>
  <conditionalFormatting sqref="BX41">
    <cfRule type="containsText" dxfId="3095" priority="3252" operator="containsText" text="A-H">
      <formula>NOT(ISERROR(SEARCH("A-H",BX41)))</formula>
    </cfRule>
  </conditionalFormatting>
  <conditionalFormatting sqref="J41:K41">
    <cfRule type="cellIs" dxfId="3094" priority="3243" operator="equal">
      <formula>"C-Off-H"</formula>
    </cfRule>
    <cfRule type="cellIs" dxfId="3093" priority="3244" operator="equal">
      <formula>"C-Off"</formula>
    </cfRule>
    <cfRule type="cellIs" dxfId="3092" priority="3245" operator="equal">
      <formula>"CL-H"</formula>
    </cfRule>
    <cfRule type="cellIs" dxfId="3091" priority="3246" operator="equal">
      <formula>"EL-H"</formula>
    </cfRule>
    <cfRule type="cellIs" dxfId="3090" priority="3247" operator="equal">
      <formula>"CL"</formula>
    </cfRule>
    <cfRule type="cellIs" dxfId="3089" priority="3248" operator="equal">
      <formula>"EL"</formula>
    </cfRule>
  </conditionalFormatting>
  <conditionalFormatting sqref="J41:K41">
    <cfRule type="containsText" dxfId="3088" priority="3237" operator="containsText" text="S">
      <formula>NOT(ISERROR(SEARCH("S",J41)))</formula>
    </cfRule>
    <cfRule type="containsText" dxfId="3087" priority="3238" operator="containsText" text="P">
      <formula>NOT(ISERROR(SEARCH("P",J41)))</formula>
    </cfRule>
    <cfRule type="containsText" dxfId="3086" priority="3239" operator="containsText" text="H">
      <formula>NOT(ISERROR(SEARCH("H",J41)))</formula>
    </cfRule>
    <cfRule type="containsText" dxfId="3085" priority="3241" operator="containsText" text="&quot;H&quot;">
      <formula>NOT(ISERROR(SEARCH("""H""",J41)))</formula>
    </cfRule>
    <cfRule type="containsText" dxfId="3084" priority="3242" operator="containsText" text="&quot;A&quot;">
      <formula>NOT(ISERROR(SEARCH("""A""",J41)))</formula>
    </cfRule>
  </conditionalFormatting>
  <conditionalFormatting sqref="J41:K41">
    <cfRule type="containsText" dxfId="3083" priority="3240" operator="containsText" text="A-H">
      <formula>NOT(ISERROR(SEARCH("A-H",J41)))</formula>
    </cfRule>
  </conditionalFormatting>
  <conditionalFormatting sqref="DC42 M42:N42 CQ42:CW42">
    <cfRule type="cellIs" dxfId="3082" priority="3231" operator="equal">
      <formula>"C-Off-H"</formula>
    </cfRule>
    <cfRule type="cellIs" dxfId="3081" priority="3232" operator="equal">
      <formula>"C-Off"</formula>
    </cfRule>
    <cfRule type="cellIs" dxfId="3080" priority="3233" operator="equal">
      <formula>"CL-H"</formula>
    </cfRule>
    <cfRule type="cellIs" dxfId="3079" priority="3234" operator="equal">
      <formula>"EL-H"</formula>
    </cfRule>
    <cfRule type="cellIs" dxfId="3078" priority="3235" operator="equal">
      <formula>"CL"</formula>
    </cfRule>
    <cfRule type="cellIs" dxfId="3077" priority="3236" operator="equal">
      <formula>"EL"</formula>
    </cfRule>
  </conditionalFormatting>
  <conditionalFormatting sqref="M42:N42 CQ42:CW42 CY42:DA42 DC42">
    <cfRule type="containsText" dxfId="3076" priority="3230" operator="containsText" text="A-H">
      <formula>NOT(ISERROR(SEARCH("A-H",M42)))</formula>
    </cfRule>
  </conditionalFormatting>
  <conditionalFormatting sqref="CQ42:CW42 CY42:DA42 DC42">
    <cfRule type="containsText" dxfId="3075" priority="3229" operator="containsText" text="A">
      <formula>NOT(ISERROR(SEARCH("A",CQ42)))</formula>
    </cfRule>
  </conditionalFormatting>
  <conditionalFormatting sqref="CY42 DA42">
    <cfRule type="cellIs" dxfId="3074" priority="3223" stopIfTrue="1" operator="equal">
      <formula>"C-Off-H"</formula>
    </cfRule>
    <cfRule type="cellIs" dxfId="3073" priority="3224" stopIfTrue="1" operator="equal">
      <formula>"C-Off"</formula>
    </cfRule>
    <cfRule type="cellIs" dxfId="3072" priority="3225" stopIfTrue="1" operator="equal">
      <formula>"CL-H"</formula>
    </cfRule>
    <cfRule type="cellIs" dxfId="3071" priority="3226" stopIfTrue="1" operator="equal">
      <formula>"EL-H"</formula>
    </cfRule>
    <cfRule type="cellIs" dxfId="3070" priority="3227" stopIfTrue="1" operator="equal">
      <formula>"CL"</formula>
    </cfRule>
    <cfRule type="cellIs" dxfId="3069" priority="3228" stopIfTrue="1" operator="equal">
      <formula>"EL"</formula>
    </cfRule>
  </conditionalFormatting>
  <conditionalFormatting sqref="CZ42">
    <cfRule type="cellIs" dxfId="3068" priority="3217" stopIfTrue="1" operator="equal">
      <formula>"C-Off-H"</formula>
    </cfRule>
    <cfRule type="cellIs" dxfId="3067" priority="3218" stopIfTrue="1" operator="equal">
      <formula>"C-Off"</formula>
    </cfRule>
    <cfRule type="cellIs" dxfId="3066" priority="3219" stopIfTrue="1" operator="equal">
      <formula>"CL-H"</formula>
    </cfRule>
    <cfRule type="cellIs" dxfId="3065" priority="3220" stopIfTrue="1" operator="equal">
      <formula>"EL-H"</formula>
    </cfRule>
    <cfRule type="cellIs" dxfId="3064" priority="3221" stopIfTrue="1" operator="equal">
      <formula>"CL"</formula>
    </cfRule>
    <cfRule type="cellIs" dxfId="3063" priority="3222" stopIfTrue="1" operator="equal">
      <formula>"EL"</formula>
    </cfRule>
  </conditionalFormatting>
  <conditionalFormatting sqref="M42:N42">
    <cfRule type="containsText" dxfId="3062" priority="3212" operator="containsText" text="S">
      <formula>NOT(ISERROR(SEARCH("S",M42)))</formula>
    </cfRule>
    <cfRule type="containsText" dxfId="3061" priority="3213" operator="containsText" text="P">
      <formula>NOT(ISERROR(SEARCH("P",M42)))</formula>
    </cfRule>
    <cfRule type="containsText" dxfId="3060" priority="3214" operator="containsText" text="H">
      <formula>NOT(ISERROR(SEARCH("H",M42)))</formula>
    </cfRule>
    <cfRule type="containsText" dxfId="3059" priority="3215" operator="containsText" text="&quot;H&quot;">
      <formula>NOT(ISERROR(SEARCH("""H""",M42)))</formula>
    </cfRule>
    <cfRule type="containsText" dxfId="3058" priority="3216" operator="containsText" text="&quot;A&quot;">
      <formula>NOT(ISERROR(SEARCH("""A""",M42)))</formula>
    </cfRule>
  </conditionalFormatting>
  <conditionalFormatting sqref="DD42">
    <cfRule type="cellIs" dxfId="3057" priority="3206" operator="equal">
      <formula>"C-Off-H"</formula>
    </cfRule>
    <cfRule type="cellIs" dxfId="3056" priority="3207" operator="equal">
      <formula>"C-Off"</formula>
    </cfRule>
    <cfRule type="cellIs" dxfId="3055" priority="3208" operator="equal">
      <formula>"CL-H"</formula>
    </cfRule>
    <cfRule type="cellIs" dxfId="3054" priority="3209" operator="equal">
      <formula>"EL-H"</formula>
    </cfRule>
    <cfRule type="cellIs" dxfId="3053" priority="3210" operator="equal">
      <formula>"CL"</formula>
    </cfRule>
    <cfRule type="cellIs" dxfId="3052" priority="3211" operator="equal">
      <formula>"EL"</formula>
    </cfRule>
  </conditionalFormatting>
  <conditionalFormatting sqref="DD42">
    <cfRule type="containsText" dxfId="3051" priority="3205" operator="containsText" text="A">
      <formula>NOT(ISERROR(SEARCH("A",DD42)))</formula>
    </cfRule>
  </conditionalFormatting>
  <conditionalFormatting sqref="DD42">
    <cfRule type="containsText" dxfId="3050" priority="3204" operator="containsText" text="A-H">
      <formula>NOT(ISERROR(SEARCH("A-H",DD42)))</formula>
    </cfRule>
  </conditionalFormatting>
  <conditionalFormatting sqref="AI42">
    <cfRule type="cellIs" dxfId="3049" priority="3198" operator="equal">
      <formula>"C-Off-H"</formula>
    </cfRule>
    <cfRule type="cellIs" dxfId="3048" priority="3199" operator="equal">
      <formula>"C-Off"</formula>
    </cfRule>
    <cfRule type="cellIs" dxfId="3047" priority="3200" operator="equal">
      <formula>"CL-H"</formula>
    </cfRule>
    <cfRule type="cellIs" dxfId="3046" priority="3201" operator="equal">
      <formula>"EL-H"</formula>
    </cfRule>
    <cfRule type="cellIs" dxfId="3045" priority="3202" operator="equal">
      <formula>"CL"</formula>
    </cfRule>
    <cfRule type="cellIs" dxfId="3044" priority="3203" operator="equal">
      <formula>"EL"</formula>
    </cfRule>
  </conditionalFormatting>
  <conditionalFormatting sqref="AH42:AI42">
    <cfRule type="cellIs" dxfId="3043" priority="3192" operator="equal">
      <formula>"C-Off-H"</formula>
    </cfRule>
    <cfRule type="cellIs" dxfId="3042" priority="3193" operator="equal">
      <formula>"C-Off"</formula>
    </cfRule>
    <cfRule type="cellIs" dxfId="3041" priority="3194" operator="equal">
      <formula>"CL-H"</formula>
    </cfRule>
    <cfRule type="cellIs" dxfId="3040" priority="3195" operator="equal">
      <formula>"EL-H"</formula>
    </cfRule>
    <cfRule type="cellIs" dxfId="3039" priority="3196" operator="equal">
      <formula>"CL"</formula>
    </cfRule>
    <cfRule type="cellIs" dxfId="3038" priority="3197" operator="equal">
      <formula>"EL"</formula>
    </cfRule>
  </conditionalFormatting>
  <conditionalFormatting sqref="AH42:AI42">
    <cfRule type="containsText" dxfId="3037" priority="3186" operator="containsText" text="S">
      <formula>NOT(ISERROR(SEARCH("S",AH42)))</formula>
    </cfRule>
    <cfRule type="containsText" dxfId="3036" priority="3187" operator="containsText" text="P">
      <formula>NOT(ISERROR(SEARCH("P",AH42)))</formula>
    </cfRule>
    <cfRule type="containsText" dxfId="3035" priority="3188" operator="containsText" text="H">
      <formula>NOT(ISERROR(SEARCH("H",AH42)))</formula>
    </cfRule>
    <cfRule type="containsText" dxfId="3034" priority="3190" operator="containsText" text="&quot;H&quot;">
      <formula>NOT(ISERROR(SEARCH("""H""",AH42)))</formula>
    </cfRule>
    <cfRule type="containsText" dxfId="3033" priority="3191" operator="containsText" text="&quot;A&quot;">
      <formula>NOT(ISERROR(SEARCH("""A""",AH42)))</formula>
    </cfRule>
  </conditionalFormatting>
  <conditionalFormatting sqref="AH42:AI42">
    <cfRule type="containsText" dxfId="3032" priority="3189" operator="containsText" text="A-H">
      <formula>NOT(ISERROR(SEARCH("A-H",AH42)))</formula>
    </cfRule>
  </conditionalFormatting>
  <conditionalFormatting sqref="AU42">
    <cfRule type="cellIs" dxfId="3031" priority="3180" operator="equal">
      <formula>"C-Off-H"</formula>
    </cfRule>
    <cfRule type="cellIs" dxfId="3030" priority="3181" operator="equal">
      <formula>"C-Off"</formula>
    </cfRule>
    <cfRule type="cellIs" dxfId="3029" priority="3182" operator="equal">
      <formula>"CL-H"</formula>
    </cfRule>
    <cfRule type="cellIs" dxfId="3028" priority="3183" operator="equal">
      <formula>"EL-H"</formula>
    </cfRule>
    <cfRule type="cellIs" dxfId="3027" priority="3184" operator="equal">
      <formula>"CL"</formula>
    </cfRule>
    <cfRule type="cellIs" dxfId="3026" priority="3185" operator="equal">
      <formula>"EL"</formula>
    </cfRule>
  </conditionalFormatting>
  <conditionalFormatting sqref="AT42:AU42">
    <cfRule type="cellIs" dxfId="3025" priority="3174" operator="equal">
      <formula>"C-Off-H"</formula>
    </cfRule>
    <cfRule type="cellIs" dxfId="3024" priority="3175" operator="equal">
      <formula>"C-Off"</formula>
    </cfRule>
    <cfRule type="cellIs" dxfId="3023" priority="3176" operator="equal">
      <formula>"CL-H"</formula>
    </cfRule>
    <cfRule type="cellIs" dxfId="3022" priority="3177" operator="equal">
      <formula>"EL-H"</formula>
    </cfRule>
    <cfRule type="cellIs" dxfId="3021" priority="3178" operator="equal">
      <formula>"CL"</formula>
    </cfRule>
    <cfRule type="cellIs" dxfId="3020" priority="3179" operator="equal">
      <formula>"EL"</formula>
    </cfRule>
  </conditionalFormatting>
  <conditionalFormatting sqref="AT42:AU42">
    <cfRule type="containsText" dxfId="3019" priority="3168" operator="containsText" text="S">
      <formula>NOT(ISERROR(SEARCH("S",AT42)))</formula>
    </cfRule>
    <cfRule type="containsText" dxfId="3018" priority="3169" operator="containsText" text="P">
      <formula>NOT(ISERROR(SEARCH("P",AT42)))</formula>
    </cfRule>
    <cfRule type="containsText" dxfId="3017" priority="3170" operator="containsText" text="H">
      <formula>NOT(ISERROR(SEARCH("H",AT42)))</formula>
    </cfRule>
    <cfRule type="containsText" dxfId="3016" priority="3172" operator="containsText" text="&quot;H&quot;">
      <formula>NOT(ISERROR(SEARCH("""H""",AT42)))</formula>
    </cfRule>
    <cfRule type="containsText" dxfId="3015" priority="3173" operator="containsText" text="&quot;A&quot;">
      <formula>NOT(ISERROR(SEARCH("""A""",AT42)))</formula>
    </cfRule>
  </conditionalFormatting>
  <conditionalFormatting sqref="AT42:AU42">
    <cfRule type="containsText" dxfId="3014" priority="3171" operator="containsText" text="A-H">
      <formula>NOT(ISERROR(SEARCH("A-H",AT42)))</formula>
    </cfRule>
  </conditionalFormatting>
  <conditionalFormatting sqref="E42">
    <cfRule type="cellIs" dxfId="3013" priority="3162" operator="equal">
      <formula>"C-Off-H"</formula>
    </cfRule>
    <cfRule type="cellIs" dxfId="3012" priority="3163" operator="equal">
      <formula>"C-Off"</formula>
    </cfRule>
    <cfRule type="cellIs" dxfId="3011" priority="3164" operator="equal">
      <formula>"CL-H"</formula>
    </cfRule>
    <cfRule type="cellIs" dxfId="3010" priority="3165" operator="equal">
      <formula>"EL-H"</formula>
    </cfRule>
    <cfRule type="cellIs" dxfId="3009" priority="3166" operator="equal">
      <formula>"CL"</formula>
    </cfRule>
    <cfRule type="cellIs" dxfId="3008" priority="3167" operator="equal">
      <formula>"EL"</formula>
    </cfRule>
  </conditionalFormatting>
  <conditionalFormatting sqref="D42:E42">
    <cfRule type="cellIs" dxfId="3007" priority="3156" operator="equal">
      <formula>"C-Off-H"</formula>
    </cfRule>
    <cfRule type="cellIs" dxfId="3006" priority="3157" operator="equal">
      <formula>"C-Off"</formula>
    </cfRule>
    <cfRule type="cellIs" dxfId="3005" priority="3158" operator="equal">
      <formula>"CL-H"</formula>
    </cfRule>
    <cfRule type="cellIs" dxfId="3004" priority="3159" operator="equal">
      <formula>"EL-H"</formula>
    </cfRule>
    <cfRule type="cellIs" dxfId="3003" priority="3160" operator="equal">
      <formula>"CL"</formula>
    </cfRule>
    <cfRule type="cellIs" dxfId="3002" priority="3161" operator="equal">
      <formula>"EL"</formula>
    </cfRule>
  </conditionalFormatting>
  <conditionalFormatting sqref="D42:E42">
    <cfRule type="containsText" dxfId="3001" priority="3150" operator="containsText" text="S">
      <formula>NOT(ISERROR(SEARCH("S",D42)))</formula>
    </cfRule>
    <cfRule type="containsText" dxfId="3000" priority="3151" operator="containsText" text="P">
      <formula>NOT(ISERROR(SEARCH("P",D42)))</formula>
    </cfRule>
    <cfRule type="containsText" dxfId="2999" priority="3152" operator="containsText" text="H">
      <formula>NOT(ISERROR(SEARCH("H",D42)))</formula>
    </cfRule>
    <cfRule type="containsText" dxfId="2998" priority="3154" operator="containsText" text="&quot;H&quot;">
      <formula>NOT(ISERROR(SEARCH("""H""",D42)))</formula>
    </cfRule>
    <cfRule type="containsText" dxfId="2997" priority="3155" operator="containsText" text="&quot;A&quot;">
      <formula>NOT(ISERROR(SEARCH("""A""",D42)))</formula>
    </cfRule>
  </conditionalFormatting>
  <conditionalFormatting sqref="D42:E42">
    <cfRule type="containsText" dxfId="2996" priority="3153" operator="containsText" text="A-H">
      <formula>NOT(ISERROR(SEARCH("A-H",D42)))</formula>
    </cfRule>
  </conditionalFormatting>
  <conditionalFormatting sqref="Y42">
    <cfRule type="cellIs" dxfId="2995" priority="3144" operator="equal">
      <formula>"C-Off-H"</formula>
    </cfRule>
    <cfRule type="cellIs" dxfId="2994" priority="3145" operator="equal">
      <formula>"C-Off"</formula>
    </cfRule>
    <cfRule type="cellIs" dxfId="2993" priority="3146" operator="equal">
      <formula>"CL-H"</formula>
    </cfRule>
    <cfRule type="cellIs" dxfId="2992" priority="3147" operator="equal">
      <formula>"EL-H"</formula>
    </cfRule>
    <cfRule type="cellIs" dxfId="2991" priority="3148" operator="equal">
      <formula>"CL"</formula>
    </cfRule>
    <cfRule type="cellIs" dxfId="2990" priority="3149" operator="equal">
      <formula>"EL"</formula>
    </cfRule>
  </conditionalFormatting>
  <conditionalFormatting sqref="Y42">
    <cfRule type="containsText" dxfId="2989" priority="3138" operator="containsText" text="S">
      <formula>NOT(ISERROR(SEARCH("S",Y42)))</formula>
    </cfRule>
    <cfRule type="containsText" dxfId="2988" priority="3139" operator="containsText" text="P">
      <formula>NOT(ISERROR(SEARCH("P",Y42)))</formula>
    </cfRule>
    <cfRule type="containsText" dxfId="2987" priority="3140" operator="containsText" text="H">
      <formula>NOT(ISERROR(SEARCH("H",Y42)))</formula>
    </cfRule>
    <cfRule type="containsText" dxfId="2986" priority="3142" operator="containsText" text="&quot;H&quot;">
      <formula>NOT(ISERROR(SEARCH("""H""",Y42)))</formula>
    </cfRule>
    <cfRule type="containsText" dxfId="2985" priority="3143" operator="containsText" text="&quot;A&quot;">
      <formula>NOT(ISERROR(SEARCH("""A""",Y42)))</formula>
    </cfRule>
  </conditionalFormatting>
  <conditionalFormatting sqref="Y42">
    <cfRule type="containsText" dxfId="2984" priority="3141" operator="containsText" text="A-H">
      <formula>NOT(ISERROR(SEARCH("A-H",Y42)))</formula>
    </cfRule>
  </conditionalFormatting>
  <conditionalFormatting sqref="AF42">
    <cfRule type="cellIs" dxfId="2983" priority="3132" operator="equal">
      <formula>"C-Off-H"</formula>
    </cfRule>
    <cfRule type="cellIs" dxfId="2982" priority="3133" operator="equal">
      <formula>"C-Off"</formula>
    </cfRule>
    <cfRule type="cellIs" dxfId="2981" priority="3134" operator="equal">
      <formula>"CL-H"</formula>
    </cfRule>
    <cfRule type="cellIs" dxfId="2980" priority="3135" operator="equal">
      <formula>"EL-H"</formula>
    </cfRule>
    <cfRule type="cellIs" dxfId="2979" priority="3136" operator="equal">
      <formula>"CL"</formula>
    </cfRule>
    <cfRule type="cellIs" dxfId="2978" priority="3137" operator="equal">
      <formula>"EL"</formula>
    </cfRule>
  </conditionalFormatting>
  <conditionalFormatting sqref="AF42">
    <cfRule type="containsText" dxfId="2977" priority="3126" operator="containsText" text="S">
      <formula>NOT(ISERROR(SEARCH("S",AF42)))</formula>
    </cfRule>
    <cfRule type="containsText" dxfId="2976" priority="3127" operator="containsText" text="P">
      <formula>NOT(ISERROR(SEARCH("P",AF42)))</formula>
    </cfRule>
    <cfRule type="containsText" dxfId="2975" priority="3128" operator="containsText" text="H">
      <formula>NOT(ISERROR(SEARCH("H",AF42)))</formula>
    </cfRule>
    <cfRule type="containsText" dxfId="2974" priority="3130" operator="containsText" text="&quot;H&quot;">
      <formula>NOT(ISERROR(SEARCH("""H""",AF42)))</formula>
    </cfRule>
    <cfRule type="containsText" dxfId="2973" priority="3131" operator="containsText" text="&quot;A&quot;">
      <formula>NOT(ISERROR(SEARCH("""A""",AF42)))</formula>
    </cfRule>
  </conditionalFormatting>
  <conditionalFormatting sqref="AF42">
    <cfRule type="containsText" dxfId="2972" priority="3129" operator="containsText" text="A-H">
      <formula>NOT(ISERROR(SEARCH("A-H",AF42)))</formula>
    </cfRule>
  </conditionalFormatting>
  <conditionalFormatting sqref="BO42:BP42">
    <cfRule type="cellIs" dxfId="2971" priority="3120" operator="equal">
      <formula>"C-Off-H"</formula>
    </cfRule>
    <cfRule type="cellIs" dxfId="2970" priority="3121" operator="equal">
      <formula>"C-Off"</formula>
    </cfRule>
    <cfRule type="cellIs" dxfId="2969" priority="3122" operator="equal">
      <formula>"CL-H"</formula>
    </cfRule>
    <cfRule type="cellIs" dxfId="2968" priority="3123" operator="equal">
      <formula>"EL-H"</formula>
    </cfRule>
    <cfRule type="cellIs" dxfId="2967" priority="3124" operator="equal">
      <formula>"CL"</formula>
    </cfRule>
    <cfRule type="cellIs" dxfId="2966" priority="3125" operator="equal">
      <formula>"EL"</formula>
    </cfRule>
  </conditionalFormatting>
  <conditionalFormatting sqref="BO42:BP42">
    <cfRule type="cellIs" dxfId="2965" priority="3114" operator="equal">
      <formula>"C-Off-H"</formula>
    </cfRule>
    <cfRule type="cellIs" dxfId="2964" priority="3115" operator="equal">
      <formula>"C-Off"</formula>
    </cfRule>
    <cfRule type="cellIs" dxfId="2963" priority="3116" operator="equal">
      <formula>"CL-H"</formula>
    </cfRule>
    <cfRule type="cellIs" dxfId="2962" priority="3117" operator="equal">
      <formula>"EL-H"</formula>
    </cfRule>
    <cfRule type="cellIs" dxfId="2961" priority="3118" operator="equal">
      <formula>"CL"</formula>
    </cfRule>
    <cfRule type="cellIs" dxfId="2960" priority="3119" operator="equal">
      <formula>"EL"</formula>
    </cfRule>
  </conditionalFormatting>
  <conditionalFormatting sqref="BO42:BP42">
    <cfRule type="containsText" dxfId="2959" priority="3108" operator="containsText" text="S">
      <formula>NOT(ISERROR(SEARCH("S",BO42)))</formula>
    </cfRule>
    <cfRule type="containsText" dxfId="2958" priority="3109" operator="containsText" text="P">
      <formula>NOT(ISERROR(SEARCH("P",BO42)))</formula>
    </cfRule>
    <cfRule type="containsText" dxfId="2957" priority="3110" operator="containsText" text="H">
      <formula>NOT(ISERROR(SEARCH("H",BO42)))</formula>
    </cfRule>
    <cfRule type="containsText" dxfId="2956" priority="3112" operator="containsText" text="&quot;H&quot;">
      <formula>NOT(ISERROR(SEARCH("""H""",BO42)))</formula>
    </cfRule>
    <cfRule type="containsText" dxfId="2955" priority="3113" operator="containsText" text="&quot;A&quot;">
      <formula>NOT(ISERROR(SEARCH("""A""",BO42)))</formula>
    </cfRule>
  </conditionalFormatting>
  <conditionalFormatting sqref="BO42:BP42">
    <cfRule type="containsText" dxfId="2954" priority="3111" operator="containsText" text="A-H">
      <formula>NOT(ISERROR(SEARCH("A-H",BO42)))</formula>
    </cfRule>
  </conditionalFormatting>
  <conditionalFormatting sqref="CM42">
    <cfRule type="cellIs" dxfId="2953" priority="3102" operator="equal">
      <formula>"C-Off-H"</formula>
    </cfRule>
    <cfRule type="cellIs" dxfId="2952" priority="3103" operator="equal">
      <formula>"C-Off"</formula>
    </cfRule>
    <cfRule type="cellIs" dxfId="2951" priority="3104" operator="equal">
      <formula>"CL-H"</formula>
    </cfRule>
    <cfRule type="cellIs" dxfId="2950" priority="3105" operator="equal">
      <formula>"EL-H"</formula>
    </cfRule>
    <cfRule type="cellIs" dxfId="2949" priority="3106" operator="equal">
      <formula>"CL"</formula>
    </cfRule>
    <cfRule type="cellIs" dxfId="2948" priority="3107" operator="equal">
      <formula>"EL"</formula>
    </cfRule>
  </conditionalFormatting>
  <conditionalFormatting sqref="CM42">
    <cfRule type="cellIs" dxfId="2947" priority="3096" operator="equal">
      <formula>"C-Off-H"</formula>
    </cfRule>
    <cfRule type="cellIs" dxfId="2946" priority="3097" operator="equal">
      <formula>"C-Off"</formula>
    </cfRule>
    <cfRule type="cellIs" dxfId="2945" priority="3098" operator="equal">
      <formula>"CL-H"</formula>
    </cfRule>
    <cfRule type="cellIs" dxfId="2944" priority="3099" operator="equal">
      <formula>"EL-H"</formula>
    </cfRule>
    <cfRule type="cellIs" dxfId="2943" priority="3100" operator="equal">
      <formula>"CL"</formula>
    </cfRule>
    <cfRule type="cellIs" dxfId="2942" priority="3101" operator="equal">
      <formula>"EL"</formula>
    </cfRule>
  </conditionalFormatting>
  <conditionalFormatting sqref="CM42">
    <cfRule type="containsText" dxfId="2941" priority="3090" operator="containsText" text="S">
      <formula>NOT(ISERROR(SEARCH("S",CM42)))</formula>
    </cfRule>
    <cfRule type="containsText" dxfId="2940" priority="3091" operator="containsText" text="P">
      <formula>NOT(ISERROR(SEARCH("P",CM42)))</formula>
    </cfRule>
    <cfRule type="containsText" dxfId="2939" priority="3092" operator="containsText" text="H">
      <formula>NOT(ISERROR(SEARCH("H",CM42)))</formula>
    </cfRule>
    <cfRule type="containsText" dxfId="2938" priority="3094" operator="containsText" text="&quot;H&quot;">
      <formula>NOT(ISERROR(SEARCH("""H""",CM42)))</formula>
    </cfRule>
    <cfRule type="containsText" dxfId="2937" priority="3095" operator="containsText" text="&quot;A&quot;">
      <formula>NOT(ISERROR(SEARCH("""A""",CM42)))</formula>
    </cfRule>
  </conditionalFormatting>
  <conditionalFormatting sqref="CM42">
    <cfRule type="containsText" dxfId="2936" priority="3093" operator="containsText" text="A-H">
      <formula>NOT(ISERROR(SEARCH("A-H",CM42)))</formula>
    </cfRule>
  </conditionalFormatting>
  <conditionalFormatting sqref="V42:W42">
    <cfRule type="cellIs" dxfId="2935" priority="3060" operator="equal">
      <formula>"C-Off-H"</formula>
    </cfRule>
    <cfRule type="cellIs" dxfId="2934" priority="3061" operator="equal">
      <formula>"C-Off"</formula>
    </cfRule>
    <cfRule type="cellIs" dxfId="2933" priority="3062" operator="equal">
      <formula>"CL-H"</formula>
    </cfRule>
    <cfRule type="cellIs" dxfId="2932" priority="3063" operator="equal">
      <formula>"EL-H"</formula>
    </cfRule>
    <cfRule type="cellIs" dxfId="2931" priority="3064" operator="equal">
      <formula>"CL"</formula>
    </cfRule>
    <cfRule type="cellIs" dxfId="2930" priority="3065" operator="equal">
      <formula>"EL"</formula>
    </cfRule>
  </conditionalFormatting>
  <conditionalFormatting sqref="V42:W42">
    <cfRule type="containsText" dxfId="2929" priority="3054" operator="containsText" text="S">
      <formula>NOT(ISERROR(SEARCH("S",V42)))</formula>
    </cfRule>
    <cfRule type="containsText" dxfId="2928" priority="3055" operator="containsText" text="P">
      <formula>NOT(ISERROR(SEARCH("P",V42)))</formula>
    </cfRule>
    <cfRule type="containsText" dxfId="2927" priority="3056" operator="containsText" text="H">
      <formula>NOT(ISERROR(SEARCH("H",V42)))</formula>
    </cfRule>
    <cfRule type="containsText" dxfId="2926" priority="3058" operator="containsText" text="&quot;H&quot;">
      <formula>NOT(ISERROR(SEARCH("""H""",V42)))</formula>
    </cfRule>
    <cfRule type="containsText" dxfId="2925" priority="3059" operator="containsText" text="&quot;A&quot;">
      <formula>NOT(ISERROR(SEARCH("""A""",V42)))</formula>
    </cfRule>
  </conditionalFormatting>
  <conditionalFormatting sqref="V42:W42">
    <cfRule type="containsText" dxfId="2924" priority="3057" operator="containsText" text="A-H">
      <formula>NOT(ISERROR(SEARCH("A-H",V42)))</formula>
    </cfRule>
  </conditionalFormatting>
  <conditionalFormatting sqref="P42:Q42">
    <cfRule type="cellIs" dxfId="2923" priority="3084" operator="equal">
      <formula>"C-Off-H"</formula>
    </cfRule>
    <cfRule type="cellIs" dxfId="2922" priority="3085" operator="equal">
      <formula>"C-Off"</formula>
    </cfRule>
    <cfRule type="cellIs" dxfId="2921" priority="3086" operator="equal">
      <formula>"CL-H"</formula>
    </cfRule>
    <cfRule type="cellIs" dxfId="2920" priority="3087" operator="equal">
      <formula>"EL-H"</formula>
    </cfRule>
    <cfRule type="cellIs" dxfId="2919" priority="3088" operator="equal">
      <formula>"CL"</formula>
    </cfRule>
    <cfRule type="cellIs" dxfId="2918" priority="3089" operator="equal">
      <formula>"EL"</formula>
    </cfRule>
  </conditionalFormatting>
  <conditionalFormatting sqref="P42:Q42">
    <cfRule type="containsText" dxfId="2917" priority="3078" operator="containsText" text="S">
      <formula>NOT(ISERROR(SEARCH("S",P42)))</formula>
    </cfRule>
    <cfRule type="containsText" dxfId="2916" priority="3079" operator="containsText" text="P">
      <formula>NOT(ISERROR(SEARCH("P",P42)))</formula>
    </cfRule>
    <cfRule type="containsText" dxfId="2915" priority="3080" operator="containsText" text="H">
      <formula>NOT(ISERROR(SEARCH("H",P42)))</formula>
    </cfRule>
    <cfRule type="containsText" dxfId="2914" priority="3082" operator="containsText" text="&quot;H&quot;">
      <formula>NOT(ISERROR(SEARCH("""H""",P42)))</formula>
    </cfRule>
    <cfRule type="containsText" dxfId="2913" priority="3083" operator="containsText" text="&quot;A&quot;">
      <formula>NOT(ISERROR(SEARCH("""A""",P42)))</formula>
    </cfRule>
  </conditionalFormatting>
  <conditionalFormatting sqref="P42:Q42">
    <cfRule type="containsText" dxfId="2912" priority="3081" operator="containsText" text="A-H">
      <formula>NOT(ISERROR(SEARCH("A-H",P42)))</formula>
    </cfRule>
  </conditionalFormatting>
  <conditionalFormatting sqref="S42:T42">
    <cfRule type="cellIs" dxfId="2911" priority="3072" operator="equal">
      <formula>"C-Off-H"</formula>
    </cfRule>
    <cfRule type="cellIs" dxfId="2910" priority="3073" operator="equal">
      <formula>"C-Off"</formula>
    </cfRule>
    <cfRule type="cellIs" dxfId="2909" priority="3074" operator="equal">
      <formula>"CL-H"</formula>
    </cfRule>
    <cfRule type="cellIs" dxfId="2908" priority="3075" operator="equal">
      <formula>"EL-H"</formula>
    </cfRule>
    <cfRule type="cellIs" dxfId="2907" priority="3076" operator="equal">
      <formula>"CL"</formula>
    </cfRule>
    <cfRule type="cellIs" dxfId="2906" priority="3077" operator="equal">
      <formula>"EL"</formula>
    </cfRule>
  </conditionalFormatting>
  <conditionalFormatting sqref="S42:T42">
    <cfRule type="containsText" dxfId="2905" priority="3066" operator="containsText" text="S">
      <formula>NOT(ISERROR(SEARCH("S",S42)))</formula>
    </cfRule>
    <cfRule type="containsText" dxfId="2904" priority="3067" operator="containsText" text="P">
      <formula>NOT(ISERROR(SEARCH("P",S42)))</formula>
    </cfRule>
    <cfRule type="containsText" dxfId="2903" priority="3068" operator="containsText" text="H">
      <formula>NOT(ISERROR(SEARCH("H",S42)))</formula>
    </cfRule>
    <cfRule type="containsText" dxfId="2902" priority="3070" operator="containsText" text="&quot;H&quot;">
      <formula>NOT(ISERROR(SEARCH("""H""",S42)))</formula>
    </cfRule>
    <cfRule type="containsText" dxfId="2901" priority="3071" operator="containsText" text="&quot;A&quot;">
      <formula>NOT(ISERROR(SEARCH("""A""",S42)))</formula>
    </cfRule>
  </conditionalFormatting>
  <conditionalFormatting sqref="S42:T42">
    <cfRule type="containsText" dxfId="2900" priority="3069" operator="containsText" text="A-H">
      <formula>NOT(ISERROR(SEARCH("A-H",S42)))</formula>
    </cfRule>
  </conditionalFormatting>
  <conditionalFormatting sqref="AB42:AC42">
    <cfRule type="cellIs" dxfId="2899" priority="3048" operator="equal">
      <formula>"C-Off-H"</formula>
    </cfRule>
    <cfRule type="cellIs" dxfId="2898" priority="3049" operator="equal">
      <formula>"C-Off"</formula>
    </cfRule>
    <cfRule type="cellIs" dxfId="2897" priority="3050" operator="equal">
      <formula>"CL-H"</formula>
    </cfRule>
    <cfRule type="cellIs" dxfId="2896" priority="3051" operator="equal">
      <formula>"EL-H"</formula>
    </cfRule>
    <cfRule type="cellIs" dxfId="2895" priority="3052" operator="equal">
      <formula>"CL"</formula>
    </cfRule>
    <cfRule type="cellIs" dxfId="2894" priority="3053" operator="equal">
      <formula>"EL"</formula>
    </cfRule>
  </conditionalFormatting>
  <conditionalFormatting sqref="AB42:AC42">
    <cfRule type="containsText" dxfId="2893" priority="3042" operator="containsText" text="S">
      <formula>NOT(ISERROR(SEARCH("S",AB42)))</formula>
    </cfRule>
    <cfRule type="containsText" dxfId="2892" priority="3043" operator="containsText" text="P">
      <formula>NOT(ISERROR(SEARCH("P",AB42)))</formula>
    </cfRule>
    <cfRule type="containsText" dxfId="2891" priority="3044" operator="containsText" text="H">
      <formula>NOT(ISERROR(SEARCH("H",AB42)))</formula>
    </cfRule>
    <cfRule type="containsText" dxfId="2890" priority="3046" operator="containsText" text="&quot;H&quot;">
      <formula>NOT(ISERROR(SEARCH("""H""",AB42)))</formula>
    </cfRule>
    <cfRule type="containsText" dxfId="2889" priority="3047" operator="containsText" text="&quot;A&quot;">
      <formula>NOT(ISERROR(SEARCH("""A""",AB42)))</formula>
    </cfRule>
  </conditionalFormatting>
  <conditionalFormatting sqref="AB42:AC42">
    <cfRule type="containsText" dxfId="2888" priority="3045" operator="containsText" text="A-H">
      <formula>NOT(ISERROR(SEARCH("A-H",AB42)))</formula>
    </cfRule>
  </conditionalFormatting>
  <conditionalFormatting sqref="AE42">
    <cfRule type="cellIs" dxfId="2887" priority="3036" operator="equal">
      <formula>"C-Off-H"</formula>
    </cfRule>
    <cfRule type="cellIs" dxfId="2886" priority="3037" operator="equal">
      <formula>"C-Off"</formula>
    </cfRule>
    <cfRule type="cellIs" dxfId="2885" priority="3038" operator="equal">
      <formula>"CL-H"</formula>
    </cfRule>
    <cfRule type="cellIs" dxfId="2884" priority="3039" operator="equal">
      <formula>"EL-H"</formula>
    </cfRule>
    <cfRule type="cellIs" dxfId="2883" priority="3040" operator="equal">
      <formula>"CL"</formula>
    </cfRule>
    <cfRule type="cellIs" dxfId="2882" priority="3041" operator="equal">
      <formula>"EL"</formula>
    </cfRule>
  </conditionalFormatting>
  <conditionalFormatting sqref="AE42">
    <cfRule type="containsText" dxfId="2881" priority="3030" operator="containsText" text="S">
      <formula>NOT(ISERROR(SEARCH("S",AE42)))</formula>
    </cfRule>
    <cfRule type="containsText" dxfId="2880" priority="3031" operator="containsText" text="P">
      <formula>NOT(ISERROR(SEARCH("P",AE42)))</formula>
    </cfRule>
    <cfRule type="containsText" dxfId="2879" priority="3032" operator="containsText" text="H">
      <formula>NOT(ISERROR(SEARCH("H",AE42)))</formula>
    </cfRule>
    <cfRule type="containsText" dxfId="2878" priority="3034" operator="containsText" text="&quot;H&quot;">
      <formula>NOT(ISERROR(SEARCH("""H""",AE42)))</formula>
    </cfRule>
    <cfRule type="containsText" dxfId="2877" priority="3035" operator="containsText" text="&quot;A&quot;">
      <formula>NOT(ISERROR(SEARCH("""A""",AE42)))</formula>
    </cfRule>
  </conditionalFormatting>
  <conditionalFormatting sqref="AE42">
    <cfRule type="containsText" dxfId="2876" priority="3033" operator="containsText" text="A-H">
      <formula>NOT(ISERROR(SEARCH("A-H",AE42)))</formula>
    </cfRule>
  </conditionalFormatting>
  <conditionalFormatting sqref="AK42:AL42">
    <cfRule type="cellIs" dxfId="2875" priority="3024" operator="equal">
      <formula>"C-Off-H"</formula>
    </cfRule>
    <cfRule type="cellIs" dxfId="2874" priority="3025" operator="equal">
      <formula>"C-Off"</formula>
    </cfRule>
    <cfRule type="cellIs" dxfId="2873" priority="3026" operator="equal">
      <formula>"CL-H"</formula>
    </cfRule>
    <cfRule type="cellIs" dxfId="2872" priority="3027" operator="equal">
      <formula>"EL-H"</formula>
    </cfRule>
    <cfRule type="cellIs" dxfId="2871" priority="3028" operator="equal">
      <formula>"CL"</formula>
    </cfRule>
    <cfRule type="cellIs" dxfId="2870" priority="3029" operator="equal">
      <formula>"EL"</formula>
    </cfRule>
  </conditionalFormatting>
  <conditionalFormatting sqref="AK42:AL42">
    <cfRule type="containsText" dxfId="2869" priority="3018" operator="containsText" text="S">
      <formula>NOT(ISERROR(SEARCH("S",AK42)))</formula>
    </cfRule>
    <cfRule type="containsText" dxfId="2868" priority="3019" operator="containsText" text="P">
      <formula>NOT(ISERROR(SEARCH("P",AK42)))</formula>
    </cfRule>
    <cfRule type="containsText" dxfId="2867" priority="3020" operator="containsText" text="H">
      <formula>NOT(ISERROR(SEARCH("H",AK42)))</formula>
    </cfRule>
    <cfRule type="containsText" dxfId="2866" priority="3022" operator="containsText" text="&quot;H&quot;">
      <formula>NOT(ISERROR(SEARCH("""H""",AK42)))</formula>
    </cfRule>
    <cfRule type="containsText" dxfId="2865" priority="3023" operator="containsText" text="&quot;A&quot;">
      <formula>NOT(ISERROR(SEARCH("""A""",AK42)))</formula>
    </cfRule>
  </conditionalFormatting>
  <conditionalFormatting sqref="AK42:AL42">
    <cfRule type="containsText" dxfId="2864" priority="3021" operator="containsText" text="A-H">
      <formula>NOT(ISERROR(SEARCH("A-H",AK42)))</formula>
    </cfRule>
  </conditionalFormatting>
  <conditionalFormatting sqref="AN42:AO42">
    <cfRule type="cellIs" dxfId="2863" priority="3012" operator="equal">
      <formula>"C-Off-H"</formula>
    </cfRule>
    <cfRule type="cellIs" dxfId="2862" priority="3013" operator="equal">
      <formula>"C-Off"</formula>
    </cfRule>
    <cfRule type="cellIs" dxfId="2861" priority="3014" operator="equal">
      <formula>"CL-H"</formula>
    </cfRule>
    <cfRule type="cellIs" dxfId="2860" priority="3015" operator="equal">
      <formula>"EL-H"</formula>
    </cfRule>
    <cfRule type="cellIs" dxfId="2859" priority="3016" operator="equal">
      <formula>"CL"</formula>
    </cfRule>
    <cfRule type="cellIs" dxfId="2858" priority="3017" operator="equal">
      <formula>"EL"</formula>
    </cfRule>
  </conditionalFormatting>
  <conditionalFormatting sqref="AN42:AO42">
    <cfRule type="containsText" dxfId="2857" priority="3006" operator="containsText" text="S">
      <formula>NOT(ISERROR(SEARCH("S",AN42)))</formula>
    </cfRule>
    <cfRule type="containsText" dxfId="2856" priority="3007" operator="containsText" text="P">
      <formula>NOT(ISERROR(SEARCH("P",AN42)))</formula>
    </cfRule>
    <cfRule type="containsText" dxfId="2855" priority="3008" operator="containsText" text="H">
      <formula>NOT(ISERROR(SEARCH("H",AN42)))</formula>
    </cfRule>
    <cfRule type="containsText" dxfId="2854" priority="3010" operator="containsText" text="&quot;H&quot;">
      <formula>NOT(ISERROR(SEARCH("""H""",AN42)))</formula>
    </cfRule>
    <cfRule type="containsText" dxfId="2853" priority="3011" operator="containsText" text="&quot;A&quot;">
      <formula>NOT(ISERROR(SEARCH("""A""",AN42)))</formula>
    </cfRule>
  </conditionalFormatting>
  <conditionalFormatting sqref="AN42:AO42">
    <cfRule type="containsText" dxfId="2852" priority="3009" operator="containsText" text="A-H">
      <formula>NOT(ISERROR(SEARCH("A-H",AN42)))</formula>
    </cfRule>
  </conditionalFormatting>
  <conditionalFormatting sqref="AQ42:AR42">
    <cfRule type="cellIs" dxfId="2851" priority="3000" operator="equal">
      <formula>"C-Off-H"</formula>
    </cfRule>
    <cfRule type="cellIs" dxfId="2850" priority="3001" operator="equal">
      <formula>"C-Off"</formula>
    </cfRule>
    <cfRule type="cellIs" dxfId="2849" priority="3002" operator="equal">
      <formula>"CL-H"</formula>
    </cfRule>
    <cfRule type="cellIs" dxfId="2848" priority="3003" operator="equal">
      <formula>"EL-H"</formula>
    </cfRule>
    <cfRule type="cellIs" dxfId="2847" priority="3004" operator="equal">
      <formula>"CL"</formula>
    </cfRule>
    <cfRule type="cellIs" dxfId="2846" priority="3005" operator="equal">
      <formula>"EL"</formula>
    </cfRule>
  </conditionalFormatting>
  <conditionalFormatting sqref="AQ42:AR42">
    <cfRule type="containsText" dxfId="2845" priority="2994" operator="containsText" text="S">
      <formula>NOT(ISERROR(SEARCH("S",AQ42)))</formula>
    </cfRule>
    <cfRule type="containsText" dxfId="2844" priority="2995" operator="containsText" text="P">
      <formula>NOT(ISERROR(SEARCH("P",AQ42)))</formula>
    </cfRule>
    <cfRule type="containsText" dxfId="2843" priority="2996" operator="containsText" text="H">
      <formula>NOT(ISERROR(SEARCH("H",AQ42)))</formula>
    </cfRule>
    <cfRule type="containsText" dxfId="2842" priority="2998" operator="containsText" text="&quot;H&quot;">
      <formula>NOT(ISERROR(SEARCH("""H""",AQ42)))</formula>
    </cfRule>
    <cfRule type="containsText" dxfId="2841" priority="2999" operator="containsText" text="&quot;A&quot;">
      <formula>NOT(ISERROR(SEARCH("""A""",AQ42)))</formula>
    </cfRule>
  </conditionalFormatting>
  <conditionalFormatting sqref="AQ42:AR42">
    <cfRule type="containsText" dxfId="2840" priority="2997" operator="containsText" text="A-H">
      <formula>NOT(ISERROR(SEARCH("A-H",AQ42)))</formula>
    </cfRule>
  </conditionalFormatting>
  <conditionalFormatting sqref="AW42:AX42">
    <cfRule type="cellIs" dxfId="2839" priority="2988" operator="equal">
      <formula>"C-Off-H"</formula>
    </cfRule>
    <cfRule type="cellIs" dxfId="2838" priority="2989" operator="equal">
      <formula>"C-Off"</formula>
    </cfRule>
    <cfRule type="cellIs" dxfId="2837" priority="2990" operator="equal">
      <formula>"CL-H"</formula>
    </cfRule>
    <cfRule type="cellIs" dxfId="2836" priority="2991" operator="equal">
      <formula>"EL-H"</formula>
    </cfRule>
    <cfRule type="cellIs" dxfId="2835" priority="2992" operator="equal">
      <formula>"CL"</formula>
    </cfRule>
    <cfRule type="cellIs" dxfId="2834" priority="2993" operator="equal">
      <formula>"EL"</formula>
    </cfRule>
  </conditionalFormatting>
  <conditionalFormatting sqref="AW42:AX42">
    <cfRule type="containsText" dxfId="2833" priority="2982" operator="containsText" text="S">
      <formula>NOT(ISERROR(SEARCH("S",AW42)))</formula>
    </cfRule>
    <cfRule type="containsText" dxfId="2832" priority="2983" operator="containsText" text="P">
      <formula>NOT(ISERROR(SEARCH("P",AW42)))</formula>
    </cfRule>
    <cfRule type="containsText" dxfId="2831" priority="2984" operator="containsText" text="H">
      <formula>NOT(ISERROR(SEARCH("H",AW42)))</formula>
    </cfRule>
    <cfRule type="containsText" dxfId="2830" priority="2986" operator="containsText" text="&quot;H&quot;">
      <formula>NOT(ISERROR(SEARCH("""H""",AW42)))</formula>
    </cfRule>
    <cfRule type="containsText" dxfId="2829" priority="2987" operator="containsText" text="&quot;A&quot;">
      <formula>NOT(ISERROR(SEARCH("""A""",AW42)))</formula>
    </cfRule>
  </conditionalFormatting>
  <conditionalFormatting sqref="AW42:AX42">
    <cfRule type="containsText" dxfId="2828" priority="2985" operator="containsText" text="A-H">
      <formula>NOT(ISERROR(SEARCH("A-H",AW42)))</formula>
    </cfRule>
  </conditionalFormatting>
  <conditionalFormatting sqref="AZ42:BA42">
    <cfRule type="cellIs" dxfId="2827" priority="2976" operator="equal">
      <formula>"C-Off-H"</formula>
    </cfRule>
    <cfRule type="cellIs" dxfId="2826" priority="2977" operator="equal">
      <formula>"C-Off"</formula>
    </cfRule>
    <cfRule type="cellIs" dxfId="2825" priority="2978" operator="equal">
      <formula>"CL-H"</formula>
    </cfRule>
    <cfRule type="cellIs" dxfId="2824" priority="2979" operator="equal">
      <formula>"EL-H"</formula>
    </cfRule>
    <cfRule type="cellIs" dxfId="2823" priority="2980" operator="equal">
      <formula>"CL"</formula>
    </cfRule>
    <cfRule type="cellIs" dxfId="2822" priority="2981" operator="equal">
      <formula>"EL"</formula>
    </cfRule>
  </conditionalFormatting>
  <conditionalFormatting sqref="AZ42:BA42">
    <cfRule type="containsText" dxfId="2821" priority="2970" operator="containsText" text="S">
      <formula>NOT(ISERROR(SEARCH("S",AZ42)))</formula>
    </cfRule>
    <cfRule type="containsText" dxfId="2820" priority="2971" operator="containsText" text="P">
      <formula>NOT(ISERROR(SEARCH("P",AZ42)))</formula>
    </cfRule>
    <cfRule type="containsText" dxfId="2819" priority="2972" operator="containsText" text="H">
      <formula>NOT(ISERROR(SEARCH("H",AZ42)))</formula>
    </cfRule>
    <cfRule type="containsText" dxfId="2818" priority="2974" operator="containsText" text="&quot;H&quot;">
      <formula>NOT(ISERROR(SEARCH("""H""",AZ42)))</formula>
    </cfRule>
    <cfRule type="containsText" dxfId="2817" priority="2975" operator="containsText" text="&quot;A&quot;">
      <formula>NOT(ISERROR(SEARCH("""A""",AZ42)))</formula>
    </cfRule>
  </conditionalFormatting>
  <conditionalFormatting sqref="AZ42:BA42">
    <cfRule type="containsText" dxfId="2816" priority="2973" operator="containsText" text="A-H">
      <formula>NOT(ISERROR(SEARCH("A-H",AZ42)))</formula>
    </cfRule>
  </conditionalFormatting>
  <conditionalFormatting sqref="BC42:BD42">
    <cfRule type="cellIs" dxfId="2815" priority="2964" operator="equal">
      <formula>"C-Off-H"</formula>
    </cfRule>
    <cfRule type="cellIs" dxfId="2814" priority="2965" operator="equal">
      <formula>"C-Off"</formula>
    </cfRule>
    <cfRule type="cellIs" dxfId="2813" priority="2966" operator="equal">
      <formula>"CL-H"</formula>
    </cfRule>
    <cfRule type="cellIs" dxfId="2812" priority="2967" operator="equal">
      <formula>"EL-H"</formula>
    </cfRule>
    <cfRule type="cellIs" dxfId="2811" priority="2968" operator="equal">
      <formula>"CL"</formula>
    </cfRule>
    <cfRule type="cellIs" dxfId="2810" priority="2969" operator="equal">
      <formula>"EL"</formula>
    </cfRule>
  </conditionalFormatting>
  <conditionalFormatting sqref="BC42:BD42">
    <cfRule type="containsText" dxfId="2809" priority="2958" operator="containsText" text="S">
      <formula>NOT(ISERROR(SEARCH("S",BC42)))</formula>
    </cfRule>
    <cfRule type="containsText" dxfId="2808" priority="2959" operator="containsText" text="P">
      <formula>NOT(ISERROR(SEARCH("P",BC42)))</formula>
    </cfRule>
    <cfRule type="containsText" dxfId="2807" priority="2960" operator="containsText" text="H">
      <formula>NOT(ISERROR(SEARCH("H",BC42)))</formula>
    </cfRule>
    <cfRule type="containsText" dxfId="2806" priority="2962" operator="containsText" text="&quot;H&quot;">
      <formula>NOT(ISERROR(SEARCH("""H""",BC42)))</formula>
    </cfRule>
    <cfRule type="containsText" dxfId="2805" priority="2963" operator="containsText" text="&quot;A&quot;">
      <formula>NOT(ISERROR(SEARCH("""A""",BC42)))</formula>
    </cfRule>
  </conditionalFormatting>
  <conditionalFormatting sqref="BC42:BD42">
    <cfRule type="containsText" dxfId="2804" priority="2961" operator="containsText" text="A-H">
      <formula>NOT(ISERROR(SEARCH("A-H",BC42)))</formula>
    </cfRule>
  </conditionalFormatting>
  <conditionalFormatting sqref="BF42:BG42">
    <cfRule type="cellIs" dxfId="2803" priority="2952" operator="equal">
      <formula>"C-Off-H"</formula>
    </cfRule>
    <cfRule type="cellIs" dxfId="2802" priority="2953" operator="equal">
      <formula>"C-Off"</formula>
    </cfRule>
    <cfRule type="cellIs" dxfId="2801" priority="2954" operator="equal">
      <formula>"CL-H"</formula>
    </cfRule>
    <cfRule type="cellIs" dxfId="2800" priority="2955" operator="equal">
      <formula>"EL-H"</formula>
    </cfRule>
    <cfRule type="cellIs" dxfId="2799" priority="2956" operator="equal">
      <formula>"CL"</formula>
    </cfRule>
    <cfRule type="cellIs" dxfId="2798" priority="2957" operator="equal">
      <formula>"EL"</formula>
    </cfRule>
  </conditionalFormatting>
  <conditionalFormatting sqref="BF42:BG42">
    <cfRule type="containsText" dxfId="2797" priority="2946" operator="containsText" text="S">
      <formula>NOT(ISERROR(SEARCH("S",BF42)))</formula>
    </cfRule>
    <cfRule type="containsText" dxfId="2796" priority="2947" operator="containsText" text="P">
      <formula>NOT(ISERROR(SEARCH("P",BF42)))</formula>
    </cfRule>
    <cfRule type="containsText" dxfId="2795" priority="2948" operator="containsText" text="H">
      <formula>NOT(ISERROR(SEARCH("H",BF42)))</formula>
    </cfRule>
    <cfRule type="containsText" dxfId="2794" priority="2950" operator="containsText" text="&quot;H&quot;">
      <formula>NOT(ISERROR(SEARCH("""H""",BF42)))</formula>
    </cfRule>
    <cfRule type="containsText" dxfId="2793" priority="2951" operator="containsText" text="&quot;A&quot;">
      <formula>NOT(ISERROR(SEARCH("""A""",BF42)))</formula>
    </cfRule>
  </conditionalFormatting>
  <conditionalFormatting sqref="BF42:BG42">
    <cfRule type="containsText" dxfId="2792" priority="2949" operator="containsText" text="A-H">
      <formula>NOT(ISERROR(SEARCH("A-H",BF42)))</formula>
    </cfRule>
  </conditionalFormatting>
  <conditionalFormatting sqref="BI42:BJ42">
    <cfRule type="cellIs" dxfId="2791" priority="2940" operator="equal">
      <formula>"C-Off-H"</formula>
    </cfRule>
    <cfRule type="cellIs" dxfId="2790" priority="2941" operator="equal">
      <formula>"C-Off"</formula>
    </cfRule>
    <cfRule type="cellIs" dxfId="2789" priority="2942" operator="equal">
      <formula>"CL-H"</formula>
    </cfRule>
    <cfRule type="cellIs" dxfId="2788" priority="2943" operator="equal">
      <formula>"EL-H"</formula>
    </cfRule>
    <cfRule type="cellIs" dxfId="2787" priority="2944" operator="equal">
      <formula>"CL"</formula>
    </cfRule>
    <cfRule type="cellIs" dxfId="2786" priority="2945" operator="equal">
      <formula>"EL"</formula>
    </cfRule>
  </conditionalFormatting>
  <conditionalFormatting sqref="BI42:BJ42">
    <cfRule type="containsText" dxfId="2785" priority="2934" operator="containsText" text="S">
      <formula>NOT(ISERROR(SEARCH("S",BI42)))</formula>
    </cfRule>
    <cfRule type="containsText" dxfId="2784" priority="2935" operator="containsText" text="P">
      <formula>NOT(ISERROR(SEARCH("P",BI42)))</formula>
    </cfRule>
    <cfRule type="containsText" dxfId="2783" priority="2936" operator="containsText" text="H">
      <formula>NOT(ISERROR(SEARCH("H",BI42)))</formula>
    </cfRule>
    <cfRule type="containsText" dxfId="2782" priority="2938" operator="containsText" text="&quot;H&quot;">
      <formula>NOT(ISERROR(SEARCH("""H""",BI42)))</formula>
    </cfRule>
    <cfRule type="containsText" dxfId="2781" priority="2939" operator="containsText" text="&quot;A&quot;">
      <formula>NOT(ISERROR(SEARCH("""A""",BI42)))</formula>
    </cfRule>
  </conditionalFormatting>
  <conditionalFormatting sqref="BI42:BJ42">
    <cfRule type="containsText" dxfId="2780" priority="2937" operator="containsText" text="A-H">
      <formula>NOT(ISERROR(SEARCH("A-H",BI42)))</formula>
    </cfRule>
  </conditionalFormatting>
  <conditionalFormatting sqref="BL42:BM42">
    <cfRule type="cellIs" dxfId="2779" priority="2928" operator="equal">
      <formula>"C-Off-H"</formula>
    </cfRule>
    <cfRule type="cellIs" dxfId="2778" priority="2929" operator="equal">
      <formula>"C-Off"</formula>
    </cfRule>
    <cfRule type="cellIs" dxfId="2777" priority="2930" operator="equal">
      <formula>"CL-H"</formula>
    </cfRule>
    <cfRule type="cellIs" dxfId="2776" priority="2931" operator="equal">
      <formula>"EL-H"</formula>
    </cfRule>
    <cfRule type="cellIs" dxfId="2775" priority="2932" operator="equal">
      <formula>"CL"</formula>
    </cfRule>
    <cfRule type="cellIs" dxfId="2774" priority="2933" operator="equal">
      <formula>"EL"</formula>
    </cfRule>
  </conditionalFormatting>
  <conditionalFormatting sqref="BL42:BM42">
    <cfRule type="containsText" dxfId="2773" priority="2922" operator="containsText" text="S">
      <formula>NOT(ISERROR(SEARCH("S",BL42)))</formula>
    </cfRule>
    <cfRule type="containsText" dxfId="2772" priority="2923" operator="containsText" text="P">
      <formula>NOT(ISERROR(SEARCH("P",BL42)))</formula>
    </cfRule>
    <cfRule type="containsText" dxfId="2771" priority="2924" operator="containsText" text="H">
      <formula>NOT(ISERROR(SEARCH("H",BL42)))</formula>
    </cfRule>
    <cfRule type="containsText" dxfId="2770" priority="2926" operator="containsText" text="&quot;H&quot;">
      <formula>NOT(ISERROR(SEARCH("""H""",BL42)))</formula>
    </cfRule>
    <cfRule type="containsText" dxfId="2769" priority="2927" operator="containsText" text="&quot;A&quot;">
      <formula>NOT(ISERROR(SEARCH("""A""",BL42)))</formula>
    </cfRule>
  </conditionalFormatting>
  <conditionalFormatting sqref="BL42:BM42">
    <cfRule type="containsText" dxfId="2768" priority="2925" operator="containsText" text="A-H">
      <formula>NOT(ISERROR(SEARCH("A-H",BL42)))</formula>
    </cfRule>
  </conditionalFormatting>
  <conditionalFormatting sqref="BR42:BS42">
    <cfRule type="cellIs" dxfId="2767" priority="2916" operator="equal">
      <formula>"C-Off-H"</formula>
    </cfRule>
    <cfRule type="cellIs" dxfId="2766" priority="2917" operator="equal">
      <formula>"C-Off"</formula>
    </cfRule>
    <cfRule type="cellIs" dxfId="2765" priority="2918" operator="equal">
      <formula>"CL-H"</formula>
    </cfRule>
    <cfRule type="cellIs" dxfId="2764" priority="2919" operator="equal">
      <formula>"EL-H"</formula>
    </cfRule>
    <cfRule type="cellIs" dxfId="2763" priority="2920" operator="equal">
      <formula>"CL"</formula>
    </cfRule>
    <cfRule type="cellIs" dxfId="2762" priority="2921" operator="equal">
      <formula>"EL"</formula>
    </cfRule>
  </conditionalFormatting>
  <conditionalFormatting sqref="BR42:BS42">
    <cfRule type="containsText" dxfId="2761" priority="2910" operator="containsText" text="S">
      <formula>NOT(ISERROR(SEARCH("S",BR42)))</formula>
    </cfRule>
    <cfRule type="containsText" dxfId="2760" priority="2911" operator="containsText" text="P">
      <formula>NOT(ISERROR(SEARCH("P",BR42)))</formula>
    </cfRule>
    <cfRule type="containsText" dxfId="2759" priority="2912" operator="containsText" text="H">
      <formula>NOT(ISERROR(SEARCH("H",BR42)))</formula>
    </cfRule>
    <cfRule type="containsText" dxfId="2758" priority="2914" operator="containsText" text="&quot;H&quot;">
      <formula>NOT(ISERROR(SEARCH("""H""",BR42)))</formula>
    </cfRule>
    <cfRule type="containsText" dxfId="2757" priority="2915" operator="containsText" text="&quot;A&quot;">
      <formula>NOT(ISERROR(SEARCH("""A""",BR42)))</formula>
    </cfRule>
  </conditionalFormatting>
  <conditionalFormatting sqref="BR42:BS42">
    <cfRule type="containsText" dxfId="2756" priority="2913" operator="containsText" text="A-H">
      <formula>NOT(ISERROR(SEARCH("A-H",BR42)))</formula>
    </cfRule>
  </conditionalFormatting>
  <conditionalFormatting sqref="BU42:BV42">
    <cfRule type="cellIs" dxfId="2755" priority="2904" operator="equal">
      <formula>"C-Off-H"</formula>
    </cfRule>
    <cfRule type="cellIs" dxfId="2754" priority="2905" operator="equal">
      <formula>"C-Off"</formula>
    </cfRule>
    <cfRule type="cellIs" dxfId="2753" priority="2906" operator="equal">
      <formula>"CL-H"</formula>
    </cfRule>
    <cfRule type="cellIs" dxfId="2752" priority="2907" operator="equal">
      <formula>"EL-H"</formula>
    </cfRule>
    <cfRule type="cellIs" dxfId="2751" priority="2908" operator="equal">
      <formula>"CL"</formula>
    </cfRule>
    <cfRule type="cellIs" dxfId="2750" priority="2909" operator="equal">
      <formula>"EL"</formula>
    </cfRule>
  </conditionalFormatting>
  <conditionalFormatting sqref="BU42:BV42">
    <cfRule type="containsText" dxfId="2749" priority="2898" operator="containsText" text="S">
      <formula>NOT(ISERROR(SEARCH("S",BU42)))</formula>
    </cfRule>
    <cfRule type="containsText" dxfId="2748" priority="2899" operator="containsText" text="P">
      <formula>NOT(ISERROR(SEARCH("P",BU42)))</formula>
    </cfRule>
    <cfRule type="containsText" dxfId="2747" priority="2900" operator="containsText" text="H">
      <formula>NOT(ISERROR(SEARCH("H",BU42)))</formula>
    </cfRule>
    <cfRule type="containsText" dxfId="2746" priority="2902" operator="containsText" text="&quot;H&quot;">
      <formula>NOT(ISERROR(SEARCH("""H""",BU42)))</formula>
    </cfRule>
    <cfRule type="containsText" dxfId="2745" priority="2903" operator="containsText" text="&quot;A&quot;">
      <formula>NOT(ISERROR(SEARCH("""A""",BU42)))</formula>
    </cfRule>
  </conditionalFormatting>
  <conditionalFormatting sqref="BU42:BV42">
    <cfRule type="containsText" dxfId="2744" priority="2901" operator="containsText" text="A-H">
      <formula>NOT(ISERROR(SEARCH("A-H",BU42)))</formula>
    </cfRule>
  </conditionalFormatting>
  <conditionalFormatting sqref="BY42">
    <cfRule type="cellIs" dxfId="2743" priority="2892" operator="equal">
      <formula>"C-Off-H"</formula>
    </cfRule>
    <cfRule type="cellIs" dxfId="2742" priority="2893" operator="equal">
      <formula>"C-Off"</formula>
    </cfRule>
    <cfRule type="cellIs" dxfId="2741" priority="2894" operator="equal">
      <formula>"CL-H"</formula>
    </cfRule>
    <cfRule type="cellIs" dxfId="2740" priority="2895" operator="equal">
      <formula>"EL-H"</formula>
    </cfRule>
    <cfRule type="cellIs" dxfId="2739" priority="2896" operator="equal">
      <formula>"CL"</formula>
    </cfRule>
    <cfRule type="cellIs" dxfId="2738" priority="2897" operator="equal">
      <formula>"EL"</formula>
    </cfRule>
  </conditionalFormatting>
  <conditionalFormatting sqref="BY42">
    <cfRule type="containsText" dxfId="2737" priority="2886" operator="containsText" text="S">
      <formula>NOT(ISERROR(SEARCH("S",BY42)))</formula>
    </cfRule>
    <cfRule type="containsText" dxfId="2736" priority="2887" operator="containsText" text="P">
      <formula>NOT(ISERROR(SEARCH("P",BY42)))</formula>
    </cfRule>
    <cfRule type="containsText" dxfId="2735" priority="2888" operator="containsText" text="H">
      <formula>NOT(ISERROR(SEARCH("H",BY42)))</formula>
    </cfRule>
    <cfRule type="containsText" dxfId="2734" priority="2890" operator="containsText" text="&quot;H&quot;">
      <formula>NOT(ISERROR(SEARCH("""H""",BY42)))</formula>
    </cfRule>
    <cfRule type="containsText" dxfId="2733" priority="2891" operator="containsText" text="&quot;A&quot;">
      <formula>NOT(ISERROR(SEARCH("""A""",BY42)))</formula>
    </cfRule>
  </conditionalFormatting>
  <conditionalFormatting sqref="BY42">
    <cfRule type="containsText" dxfId="2732" priority="2889" operator="containsText" text="A-H">
      <formula>NOT(ISERROR(SEARCH("A-H",BY42)))</formula>
    </cfRule>
  </conditionalFormatting>
  <conditionalFormatting sqref="BX42">
    <cfRule type="cellIs" dxfId="2731" priority="2880" operator="equal">
      <formula>"C-Off-H"</formula>
    </cfRule>
    <cfRule type="cellIs" dxfId="2730" priority="2881" operator="equal">
      <formula>"C-Off"</formula>
    </cfRule>
    <cfRule type="cellIs" dxfId="2729" priority="2882" operator="equal">
      <formula>"CL-H"</formula>
    </cfRule>
    <cfRule type="cellIs" dxfId="2728" priority="2883" operator="equal">
      <formula>"EL-H"</formula>
    </cfRule>
    <cfRule type="cellIs" dxfId="2727" priority="2884" operator="equal">
      <formula>"CL"</formula>
    </cfRule>
    <cfRule type="cellIs" dxfId="2726" priority="2885" operator="equal">
      <formula>"EL"</formula>
    </cfRule>
  </conditionalFormatting>
  <conditionalFormatting sqref="BX42">
    <cfRule type="containsText" dxfId="2725" priority="2874" operator="containsText" text="S">
      <formula>NOT(ISERROR(SEARCH("S",BX42)))</formula>
    </cfRule>
    <cfRule type="containsText" dxfId="2724" priority="2875" operator="containsText" text="P">
      <formula>NOT(ISERROR(SEARCH("P",BX42)))</formula>
    </cfRule>
    <cfRule type="containsText" dxfId="2723" priority="2876" operator="containsText" text="H">
      <formula>NOT(ISERROR(SEARCH("H",BX42)))</formula>
    </cfRule>
    <cfRule type="containsText" dxfId="2722" priority="2878" operator="containsText" text="&quot;H&quot;">
      <formula>NOT(ISERROR(SEARCH("""H""",BX42)))</formula>
    </cfRule>
    <cfRule type="containsText" dxfId="2721" priority="2879" operator="containsText" text="&quot;A&quot;">
      <formula>NOT(ISERROR(SEARCH("""A""",BX42)))</formula>
    </cfRule>
  </conditionalFormatting>
  <conditionalFormatting sqref="BX42">
    <cfRule type="containsText" dxfId="2720" priority="2877" operator="containsText" text="A-H">
      <formula>NOT(ISERROR(SEARCH("A-H",BX42)))</formula>
    </cfRule>
  </conditionalFormatting>
  <conditionalFormatting sqref="J42:K42">
    <cfRule type="cellIs" dxfId="2719" priority="2868" operator="equal">
      <formula>"C-Off-H"</formula>
    </cfRule>
    <cfRule type="cellIs" dxfId="2718" priority="2869" operator="equal">
      <formula>"C-Off"</formula>
    </cfRule>
    <cfRule type="cellIs" dxfId="2717" priority="2870" operator="equal">
      <formula>"CL-H"</formula>
    </cfRule>
    <cfRule type="cellIs" dxfId="2716" priority="2871" operator="equal">
      <formula>"EL-H"</formula>
    </cfRule>
    <cfRule type="cellIs" dxfId="2715" priority="2872" operator="equal">
      <formula>"CL"</formula>
    </cfRule>
    <cfRule type="cellIs" dxfId="2714" priority="2873" operator="equal">
      <formula>"EL"</formula>
    </cfRule>
  </conditionalFormatting>
  <conditionalFormatting sqref="J42:K42">
    <cfRule type="containsText" dxfId="2713" priority="2862" operator="containsText" text="S">
      <formula>NOT(ISERROR(SEARCH("S",J42)))</formula>
    </cfRule>
    <cfRule type="containsText" dxfId="2712" priority="2863" operator="containsText" text="P">
      <formula>NOT(ISERROR(SEARCH("P",J42)))</formula>
    </cfRule>
    <cfRule type="containsText" dxfId="2711" priority="2864" operator="containsText" text="H">
      <formula>NOT(ISERROR(SEARCH("H",J42)))</formula>
    </cfRule>
    <cfRule type="containsText" dxfId="2710" priority="2866" operator="containsText" text="&quot;H&quot;">
      <formula>NOT(ISERROR(SEARCH("""H""",J42)))</formula>
    </cfRule>
    <cfRule type="containsText" dxfId="2709" priority="2867" operator="containsText" text="&quot;A&quot;">
      <formula>NOT(ISERROR(SEARCH("""A""",J42)))</formula>
    </cfRule>
  </conditionalFormatting>
  <conditionalFormatting sqref="J42:K42">
    <cfRule type="containsText" dxfId="2708" priority="2865" operator="containsText" text="A-H">
      <formula>NOT(ISERROR(SEARCH("A-H",J42)))</formula>
    </cfRule>
  </conditionalFormatting>
  <conditionalFormatting sqref="M40:N40 DC40 CQ40:CW40">
    <cfRule type="cellIs" dxfId="2707" priority="2856" operator="equal">
      <formula>"C-Off-H"</formula>
    </cfRule>
    <cfRule type="cellIs" dxfId="2706" priority="2857" operator="equal">
      <formula>"C-Off"</formula>
    </cfRule>
    <cfRule type="cellIs" dxfId="2705" priority="2858" operator="equal">
      <formula>"CL-H"</formula>
    </cfRule>
    <cfRule type="cellIs" dxfId="2704" priority="2859" operator="equal">
      <formula>"EL-H"</formula>
    </cfRule>
    <cfRule type="cellIs" dxfId="2703" priority="2860" operator="equal">
      <formula>"CL"</formula>
    </cfRule>
    <cfRule type="cellIs" dxfId="2702" priority="2861" operator="equal">
      <formula>"EL"</formula>
    </cfRule>
  </conditionalFormatting>
  <conditionalFormatting sqref="M40:N40 DC40 CQ40:CW40 CY40:DA40">
    <cfRule type="containsText" dxfId="2701" priority="2855" operator="containsText" text="A-H">
      <formula>NOT(ISERROR(SEARCH("A-H",M40)))</formula>
    </cfRule>
  </conditionalFormatting>
  <conditionalFormatting sqref="DC40 CQ40:CW40 CY40:DA40">
    <cfRule type="containsText" dxfId="2700" priority="2854" operator="containsText" text="A">
      <formula>NOT(ISERROR(SEARCH("A",CQ40)))</formula>
    </cfRule>
  </conditionalFormatting>
  <conditionalFormatting sqref="CY40 DA40">
    <cfRule type="cellIs" dxfId="2699" priority="2848" stopIfTrue="1" operator="equal">
      <formula>"C-Off-H"</formula>
    </cfRule>
    <cfRule type="cellIs" dxfId="2698" priority="2849" stopIfTrue="1" operator="equal">
      <formula>"C-Off"</formula>
    </cfRule>
    <cfRule type="cellIs" dxfId="2697" priority="2850" stopIfTrue="1" operator="equal">
      <formula>"CL-H"</formula>
    </cfRule>
    <cfRule type="cellIs" dxfId="2696" priority="2851" stopIfTrue="1" operator="equal">
      <formula>"EL-H"</formula>
    </cfRule>
    <cfRule type="cellIs" dxfId="2695" priority="2852" stopIfTrue="1" operator="equal">
      <formula>"CL"</formula>
    </cfRule>
    <cfRule type="cellIs" dxfId="2694" priority="2853" stopIfTrue="1" operator="equal">
      <formula>"EL"</formula>
    </cfRule>
  </conditionalFormatting>
  <conditionalFormatting sqref="CZ40">
    <cfRule type="cellIs" dxfId="2693" priority="2842" stopIfTrue="1" operator="equal">
      <formula>"C-Off-H"</formula>
    </cfRule>
    <cfRule type="cellIs" dxfId="2692" priority="2843" stopIfTrue="1" operator="equal">
      <formula>"C-Off"</formula>
    </cfRule>
    <cfRule type="cellIs" dxfId="2691" priority="2844" stopIfTrue="1" operator="equal">
      <formula>"CL-H"</formula>
    </cfRule>
    <cfRule type="cellIs" dxfId="2690" priority="2845" stopIfTrue="1" operator="equal">
      <formula>"EL-H"</formula>
    </cfRule>
    <cfRule type="cellIs" dxfId="2689" priority="2846" stopIfTrue="1" operator="equal">
      <formula>"CL"</formula>
    </cfRule>
    <cfRule type="cellIs" dxfId="2688" priority="2847" stopIfTrue="1" operator="equal">
      <formula>"EL"</formula>
    </cfRule>
  </conditionalFormatting>
  <conditionalFormatting sqref="M40:N40">
    <cfRule type="containsText" dxfId="2687" priority="2837" operator="containsText" text="S">
      <formula>NOT(ISERROR(SEARCH("S",M40)))</formula>
    </cfRule>
    <cfRule type="containsText" dxfId="2686" priority="2838" operator="containsText" text="P">
      <formula>NOT(ISERROR(SEARCH("P",M40)))</formula>
    </cfRule>
    <cfRule type="containsText" dxfId="2685" priority="2839" operator="containsText" text="H">
      <formula>NOT(ISERROR(SEARCH("H",M40)))</formula>
    </cfRule>
    <cfRule type="containsText" dxfId="2684" priority="2840" operator="containsText" text="&quot;H&quot;">
      <formula>NOT(ISERROR(SEARCH("""H""",M40)))</formula>
    </cfRule>
    <cfRule type="containsText" dxfId="2683" priority="2841" operator="containsText" text="&quot;A&quot;">
      <formula>NOT(ISERROR(SEARCH("""A""",M40)))</formula>
    </cfRule>
  </conditionalFormatting>
  <conditionalFormatting sqref="DD40">
    <cfRule type="cellIs" dxfId="2682" priority="2831" operator="equal">
      <formula>"C-Off-H"</formula>
    </cfRule>
    <cfRule type="cellIs" dxfId="2681" priority="2832" operator="equal">
      <formula>"C-Off"</formula>
    </cfRule>
    <cfRule type="cellIs" dxfId="2680" priority="2833" operator="equal">
      <formula>"CL-H"</formula>
    </cfRule>
    <cfRule type="cellIs" dxfId="2679" priority="2834" operator="equal">
      <formula>"EL-H"</formula>
    </cfRule>
    <cfRule type="cellIs" dxfId="2678" priority="2835" operator="equal">
      <formula>"CL"</formula>
    </cfRule>
    <cfRule type="cellIs" dxfId="2677" priority="2836" operator="equal">
      <formula>"EL"</formula>
    </cfRule>
  </conditionalFormatting>
  <conditionalFormatting sqref="DD40">
    <cfRule type="containsText" dxfId="2676" priority="2830" operator="containsText" text="A">
      <formula>NOT(ISERROR(SEARCH("A",DD40)))</formula>
    </cfRule>
  </conditionalFormatting>
  <conditionalFormatting sqref="DD40">
    <cfRule type="containsText" dxfId="2675" priority="2829" operator="containsText" text="A-H">
      <formula>NOT(ISERROR(SEARCH("A-H",DD40)))</formula>
    </cfRule>
  </conditionalFormatting>
  <conditionalFormatting sqref="AI40">
    <cfRule type="cellIs" dxfId="2674" priority="2823" operator="equal">
      <formula>"C-Off-H"</formula>
    </cfRule>
    <cfRule type="cellIs" dxfId="2673" priority="2824" operator="equal">
      <formula>"C-Off"</formula>
    </cfRule>
    <cfRule type="cellIs" dxfId="2672" priority="2825" operator="equal">
      <formula>"CL-H"</formula>
    </cfRule>
    <cfRule type="cellIs" dxfId="2671" priority="2826" operator="equal">
      <formula>"EL-H"</formula>
    </cfRule>
    <cfRule type="cellIs" dxfId="2670" priority="2827" operator="equal">
      <formula>"CL"</formula>
    </cfRule>
    <cfRule type="cellIs" dxfId="2669" priority="2828" operator="equal">
      <formula>"EL"</formula>
    </cfRule>
  </conditionalFormatting>
  <conditionalFormatting sqref="AH40:AI40">
    <cfRule type="cellIs" dxfId="2668" priority="2817" operator="equal">
      <formula>"C-Off-H"</formula>
    </cfRule>
    <cfRule type="cellIs" dxfId="2667" priority="2818" operator="equal">
      <formula>"C-Off"</formula>
    </cfRule>
    <cfRule type="cellIs" dxfId="2666" priority="2819" operator="equal">
      <formula>"CL-H"</formula>
    </cfRule>
    <cfRule type="cellIs" dxfId="2665" priority="2820" operator="equal">
      <formula>"EL-H"</formula>
    </cfRule>
    <cfRule type="cellIs" dxfId="2664" priority="2821" operator="equal">
      <formula>"CL"</formula>
    </cfRule>
    <cfRule type="cellIs" dxfId="2663" priority="2822" operator="equal">
      <formula>"EL"</formula>
    </cfRule>
  </conditionalFormatting>
  <conditionalFormatting sqref="AH40:AI40">
    <cfRule type="containsText" dxfId="2662" priority="2811" operator="containsText" text="S">
      <formula>NOT(ISERROR(SEARCH("S",AH40)))</formula>
    </cfRule>
    <cfRule type="containsText" dxfId="2661" priority="2812" operator="containsText" text="P">
      <formula>NOT(ISERROR(SEARCH("P",AH40)))</formula>
    </cfRule>
    <cfRule type="containsText" dxfId="2660" priority="2813" operator="containsText" text="H">
      <formula>NOT(ISERROR(SEARCH("H",AH40)))</formula>
    </cfRule>
    <cfRule type="containsText" dxfId="2659" priority="2815" operator="containsText" text="&quot;H&quot;">
      <formula>NOT(ISERROR(SEARCH("""H""",AH40)))</formula>
    </cfRule>
    <cfRule type="containsText" dxfId="2658" priority="2816" operator="containsText" text="&quot;A&quot;">
      <formula>NOT(ISERROR(SEARCH("""A""",AH40)))</formula>
    </cfRule>
  </conditionalFormatting>
  <conditionalFormatting sqref="AH40:AI40">
    <cfRule type="containsText" dxfId="2657" priority="2814" operator="containsText" text="A-H">
      <formula>NOT(ISERROR(SEARCH("A-H",AH40)))</formula>
    </cfRule>
  </conditionalFormatting>
  <conditionalFormatting sqref="AU40">
    <cfRule type="cellIs" dxfId="2656" priority="2805" operator="equal">
      <formula>"C-Off-H"</formula>
    </cfRule>
    <cfRule type="cellIs" dxfId="2655" priority="2806" operator="equal">
      <formula>"C-Off"</formula>
    </cfRule>
    <cfRule type="cellIs" dxfId="2654" priority="2807" operator="equal">
      <formula>"CL-H"</formula>
    </cfRule>
    <cfRule type="cellIs" dxfId="2653" priority="2808" operator="equal">
      <formula>"EL-H"</formula>
    </cfRule>
    <cfRule type="cellIs" dxfId="2652" priority="2809" operator="equal">
      <formula>"CL"</formula>
    </cfRule>
    <cfRule type="cellIs" dxfId="2651" priority="2810" operator="equal">
      <formula>"EL"</formula>
    </cfRule>
  </conditionalFormatting>
  <conditionalFormatting sqref="AT40:AU40">
    <cfRule type="cellIs" dxfId="2650" priority="2799" operator="equal">
      <formula>"C-Off-H"</formula>
    </cfRule>
    <cfRule type="cellIs" dxfId="2649" priority="2800" operator="equal">
      <formula>"C-Off"</formula>
    </cfRule>
    <cfRule type="cellIs" dxfId="2648" priority="2801" operator="equal">
      <formula>"CL-H"</formula>
    </cfRule>
    <cfRule type="cellIs" dxfId="2647" priority="2802" operator="equal">
      <formula>"EL-H"</formula>
    </cfRule>
    <cfRule type="cellIs" dxfId="2646" priority="2803" operator="equal">
      <formula>"CL"</formula>
    </cfRule>
    <cfRule type="cellIs" dxfId="2645" priority="2804" operator="equal">
      <formula>"EL"</formula>
    </cfRule>
  </conditionalFormatting>
  <conditionalFormatting sqref="AT40:AU40">
    <cfRule type="containsText" dxfId="2644" priority="2793" operator="containsText" text="S">
      <formula>NOT(ISERROR(SEARCH("S",AT40)))</formula>
    </cfRule>
    <cfRule type="containsText" dxfId="2643" priority="2794" operator="containsText" text="P">
      <formula>NOT(ISERROR(SEARCH("P",AT40)))</formula>
    </cfRule>
    <cfRule type="containsText" dxfId="2642" priority="2795" operator="containsText" text="H">
      <formula>NOT(ISERROR(SEARCH("H",AT40)))</formula>
    </cfRule>
    <cfRule type="containsText" dxfId="2641" priority="2797" operator="containsText" text="&quot;H&quot;">
      <formula>NOT(ISERROR(SEARCH("""H""",AT40)))</formula>
    </cfRule>
    <cfRule type="containsText" dxfId="2640" priority="2798" operator="containsText" text="&quot;A&quot;">
      <formula>NOT(ISERROR(SEARCH("""A""",AT40)))</formula>
    </cfRule>
  </conditionalFormatting>
  <conditionalFormatting sqref="AT40:AU40">
    <cfRule type="containsText" dxfId="2639" priority="2796" operator="containsText" text="A-H">
      <formula>NOT(ISERROR(SEARCH("A-H",AT40)))</formula>
    </cfRule>
  </conditionalFormatting>
  <conditionalFormatting sqref="E40">
    <cfRule type="cellIs" dxfId="2638" priority="2787" operator="equal">
      <formula>"C-Off-H"</formula>
    </cfRule>
    <cfRule type="cellIs" dxfId="2637" priority="2788" operator="equal">
      <formula>"C-Off"</formula>
    </cfRule>
    <cfRule type="cellIs" dxfId="2636" priority="2789" operator="equal">
      <formula>"CL-H"</formula>
    </cfRule>
    <cfRule type="cellIs" dxfId="2635" priority="2790" operator="equal">
      <formula>"EL-H"</formula>
    </cfRule>
    <cfRule type="cellIs" dxfId="2634" priority="2791" operator="equal">
      <formula>"CL"</formula>
    </cfRule>
    <cfRule type="cellIs" dxfId="2633" priority="2792" operator="equal">
      <formula>"EL"</formula>
    </cfRule>
  </conditionalFormatting>
  <conditionalFormatting sqref="D40:E40">
    <cfRule type="cellIs" dxfId="2632" priority="2781" operator="equal">
      <formula>"C-Off-H"</formula>
    </cfRule>
    <cfRule type="cellIs" dxfId="2631" priority="2782" operator="equal">
      <formula>"C-Off"</formula>
    </cfRule>
    <cfRule type="cellIs" dxfId="2630" priority="2783" operator="equal">
      <formula>"CL-H"</formula>
    </cfRule>
    <cfRule type="cellIs" dxfId="2629" priority="2784" operator="equal">
      <formula>"EL-H"</formula>
    </cfRule>
    <cfRule type="cellIs" dxfId="2628" priority="2785" operator="equal">
      <formula>"CL"</formula>
    </cfRule>
    <cfRule type="cellIs" dxfId="2627" priority="2786" operator="equal">
      <formula>"EL"</formula>
    </cfRule>
  </conditionalFormatting>
  <conditionalFormatting sqref="D40:E40">
    <cfRule type="containsText" dxfId="2626" priority="2775" operator="containsText" text="S">
      <formula>NOT(ISERROR(SEARCH("S",D40)))</formula>
    </cfRule>
    <cfRule type="containsText" dxfId="2625" priority="2776" operator="containsText" text="P">
      <formula>NOT(ISERROR(SEARCH("P",D40)))</formula>
    </cfRule>
    <cfRule type="containsText" dxfId="2624" priority="2777" operator="containsText" text="H">
      <formula>NOT(ISERROR(SEARCH("H",D40)))</formula>
    </cfRule>
    <cfRule type="containsText" dxfId="2623" priority="2779" operator="containsText" text="&quot;H&quot;">
      <formula>NOT(ISERROR(SEARCH("""H""",D40)))</formula>
    </cfRule>
    <cfRule type="containsText" dxfId="2622" priority="2780" operator="containsText" text="&quot;A&quot;">
      <formula>NOT(ISERROR(SEARCH("""A""",D40)))</formula>
    </cfRule>
  </conditionalFormatting>
  <conditionalFormatting sqref="D40:E40">
    <cfRule type="containsText" dxfId="2621" priority="2778" operator="containsText" text="A-H">
      <formula>NOT(ISERROR(SEARCH("A-H",D40)))</formula>
    </cfRule>
  </conditionalFormatting>
  <conditionalFormatting sqref="Y40">
    <cfRule type="cellIs" dxfId="2620" priority="2769" operator="equal">
      <formula>"C-Off-H"</formula>
    </cfRule>
    <cfRule type="cellIs" dxfId="2619" priority="2770" operator="equal">
      <formula>"C-Off"</formula>
    </cfRule>
    <cfRule type="cellIs" dxfId="2618" priority="2771" operator="equal">
      <formula>"CL-H"</formula>
    </cfRule>
    <cfRule type="cellIs" dxfId="2617" priority="2772" operator="equal">
      <formula>"EL-H"</formula>
    </cfRule>
    <cfRule type="cellIs" dxfId="2616" priority="2773" operator="equal">
      <formula>"CL"</formula>
    </cfRule>
    <cfRule type="cellIs" dxfId="2615" priority="2774" operator="equal">
      <formula>"EL"</formula>
    </cfRule>
  </conditionalFormatting>
  <conditionalFormatting sqref="Y40">
    <cfRule type="containsText" dxfId="2614" priority="2763" operator="containsText" text="S">
      <formula>NOT(ISERROR(SEARCH("S",Y40)))</formula>
    </cfRule>
    <cfRule type="containsText" dxfId="2613" priority="2764" operator="containsText" text="P">
      <formula>NOT(ISERROR(SEARCH("P",Y40)))</formula>
    </cfRule>
    <cfRule type="containsText" dxfId="2612" priority="2765" operator="containsText" text="H">
      <formula>NOT(ISERROR(SEARCH("H",Y40)))</formula>
    </cfRule>
    <cfRule type="containsText" dxfId="2611" priority="2767" operator="containsText" text="&quot;H&quot;">
      <formula>NOT(ISERROR(SEARCH("""H""",Y40)))</formula>
    </cfRule>
    <cfRule type="containsText" dxfId="2610" priority="2768" operator="containsText" text="&quot;A&quot;">
      <formula>NOT(ISERROR(SEARCH("""A""",Y40)))</formula>
    </cfRule>
  </conditionalFormatting>
  <conditionalFormatting sqref="Y40">
    <cfRule type="containsText" dxfId="2609" priority="2766" operator="containsText" text="A-H">
      <formula>NOT(ISERROR(SEARCH("A-H",Y40)))</formula>
    </cfRule>
  </conditionalFormatting>
  <conditionalFormatting sqref="AF40">
    <cfRule type="cellIs" dxfId="2608" priority="2757" operator="equal">
      <formula>"C-Off-H"</formula>
    </cfRule>
    <cfRule type="cellIs" dxfId="2607" priority="2758" operator="equal">
      <formula>"C-Off"</formula>
    </cfRule>
    <cfRule type="cellIs" dxfId="2606" priority="2759" operator="equal">
      <formula>"CL-H"</formula>
    </cfRule>
    <cfRule type="cellIs" dxfId="2605" priority="2760" operator="equal">
      <formula>"EL-H"</formula>
    </cfRule>
    <cfRule type="cellIs" dxfId="2604" priority="2761" operator="equal">
      <formula>"CL"</formula>
    </cfRule>
    <cfRule type="cellIs" dxfId="2603" priority="2762" operator="equal">
      <formula>"EL"</formula>
    </cfRule>
  </conditionalFormatting>
  <conditionalFormatting sqref="AF40">
    <cfRule type="containsText" dxfId="2602" priority="2751" operator="containsText" text="S">
      <formula>NOT(ISERROR(SEARCH("S",AF40)))</formula>
    </cfRule>
    <cfRule type="containsText" dxfId="2601" priority="2752" operator="containsText" text="P">
      <formula>NOT(ISERROR(SEARCH("P",AF40)))</formula>
    </cfRule>
    <cfRule type="containsText" dxfId="2600" priority="2753" operator="containsText" text="H">
      <formula>NOT(ISERROR(SEARCH("H",AF40)))</formula>
    </cfRule>
    <cfRule type="containsText" dxfId="2599" priority="2755" operator="containsText" text="&quot;H&quot;">
      <formula>NOT(ISERROR(SEARCH("""H""",AF40)))</formula>
    </cfRule>
    <cfRule type="containsText" dxfId="2598" priority="2756" operator="containsText" text="&quot;A&quot;">
      <formula>NOT(ISERROR(SEARCH("""A""",AF40)))</formula>
    </cfRule>
  </conditionalFormatting>
  <conditionalFormatting sqref="AF40">
    <cfRule type="containsText" dxfId="2597" priority="2754" operator="containsText" text="A-H">
      <formula>NOT(ISERROR(SEARCH("A-H",AF40)))</formula>
    </cfRule>
  </conditionalFormatting>
  <conditionalFormatting sqref="BO40:BP40">
    <cfRule type="cellIs" dxfId="2596" priority="2745" operator="equal">
      <formula>"C-Off-H"</formula>
    </cfRule>
    <cfRule type="cellIs" dxfId="2595" priority="2746" operator="equal">
      <formula>"C-Off"</formula>
    </cfRule>
    <cfRule type="cellIs" dxfId="2594" priority="2747" operator="equal">
      <formula>"CL-H"</formula>
    </cfRule>
    <cfRule type="cellIs" dxfId="2593" priority="2748" operator="equal">
      <formula>"EL-H"</formula>
    </cfRule>
    <cfRule type="cellIs" dxfId="2592" priority="2749" operator="equal">
      <formula>"CL"</formula>
    </cfRule>
    <cfRule type="cellIs" dxfId="2591" priority="2750" operator="equal">
      <formula>"EL"</formula>
    </cfRule>
  </conditionalFormatting>
  <conditionalFormatting sqref="BO40:BP40">
    <cfRule type="cellIs" dxfId="2590" priority="2739" operator="equal">
      <formula>"C-Off-H"</formula>
    </cfRule>
    <cfRule type="cellIs" dxfId="2589" priority="2740" operator="equal">
      <formula>"C-Off"</formula>
    </cfRule>
    <cfRule type="cellIs" dxfId="2588" priority="2741" operator="equal">
      <formula>"CL-H"</formula>
    </cfRule>
    <cfRule type="cellIs" dxfId="2587" priority="2742" operator="equal">
      <formula>"EL-H"</formula>
    </cfRule>
    <cfRule type="cellIs" dxfId="2586" priority="2743" operator="equal">
      <formula>"CL"</formula>
    </cfRule>
    <cfRule type="cellIs" dxfId="2585" priority="2744" operator="equal">
      <formula>"EL"</formula>
    </cfRule>
  </conditionalFormatting>
  <conditionalFormatting sqref="BO40:BP40">
    <cfRule type="containsText" dxfId="2584" priority="2733" operator="containsText" text="S">
      <formula>NOT(ISERROR(SEARCH("S",BO40)))</formula>
    </cfRule>
    <cfRule type="containsText" dxfId="2583" priority="2734" operator="containsText" text="P">
      <formula>NOT(ISERROR(SEARCH("P",BO40)))</formula>
    </cfRule>
    <cfRule type="containsText" dxfId="2582" priority="2735" operator="containsText" text="H">
      <formula>NOT(ISERROR(SEARCH("H",BO40)))</formula>
    </cfRule>
    <cfRule type="containsText" dxfId="2581" priority="2737" operator="containsText" text="&quot;H&quot;">
      <formula>NOT(ISERROR(SEARCH("""H""",BO40)))</formula>
    </cfRule>
    <cfRule type="containsText" dxfId="2580" priority="2738" operator="containsText" text="&quot;A&quot;">
      <formula>NOT(ISERROR(SEARCH("""A""",BO40)))</formula>
    </cfRule>
  </conditionalFormatting>
  <conditionalFormatting sqref="BO40:BP40">
    <cfRule type="containsText" dxfId="2579" priority="2736" operator="containsText" text="A-H">
      <formula>NOT(ISERROR(SEARCH("A-H",BO40)))</formula>
    </cfRule>
  </conditionalFormatting>
  <conditionalFormatting sqref="CM40">
    <cfRule type="cellIs" dxfId="2578" priority="2727" operator="equal">
      <formula>"C-Off-H"</formula>
    </cfRule>
    <cfRule type="cellIs" dxfId="2577" priority="2728" operator="equal">
      <formula>"C-Off"</formula>
    </cfRule>
    <cfRule type="cellIs" dxfId="2576" priority="2729" operator="equal">
      <formula>"CL-H"</formula>
    </cfRule>
    <cfRule type="cellIs" dxfId="2575" priority="2730" operator="equal">
      <formula>"EL-H"</formula>
    </cfRule>
    <cfRule type="cellIs" dxfId="2574" priority="2731" operator="equal">
      <formula>"CL"</formula>
    </cfRule>
    <cfRule type="cellIs" dxfId="2573" priority="2732" operator="equal">
      <formula>"EL"</formula>
    </cfRule>
  </conditionalFormatting>
  <conditionalFormatting sqref="CM40">
    <cfRule type="cellIs" dxfId="2572" priority="2721" operator="equal">
      <formula>"C-Off-H"</formula>
    </cfRule>
    <cfRule type="cellIs" dxfId="2571" priority="2722" operator="equal">
      <formula>"C-Off"</formula>
    </cfRule>
    <cfRule type="cellIs" dxfId="2570" priority="2723" operator="equal">
      <formula>"CL-H"</formula>
    </cfRule>
    <cfRule type="cellIs" dxfId="2569" priority="2724" operator="equal">
      <formula>"EL-H"</formula>
    </cfRule>
    <cfRule type="cellIs" dxfId="2568" priority="2725" operator="equal">
      <formula>"CL"</formula>
    </cfRule>
    <cfRule type="cellIs" dxfId="2567" priority="2726" operator="equal">
      <formula>"EL"</formula>
    </cfRule>
  </conditionalFormatting>
  <conditionalFormatting sqref="CM40">
    <cfRule type="containsText" dxfId="2566" priority="2715" operator="containsText" text="S">
      <formula>NOT(ISERROR(SEARCH("S",CM40)))</formula>
    </cfRule>
    <cfRule type="containsText" dxfId="2565" priority="2716" operator="containsText" text="P">
      <formula>NOT(ISERROR(SEARCH("P",CM40)))</formula>
    </cfRule>
    <cfRule type="containsText" dxfId="2564" priority="2717" operator="containsText" text="H">
      <formula>NOT(ISERROR(SEARCH("H",CM40)))</formula>
    </cfRule>
    <cfRule type="containsText" dxfId="2563" priority="2719" operator="containsText" text="&quot;H&quot;">
      <formula>NOT(ISERROR(SEARCH("""H""",CM40)))</formula>
    </cfRule>
    <cfRule type="containsText" dxfId="2562" priority="2720" operator="containsText" text="&quot;A&quot;">
      <formula>NOT(ISERROR(SEARCH("""A""",CM40)))</formula>
    </cfRule>
  </conditionalFormatting>
  <conditionalFormatting sqref="CM40">
    <cfRule type="containsText" dxfId="2561" priority="2718" operator="containsText" text="A-H">
      <formula>NOT(ISERROR(SEARCH("A-H",CM40)))</formula>
    </cfRule>
  </conditionalFormatting>
  <conditionalFormatting sqref="V40:W40">
    <cfRule type="cellIs" dxfId="2560" priority="2685" operator="equal">
      <formula>"C-Off-H"</formula>
    </cfRule>
    <cfRule type="cellIs" dxfId="2559" priority="2686" operator="equal">
      <formula>"C-Off"</formula>
    </cfRule>
    <cfRule type="cellIs" dxfId="2558" priority="2687" operator="equal">
      <formula>"CL-H"</formula>
    </cfRule>
    <cfRule type="cellIs" dxfId="2557" priority="2688" operator="equal">
      <formula>"EL-H"</formula>
    </cfRule>
    <cfRule type="cellIs" dxfId="2556" priority="2689" operator="equal">
      <formula>"CL"</formula>
    </cfRule>
    <cfRule type="cellIs" dxfId="2555" priority="2690" operator="equal">
      <formula>"EL"</formula>
    </cfRule>
  </conditionalFormatting>
  <conditionalFormatting sqref="V40:W40">
    <cfRule type="containsText" dxfId="2554" priority="2679" operator="containsText" text="S">
      <formula>NOT(ISERROR(SEARCH("S",V40)))</formula>
    </cfRule>
    <cfRule type="containsText" dxfId="2553" priority="2680" operator="containsText" text="P">
      <formula>NOT(ISERROR(SEARCH("P",V40)))</formula>
    </cfRule>
    <cfRule type="containsText" dxfId="2552" priority="2681" operator="containsText" text="H">
      <formula>NOT(ISERROR(SEARCH("H",V40)))</formula>
    </cfRule>
    <cfRule type="containsText" dxfId="2551" priority="2683" operator="containsText" text="&quot;H&quot;">
      <formula>NOT(ISERROR(SEARCH("""H""",V40)))</formula>
    </cfRule>
    <cfRule type="containsText" dxfId="2550" priority="2684" operator="containsText" text="&quot;A&quot;">
      <formula>NOT(ISERROR(SEARCH("""A""",V40)))</formula>
    </cfRule>
  </conditionalFormatting>
  <conditionalFormatting sqref="V40:W40">
    <cfRule type="containsText" dxfId="2549" priority="2682" operator="containsText" text="A-H">
      <formula>NOT(ISERROR(SEARCH("A-H",V40)))</formula>
    </cfRule>
  </conditionalFormatting>
  <conditionalFormatting sqref="P40:Q40">
    <cfRule type="cellIs" dxfId="2548" priority="2709" operator="equal">
      <formula>"C-Off-H"</formula>
    </cfRule>
    <cfRule type="cellIs" dxfId="2547" priority="2710" operator="equal">
      <formula>"C-Off"</formula>
    </cfRule>
    <cfRule type="cellIs" dxfId="2546" priority="2711" operator="equal">
      <formula>"CL-H"</formula>
    </cfRule>
    <cfRule type="cellIs" dxfId="2545" priority="2712" operator="equal">
      <formula>"EL-H"</formula>
    </cfRule>
    <cfRule type="cellIs" dxfId="2544" priority="2713" operator="equal">
      <formula>"CL"</formula>
    </cfRule>
    <cfRule type="cellIs" dxfId="2543" priority="2714" operator="equal">
      <formula>"EL"</formula>
    </cfRule>
  </conditionalFormatting>
  <conditionalFormatting sqref="P40:Q40">
    <cfRule type="containsText" dxfId="2542" priority="2703" operator="containsText" text="S">
      <formula>NOT(ISERROR(SEARCH("S",P40)))</formula>
    </cfRule>
    <cfRule type="containsText" dxfId="2541" priority="2704" operator="containsText" text="P">
      <formula>NOT(ISERROR(SEARCH("P",P40)))</formula>
    </cfRule>
    <cfRule type="containsText" dxfId="2540" priority="2705" operator="containsText" text="H">
      <formula>NOT(ISERROR(SEARCH("H",P40)))</formula>
    </cfRule>
    <cfRule type="containsText" dxfId="2539" priority="2707" operator="containsText" text="&quot;H&quot;">
      <formula>NOT(ISERROR(SEARCH("""H""",P40)))</formula>
    </cfRule>
    <cfRule type="containsText" dxfId="2538" priority="2708" operator="containsText" text="&quot;A&quot;">
      <formula>NOT(ISERROR(SEARCH("""A""",P40)))</formula>
    </cfRule>
  </conditionalFormatting>
  <conditionalFormatting sqref="P40:Q40">
    <cfRule type="containsText" dxfId="2537" priority="2706" operator="containsText" text="A-H">
      <formula>NOT(ISERROR(SEARCH("A-H",P40)))</formula>
    </cfRule>
  </conditionalFormatting>
  <conditionalFormatting sqref="S40:T40">
    <cfRule type="cellIs" dxfId="2536" priority="2697" operator="equal">
      <formula>"C-Off-H"</formula>
    </cfRule>
    <cfRule type="cellIs" dxfId="2535" priority="2698" operator="equal">
      <formula>"C-Off"</formula>
    </cfRule>
    <cfRule type="cellIs" dxfId="2534" priority="2699" operator="equal">
      <formula>"CL-H"</formula>
    </cfRule>
    <cfRule type="cellIs" dxfId="2533" priority="2700" operator="equal">
      <formula>"EL-H"</formula>
    </cfRule>
    <cfRule type="cellIs" dxfId="2532" priority="2701" operator="equal">
      <formula>"CL"</formula>
    </cfRule>
    <cfRule type="cellIs" dxfId="2531" priority="2702" operator="equal">
      <formula>"EL"</formula>
    </cfRule>
  </conditionalFormatting>
  <conditionalFormatting sqref="S40:T40">
    <cfRule type="containsText" dxfId="2530" priority="2691" operator="containsText" text="S">
      <formula>NOT(ISERROR(SEARCH("S",S40)))</formula>
    </cfRule>
    <cfRule type="containsText" dxfId="2529" priority="2692" operator="containsText" text="P">
      <formula>NOT(ISERROR(SEARCH("P",S40)))</formula>
    </cfRule>
    <cfRule type="containsText" dxfId="2528" priority="2693" operator="containsText" text="H">
      <formula>NOT(ISERROR(SEARCH("H",S40)))</formula>
    </cfRule>
    <cfRule type="containsText" dxfId="2527" priority="2695" operator="containsText" text="&quot;H&quot;">
      <formula>NOT(ISERROR(SEARCH("""H""",S40)))</formula>
    </cfRule>
    <cfRule type="containsText" dxfId="2526" priority="2696" operator="containsText" text="&quot;A&quot;">
      <formula>NOT(ISERROR(SEARCH("""A""",S40)))</formula>
    </cfRule>
  </conditionalFormatting>
  <conditionalFormatting sqref="S40:T40">
    <cfRule type="containsText" dxfId="2525" priority="2694" operator="containsText" text="A-H">
      <formula>NOT(ISERROR(SEARCH("A-H",S40)))</formula>
    </cfRule>
  </conditionalFormatting>
  <conditionalFormatting sqref="AB40:AC40">
    <cfRule type="cellIs" dxfId="2524" priority="2673" operator="equal">
      <formula>"C-Off-H"</formula>
    </cfRule>
    <cfRule type="cellIs" dxfId="2523" priority="2674" operator="equal">
      <formula>"C-Off"</formula>
    </cfRule>
    <cfRule type="cellIs" dxfId="2522" priority="2675" operator="equal">
      <formula>"CL-H"</formula>
    </cfRule>
    <cfRule type="cellIs" dxfId="2521" priority="2676" operator="equal">
      <formula>"EL-H"</formula>
    </cfRule>
    <cfRule type="cellIs" dxfId="2520" priority="2677" operator="equal">
      <formula>"CL"</formula>
    </cfRule>
    <cfRule type="cellIs" dxfId="2519" priority="2678" operator="equal">
      <formula>"EL"</formula>
    </cfRule>
  </conditionalFormatting>
  <conditionalFormatting sqref="AB40:AC40">
    <cfRule type="containsText" dxfId="2518" priority="2667" operator="containsText" text="S">
      <formula>NOT(ISERROR(SEARCH("S",AB40)))</formula>
    </cfRule>
    <cfRule type="containsText" dxfId="2517" priority="2668" operator="containsText" text="P">
      <formula>NOT(ISERROR(SEARCH("P",AB40)))</formula>
    </cfRule>
    <cfRule type="containsText" dxfId="2516" priority="2669" operator="containsText" text="H">
      <formula>NOT(ISERROR(SEARCH("H",AB40)))</formula>
    </cfRule>
    <cfRule type="containsText" dxfId="2515" priority="2671" operator="containsText" text="&quot;H&quot;">
      <formula>NOT(ISERROR(SEARCH("""H""",AB40)))</formula>
    </cfRule>
    <cfRule type="containsText" dxfId="2514" priority="2672" operator="containsText" text="&quot;A&quot;">
      <formula>NOT(ISERROR(SEARCH("""A""",AB40)))</formula>
    </cfRule>
  </conditionalFormatting>
  <conditionalFormatting sqref="AB40:AC40">
    <cfRule type="containsText" dxfId="2513" priority="2670" operator="containsText" text="A-H">
      <formula>NOT(ISERROR(SEARCH("A-H",AB40)))</formula>
    </cfRule>
  </conditionalFormatting>
  <conditionalFormatting sqref="AE40">
    <cfRule type="cellIs" dxfId="2512" priority="2661" operator="equal">
      <formula>"C-Off-H"</formula>
    </cfRule>
    <cfRule type="cellIs" dxfId="2511" priority="2662" operator="equal">
      <formula>"C-Off"</formula>
    </cfRule>
    <cfRule type="cellIs" dxfId="2510" priority="2663" operator="equal">
      <formula>"CL-H"</formula>
    </cfRule>
    <cfRule type="cellIs" dxfId="2509" priority="2664" operator="equal">
      <formula>"EL-H"</formula>
    </cfRule>
    <cfRule type="cellIs" dxfId="2508" priority="2665" operator="equal">
      <formula>"CL"</formula>
    </cfRule>
    <cfRule type="cellIs" dxfId="2507" priority="2666" operator="equal">
      <formula>"EL"</formula>
    </cfRule>
  </conditionalFormatting>
  <conditionalFormatting sqref="AE40">
    <cfRule type="containsText" dxfId="2506" priority="2655" operator="containsText" text="S">
      <formula>NOT(ISERROR(SEARCH("S",AE40)))</formula>
    </cfRule>
    <cfRule type="containsText" dxfId="2505" priority="2656" operator="containsText" text="P">
      <formula>NOT(ISERROR(SEARCH("P",AE40)))</formula>
    </cfRule>
    <cfRule type="containsText" dxfId="2504" priority="2657" operator="containsText" text="H">
      <formula>NOT(ISERROR(SEARCH("H",AE40)))</formula>
    </cfRule>
    <cfRule type="containsText" dxfId="2503" priority="2659" operator="containsText" text="&quot;H&quot;">
      <formula>NOT(ISERROR(SEARCH("""H""",AE40)))</formula>
    </cfRule>
    <cfRule type="containsText" dxfId="2502" priority="2660" operator="containsText" text="&quot;A&quot;">
      <formula>NOT(ISERROR(SEARCH("""A""",AE40)))</formula>
    </cfRule>
  </conditionalFormatting>
  <conditionalFormatting sqref="AE40">
    <cfRule type="containsText" dxfId="2501" priority="2658" operator="containsText" text="A-H">
      <formula>NOT(ISERROR(SEARCH("A-H",AE40)))</formula>
    </cfRule>
  </conditionalFormatting>
  <conditionalFormatting sqref="AK40:AL40">
    <cfRule type="cellIs" dxfId="2500" priority="2649" operator="equal">
      <formula>"C-Off-H"</formula>
    </cfRule>
    <cfRule type="cellIs" dxfId="2499" priority="2650" operator="equal">
      <formula>"C-Off"</formula>
    </cfRule>
    <cfRule type="cellIs" dxfId="2498" priority="2651" operator="equal">
      <formula>"CL-H"</formula>
    </cfRule>
    <cfRule type="cellIs" dxfId="2497" priority="2652" operator="equal">
      <formula>"EL-H"</formula>
    </cfRule>
    <cfRule type="cellIs" dxfId="2496" priority="2653" operator="equal">
      <formula>"CL"</formula>
    </cfRule>
    <cfRule type="cellIs" dxfId="2495" priority="2654" operator="equal">
      <formula>"EL"</formula>
    </cfRule>
  </conditionalFormatting>
  <conditionalFormatting sqref="AK40:AL40">
    <cfRule type="containsText" dxfId="2494" priority="2643" operator="containsText" text="S">
      <formula>NOT(ISERROR(SEARCH("S",AK40)))</formula>
    </cfRule>
    <cfRule type="containsText" dxfId="2493" priority="2644" operator="containsText" text="P">
      <formula>NOT(ISERROR(SEARCH("P",AK40)))</formula>
    </cfRule>
    <cfRule type="containsText" dxfId="2492" priority="2645" operator="containsText" text="H">
      <formula>NOT(ISERROR(SEARCH("H",AK40)))</formula>
    </cfRule>
    <cfRule type="containsText" dxfId="2491" priority="2647" operator="containsText" text="&quot;H&quot;">
      <formula>NOT(ISERROR(SEARCH("""H""",AK40)))</formula>
    </cfRule>
    <cfRule type="containsText" dxfId="2490" priority="2648" operator="containsText" text="&quot;A&quot;">
      <formula>NOT(ISERROR(SEARCH("""A""",AK40)))</formula>
    </cfRule>
  </conditionalFormatting>
  <conditionalFormatting sqref="AK40:AL40">
    <cfRule type="containsText" dxfId="2489" priority="2646" operator="containsText" text="A-H">
      <formula>NOT(ISERROR(SEARCH("A-H",AK40)))</formula>
    </cfRule>
  </conditionalFormatting>
  <conditionalFormatting sqref="AN40:AO40">
    <cfRule type="cellIs" dxfId="2488" priority="2637" operator="equal">
      <formula>"C-Off-H"</formula>
    </cfRule>
    <cfRule type="cellIs" dxfId="2487" priority="2638" operator="equal">
      <formula>"C-Off"</formula>
    </cfRule>
    <cfRule type="cellIs" dxfId="2486" priority="2639" operator="equal">
      <formula>"CL-H"</formula>
    </cfRule>
    <cfRule type="cellIs" dxfId="2485" priority="2640" operator="equal">
      <formula>"EL-H"</formula>
    </cfRule>
    <cfRule type="cellIs" dxfId="2484" priority="2641" operator="equal">
      <formula>"CL"</formula>
    </cfRule>
    <cfRule type="cellIs" dxfId="2483" priority="2642" operator="equal">
      <formula>"EL"</formula>
    </cfRule>
  </conditionalFormatting>
  <conditionalFormatting sqref="AN40:AO40">
    <cfRule type="containsText" dxfId="2482" priority="2631" operator="containsText" text="S">
      <formula>NOT(ISERROR(SEARCH("S",AN40)))</formula>
    </cfRule>
    <cfRule type="containsText" dxfId="2481" priority="2632" operator="containsText" text="P">
      <formula>NOT(ISERROR(SEARCH("P",AN40)))</formula>
    </cfRule>
    <cfRule type="containsText" dxfId="2480" priority="2633" operator="containsText" text="H">
      <formula>NOT(ISERROR(SEARCH("H",AN40)))</formula>
    </cfRule>
    <cfRule type="containsText" dxfId="2479" priority="2635" operator="containsText" text="&quot;H&quot;">
      <formula>NOT(ISERROR(SEARCH("""H""",AN40)))</formula>
    </cfRule>
    <cfRule type="containsText" dxfId="2478" priority="2636" operator="containsText" text="&quot;A&quot;">
      <formula>NOT(ISERROR(SEARCH("""A""",AN40)))</formula>
    </cfRule>
  </conditionalFormatting>
  <conditionalFormatting sqref="AN40:AO40">
    <cfRule type="containsText" dxfId="2477" priority="2634" operator="containsText" text="A-H">
      <formula>NOT(ISERROR(SEARCH("A-H",AN40)))</formula>
    </cfRule>
  </conditionalFormatting>
  <conditionalFormatting sqref="AQ40:AR40">
    <cfRule type="cellIs" dxfId="2476" priority="2625" operator="equal">
      <formula>"C-Off-H"</formula>
    </cfRule>
    <cfRule type="cellIs" dxfId="2475" priority="2626" operator="equal">
      <formula>"C-Off"</formula>
    </cfRule>
    <cfRule type="cellIs" dxfId="2474" priority="2627" operator="equal">
      <formula>"CL-H"</formula>
    </cfRule>
    <cfRule type="cellIs" dxfId="2473" priority="2628" operator="equal">
      <formula>"EL-H"</formula>
    </cfRule>
    <cfRule type="cellIs" dxfId="2472" priority="2629" operator="equal">
      <formula>"CL"</formula>
    </cfRule>
    <cfRule type="cellIs" dxfId="2471" priority="2630" operator="equal">
      <formula>"EL"</formula>
    </cfRule>
  </conditionalFormatting>
  <conditionalFormatting sqref="AQ40:AR40">
    <cfRule type="containsText" dxfId="2470" priority="2619" operator="containsText" text="S">
      <formula>NOT(ISERROR(SEARCH("S",AQ40)))</formula>
    </cfRule>
    <cfRule type="containsText" dxfId="2469" priority="2620" operator="containsText" text="P">
      <formula>NOT(ISERROR(SEARCH("P",AQ40)))</formula>
    </cfRule>
    <cfRule type="containsText" dxfId="2468" priority="2621" operator="containsText" text="H">
      <formula>NOT(ISERROR(SEARCH("H",AQ40)))</formula>
    </cfRule>
    <cfRule type="containsText" dxfId="2467" priority="2623" operator="containsText" text="&quot;H&quot;">
      <formula>NOT(ISERROR(SEARCH("""H""",AQ40)))</formula>
    </cfRule>
    <cfRule type="containsText" dxfId="2466" priority="2624" operator="containsText" text="&quot;A&quot;">
      <formula>NOT(ISERROR(SEARCH("""A""",AQ40)))</formula>
    </cfRule>
  </conditionalFormatting>
  <conditionalFormatting sqref="AQ40:AR40">
    <cfRule type="containsText" dxfId="2465" priority="2622" operator="containsText" text="A-H">
      <formula>NOT(ISERROR(SEARCH("A-H",AQ40)))</formula>
    </cfRule>
  </conditionalFormatting>
  <conditionalFormatting sqref="AW40:AX40">
    <cfRule type="cellIs" dxfId="2464" priority="2613" operator="equal">
      <formula>"C-Off-H"</formula>
    </cfRule>
    <cfRule type="cellIs" dxfId="2463" priority="2614" operator="equal">
      <formula>"C-Off"</formula>
    </cfRule>
    <cfRule type="cellIs" dxfId="2462" priority="2615" operator="equal">
      <formula>"CL-H"</formula>
    </cfRule>
    <cfRule type="cellIs" dxfId="2461" priority="2616" operator="equal">
      <formula>"EL-H"</formula>
    </cfRule>
    <cfRule type="cellIs" dxfId="2460" priority="2617" operator="equal">
      <formula>"CL"</formula>
    </cfRule>
    <cfRule type="cellIs" dxfId="2459" priority="2618" operator="equal">
      <formula>"EL"</formula>
    </cfRule>
  </conditionalFormatting>
  <conditionalFormatting sqref="AW40:AX40">
    <cfRule type="containsText" dxfId="2458" priority="2607" operator="containsText" text="S">
      <formula>NOT(ISERROR(SEARCH("S",AW40)))</formula>
    </cfRule>
    <cfRule type="containsText" dxfId="2457" priority="2608" operator="containsText" text="P">
      <formula>NOT(ISERROR(SEARCH("P",AW40)))</formula>
    </cfRule>
    <cfRule type="containsText" dxfId="2456" priority="2609" operator="containsText" text="H">
      <formula>NOT(ISERROR(SEARCH("H",AW40)))</formula>
    </cfRule>
    <cfRule type="containsText" dxfId="2455" priority="2611" operator="containsText" text="&quot;H&quot;">
      <formula>NOT(ISERROR(SEARCH("""H""",AW40)))</formula>
    </cfRule>
    <cfRule type="containsText" dxfId="2454" priority="2612" operator="containsText" text="&quot;A&quot;">
      <formula>NOT(ISERROR(SEARCH("""A""",AW40)))</formula>
    </cfRule>
  </conditionalFormatting>
  <conditionalFormatting sqref="AW40:AX40">
    <cfRule type="containsText" dxfId="2453" priority="2610" operator="containsText" text="A-H">
      <formula>NOT(ISERROR(SEARCH("A-H",AW40)))</formula>
    </cfRule>
  </conditionalFormatting>
  <conditionalFormatting sqref="AZ40:BA40">
    <cfRule type="cellIs" dxfId="2452" priority="2601" operator="equal">
      <formula>"C-Off-H"</formula>
    </cfRule>
    <cfRule type="cellIs" dxfId="2451" priority="2602" operator="equal">
      <formula>"C-Off"</formula>
    </cfRule>
    <cfRule type="cellIs" dxfId="2450" priority="2603" operator="equal">
      <formula>"CL-H"</formula>
    </cfRule>
    <cfRule type="cellIs" dxfId="2449" priority="2604" operator="equal">
      <formula>"EL-H"</formula>
    </cfRule>
    <cfRule type="cellIs" dxfId="2448" priority="2605" operator="equal">
      <formula>"CL"</formula>
    </cfRule>
    <cfRule type="cellIs" dxfId="2447" priority="2606" operator="equal">
      <formula>"EL"</formula>
    </cfRule>
  </conditionalFormatting>
  <conditionalFormatting sqref="AZ40:BA40">
    <cfRule type="containsText" dxfId="2446" priority="2595" operator="containsText" text="S">
      <formula>NOT(ISERROR(SEARCH("S",AZ40)))</formula>
    </cfRule>
    <cfRule type="containsText" dxfId="2445" priority="2596" operator="containsText" text="P">
      <formula>NOT(ISERROR(SEARCH("P",AZ40)))</formula>
    </cfRule>
    <cfRule type="containsText" dxfId="2444" priority="2597" operator="containsText" text="H">
      <formula>NOT(ISERROR(SEARCH("H",AZ40)))</formula>
    </cfRule>
    <cfRule type="containsText" dxfId="2443" priority="2599" operator="containsText" text="&quot;H&quot;">
      <formula>NOT(ISERROR(SEARCH("""H""",AZ40)))</formula>
    </cfRule>
    <cfRule type="containsText" dxfId="2442" priority="2600" operator="containsText" text="&quot;A&quot;">
      <formula>NOT(ISERROR(SEARCH("""A""",AZ40)))</formula>
    </cfRule>
  </conditionalFormatting>
  <conditionalFormatting sqref="AZ40:BA40">
    <cfRule type="containsText" dxfId="2441" priority="2598" operator="containsText" text="A-H">
      <formula>NOT(ISERROR(SEARCH("A-H",AZ40)))</formula>
    </cfRule>
  </conditionalFormatting>
  <conditionalFormatting sqref="BC40:BD40">
    <cfRule type="cellIs" dxfId="2440" priority="2589" operator="equal">
      <formula>"C-Off-H"</formula>
    </cfRule>
    <cfRule type="cellIs" dxfId="2439" priority="2590" operator="equal">
      <formula>"C-Off"</formula>
    </cfRule>
    <cfRule type="cellIs" dxfId="2438" priority="2591" operator="equal">
      <formula>"CL-H"</formula>
    </cfRule>
    <cfRule type="cellIs" dxfId="2437" priority="2592" operator="equal">
      <formula>"EL-H"</formula>
    </cfRule>
    <cfRule type="cellIs" dxfId="2436" priority="2593" operator="equal">
      <formula>"CL"</formula>
    </cfRule>
    <cfRule type="cellIs" dxfId="2435" priority="2594" operator="equal">
      <formula>"EL"</formula>
    </cfRule>
  </conditionalFormatting>
  <conditionalFormatting sqref="BC40:BD40">
    <cfRule type="containsText" dxfId="2434" priority="2583" operator="containsText" text="S">
      <formula>NOT(ISERROR(SEARCH("S",BC40)))</formula>
    </cfRule>
    <cfRule type="containsText" dxfId="2433" priority="2584" operator="containsText" text="P">
      <formula>NOT(ISERROR(SEARCH("P",BC40)))</formula>
    </cfRule>
    <cfRule type="containsText" dxfId="2432" priority="2585" operator="containsText" text="H">
      <formula>NOT(ISERROR(SEARCH("H",BC40)))</formula>
    </cfRule>
    <cfRule type="containsText" dxfId="2431" priority="2587" operator="containsText" text="&quot;H&quot;">
      <formula>NOT(ISERROR(SEARCH("""H""",BC40)))</formula>
    </cfRule>
    <cfRule type="containsText" dxfId="2430" priority="2588" operator="containsText" text="&quot;A&quot;">
      <formula>NOT(ISERROR(SEARCH("""A""",BC40)))</formula>
    </cfRule>
  </conditionalFormatting>
  <conditionalFormatting sqref="BC40:BD40">
    <cfRule type="containsText" dxfId="2429" priority="2586" operator="containsText" text="A-H">
      <formula>NOT(ISERROR(SEARCH("A-H",BC40)))</formula>
    </cfRule>
  </conditionalFormatting>
  <conditionalFormatting sqref="BF40:BG40">
    <cfRule type="cellIs" dxfId="2428" priority="2577" operator="equal">
      <formula>"C-Off-H"</formula>
    </cfRule>
    <cfRule type="cellIs" dxfId="2427" priority="2578" operator="equal">
      <formula>"C-Off"</formula>
    </cfRule>
    <cfRule type="cellIs" dxfId="2426" priority="2579" operator="equal">
      <formula>"CL-H"</formula>
    </cfRule>
    <cfRule type="cellIs" dxfId="2425" priority="2580" operator="equal">
      <formula>"EL-H"</formula>
    </cfRule>
    <cfRule type="cellIs" dxfId="2424" priority="2581" operator="equal">
      <formula>"CL"</formula>
    </cfRule>
    <cfRule type="cellIs" dxfId="2423" priority="2582" operator="equal">
      <formula>"EL"</formula>
    </cfRule>
  </conditionalFormatting>
  <conditionalFormatting sqref="BF40:BG40">
    <cfRule type="containsText" dxfId="2422" priority="2571" operator="containsText" text="S">
      <formula>NOT(ISERROR(SEARCH("S",BF40)))</formula>
    </cfRule>
    <cfRule type="containsText" dxfId="2421" priority="2572" operator="containsText" text="P">
      <formula>NOT(ISERROR(SEARCH("P",BF40)))</formula>
    </cfRule>
    <cfRule type="containsText" dxfId="2420" priority="2573" operator="containsText" text="H">
      <formula>NOT(ISERROR(SEARCH("H",BF40)))</formula>
    </cfRule>
    <cfRule type="containsText" dxfId="2419" priority="2575" operator="containsText" text="&quot;H&quot;">
      <formula>NOT(ISERROR(SEARCH("""H""",BF40)))</formula>
    </cfRule>
    <cfRule type="containsText" dxfId="2418" priority="2576" operator="containsText" text="&quot;A&quot;">
      <formula>NOT(ISERROR(SEARCH("""A""",BF40)))</formula>
    </cfRule>
  </conditionalFormatting>
  <conditionalFormatting sqref="BF40:BG40">
    <cfRule type="containsText" dxfId="2417" priority="2574" operator="containsText" text="A-H">
      <formula>NOT(ISERROR(SEARCH("A-H",BF40)))</formula>
    </cfRule>
  </conditionalFormatting>
  <conditionalFormatting sqref="BI40:BJ40">
    <cfRule type="cellIs" dxfId="2416" priority="2565" operator="equal">
      <formula>"C-Off-H"</formula>
    </cfRule>
    <cfRule type="cellIs" dxfId="2415" priority="2566" operator="equal">
      <formula>"C-Off"</formula>
    </cfRule>
    <cfRule type="cellIs" dxfId="2414" priority="2567" operator="equal">
      <formula>"CL-H"</formula>
    </cfRule>
    <cfRule type="cellIs" dxfId="2413" priority="2568" operator="equal">
      <formula>"EL-H"</formula>
    </cfRule>
    <cfRule type="cellIs" dxfId="2412" priority="2569" operator="equal">
      <formula>"CL"</formula>
    </cfRule>
    <cfRule type="cellIs" dxfId="2411" priority="2570" operator="equal">
      <formula>"EL"</formula>
    </cfRule>
  </conditionalFormatting>
  <conditionalFormatting sqref="BI40:BJ40">
    <cfRule type="containsText" dxfId="2410" priority="2559" operator="containsText" text="S">
      <formula>NOT(ISERROR(SEARCH("S",BI40)))</formula>
    </cfRule>
    <cfRule type="containsText" dxfId="2409" priority="2560" operator="containsText" text="P">
      <formula>NOT(ISERROR(SEARCH("P",BI40)))</formula>
    </cfRule>
    <cfRule type="containsText" dxfId="2408" priority="2561" operator="containsText" text="H">
      <formula>NOT(ISERROR(SEARCH("H",BI40)))</formula>
    </cfRule>
    <cfRule type="containsText" dxfId="2407" priority="2563" operator="containsText" text="&quot;H&quot;">
      <formula>NOT(ISERROR(SEARCH("""H""",BI40)))</formula>
    </cfRule>
    <cfRule type="containsText" dxfId="2406" priority="2564" operator="containsText" text="&quot;A&quot;">
      <formula>NOT(ISERROR(SEARCH("""A""",BI40)))</formula>
    </cfRule>
  </conditionalFormatting>
  <conditionalFormatting sqref="BI40:BJ40">
    <cfRule type="containsText" dxfId="2405" priority="2562" operator="containsText" text="A-H">
      <formula>NOT(ISERROR(SEARCH("A-H",BI40)))</formula>
    </cfRule>
  </conditionalFormatting>
  <conditionalFormatting sqref="BL40:BM40">
    <cfRule type="cellIs" dxfId="2404" priority="2553" operator="equal">
      <formula>"C-Off-H"</formula>
    </cfRule>
    <cfRule type="cellIs" dxfId="2403" priority="2554" operator="equal">
      <formula>"C-Off"</formula>
    </cfRule>
    <cfRule type="cellIs" dxfId="2402" priority="2555" operator="equal">
      <formula>"CL-H"</formula>
    </cfRule>
    <cfRule type="cellIs" dxfId="2401" priority="2556" operator="equal">
      <formula>"EL-H"</formula>
    </cfRule>
    <cfRule type="cellIs" dxfId="2400" priority="2557" operator="equal">
      <formula>"CL"</formula>
    </cfRule>
    <cfRule type="cellIs" dxfId="2399" priority="2558" operator="equal">
      <formula>"EL"</formula>
    </cfRule>
  </conditionalFormatting>
  <conditionalFormatting sqref="BL40:BM40">
    <cfRule type="containsText" dxfId="2398" priority="2547" operator="containsText" text="S">
      <formula>NOT(ISERROR(SEARCH("S",BL40)))</formula>
    </cfRule>
    <cfRule type="containsText" dxfId="2397" priority="2548" operator="containsText" text="P">
      <formula>NOT(ISERROR(SEARCH("P",BL40)))</formula>
    </cfRule>
    <cfRule type="containsText" dxfId="2396" priority="2549" operator="containsText" text="H">
      <formula>NOT(ISERROR(SEARCH("H",BL40)))</formula>
    </cfRule>
    <cfRule type="containsText" dxfId="2395" priority="2551" operator="containsText" text="&quot;H&quot;">
      <formula>NOT(ISERROR(SEARCH("""H""",BL40)))</formula>
    </cfRule>
    <cfRule type="containsText" dxfId="2394" priority="2552" operator="containsText" text="&quot;A&quot;">
      <formula>NOT(ISERROR(SEARCH("""A""",BL40)))</formula>
    </cfRule>
  </conditionalFormatting>
  <conditionalFormatting sqref="BL40:BM40">
    <cfRule type="containsText" dxfId="2393" priority="2550" operator="containsText" text="A-H">
      <formula>NOT(ISERROR(SEARCH("A-H",BL40)))</formula>
    </cfRule>
  </conditionalFormatting>
  <conditionalFormatting sqref="BR40:BS40">
    <cfRule type="cellIs" dxfId="2392" priority="2541" operator="equal">
      <formula>"C-Off-H"</formula>
    </cfRule>
    <cfRule type="cellIs" dxfId="2391" priority="2542" operator="equal">
      <formula>"C-Off"</formula>
    </cfRule>
    <cfRule type="cellIs" dxfId="2390" priority="2543" operator="equal">
      <formula>"CL-H"</formula>
    </cfRule>
    <cfRule type="cellIs" dxfId="2389" priority="2544" operator="equal">
      <formula>"EL-H"</formula>
    </cfRule>
    <cfRule type="cellIs" dxfId="2388" priority="2545" operator="equal">
      <formula>"CL"</formula>
    </cfRule>
    <cfRule type="cellIs" dxfId="2387" priority="2546" operator="equal">
      <formula>"EL"</formula>
    </cfRule>
  </conditionalFormatting>
  <conditionalFormatting sqref="BR40:BS40">
    <cfRule type="containsText" dxfId="2386" priority="2535" operator="containsText" text="S">
      <formula>NOT(ISERROR(SEARCH("S",BR40)))</formula>
    </cfRule>
    <cfRule type="containsText" dxfId="2385" priority="2536" operator="containsText" text="P">
      <formula>NOT(ISERROR(SEARCH("P",BR40)))</formula>
    </cfRule>
    <cfRule type="containsText" dxfId="2384" priority="2537" operator="containsText" text="H">
      <formula>NOT(ISERROR(SEARCH("H",BR40)))</formula>
    </cfRule>
    <cfRule type="containsText" dxfId="2383" priority="2539" operator="containsText" text="&quot;H&quot;">
      <formula>NOT(ISERROR(SEARCH("""H""",BR40)))</formula>
    </cfRule>
    <cfRule type="containsText" dxfId="2382" priority="2540" operator="containsText" text="&quot;A&quot;">
      <formula>NOT(ISERROR(SEARCH("""A""",BR40)))</formula>
    </cfRule>
  </conditionalFormatting>
  <conditionalFormatting sqref="BR40:BS40">
    <cfRule type="containsText" dxfId="2381" priority="2538" operator="containsText" text="A-H">
      <formula>NOT(ISERROR(SEARCH("A-H",BR40)))</formula>
    </cfRule>
  </conditionalFormatting>
  <conditionalFormatting sqref="BU40:BV40">
    <cfRule type="cellIs" dxfId="2380" priority="2529" operator="equal">
      <formula>"C-Off-H"</formula>
    </cfRule>
    <cfRule type="cellIs" dxfId="2379" priority="2530" operator="equal">
      <formula>"C-Off"</formula>
    </cfRule>
    <cfRule type="cellIs" dxfId="2378" priority="2531" operator="equal">
      <formula>"CL-H"</formula>
    </cfRule>
    <cfRule type="cellIs" dxfId="2377" priority="2532" operator="equal">
      <formula>"EL-H"</formula>
    </cfRule>
    <cfRule type="cellIs" dxfId="2376" priority="2533" operator="equal">
      <formula>"CL"</formula>
    </cfRule>
    <cfRule type="cellIs" dxfId="2375" priority="2534" operator="equal">
      <formula>"EL"</formula>
    </cfRule>
  </conditionalFormatting>
  <conditionalFormatting sqref="BU40:BV40">
    <cfRule type="containsText" dxfId="2374" priority="2523" operator="containsText" text="S">
      <formula>NOT(ISERROR(SEARCH("S",BU40)))</formula>
    </cfRule>
    <cfRule type="containsText" dxfId="2373" priority="2524" operator="containsText" text="P">
      <formula>NOT(ISERROR(SEARCH("P",BU40)))</formula>
    </cfRule>
    <cfRule type="containsText" dxfId="2372" priority="2525" operator="containsText" text="H">
      <formula>NOT(ISERROR(SEARCH("H",BU40)))</formula>
    </cfRule>
    <cfRule type="containsText" dxfId="2371" priority="2527" operator="containsText" text="&quot;H&quot;">
      <formula>NOT(ISERROR(SEARCH("""H""",BU40)))</formula>
    </cfRule>
    <cfRule type="containsText" dxfId="2370" priority="2528" operator="containsText" text="&quot;A&quot;">
      <formula>NOT(ISERROR(SEARCH("""A""",BU40)))</formula>
    </cfRule>
  </conditionalFormatting>
  <conditionalFormatting sqref="BU40:BV40">
    <cfRule type="containsText" dxfId="2369" priority="2526" operator="containsText" text="A-H">
      <formula>NOT(ISERROR(SEARCH("A-H",BU40)))</formula>
    </cfRule>
  </conditionalFormatting>
  <conditionalFormatting sqref="BY40">
    <cfRule type="cellIs" dxfId="2368" priority="2517" operator="equal">
      <formula>"C-Off-H"</formula>
    </cfRule>
    <cfRule type="cellIs" dxfId="2367" priority="2518" operator="equal">
      <formula>"C-Off"</formula>
    </cfRule>
    <cfRule type="cellIs" dxfId="2366" priority="2519" operator="equal">
      <formula>"CL-H"</formula>
    </cfRule>
    <cfRule type="cellIs" dxfId="2365" priority="2520" operator="equal">
      <formula>"EL-H"</formula>
    </cfRule>
    <cfRule type="cellIs" dxfId="2364" priority="2521" operator="equal">
      <formula>"CL"</formula>
    </cfRule>
    <cfRule type="cellIs" dxfId="2363" priority="2522" operator="equal">
      <formula>"EL"</formula>
    </cfRule>
  </conditionalFormatting>
  <conditionalFormatting sqref="BY40">
    <cfRule type="containsText" dxfId="2362" priority="2511" operator="containsText" text="S">
      <formula>NOT(ISERROR(SEARCH("S",BY40)))</formula>
    </cfRule>
    <cfRule type="containsText" dxfId="2361" priority="2512" operator="containsText" text="P">
      <formula>NOT(ISERROR(SEARCH("P",BY40)))</formula>
    </cfRule>
    <cfRule type="containsText" dxfId="2360" priority="2513" operator="containsText" text="H">
      <formula>NOT(ISERROR(SEARCH("H",BY40)))</formula>
    </cfRule>
    <cfRule type="containsText" dxfId="2359" priority="2515" operator="containsText" text="&quot;H&quot;">
      <formula>NOT(ISERROR(SEARCH("""H""",BY40)))</formula>
    </cfRule>
    <cfRule type="containsText" dxfId="2358" priority="2516" operator="containsText" text="&quot;A&quot;">
      <formula>NOT(ISERROR(SEARCH("""A""",BY40)))</formula>
    </cfRule>
  </conditionalFormatting>
  <conditionalFormatting sqref="BY40">
    <cfRule type="containsText" dxfId="2357" priority="2514" operator="containsText" text="A-H">
      <formula>NOT(ISERROR(SEARCH("A-H",BY40)))</formula>
    </cfRule>
  </conditionalFormatting>
  <conditionalFormatting sqref="BX40">
    <cfRule type="cellIs" dxfId="2356" priority="2505" operator="equal">
      <formula>"C-Off-H"</formula>
    </cfRule>
    <cfRule type="cellIs" dxfId="2355" priority="2506" operator="equal">
      <formula>"C-Off"</formula>
    </cfRule>
    <cfRule type="cellIs" dxfId="2354" priority="2507" operator="equal">
      <formula>"CL-H"</formula>
    </cfRule>
    <cfRule type="cellIs" dxfId="2353" priority="2508" operator="equal">
      <formula>"EL-H"</formula>
    </cfRule>
    <cfRule type="cellIs" dxfId="2352" priority="2509" operator="equal">
      <formula>"CL"</formula>
    </cfRule>
    <cfRule type="cellIs" dxfId="2351" priority="2510" operator="equal">
      <formula>"EL"</formula>
    </cfRule>
  </conditionalFormatting>
  <conditionalFormatting sqref="BX40">
    <cfRule type="containsText" dxfId="2350" priority="2499" operator="containsText" text="S">
      <formula>NOT(ISERROR(SEARCH("S",BX40)))</formula>
    </cfRule>
    <cfRule type="containsText" dxfId="2349" priority="2500" operator="containsText" text="P">
      <formula>NOT(ISERROR(SEARCH("P",BX40)))</formula>
    </cfRule>
    <cfRule type="containsText" dxfId="2348" priority="2501" operator="containsText" text="H">
      <formula>NOT(ISERROR(SEARCH("H",BX40)))</formula>
    </cfRule>
    <cfRule type="containsText" dxfId="2347" priority="2503" operator="containsText" text="&quot;H&quot;">
      <formula>NOT(ISERROR(SEARCH("""H""",BX40)))</formula>
    </cfRule>
    <cfRule type="containsText" dxfId="2346" priority="2504" operator="containsText" text="&quot;A&quot;">
      <formula>NOT(ISERROR(SEARCH("""A""",BX40)))</formula>
    </cfRule>
  </conditionalFormatting>
  <conditionalFormatting sqref="BX40">
    <cfRule type="containsText" dxfId="2345" priority="2502" operator="containsText" text="A-H">
      <formula>NOT(ISERROR(SEARCH("A-H",BX40)))</formula>
    </cfRule>
  </conditionalFormatting>
  <conditionalFormatting sqref="J40">
    <cfRule type="cellIs" dxfId="2344" priority="2493" operator="equal">
      <formula>"C-Off-H"</formula>
    </cfRule>
    <cfRule type="cellIs" dxfId="2343" priority="2494" operator="equal">
      <formula>"C-Off"</formula>
    </cfRule>
    <cfRule type="cellIs" dxfId="2342" priority="2495" operator="equal">
      <formula>"CL-H"</formula>
    </cfRule>
    <cfRule type="cellIs" dxfId="2341" priority="2496" operator="equal">
      <formula>"EL-H"</formula>
    </cfRule>
    <cfRule type="cellIs" dxfId="2340" priority="2497" operator="equal">
      <formula>"CL"</formula>
    </cfRule>
    <cfRule type="cellIs" dxfId="2339" priority="2498" operator="equal">
      <formula>"EL"</formula>
    </cfRule>
  </conditionalFormatting>
  <conditionalFormatting sqref="J40">
    <cfRule type="containsText" dxfId="2338" priority="2487" operator="containsText" text="S">
      <formula>NOT(ISERROR(SEARCH("S",J40)))</formula>
    </cfRule>
    <cfRule type="containsText" dxfId="2337" priority="2488" operator="containsText" text="P">
      <formula>NOT(ISERROR(SEARCH("P",J40)))</formula>
    </cfRule>
    <cfRule type="containsText" dxfId="2336" priority="2489" operator="containsText" text="H">
      <formula>NOT(ISERROR(SEARCH("H",J40)))</formula>
    </cfRule>
    <cfRule type="containsText" dxfId="2335" priority="2491" operator="containsText" text="&quot;H&quot;">
      <formula>NOT(ISERROR(SEARCH("""H""",J40)))</formula>
    </cfRule>
    <cfRule type="containsText" dxfId="2334" priority="2492" operator="containsText" text="&quot;A&quot;">
      <formula>NOT(ISERROR(SEARCH("""A""",J40)))</formula>
    </cfRule>
  </conditionalFormatting>
  <conditionalFormatting sqref="J40">
    <cfRule type="containsText" dxfId="2333" priority="2490" operator="containsText" text="A-H">
      <formula>NOT(ISERROR(SEARCH("A-H",J40)))</formula>
    </cfRule>
  </conditionalFormatting>
  <conditionalFormatting sqref="CN42">
    <cfRule type="cellIs" dxfId="2332" priority="2481" operator="equal">
      <formula>"C-Off-H"</formula>
    </cfRule>
    <cfRule type="cellIs" dxfId="2331" priority="2482" operator="equal">
      <formula>"C-Off"</formula>
    </cfRule>
    <cfRule type="cellIs" dxfId="2330" priority="2483" operator="equal">
      <formula>"CL-H"</formula>
    </cfRule>
    <cfRule type="cellIs" dxfId="2329" priority="2484" operator="equal">
      <formula>"EL-H"</formula>
    </cfRule>
    <cfRule type="cellIs" dxfId="2328" priority="2485" operator="equal">
      <formula>"CL"</formula>
    </cfRule>
    <cfRule type="cellIs" dxfId="2327" priority="2486" operator="equal">
      <formula>"EL"</formula>
    </cfRule>
  </conditionalFormatting>
  <conditionalFormatting sqref="CN42">
    <cfRule type="containsText" dxfId="2326" priority="2480" operator="containsText" text="A-H">
      <formula>NOT(ISERROR(SEARCH("A-H",CN42)))</formula>
    </cfRule>
  </conditionalFormatting>
  <conditionalFormatting sqref="CN42">
    <cfRule type="containsText" dxfId="2325" priority="2479" operator="containsText" text="A">
      <formula>NOT(ISERROR(SEARCH("A",CN42)))</formula>
    </cfRule>
  </conditionalFormatting>
  <conditionalFormatting sqref="CN42">
    <cfRule type="containsText" dxfId="2324" priority="2474" operator="containsText" text="S">
      <formula>NOT(ISERROR(SEARCH("S",CN42)))</formula>
    </cfRule>
    <cfRule type="containsText" dxfId="2323" priority="2475" operator="containsText" text="P">
      <formula>NOT(ISERROR(SEARCH("P",CN42)))</formula>
    </cfRule>
    <cfRule type="containsText" dxfId="2322" priority="2476" operator="containsText" text="H">
      <formula>NOT(ISERROR(SEARCH("H",CN42)))</formula>
    </cfRule>
    <cfRule type="containsText" dxfId="2321" priority="2477" operator="containsText" text="&quot;H&quot;">
      <formula>NOT(ISERROR(SEARCH("""H""",CN42)))</formula>
    </cfRule>
    <cfRule type="containsText" dxfId="2320" priority="2478" operator="containsText" text="&quot;A&quot;">
      <formula>NOT(ISERROR(SEARCH("""A""",CN42)))</formula>
    </cfRule>
  </conditionalFormatting>
  <conditionalFormatting sqref="CA41:CB41">
    <cfRule type="cellIs" dxfId="2319" priority="2468" operator="equal">
      <formula>"C-Off-H"</formula>
    </cfRule>
    <cfRule type="cellIs" dxfId="2318" priority="2469" operator="equal">
      <formula>"C-Off"</formula>
    </cfRule>
    <cfRule type="cellIs" dxfId="2317" priority="2470" operator="equal">
      <formula>"CL-H"</formula>
    </cfRule>
    <cfRule type="cellIs" dxfId="2316" priority="2471" operator="equal">
      <formula>"EL-H"</formula>
    </cfRule>
    <cfRule type="cellIs" dxfId="2315" priority="2472" operator="equal">
      <formula>"CL"</formula>
    </cfRule>
    <cfRule type="cellIs" dxfId="2314" priority="2473" operator="equal">
      <formula>"EL"</formula>
    </cfRule>
  </conditionalFormatting>
  <conditionalFormatting sqref="CA41:CB41">
    <cfRule type="containsText" dxfId="2313" priority="2462" operator="containsText" text="S">
      <formula>NOT(ISERROR(SEARCH("S",CA41)))</formula>
    </cfRule>
    <cfRule type="containsText" dxfId="2312" priority="2463" operator="containsText" text="P">
      <formula>NOT(ISERROR(SEARCH("P",CA41)))</formula>
    </cfRule>
    <cfRule type="containsText" dxfId="2311" priority="2464" operator="containsText" text="H">
      <formula>NOT(ISERROR(SEARCH("H",CA41)))</formula>
    </cfRule>
    <cfRule type="containsText" dxfId="2310" priority="2466" operator="containsText" text="&quot;H&quot;">
      <formula>NOT(ISERROR(SEARCH("""H""",CA41)))</formula>
    </cfRule>
    <cfRule type="containsText" dxfId="2309" priority="2467" operator="containsText" text="&quot;A&quot;">
      <formula>NOT(ISERROR(SEARCH("""A""",CA41)))</formula>
    </cfRule>
  </conditionalFormatting>
  <conditionalFormatting sqref="CA41:CB41">
    <cfRule type="containsText" dxfId="2308" priority="2465" operator="containsText" text="A-H">
      <formula>NOT(ISERROR(SEARCH("A-H",CA41)))</formula>
    </cfRule>
  </conditionalFormatting>
  <conditionalFormatting sqref="CD41:CE41">
    <cfRule type="cellIs" dxfId="2307" priority="2456" operator="equal">
      <formula>"C-Off-H"</formula>
    </cfRule>
    <cfRule type="cellIs" dxfId="2306" priority="2457" operator="equal">
      <formula>"C-Off"</formula>
    </cfRule>
    <cfRule type="cellIs" dxfId="2305" priority="2458" operator="equal">
      <formula>"CL-H"</formula>
    </cfRule>
    <cfRule type="cellIs" dxfId="2304" priority="2459" operator="equal">
      <formula>"EL-H"</formula>
    </cfRule>
    <cfRule type="cellIs" dxfId="2303" priority="2460" operator="equal">
      <formula>"CL"</formula>
    </cfRule>
    <cfRule type="cellIs" dxfId="2302" priority="2461" operator="equal">
      <formula>"EL"</formula>
    </cfRule>
  </conditionalFormatting>
  <conditionalFormatting sqref="CD41:CE41">
    <cfRule type="containsText" dxfId="2301" priority="2450" operator="containsText" text="S">
      <formula>NOT(ISERROR(SEARCH("S",CD41)))</formula>
    </cfRule>
    <cfRule type="containsText" dxfId="2300" priority="2451" operator="containsText" text="P">
      <formula>NOT(ISERROR(SEARCH("P",CD41)))</formula>
    </cfRule>
    <cfRule type="containsText" dxfId="2299" priority="2452" operator="containsText" text="H">
      <formula>NOT(ISERROR(SEARCH("H",CD41)))</formula>
    </cfRule>
    <cfRule type="containsText" dxfId="2298" priority="2454" operator="containsText" text="&quot;H&quot;">
      <formula>NOT(ISERROR(SEARCH("""H""",CD41)))</formula>
    </cfRule>
    <cfRule type="containsText" dxfId="2297" priority="2455" operator="containsText" text="&quot;A&quot;">
      <formula>NOT(ISERROR(SEARCH("""A""",CD41)))</formula>
    </cfRule>
  </conditionalFormatting>
  <conditionalFormatting sqref="CD41:CE41">
    <cfRule type="containsText" dxfId="2296" priority="2453" operator="containsText" text="A-H">
      <formula>NOT(ISERROR(SEARCH("A-H",CD41)))</formula>
    </cfRule>
  </conditionalFormatting>
  <conditionalFormatting sqref="CH41">
    <cfRule type="cellIs" dxfId="2295" priority="2444" operator="equal">
      <formula>"C-Off-H"</formula>
    </cfRule>
    <cfRule type="cellIs" dxfId="2294" priority="2445" operator="equal">
      <formula>"C-Off"</formula>
    </cfRule>
    <cfRule type="cellIs" dxfId="2293" priority="2446" operator="equal">
      <formula>"CL-H"</formula>
    </cfRule>
    <cfRule type="cellIs" dxfId="2292" priority="2447" operator="equal">
      <formula>"EL-H"</formula>
    </cfRule>
    <cfRule type="cellIs" dxfId="2291" priority="2448" operator="equal">
      <formula>"CL"</formula>
    </cfRule>
    <cfRule type="cellIs" dxfId="2290" priority="2449" operator="equal">
      <formula>"EL"</formula>
    </cfRule>
  </conditionalFormatting>
  <conditionalFormatting sqref="CH41">
    <cfRule type="containsText" dxfId="2289" priority="2438" operator="containsText" text="S">
      <formula>NOT(ISERROR(SEARCH("S",CH41)))</formula>
    </cfRule>
    <cfRule type="containsText" dxfId="2288" priority="2439" operator="containsText" text="P">
      <formula>NOT(ISERROR(SEARCH("P",CH41)))</formula>
    </cfRule>
    <cfRule type="containsText" dxfId="2287" priority="2440" operator="containsText" text="H">
      <formula>NOT(ISERROR(SEARCH("H",CH41)))</formula>
    </cfRule>
    <cfRule type="containsText" dxfId="2286" priority="2442" operator="containsText" text="&quot;H&quot;">
      <formula>NOT(ISERROR(SEARCH("""H""",CH41)))</formula>
    </cfRule>
    <cfRule type="containsText" dxfId="2285" priority="2443" operator="containsText" text="&quot;A&quot;">
      <formula>NOT(ISERROR(SEARCH("""A""",CH41)))</formula>
    </cfRule>
  </conditionalFormatting>
  <conditionalFormatting sqref="CH41">
    <cfRule type="containsText" dxfId="2284" priority="2441" operator="containsText" text="A-H">
      <formula>NOT(ISERROR(SEARCH("A-H",CH41)))</formula>
    </cfRule>
  </conditionalFormatting>
  <conditionalFormatting sqref="CG41">
    <cfRule type="cellIs" dxfId="2283" priority="2432" operator="equal">
      <formula>"C-Off-H"</formula>
    </cfRule>
    <cfRule type="cellIs" dxfId="2282" priority="2433" operator="equal">
      <formula>"C-Off"</formula>
    </cfRule>
    <cfRule type="cellIs" dxfId="2281" priority="2434" operator="equal">
      <formula>"CL-H"</formula>
    </cfRule>
    <cfRule type="cellIs" dxfId="2280" priority="2435" operator="equal">
      <formula>"EL-H"</formula>
    </cfRule>
    <cfRule type="cellIs" dxfId="2279" priority="2436" operator="equal">
      <formula>"CL"</formula>
    </cfRule>
    <cfRule type="cellIs" dxfId="2278" priority="2437" operator="equal">
      <formula>"EL"</formula>
    </cfRule>
  </conditionalFormatting>
  <conditionalFormatting sqref="CG41">
    <cfRule type="containsText" dxfId="2277" priority="2426" operator="containsText" text="S">
      <formula>NOT(ISERROR(SEARCH("S",CG41)))</formula>
    </cfRule>
    <cfRule type="containsText" dxfId="2276" priority="2427" operator="containsText" text="P">
      <formula>NOT(ISERROR(SEARCH("P",CG41)))</formula>
    </cfRule>
    <cfRule type="containsText" dxfId="2275" priority="2428" operator="containsText" text="H">
      <formula>NOT(ISERROR(SEARCH("H",CG41)))</formula>
    </cfRule>
    <cfRule type="containsText" dxfId="2274" priority="2430" operator="containsText" text="&quot;H&quot;">
      <formula>NOT(ISERROR(SEARCH("""H""",CG41)))</formula>
    </cfRule>
    <cfRule type="containsText" dxfId="2273" priority="2431" operator="containsText" text="&quot;A&quot;">
      <formula>NOT(ISERROR(SEARCH("""A""",CG41)))</formula>
    </cfRule>
  </conditionalFormatting>
  <conditionalFormatting sqref="CG41">
    <cfRule type="containsText" dxfId="2272" priority="2429" operator="containsText" text="A-H">
      <formula>NOT(ISERROR(SEARCH("A-H",CG41)))</formula>
    </cfRule>
  </conditionalFormatting>
  <conditionalFormatting sqref="CA42:CB42">
    <cfRule type="cellIs" dxfId="2271" priority="2420" operator="equal">
      <formula>"C-Off-H"</formula>
    </cfRule>
    <cfRule type="cellIs" dxfId="2270" priority="2421" operator="equal">
      <formula>"C-Off"</formula>
    </cfRule>
    <cfRule type="cellIs" dxfId="2269" priority="2422" operator="equal">
      <formula>"CL-H"</formula>
    </cfRule>
    <cfRule type="cellIs" dxfId="2268" priority="2423" operator="equal">
      <formula>"EL-H"</formula>
    </cfRule>
    <cfRule type="cellIs" dxfId="2267" priority="2424" operator="equal">
      <formula>"CL"</formula>
    </cfRule>
    <cfRule type="cellIs" dxfId="2266" priority="2425" operator="equal">
      <formula>"EL"</formula>
    </cfRule>
  </conditionalFormatting>
  <conditionalFormatting sqref="CA42:CB42">
    <cfRule type="containsText" dxfId="2265" priority="2414" operator="containsText" text="S">
      <formula>NOT(ISERROR(SEARCH("S",CA42)))</formula>
    </cfRule>
    <cfRule type="containsText" dxfId="2264" priority="2415" operator="containsText" text="P">
      <formula>NOT(ISERROR(SEARCH("P",CA42)))</formula>
    </cfRule>
    <cfRule type="containsText" dxfId="2263" priority="2416" operator="containsText" text="H">
      <formula>NOT(ISERROR(SEARCH("H",CA42)))</formula>
    </cfRule>
    <cfRule type="containsText" dxfId="2262" priority="2418" operator="containsText" text="&quot;H&quot;">
      <formula>NOT(ISERROR(SEARCH("""H""",CA42)))</formula>
    </cfRule>
    <cfRule type="containsText" dxfId="2261" priority="2419" operator="containsText" text="&quot;A&quot;">
      <formula>NOT(ISERROR(SEARCH("""A""",CA42)))</formula>
    </cfRule>
  </conditionalFormatting>
  <conditionalFormatting sqref="CA42:CB42">
    <cfRule type="containsText" dxfId="2260" priority="2417" operator="containsText" text="A-H">
      <formula>NOT(ISERROR(SEARCH("A-H",CA42)))</formula>
    </cfRule>
  </conditionalFormatting>
  <conditionalFormatting sqref="CD42:CE42">
    <cfRule type="cellIs" dxfId="2259" priority="2408" operator="equal">
      <formula>"C-Off-H"</formula>
    </cfRule>
    <cfRule type="cellIs" dxfId="2258" priority="2409" operator="equal">
      <formula>"C-Off"</formula>
    </cfRule>
    <cfRule type="cellIs" dxfId="2257" priority="2410" operator="equal">
      <formula>"CL-H"</formula>
    </cfRule>
    <cfRule type="cellIs" dxfId="2256" priority="2411" operator="equal">
      <formula>"EL-H"</formula>
    </cfRule>
    <cfRule type="cellIs" dxfId="2255" priority="2412" operator="equal">
      <formula>"CL"</formula>
    </cfRule>
    <cfRule type="cellIs" dxfId="2254" priority="2413" operator="equal">
      <formula>"EL"</formula>
    </cfRule>
  </conditionalFormatting>
  <conditionalFormatting sqref="CD42:CE42">
    <cfRule type="containsText" dxfId="2253" priority="2402" operator="containsText" text="S">
      <formula>NOT(ISERROR(SEARCH("S",CD42)))</formula>
    </cfRule>
    <cfRule type="containsText" dxfId="2252" priority="2403" operator="containsText" text="P">
      <formula>NOT(ISERROR(SEARCH("P",CD42)))</formula>
    </cfRule>
    <cfRule type="containsText" dxfId="2251" priority="2404" operator="containsText" text="H">
      <formula>NOT(ISERROR(SEARCH("H",CD42)))</formula>
    </cfRule>
    <cfRule type="containsText" dxfId="2250" priority="2406" operator="containsText" text="&quot;H&quot;">
      <formula>NOT(ISERROR(SEARCH("""H""",CD42)))</formula>
    </cfRule>
    <cfRule type="containsText" dxfId="2249" priority="2407" operator="containsText" text="&quot;A&quot;">
      <formula>NOT(ISERROR(SEARCH("""A""",CD42)))</formula>
    </cfRule>
  </conditionalFormatting>
  <conditionalFormatting sqref="CD42:CE42">
    <cfRule type="containsText" dxfId="2248" priority="2405" operator="containsText" text="A-H">
      <formula>NOT(ISERROR(SEARCH("A-H",CD42)))</formula>
    </cfRule>
  </conditionalFormatting>
  <conditionalFormatting sqref="CH42">
    <cfRule type="cellIs" dxfId="2247" priority="2396" operator="equal">
      <formula>"C-Off-H"</formula>
    </cfRule>
    <cfRule type="cellIs" dxfId="2246" priority="2397" operator="equal">
      <formula>"C-Off"</formula>
    </cfRule>
    <cfRule type="cellIs" dxfId="2245" priority="2398" operator="equal">
      <formula>"CL-H"</formula>
    </cfRule>
    <cfRule type="cellIs" dxfId="2244" priority="2399" operator="equal">
      <formula>"EL-H"</formula>
    </cfRule>
    <cfRule type="cellIs" dxfId="2243" priority="2400" operator="equal">
      <formula>"CL"</formula>
    </cfRule>
    <cfRule type="cellIs" dxfId="2242" priority="2401" operator="equal">
      <formula>"EL"</formula>
    </cfRule>
  </conditionalFormatting>
  <conditionalFormatting sqref="CH42">
    <cfRule type="containsText" dxfId="2241" priority="2390" operator="containsText" text="S">
      <formula>NOT(ISERROR(SEARCH("S",CH42)))</formula>
    </cfRule>
    <cfRule type="containsText" dxfId="2240" priority="2391" operator="containsText" text="P">
      <formula>NOT(ISERROR(SEARCH("P",CH42)))</formula>
    </cfRule>
    <cfRule type="containsText" dxfId="2239" priority="2392" operator="containsText" text="H">
      <formula>NOT(ISERROR(SEARCH("H",CH42)))</formula>
    </cfRule>
    <cfRule type="containsText" dxfId="2238" priority="2394" operator="containsText" text="&quot;H&quot;">
      <formula>NOT(ISERROR(SEARCH("""H""",CH42)))</formula>
    </cfRule>
    <cfRule type="containsText" dxfId="2237" priority="2395" operator="containsText" text="&quot;A&quot;">
      <formula>NOT(ISERROR(SEARCH("""A""",CH42)))</formula>
    </cfRule>
  </conditionalFormatting>
  <conditionalFormatting sqref="CH42">
    <cfRule type="containsText" dxfId="2236" priority="2393" operator="containsText" text="A-H">
      <formula>NOT(ISERROR(SEARCH("A-H",CH42)))</formula>
    </cfRule>
  </conditionalFormatting>
  <conditionalFormatting sqref="CG42">
    <cfRule type="cellIs" dxfId="2235" priority="2384" operator="equal">
      <formula>"C-Off-H"</formula>
    </cfRule>
    <cfRule type="cellIs" dxfId="2234" priority="2385" operator="equal">
      <formula>"C-Off"</formula>
    </cfRule>
    <cfRule type="cellIs" dxfId="2233" priority="2386" operator="equal">
      <formula>"CL-H"</formula>
    </cfRule>
    <cfRule type="cellIs" dxfId="2232" priority="2387" operator="equal">
      <formula>"EL-H"</formula>
    </cfRule>
    <cfRule type="cellIs" dxfId="2231" priority="2388" operator="equal">
      <formula>"CL"</formula>
    </cfRule>
    <cfRule type="cellIs" dxfId="2230" priority="2389" operator="equal">
      <formula>"EL"</formula>
    </cfRule>
  </conditionalFormatting>
  <conditionalFormatting sqref="CG42">
    <cfRule type="containsText" dxfId="2229" priority="2378" operator="containsText" text="S">
      <formula>NOT(ISERROR(SEARCH("S",CG42)))</formula>
    </cfRule>
    <cfRule type="containsText" dxfId="2228" priority="2379" operator="containsText" text="P">
      <formula>NOT(ISERROR(SEARCH("P",CG42)))</formula>
    </cfRule>
    <cfRule type="containsText" dxfId="2227" priority="2380" operator="containsText" text="H">
      <formula>NOT(ISERROR(SEARCH("H",CG42)))</formula>
    </cfRule>
    <cfRule type="containsText" dxfId="2226" priority="2382" operator="containsText" text="&quot;H&quot;">
      <formula>NOT(ISERROR(SEARCH("""H""",CG42)))</formula>
    </cfRule>
    <cfRule type="containsText" dxfId="2225" priority="2383" operator="containsText" text="&quot;A&quot;">
      <formula>NOT(ISERROR(SEARCH("""A""",CG42)))</formula>
    </cfRule>
  </conditionalFormatting>
  <conditionalFormatting sqref="CG42">
    <cfRule type="containsText" dxfId="2224" priority="2381" operator="containsText" text="A-H">
      <formula>NOT(ISERROR(SEARCH("A-H",CG42)))</formula>
    </cfRule>
  </conditionalFormatting>
  <conditionalFormatting sqref="CA40:CB40">
    <cfRule type="cellIs" dxfId="2223" priority="2372" operator="equal">
      <formula>"C-Off-H"</formula>
    </cfRule>
    <cfRule type="cellIs" dxfId="2222" priority="2373" operator="equal">
      <formula>"C-Off"</formula>
    </cfRule>
    <cfRule type="cellIs" dxfId="2221" priority="2374" operator="equal">
      <formula>"CL-H"</formula>
    </cfRule>
    <cfRule type="cellIs" dxfId="2220" priority="2375" operator="equal">
      <formula>"EL-H"</formula>
    </cfRule>
    <cfRule type="cellIs" dxfId="2219" priority="2376" operator="equal">
      <formula>"CL"</formula>
    </cfRule>
    <cfRule type="cellIs" dxfId="2218" priority="2377" operator="equal">
      <formula>"EL"</formula>
    </cfRule>
  </conditionalFormatting>
  <conditionalFormatting sqref="CA40:CB40">
    <cfRule type="containsText" dxfId="2217" priority="2366" operator="containsText" text="S">
      <formula>NOT(ISERROR(SEARCH("S",CA40)))</formula>
    </cfRule>
    <cfRule type="containsText" dxfId="2216" priority="2367" operator="containsText" text="P">
      <formula>NOT(ISERROR(SEARCH("P",CA40)))</formula>
    </cfRule>
    <cfRule type="containsText" dxfId="2215" priority="2368" operator="containsText" text="H">
      <formula>NOT(ISERROR(SEARCH("H",CA40)))</formula>
    </cfRule>
    <cfRule type="containsText" dxfId="2214" priority="2370" operator="containsText" text="&quot;H&quot;">
      <formula>NOT(ISERROR(SEARCH("""H""",CA40)))</formula>
    </cfRule>
    <cfRule type="containsText" dxfId="2213" priority="2371" operator="containsText" text="&quot;A&quot;">
      <formula>NOT(ISERROR(SEARCH("""A""",CA40)))</formula>
    </cfRule>
  </conditionalFormatting>
  <conditionalFormatting sqref="CA40:CB40">
    <cfRule type="containsText" dxfId="2212" priority="2369" operator="containsText" text="A-H">
      <formula>NOT(ISERROR(SEARCH("A-H",CA40)))</formula>
    </cfRule>
  </conditionalFormatting>
  <conditionalFormatting sqref="CD40:CE40">
    <cfRule type="cellIs" dxfId="2211" priority="2360" operator="equal">
      <formula>"C-Off-H"</formula>
    </cfRule>
    <cfRule type="cellIs" dxfId="2210" priority="2361" operator="equal">
      <formula>"C-Off"</formula>
    </cfRule>
    <cfRule type="cellIs" dxfId="2209" priority="2362" operator="equal">
      <formula>"CL-H"</formula>
    </cfRule>
    <cfRule type="cellIs" dxfId="2208" priority="2363" operator="equal">
      <formula>"EL-H"</formula>
    </cfRule>
    <cfRule type="cellIs" dxfId="2207" priority="2364" operator="equal">
      <formula>"CL"</formula>
    </cfRule>
    <cfRule type="cellIs" dxfId="2206" priority="2365" operator="equal">
      <formula>"EL"</formula>
    </cfRule>
  </conditionalFormatting>
  <conditionalFormatting sqref="CD40:CE40">
    <cfRule type="containsText" dxfId="2205" priority="2354" operator="containsText" text="S">
      <formula>NOT(ISERROR(SEARCH("S",CD40)))</formula>
    </cfRule>
    <cfRule type="containsText" dxfId="2204" priority="2355" operator="containsText" text="P">
      <formula>NOT(ISERROR(SEARCH("P",CD40)))</formula>
    </cfRule>
    <cfRule type="containsText" dxfId="2203" priority="2356" operator="containsText" text="H">
      <formula>NOT(ISERROR(SEARCH("H",CD40)))</formula>
    </cfRule>
    <cfRule type="containsText" dxfId="2202" priority="2358" operator="containsText" text="&quot;H&quot;">
      <formula>NOT(ISERROR(SEARCH("""H""",CD40)))</formula>
    </cfRule>
    <cfRule type="containsText" dxfId="2201" priority="2359" operator="containsText" text="&quot;A&quot;">
      <formula>NOT(ISERROR(SEARCH("""A""",CD40)))</formula>
    </cfRule>
  </conditionalFormatting>
  <conditionalFormatting sqref="CD40:CE40">
    <cfRule type="containsText" dxfId="2200" priority="2357" operator="containsText" text="A-H">
      <formula>NOT(ISERROR(SEARCH("A-H",CD40)))</formula>
    </cfRule>
  </conditionalFormatting>
  <conditionalFormatting sqref="CH40">
    <cfRule type="cellIs" dxfId="2199" priority="2348" operator="equal">
      <formula>"C-Off-H"</formula>
    </cfRule>
    <cfRule type="cellIs" dxfId="2198" priority="2349" operator="equal">
      <formula>"C-Off"</formula>
    </cfRule>
    <cfRule type="cellIs" dxfId="2197" priority="2350" operator="equal">
      <formula>"CL-H"</formula>
    </cfRule>
    <cfRule type="cellIs" dxfId="2196" priority="2351" operator="equal">
      <formula>"EL-H"</formula>
    </cfRule>
    <cfRule type="cellIs" dxfId="2195" priority="2352" operator="equal">
      <formula>"CL"</formula>
    </cfRule>
    <cfRule type="cellIs" dxfId="2194" priority="2353" operator="equal">
      <formula>"EL"</formula>
    </cfRule>
  </conditionalFormatting>
  <conditionalFormatting sqref="CH40">
    <cfRule type="containsText" dxfId="2193" priority="2342" operator="containsText" text="S">
      <formula>NOT(ISERROR(SEARCH("S",CH40)))</formula>
    </cfRule>
    <cfRule type="containsText" dxfId="2192" priority="2343" operator="containsText" text="P">
      <formula>NOT(ISERROR(SEARCH("P",CH40)))</formula>
    </cfRule>
    <cfRule type="containsText" dxfId="2191" priority="2344" operator="containsText" text="H">
      <formula>NOT(ISERROR(SEARCH("H",CH40)))</formula>
    </cfRule>
    <cfRule type="containsText" dxfId="2190" priority="2346" operator="containsText" text="&quot;H&quot;">
      <formula>NOT(ISERROR(SEARCH("""H""",CH40)))</formula>
    </cfRule>
    <cfRule type="containsText" dxfId="2189" priority="2347" operator="containsText" text="&quot;A&quot;">
      <formula>NOT(ISERROR(SEARCH("""A""",CH40)))</formula>
    </cfRule>
  </conditionalFormatting>
  <conditionalFormatting sqref="CH40">
    <cfRule type="containsText" dxfId="2188" priority="2345" operator="containsText" text="A-H">
      <formula>NOT(ISERROR(SEARCH("A-H",CH40)))</formula>
    </cfRule>
  </conditionalFormatting>
  <conditionalFormatting sqref="CG40">
    <cfRule type="cellIs" dxfId="2187" priority="2336" operator="equal">
      <formula>"C-Off-H"</formula>
    </cfRule>
    <cfRule type="cellIs" dxfId="2186" priority="2337" operator="equal">
      <formula>"C-Off"</formula>
    </cfRule>
    <cfRule type="cellIs" dxfId="2185" priority="2338" operator="equal">
      <formula>"CL-H"</formula>
    </cfRule>
    <cfRule type="cellIs" dxfId="2184" priority="2339" operator="equal">
      <formula>"EL-H"</formula>
    </cfRule>
    <cfRule type="cellIs" dxfId="2183" priority="2340" operator="equal">
      <formula>"CL"</formula>
    </cfRule>
    <cfRule type="cellIs" dxfId="2182" priority="2341" operator="equal">
      <formula>"EL"</formula>
    </cfRule>
  </conditionalFormatting>
  <conditionalFormatting sqref="CG40">
    <cfRule type="containsText" dxfId="2181" priority="2330" operator="containsText" text="S">
      <formula>NOT(ISERROR(SEARCH("S",CG40)))</formula>
    </cfRule>
    <cfRule type="containsText" dxfId="2180" priority="2331" operator="containsText" text="P">
      <formula>NOT(ISERROR(SEARCH("P",CG40)))</formula>
    </cfRule>
    <cfRule type="containsText" dxfId="2179" priority="2332" operator="containsText" text="H">
      <formula>NOT(ISERROR(SEARCH("H",CG40)))</formula>
    </cfRule>
    <cfRule type="containsText" dxfId="2178" priority="2334" operator="containsText" text="&quot;H&quot;">
      <formula>NOT(ISERROR(SEARCH("""H""",CG40)))</formula>
    </cfRule>
    <cfRule type="containsText" dxfId="2177" priority="2335" operator="containsText" text="&quot;A&quot;">
      <formula>NOT(ISERROR(SEARCH("""A""",CG40)))</formula>
    </cfRule>
  </conditionalFormatting>
  <conditionalFormatting sqref="CG40">
    <cfRule type="containsText" dxfId="2176" priority="2333" operator="containsText" text="A-H">
      <formula>NOT(ISERROR(SEARCH("A-H",CG40)))</formula>
    </cfRule>
  </conditionalFormatting>
  <conditionalFormatting sqref="H41">
    <cfRule type="cellIs" dxfId="2175" priority="2324" operator="equal">
      <formula>"C-Off-H"</formula>
    </cfRule>
    <cfRule type="cellIs" dxfId="2174" priority="2325" operator="equal">
      <formula>"C-Off"</formula>
    </cfRule>
    <cfRule type="cellIs" dxfId="2173" priority="2326" operator="equal">
      <formula>"CL-H"</formula>
    </cfRule>
    <cfRule type="cellIs" dxfId="2172" priority="2327" operator="equal">
      <formula>"EL-H"</formula>
    </cfRule>
    <cfRule type="cellIs" dxfId="2171" priority="2328" operator="equal">
      <formula>"CL"</formula>
    </cfRule>
    <cfRule type="cellIs" dxfId="2170" priority="2329" operator="equal">
      <formula>"EL"</formula>
    </cfRule>
  </conditionalFormatting>
  <conditionalFormatting sqref="G41:H41">
    <cfRule type="cellIs" dxfId="2169" priority="2318" operator="equal">
      <formula>"C-Off-H"</formula>
    </cfRule>
    <cfRule type="cellIs" dxfId="2168" priority="2319" operator="equal">
      <formula>"C-Off"</formula>
    </cfRule>
    <cfRule type="cellIs" dxfId="2167" priority="2320" operator="equal">
      <formula>"CL-H"</formula>
    </cfRule>
    <cfRule type="cellIs" dxfId="2166" priority="2321" operator="equal">
      <formula>"EL-H"</formula>
    </cfRule>
    <cfRule type="cellIs" dxfId="2165" priority="2322" operator="equal">
      <formula>"CL"</formula>
    </cfRule>
    <cfRule type="cellIs" dxfId="2164" priority="2323" operator="equal">
      <formula>"EL"</formula>
    </cfRule>
  </conditionalFormatting>
  <conditionalFormatting sqref="G41:H41">
    <cfRule type="containsText" dxfId="2163" priority="2312" operator="containsText" text="S">
      <formula>NOT(ISERROR(SEARCH("S",G41)))</formula>
    </cfRule>
    <cfRule type="containsText" dxfId="2162" priority="2313" operator="containsText" text="P">
      <formula>NOT(ISERROR(SEARCH("P",G41)))</formula>
    </cfRule>
    <cfRule type="containsText" dxfId="2161" priority="2314" operator="containsText" text="H">
      <formula>NOT(ISERROR(SEARCH("H",G41)))</formula>
    </cfRule>
    <cfRule type="containsText" dxfId="2160" priority="2316" operator="containsText" text="&quot;H&quot;">
      <formula>NOT(ISERROR(SEARCH("""H""",G41)))</formula>
    </cfRule>
    <cfRule type="containsText" dxfId="2159" priority="2317" operator="containsText" text="&quot;A&quot;">
      <formula>NOT(ISERROR(SEARCH("""A""",G41)))</formula>
    </cfRule>
  </conditionalFormatting>
  <conditionalFormatting sqref="G41:H41">
    <cfRule type="containsText" dxfId="2158" priority="2315" operator="containsText" text="A-H">
      <formula>NOT(ISERROR(SEARCH("A-H",G41)))</formula>
    </cfRule>
  </conditionalFormatting>
  <conditionalFormatting sqref="H42">
    <cfRule type="cellIs" dxfId="2157" priority="2306" operator="equal">
      <formula>"C-Off-H"</formula>
    </cfRule>
    <cfRule type="cellIs" dxfId="2156" priority="2307" operator="equal">
      <formula>"C-Off"</formula>
    </cfRule>
    <cfRule type="cellIs" dxfId="2155" priority="2308" operator="equal">
      <formula>"CL-H"</formula>
    </cfRule>
    <cfRule type="cellIs" dxfId="2154" priority="2309" operator="equal">
      <formula>"EL-H"</formula>
    </cfRule>
    <cfRule type="cellIs" dxfId="2153" priority="2310" operator="equal">
      <formula>"CL"</formula>
    </cfRule>
    <cfRule type="cellIs" dxfId="2152" priority="2311" operator="equal">
      <formula>"EL"</formula>
    </cfRule>
  </conditionalFormatting>
  <conditionalFormatting sqref="G42:H42">
    <cfRule type="cellIs" dxfId="2151" priority="2300" operator="equal">
      <formula>"C-Off-H"</formula>
    </cfRule>
    <cfRule type="cellIs" dxfId="2150" priority="2301" operator="equal">
      <formula>"C-Off"</formula>
    </cfRule>
    <cfRule type="cellIs" dxfId="2149" priority="2302" operator="equal">
      <formula>"CL-H"</formula>
    </cfRule>
    <cfRule type="cellIs" dxfId="2148" priority="2303" operator="equal">
      <formula>"EL-H"</formula>
    </cfRule>
    <cfRule type="cellIs" dxfId="2147" priority="2304" operator="equal">
      <formula>"CL"</formula>
    </cfRule>
    <cfRule type="cellIs" dxfId="2146" priority="2305" operator="equal">
      <formula>"EL"</formula>
    </cfRule>
  </conditionalFormatting>
  <conditionalFormatting sqref="G42:H42">
    <cfRule type="containsText" dxfId="2145" priority="2294" operator="containsText" text="S">
      <formula>NOT(ISERROR(SEARCH("S",G42)))</formula>
    </cfRule>
    <cfRule type="containsText" dxfId="2144" priority="2295" operator="containsText" text="P">
      <formula>NOT(ISERROR(SEARCH("P",G42)))</formula>
    </cfRule>
    <cfRule type="containsText" dxfId="2143" priority="2296" operator="containsText" text="H">
      <formula>NOT(ISERROR(SEARCH("H",G42)))</formula>
    </cfRule>
    <cfRule type="containsText" dxfId="2142" priority="2298" operator="containsText" text="&quot;H&quot;">
      <formula>NOT(ISERROR(SEARCH("""H""",G42)))</formula>
    </cfRule>
    <cfRule type="containsText" dxfId="2141" priority="2299" operator="containsText" text="&quot;A&quot;">
      <formula>NOT(ISERROR(SEARCH("""A""",G42)))</formula>
    </cfRule>
  </conditionalFormatting>
  <conditionalFormatting sqref="G42:H42">
    <cfRule type="containsText" dxfId="2140" priority="2297" operator="containsText" text="A-H">
      <formula>NOT(ISERROR(SEARCH("A-H",G42)))</formula>
    </cfRule>
  </conditionalFormatting>
  <conditionalFormatting sqref="H40">
    <cfRule type="cellIs" dxfId="2139" priority="2288" operator="equal">
      <formula>"C-Off-H"</formula>
    </cfRule>
    <cfRule type="cellIs" dxfId="2138" priority="2289" operator="equal">
      <formula>"C-Off"</formula>
    </cfRule>
    <cfRule type="cellIs" dxfId="2137" priority="2290" operator="equal">
      <formula>"CL-H"</formula>
    </cfRule>
    <cfRule type="cellIs" dxfId="2136" priority="2291" operator="equal">
      <formula>"EL-H"</formula>
    </cfRule>
    <cfRule type="cellIs" dxfId="2135" priority="2292" operator="equal">
      <formula>"CL"</formula>
    </cfRule>
    <cfRule type="cellIs" dxfId="2134" priority="2293" operator="equal">
      <formula>"EL"</formula>
    </cfRule>
  </conditionalFormatting>
  <conditionalFormatting sqref="G40:H40">
    <cfRule type="cellIs" dxfId="2133" priority="2282" operator="equal">
      <formula>"C-Off-H"</formula>
    </cfRule>
    <cfRule type="cellIs" dxfId="2132" priority="2283" operator="equal">
      <formula>"C-Off"</formula>
    </cfRule>
    <cfRule type="cellIs" dxfId="2131" priority="2284" operator="equal">
      <formula>"CL-H"</formula>
    </cfRule>
    <cfRule type="cellIs" dxfId="2130" priority="2285" operator="equal">
      <formula>"EL-H"</formula>
    </cfRule>
    <cfRule type="cellIs" dxfId="2129" priority="2286" operator="equal">
      <formula>"CL"</formula>
    </cfRule>
    <cfRule type="cellIs" dxfId="2128" priority="2287" operator="equal">
      <formula>"EL"</formula>
    </cfRule>
  </conditionalFormatting>
  <conditionalFormatting sqref="G40:H40">
    <cfRule type="containsText" dxfId="2127" priority="2276" operator="containsText" text="S">
      <formula>NOT(ISERROR(SEARCH("S",G40)))</formula>
    </cfRule>
    <cfRule type="containsText" dxfId="2126" priority="2277" operator="containsText" text="P">
      <formula>NOT(ISERROR(SEARCH("P",G40)))</formula>
    </cfRule>
    <cfRule type="containsText" dxfId="2125" priority="2278" operator="containsText" text="H">
      <formula>NOT(ISERROR(SEARCH("H",G40)))</formula>
    </cfRule>
    <cfRule type="containsText" dxfId="2124" priority="2280" operator="containsText" text="&quot;H&quot;">
      <formula>NOT(ISERROR(SEARCH("""H""",G40)))</formula>
    </cfRule>
    <cfRule type="containsText" dxfId="2123" priority="2281" operator="containsText" text="&quot;A&quot;">
      <formula>NOT(ISERROR(SEARCH("""A""",G40)))</formula>
    </cfRule>
  </conditionalFormatting>
  <conditionalFormatting sqref="G40:H40">
    <cfRule type="containsText" dxfId="2122" priority="2279" operator="containsText" text="A-H">
      <formula>NOT(ISERROR(SEARCH("A-H",G40)))</formula>
    </cfRule>
  </conditionalFormatting>
  <conditionalFormatting sqref="CX39">
    <cfRule type="cellIs" dxfId="2121" priority="2203" operator="equal">
      <formula>"C-Off-H"</formula>
    </cfRule>
    <cfRule type="cellIs" dxfId="2120" priority="2204" operator="equal">
      <formula>"C-Off"</formula>
    </cfRule>
    <cfRule type="cellIs" dxfId="2119" priority="2205" operator="equal">
      <formula>"CL-H"</formula>
    </cfRule>
    <cfRule type="cellIs" dxfId="2118" priority="2206" operator="equal">
      <formula>"EL-H"</formula>
    </cfRule>
    <cfRule type="cellIs" dxfId="2117" priority="2207" operator="equal">
      <formula>"CL"</formula>
    </cfRule>
    <cfRule type="cellIs" dxfId="2116" priority="2208" operator="equal">
      <formula>"EL"</formula>
    </cfRule>
  </conditionalFormatting>
  <conditionalFormatting sqref="CX39">
    <cfRule type="containsText" dxfId="2115" priority="2202" operator="containsText" text="A-H">
      <formula>NOT(ISERROR(SEARCH("A-H",CX39)))</formula>
    </cfRule>
  </conditionalFormatting>
  <conditionalFormatting sqref="CX39">
    <cfRule type="containsText" dxfId="2114" priority="2201" operator="containsText" text="A">
      <formula>NOT(ISERROR(SEARCH("A",CX39)))</formula>
    </cfRule>
  </conditionalFormatting>
  <conditionalFormatting sqref="DC39 CP39:CW39">
    <cfRule type="cellIs" dxfId="2113" priority="2184" operator="equal">
      <formula>"C-Off-H"</formula>
    </cfRule>
    <cfRule type="cellIs" dxfId="2112" priority="2185" operator="equal">
      <formula>"C-Off"</formula>
    </cfRule>
    <cfRule type="cellIs" dxfId="2111" priority="2186" operator="equal">
      <formula>"CL-H"</formula>
    </cfRule>
    <cfRule type="cellIs" dxfId="2110" priority="2187" operator="equal">
      <formula>"EL-H"</formula>
    </cfRule>
    <cfRule type="cellIs" dxfId="2109" priority="2188" operator="equal">
      <formula>"CL"</formula>
    </cfRule>
    <cfRule type="cellIs" dxfId="2108" priority="2189" operator="equal">
      <formula>"EL"</formula>
    </cfRule>
  </conditionalFormatting>
  <conditionalFormatting sqref="DC39 CP39:CW39 CY39:DA39">
    <cfRule type="containsText" dxfId="2107" priority="2183" operator="containsText" text="A-H">
      <formula>NOT(ISERROR(SEARCH("A-H",CP39)))</formula>
    </cfRule>
  </conditionalFormatting>
  <conditionalFormatting sqref="DC39 CP39:CW39 CY39:DA39">
    <cfRule type="containsText" dxfId="2106" priority="2182" operator="containsText" text="A">
      <formula>NOT(ISERROR(SEARCH("A",CP39)))</formula>
    </cfRule>
  </conditionalFormatting>
  <conditionalFormatting sqref="CY39 DA39">
    <cfRule type="cellIs" dxfId="2105" priority="2176" stopIfTrue="1" operator="equal">
      <formula>"C-Off-H"</formula>
    </cfRule>
    <cfRule type="cellIs" dxfId="2104" priority="2177" stopIfTrue="1" operator="equal">
      <formula>"C-Off"</formula>
    </cfRule>
    <cfRule type="cellIs" dxfId="2103" priority="2178" stopIfTrue="1" operator="equal">
      <formula>"CL-H"</formula>
    </cfRule>
    <cfRule type="cellIs" dxfId="2102" priority="2179" stopIfTrue="1" operator="equal">
      <formula>"EL-H"</formula>
    </cfRule>
    <cfRule type="cellIs" dxfId="2101" priority="2180" stopIfTrue="1" operator="equal">
      <formula>"CL"</formula>
    </cfRule>
    <cfRule type="cellIs" dxfId="2100" priority="2181" stopIfTrue="1" operator="equal">
      <formula>"EL"</formula>
    </cfRule>
  </conditionalFormatting>
  <conditionalFormatting sqref="CZ39">
    <cfRule type="cellIs" dxfId="2099" priority="2170" stopIfTrue="1" operator="equal">
      <formula>"C-Off-H"</formula>
    </cfRule>
    <cfRule type="cellIs" dxfId="2098" priority="2171" stopIfTrue="1" operator="equal">
      <formula>"C-Off"</formula>
    </cfRule>
    <cfRule type="cellIs" dxfId="2097" priority="2172" stopIfTrue="1" operator="equal">
      <formula>"CL-H"</formula>
    </cfRule>
    <cfRule type="cellIs" dxfId="2096" priority="2173" stopIfTrue="1" operator="equal">
      <formula>"EL-H"</formula>
    </cfRule>
    <cfRule type="cellIs" dxfId="2095" priority="2174" stopIfTrue="1" operator="equal">
      <formula>"CL"</formula>
    </cfRule>
    <cfRule type="cellIs" dxfId="2094" priority="2175" stopIfTrue="1" operator="equal">
      <formula>"EL"</formula>
    </cfRule>
  </conditionalFormatting>
  <conditionalFormatting sqref="DD39">
    <cfRule type="cellIs" dxfId="2093" priority="2159" operator="equal">
      <formula>"C-Off-H"</formula>
    </cfRule>
    <cfRule type="cellIs" dxfId="2092" priority="2160" operator="equal">
      <formula>"C-Off"</formula>
    </cfRule>
    <cfRule type="cellIs" dxfId="2091" priority="2161" operator="equal">
      <formula>"CL-H"</formula>
    </cfRule>
    <cfRule type="cellIs" dxfId="2090" priority="2162" operator="equal">
      <formula>"EL-H"</formula>
    </cfRule>
    <cfRule type="cellIs" dxfId="2089" priority="2163" operator="equal">
      <formula>"CL"</formula>
    </cfRule>
    <cfRule type="cellIs" dxfId="2088" priority="2164" operator="equal">
      <formula>"EL"</formula>
    </cfRule>
  </conditionalFormatting>
  <conditionalFormatting sqref="DD39">
    <cfRule type="containsText" dxfId="2087" priority="2158" operator="containsText" text="A">
      <formula>NOT(ISERROR(SEARCH("A",DD39)))</formula>
    </cfRule>
  </conditionalFormatting>
  <conditionalFormatting sqref="DD39">
    <cfRule type="containsText" dxfId="2086" priority="2157" operator="containsText" text="A-H">
      <formula>NOT(ISERROR(SEARCH("A-H",DD39)))</formula>
    </cfRule>
  </conditionalFormatting>
  <conditionalFormatting sqref="AI39">
    <cfRule type="cellIs" dxfId="2085" priority="2151" operator="equal">
      <formula>"C-Off-H"</formula>
    </cfRule>
    <cfRule type="cellIs" dxfId="2084" priority="2152" operator="equal">
      <formula>"C-Off"</formula>
    </cfRule>
    <cfRule type="cellIs" dxfId="2083" priority="2153" operator="equal">
      <formula>"CL-H"</formula>
    </cfRule>
    <cfRule type="cellIs" dxfId="2082" priority="2154" operator="equal">
      <formula>"EL-H"</formula>
    </cfRule>
    <cfRule type="cellIs" dxfId="2081" priority="2155" operator="equal">
      <formula>"CL"</formula>
    </cfRule>
    <cfRule type="cellIs" dxfId="2080" priority="2156" operator="equal">
      <formula>"EL"</formula>
    </cfRule>
  </conditionalFormatting>
  <conditionalFormatting sqref="AH39:AI39">
    <cfRule type="cellIs" dxfId="2079" priority="2145" operator="equal">
      <formula>"C-Off-H"</formula>
    </cfRule>
    <cfRule type="cellIs" dxfId="2078" priority="2146" operator="equal">
      <formula>"C-Off"</formula>
    </cfRule>
    <cfRule type="cellIs" dxfId="2077" priority="2147" operator="equal">
      <formula>"CL-H"</formula>
    </cfRule>
    <cfRule type="cellIs" dxfId="2076" priority="2148" operator="equal">
      <formula>"EL-H"</formula>
    </cfRule>
    <cfRule type="cellIs" dxfId="2075" priority="2149" operator="equal">
      <formula>"CL"</formula>
    </cfRule>
    <cfRule type="cellIs" dxfId="2074" priority="2150" operator="equal">
      <formula>"EL"</formula>
    </cfRule>
  </conditionalFormatting>
  <conditionalFormatting sqref="AH39:AI39">
    <cfRule type="containsText" dxfId="2073" priority="2139" operator="containsText" text="S">
      <formula>NOT(ISERROR(SEARCH("S",AH39)))</formula>
    </cfRule>
    <cfRule type="containsText" dxfId="2072" priority="2140" operator="containsText" text="P">
      <formula>NOT(ISERROR(SEARCH("P",AH39)))</formula>
    </cfRule>
    <cfRule type="containsText" dxfId="2071" priority="2141" operator="containsText" text="H">
      <formula>NOT(ISERROR(SEARCH("H",AH39)))</formula>
    </cfRule>
    <cfRule type="containsText" dxfId="2070" priority="2143" operator="containsText" text="&quot;H&quot;">
      <formula>NOT(ISERROR(SEARCH("""H""",AH39)))</formula>
    </cfRule>
    <cfRule type="containsText" dxfId="2069" priority="2144" operator="containsText" text="&quot;A&quot;">
      <formula>NOT(ISERROR(SEARCH("""A""",AH39)))</formula>
    </cfRule>
  </conditionalFormatting>
  <conditionalFormatting sqref="AH39:AI39">
    <cfRule type="containsText" dxfId="2068" priority="2142" operator="containsText" text="A-H">
      <formula>NOT(ISERROR(SEARCH("A-H",AH39)))</formula>
    </cfRule>
  </conditionalFormatting>
  <conditionalFormatting sqref="AU39">
    <cfRule type="cellIs" dxfId="2067" priority="2133" operator="equal">
      <formula>"C-Off-H"</formula>
    </cfRule>
    <cfRule type="cellIs" dxfId="2066" priority="2134" operator="equal">
      <formula>"C-Off"</formula>
    </cfRule>
    <cfRule type="cellIs" dxfId="2065" priority="2135" operator="equal">
      <formula>"CL-H"</formula>
    </cfRule>
    <cfRule type="cellIs" dxfId="2064" priority="2136" operator="equal">
      <formula>"EL-H"</formula>
    </cfRule>
    <cfRule type="cellIs" dxfId="2063" priority="2137" operator="equal">
      <formula>"CL"</formula>
    </cfRule>
    <cfRule type="cellIs" dxfId="2062" priority="2138" operator="equal">
      <formula>"EL"</formula>
    </cfRule>
  </conditionalFormatting>
  <conditionalFormatting sqref="AT39:AU39">
    <cfRule type="cellIs" dxfId="2061" priority="2127" operator="equal">
      <formula>"C-Off-H"</formula>
    </cfRule>
    <cfRule type="cellIs" dxfId="2060" priority="2128" operator="equal">
      <formula>"C-Off"</formula>
    </cfRule>
    <cfRule type="cellIs" dxfId="2059" priority="2129" operator="equal">
      <formula>"CL-H"</formula>
    </cfRule>
    <cfRule type="cellIs" dxfId="2058" priority="2130" operator="equal">
      <formula>"EL-H"</formula>
    </cfRule>
    <cfRule type="cellIs" dxfId="2057" priority="2131" operator="equal">
      <formula>"CL"</formula>
    </cfRule>
    <cfRule type="cellIs" dxfId="2056" priority="2132" operator="equal">
      <formula>"EL"</formula>
    </cfRule>
  </conditionalFormatting>
  <conditionalFormatting sqref="AT39:AU39">
    <cfRule type="containsText" dxfId="2055" priority="2121" operator="containsText" text="S">
      <formula>NOT(ISERROR(SEARCH("S",AT39)))</formula>
    </cfRule>
    <cfRule type="containsText" dxfId="2054" priority="2122" operator="containsText" text="P">
      <formula>NOT(ISERROR(SEARCH("P",AT39)))</formula>
    </cfRule>
    <cfRule type="containsText" dxfId="2053" priority="2123" operator="containsText" text="H">
      <formula>NOT(ISERROR(SEARCH("H",AT39)))</formula>
    </cfRule>
    <cfRule type="containsText" dxfId="2052" priority="2125" operator="containsText" text="&quot;H&quot;">
      <formula>NOT(ISERROR(SEARCH("""H""",AT39)))</formula>
    </cfRule>
    <cfRule type="containsText" dxfId="2051" priority="2126" operator="containsText" text="&quot;A&quot;">
      <formula>NOT(ISERROR(SEARCH("""A""",AT39)))</formula>
    </cfRule>
  </conditionalFormatting>
  <conditionalFormatting sqref="AT39:AU39">
    <cfRule type="containsText" dxfId="2050" priority="2124" operator="containsText" text="A-H">
      <formula>NOT(ISERROR(SEARCH("A-H",AT39)))</formula>
    </cfRule>
  </conditionalFormatting>
  <conditionalFormatting sqref="E39">
    <cfRule type="cellIs" dxfId="2049" priority="2115" operator="equal">
      <formula>"C-Off-H"</formula>
    </cfRule>
    <cfRule type="cellIs" dxfId="2048" priority="2116" operator="equal">
      <formula>"C-Off"</formula>
    </cfRule>
    <cfRule type="cellIs" dxfId="2047" priority="2117" operator="equal">
      <formula>"CL-H"</formula>
    </cfRule>
    <cfRule type="cellIs" dxfId="2046" priority="2118" operator="equal">
      <formula>"EL-H"</formula>
    </cfRule>
    <cfRule type="cellIs" dxfId="2045" priority="2119" operator="equal">
      <formula>"CL"</formula>
    </cfRule>
    <cfRule type="cellIs" dxfId="2044" priority="2120" operator="equal">
      <formula>"EL"</formula>
    </cfRule>
  </conditionalFormatting>
  <conditionalFormatting sqref="D39:E39">
    <cfRule type="cellIs" dxfId="2043" priority="2109" operator="equal">
      <formula>"C-Off-H"</formula>
    </cfRule>
    <cfRule type="cellIs" dxfId="2042" priority="2110" operator="equal">
      <formula>"C-Off"</formula>
    </cfRule>
    <cfRule type="cellIs" dxfId="2041" priority="2111" operator="equal">
      <formula>"CL-H"</formula>
    </cfRule>
    <cfRule type="cellIs" dxfId="2040" priority="2112" operator="equal">
      <formula>"EL-H"</formula>
    </cfRule>
    <cfRule type="cellIs" dxfId="2039" priority="2113" operator="equal">
      <formula>"CL"</formula>
    </cfRule>
    <cfRule type="cellIs" dxfId="2038" priority="2114" operator="equal">
      <formula>"EL"</formula>
    </cfRule>
  </conditionalFormatting>
  <conditionalFormatting sqref="D39:E39">
    <cfRule type="containsText" dxfId="2037" priority="2103" operator="containsText" text="S">
      <formula>NOT(ISERROR(SEARCH("S",D39)))</formula>
    </cfRule>
    <cfRule type="containsText" dxfId="2036" priority="2104" operator="containsText" text="P">
      <formula>NOT(ISERROR(SEARCH("P",D39)))</formula>
    </cfRule>
    <cfRule type="containsText" dxfId="2035" priority="2105" operator="containsText" text="H">
      <formula>NOT(ISERROR(SEARCH("H",D39)))</formula>
    </cfRule>
    <cfRule type="containsText" dxfId="2034" priority="2107" operator="containsText" text="&quot;H&quot;">
      <formula>NOT(ISERROR(SEARCH("""H""",D39)))</formula>
    </cfRule>
    <cfRule type="containsText" dxfId="2033" priority="2108" operator="containsText" text="&quot;A&quot;">
      <formula>NOT(ISERROR(SEARCH("""A""",D39)))</formula>
    </cfRule>
  </conditionalFormatting>
  <conditionalFormatting sqref="D39:E39">
    <cfRule type="containsText" dxfId="2032" priority="2106" operator="containsText" text="A-H">
      <formula>NOT(ISERROR(SEARCH("A-H",D39)))</formula>
    </cfRule>
  </conditionalFormatting>
  <conditionalFormatting sqref="Z39">
    <cfRule type="cellIs" dxfId="2031" priority="2097" operator="equal">
      <formula>"C-Off-H"</formula>
    </cfRule>
    <cfRule type="cellIs" dxfId="2030" priority="2098" operator="equal">
      <formula>"C-Off"</formula>
    </cfRule>
    <cfRule type="cellIs" dxfId="2029" priority="2099" operator="equal">
      <formula>"CL-H"</formula>
    </cfRule>
    <cfRule type="cellIs" dxfId="2028" priority="2100" operator="equal">
      <formula>"EL-H"</formula>
    </cfRule>
    <cfRule type="cellIs" dxfId="2027" priority="2101" operator="equal">
      <formula>"CL"</formula>
    </cfRule>
    <cfRule type="cellIs" dxfId="2026" priority="2102" operator="equal">
      <formula>"EL"</formula>
    </cfRule>
  </conditionalFormatting>
  <conditionalFormatting sqref="Z39">
    <cfRule type="containsText" dxfId="2025" priority="2091" operator="containsText" text="S">
      <formula>NOT(ISERROR(SEARCH("S",Z39)))</formula>
    </cfRule>
    <cfRule type="containsText" dxfId="2024" priority="2092" operator="containsText" text="P">
      <formula>NOT(ISERROR(SEARCH("P",Z39)))</formula>
    </cfRule>
    <cfRule type="containsText" dxfId="2023" priority="2093" operator="containsText" text="H">
      <formula>NOT(ISERROR(SEARCH("H",Z39)))</formula>
    </cfRule>
    <cfRule type="containsText" dxfId="2022" priority="2095" operator="containsText" text="&quot;H&quot;">
      <formula>NOT(ISERROR(SEARCH("""H""",Z39)))</formula>
    </cfRule>
    <cfRule type="containsText" dxfId="2021" priority="2096" operator="containsText" text="&quot;A&quot;">
      <formula>NOT(ISERROR(SEARCH("""A""",Z39)))</formula>
    </cfRule>
  </conditionalFormatting>
  <conditionalFormatting sqref="Z39">
    <cfRule type="containsText" dxfId="2020" priority="2094" operator="containsText" text="A-H">
      <formula>NOT(ISERROR(SEARCH("A-H",Z39)))</formula>
    </cfRule>
  </conditionalFormatting>
  <conditionalFormatting sqref="Y39">
    <cfRule type="cellIs" dxfId="2019" priority="2085" operator="equal">
      <formula>"C-Off-H"</formula>
    </cfRule>
    <cfRule type="cellIs" dxfId="2018" priority="2086" operator="equal">
      <formula>"C-Off"</formula>
    </cfRule>
    <cfRule type="cellIs" dxfId="2017" priority="2087" operator="equal">
      <formula>"CL-H"</formula>
    </cfRule>
    <cfRule type="cellIs" dxfId="2016" priority="2088" operator="equal">
      <formula>"EL-H"</formula>
    </cfRule>
    <cfRule type="cellIs" dxfId="2015" priority="2089" operator="equal">
      <formula>"CL"</formula>
    </cfRule>
    <cfRule type="cellIs" dxfId="2014" priority="2090" operator="equal">
      <formula>"EL"</formula>
    </cfRule>
  </conditionalFormatting>
  <conditionalFormatting sqref="Y39">
    <cfRule type="containsText" dxfId="2013" priority="2079" operator="containsText" text="S">
      <formula>NOT(ISERROR(SEARCH("S",Y39)))</formula>
    </cfRule>
    <cfRule type="containsText" dxfId="2012" priority="2080" operator="containsText" text="P">
      <formula>NOT(ISERROR(SEARCH("P",Y39)))</formula>
    </cfRule>
    <cfRule type="containsText" dxfId="2011" priority="2081" operator="containsText" text="H">
      <formula>NOT(ISERROR(SEARCH("H",Y39)))</formula>
    </cfRule>
    <cfRule type="containsText" dxfId="2010" priority="2083" operator="containsText" text="&quot;H&quot;">
      <formula>NOT(ISERROR(SEARCH("""H""",Y39)))</formula>
    </cfRule>
    <cfRule type="containsText" dxfId="2009" priority="2084" operator="containsText" text="&quot;A&quot;">
      <formula>NOT(ISERROR(SEARCH("""A""",Y39)))</formula>
    </cfRule>
  </conditionalFormatting>
  <conditionalFormatting sqref="Y39">
    <cfRule type="containsText" dxfId="2008" priority="2082" operator="containsText" text="A-H">
      <formula>NOT(ISERROR(SEARCH("A-H",Y39)))</formula>
    </cfRule>
  </conditionalFormatting>
  <conditionalFormatting sqref="AF39">
    <cfRule type="cellIs" dxfId="2007" priority="2073" operator="equal">
      <formula>"C-Off-H"</formula>
    </cfRule>
    <cfRule type="cellIs" dxfId="2006" priority="2074" operator="equal">
      <formula>"C-Off"</formula>
    </cfRule>
    <cfRule type="cellIs" dxfId="2005" priority="2075" operator="equal">
      <formula>"CL-H"</formula>
    </cfRule>
    <cfRule type="cellIs" dxfId="2004" priority="2076" operator="equal">
      <formula>"EL-H"</formula>
    </cfRule>
    <cfRule type="cellIs" dxfId="2003" priority="2077" operator="equal">
      <formula>"CL"</formula>
    </cfRule>
    <cfRule type="cellIs" dxfId="2002" priority="2078" operator="equal">
      <formula>"EL"</formula>
    </cfRule>
  </conditionalFormatting>
  <conditionalFormatting sqref="AF39">
    <cfRule type="containsText" dxfId="2001" priority="2067" operator="containsText" text="S">
      <formula>NOT(ISERROR(SEARCH("S",AF39)))</formula>
    </cfRule>
    <cfRule type="containsText" dxfId="2000" priority="2068" operator="containsText" text="P">
      <formula>NOT(ISERROR(SEARCH("P",AF39)))</formula>
    </cfRule>
    <cfRule type="containsText" dxfId="1999" priority="2069" operator="containsText" text="H">
      <formula>NOT(ISERROR(SEARCH("H",AF39)))</formula>
    </cfRule>
    <cfRule type="containsText" dxfId="1998" priority="2071" operator="containsText" text="&quot;H&quot;">
      <formula>NOT(ISERROR(SEARCH("""H""",AF39)))</formula>
    </cfRule>
    <cfRule type="containsText" dxfId="1997" priority="2072" operator="containsText" text="&quot;A&quot;">
      <formula>NOT(ISERROR(SEARCH("""A""",AF39)))</formula>
    </cfRule>
  </conditionalFormatting>
  <conditionalFormatting sqref="AF39">
    <cfRule type="containsText" dxfId="1996" priority="2070" operator="containsText" text="A-H">
      <formula>NOT(ISERROR(SEARCH("A-H",AF39)))</formula>
    </cfRule>
  </conditionalFormatting>
  <conditionalFormatting sqref="BO39:BP39">
    <cfRule type="cellIs" dxfId="1995" priority="2061" operator="equal">
      <formula>"C-Off-H"</formula>
    </cfRule>
    <cfRule type="cellIs" dxfId="1994" priority="2062" operator="equal">
      <formula>"C-Off"</formula>
    </cfRule>
    <cfRule type="cellIs" dxfId="1993" priority="2063" operator="equal">
      <formula>"CL-H"</formula>
    </cfRule>
    <cfRule type="cellIs" dxfId="1992" priority="2064" operator="equal">
      <formula>"EL-H"</formula>
    </cfRule>
    <cfRule type="cellIs" dxfId="1991" priority="2065" operator="equal">
      <formula>"CL"</formula>
    </cfRule>
    <cfRule type="cellIs" dxfId="1990" priority="2066" operator="equal">
      <formula>"EL"</formula>
    </cfRule>
  </conditionalFormatting>
  <conditionalFormatting sqref="BO39:BP39">
    <cfRule type="cellIs" dxfId="1989" priority="2055" operator="equal">
      <formula>"C-Off-H"</formula>
    </cfRule>
    <cfRule type="cellIs" dxfId="1988" priority="2056" operator="equal">
      <formula>"C-Off"</formula>
    </cfRule>
    <cfRule type="cellIs" dxfId="1987" priority="2057" operator="equal">
      <formula>"CL-H"</formula>
    </cfRule>
    <cfRule type="cellIs" dxfId="1986" priority="2058" operator="equal">
      <formula>"EL-H"</formula>
    </cfRule>
    <cfRule type="cellIs" dxfId="1985" priority="2059" operator="equal">
      <formula>"CL"</formula>
    </cfRule>
    <cfRule type="cellIs" dxfId="1984" priority="2060" operator="equal">
      <formula>"EL"</formula>
    </cfRule>
  </conditionalFormatting>
  <conditionalFormatting sqref="BO39:BP39">
    <cfRule type="containsText" dxfId="1983" priority="2049" operator="containsText" text="S">
      <formula>NOT(ISERROR(SEARCH("S",BO39)))</formula>
    </cfRule>
    <cfRule type="containsText" dxfId="1982" priority="2050" operator="containsText" text="P">
      <formula>NOT(ISERROR(SEARCH("P",BO39)))</formula>
    </cfRule>
    <cfRule type="containsText" dxfId="1981" priority="2051" operator="containsText" text="H">
      <formula>NOT(ISERROR(SEARCH("H",BO39)))</formula>
    </cfRule>
    <cfRule type="containsText" dxfId="1980" priority="2053" operator="containsText" text="&quot;H&quot;">
      <formula>NOT(ISERROR(SEARCH("""H""",BO39)))</formula>
    </cfRule>
    <cfRule type="containsText" dxfId="1979" priority="2054" operator="containsText" text="&quot;A&quot;">
      <formula>NOT(ISERROR(SEARCH("""A""",BO39)))</formula>
    </cfRule>
  </conditionalFormatting>
  <conditionalFormatting sqref="BO39:BP39">
    <cfRule type="containsText" dxfId="1978" priority="2052" operator="containsText" text="A-H">
      <formula>NOT(ISERROR(SEARCH("A-H",BO39)))</formula>
    </cfRule>
  </conditionalFormatting>
  <conditionalFormatting sqref="CM39">
    <cfRule type="cellIs" dxfId="1977" priority="2043" operator="equal">
      <formula>"C-Off-H"</formula>
    </cfRule>
    <cfRule type="cellIs" dxfId="1976" priority="2044" operator="equal">
      <formula>"C-Off"</formula>
    </cfRule>
    <cfRule type="cellIs" dxfId="1975" priority="2045" operator="equal">
      <formula>"CL-H"</formula>
    </cfRule>
    <cfRule type="cellIs" dxfId="1974" priority="2046" operator="equal">
      <formula>"EL-H"</formula>
    </cfRule>
    <cfRule type="cellIs" dxfId="1973" priority="2047" operator="equal">
      <formula>"CL"</formula>
    </cfRule>
    <cfRule type="cellIs" dxfId="1972" priority="2048" operator="equal">
      <formula>"EL"</formula>
    </cfRule>
  </conditionalFormatting>
  <conditionalFormatting sqref="CM39">
    <cfRule type="cellIs" dxfId="1971" priority="2037" operator="equal">
      <formula>"C-Off-H"</formula>
    </cfRule>
    <cfRule type="cellIs" dxfId="1970" priority="2038" operator="equal">
      <formula>"C-Off"</formula>
    </cfRule>
    <cfRule type="cellIs" dxfId="1969" priority="2039" operator="equal">
      <formula>"CL-H"</formula>
    </cfRule>
    <cfRule type="cellIs" dxfId="1968" priority="2040" operator="equal">
      <formula>"EL-H"</formula>
    </cfRule>
    <cfRule type="cellIs" dxfId="1967" priority="2041" operator="equal">
      <formula>"CL"</formula>
    </cfRule>
    <cfRule type="cellIs" dxfId="1966" priority="2042" operator="equal">
      <formula>"EL"</formula>
    </cfRule>
  </conditionalFormatting>
  <conditionalFormatting sqref="CM39">
    <cfRule type="containsText" dxfId="1965" priority="2031" operator="containsText" text="S">
      <formula>NOT(ISERROR(SEARCH("S",CM39)))</formula>
    </cfRule>
    <cfRule type="containsText" dxfId="1964" priority="2032" operator="containsText" text="P">
      <formula>NOT(ISERROR(SEARCH("P",CM39)))</formula>
    </cfRule>
    <cfRule type="containsText" dxfId="1963" priority="2033" operator="containsText" text="H">
      <formula>NOT(ISERROR(SEARCH("H",CM39)))</formula>
    </cfRule>
    <cfRule type="containsText" dxfId="1962" priority="2035" operator="containsText" text="&quot;H&quot;">
      <formula>NOT(ISERROR(SEARCH("""H""",CM39)))</formula>
    </cfRule>
    <cfRule type="containsText" dxfId="1961" priority="2036" operator="containsText" text="&quot;A&quot;">
      <formula>NOT(ISERROR(SEARCH("""A""",CM39)))</formula>
    </cfRule>
  </conditionalFormatting>
  <conditionalFormatting sqref="CM39">
    <cfRule type="containsText" dxfId="1960" priority="2034" operator="containsText" text="A-H">
      <formula>NOT(ISERROR(SEARCH("A-H",CM39)))</formula>
    </cfRule>
  </conditionalFormatting>
  <conditionalFormatting sqref="V39:W39">
    <cfRule type="cellIs" dxfId="1959" priority="2001" operator="equal">
      <formula>"C-Off-H"</formula>
    </cfRule>
    <cfRule type="cellIs" dxfId="1958" priority="2002" operator="equal">
      <formula>"C-Off"</formula>
    </cfRule>
    <cfRule type="cellIs" dxfId="1957" priority="2003" operator="equal">
      <formula>"CL-H"</formula>
    </cfRule>
    <cfRule type="cellIs" dxfId="1956" priority="2004" operator="equal">
      <formula>"EL-H"</formula>
    </cfRule>
    <cfRule type="cellIs" dxfId="1955" priority="2005" operator="equal">
      <formula>"CL"</formula>
    </cfRule>
    <cfRule type="cellIs" dxfId="1954" priority="2006" operator="equal">
      <formula>"EL"</formula>
    </cfRule>
  </conditionalFormatting>
  <conditionalFormatting sqref="V39:W39">
    <cfRule type="containsText" dxfId="1953" priority="1995" operator="containsText" text="S">
      <formula>NOT(ISERROR(SEARCH("S",V39)))</formula>
    </cfRule>
    <cfRule type="containsText" dxfId="1952" priority="1996" operator="containsText" text="P">
      <formula>NOT(ISERROR(SEARCH("P",V39)))</formula>
    </cfRule>
    <cfRule type="containsText" dxfId="1951" priority="1997" operator="containsText" text="H">
      <formula>NOT(ISERROR(SEARCH("H",V39)))</formula>
    </cfRule>
    <cfRule type="containsText" dxfId="1950" priority="1999" operator="containsText" text="&quot;H&quot;">
      <formula>NOT(ISERROR(SEARCH("""H""",V39)))</formula>
    </cfRule>
    <cfRule type="containsText" dxfId="1949" priority="2000" operator="containsText" text="&quot;A&quot;">
      <formula>NOT(ISERROR(SEARCH("""A""",V39)))</formula>
    </cfRule>
  </conditionalFormatting>
  <conditionalFormatting sqref="V39:W39">
    <cfRule type="containsText" dxfId="1948" priority="1998" operator="containsText" text="A-H">
      <formula>NOT(ISERROR(SEARCH("A-H",V39)))</formula>
    </cfRule>
  </conditionalFormatting>
  <conditionalFormatting sqref="P39:Q39">
    <cfRule type="cellIs" dxfId="1947" priority="2025" operator="equal">
      <formula>"C-Off-H"</formula>
    </cfRule>
    <cfRule type="cellIs" dxfId="1946" priority="2026" operator="equal">
      <formula>"C-Off"</formula>
    </cfRule>
    <cfRule type="cellIs" dxfId="1945" priority="2027" operator="equal">
      <formula>"CL-H"</formula>
    </cfRule>
    <cfRule type="cellIs" dxfId="1944" priority="2028" operator="equal">
      <formula>"EL-H"</formula>
    </cfRule>
    <cfRule type="cellIs" dxfId="1943" priority="2029" operator="equal">
      <formula>"CL"</formula>
    </cfRule>
    <cfRule type="cellIs" dxfId="1942" priority="2030" operator="equal">
      <formula>"EL"</formula>
    </cfRule>
  </conditionalFormatting>
  <conditionalFormatting sqref="P39:Q39">
    <cfRule type="containsText" dxfId="1941" priority="2019" operator="containsText" text="S">
      <formula>NOT(ISERROR(SEARCH("S",P39)))</formula>
    </cfRule>
    <cfRule type="containsText" dxfId="1940" priority="2020" operator="containsText" text="P">
      <formula>NOT(ISERROR(SEARCH("P",P39)))</formula>
    </cfRule>
    <cfRule type="containsText" dxfId="1939" priority="2021" operator="containsText" text="H">
      <formula>NOT(ISERROR(SEARCH("H",P39)))</formula>
    </cfRule>
    <cfRule type="containsText" dxfId="1938" priority="2023" operator="containsText" text="&quot;H&quot;">
      <formula>NOT(ISERROR(SEARCH("""H""",P39)))</formula>
    </cfRule>
    <cfRule type="containsText" dxfId="1937" priority="2024" operator="containsText" text="&quot;A&quot;">
      <formula>NOT(ISERROR(SEARCH("""A""",P39)))</formula>
    </cfRule>
  </conditionalFormatting>
  <conditionalFormatting sqref="P39:Q39">
    <cfRule type="containsText" dxfId="1936" priority="2022" operator="containsText" text="A-H">
      <formula>NOT(ISERROR(SEARCH("A-H",P39)))</formula>
    </cfRule>
  </conditionalFormatting>
  <conditionalFormatting sqref="S39:T39">
    <cfRule type="cellIs" dxfId="1935" priority="2013" operator="equal">
      <formula>"C-Off-H"</formula>
    </cfRule>
    <cfRule type="cellIs" dxfId="1934" priority="2014" operator="equal">
      <formula>"C-Off"</formula>
    </cfRule>
    <cfRule type="cellIs" dxfId="1933" priority="2015" operator="equal">
      <formula>"CL-H"</formula>
    </cfRule>
    <cfRule type="cellIs" dxfId="1932" priority="2016" operator="equal">
      <formula>"EL-H"</formula>
    </cfRule>
    <cfRule type="cellIs" dxfId="1931" priority="2017" operator="equal">
      <formula>"CL"</formula>
    </cfRule>
    <cfRule type="cellIs" dxfId="1930" priority="2018" operator="equal">
      <formula>"EL"</formula>
    </cfRule>
  </conditionalFormatting>
  <conditionalFormatting sqref="S39:T39">
    <cfRule type="containsText" dxfId="1929" priority="2007" operator="containsText" text="S">
      <formula>NOT(ISERROR(SEARCH("S",S39)))</formula>
    </cfRule>
    <cfRule type="containsText" dxfId="1928" priority="2008" operator="containsText" text="P">
      <formula>NOT(ISERROR(SEARCH("P",S39)))</formula>
    </cfRule>
    <cfRule type="containsText" dxfId="1927" priority="2009" operator="containsText" text="H">
      <formula>NOT(ISERROR(SEARCH("H",S39)))</formula>
    </cfRule>
    <cfRule type="containsText" dxfId="1926" priority="2011" operator="containsText" text="&quot;H&quot;">
      <formula>NOT(ISERROR(SEARCH("""H""",S39)))</formula>
    </cfRule>
    <cfRule type="containsText" dxfId="1925" priority="2012" operator="containsText" text="&quot;A&quot;">
      <formula>NOT(ISERROR(SEARCH("""A""",S39)))</formula>
    </cfRule>
  </conditionalFormatting>
  <conditionalFormatting sqref="S39:T39">
    <cfRule type="containsText" dxfId="1924" priority="2010" operator="containsText" text="A-H">
      <formula>NOT(ISERROR(SEARCH("A-H",S39)))</formula>
    </cfRule>
  </conditionalFormatting>
  <conditionalFormatting sqref="AB39:AC39">
    <cfRule type="cellIs" dxfId="1923" priority="1989" operator="equal">
      <formula>"C-Off-H"</formula>
    </cfRule>
    <cfRule type="cellIs" dxfId="1922" priority="1990" operator="equal">
      <formula>"C-Off"</formula>
    </cfRule>
    <cfRule type="cellIs" dxfId="1921" priority="1991" operator="equal">
      <formula>"CL-H"</formula>
    </cfRule>
    <cfRule type="cellIs" dxfId="1920" priority="1992" operator="equal">
      <formula>"EL-H"</formula>
    </cfRule>
    <cfRule type="cellIs" dxfId="1919" priority="1993" operator="equal">
      <formula>"CL"</formula>
    </cfRule>
    <cfRule type="cellIs" dxfId="1918" priority="1994" operator="equal">
      <formula>"EL"</formula>
    </cfRule>
  </conditionalFormatting>
  <conditionalFormatting sqref="AB39:AC39">
    <cfRule type="containsText" dxfId="1917" priority="1983" operator="containsText" text="S">
      <formula>NOT(ISERROR(SEARCH("S",AB39)))</formula>
    </cfRule>
    <cfRule type="containsText" dxfId="1916" priority="1984" operator="containsText" text="P">
      <formula>NOT(ISERROR(SEARCH("P",AB39)))</formula>
    </cfRule>
    <cfRule type="containsText" dxfId="1915" priority="1985" operator="containsText" text="H">
      <formula>NOT(ISERROR(SEARCH("H",AB39)))</formula>
    </cfRule>
    <cfRule type="containsText" dxfId="1914" priority="1987" operator="containsText" text="&quot;H&quot;">
      <formula>NOT(ISERROR(SEARCH("""H""",AB39)))</formula>
    </cfRule>
    <cfRule type="containsText" dxfId="1913" priority="1988" operator="containsText" text="&quot;A&quot;">
      <formula>NOT(ISERROR(SEARCH("""A""",AB39)))</formula>
    </cfRule>
  </conditionalFormatting>
  <conditionalFormatting sqref="AB39:AC39">
    <cfRule type="containsText" dxfId="1912" priority="1986" operator="containsText" text="A-H">
      <formula>NOT(ISERROR(SEARCH("A-H",AB39)))</formula>
    </cfRule>
  </conditionalFormatting>
  <conditionalFormatting sqref="AE39">
    <cfRule type="cellIs" dxfId="1911" priority="1977" operator="equal">
      <formula>"C-Off-H"</formula>
    </cfRule>
    <cfRule type="cellIs" dxfId="1910" priority="1978" operator="equal">
      <formula>"C-Off"</formula>
    </cfRule>
    <cfRule type="cellIs" dxfId="1909" priority="1979" operator="equal">
      <formula>"CL-H"</formula>
    </cfRule>
    <cfRule type="cellIs" dxfId="1908" priority="1980" operator="equal">
      <formula>"EL-H"</formula>
    </cfRule>
    <cfRule type="cellIs" dxfId="1907" priority="1981" operator="equal">
      <formula>"CL"</formula>
    </cfRule>
    <cfRule type="cellIs" dxfId="1906" priority="1982" operator="equal">
      <formula>"EL"</formula>
    </cfRule>
  </conditionalFormatting>
  <conditionalFormatting sqref="AE39">
    <cfRule type="containsText" dxfId="1905" priority="1971" operator="containsText" text="S">
      <formula>NOT(ISERROR(SEARCH("S",AE39)))</formula>
    </cfRule>
    <cfRule type="containsText" dxfId="1904" priority="1972" operator="containsText" text="P">
      <formula>NOT(ISERROR(SEARCH("P",AE39)))</formula>
    </cfRule>
    <cfRule type="containsText" dxfId="1903" priority="1973" operator="containsText" text="H">
      <formula>NOT(ISERROR(SEARCH("H",AE39)))</formula>
    </cfRule>
    <cfRule type="containsText" dxfId="1902" priority="1975" operator="containsText" text="&quot;H&quot;">
      <formula>NOT(ISERROR(SEARCH("""H""",AE39)))</formula>
    </cfRule>
    <cfRule type="containsText" dxfId="1901" priority="1976" operator="containsText" text="&quot;A&quot;">
      <formula>NOT(ISERROR(SEARCH("""A""",AE39)))</formula>
    </cfRule>
  </conditionalFormatting>
  <conditionalFormatting sqref="AE39">
    <cfRule type="containsText" dxfId="1900" priority="1974" operator="containsText" text="A-H">
      <formula>NOT(ISERROR(SEARCH("A-H",AE39)))</formula>
    </cfRule>
  </conditionalFormatting>
  <conditionalFormatting sqref="AK39:AL39">
    <cfRule type="cellIs" dxfId="1899" priority="1965" operator="equal">
      <formula>"C-Off-H"</formula>
    </cfRule>
    <cfRule type="cellIs" dxfId="1898" priority="1966" operator="equal">
      <formula>"C-Off"</formula>
    </cfRule>
    <cfRule type="cellIs" dxfId="1897" priority="1967" operator="equal">
      <formula>"CL-H"</formula>
    </cfRule>
    <cfRule type="cellIs" dxfId="1896" priority="1968" operator="equal">
      <formula>"EL-H"</formula>
    </cfRule>
    <cfRule type="cellIs" dxfId="1895" priority="1969" operator="equal">
      <formula>"CL"</formula>
    </cfRule>
    <cfRule type="cellIs" dxfId="1894" priority="1970" operator="equal">
      <formula>"EL"</formula>
    </cfRule>
  </conditionalFormatting>
  <conditionalFormatting sqref="AK39:AL39">
    <cfRule type="containsText" dxfId="1893" priority="1959" operator="containsText" text="S">
      <formula>NOT(ISERROR(SEARCH("S",AK39)))</formula>
    </cfRule>
    <cfRule type="containsText" dxfId="1892" priority="1960" operator="containsText" text="P">
      <formula>NOT(ISERROR(SEARCH("P",AK39)))</formula>
    </cfRule>
    <cfRule type="containsText" dxfId="1891" priority="1961" operator="containsText" text="H">
      <formula>NOT(ISERROR(SEARCH("H",AK39)))</formula>
    </cfRule>
    <cfRule type="containsText" dxfId="1890" priority="1963" operator="containsText" text="&quot;H&quot;">
      <formula>NOT(ISERROR(SEARCH("""H""",AK39)))</formula>
    </cfRule>
    <cfRule type="containsText" dxfId="1889" priority="1964" operator="containsText" text="&quot;A&quot;">
      <formula>NOT(ISERROR(SEARCH("""A""",AK39)))</formula>
    </cfRule>
  </conditionalFormatting>
  <conditionalFormatting sqref="AK39:AL39">
    <cfRule type="containsText" dxfId="1888" priority="1962" operator="containsText" text="A-H">
      <formula>NOT(ISERROR(SEARCH("A-H",AK39)))</formula>
    </cfRule>
  </conditionalFormatting>
  <conditionalFormatting sqref="AN39:AO39">
    <cfRule type="cellIs" dxfId="1887" priority="1953" operator="equal">
      <formula>"C-Off-H"</formula>
    </cfRule>
    <cfRule type="cellIs" dxfId="1886" priority="1954" operator="equal">
      <formula>"C-Off"</formula>
    </cfRule>
    <cfRule type="cellIs" dxfId="1885" priority="1955" operator="equal">
      <formula>"CL-H"</formula>
    </cfRule>
    <cfRule type="cellIs" dxfId="1884" priority="1956" operator="equal">
      <formula>"EL-H"</formula>
    </cfRule>
    <cfRule type="cellIs" dxfId="1883" priority="1957" operator="equal">
      <formula>"CL"</formula>
    </cfRule>
    <cfRule type="cellIs" dxfId="1882" priority="1958" operator="equal">
      <formula>"EL"</formula>
    </cfRule>
  </conditionalFormatting>
  <conditionalFormatting sqref="AN39:AO39">
    <cfRule type="containsText" dxfId="1881" priority="1947" operator="containsText" text="S">
      <formula>NOT(ISERROR(SEARCH("S",AN39)))</formula>
    </cfRule>
    <cfRule type="containsText" dxfId="1880" priority="1948" operator="containsText" text="P">
      <formula>NOT(ISERROR(SEARCH("P",AN39)))</formula>
    </cfRule>
    <cfRule type="containsText" dxfId="1879" priority="1949" operator="containsText" text="H">
      <formula>NOT(ISERROR(SEARCH("H",AN39)))</formula>
    </cfRule>
    <cfRule type="containsText" dxfId="1878" priority="1951" operator="containsText" text="&quot;H&quot;">
      <formula>NOT(ISERROR(SEARCH("""H""",AN39)))</formula>
    </cfRule>
    <cfRule type="containsText" dxfId="1877" priority="1952" operator="containsText" text="&quot;A&quot;">
      <formula>NOT(ISERROR(SEARCH("""A""",AN39)))</formula>
    </cfRule>
  </conditionalFormatting>
  <conditionalFormatting sqref="AN39:AO39">
    <cfRule type="containsText" dxfId="1876" priority="1950" operator="containsText" text="A-H">
      <formula>NOT(ISERROR(SEARCH("A-H",AN39)))</formula>
    </cfRule>
  </conditionalFormatting>
  <conditionalFormatting sqref="AQ39:AR39">
    <cfRule type="cellIs" dxfId="1875" priority="1941" operator="equal">
      <formula>"C-Off-H"</formula>
    </cfRule>
    <cfRule type="cellIs" dxfId="1874" priority="1942" operator="equal">
      <formula>"C-Off"</formula>
    </cfRule>
    <cfRule type="cellIs" dxfId="1873" priority="1943" operator="equal">
      <formula>"CL-H"</formula>
    </cfRule>
    <cfRule type="cellIs" dxfId="1872" priority="1944" operator="equal">
      <formula>"EL-H"</formula>
    </cfRule>
    <cfRule type="cellIs" dxfId="1871" priority="1945" operator="equal">
      <formula>"CL"</formula>
    </cfRule>
    <cfRule type="cellIs" dxfId="1870" priority="1946" operator="equal">
      <formula>"EL"</formula>
    </cfRule>
  </conditionalFormatting>
  <conditionalFormatting sqref="AQ39:AR39">
    <cfRule type="containsText" dxfId="1869" priority="1935" operator="containsText" text="S">
      <formula>NOT(ISERROR(SEARCH("S",AQ39)))</formula>
    </cfRule>
    <cfRule type="containsText" dxfId="1868" priority="1936" operator="containsText" text="P">
      <formula>NOT(ISERROR(SEARCH("P",AQ39)))</formula>
    </cfRule>
    <cfRule type="containsText" dxfId="1867" priority="1937" operator="containsText" text="H">
      <formula>NOT(ISERROR(SEARCH("H",AQ39)))</formula>
    </cfRule>
    <cfRule type="containsText" dxfId="1866" priority="1939" operator="containsText" text="&quot;H&quot;">
      <formula>NOT(ISERROR(SEARCH("""H""",AQ39)))</formula>
    </cfRule>
    <cfRule type="containsText" dxfId="1865" priority="1940" operator="containsText" text="&quot;A&quot;">
      <formula>NOT(ISERROR(SEARCH("""A""",AQ39)))</formula>
    </cfRule>
  </conditionalFormatting>
  <conditionalFormatting sqref="AQ39:AR39">
    <cfRule type="containsText" dxfId="1864" priority="1938" operator="containsText" text="A-H">
      <formula>NOT(ISERROR(SEARCH("A-H",AQ39)))</formula>
    </cfRule>
  </conditionalFormatting>
  <conditionalFormatting sqref="AW39:AX39">
    <cfRule type="cellIs" dxfId="1863" priority="1929" operator="equal">
      <formula>"C-Off-H"</formula>
    </cfRule>
    <cfRule type="cellIs" dxfId="1862" priority="1930" operator="equal">
      <formula>"C-Off"</formula>
    </cfRule>
    <cfRule type="cellIs" dxfId="1861" priority="1931" operator="equal">
      <formula>"CL-H"</formula>
    </cfRule>
    <cfRule type="cellIs" dxfId="1860" priority="1932" operator="equal">
      <formula>"EL-H"</formula>
    </cfRule>
    <cfRule type="cellIs" dxfId="1859" priority="1933" operator="equal">
      <formula>"CL"</formula>
    </cfRule>
    <cfRule type="cellIs" dxfId="1858" priority="1934" operator="equal">
      <formula>"EL"</formula>
    </cfRule>
  </conditionalFormatting>
  <conditionalFormatting sqref="AW39:AX39">
    <cfRule type="containsText" dxfId="1857" priority="1923" operator="containsText" text="S">
      <formula>NOT(ISERROR(SEARCH("S",AW39)))</formula>
    </cfRule>
    <cfRule type="containsText" dxfId="1856" priority="1924" operator="containsText" text="P">
      <formula>NOT(ISERROR(SEARCH("P",AW39)))</formula>
    </cfRule>
    <cfRule type="containsText" dxfId="1855" priority="1925" operator="containsText" text="H">
      <formula>NOT(ISERROR(SEARCH("H",AW39)))</formula>
    </cfRule>
    <cfRule type="containsText" dxfId="1854" priority="1927" operator="containsText" text="&quot;H&quot;">
      <formula>NOT(ISERROR(SEARCH("""H""",AW39)))</formula>
    </cfRule>
    <cfRule type="containsText" dxfId="1853" priority="1928" operator="containsText" text="&quot;A&quot;">
      <formula>NOT(ISERROR(SEARCH("""A""",AW39)))</formula>
    </cfRule>
  </conditionalFormatting>
  <conditionalFormatting sqref="AW39:AX39">
    <cfRule type="containsText" dxfId="1852" priority="1926" operator="containsText" text="A-H">
      <formula>NOT(ISERROR(SEARCH("A-H",AW39)))</formula>
    </cfRule>
  </conditionalFormatting>
  <conditionalFormatting sqref="AZ39:BA39">
    <cfRule type="cellIs" dxfId="1851" priority="1917" operator="equal">
      <formula>"C-Off-H"</formula>
    </cfRule>
    <cfRule type="cellIs" dxfId="1850" priority="1918" operator="equal">
      <formula>"C-Off"</formula>
    </cfRule>
    <cfRule type="cellIs" dxfId="1849" priority="1919" operator="equal">
      <formula>"CL-H"</formula>
    </cfRule>
    <cfRule type="cellIs" dxfId="1848" priority="1920" operator="equal">
      <formula>"EL-H"</formula>
    </cfRule>
    <cfRule type="cellIs" dxfId="1847" priority="1921" operator="equal">
      <formula>"CL"</formula>
    </cfRule>
    <cfRule type="cellIs" dxfId="1846" priority="1922" operator="equal">
      <formula>"EL"</formula>
    </cfRule>
  </conditionalFormatting>
  <conditionalFormatting sqref="AZ39:BA39">
    <cfRule type="containsText" dxfId="1845" priority="1911" operator="containsText" text="S">
      <formula>NOT(ISERROR(SEARCH("S",AZ39)))</formula>
    </cfRule>
    <cfRule type="containsText" dxfId="1844" priority="1912" operator="containsText" text="P">
      <formula>NOT(ISERROR(SEARCH("P",AZ39)))</formula>
    </cfRule>
    <cfRule type="containsText" dxfId="1843" priority="1913" operator="containsText" text="H">
      <formula>NOT(ISERROR(SEARCH("H",AZ39)))</formula>
    </cfRule>
    <cfRule type="containsText" dxfId="1842" priority="1915" operator="containsText" text="&quot;H&quot;">
      <formula>NOT(ISERROR(SEARCH("""H""",AZ39)))</formula>
    </cfRule>
    <cfRule type="containsText" dxfId="1841" priority="1916" operator="containsText" text="&quot;A&quot;">
      <formula>NOT(ISERROR(SEARCH("""A""",AZ39)))</formula>
    </cfRule>
  </conditionalFormatting>
  <conditionalFormatting sqref="AZ39:BA39">
    <cfRule type="containsText" dxfId="1840" priority="1914" operator="containsText" text="A-H">
      <formula>NOT(ISERROR(SEARCH("A-H",AZ39)))</formula>
    </cfRule>
  </conditionalFormatting>
  <conditionalFormatting sqref="BC39:BD39">
    <cfRule type="cellIs" dxfId="1839" priority="1905" operator="equal">
      <formula>"C-Off-H"</formula>
    </cfRule>
    <cfRule type="cellIs" dxfId="1838" priority="1906" operator="equal">
      <formula>"C-Off"</formula>
    </cfRule>
    <cfRule type="cellIs" dxfId="1837" priority="1907" operator="equal">
      <formula>"CL-H"</formula>
    </cfRule>
    <cfRule type="cellIs" dxfId="1836" priority="1908" operator="equal">
      <formula>"EL-H"</formula>
    </cfRule>
    <cfRule type="cellIs" dxfId="1835" priority="1909" operator="equal">
      <formula>"CL"</formula>
    </cfRule>
    <cfRule type="cellIs" dxfId="1834" priority="1910" operator="equal">
      <formula>"EL"</formula>
    </cfRule>
  </conditionalFormatting>
  <conditionalFormatting sqref="BC39:BD39">
    <cfRule type="containsText" dxfId="1833" priority="1899" operator="containsText" text="S">
      <formula>NOT(ISERROR(SEARCH("S",BC39)))</formula>
    </cfRule>
    <cfRule type="containsText" dxfId="1832" priority="1900" operator="containsText" text="P">
      <formula>NOT(ISERROR(SEARCH("P",BC39)))</formula>
    </cfRule>
    <cfRule type="containsText" dxfId="1831" priority="1901" operator="containsText" text="H">
      <formula>NOT(ISERROR(SEARCH("H",BC39)))</formula>
    </cfRule>
    <cfRule type="containsText" dxfId="1830" priority="1903" operator="containsText" text="&quot;H&quot;">
      <formula>NOT(ISERROR(SEARCH("""H""",BC39)))</formula>
    </cfRule>
    <cfRule type="containsText" dxfId="1829" priority="1904" operator="containsText" text="&quot;A&quot;">
      <formula>NOT(ISERROR(SEARCH("""A""",BC39)))</formula>
    </cfRule>
  </conditionalFormatting>
  <conditionalFormatting sqref="BC39:BD39">
    <cfRule type="containsText" dxfId="1828" priority="1902" operator="containsText" text="A-H">
      <formula>NOT(ISERROR(SEARCH("A-H",BC39)))</formula>
    </cfRule>
  </conditionalFormatting>
  <conditionalFormatting sqref="BF39:BG39">
    <cfRule type="cellIs" dxfId="1827" priority="1893" operator="equal">
      <formula>"C-Off-H"</formula>
    </cfRule>
    <cfRule type="cellIs" dxfId="1826" priority="1894" operator="equal">
      <formula>"C-Off"</formula>
    </cfRule>
    <cfRule type="cellIs" dxfId="1825" priority="1895" operator="equal">
      <formula>"CL-H"</formula>
    </cfRule>
    <cfRule type="cellIs" dxfId="1824" priority="1896" operator="equal">
      <formula>"EL-H"</formula>
    </cfRule>
    <cfRule type="cellIs" dxfId="1823" priority="1897" operator="equal">
      <formula>"CL"</formula>
    </cfRule>
    <cfRule type="cellIs" dxfId="1822" priority="1898" operator="equal">
      <formula>"EL"</formula>
    </cfRule>
  </conditionalFormatting>
  <conditionalFormatting sqref="BF39:BG39">
    <cfRule type="containsText" dxfId="1821" priority="1887" operator="containsText" text="S">
      <formula>NOT(ISERROR(SEARCH("S",BF39)))</formula>
    </cfRule>
    <cfRule type="containsText" dxfId="1820" priority="1888" operator="containsText" text="P">
      <formula>NOT(ISERROR(SEARCH("P",BF39)))</formula>
    </cfRule>
    <cfRule type="containsText" dxfId="1819" priority="1889" operator="containsText" text="H">
      <formula>NOT(ISERROR(SEARCH("H",BF39)))</formula>
    </cfRule>
    <cfRule type="containsText" dxfId="1818" priority="1891" operator="containsText" text="&quot;H&quot;">
      <formula>NOT(ISERROR(SEARCH("""H""",BF39)))</formula>
    </cfRule>
    <cfRule type="containsText" dxfId="1817" priority="1892" operator="containsText" text="&quot;A&quot;">
      <formula>NOT(ISERROR(SEARCH("""A""",BF39)))</formula>
    </cfRule>
  </conditionalFormatting>
  <conditionalFormatting sqref="BF39:BG39">
    <cfRule type="containsText" dxfId="1816" priority="1890" operator="containsText" text="A-H">
      <formula>NOT(ISERROR(SEARCH("A-H",BF39)))</formula>
    </cfRule>
  </conditionalFormatting>
  <conditionalFormatting sqref="BI39:BJ39">
    <cfRule type="cellIs" dxfId="1815" priority="1881" operator="equal">
      <formula>"C-Off-H"</formula>
    </cfRule>
    <cfRule type="cellIs" dxfId="1814" priority="1882" operator="equal">
      <formula>"C-Off"</formula>
    </cfRule>
    <cfRule type="cellIs" dxfId="1813" priority="1883" operator="equal">
      <formula>"CL-H"</formula>
    </cfRule>
    <cfRule type="cellIs" dxfId="1812" priority="1884" operator="equal">
      <formula>"EL-H"</formula>
    </cfRule>
    <cfRule type="cellIs" dxfId="1811" priority="1885" operator="equal">
      <formula>"CL"</formula>
    </cfRule>
    <cfRule type="cellIs" dxfId="1810" priority="1886" operator="equal">
      <formula>"EL"</formula>
    </cfRule>
  </conditionalFormatting>
  <conditionalFormatting sqref="BI39:BJ39">
    <cfRule type="containsText" dxfId="1809" priority="1875" operator="containsText" text="S">
      <formula>NOT(ISERROR(SEARCH("S",BI39)))</formula>
    </cfRule>
    <cfRule type="containsText" dxfId="1808" priority="1876" operator="containsText" text="P">
      <formula>NOT(ISERROR(SEARCH("P",BI39)))</formula>
    </cfRule>
    <cfRule type="containsText" dxfId="1807" priority="1877" operator="containsText" text="H">
      <formula>NOT(ISERROR(SEARCH("H",BI39)))</formula>
    </cfRule>
    <cfRule type="containsText" dxfId="1806" priority="1879" operator="containsText" text="&quot;H&quot;">
      <formula>NOT(ISERROR(SEARCH("""H""",BI39)))</formula>
    </cfRule>
    <cfRule type="containsText" dxfId="1805" priority="1880" operator="containsText" text="&quot;A&quot;">
      <formula>NOT(ISERROR(SEARCH("""A""",BI39)))</formula>
    </cfRule>
  </conditionalFormatting>
  <conditionalFormatting sqref="BI39:BJ39">
    <cfRule type="containsText" dxfId="1804" priority="1878" operator="containsText" text="A-H">
      <formula>NOT(ISERROR(SEARCH("A-H",BI39)))</formula>
    </cfRule>
  </conditionalFormatting>
  <conditionalFormatting sqref="BL39:BM39">
    <cfRule type="cellIs" dxfId="1803" priority="1869" operator="equal">
      <formula>"C-Off-H"</formula>
    </cfRule>
    <cfRule type="cellIs" dxfId="1802" priority="1870" operator="equal">
      <formula>"C-Off"</formula>
    </cfRule>
    <cfRule type="cellIs" dxfId="1801" priority="1871" operator="equal">
      <formula>"CL-H"</formula>
    </cfRule>
    <cfRule type="cellIs" dxfId="1800" priority="1872" operator="equal">
      <formula>"EL-H"</formula>
    </cfRule>
    <cfRule type="cellIs" dxfId="1799" priority="1873" operator="equal">
      <formula>"CL"</formula>
    </cfRule>
    <cfRule type="cellIs" dxfId="1798" priority="1874" operator="equal">
      <formula>"EL"</formula>
    </cfRule>
  </conditionalFormatting>
  <conditionalFormatting sqref="BL39:BM39">
    <cfRule type="containsText" dxfId="1797" priority="1863" operator="containsText" text="S">
      <formula>NOT(ISERROR(SEARCH("S",BL39)))</formula>
    </cfRule>
    <cfRule type="containsText" dxfId="1796" priority="1864" operator="containsText" text="P">
      <formula>NOT(ISERROR(SEARCH("P",BL39)))</formula>
    </cfRule>
    <cfRule type="containsText" dxfId="1795" priority="1865" operator="containsText" text="H">
      <formula>NOT(ISERROR(SEARCH("H",BL39)))</formula>
    </cfRule>
    <cfRule type="containsText" dxfId="1794" priority="1867" operator="containsText" text="&quot;H&quot;">
      <formula>NOT(ISERROR(SEARCH("""H""",BL39)))</formula>
    </cfRule>
    <cfRule type="containsText" dxfId="1793" priority="1868" operator="containsText" text="&quot;A&quot;">
      <formula>NOT(ISERROR(SEARCH("""A""",BL39)))</formula>
    </cfRule>
  </conditionalFormatting>
  <conditionalFormatting sqref="BL39:BM39">
    <cfRule type="containsText" dxfId="1792" priority="1866" operator="containsText" text="A-H">
      <formula>NOT(ISERROR(SEARCH("A-H",BL39)))</formula>
    </cfRule>
  </conditionalFormatting>
  <conditionalFormatting sqref="BR39:BS39">
    <cfRule type="cellIs" dxfId="1791" priority="1857" operator="equal">
      <formula>"C-Off-H"</formula>
    </cfRule>
    <cfRule type="cellIs" dxfId="1790" priority="1858" operator="equal">
      <formula>"C-Off"</formula>
    </cfRule>
    <cfRule type="cellIs" dxfId="1789" priority="1859" operator="equal">
      <formula>"CL-H"</formula>
    </cfRule>
    <cfRule type="cellIs" dxfId="1788" priority="1860" operator="equal">
      <formula>"EL-H"</formula>
    </cfRule>
    <cfRule type="cellIs" dxfId="1787" priority="1861" operator="equal">
      <formula>"CL"</formula>
    </cfRule>
    <cfRule type="cellIs" dxfId="1786" priority="1862" operator="equal">
      <formula>"EL"</formula>
    </cfRule>
  </conditionalFormatting>
  <conditionalFormatting sqref="BR39:BS39">
    <cfRule type="containsText" dxfId="1785" priority="1851" operator="containsText" text="S">
      <formula>NOT(ISERROR(SEARCH("S",BR39)))</formula>
    </cfRule>
    <cfRule type="containsText" dxfId="1784" priority="1852" operator="containsText" text="P">
      <formula>NOT(ISERROR(SEARCH("P",BR39)))</formula>
    </cfRule>
    <cfRule type="containsText" dxfId="1783" priority="1853" operator="containsText" text="H">
      <formula>NOT(ISERROR(SEARCH("H",BR39)))</formula>
    </cfRule>
    <cfRule type="containsText" dxfId="1782" priority="1855" operator="containsText" text="&quot;H&quot;">
      <formula>NOT(ISERROR(SEARCH("""H""",BR39)))</formula>
    </cfRule>
    <cfRule type="containsText" dxfId="1781" priority="1856" operator="containsText" text="&quot;A&quot;">
      <formula>NOT(ISERROR(SEARCH("""A""",BR39)))</formula>
    </cfRule>
  </conditionalFormatting>
  <conditionalFormatting sqref="BR39:BS39">
    <cfRule type="containsText" dxfId="1780" priority="1854" operator="containsText" text="A-H">
      <formula>NOT(ISERROR(SEARCH("A-H",BR39)))</formula>
    </cfRule>
  </conditionalFormatting>
  <conditionalFormatting sqref="BU39:BV39">
    <cfRule type="cellIs" dxfId="1779" priority="1845" operator="equal">
      <formula>"C-Off-H"</formula>
    </cfRule>
    <cfRule type="cellIs" dxfId="1778" priority="1846" operator="equal">
      <formula>"C-Off"</formula>
    </cfRule>
    <cfRule type="cellIs" dxfId="1777" priority="1847" operator="equal">
      <formula>"CL-H"</formula>
    </cfRule>
    <cfRule type="cellIs" dxfId="1776" priority="1848" operator="equal">
      <formula>"EL-H"</formula>
    </cfRule>
    <cfRule type="cellIs" dxfId="1775" priority="1849" operator="equal">
      <formula>"CL"</formula>
    </cfRule>
    <cfRule type="cellIs" dxfId="1774" priority="1850" operator="equal">
      <formula>"EL"</formula>
    </cfRule>
  </conditionalFormatting>
  <conditionalFormatting sqref="BU39:BV39">
    <cfRule type="containsText" dxfId="1773" priority="1839" operator="containsText" text="S">
      <formula>NOT(ISERROR(SEARCH("S",BU39)))</formula>
    </cfRule>
    <cfRule type="containsText" dxfId="1772" priority="1840" operator="containsText" text="P">
      <formula>NOT(ISERROR(SEARCH("P",BU39)))</formula>
    </cfRule>
    <cfRule type="containsText" dxfId="1771" priority="1841" operator="containsText" text="H">
      <formula>NOT(ISERROR(SEARCH("H",BU39)))</formula>
    </cfRule>
    <cfRule type="containsText" dxfId="1770" priority="1843" operator="containsText" text="&quot;H&quot;">
      <formula>NOT(ISERROR(SEARCH("""H""",BU39)))</formula>
    </cfRule>
    <cfRule type="containsText" dxfId="1769" priority="1844" operator="containsText" text="&quot;A&quot;">
      <formula>NOT(ISERROR(SEARCH("""A""",BU39)))</formula>
    </cfRule>
  </conditionalFormatting>
  <conditionalFormatting sqref="BU39:BV39">
    <cfRule type="containsText" dxfId="1768" priority="1842" operator="containsText" text="A-H">
      <formula>NOT(ISERROR(SEARCH("A-H",BU39)))</formula>
    </cfRule>
  </conditionalFormatting>
  <conditionalFormatting sqref="BY39">
    <cfRule type="cellIs" dxfId="1767" priority="1833" operator="equal">
      <formula>"C-Off-H"</formula>
    </cfRule>
    <cfRule type="cellIs" dxfId="1766" priority="1834" operator="equal">
      <formula>"C-Off"</formula>
    </cfRule>
    <cfRule type="cellIs" dxfId="1765" priority="1835" operator="equal">
      <formula>"CL-H"</formula>
    </cfRule>
    <cfRule type="cellIs" dxfId="1764" priority="1836" operator="equal">
      <formula>"EL-H"</formula>
    </cfRule>
    <cfRule type="cellIs" dxfId="1763" priority="1837" operator="equal">
      <formula>"CL"</formula>
    </cfRule>
    <cfRule type="cellIs" dxfId="1762" priority="1838" operator="equal">
      <formula>"EL"</formula>
    </cfRule>
  </conditionalFormatting>
  <conditionalFormatting sqref="BY39">
    <cfRule type="containsText" dxfId="1761" priority="1827" operator="containsText" text="S">
      <formula>NOT(ISERROR(SEARCH("S",BY39)))</formula>
    </cfRule>
    <cfRule type="containsText" dxfId="1760" priority="1828" operator="containsText" text="P">
      <formula>NOT(ISERROR(SEARCH("P",BY39)))</formula>
    </cfRule>
    <cfRule type="containsText" dxfId="1759" priority="1829" operator="containsText" text="H">
      <formula>NOT(ISERROR(SEARCH("H",BY39)))</formula>
    </cfRule>
    <cfRule type="containsText" dxfId="1758" priority="1831" operator="containsText" text="&quot;H&quot;">
      <formula>NOT(ISERROR(SEARCH("""H""",BY39)))</formula>
    </cfRule>
    <cfRule type="containsText" dxfId="1757" priority="1832" operator="containsText" text="&quot;A&quot;">
      <formula>NOT(ISERROR(SEARCH("""A""",BY39)))</formula>
    </cfRule>
  </conditionalFormatting>
  <conditionalFormatting sqref="BY39">
    <cfRule type="containsText" dxfId="1756" priority="1830" operator="containsText" text="A-H">
      <formula>NOT(ISERROR(SEARCH("A-H",BY39)))</formula>
    </cfRule>
  </conditionalFormatting>
  <conditionalFormatting sqref="BX39">
    <cfRule type="cellIs" dxfId="1755" priority="1821" operator="equal">
      <formula>"C-Off-H"</formula>
    </cfRule>
    <cfRule type="cellIs" dxfId="1754" priority="1822" operator="equal">
      <formula>"C-Off"</formula>
    </cfRule>
    <cfRule type="cellIs" dxfId="1753" priority="1823" operator="equal">
      <formula>"CL-H"</formula>
    </cfRule>
    <cfRule type="cellIs" dxfId="1752" priority="1824" operator="equal">
      <formula>"EL-H"</formula>
    </cfRule>
    <cfRule type="cellIs" dxfId="1751" priority="1825" operator="equal">
      <formula>"CL"</formula>
    </cfRule>
    <cfRule type="cellIs" dxfId="1750" priority="1826" operator="equal">
      <formula>"EL"</formula>
    </cfRule>
  </conditionalFormatting>
  <conditionalFormatting sqref="BX39">
    <cfRule type="containsText" dxfId="1749" priority="1815" operator="containsText" text="S">
      <formula>NOT(ISERROR(SEARCH("S",BX39)))</formula>
    </cfRule>
    <cfRule type="containsText" dxfId="1748" priority="1816" operator="containsText" text="P">
      <formula>NOT(ISERROR(SEARCH("P",BX39)))</formula>
    </cfRule>
    <cfRule type="containsText" dxfId="1747" priority="1817" operator="containsText" text="H">
      <formula>NOT(ISERROR(SEARCH("H",BX39)))</formula>
    </cfRule>
    <cfRule type="containsText" dxfId="1746" priority="1819" operator="containsText" text="&quot;H&quot;">
      <formula>NOT(ISERROR(SEARCH("""H""",BX39)))</formula>
    </cfRule>
    <cfRule type="containsText" dxfId="1745" priority="1820" operator="containsText" text="&quot;A&quot;">
      <formula>NOT(ISERROR(SEARCH("""A""",BX39)))</formula>
    </cfRule>
  </conditionalFormatting>
  <conditionalFormatting sqref="BX39">
    <cfRule type="containsText" dxfId="1744" priority="1818" operator="containsText" text="A-H">
      <formula>NOT(ISERROR(SEARCH("A-H",BX39)))</formula>
    </cfRule>
  </conditionalFormatting>
  <conditionalFormatting sqref="CN39">
    <cfRule type="cellIs" dxfId="1743" priority="1809" operator="equal">
      <formula>"C-Off-H"</formula>
    </cfRule>
    <cfRule type="cellIs" dxfId="1742" priority="1810" operator="equal">
      <formula>"C-Off"</formula>
    </cfRule>
    <cfRule type="cellIs" dxfId="1741" priority="1811" operator="equal">
      <formula>"CL-H"</formula>
    </cfRule>
    <cfRule type="cellIs" dxfId="1740" priority="1812" operator="equal">
      <formula>"EL-H"</formula>
    </cfRule>
    <cfRule type="cellIs" dxfId="1739" priority="1813" operator="equal">
      <formula>"CL"</formula>
    </cfRule>
    <cfRule type="cellIs" dxfId="1738" priority="1814" operator="equal">
      <formula>"EL"</formula>
    </cfRule>
  </conditionalFormatting>
  <conditionalFormatting sqref="CN39">
    <cfRule type="containsText" dxfId="1737" priority="1808" operator="containsText" text="A-H">
      <formula>NOT(ISERROR(SEARCH("A-H",CN39)))</formula>
    </cfRule>
  </conditionalFormatting>
  <conditionalFormatting sqref="CN39">
    <cfRule type="containsText" dxfId="1736" priority="1807" operator="containsText" text="A">
      <formula>NOT(ISERROR(SEARCH("A",CN39)))</formula>
    </cfRule>
  </conditionalFormatting>
  <conditionalFormatting sqref="CN39">
    <cfRule type="containsText" dxfId="1735" priority="1802" operator="containsText" text="S">
      <formula>NOT(ISERROR(SEARCH("S",CN39)))</formula>
    </cfRule>
    <cfRule type="containsText" dxfId="1734" priority="1803" operator="containsText" text="P">
      <formula>NOT(ISERROR(SEARCH("P",CN39)))</formula>
    </cfRule>
    <cfRule type="containsText" dxfId="1733" priority="1804" operator="containsText" text="H">
      <formula>NOT(ISERROR(SEARCH("H",CN39)))</formula>
    </cfRule>
    <cfRule type="containsText" dxfId="1732" priority="1805" operator="containsText" text="&quot;H&quot;">
      <formula>NOT(ISERROR(SEARCH("""H""",CN39)))</formula>
    </cfRule>
    <cfRule type="containsText" dxfId="1731" priority="1806" operator="containsText" text="&quot;A&quot;">
      <formula>NOT(ISERROR(SEARCH("""A""",CN39)))</formula>
    </cfRule>
  </conditionalFormatting>
  <conditionalFormatting sqref="CA39:CB39">
    <cfRule type="cellIs" dxfId="1730" priority="1796" operator="equal">
      <formula>"C-Off-H"</formula>
    </cfRule>
    <cfRule type="cellIs" dxfId="1729" priority="1797" operator="equal">
      <formula>"C-Off"</formula>
    </cfRule>
    <cfRule type="cellIs" dxfId="1728" priority="1798" operator="equal">
      <formula>"CL-H"</formula>
    </cfRule>
    <cfRule type="cellIs" dxfId="1727" priority="1799" operator="equal">
      <formula>"EL-H"</formula>
    </cfRule>
    <cfRule type="cellIs" dxfId="1726" priority="1800" operator="equal">
      <formula>"CL"</formula>
    </cfRule>
    <cfRule type="cellIs" dxfId="1725" priority="1801" operator="equal">
      <formula>"EL"</formula>
    </cfRule>
  </conditionalFormatting>
  <conditionalFormatting sqref="CA39:CB39">
    <cfRule type="containsText" dxfId="1724" priority="1790" operator="containsText" text="S">
      <formula>NOT(ISERROR(SEARCH("S",CA39)))</formula>
    </cfRule>
    <cfRule type="containsText" dxfId="1723" priority="1791" operator="containsText" text="P">
      <formula>NOT(ISERROR(SEARCH("P",CA39)))</formula>
    </cfRule>
    <cfRule type="containsText" dxfId="1722" priority="1792" operator="containsText" text="H">
      <formula>NOT(ISERROR(SEARCH("H",CA39)))</formula>
    </cfRule>
    <cfRule type="containsText" dxfId="1721" priority="1794" operator="containsText" text="&quot;H&quot;">
      <formula>NOT(ISERROR(SEARCH("""H""",CA39)))</formula>
    </cfRule>
    <cfRule type="containsText" dxfId="1720" priority="1795" operator="containsText" text="&quot;A&quot;">
      <formula>NOT(ISERROR(SEARCH("""A""",CA39)))</formula>
    </cfRule>
  </conditionalFormatting>
  <conditionalFormatting sqref="CA39:CB39">
    <cfRule type="containsText" dxfId="1719" priority="1793" operator="containsText" text="A-H">
      <formula>NOT(ISERROR(SEARCH("A-H",CA39)))</formula>
    </cfRule>
  </conditionalFormatting>
  <conditionalFormatting sqref="CD39:CE39">
    <cfRule type="cellIs" dxfId="1718" priority="1784" operator="equal">
      <formula>"C-Off-H"</formula>
    </cfRule>
    <cfRule type="cellIs" dxfId="1717" priority="1785" operator="equal">
      <formula>"C-Off"</formula>
    </cfRule>
    <cfRule type="cellIs" dxfId="1716" priority="1786" operator="equal">
      <formula>"CL-H"</formula>
    </cfRule>
    <cfRule type="cellIs" dxfId="1715" priority="1787" operator="equal">
      <formula>"EL-H"</formula>
    </cfRule>
    <cfRule type="cellIs" dxfId="1714" priority="1788" operator="equal">
      <formula>"CL"</formula>
    </cfRule>
    <cfRule type="cellIs" dxfId="1713" priority="1789" operator="equal">
      <formula>"EL"</formula>
    </cfRule>
  </conditionalFormatting>
  <conditionalFormatting sqref="CD39:CE39">
    <cfRule type="containsText" dxfId="1712" priority="1778" operator="containsText" text="S">
      <formula>NOT(ISERROR(SEARCH("S",CD39)))</formula>
    </cfRule>
    <cfRule type="containsText" dxfId="1711" priority="1779" operator="containsText" text="P">
      <formula>NOT(ISERROR(SEARCH("P",CD39)))</formula>
    </cfRule>
    <cfRule type="containsText" dxfId="1710" priority="1780" operator="containsText" text="H">
      <formula>NOT(ISERROR(SEARCH("H",CD39)))</formula>
    </cfRule>
    <cfRule type="containsText" dxfId="1709" priority="1782" operator="containsText" text="&quot;H&quot;">
      <formula>NOT(ISERROR(SEARCH("""H""",CD39)))</formula>
    </cfRule>
    <cfRule type="containsText" dxfId="1708" priority="1783" operator="containsText" text="&quot;A&quot;">
      <formula>NOT(ISERROR(SEARCH("""A""",CD39)))</formula>
    </cfRule>
  </conditionalFormatting>
  <conditionalFormatting sqref="CD39:CE39">
    <cfRule type="containsText" dxfId="1707" priority="1781" operator="containsText" text="A-H">
      <formula>NOT(ISERROR(SEARCH("A-H",CD39)))</formula>
    </cfRule>
  </conditionalFormatting>
  <conditionalFormatting sqref="CH39">
    <cfRule type="cellIs" dxfId="1706" priority="1772" operator="equal">
      <formula>"C-Off-H"</formula>
    </cfRule>
    <cfRule type="cellIs" dxfId="1705" priority="1773" operator="equal">
      <formula>"C-Off"</formula>
    </cfRule>
    <cfRule type="cellIs" dxfId="1704" priority="1774" operator="equal">
      <formula>"CL-H"</formula>
    </cfRule>
    <cfRule type="cellIs" dxfId="1703" priority="1775" operator="equal">
      <formula>"EL-H"</formula>
    </cfRule>
    <cfRule type="cellIs" dxfId="1702" priority="1776" operator="equal">
      <formula>"CL"</formula>
    </cfRule>
    <cfRule type="cellIs" dxfId="1701" priority="1777" operator="equal">
      <formula>"EL"</formula>
    </cfRule>
  </conditionalFormatting>
  <conditionalFormatting sqref="CH39">
    <cfRule type="containsText" dxfId="1700" priority="1766" operator="containsText" text="S">
      <formula>NOT(ISERROR(SEARCH("S",CH39)))</formula>
    </cfRule>
    <cfRule type="containsText" dxfId="1699" priority="1767" operator="containsText" text="P">
      <formula>NOT(ISERROR(SEARCH("P",CH39)))</formula>
    </cfRule>
    <cfRule type="containsText" dxfId="1698" priority="1768" operator="containsText" text="H">
      <formula>NOT(ISERROR(SEARCH("H",CH39)))</formula>
    </cfRule>
    <cfRule type="containsText" dxfId="1697" priority="1770" operator="containsText" text="&quot;H&quot;">
      <formula>NOT(ISERROR(SEARCH("""H""",CH39)))</formula>
    </cfRule>
    <cfRule type="containsText" dxfId="1696" priority="1771" operator="containsText" text="&quot;A&quot;">
      <formula>NOT(ISERROR(SEARCH("""A""",CH39)))</formula>
    </cfRule>
  </conditionalFormatting>
  <conditionalFormatting sqref="CH39">
    <cfRule type="containsText" dxfId="1695" priority="1769" operator="containsText" text="A-H">
      <formula>NOT(ISERROR(SEARCH("A-H",CH39)))</formula>
    </cfRule>
  </conditionalFormatting>
  <conditionalFormatting sqref="CG39">
    <cfRule type="cellIs" dxfId="1694" priority="1760" operator="equal">
      <formula>"C-Off-H"</formula>
    </cfRule>
    <cfRule type="cellIs" dxfId="1693" priority="1761" operator="equal">
      <formula>"C-Off"</formula>
    </cfRule>
    <cfRule type="cellIs" dxfId="1692" priority="1762" operator="equal">
      <formula>"CL-H"</formula>
    </cfRule>
    <cfRule type="cellIs" dxfId="1691" priority="1763" operator="equal">
      <formula>"EL-H"</formula>
    </cfRule>
    <cfRule type="cellIs" dxfId="1690" priority="1764" operator="equal">
      <formula>"CL"</formula>
    </cfRule>
    <cfRule type="cellIs" dxfId="1689" priority="1765" operator="equal">
      <formula>"EL"</formula>
    </cfRule>
  </conditionalFormatting>
  <conditionalFormatting sqref="CG39">
    <cfRule type="containsText" dxfId="1688" priority="1754" operator="containsText" text="S">
      <formula>NOT(ISERROR(SEARCH("S",CG39)))</formula>
    </cfRule>
    <cfRule type="containsText" dxfId="1687" priority="1755" operator="containsText" text="P">
      <formula>NOT(ISERROR(SEARCH("P",CG39)))</formula>
    </cfRule>
    <cfRule type="containsText" dxfId="1686" priority="1756" operator="containsText" text="H">
      <formula>NOT(ISERROR(SEARCH("H",CG39)))</formula>
    </cfRule>
    <cfRule type="containsText" dxfId="1685" priority="1758" operator="containsText" text="&quot;H&quot;">
      <formula>NOT(ISERROR(SEARCH("""H""",CG39)))</formula>
    </cfRule>
    <cfRule type="containsText" dxfId="1684" priority="1759" operator="containsText" text="&quot;A&quot;">
      <formula>NOT(ISERROR(SEARCH("""A""",CG39)))</formula>
    </cfRule>
  </conditionalFormatting>
  <conditionalFormatting sqref="CG39">
    <cfRule type="containsText" dxfId="1683" priority="1757" operator="containsText" text="A-H">
      <formula>NOT(ISERROR(SEARCH("A-H",CG39)))</formula>
    </cfRule>
  </conditionalFormatting>
  <conditionalFormatting sqref="H39">
    <cfRule type="cellIs" dxfId="1682" priority="1717" operator="equal">
      <formula>"C-Off-H"</formula>
    </cfRule>
    <cfRule type="cellIs" dxfId="1681" priority="1718" operator="equal">
      <formula>"C-Off"</formula>
    </cfRule>
    <cfRule type="cellIs" dxfId="1680" priority="1719" operator="equal">
      <formula>"CL-H"</formula>
    </cfRule>
    <cfRule type="cellIs" dxfId="1679" priority="1720" operator="equal">
      <formula>"EL-H"</formula>
    </cfRule>
    <cfRule type="cellIs" dxfId="1678" priority="1721" operator="equal">
      <formula>"CL"</formula>
    </cfRule>
    <cfRule type="cellIs" dxfId="1677" priority="1722" operator="equal">
      <formula>"EL"</formula>
    </cfRule>
  </conditionalFormatting>
  <conditionalFormatting sqref="G39:H39">
    <cfRule type="cellIs" dxfId="1676" priority="1711" operator="equal">
      <formula>"C-Off-H"</formula>
    </cfRule>
    <cfRule type="cellIs" dxfId="1675" priority="1712" operator="equal">
      <formula>"C-Off"</formula>
    </cfRule>
    <cfRule type="cellIs" dxfId="1674" priority="1713" operator="equal">
      <formula>"CL-H"</formula>
    </cfRule>
    <cfRule type="cellIs" dxfId="1673" priority="1714" operator="equal">
      <formula>"EL-H"</formula>
    </cfRule>
    <cfRule type="cellIs" dxfId="1672" priority="1715" operator="equal">
      <formula>"CL"</formula>
    </cfRule>
    <cfRule type="cellIs" dxfId="1671" priority="1716" operator="equal">
      <formula>"EL"</formula>
    </cfRule>
  </conditionalFormatting>
  <conditionalFormatting sqref="G39:H39">
    <cfRule type="containsText" dxfId="1670" priority="1705" operator="containsText" text="S">
      <formula>NOT(ISERROR(SEARCH("S",G39)))</formula>
    </cfRule>
    <cfRule type="containsText" dxfId="1669" priority="1706" operator="containsText" text="P">
      <formula>NOT(ISERROR(SEARCH("P",G39)))</formula>
    </cfRule>
    <cfRule type="containsText" dxfId="1668" priority="1707" operator="containsText" text="H">
      <formula>NOT(ISERROR(SEARCH("H",G39)))</formula>
    </cfRule>
    <cfRule type="containsText" dxfId="1667" priority="1709" operator="containsText" text="&quot;H&quot;">
      <formula>NOT(ISERROR(SEARCH("""H""",G39)))</formula>
    </cfRule>
    <cfRule type="containsText" dxfId="1666" priority="1710" operator="containsText" text="&quot;A&quot;">
      <formula>NOT(ISERROR(SEARCH("""A""",G39)))</formula>
    </cfRule>
  </conditionalFormatting>
  <conditionalFormatting sqref="G39:H39">
    <cfRule type="containsText" dxfId="1665" priority="1708" operator="containsText" text="A-H">
      <formula>NOT(ISERROR(SEARCH("A-H",G39)))</formula>
    </cfRule>
  </conditionalFormatting>
  <conditionalFormatting sqref="K39">
    <cfRule type="cellIs" dxfId="1664" priority="1699" operator="equal">
      <formula>"C-Off-H"</formula>
    </cfRule>
    <cfRule type="cellIs" dxfId="1663" priority="1700" operator="equal">
      <formula>"C-Off"</formula>
    </cfRule>
    <cfRule type="cellIs" dxfId="1662" priority="1701" operator="equal">
      <formula>"CL-H"</formula>
    </cfRule>
    <cfRule type="cellIs" dxfId="1661" priority="1702" operator="equal">
      <formula>"EL-H"</formula>
    </cfRule>
    <cfRule type="cellIs" dxfId="1660" priority="1703" operator="equal">
      <formula>"CL"</formula>
    </cfRule>
    <cfRule type="cellIs" dxfId="1659" priority="1704" operator="equal">
      <formula>"EL"</formula>
    </cfRule>
  </conditionalFormatting>
  <conditionalFormatting sqref="J39:K39">
    <cfRule type="cellIs" dxfId="1658" priority="1693" operator="equal">
      <formula>"C-Off-H"</formula>
    </cfRule>
    <cfRule type="cellIs" dxfId="1657" priority="1694" operator="equal">
      <formula>"C-Off"</formula>
    </cfRule>
    <cfRule type="cellIs" dxfId="1656" priority="1695" operator="equal">
      <formula>"CL-H"</formula>
    </cfRule>
    <cfRule type="cellIs" dxfId="1655" priority="1696" operator="equal">
      <formula>"EL-H"</formula>
    </cfRule>
    <cfRule type="cellIs" dxfId="1654" priority="1697" operator="equal">
      <formula>"CL"</formula>
    </cfRule>
    <cfRule type="cellIs" dxfId="1653" priority="1698" operator="equal">
      <formula>"EL"</formula>
    </cfRule>
  </conditionalFormatting>
  <conditionalFormatting sqref="J39:K39">
    <cfRule type="containsText" dxfId="1652" priority="1687" operator="containsText" text="S">
      <formula>NOT(ISERROR(SEARCH("S",J39)))</formula>
    </cfRule>
    <cfRule type="containsText" dxfId="1651" priority="1688" operator="containsText" text="P">
      <formula>NOT(ISERROR(SEARCH("P",J39)))</formula>
    </cfRule>
    <cfRule type="containsText" dxfId="1650" priority="1689" operator="containsText" text="H">
      <formula>NOT(ISERROR(SEARCH("H",J39)))</formula>
    </cfRule>
    <cfRule type="containsText" dxfId="1649" priority="1691" operator="containsText" text="&quot;H&quot;">
      <formula>NOT(ISERROR(SEARCH("""H""",J39)))</formula>
    </cfRule>
    <cfRule type="containsText" dxfId="1648" priority="1692" operator="containsText" text="&quot;A&quot;">
      <formula>NOT(ISERROR(SEARCH("""A""",J39)))</formula>
    </cfRule>
  </conditionalFormatting>
  <conditionalFormatting sqref="J39:K39">
    <cfRule type="containsText" dxfId="1647" priority="1690" operator="containsText" text="A-H">
      <formula>NOT(ISERROR(SEARCH("A-H",J39)))</formula>
    </cfRule>
  </conditionalFormatting>
  <conditionalFormatting sqref="N39">
    <cfRule type="cellIs" dxfId="1646" priority="1681" operator="equal">
      <formula>"C-Off-H"</formula>
    </cfRule>
    <cfRule type="cellIs" dxfId="1645" priority="1682" operator="equal">
      <formula>"C-Off"</formula>
    </cfRule>
    <cfRule type="cellIs" dxfId="1644" priority="1683" operator="equal">
      <formula>"CL-H"</formula>
    </cfRule>
    <cfRule type="cellIs" dxfId="1643" priority="1684" operator="equal">
      <formula>"EL-H"</formula>
    </cfRule>
    <cfRule type="cellIs" dxfId="1642" priority="1685" operator="equal">
      <formula>"CL"</formula>
    </cfRule>
    <cfRule type="cellIs" dxfId="1641" priority="1686" operator="equal">
      <formula>"EL"</formula>
    </cfRule>
  </conditionalFormatting>
  <conditionalFormatting sqref="M39:N39">
    <cfRule type="cellIs" dxfId="1640" priority="1675" operator="equal">
      <formula>"C-Off-H"</formula>
    </cfRule>
    <cfRule type="cellIs" dxfId="1639" priority="1676" operator="equal">
      <formula>"C-Off"</formula>
    </cfRule>
    <cfRule type="cellIs" dxfId="1638" priority="1677" operator="equal">
      <formula>"CL-H"</formula>
    </cfRule>
    <cfRule type="cellIs" dxfId="1637" priority="1678" operator="equal">
      <formula>"EL-H"</formula>
    </cfRule>
    <cfRule type="cellIs" dxfId="1636" priority="1679" operator="equal">
      <formula>"CL"</formula>
    </cfRule>
    <cfRule type="cellIs" dxfId="1635" priority="1680" operator="equal">
      <formula>"EL"</formula>
    </cfRule>
  </conditionalFormatting>
  <conditionalFormatting sqref="M39:N39">
    <cfRule type="containsText" dxfId="1634" priority="1669" operator="containsText" text="S">
      <formula>NOT(ISERROR(SEARCH("S",M39)))</formula>
    </cfRule>
    <cfRule type="containsText" dxfId="1633" priority="1670" operator="containsText" text="P">
      <formula>NOT(ISERROR(SEARCH("P",M39)))</formula>
    </cfRule>
    <cfRule type="containsText" dxfId="1632" priority="1671" operator="containsText" text="H">
      <formula>NOT(ISERROR(SEARCH("H",M39)))</formula>
    </cfRule>
    <cfRule type="containsText" dxfId="1631" priority="1673" operator="containsText" text="&quot;H&quot;">
      <formula>NOT(ISERROR(SEARCH("""H""",M39)))</formula>
    </cfRule>
    <cfRule type="containsText" dxfId="1630" priority="1674" operator="containsText" text="&quot;A&quot;">
      <formula>NOT(ISERROR(SEARCH("""A""",M39)))</formula>
    </cfRule>
  </conditionalFormatting>
  <conditionalFormatting sqref="M39:N39">
    <cfRule type="containsText" dxfId="1629" priority="1672" operator="containsText" text="A-H">
      <formula>NOT(ISERROR(SEARCH("A-H",M39)))</formula>
    </cfRule>
  </conditionalFormatting>
  <conditionalFormatting sqref="K40">
    <cfRule type="cellIs" dxfId="1628" priority="1663" operator="equal">
      <formula>"C-Off-H"</formula>
    </cfRule>
    <cfRule type="cellIs" dxfId="1627" priority="1664" operator="equal">
      <formula>"C-Off"</formula>
    </cfRule>
    <cfRule type="cellIs" dxfId="1626" priority="1665" operator="equal">
      <formula>"CL-H"</formula>
    </cfRule>
    <cfRule type="cellIs" dxfId="1625" priority="1666" operator="equal">
      <formula>"EL-H"</formula>
    </cfRule>
    <cfRule type="cellIs" dxfId="1624" priority="1667" operator="equal">
      <formula>"CL"</formula>
    </cfRule>
    <cfRule type="cellIs" dxfId="1623" priority="1668" operator="equal">
      <formula>"EL"</formula>
    </cfRule>
  </conditionalFormatting>
  <conditionalFormatting sqref="K40">
    <cfRule type="containsText" dxfId="1622" priority="1662" operator="containsText" text="A-H">
      <formula>NOT(ISERROR(SEARCH("A-H",K40)))</formula>
    </cfRule>
  </conditionalFormatting>
  <conditionalFormatting sqref="K40">
    <cfRule type="containsText" dxfId="1621" priority="1657" operator="containsText" text="S">
      <formula>NOT(ISERROR(SEARCH("S",K40)))</formula>
    </cfRule>
    <cfRule type="containsText" dxfId="1620" priority="1658" operator="containsText" text="P">
      <formula>NOT(ISERROR(SEARCH("P",K40)))</formula>
    </cfRule>
    <cfRule type="containsText" dxfId="1619" priority="1659" operator="containsText" text="H">
      <formula>NOT(ISERROR(SEARCH("H",K40)))</formula>
    </cfRule>
    <cfRule type="containsText" dxfId="1618" priority="1660" operator="containsText" text="&quot;H&quot;">
      <formula>NOT(ISERROR(SEARCH("""H""",K40)))</formula>
    </cfRule>
    <cfRule type="containsText" dxfId="1617" priority="1661" operator="containsText" text="&quot;A&quot;">
      <formula>NOT(ISERROR(SEARCH("""A""",K40)))</formula>
    </cfRule>
  </conditionalFormatting>
  <conditionalFormatting sqref="CK30">
    <cfRule type="cellIs" dxfId="1616" priority="515" operator="equal">
      <formula>"C-Off-H"</formula>
    </cfRule>
    <cfRule type="cellIs" dxfId="1615" priority="516" operator="equal">
      <formula>"C-Off"</formula>
    </cfRule>
    <cfRule type="cellIs" dxfId="1614" priority="517" operator="equal">
      <formula>"CL-H"</formula>
    </cfRule>
    <cfRule type="cellIs" dxfId="1613" priority="518" operator="equal">
      <formula>"EL-H"</formula>
    </cfRule>
    <cfRule type="cellIs" dxfId="1612" priority="519" operator="equal">
      <formula>"CL"</formula>
    </cfRule>
    <cfRule type="cellIs" dxfId="1611" priority="520" operator="equal">
      <formula>"EL"</formula>
    </cfRule>
  </conditionalFormatting>
  <conditionalFormatting sqref="CK30">
    <cfRule type="containsText" dxfId="1610" priority="514" operator="containsText" text="A-H">
      <formula>NOT(ISERROR(SEARCH("A-H",CK30)))</formula>
    </cfRule>
  </conditionalFormatting>
  <conditionalFormatting sqref="CK30">
    <cfRule type="containsText" dxfId="1609" priority="513" operator="containsText" text="A">
      <formula>NOT(ISERROR(SEARCH("A",CK30)))</formula>
    </cfRule>
  </conditionalFormatting>
  <conditionalFormatting sqref="CK30">
    <cfRule type="containsText" dxfId="1608" priority="508" operator="containsText" text="S">
      <formula>NOT(ISERROR(SEARCH("S",CK30)))</formula>
    </cfRule>
    <cfRule type="containsText" dxfId="1607" priority="509" operator="containsText" text="P">
      <formula>NOT(ISERROR(SEARCH("P",CK30)))</formula>
    </cfRule>
    <cfRule type="containsText" dxfId="1606" priority="510" operator="containsText" text="H">
      <formula>NOT(ISERROR(SEARCH("H",CK30)))</formula>
    </cfRule>
    <cfRule type="containsText" dxfId="1605" priority="511" operator="containsText" text="&quot;H&quot;">
      <formula>NOT(ISERROR(SEARCH("""H""",CK30)))</formula>
    </cfRule>
    <cfRule type="containsText" dxfId="1604" priority="512" operator="containsText" text="&quot;A&quot;">
      <formula>NOT(ISERROR(SEARCH("""A""",CK30)))</formula>
    </cfRule>
  </conditionalFormatting>
  <conditionalFormatting sqref="I3:I42">
    <cfRule type="cellIs" dxfId="1603" priority="1625" operator="equal">
      <formula>"C-Off-H"</formula>
    </cfRule>
    <cfRule type="cellIs" dxfId="1602" priority="1626" operator="equal">
      <formula>"C-Off"</formula>
    </cfRule>
    <cfRule type="cellIs" dxfId="1601" priority="1627" operator="equal">
      <formula>"CL-H"</formula>
    </cfRule>
    <cfRule type="cellIs" dxfId="1600" priority="1628" operator="equal">
      <formula>"EL-H"</formula>
    </cfRule>
    <cfRule type="cellIs" dxfId="1599" priority="1629" operator="equal">
      <formula>"CL"</formula>
    </cfRule>
    <cfRule type="cellIs" dxfId="1598" priority="1630" operator="equal">
      <formula>"EL"</formula>
    </cfRule>
  </conditionalFormatting>
  <conditionalFormatting sqref="I3:I42">
    <cfRule type="containsText" dxfId="1597" priority="1624" operator="containsText" text="A-H">
      <formula>NOT(ISERROR(SEARCH("A-H",I3)))</formula>
    </cfRule>
  </conditionalFormatting>
  <conditionalFormatting sqref="I3:I42">
    <cfRule type="containsText" dxfId="1596" priority="1623" operator="containsText" text="A">
      <formula>NOT(ISERROR(SEARCH("A",I3)))</formula>
    </cfRule>
  </conditionalFormatting>
  <conditionalFormatting sqref="I3:I42">
    <cfRule type="containsText" dxfId="1595" priority="1618" operator="containsText" text="S">
      <formula>NOT(ISERROR(SEARCH("S",I3)))</formula>
    </cfRule>
    <cfRule type="containsText" dxfId="1594" priority="1619" operator="containsText" text="P">
      <formula>NOT(ISERROR(SEARCH("P",I3)))</formula>
    </cfRule>
    <cfRule type="containsText" dxfId="1593" priority="1620" operator="containsText" text="H">
      <formula>NOT(ISERROR(SEARCH("H",I3)))</formula>
    </cfRule>
    <cfRule type="containsText" dxfId="1592" priority="1621" operator="containsText" text="&quot;H&quot;">
      <formula>NOT(ISERROR(SEARCH("""H""",I3)))</formula>
    </cfRule>
    <cfRule type="containsText" dxfId="1591" priority="1622" operator="containsText" text="&quot;A&quot;">
      <formula>NOT(ISERROR(SEARCH("""A""",I3)))</formula>
    </cfRule>
  </conditionalFormatting>
  <conditionalFormatting sqref="L3:L42">
    <cfRule type="cellIs" dxfId="1590" priority="1612" operator="equal">
      <formula>"C-Off-H"</formula>
    </cfRule>
    <cfRule type="cellIs" dxfId="1589" priority="1613" operator="equal">
      <formula>"C-Off"</formula>
    </cfRule>
    <cfRule type="cellIs" dxfId="1588" priority="1614" operator="equal">
      <formula>"CL-H"</formula>
    </cfRule>
    <cfRule type="cellIs" dxfId="1587" priority="1615" operator="equal">
      <formula>"EL-H"</formula>
    </cfRule>
    <cfRule type="cellIs" dxfId="1586" priority="1616" operator="equal">
      <formula>"CL"</formula>
    </cfRule>
    <cfRule type="cellIs" dxfId="1585" priority="1617" operator="equal">
      <formula>"EL"</formula>
    </cfRule>
  </conditionalFormatting>
  <conditionalFormatting sqref="L3:L42">
    <cfRule type="containsText" dxfId="1584" priority="1611" operator="containsText" text="A-H">
      <formula>NOT(ISERROR(SEARCH("A-H",L3)))</formula>
    </cfRule>
  </conditionalFormatting>
  <conditionalFormatting sqref="L3:L42">
    <cfRule type="containsText" dxfId="1583" priority="1610" operator="containsText" text="A">
      <formula>NOT(ISERROR(SEARCH("A",L3)))</formula>
    </cfRule>
  </conditionalFormatting>
  <conditionalFormatting sqref="L3:L42">
    <cfRule type="containsText" dxfId="1582" priority="1605" operator="containsText" text="S">
      <formula>NOT(ISERROR(SEARCH("S",L3)))</formula>
    </cfRule>
    <cfRule type="containsText" dxfId="1581" priority="1606" operator="containsText" text="P">
      <formula>NOT(ISERROR(SEARCH("P",L3)))</formula>
    </cfRule>
    <cfRule type="containsText" dxfId="1580" priority="1607" operator="containsText" text="H">
      <formula>NOT(ISERROR(SEARCH("H",L3)))</formula>
    </cfRule>
    <cfRule type="containsText" dxfId="1579" priority="1608" operator="containsText" text="&quot;H&quot;">
      <formula>NOT(ISERROR(SEARCH("""H""",L3)))</formula>
    </cfRule>
    <cfRule type="containsText" dxfId="1578" priority="1609" operator="containsText" text="&quot;A&quot;">
      <formula>NOT(ISERROR(SEARCH("""A""",L3)))</formula>
    </cfRule>
  </conditionalFormatting>
  <conditionalFormatting sqref="O3:O42">
    <cfRule type="cellIs" dxfId="1577" priority="1599" operator="equal">
      <formula>"C-Off-H"</formula>
    </cfRule>
    <cfRule type="cellIs" dxfId="1576" priority="1600" operator="equal">
      <formula>"C-Off"</formula>
    </cfRule>
    <cfRule type="cellIs" dxfId="1575" priority="1601" operator="equal">
      <formula>"CL-H"</formula>
    </cfRule>
    <cfRule type="cellIs" dxfId="1574" priority="1602" operator="equal">
      <formula>"EL-H"</formula>
    </cfRule>
    <cfRule type="cellIs" dxfId="1573" priority="1603" operator="equal">
      <formula>"CL"</formula>
    </cfRule>
    <cfRule type="cellIs" dxfId="1572" priority="1604" operator="equal">
      <formula>"EL"</formula>
    </cfRule>
  </conditionalFormatting>
  <conditionalFormatting sqref="O3:O42">
    <cfRule type="containsText" dxfId="1571" priority="1598" operator="containsText" text="A-H">
      <formula>NOT(ISERROR(SEARCH("A-H",O3)))</formula>
    </cfRule>
  </conditionalFormatting>
  <conditionalFormatting sqref="O3:O42">
    <cfRule type="containsText" dxfId="1570" priority="1597" operator="containsText" text="A">
      <formula>NOT(ISERROR(SEARCH("A",O3)))</formula>
    </cfRule>
  </conditionalFormatting>
  <conditionalFormatting sqref="O3:O42">
    <cfRule type="containsText" dxfId="1569" priority="1592" operator="containsText" text="S">
      <formula>NOT(ISERROR(SEARCH("S",O3)))</formula>
    </cfRule>
    <cfRule type="containsText" dxfId="1568" priority="1593" operator="containsText" text="P">
      <formula>NOT(ISERROR(SEARCH("P",O3)))</formula>
    </cfRule>
    <cfRule type="containsText" dxfId="1567" priority="1594" operator="containsText" text="H">
      <formula>NOT(ISERROR(SEARCH("H",O3)))</formula>
    </cfRule>
    <cfRule type="containsText" dxfId="1566" priority="1595" operator="containsText" text="&quot;H&quot;">
      <formula>NOT(ISERROR(SEARCH("""H""",O3)))</formula>
    </cfRule>
    <cfRule type="containsText" dxfId="1565" priority="1596" operator="containsText" text="&quot;A&quot;">
      <formula>NOT(ISERROR(SEARCH("""A""",O3)))</formula>
    </cfRule>
  </conditionalFormatting>
  <conditionalFormatting sqref="R3:R42">
    <cfRule type="cellIs" dxfId="1564" priority="1586" operator="equal">
      <formula>"C-Off-H"</formula>
    </cfRule>
    <cfRule type="cellIs" dxfId="1563" priority="1587" operator="equal">
      <formula>"C-Off"</formula>
    </cfRule>
    <cfRule type="cellIs" dxfId="1562" priority="1588" operator="equal">
      <formula>"CL-H"</formula>
    </cfRule>
    <cfRule type="cellIs" dxfId="1561" priority="1589" operator="equal">
      <formula>"EL-H"</formula>
    </cfRule>
    <cfRule type="cellIs" dxfId="1560" priority="1590" operator="equal">
      <formula>"CL"</formula>
    </cfRule>
    <cfRule type="cellIs" dxfId="1559" priority="1591" operator="equal">
      <formula>"EL"</formula>
    </cfRule>
  </conditionalFormatting>
  <conditionalFormatting sqref="R3:R42">
    <cfRule type="containsText" dxfId="1558" priority="1585" operator="containsText" text="A-H">
      <formula>NOT(ISERROR(SEARCH("A-H",R3)))</formula>
    </cfRule>
  </conditionalFormatting>
  <conditionalFormatting sqref="R3:R42">
    <cfRule type="containsText" dxfId="1557" priority="1584" operator="containsText" text="A">
      <formula>NOT(ISERROR(SEARCH("A",R3)))</formula>
    </cfRule>
  </conditionalFormatting>
  <conditionalFormatting sqref="R3:R42">
    <cfRule type="containsText" dxfId="1556" priority="1579" operator="containsText" text="S">
      <formula>NOT(ISERROR(SEARCH("S",R3)))</formula>
    </cfRule>
    <cfRule type="containsText" dxfId="1555" priority="1580" operator="containsText" text="P">
      <formula>NOT(ISERROR(SEARCH("P",R3)))</formula>
    </cfRule>
    <cfRule type="containsText" dxfId="1554" priority="1581" operator="containsText" text="H">
      <formula>NOT(ISERROR(SEARCH("H",R3)))</formula>
    </cfRule>
    <cfRule type="containsText" dxfId="1553" priority="1582" operator="containsText" text="&quot;H&quot;">
      <formula>NOT(ISERROR(SEARCH("""H""",R3)))</formula>
    </cfRule>
    <cfRule type="containsText" dxfId="1552" priority="1583" operator="containsText" text="&quot;A&quot;">
      <formula>NOT(ISERROR(SEARCH("""A""",R3)))</formula>
    </cfRule>
  </conditionalFormatting>
  <conditionalFormatting sqref="AD3:AD42">
    <cfRule type="cellIs" dxfId="1512" priority="1534" operator="equal">
      <formula>"C-Off-H"</formula>
    </cfRule>
    <cfRule type="cellIs" dxfId="1511" priority="1535" operator="equal">
      <formula>"C-Off"</formula>
    </cfRule>
    <cfRule type="cellIs" dxfId="1510" priority="1536" operator="equal">
      <formula>"CL-H"</formula>
    </cfRule>
    <cfRule type="cellIs" dxfId="1509" priority="1537" operator="equal">
      <formula>"EL-H"</formula>
    </cfRule>
    <cfRule type="cellIs" dxfId="1508" priority="1538" operator="equal">
      <formula>"CL"</formula>
    </cfRule>
    <cfRule type="cellIs" dxfId="1507" priority="1539" operator="equal">
      <formula>"EL"</formula>
    </cfRule>
  </conditionalFormatting>
  <conditionalFormatting sqref="AD3:AD42">
    <cfRule type="containsText" dxfId="1506" priority="1533" operator="containsText" text="A-H">
      <formula>NOT(ISERROR(SEARCH("A-H",AD3)))</formula>
    </cfRule>
  </conditionalFormatting>
  <conditionalFormatting sqref="AD3:AD42">
    <cfRule type="containsText" dxfId="1505" priority="1532" operator="containsText" text="A">
      <formula>NOT(ISERROR(SEARCH("A",AD3)))</formula>
    </cfRule>
  </conditionalFormatting>
  <conditionalFormatting sqref="AD3:AD42">
    <cfRule type="containsText" dxfId="1504" priority="1527" operator="containsText" text="S">
      <formula>NOT(ISERROR(SEARCH("S",AD3)))</formula>
    </cfRule>
    <cfRule type="containsText" dxfId="1503" priority="1528" operator="containsText" text="P">
      <formula>NOT(ISERROR(SEARCH("P",AD3)))</formula>
    </cfRule>
    <cfRule type="containsText" dxfId="1502" priority="1529" operator="containsText" text="H">
      <formula>NOT(ISERROR(SEARCH("H",AD3)))</formula>
    </cfRule>
    <cfRule type="containsText" dxfId="1501" priority="1530" operator="containsText" text="&quot;H&quot;">
      <formula>NOT(ISERROR(SEARCH("""H""",AD3)))</formula>
    </cfRule>
    <cfRule type="containsText" dxfId="1500" priority="1531" operator="containsText" text="&quot;A&quot;">
      <formula>NOT(ISERROR(SEARCH("""A""",AD3)))</formula>
    </cfRule>
  </conditionalFormatting>
  <conditionalFormatting sqref="AG3:AG42">
    <cfRule type="cellIs" dxfId="1499" priority="1521" operator="equal">
      <formula>"C-Off-H"</formula>
    </cfRule>
    <cfRule type="cellIs" dxfId="1498" priority="1522" operator="equal">
      <formula>"C-Off"</formula>
    </cfRule>
    <cfRule type="cellIs" dxfId="1497" priority="1523" operator="equal">
      <formula>"CL-H"</formula>
    </cfRule>
    <cfRule type="cellIs" dxfId="1496" priority="1524" operator="equal">
      <formula>"EL-H"</formula>
    </cfRule>
    <cfRule type="cellIs" dxfId="1495" priority="1525" operator="equal">
      <formula>"CL"</formula>
    </cfRule>
    <cfRule type="cellIs" dxfId="1494" priority="1526" operator="equal">
      <formula>"EL"</formula>
    </cfRule>
  </conditionalFormatting>
  <conditionalFormatting sqref="AG3:AG42">
    <cfRule type="containsText" dxfId="1493" priority="1520" operator="containsText" text="A-H">
      <formula>NOT(ISERROR(SEARCH("A-H",AG3)))</formula>
    </cfRule>
  </conditionalFormatting>
  <conditionalFormatting sqref="AG3:AG42">
    <cfRule type="containsText" dxfId="1492" priority="1519" operator="containsText" text="A">
      <formula>NOT(ISERROR(SEARCH("A",AG3)))</formula>
    </cfRule>
  </conditionalFormatting>
  <conditionalFormatting sqref="AG3:AG42">
    <cfRule type="containsText" dxfId="1491" priority="1514" operator="containsText" text="S">
      <formula>NOT(ISERROR(SEARCH("S",AG3)))</formula>
    </cfRule>
    <cfRule type="containsText" dxfId="1490" priority="1515" operator="containsText" text="P">
      <formula>NOT(ISERROR(SEARCH("P",AG3)))</formula>
    </cfRule>
    <cfRule type="containsText" dxfId="1489" priority="1516" operator="containsText" text="H">
      <formula>NOT(ISERROR(SEARCH("H",AG3)))</formula>
    </cfRule>
    <cfRule type="containsText" dxfId="1488" priority="1517" operator="containsText" text="&quot;H&quot;">
      <formula>NOT(ISERROR(SEARCH("""H""",AG3)))</formula>
    </cfRule>
    <cfRule type="containsText" dxfId="1487" priority="1518" operator="containsText" text="&quot;A&quot;">
      <formula>NOT(ISERROR(SEARCH("""A""",AG3)))</formula>
    </cfRule>
  </conditionalFormatting>
  <conditionalFormatting sqref="AM3:AM42">
    <cfRule type="cellIs" dxfId="1473" priority="1495" operator="equal">
      <formula>"C-Off-H"</formula>
    </cfRule>
    <cfRule type="cellIs" dxfId="1472" priority="1496" operator="equal">
      <formula>"C-Off"</formula>
    </cfRule>
    <cfRule type="cellIs" dxfId="1471" priority="1497" operator="equal">
      <formula>"CL-H"</formula>
    </cfRule>
    <cfRule type="cellIs" dxfId="1470" priority="1498" operator="equal">
      <formula>"EL-H"</formula>
    </cfRule>
    <cfRule type="cellIs" dxfId="1469" priority="1499" operator="equal">
      <formula>"CL"</formula>
    </cfRule>
    <cfRule type="cellIs" dxfId="1468" priority="1500" operator="equal">
      <formula>"EL"</formula>
    </cfRule>
  </conditionalFormatting>
  <conditionalFormatting sqref="AM3:AM42">
    <cfRule type="containsText" dxfId="1467" priority="1494" operator="containsText" text="A-H">
      <formula>NOT(ISERROR(SEARCH("A-H",AM3)))</formula>
    </cfRule>
  </conditionalFormatting>
  <conditionalFormatting sqref="AM3:AM42">
    <cfRule type="containsText" dxfId="1466" priority="1493" operator="containsText" text="A">
      <formula>NOT(ISERROR(SEARCH("A",AM3)))</formula>
    </cfRule>
  </conditionalFormatting>
  <conditionalFormatting sqref="AM3:AM42">
    <cfRule type="containsText" dxfId="1465" priority="1488" operator="containsText" text="S">
      <formula>NOT(ISERROR(SEARCH("S",AM3)))</formula>
    </cfRule>
    <cfRule type="containsText" dxfId="1464" priority="1489" operator="containsText" text="P">
      <formula>NOT(ISERROR(SEARCH("P",AM3)))</formula>
    </cfRule>
    <cfRule type="containsText" dxfId="1463" priority="1490" operator="containsText" text="H">
      <formula>NOT(ISERROR(SEARCH("H",AM3)))</formula>
    </cfRule>
    <cfRule type="containsText" dxfId="1462" priority="1491" operator="containsText" text="&quot;H&quot;">
      <formula>NOT(ISERROR(SEARCH("""H""",AM3)))</formula>
    </cfRule>
    <cfRule type="containsText" dxfId="1461" priority="1492" operator="containsText" text="&quot;A&quot;">
      <formula>NOT(ISERROR(SEARCH("""A""",AM3)))</formula>
    </cfRule>
  </conditionalFormatting>
  <conditionalFormatting sqref="AP3:AP42">
    <cfRule type="cellIs" dxfId="1460" priority="1482" operator="equal">
      <formula>"C-Off-H"</formula>
    </cfRule>
    <cfRule type="cellIs" dxfId="1459" priority="1483" operator="equal">
      <formula>"C-Off"</formula>
    </cfRule>
    <cfRule type="cellIs" dxfId="1458" priority="1484" operator="equal">
      <formula>"CL-H"</formula>
    </cfRule>
    <cfRule type="cellIs" dxfId="1457" priority="1485" operator="equal">
      <formula>"EL-H"</formula>
    </cfRule>
    <cfRule type="cellIs" dxfId="1456" priority="1486" operator="equal">
      <formula>"CL"</formula>
    </cfRule>
    <cfRule type="cellIs" dxfId="1455" priority="1487" operator="equal">
      <formula>"EL"</formula>
    </cfRule>
  </conditionalFormatting>
  <conditionalFormatting sqref="AP3:AP42">
    <cfRule type="containsText" dxfId="1454" priority="1481" operator="containsText" text="A-H">
      <formula>NOT(ISERROR(SEARCH("A-H",AP3)))</formula>
    </cfRule>
  </conditionalFormatting>
  <conditionalFormatting sqref="AP3:AP42">
    <cfRule type="containsText" dxfId="1453" priority="1480" operator="containsText" text="A">
      <formula>NOT(ISERROR(SEARCH("A",AP3)))</formula>
    </cfRule>
  </conditionalFormatting>
  <conditionalFormatting sqref="AP3:AP42">
    <cfRule type="containsText" dxfId="1452" priority="1475" operator="containsText" text="S">
      <formula>NOT(ISERROR(SEARCH("S",AP3)))</formula>
    </cfRule>
    <cfRule type="containsText" dxfId="1451" priority="1476" operator="containsText" text="P">
      <formula>NOT(ISERROR(SEARCH("P",AP3)))</formula>
    </cfRule>
    <cfRule type="containsText" dxfId="1450" priority="1477" operator="containsText" text="H">
      <formula>NOT(ISERROR(SEARCH("H",AP3)))</formula>
    </cfRule>
    <cfRule type="containsText" dxfId="1449" priority="1478" operator="containsText" text="&quot;H&quot;">
      <formula>NOT(ISERROR(SEARCH("""H""",AP3)))</formula>
    </cfRule>
    <cfRule type="containsText" dxfId="1448" priority="1479" operator="containsText" text="&quot;A&quot;">
      <formula>NOT(ISERROR(SEARCH("""A""",AP3)))</formula>
    </cfRule>
  </conditionalFormatting>
  <conditionalFormatting sqref="AY3:AY42">
    <cfRule type="cellIs" dxfId="1421" priority="1443" operator="equal">
      <formula>"C-Off-H"</formula>
    </cfRule>
    <cfRule type="cellIs" dxfId="1420" priority="1444" operator="equal">
      <formula>"C-Off"</formula>
    </cfRule>
    <cfRule type="cellIs" dxfId="1419" priority="1445" operator="equal">
      <formula>"CL-H"</formula>
    </cfRule>
    <cfRule type="cellIs" dxfId="1418" priority="1446" operator="equal">
      <formula>"EL-H"</formula>
    </cfRule>
    <cfRule type="cellIs" dxfId="1417" priority="1447" operator="equal">
      <formula>"CL"</formula>
    </cfRule>
    <cfRule type="cellIs" dxfId="1416" priority="1448" operator="equal">
      <formula>"EL"</formula>
    </cfRule>
  </conditionalFormatting>
  <conditionalFormatting sqref="AY3:AY42">
    <cfRule type="containsText" dxfId="1415" priority="1442" operator="containsText" text="A-H">
      <formula>NOT(ISERROR(SEARCH("A-H",AY3)))</formula>
    </cfRule>
  </conditionalFormatting>
  <conditionalFormatting sqref="AY3:AY42">
    <cfRule type="containsText" dxfId="1414" priority="1441" operator="containsText" text="A">
      <formula>NOT(ISERROR(SEARCH("A",AY3)))</formula>
    </cfRule>
  </conditionalFormatting>
  <conditionalFormatting sqref="AY3:AY42">
    <cfRule type="containsText" dxfId="1413" priority="1436" operator="containsText" text="S">
      <formula>NOT(ISERROR(SEARCH("S",AY3)))</formula>
    </cfRule>
    <cfRule type="containsText" dxfId="1412" priority="1437" operator="containsText" text="P">
      <formula>NOT(ISERROR(SEARCH("P",AY3)))</formula>
    </cfRule>
    <cfRule type="containsText" dxfId="1411" priority="1438" operator="containsText" text="H">
      <formula>NOT(ISERROR(SEARCH("H",AY3)))</formula>
    </cfRule>
    <cfRule type="containsText" dxfId="1410" priority="1439" operator="containsText" text="&quot;H&quot;">
      <formula>NOT(ISERROR(SEARCH("""H""",AY3)))</formula>
    </cfRule>
    <cfRule type="containsText" dxfId="1409" priority="1440" operator="containsText" text="&quot;A&quot;">
      <formula>NOT(ISERROR(SEARCH("""A""",AY3)))</formula>
    </cfRule>
  </conditionalFormatting>
  <conditionalFormatting sqref="BB3:BB42">
    <cfRule type="cellIs" dxfId="1408" priority="1430" operator="equal">
      <formula>"C-Off-H"</formula>
    </cfRule>
    <cfRule type="cellIs" dxfId="1407" priority="1431" operator="equal">
      <formula>"C-Off"</formula>
    </cfRule>
    <cfRule type="cellIs" dxfId="1406" priority="1432" operator="equal">
      <formula>"CL-H"</formula>
    </cfRule>
    <cfRule type="cellIs" dxfId="1405" priority="1433" operator="equal">
      <formula>"EL-H"</formula>
    </cfRule>
    <cfRule type="cellIs" dxfId="1404" priority="1434" operator="equal">
      <formula>"CL"</formula>
    </cfRule>
    <cfRule type="cellIs" dxfId="1403" priority="1435" operator="equal">
      <formula>"EL"</formula>
    </cfRule>
  </conditionalFormatting>
  <conditionalFormatting sqref="BB3:BB42">
    <cfRule type="containsText" dxfId="1402" priority="1429" operator="containsText" text="A-H">
      <formula>NOT(ISERROR(SEARCH("A-H",BB3)))</formula>
    </cfRule>
  </conditionalFormatting>
  <conditionalFormatting sqref="BB3:BB42">
    <cfRule type="containsText" dxfId="1401" priority="1428" operator="containsText" text="A">
      <formula>NOT(ISERROR(SEARCH("A",BB3)))</formula>
    </cfRule>
  </conditionalFormatting>
  <conditionalFormatting sqref="BB3:BB42">
    <cfRule type="containsText" dxfId="1400" priority="1423" operator="containsText" text="S">
      <formula>NOT(ISERROR(SEARCH("S",BB3)))</formula>
    </cfRule>
    <cfRule type="containsText" dxfId="1399" priority="1424" operator="containsText" text="P">
      <formula>NOT(ISERROR(SEARCH("P",BB3)))</formula>
    </cfRule>
    <cfRule type="containsText" dxfId="1398" priority="1425" operator="containsText" text="H">
      <formula>NOT(ISERROR(SEARCH("H",BB3)))</formula>
    </cfRule>
    <cfRule type="containsText" dxfId="1397" priority="1426" operator="containsText" text="&quot;H&quot;">
      <formula>NOT(ISERROR(SEARCH("""H""",BB3)))</formula>
    </cfRule>
    <cfRule type="containsText" dxfId="1396" priority="1427" operator="containsText" text="&quot;A&quot;">
      <formula>NOT(ISERROR(SEARCH("""A""",BB3)))</formula>
    </cfRule>
  </conditionalFormatting>
  <conditionalFormatting sqref="BE3:BE42">
    <cfRule type="cellIs" dxfId="1395" priority="1417" operator="equal">
      <formula>"C-Off-H"</formula>
    </cfRule>
    <cfRule type="cellIs" dxfId="1394" priority="1418" operator="equal">
      <formula>"C-Off"</formula>
    </cfRule>
    <cfRule type="cellIs" dxfId="1393" priority="1419" operator="equal">
      <formula>"CL-H"</formula>
    </cfRule>
    <cfRule type="cellIs" dxfId="1392" priority="1420" operator="equal">
      <formula>"EL-H"</formula>
    </cfRule>
    <cfRule type="cellIs" dxfId="1391" priority="1421" operator="equal">
      <formula>"CL"</formula>
    </cfRule>
    <cfRule type="cellIs" dxfId="1390" priority="1422" operator="equal">
      <formula>"EL"</formula>
    </cfRule>
  </conditionalFormatting>
  <conditionalFormatting sqref="BE3:BE42">
    <cfRule type="containsText" dxfId="1389" priority="1416" operator="containsText" text="A-H">
      <formula>NOT(ISERROR(SEARCH("A-H",BE3)))</formula>
    </cfRule>
  </conditionalFormatting>
  <conditionalFormatting sqref="BE3:BE42">
    <cfRule type="containsText" dxfId="1388" priority="1415" operator="containsText" text="A">
      <formula>NOT(ISERROR(SEARCH("A",BE3)))</formula>
    </cfRule>
  </conditionalFormatting>
  <conditionalFormatting sqref="BE3:BE42">
    <cfRule type="containsText" dxfId="1387" priority="1410" operator="containsText" text="S">
      <formula>NOT(ISERROR(SEARCH("S",BE3)))</formula>
    </cfRule>
    <cfRule type="containsText" dxfId="1386" priority="1411" operator="containsText" text="P">
      <formula>NOT(ISERROR(SEARCH("P",BE3)))</formula>
    </cfRule>
    <cfRule type="containsText" dxfId="1385" priority="1412" operator="containsText" text="H">
      <formula>NOT(ISERROR(SEARCH("H",BE3)))</formula>
    </cfRule>
    <cfRule type="containsText" dxfId="1384" priority="1413" operator="containsText" text="&quot;H&quot;">
      <formula>NOT(ISERROR(SEARCH("""H""",BE3)))</formula>
    </cfRule>
    <cfRule type="containsText" dxfId="1383" priority="1414" operator="containsText" text="&quot;A&quot;">
      <formula>NOT(ISERROR(SEARCH("""A""",BE3)))</formula>
    </cfRule>
  </conditionalFormatting>
  <conditionalFormatting sqref="BH3:BH42">
    <cfRule type="cellIs" dxfId="1382" priority="1404" operator="equal">
      <formula>"C-Off-H"</formula>
    </cfRule>
    <cfRule type="cellIs" dxfId="1381" priority="1405" operator="equal">
      <formula>"C-Off"</formula>
    </cfRule>
    <cfRule type="cellIs" dxfId="1380" priority="1406" operator="equal">
      <formula>"CL-H"</formula>
    </cfRule>
    <cfRule type="cellIs" dxfId="1379" priority="1407" operator="equal">
      <formula>"EL-H"</formula>
    </cfRule>
    <cfRule type="cellIs" dxfId="1378" priority="1408" operator="equal">
      <formula>"CL"</formula>
    </cfRule>
    <cfRule type="cellIs" dxfId="1377" priority="1409" operator="equal">
      <formula>"EL"</formula>
    </cfRule>
  </conditionalFormatting>
  <conditionalFormatting sqref="BH3:BH42">
    <cfRule type="containsText" dxfId="1376" priority="1403" operator="containsText" text="A-H">
      <formula>NOT(ISERROR(SEARCH("A-H",BH3)))</formula>
    </cfRule>
  </conditionalFormatting>
  <conditionalFormatting sqref="BH3:BH42">
    <cfRule type="containsText" dxfId="1375" priority="1402" operator="containsText" text="A">
      <formula>NOT(ISERROR(SEARCH("A",BH3)))</formula>
    </cfRule>
  </conditionalFormatting>
  <conditionalFormatting sqref="BH3:BH42">
    <cfRule type="containsText" dxfId="1374" priority="1397" operator="containsText" text="S">
      <formula>NOT(ISERROR(SEARCH("S",BH3)))</formula>
    </cfRule>
    <cfRule type="containsText" dxfId="1373" priority="1398" operator="containsText" text="P">
      <formula>NOT(ISERROR(SEARCH("P",BH3)))</formula>
    </cfRule>
    <cfRule type="containsText" dxfId="1372" priority="1399" operator="containsText" text="H">
      <formula>NOT(ISERROR(SEARCH("H",BH3)))</formula>
    </cfRule>
    <cfRule type="containsText" dxfId="1371" priority="1400" operator="containsText" text="&quot;H&quot;">
      <formula>NOT(ISERROR(SEARCH("""H""",BH3)))</formula>
    </cfRule>
    <cfRule type="containsText" dxfId="1370" priority="1401" operator="containsText" text="&quot;A&quot;">
      <formula>NOT(ISERROR(SEARCH("""A""",BH3)))</formula>
    </cfRule>
  </conditionalFormatting>
  <conditionalFormatting sqref="BK3:BK42">
    <cfRule type="cellIs" dxfId="1369" priority="1391" operator="equal">
      <formula>"C-Off-H"</formula>
    </cfRule>
    <cfRule type="cellIs" dxfId="1368" priority="1392" operator="equal">
      <formula>"C-Off"</formula>
    </cfRule>
    <cfRule type="cellIs" dxfId="1367" priority="1393" operator="equal">
      <formula>"CL-H"</formula>
    </cfRule>
    <cfRule type="cellIs" dxfId="1366" priority="1394" operator="equal">
      <formula>"EL-H"</formula>
    </cfRule>
    <cfRule type="cellIs" dxfId="1365" priority="1395" operator="equal">
      <formula>"CL"</formula>
    </cfRule>
    <cfRule type="cellIs" dxfId="1364" priority="1396" operator="equal">
      <formula>"EL"</formula>
    </cfRule>
  </conditionalFormatting>
  <conditionalFormatting sqref="BK3:BK42">
    <cfRule type="containsText" dxfId="1363" priority="1390" operator="containsText" text="A-H">
      <formula>NOT(ISERROR(SEARCH("A-H",BK3)))</formula>
    </cfRule>
  </conditionalFormatting>
  <conditionalFormatting sqref="BK3:BK42">
    <cfRule type="containsText" dxfId="1362" priority="1389" operator="containsText" text="A">
      <formula>NOT(ISERROR(SEARCH("A",BK3)))</formula>
    </cfRule>
  </conditionalFormatting>
  <conditionalFormatting sqref="BK3:BK42">
    <cfRule type="containsText" dxfId="1361" priority="1384" operator="containsText" text="S">
      <formula>NOT(ISERROR(SEARCH("S",BK3)))</formula>
    </cfRule>
    <cfRule type="containsText" dxfId="1360" priority="1385" operator="containsText" text="P">
      <formula>NOT(ISERROR(SEARCH("P",BK3)))</formula>
    </cfRule>
    <cfRule type="containsText" dxfId="1359" priority="1386" operator="containsText" text="H">
      <formula>NOT(ISERROR(SEARCH("H",BK3)))</formula>
    </cfRule>
    <cfRule type="containsText" dxfId="1358" priority="1387" operator="containsText" text="&quot;H&quot;">
      <formula>NOT(ISERROR(SEARCH("""H""",BK3)))</formula>
    </cfRule>
    <cfRule type="containsText" dxfId="1357" priority="1388" operator="containsText" text="&quot;A&quot;">
      <formula>NOT(ISERROR(SEARCH("""A""",BK3)))</formula>
    </cfRule>
  </conditionalFormatting>
  <conditionalFormatting sqref="BT3:BT42">
    <cfRule type="cellIs" dxfId="1330" priority="1352" operator="equal">
      <formula>"C-Off-H"</formula>
    </cfRule>
    <cfRule type="cellIs" dxfId="1329" priority="1353" operator="equal">
      <formula>"C-Off"</formula>
    </cfRule>
    <cfRule type="cellIs" dxfId="1328" priority="1354" operator="equal">
      <formula>"CL-H"</formula>
    </cfRule>
    <cfRule type="cellIs" dxfId="1327" priority="1355" operator="equal">
      <formula>"EL-H"</formula>
    </cfRule>
    <cfRule type="cellIs" dxfId="1326" priority="1356" operator="equal">
      <formula>"CL"</formula>
    </cfRule>
    <cfRule type="cellIs" dxfId="1325" priority="1357" operator="equal">
      <formula>"EL"</formula>
    </cfRule>
  </conditionalFormatting>
  <conditionalFormatting sqref="BT3:BT42">
    <cfRule type="containsText" dxfId="1324" priority="1351" operator="containsText" text="A-H">
      <formula>NOT(ISERROR(SEARCH("A-H",BT3)))</formula>
    </cfRule>
  </conditionalFormatting>
  <conditionalFormatting sqref="BT3:BT42">
    <cfRule type="containsText" dxfId="1323" priority="1350" operator="containsText" text="A">
      <formula>NOT(ISERROR(SEARCH("A",BT3)))</formula>
    </cfRule>
  </conditionalFormatting>
  <conditionalFormatting sqref="BT3:BT42">
    <cfRule type="containsText" dxfId="1322" priority="1345" operator="containsText" text="S">
      <formula>NOT(ISERROR(SEARCH("S",BT3)))</formula>
    </cfRule>
    <cfRule type="containsText" dxfId="1321" priority="1346" operator="containsText" text="P">
      <formula>NOT(ISERROR(SEARCH("P",BT3)))</formula>
    </cfRule>
    <cfRule type="containsText" dxfId="1320" priority="1347" operator="containsText" text="H">
      <formula>NOT(ISERROR(SEARCH("H",BT3)))</formula>
    </cfRule>
    <cfRule type="containsText" dxfId="1319" priority="1348" operator="containsText" text="&quot;H&quot;">
      <formula>NOT(ISERROR(SEARCH("""H""",BT3)))</formula>
    </cfRule>
    <cfRule type="containsText" dxfId="1318" priority="1349" operator="containsText" text="&quot;A&quot;">
      <formula>NOT(ISERROR(SEARCH("""A""",BT3)))</formula>
    </cfRule>
  </conditionalFormatting>
  <conditionalFormatting sqref="BW3:BW42">
    <cfRule type="cellIs" dxfId="1317" priority="1339" operator="equal">
      <formula>"C-Off-H"</formula>
    </cfRule>
    <cfRule type="cellIs" dxfId="1316" priority="1340" operator="equal">
      <formula>"C-Off"</formula>
    </cfRule>
    <cfRule type="cellIs" dxfId="1315" priority="1341" operator="equal">
      <formula>"CL-H"</formula>
    </cfRule>
    <cfRule type="cellIs" dxfId="1314" priority="1342" operator="equal">
      <formula>"EL-H"</formula>
    </cfRule>
    <cfRule type="cellIs" dxfId="1313" priority="1343" operator="equal">
      <formula>"CL"</formula>
    </cfRule>
    <cfRule type="cellIs" dxfId="1312" priority="1344" operator="equal">
      <formula>"EL"</formula>
    </cfRule>
  </conditionalFormatting>
  <conditionalFormatting sqref="BW3:BW42">
    <cfRule type="containsText" dxfId="1311" priority="1338" operator="containsText" text="A-H">
      <formula>NOT(ISERROR(SEARCH("A-H",BW3)))</formula>
    </cfRule>
  </conditionalFormatting>
  <conditionalFormatting sqref="BW3:BW42">
    <cfRule type="containsText" dxfId="1310" priority="1337" operator="containsText" text="A">
      <formula>NOT(ISERROR(SEARCH("A",BW3)))</formula>
    </cfRule>
  </conditionalFormatting>
  <conditionalFormatting sqref="BW3:BW42">
    <cfRule type="containsText" dxfId="1309" priority="1332" operator="containsText" text="S">
      <formula>NOT(ISERROR(SEARCH("S",BW3)))</formula>
    </cfRule>
    <cfRule type="containsText" dxfId="1308" priority="1333" operator="containsText" text="P">
      <formula>NOT(ISERROR(SEARCH("P",BW3)))</formula>
    </cfRule>
    <cfRule type="containsText" dxfId="1307" priority="1334" operator="containsText" text="H">
      <formula>NOT(ISERROR(SEARCH("H",BW3)))</formula>
    </cfRule>
    <cfRule type="containsText" dxfId="1306" priority="1335" operator="containsText" text="&quot;H&quot;">
      <formula>NOT(ISERROR(SEARCH("""H""",BW3)))</formula>
    </cfRule>
    <cfRule type="containsText" dxfId="1305" priority="1336" operator="containsText" text="&quot;A&quot;">
      <formula>NOT(ISERROR(SEARCH("""A""",BW3)))</formula>
    </cfRule>
  </conditionalFormatting>
  <conditionalFormatting sqref="BZ3:BZ42">
    <cfRule type="cellIs" dxfId="1304" priority="1326" operator="equal">
      <formula>"C-Off-H"</formula>
    </cfRule>
    <cfRule type="cellIs" dxfId="1303" priority="1327" operator="equal">
      <formula>"C-Off"</formula>
    </cfRule>
    <cfRule type="cellIs" dxfId="1302" priority="1328" operator="equal">
      <formula>"CL-H"</formula>
    </cfRule>
    <cfRule type="cellIs" dxfId="1301" priority="1329" operator="equal">
      <formula>"EL-H"</formula>
    </cfRule>
    <cfRule type="cellIs" dxfId="1300" priority="1330" operator="equal">
      <formula>"CL"</formula>
    </cfRule>
    <cfRule type="cellIs" dxfId="1299" priority="1331" operator="equal">
      <formula>"EL"</formula>
    </cfRule>
  </conditionalFormatting>
  <conditionalFormatting sqref="BZ3:BZ42">
    <cfRule type="containsText" dxfId="1298" priority="1325" operator="containsText" text="A-H">
      <formula>NOT(ISERROR(SEARCH("A-H",BZ3)))</formula>
    </cfRule>
  </conditionalFormatting>
  <conditionalFormatting sqref="BZ3:BZ42">
    <cfRule type="containsText" dxfId="1297" priority="1324" operator="containsText" text="A">
      <formula>NOT(ISERROR(SEARCH("A",BZ3)))</formula>
    </cfRule>
  </conditionalFormatting>
  <conditionalFormatting sqref="BZ3:BZ42">
    <cfRule type="containsText" dxfId="1296" priority="1319" operator="containsText" text="S">
      <formula>NOT(ISERROR(SEARCH("S",BZ3)))</formula>
    </cfRule>
    <cfRule type="containsText" dxfId="1295" priority="1320" operator="containsText" text="P">
      <formula>NOT(ISERROR(SEARCH("P",BZ3)))</formula>
    </cfRule>
    <cfRule type="containsText" dxfId="1294" priority="1321" operator="containsText" text="H">
      <formula>NOT(ISERROR(SEARCH("H",BZ3)))</formula>
    </cfRule>
    <cfRule type="containsText" dxfId="1293" priority="1322" operator="containsText" text="&quot;H&quot;">
      <formula>NOT(ISERROR(SEARCH("""H""",BZ3)))</formula>
    </cfRule>
    <cfRule type="containsText" dxfId="1292" priority="1323" operator="containsText" text="&quot;A&quot;">
      <formula>NOT(ISERROR(SEARCH("""A""",BZ3)))</formula>
    </cfRule>
  </conditionalFormatting>
  <conditionalFormatting sqref="CC3:CC42">
    <cfRule type="cellIs" dxfId="1291" priority="1313" operator="equal">
      <formula>"C-Off-H"</formula>
    </cfRule>
    <cfRule type="cellIs" dxfId="1290" priority="1314" operator="equal">
      <formula>"C-Off"</formula>
    </cfRule>
    <cfRule type="cellIs" dxfId="1289" priority="1315" operator="equal">
      <formula>"CL-H"</formula>
    </cfRule>
    <cfRule type="cellIs" dxfId="1288" priority="1316" operator="equal">
      <formula>"EL-H"</formula>
    </cfRule>
    <cfRule type="cellIs" dxfId="1287" priority="1317" operator="equal">
      <formula>"CL"</formula>
    </cfRule>
    <cfRule type="cellIs" dxfId="1286" priority="1318" operator="equal">
      <formula>"EL"</formula>
    </cfRule>
  </conditionalFormatting>
  <conditionalFormatting sqref="CC3:CC42">
    <cfRule type="containsText" dxfId="1285" priority="1312" operator="containsText" text="A-H">
      <formula>NOT(ISERROR(SEARCH("A-H",CC3)))</formula>
    </cfRule>
  </conditionalFormatting>
  <conditionalFormatting sqref="CC3:CC42">
    <cfRule type="containsText" dxfId="1284" priority="1311" operator="containsText" text="A">
      <formula>NOT(ISERROR(SEARCH("A",CC3)))</formula>
    </cfRule>
  </conditionalFormatting>
  <conditionalFormatting sqref="CC3:CC42">
    <cfRule type="containsText" dxfId="1283" priority="1306" operator="containsText" text="S">
      <formula>NOT(ISERROR(SEARCH("S",CC3)))</formula>
    </cfRule>
    <cfRule type="containsText" dxfId="1282" priority="1307" operator="containsText" text="P">
      <formula>NOT(ISERROR(SEARCH("P",CC3)))</formula>
    </cfRule>
    <cfRule type="containsText" dxfId="1281" priority="1308" operator="containsText" text="H">
      <formula>NOT(ISERROR(SEARCH("H",CC3)))</formula>
    </cfRule>
    <cfRule type="containsText" dxfId="1280" priority="1309" operator="containsText" text="&quot;H&quot;">
      <formula>NOT(ISERROR(SEARCH("""H""",CC3)))</formula>
    </cfRule>
    <cfRule type="containsText" dxfId="1279" priority="1310" operator="containsText" text="&quot;A&quot;">
      <formula>NOT(ISERROR(SEARCH("""A""",CC3)))</formula>
    </cfRule>
  </conditionalFormatting>
  <conditionalFormatting sqref="CF3:CF42">
    <cfRule type="cellIs" dxfId="1278" priority="1300" operator="equal">
      <formula>"C-Off-H"</formula>
    </cfRule>
    <cfRule type="cellIs" dxfId="1277" priority="1301" operator="equal">
      <formula>"C-Off"</formula>
    </cfRule>
    <cfRule type="cellIs" dxfId="1276" priority="1302" operator="equal">
      <formula>"CL-H"</formula>
    </cfRule>
    <cfRule type="cellIs" dxfId="1275" priority="1303" operator="equal">
      <formula>"EL-H"</formula>
    </cfRule>
    <cfRule type="cellIs" dxfId="1274" priority="1304" operator="equal">
      <formula>"CL"</formula>
    </cfRule>
    <cfRule type="cellIs" dxfId="1273" priority="1305" operator="equal">
      <formula>"EL"</formula>
    </cfRule>
  </conditionalFormatting>
  <conditionalFormatting sqref="CF3:CF42">
    <cfRule type="containsText" dxfId="1272" priority="1299" operator="containsText" text="A-H">
      <formula>NOT(ISERROR(SEARCH("A-H",CF3)))</formula>
    </cfRule>
  </conditionalFormatting>
  <conditionalFormatting sqref="CF3:CF42">
    <cfRule type="containsText" dxfId="1271" priority="1298" operator="containsText" text="A">
      <formula>NOT(ISERROR(SEARCH("A",CF3)))</formula>
    </cfRule>
  </conditionalFormatting>
  <conditionalFormatting sqref="CF3:CF42">
    <cfRule type="containsText" dxfId="1270" priority="1293" operator="containsText" text="S">
      <formula>NOT(ISERROR(SEARCH("S",CF3)))</formula>
    </cfRule>
    <cfRule type="containsText" dxfId="1269" priority="1294" operator="containsText" text="P">
      <formula>NOT(ISERROR(SEARCH("P",CF3)))</formula>
    </cfRule>
    <cfRule type="containsText" dxfId="1268" priority="1295" operator="containsText" text="H">
      <formula>NOT(ISERROR(SEARCH("H",CF3)))</formula>
    </cfRule>
    <cfRule type="containsText" dxfId="1267" priority="1296" operator="containsText" text="&quot;H&quot;">
      <formula>NOT(ISERROR(SEARCH("""H""",CF3)))</formula>
    </cfRule>
    <cfRule type="containsText" dxfId="1266" priority="1297" operator="containsText" text="&quot;A&quot;">
      <formula>NOT(ISERROR(SEARCH("""A""",CF3)))</formula>
    </cfRule>
  </conditionalFormatting>
  <conditionalFormatting sqref="CO3:CO42">
    <cfRule type="cellIs" dxfId="1252" priority="1274" operator="equal">
      <formula>"C-Off-H"</formula>
    </cfRule>
    <cfRule type="cellIs" dxfId="1251" priority="1275" operator="equal">
      <formula>"C-Off"</formula>
    </cfRule>
    <cfRule type="cellIs" dxfId="1250" priority="1276" operator="equal">
      <formula>"CL-H"</formula>
    </cfRule>
    <cfRule type="cellIs" dxfId="1249" priority="1277" operator="equal">
      <formula>"EL-H"</formula>
    </cfRule>
    <cfRule type="cellIs" dxfId="1248" priority="1278" operator="equal">
      <formula>"CL"</formula>
    </cfRule>
    <cfRule type="cellIs" dxfId="1247" priority="1279" operator="equal">
      <formula>"EL"</formula>
    </cfRule>
  </conditionalFormatting>
  <conditionalFormatting sqref="CO3:CO42">
    <cfRule type="containsText" dxfId="1246" priority="1273" operator="containsText" text="A-H">
      <formula>NOT(ISERROR(SEARCH("A-H",CO3)))</formula>
    </cfRule>
  </conditionalFormatting>
  <conditionalFormatting sqref="CO3:CO42">
    <cfRule type="containsText" dxfId="1245" priority="1272" operator="containsText" text="A">
      <formula>NOT(ISERROR(SEARCH("A",CO3)))</formula>
    </cfRule>
  </conditionalFormatting>
  <conditionalFormatting sqref="CO3:CO42">
    <cfRule type="containsText" dxfId="1244" priority="1267" operator="containsText" text="S">
      <formula>NOT(ISERROR(SEARCH("S",CO3)))</formula>
    </cfRule>
    <cfRule type="containsText" dxfId="1243" priority="1268" operator="containsText" text="P">
      <formula>NOT(ISERROR(SEARCH("P",CO3)))</formula>
    </cfRule>
    <cfRule type="containsText" dxfId="1242" priority="1269" operator="containsText" text="H">
      <formula>NOT(ISERROR(SEARCH("H",CO3)))</formula>
    </cfRule>
    <cfRule type="containsText" dxfId="1241" priority="1270" operator="containsText" text="&quot;H&quot;">
      <formula>NOT(ISERROR(SEARCH("""H""",CO3)))</formula>
    </cfRule>
    <cfRule type="containsText" dxfId="1240" priority="1271" operator="containsText" text="&quot;A&quot;">
      <formula>NOT(ISERROR(SEARCH("""A""",CO3)))</formula>
    </cfRule>
  </conditionalFormatting>
  <conditionalFormatting sqref="CK4:CK5">
    <cfRule type="cellIs" dxfId="1239" priority="1248" operator="equal">
      <formula>"C-Off-H"</formula>
    </cfRule>
    <cfRule type="cellIs" dxfId="1238" priority="1249" operator="equal">
      <formula>"C-Off"</formula>
    </cfRule>
    <cfRule type="cellIs" dxfId="1237" priority="1250" operator="equal">
      <formula>"CL-H"</formula>
    </cfRule>
    <cfRule type="cellIs" dxfId="1236" priority="1251" operator="equal">
      <formula>"EL-H"</formula>
    </cfRule>
    <cfRule type="cellIs" dxfId="1235" priority="1252" operator="equal">
      <formula>"CL"</formula>
    </cfRule>
    <cfRule type="cellIs" dxfId="1234" priority="1253" operator="equal">
      <formula>"EL"</formula>
    </cfRule>
  </conditionalFormatting>
  <conditionalFormatting sqref="CK4:CK5 CJ43:CL1048576">
    <cfRule type="containsText" dxfId="1233" priority="1247" operator="containsText" text="A-H">
      <formula>NOT(ISERROR(SEARCH("A-H",CJ4)))</formula>
    </cfRule>
  </conditionalFormatting>
  <conditionalFormatting sqref="CK4:CK5">
    <cfRule type="containsText" dxfId="1232" priority="1246" operator="containsText" text="A">
      <formula>NOT(ISERROR(SEARCH("A",CK4)))</formula>
    </cfRule>
  </conditionalFormatting>
  <conditionalFormatting sqref="CK4:CK5">
    <cfRule type="containsText" dxfId="1231" priority="1241" operator="containsText" text="S">
      <formula>NOT(ISERROR(SEARCH("S",CK4)))</formula>
    </cfRule>
    <cfRule type="containsText" dxfId="1230" priority="1242" operator="containsText" text="P">
      <formula>NOT(ISERROR(SEARCH("P",CK4)))</formula>
    </cfRule>
    <cfRule type="containsText" dxfId="1229" priority="1243" operator="containsText" text="H">
      <formula>NOT(ISERROR(SEARCH("H",CK4)))</formula>
    </cfRule>
    <cfRule type="containsText" dxfId="1228" priority="1244" operator="containsText" text="&quot;H&quot;">
      <formula>NOT(ISERROR(SEARCH("""H""",CK4)))</formula>
    </cfRule>
    <cfRule type="containsText" dxfId="1227" priority="1245" operator="containsText" text="&quot;A&quot;">
      <formula>NOT(ISERROR(SEARCH("""A""",CK4)))</formula>
    </cfRule>
  </conditionalFormatting>
  <conditionalFormatting sqref="CJ5">
    <cfRule type="cellIs" dxfId="1226" priority="1235" operator="equal">
      <formula>"C-Off-H"</formula>
    </cfRule>
    <cfRule type="cellIs" dxfId="1225" priority="1236" operator="equal">
      <formula>"C-Off"</formula>
    </cfRule>
    <cfRule type="cellIs" dxfId="1224" priority="1237" operator="equal">
      <formula>"CL-H"</formula>
    </cfRule>
    <cfRule type="cellIs" dxfId="1223" priority="1238" operator="equal">
      <formula>"EL-H"</formula>
    </cfRule>
    <cfRule type="cellIs" dxfId="1222" priority="1239" operator="equal">
      <formula>"CL"</formula>
    </cfRule>
    <cfRule type="cellIs" dxfId="1221" priority="1240" operator="equal">
      <formula>"EL"</formula>
    </cfRule>
  </conditionalFormatting>
  <conditionalFormatting sqref="CJ5">
    <cfRule type="cellIs" dxfId="1220" priority="1229" operator="equal">
      <formula>"C-Off-H"</formula>
    </cfRule>
    <cfRule type="cellIs" dxfId="1219" priority="1230" operator="equal">
      <formula>"C-Off"</formula>
    </cfRule>
    <cfRule type="cellIs" dxfId="1218" priority="1231" operator="equal">
      <formula>"CL-H"</formula>
    </cfRule>
    <cfRule type="cellIs" dxfId="1217" priority="1232" operator="equal">
      <formula>"EL-H"</formula>
    </cfRule>
    <cfRule type="cellIs" dxfId="1216" priority="1233" operator="equal">
      <formula>"CL"</formula>
    </cfRule>
    <cfRule type="cellIs" dxfId="1215" priority="1234" operator="equal">
      <formula>"EL"</formula>
    </cfRule>
  </conditionalFormatting>
  <conditionalFormatting sqref="CJ5">
    <cfRule type="containsText" dxfId="1214" priority="1223" operator="containsText" text="S">
      <formula>NOT(ISERROR(SEARCH("S",CJ5)))</formula>
    </cfRule>
    <cfRule type="containsText" dxfId="1213" priority="1224" operator="containsText" text="P">
      <formula>NOT(ISERROR(SEARCH("P",CJ5)))</formula>
    </cfRule>
    <cfRule type="containsText" dxfId="1212" priority="1225" operator="containsText" text="H">
      <formula>NOT(ISERROR(SEARCH("H",CJ5)))</formula>
    </cfRule>
    <cfRule type="containsText" dxfId="1211" priority="1227" operator="containsText" text="&quot;H&quot;">
      <formula>NOT(ISERROR(SEARCH("""H""",CJ5)))</formula>
    </cfRule>
    <cfRule type="containsText" dxfId="1210" priority="1228" operator="containsText" text="&quot;A&quot;">
      <formula>NOT(ISERROR(SEARCH("""A""",CJ5)))</formula>
    </cfRule>
  </conditionalFormatting>
  <conditionalFormatting sqref="CJ5">
    <cfRule type="containsText" dxfId="1209" priority="1226" operator="containsText" text="A-H">
      <formula>NOT(ISERROR(SEARCH("A-H",CJ5)))</formula>
    </cfRule>
  </conditionalFormatting>
  <conditionalFormatting sqref="CJ6">
    <cfRule type="cellIs" dxfId="1208" priority="1217" operator="equal">
      <formula>"C-Off-H"</formula>
    </cfRule>
    <cfRule type="cellIs" dxfId="1207" priority="1218" operator="equal">
      <formula>"C-Off"</formula>
    </cfRule>
    <cfRule type="cellIs" dxfId="1206" priority="1219" operator="equal">
      <formula>"CL-H"</formula>
    </cfRule>
    <cfRule type="cellIs" dxfId="1205" priority="1220" operator="equal">
      <formula>"EL-H"</formula>
    </cfRule>
    <cfRule type="cellIs" dxfId="1204" priority="1221" operator="equal">
      <formula>"CL"</formula>
    </cfRule>
    <cfRule type="cellIs" dxfId="1203" priority="1222" operator="equal">
      <formula>"EL"</formula>
    </cfRule>
  </conditionalFormatting>
  <conditionalFormatting sqref="CJ6">
    <cfRule type="cellIs" dxfId="1202" priority="1211" operator="equal">
      <formula>"C-Off-H"</formula>
    </cfRule>
    <cfRule type="cellIs" dxfId="1201" priority="1212" operator="equal">
      <formula>"C-Off"</formula>
    </cfRule>
    <cfRule type="cellIs" dxfId="1200" priority="1213" operator="equal">
      <formula>"CL-H"</formula>
    </cfRule>
    <cfRule type="cellIs" dxfId="1199" priority="1214" operator="equal">
      <formula>"EL-H"</formula>
    </cfRule>
    <cfRule type="cellIs" dxfId="1198" priority="1215" operator="equal">
      <formula>"CL"</formula>
    </cfRule>
    <cfRule type="cellIs" dxfId="1197" priority="1216" operator="equal">
      <formula>"EL"</formula>
    </cfRule>
  </conditionalFormatting>
  <conditionalFormatting sqref="CJ6">
    <cfRule type="containsText" dxfId="1196" priority="1205" operator="containsText" text="S">
      <formula>NOT(ISERROR(SEARCH("S",CJ6)))</formula>
    </cfRule>
    <cfRule type="containsText" dxfId="1195" priority="1206" operator="containsText" text="P">
      <formula>NOT(ISERROR(SEARCH("P",CJ6)))</formula>
    </cfRule>
    <cfRule type="containsText" dxfId="1194" priority="1207" operator="containsText" text="H">
      <formula>NOT(ISERROR(SEARCH("H",CJ6)))</formula>
    </cfRule>
    <cfRule type="containsText" dxfId="1193" priority="1209" operator="containsText" text="&quot;H&quot;">
      <formula>NOT(ISERROR(SEARCH("""H""",CJ6)))</formula>
    </cfRule>
    <cfRule type="containsText" dxfId="1192" priority="1210" operator="containsText" text="&quot;A&quot;">
      <formula>NOT(ISERROR(SEARCH("""A""",CJ6)))</formula>
    </cfRule>
  </conditionalFormatting>
  <conditionalFormatting sqref="CJ6">
    <cfRule type="containsText" dxfId="1191" priority="1208" operator="containsText" text="A-H">
      <formula>NOT(ISERROR(SEARCH("A-H",CJ6)))</formula>
    </cfRule>
  </conditionalFormatting>
  <conditionalFormatting sqref="CJ4">
    <cfRule type="cellIs" dxfId="1190" priority="1199" operator="equal">
      <formula>"C-Off-H"</formula>
    </cfRule>
    <cfRule type="cellIs" dxfId="1189" priority="1200" operator="equal">
      <formula>"C-Off"</formula>
    </cfRule>
    <cfRule type="cellIs" dxfId="1188" priority="1201" operator="equal">
      <formula>"CL-H"</formula>
    </cfRule>
    <cfRule type="cellIs" dxfId="1187" priority="1202" operator="equal">
      <formula>"EL-H"</formula>
    </cfRule>
    <cfRule type="cellIs" dxfId="1186" priority="1203" operator="equal">
      <formula>"CL"</formula>
    </cfRule>
    <cfRule type="cellIs" dxfId="1185" priority="1204" operator="equal">
      <formula>"EL"</formula>
    </cfRule>
  </conditionalFormatting>
  <conditionalFormatting sqref="CJ4">
    <cfRule type="cellIs" dxfId="1184" priority="1193" operator="equal">
      <formula>"C-Off-H"</formula>
    </cfRule>
    <cfRule type="cellIs" dxfId="1183" priority="1194" operator="equal">
      <formula>"C-Off"</formula>
    </cfRule>
    <cfRule type="cellIs" dxfId="1182" priority="1195" operator="equal">
      <formula>"CL-H"</formula>
    </cfRule>
    <cfRule type="cellIs" dxfId="1181" priority="1196" operator="equal">
      <formula>"EL-H"</formula>
    </cfRule>
    <cfRule type="cellIs" dxfId="1180" priority="1197" operator="equal">
      <formula>"CL"</formula>
    </cfRule>
    <cfRule type="cellIs" dxfId="1179" priority="1198" operator="equal">
      <formula>"EL"</formula>
    </cfRule>
  </conditionalFormatting>
  <conditionalFormatting sqref="CJ4">
    <cfRule type="containsText" dxfId="1178" priority="1187" operator="containsText" text="S">
      <formula>NOT(ISERROR(SEARCH("S",CJ4)))</formula>
    </cfRule>
    <cfRule type="containsText" dxfId="1177" priority="1188" operator="containsText" text="P">
      <formula>NOT(ISERROR(SEARCH("P",CJ4)))</formula>
    </cfRule>
    <cfRule type="containsText" dxfId="1176" priority="1189" operator="containsText" text="H">
      <formula>NOT(ISERROR(SEARCH("H",CJ4)))</formula>
    </cfRule>
    <cfRule type="containsText" dxfId="1175" priority="1191" operator="containsText" text="&quot;H&quot;">
      <formula>NOT(ISERROR(SEARCH("""H""",CJ4)))</formula>
    </cfRule>
    <cfRule type="containsText" dxfId="1174" priority="1192" operator="containsText" text="&quot;A&quot;">
      <formula>NOT(ISERROR(SEARCH("""A""",CJ4)))</formula>
    </cfRule>
  </conditionalFormatting>
  <conditionalFormatting sqref="CJ4">
    <cfRule type="containsText" dxfId="1173" priority="1190" operator="containsText" text="A-H">
      <formula>NOT(ISERROR(SEARCH("A-H",CJ4)))</formula>
    </cfRule>
  </conditionalFormatting>
  <conditionalFormatting sqref="CK6">
    <cfRule type="cellIs" dxfId="1172" priority="1181" operator="equal">
      <formula>"C-Off-H"</formula>
    </cfRule>
    <cfRule type="cellIs" dxfId="1171" priority="1182" operator="equal">
      <formula>"C-Off"</formula>
    </cfRule>
    <cfRule type="cellIs" dxfId="1170" priority="1183" operator="equal">
      <formula>"CL-H"</formula>
    </cfRule>
    <cfRule type="cellIs" dxfId="1169" priority="1184" operator="equal">
      <formula>"EL-H"</formula>
    </cfRule>
    <cfRule type="cellIs" dxfId="1168" priority="1185" operator="equal">
      <formula>"CL"</formula>
    </cfRule>
    <cfRule type="cellIs" dxfId="1167" priority="1186" operator="equal">
      <formula>"EL"</formula>
    </cfRule>
  </conditionalFormatting>
  <conditionalFormatting sqref="CK6">
    <cfRule type="containsText" dxfId="1166" priority="1180" operator="containsText" text="A-H">
      <formula>NOT(ISERROR(SEARCH("A-H",CK6)))</formula>
    </cfRule>
  </conditionalFormatting>
  <conditionalFormatting sqref="CK6">
    <cfRule type="containsText" dxfId="1165" priority="1179" operator="containsText" text="A">
      <formula>NOT(ISERROR(SEARCH("A",CK6)))</formula>
    </cfRule>
  </conditionalFormatting>
  <conditionalFormatting sqref="CK6">
    <cfRule type="containsText" dxfId="1164" priority="1174" operator="containsText" text="S">
      <formula>NOT(ISERROR(SEARCH("S",CK6)))</formula>
    </cfRule>
    <cfRule type="containsText" dxfId="1163" priority="1175" operator="containsText" text="P">
      <formula>NOT(ISERROR(SEARCH("P",CK6)))</formula>
    </cfRule>
    <cfRule type="containsText" dxfId="1162" priority="1176" operator="containsText" text="H">
      <formula>NOT(ISERROR(SEARCH("H",CK6)))</formula>
    </cfRule>
    <cfRule type="containsText" dxfId="1161" priority="1177" operator="containsText" text="&quot;H&quot;">
      <formula>NOT(ISERROR(SEARCH("""H""",CK6)))</formula>
    </cfRule>
    <cfRule type="containsText" dxfId="1160" priority="1178" operator="containsText" text="&quot;A&quot;">
      <formula>NOT(ISERROR(SEARCH("""A""",CK6)))</formula>
    </cfRule>
  </conditionalFormatting>
  <conditionalFormatting sqref="CJ3">
    <cfRule type="cellIs" dxfId="1159" priority="1168" operator="equal">
      <formula>"C-Off-H"</formula>
    </cfRule>
    <cfRule type="cellIs" dxfId="1158" priority="1169" operator="equal">
      <formula>"C-Off"</formula>
    </cfRule>
    <cfRule type="cellIs" dxfId="1157" priority="1170" operator="equal">
      <formula>"CL-H"</formula>
    </cfRule>
    <cfRule type="cellIs" dxfId="1156" priority="1171" operator="equal">
      <formula>"EL-H"</formula>
    </cfRule>
    <cfRule type="cellIs" dxfId="1155" priority="1172" operator="equal">
      <formula>"CL"</formula>
    </cfRule>
    <cfRule type="cellIs" dxfId="1154" priority="1173" operator="equal">
      <formula>"EL"</formula>
    </cfRule>
  </conditionalFormatting>
  <conditionalFormatting sqref="CJ3">
    <cfRule type="cellIs" dxfId="1153" priority="1162" operator="equal">
      <formula>"C-Off-H"</formula>
    </cfRule>
    <cfRule type="cellIs" dxfId="1152" priority="1163" operator="equal">
      <formula>"C-Off"</formula>
    </cfRule>
    <cfRule type="cellIs" dxfId="1151" priority="1164" operator="equal">
      <formula>"CL-H"</formula>
    </cfRule>
    <cfRule type="cellIs" dxfId="1150" priority="1165" operator="equal">
      <formula>"EL-H"</formula>
    </cfRule>
    <cfRule type="cellIs" dxfId="1149" priority="1166" operator="equal">
      <formula>"CL"</formula>
    </cfRule>
    <cfRule type="cellIs" dxfId="1148" priority="1167" operator="equal">
      <formula>"EL"</formula>
    </cfRule>
  </conditionalFormatting>
  <conditionalFormatting sqref="CJ3">
    <cfRule type="containsText" dxfId="1147" priority="1156" operator="containsText" text="S">
      <formula>NOT(ISERROR(SEARCH("S",CJ3)))</formula>
    </cfRule>
    <cfRule type="containsText" dxfId="1146" priority="1157" operator="containsText" text="P">
      <formula>NOT(ISERROR(SEARCH("P",CJ3)))</formula>
    </cfRule>
    <cfRule type="containsText" dxfId="1145" priority="1158" operator="containsText" text="H">
      <formula>NOT(ISERROR(SEARCH("H",CJ3)))</formula>
    </cfRule>
    <cfRule type="containsText" dxfId="1144" priority="1160" operator="containsText" text="&quot;H&quot;">
      <formula>NOT(ISERROR(SEARCH("""H""",CJ3)))</formula>
    </cfRule>
    <cfRule type="containsText" dxfId="1143" priority="1161" operator="containsText" text="&quot;A&quot;">
      <formula>NOT(ISERROR(SEARCH("""A""",CJ3)))</formula>
    </cfRule>
  </conditionalFormatting>
  <conditionalFormatting sqref="CJ3">
    <cfRule type="containsText" dxfId="1142" priority="1159" operator="containsText" text="A-H">
      <formula>NOT(ISERROR(SEARCH("A-H",CJ3)))</formula>
    </cfRule>
  </conditionalFormatting>
  <conditionalFormatting sqref="CK3">
    <cfRule type="cellIs" dxfId="1141" priority="1150" operator="equal">
      <formula>"C-Off-H"</formula>
    </cfRule>
    <cfRule type="cellIs" dxfId="1140" priority="1151" operator="equal">
      <formula>"C-Off"</formula>
    </cfRule>
    <cfRule type="cellIs" dxfId="1139" priority="1152" operator="equal">
      <formula>"CL-H"</formula>
    </cfRule>
    <cfRule type="cellIs" dxfId="1138" priority="1153" operator="equal">
      <formula>"EL-H"</formula>
    </cfRule>
    <cfRule type="cellIs" dxfId="1137" priority="1154" operator="equal">
      <formula>"CL"</formula>
    </cfRule>
    <cfRule type="cellIs" dxfId="1136" priority="1155" operator="equal">
      <formula>"EL"</formula>
    </cfRule>
  </conditionalFormatting>
  <conditionalFormatting sqref="CK3">
    <cfRule type="containsText" dxfId="1135" priority="1149" operator="containsText" text="A-H">
      <formula>NOT(ISERROR(SEARCH("A-H",CK3)))</formula>
    </cfRule>
  </conditionalFormatting>
  <conditionalFormatting sqref="CK3">
    <cfRule type="containsText" dxfId="1134" priority="1148" operator="containsText" text="A">
      <formula>NOT(ISERROR(SEARCH("A",CK3)))</formula>
    </cfRule>
  </conditionalFormatting>
  <conditionalFormatting sqref="CK3">
    <cfRule type="containsText" dxfId="1133" priority="1143" operator="containsText" text="S">
      <formula>NOT(ISERROR(SEARCH("S",CK3)))</formula>
    </cfRule>
    <cfRule type="containsText" dxfId="1132" priority="1144" operator="containsText" text="P">
      <formula>NOT(ISERROR(SEARCH("P",CK3)))</formula>
    </cfRule>
    <cfRule type="containsText" dxfId="1131" priority="1145" operator="containsText" text="H">
      <formula>NOT(ISERROR(SEARCH("H",CK3)))</formula>
    </cfRule>
    <cfRule type="containsText" dxfId="1130" priority="1146" operator="containsText" text="&quot;H&quot;">
      <formula>NOT(ISERROR(SEARCH("""H""",CK3)))</formula>
    </cfRule>
    <cfRule type="containsText" dxfId="1129" priority="1147" operator="containsText" text="&quot;A&quot;">
      <formula>NOT(ISERROR(SEARCH("""A""",CK3)))</formula>
    </cfRule>
  </conditionalFormatting>
  <conditionalFormatting sqref="CK8:CK9">
    <cfRule type="cellIs" dxfId="1128" priority="1137" operator="equal">
      <formula>"C-Off-H"</formula>
    </cfRule>
    <cfRule type="cellIs" dxfId="1127" priority="1138" operator="equal">
      <formula>"C-Off"</formula>
    </cfRule>
    <cfRule type="cellIs" dxfId="1126" priority="1139" operator="equal">
      <formula>"CL-H"</formula>
    </cfRule>
    <cfRule type="cellIs" dxfId="1125" priority="1140" operator="equal">
      <formula>"EL-H"</formula>
    </cfRule>
    <cfRule type="cellIs" dxfId="1124" priority="1141" operator="equal">
      <formula>"CL"</formula>
    </cfRule>
    <cfRule type="cellIs" dxfId="1123" priority="1142" operator="equal">
      <formula>"EL"</formula>
    </cfRule>
  </conditionalFormatting>
  <conditionalFormatting sqref="CK8:CK9">
    <cfRule type="containsText" dxfId="1122" priority="1136" operator="containsText" text="A-H">
      <formula>NOT(ISERROR(SEARCH("A-H",CK8)))</formula>
    </cfRule>
  </conditionalFormatting>
  <conditionalFormatting sqref="CK8:CK9">
    <cfRule type="containsText" dxfId="1121" priority="1135" operator="containsText" text="A">
      <formula>NOT(ISERROR(SEARCH("A",CK8)))</formula>
    </cfRule>
  </conditionalFormatting>
  <conditionalFormatting sqref="CK8:CK9">
    <cfRule type="containsText" dxfId="1120" priority="1130" operator="containsText" text="S">
      <formula>NOT(ISERROR(SEARCH("S",CK8)))</formula>
    </cfRule>
    <cfRule type="containsText" dxfId="1119" priority="1131" operator="containsText" text="P">
      <formula>NOT(ISERROR(SEARCH("P",CK8)))</formula>
    </cfRule>
    <cfRule type="containsText" dxfId="1118" priority="1132" operator="containsText" text="H">
      <formula>NOT(ISERROR(SEARCH("H",CK8)))</formula>
    </cfRule>
    <cfRule type="containsText" dxfId="1117" priority="1133" operator="containsText" text="&quot;H&quot;">
      <formula>NOT(ISERROR(SEARCH("""H""",CK8)))</formula>
    </cfRule>
    <cfRule type="containsText" dxfId="1116" priority="1134" operator="containsText" text="&quot;A&quot;">
      <formula>NOT(ISERROR(SEARCH("""A""",CK8)))</formula>
    </cfRule>
  </conditionalFormatting>
  <conditionalFormatting sqref="CJ9">
    <cfRule type="cellIs" dxfId="1115" priority="1124" operator="equal">
      <formula>"C-Off-H"</formula>
    </cfRule>
    <cfRule type="cellIs" dxfId="1114" priority="1125" operator="equal">
      <formula>"C-Off"</formula>
    </cfRule>
    <cfRule type="cellIs" dxfId="1113" priority="1126" operator="equal">
      <formula>"CL-H"</formula>
    </cfRule>
    <cfRule type="cellIs" dxfId="1112" priority="1127" operator="equal">
      <formula>"EL-H"</formula>
    </cfRule>
    <cfRule type="cellIs" dxfId="1111" priority="1128" operator="equal">
      <formula>"CL"</formula>
    </cfRule>
    <cfRule type="cellIs" dxfId="1110" priority="1129" operator="equal">
      <formula>"EL"</formula>
    </cfRule>
  </conditionalFormatting>
  <conditionalFormatting sqref="CJ9">
    <cfRule type="cellIs" dxfId="1109" priority="1118" operator="equal">
      <formula>"C-Off-H"</formula>
    </cfRule>
    <cfRule type="cellIs" dxfId="1108" priority="1119" operator="equal">
      <formula>"C-Off"</formula>
    </cfRule>
    <cfRule type="cellIs" dxfId="1107" priority="1120" operator="equal">
      <formula>"CL-H"</formula>
    </cfRule>
    <cfRule type="cellIs" dxfId="1106" priority="1121" operator="equal">
      <formula>"EL-H"</formula>
    </cfRule>
    <cfRule type="cellIs" dxfId="1105" priority="1122" operator="equal">
      <formula>"CL"</formula>
    </cfRule>
    <cfRule type="cellIs" dxfId="1104" priority="1123" operator="equal">
      <formula>"EL"</formula>
    </cfRule>
  </conditionalFormatting>
  <conditionalFormatting sqref="CJ9">
    <cfRule type="containsText" dxfId="1103" priority="1112" operator="containsText" text="S">
      <formula>NOT(ISERROR(SEARCH("S",CJ9)))</formula>
    </cfRule>
    <cfRule type="containsText" dxfId="1102" priority="1113" operator="containsText" text="P">
      <formula>NOT(ISERROR(SEARCH("P",CJ9)))</formula>
    </cfRule>
    <cfRule type="containsText" dxfId="1101" priority="1114" operator="containsText" text="H">
      <formula>NOT(ISERROR(SEARCH("H",CJ9)))</formula>
    </cfRule>
    <cfRule type="containsText" dxfId="1100" priority="1116" operator="containsText" text="&quot;H&quot;">
      <formula>NOT(ISERROR(SEARCH("""H""",CJ9)))</formula>
    </cfRule>
    <cfRule type="containsText" dxfId="1099" priority="1117" operator="containsText" text="&quot;A&quot;">
      <formula>NOT(ISERROR(SEARCH("""A""",CJ9)))</formula>
    </cfRule>
  </conditionalFormatting>
  <conditionalFormatting sqref="CJ9">
    <cfRule type="containsText" dxfId="1098" priority="1115" operator="containsText" text="A-H">
      <formula>NOT(ISERROR(SEARCH("A-H",CJ9)))</formula>
    </cfRule>
  </conditionalFormatting>
  <conditionalFormatting sqref="CJ10">
    <cfRule type="cellIs" dxfId="1097" priority="1106" operator="equal">
      <formula>"C-Off-H"</formula>
    </cfRule>
    <cfRule type="cellIs" dxfId="1096" priority="1107" operator="equal">
      <formula>"C-Off"</formula>
    </cfRule>
    <cfRule type="cellIs" dxfId="1095" priority="1108" operator="equal">
      <formula>"CL-H"</formula>
    </cfRule>
    <cfRule type="cellIs" dxfId="1094" priority="1109" operator="equal">
      <formula>"EL-H"</formula>
    </cfRule>
    <cfRule type="cellIs" dxfId="1093" priority="1110" operator="equal">
      <formula>"CL"</formula>
    </cfRule>
    <cfRule type="cellIs" dxfId="1092" priority="1111" operator="equal">
      <formula>"EL"</formula>
    </cfRule>
  </conditionalFormatting>
  <conditionalFormatting sqref="CJ10">
    <cfRule type="cellIs" dxfId="1091" priority="1100" operator="equal">
      <formula>"C-Off-H"</formula>
    </cfRule>
    <cfRule type="cellIs" dxfId="1090" priority="1101" operator="equal">
      <formula>"C-Off"</formula>
    </cfRule>
    <cfRule type="cellIs" dxfId="1089" priority="1102" operator="equal">
      <formula>"CL-H"</formula>
    </cfRule>
    <cfRule type="cellIs" dxfId="1088" priority="1103" operator="equal">
      <formula>"EL-H"</formula>
    </cfRule>
    <cfRule type="cellIs" dxfId="1087" priority="1104" operator="equal">
      <formula>"CL"</formula>
    </cfRule>
    <cfRule type="cellIs" dxfId="1086" priority="1105" operator="equal">
      <formula>"EL"</formula>
    </cfRule>
  </conditionalFormatting>
  <conditionalFormatting sqref="CJ10">
    <cfRule type="containsText" dxfId="1085" priority="1094" operator="containsText" text="S">
      <formula>NOT(ISERROR(SEARCH("S",CJ10)))</formula>
    </cfRule>
    <cfRule type="containsText" dxfId="1084" priority="1095" operator="containsText" text="P">
      <formula>NOT(ISERROR(SEARCH("P",CJ10)))</formula>
    </cfRule>
    <cfRule type="containsText" dxfId="1083" priority="1096" operator="containsText" text="H">
      <formula>NOT(ISERROR(SEARCH("H",CJ10)))</formula>
    </cfRule>
    <cfRule type="containsText" dxfId="1082" priority="1098" operator="containsText" text="&quot;H&quot;">
      <formula>NOT(ISERROR(SEARCH("""H""",CJ10)))</formula>
    </cfRule>
    <cfRule type="containsText" dxfId="1081" priority="1099" operator="containsText" text="&quot;A&quot;">
      <formula>NOT(ISERROR(SEARCH("""A""",CJ10)))</formula>
    </cfRule>
  </conditionalFormatting>
  <conditionalFormatting sqref="CJ10">
    <cfRule type="containsText" dxfId="1080" priority="1097" operator="containsText" text="A-H">
      <formula>NOT(ISERROR(SEARCH("A-H",CJ10)))</formula>
    </cfRule>
  </conditionalFormatting>
  <conditionalFormatting sqref="CJ8">
    <cfRule type="cellIs" dxfId="1079" priority="1088" operator="equal">
      <formula>"C-Off-H"</formula>
    </cfRule>
    <cfRule type="cellIs" dxfId="1078" priority="1089" operator="equal">
      <formula>"C-Off"</formula>
    </cfRule>
    <cfRule type="cellIs" dxfId="1077" priority="1090" operator="equal">
      <formula>"CL-H"</formula>
    </cfRule>
    <cfRule type="cellIs" dxfId="1076" priority="1091" operator="equal">
      <formula>"EL-H"</formula>
    </cfRule>
    <cfRule type="cellIs" dxfId="1075" priority="1092" operator="equal">
      <formula>"CL"</formula>
    </cfRule>
    <cfRule type="cellIs" dxfId="1074" priority="1093" operator="equal">
      <formula>"EL"</formula>
    </cfRule>
  </conditionalFormatting>
  <conditionalFormatting sqref="CJ8">
    <cfRule type="cellIs" dxfId="1073" priority="1082" operator="equal">
      <formula>"C-Off-H"</formula>
    </cfRule>
    <cfRule type="cellIs" dxfId="1072" priority="1083" operator="equal">
      <formula>"C-Off"</formula>
    </cfRule>
    <cfRule type="cellIs" dxfId="1071" priority="1084" operator="equal">
      <formula>"CL-H"</formula>
    </cfRule>
    <cfRule type="cellIs" dxfId="1070" priority="1085" operator="equal">
      <formula>"EL-H"</formula>
    </cfRule>
    <cfRule type="cellIs" dxfId="1069" priority="1086" operator="equal">
      <formula>"CL"</formula>
    </cfRule>
    <cfRule type="cellIs" dxfId="1068" priority="1087" operator="equal">
      <formula>"EL"</formula>
    </cfRule>
  </conditionalFormatting>
  <conditionalFormatting sqref="CJ8">
    <cfRule type="containsText" dxfId="1067" priority="1076" operator="containsText" text="S">
      <formula>NOT(ISERROR(SEARCH("S",CJ8)))</formula>
    </cfRule>
    <cfRule type="containsText" dxfId="1066" priority="1077" operator="containsText" text="P">
      <formula>NOT(ISERROR(SEARCH("P",CJ8)))</formula>
    </cfRule>
    <cfRule type="containsText" dxfId="1065" priority="1078" operator="containsText" text="H">
      <formula>NOT(ISERROR(SEARCH("H",CJ8)))</formula>
    </cfRule>
    <cfRule type="containsText" dxfId="1064" priority="1080" operator="containsText" text="&quot;H&quot;">
      <formula>NOT(ISERROR(SEARCH("""H""",CJ8)))</formula>
    </cfRule>
    <cfRule type="containsText" dxfId="1063" priority="1081" operator="containsText" text="&quot;A&quot;">
      <formula>NOT(ISERROR(SEARCH("""A""",CJ8)))</formula>
    </cfRule>
  </conditionalFormatting>
  <conditionalFormatting sqref="CJ8">
    <cfRule type="containsText" dxfId="1062" priority="1079" operator="containsText" text="A-H">
      <formula>NOT(ISERROR(SEARCH("A-H",CJ8)))</formula>
    </cfRule>
  </conditionalFormatting>
  <conditionalFormatting sqref="CK10">
    <cfRule type="cellIs" dxfId="1061" priority="1070" operator="equal">
      <formula>"C-Off-H"</formula>
    </cfRule>
    <cfRule type="cellIs" dxfId="1060" priority="1071" operator="equal">
      <formula>"C-Off"</formula>
    </cfRule>
    <cfRule type="cellIs" dxfId="1059" priority="1072" operator="equal">
      <formula>"CL-H"</formula>
    </cfRule>
    <cfRule type="cellIs" dxfId="1058" priority="1073" operator="equal">
      <formula>"EL-H"</formula>
    </cfRule>
    <cfRule type="cellIs" dxfId="1057" priority="1074" operator="equal">
      <formula>"CL"</formula>
    </cfRule>
    <cfRule type="cellIs" dxfId="1056" priority="1075" operator="equal">
      <formula>"EL"</formula>
    </cfRule>
  </conditionalFormatting>
  <conditionalFormatting sqref="CK10">
    <cfRule type="containsText" dxfId="1055" priority="1069" operator="containsText" text="A-H">
      <formula>NOT(ISERROR(SEARCH("A-H",CK10)))</formula>
    </cfRule>
  </conditionalFormatting>
  <conditionalFormatting sqref="CK10">
    <cfRule type="containsText" dxfId="1054" priority="1068" operator="containsText" text="A">
      <formula>NOT(ISERROR(SEARCH("A",CK10)))</formula>
    </cfRule>
  </conditionalFormatting>
  <conditionalFormatting sqref="CK10">
    <cfRule type="containsText" dxfId="1053" priority="1063" operator="containsText" text="S">
      <formula>NOT(ISERROR(SEARCH("S",CK10)))</formula>
    </cfRule>
    <cfRule type="containsText" dxfId="1052" priority="1064" operator="containsText" text="P">
      <formula>NOT(ISERROR(SEARCH("P",CK10)))</formula>
    </cfRule>
    <cfRule type="containsText" dxfId="1051" priority="1065" operator="containsText" text="H">
      <formula>NOT(ISERROR(SEARCH("H",CK10)))</formula>
    </cfRule>
    <cfRule type="containsText" dxfId="1050" priority="1066" operator="containsText" text="&quot;H&quot;">
      <formula>NOT(ISERROR(SEARCH("""H""",CK10)))</formula>
    </cfRule>
    <cfRule type="containsText" dxfId="1049" priority="1067" operator="containsText" text="&quot;A&quot;">
      <formula>NOT(ISERROR(SEARCH("""A""",CK10)))</formula>
    </cfRule>
  </conditionalFormatting>
  <conditionalFormatting sqref="CJ7">
    <cfRule type="cellIs" dxfId="1048" priority="1057" operator="equal">
      <formula>"C-Off-H"</formula>
    </cfRule>
    <cfRule type="cellIs" dxfId="1047" priority="1058" operator="equal">
      <formula>"C-Off"</formula>
    </cfRule>
    <cfRule type="cellIs" dxfId="1046" priority="1059" operator="equal">
      <formula>"CL-H"</formula>
    </cfRule>
    <cfRule type="cellIs" dxfId="1045" priority="1060" operator="equal">
      <formula>"EL-H"</formula>
    </cfRule>
    <cfRule type="cellIs" dxfId="1044" priority="1061" operator="equal">
      <formula>"CL"</formula>
    </cfRule>
    <cfRule type="cellIs" dxfId="1043" priority="1062" operator="equal">
      <formula>"EL"</formula>
    </cfRule>
  </conditionalFormatting>
  <conditionalFormatting sqref="CJ7">
    <cfRule type="cellIs" dxfId="1042" priority="1051" operator="equal">
      <formula>"C-Off-H"</formula>
    </cfRule>
    <cfRule type="cellIs" dxfId="1041" priority="1052" operator="equal">
      <formula>"C-Off"</formula>
    </cfRule>
    <cfRule type="cellIs" dxfId="1040" priority="1053" operator="equal">
      <formula>"CL-H"</formula>
    </cfRule>
    <cfRule type="cellIs" dxfId="1039" priority="1054" operator="equal">
      <formula>"EL-H"</formula>
    </cfRule>
    <cfRule type="cellIs" dxfId="1038" priority="1055" operator="equal">
      <formula>"CL"</formula>
    </cfRule>
    <cfRule type="cellIs" dxfId="1037" priority="1056" operator="equal">
      <formula>"EL"</formula>
    </cfRule>
  </conditionalFormatting>
  <conditionalFormatting sqref="CJ7">
    <cfRule type="containsText" dxfId="1036" priority="1045" operator="containsText" text="S">
      <formula>NOT(ISERROR(SEARCH("S",CJ7)))</formula>
    </cfRule>
    <cfRule type="containsText" dxfId="1035" priority="1046" operator="containsText" text="P">
      <formula>NOT(ISERROR(SEARCH("P",CJ7)))</formula>
    </cfRule>
    <cfRule type="containsText" dxfId="1034" priority="1047" operator="containsText" text="H">
      <formula>NOT(ISERROR(SEARCH("H",CJ7)))</formula>
    </cfRule>
    <cfRule type="containsText" dxfId="1033" priority="1049" operator="containsText" text="&quot;H&quot;">
      <formula>NOT(ISERROR(SEARCH("""H""",CJ7)))</formula>
    </cfRule>
    <cfRule type="containsText" dxfId="1032" priority="1050" operator="containsText" text="&quot;A&quot;">
      <formula>NOT(ISERROR(SEARCH("""A""",CJ7)))</formula>
    </cfRule>
  </conditionalFormatting>
  <conditionalFormatting sqref="CJ7">
    <cfRule type="containsText" dxfId="1031" priority="1048" operator="containsText" text="A-H">
      <formula>NOT(ISERROR(SEARCH("A-H",CJ7)))</formula>
    </cfRule>
  </conditionalFormatting>
  <conditionalFormatting sqref="CK7">
    <cfRule type="cellIs" dxfId="1030" priority="1039" operator="equal">
      <formula>"C-Off-H"</formula>
    </cfRule>
    <cfRule type="cellIs" dxfId="1029" priority="1040" operator="equal">
      <formula>"C-Off"</formula>
    </cfRule>
    <cfRule type="cellIs" dxfId="1028" priority="1041" operator="equal">
      <formula>"CL-H"</formula>
    </cfRule>
    <cfRule type="cellIs" dxfId="1027" priority="1042" operator="equal">
      <formula>"EL-H"</formula>
    </cfRule>
    <cfRule type="cellIs" dxfId="1026" priority="1043" operator="equal">
      <formula>"CL"</formula>
    </cfRule>
    <cfRule type="cellIs" dxfId="1025" priority="1044" operator="equal">
      <formula>"EL"</formula>
    </cfRule>
  </conditionalFormatting>
  <conditionalFormatting sqref="CK7">
    <cfRule type="containsText" dxfId="1024" priority="1038" operator="containsText" text="A-H">
      <formula>NOT(ISERROR(SEARCH("A-H",CK7)))</formula>
    </cfRule>
  </conditionalFormatting>
  <conditionalFormatting sqref="CK7">
    <cfRule type="containsText" dxfId="1023" priority="1037" operator="containsText" text="A">
      <formula>NOT(ISERROR(SEARCH("A",CK7)))</formula>
    </cfRule>
  </conditionalFormatting>
  <conditionalFormatting sqref="CK7">
    <cfRule type="containsText" dxfId="1022" priority="1032" operator="containsText" text="S">
      <formula>NOT(ISERROR(SEARCH("S",CK7)))</formula>
    </cfRule>
    <cfRule type="containsText" dxfId="1021" priority="1033" operator="containsText" text="P">
      <formula>NOT(ISERROR(SEARCH("P",CK7)))</formula>
    </cfRule>
    <cfRule type="containsText" dxfId="1020" priority="1034" operator="containsText" text="H">
      <formula>NOT(ISERROR(SEARCH("H",CK7)))</formula>
    </cfRule>
    <cfRule type="containsText" dxfId="1019" priority="1035" operator="containsText" text="&quot;H&quot;">
      <formula>NOT(ISERROR(SEARCH("""H""",CK7)))</formula>
    </cfRule>
    <cfRule type="containsText" dxfId="1018" priority="1036" operator="containsText" text="&quot;A&quot;">
      <formula>NOT(ISERROR(SEARCH("""A""",CK7)))</formula>
    </cfRule>
  </conditionalFormatting>
  <conditionalFormatting sqref="CK12:CK13">
    <cfRule type="cellIs" dxfId="1017" priority="1026" operator="equal">
      <formula>"C-Off-H"</formula>
    </cfRule>
    <cfRule type="cellIs" dxfId="1016" priority="1027" operator="equal">
      <formula>"C-Off"</formula>
    </cfRule>
    <cfRule type="cellIs" dxfId="1015" priority="1028" operator="equal">
      <formula>"CL-H"</formula>
    </cfRule>
    <cfRule type="cellIs" dxfId="1014" priority="1029" operator="equal">
      <formula>"EL-H"</formula>
    </cfRule>
    <cfRule type="cellIs" dxfId="1013" priority="1030" operator="equal">
      <formula>"CL"</formula>
    </cfRule>
    <cfRule type="cellIs" dxfId="1012" priority="1031" operator="equal">
      <formula>"EL"</formula>
    </cfRule>
  </conditionalFormatting>
  <conditionalFormatting sqref="CK12:CK13">
    <cfRule type="containsText" dxfId="1011" priority="1025" operator="containsText" text="A-H">
      <formula>NOT(ISERROR(SEARCH("A-H",CK12)))</formula>
    </cfRule>
  </conditionalFormatting>
  <conditionalFormatting sqref="CK12:CK13">
    <cfRule type="containsText" dxfId="1010" priority="1024" operator="containsText" text="A">
      <formula>NOT(ISERROR(SEARCH("A",CK12)))</formula>
    </cfRule>
  </conditionalFormatting>
  <conditionalFormatting sqref="CK12:CK13">
    <cfRule type="containsText" dxfId="1009" priority="1019" operator="containsText" text="S">
      <formula>NOT(ISERROR(SEARCH("S",CK12)))</formula>
    </cfRule>
    <cfRule type="containsText" dxfId="1008" priority="1020" operator="containsText" text="P">
      <formula>NOT(ISERROR(SEARCH("P",CK12)))</formula>
    </cfRule>
    <cfRule type="containsText" dxfId="1007" priority="1021" operator="containsText" text="H">
      <formula>NOT(ISERROR(SEARCH("H",CK12)))</formula>
    </cfRule>
    <cfRule type="containsText" dxfId="1006" priority="1022" operator="containsText" text="&quot;H&quot;">
      <formula>NOT(ISERROR(SEARCH("""H""",CK12)))</formula>
    </cfRule>
    <cfRule type="containsText" dxfId="1005" priority="1023" operator="containsText" text="&quot;A&quot;">
      <formula>NOT(ISERROR(SEARCH("""A""",CK12)))</formula>
    </cfRule>
  </conditionalFormatting>
  <conditionalFormatting sqref="CJ13">
    <cfRule type="cellIs" dxfId="1004" priority="1013" operator="equal">
      <formula>"C-Off-H"</formula>
    </cfRule>
    <cfRule type="cellIs" dxfId="1003" priority="1014" operator="equal">
      <formula>"C-Off"</formula>
    </cfRule>
    <cfRule type="cellIs" dxfId="1002" priority="1015" operator="equal">
      <formula>"CL-H"</formula>
    </cfRule>
    <cfRule type="cellIs" dxfId="1001" priority="1016" operator="equal">
      <formula>"EL-H"</formula>
    </cfRule>
    <cfRule type="cellIs" dxfId="1000" priority="1017" operator="equal">
      <formula>"CL"</formula>
    </cfRule>
    <cfRule type="cellIs" dxfId="999" priority="1018" operator="equal">
      <formula>"EL"</formula>
    </cfRule>
  </conditionalFormatting>
  <conditionalFormatting sqref="CJ13">
    <cfRule type="cellIs" dxfId="998" priority="1007" operator="equal">
      <formula>"C-Off-H"</formula>
    </cfRule>
    <cfRule type="cellIs" dxfId="997" priority="1008" operator="equal">
      <formula>"C-Off"</formula>
    </cfRule>
    <cfRule type="cellIs" dxfId="996" priority="1009" operator="equal">
      <formula>"CL-H"</formula>
    </cfRule>
    <cfRule type="cellIs" dxfId="995" priority="1010" operator="equal">
      <formula>"EL-H"</formula>
    </cfRule>
    <cfRule type="cellIs" dxfId="994" priority="1011" operator="equal">
      <formula>"CL"</formula>
    </cfRule>
    <cfRule type="cellIs" dxfId="993" priority="1012" operator="equal">
      <formula>"EL"</formula>
    </cfRule>
  </conditionalFormatting>
  <conditionalFormatting sqref="CJ13">
    <cfRule type="containsText" dxfId="992" priority="1001" operator="containsText" text="S">
      <formula>NOT(ISERROR(SEARCH("S",CJ13)))</formula>
    </cfRule>
    <cfRule type="containsText" dxfId="991" priority="1002" operator="containsText" text="P">
      <formula>NOT(ISERROR(SEARCH("P",CJ13)))</formula>
    </cfRule>
    <cfRule type="containsText" dxfId="990" priority="1003" operator="containsText" text="H">
      <formula>NOT(ISERROR(SEARCH("H",CJ13)))</formula>
    </cfRule>
    <cfRule type="containsText" dxfId="989" priority="1005" operator="containsText" text="&quot;H&quot;">
      <formula>NOT(ISERROR(SEARCH("""H""",CJ13)))</formula>
    </cfRule>
    <cfRule type="containsText" dxfId="988" priority="1006" operator="containsText" text="&quot;A&quot;">
      <formula>NOT(ISERROR(SEARCH("""A""",CJ13)))</formula>
    </cfRule>
  </conditionalFormatting>
  <conditionalFormatting sqref="CJ13">
    <cfRule type="containsText" dxfId="987" priority="1004" operator="containsText" text="A-H">
      <formula>NOT(ISERROR(SEARCH("A-H",CJ13)))</formula>
    </cfRule>
  </conditionalFormatting>
  <conditionalFormatting sqref="CJ14">
    <cfRule type="cellIs" dxfId="986" priority="995" operator="equal">
      <formula>"C-Off-H"</formula>
    </cfRule>
    <cfRule type="cellIs" dxfId="985" priority="996" operator="equal">
      <formula>"C-Off"</formula>
    </cfRule>
    <cfRule type="cellIs" dxfId="984" priority="997" operator="equal">
      <formula>"CL-H"</formula>
    </cfRule>
    <cfRule type="cellIs" dxfId="983" priority="998" operator="equal">
      <formula>"EL-H"</formula>
    </cfRule>
    <cfRule type="cellIs" dxfId="982" priority="999" operator="equal">
      <formula>"CL"</formula>
    </cfRule>
    <cfRule type="cellIs" dxfId="981" priority="1000" operator="equal">
      <formula>"EL"</formula>
    </cfRule>
  </conditionalFormatting>
  <conditionalFormatting sqref="CJ14">
    <cfRule type="cellIs" dxfId="980" priority="989" operator="equal">
      <formula>"C-Off-H"</formula>
    </cfRule>
    <cfRule type="cellIs" dxfId="979" priority="990" operator="equal">
      <formula>"C-Off"</formula>
    </cfRule>
    <cfRule type="cellIs" dxfId="978" priority="991" operator="equal">
      <formula>"CL-H"</formula>
    </cfRule>
    <cfRule type="cellIs" dxfId="977" priority="992" operator="equal">
      <formula>"EL-H"</formula>
    </cfRule>
    <cfRule type="cellIs" dxfId="976" priority="993" operator="equal">
      <formula>"CL"</formula>
    </cfRule>
    <cfRule type="cellIs" dxfId="975" priority="994" operator="equal">
      <formula>"EL"</formula>
    </cfRule>
  </conditionalFormatting>
  <conditionalFormatting sqref="CJ14">
    <cfRule type="containsText" dxfId="974" priority="983" operator="containsText" text="S">
      <formula>NOT(ISERROR(SEARCH("S",CJ14)))</formula>
    </cfRule>
    <cfRule type="containsText" dxfId="973" priority="984" operator="containsText" text="P">
      <formula>NOT(ISERROR(SEARCH("P",CJ14)))</formula>
    </cfRule>
    <cfRule type="containsText" dxfId="972" priority="985" operator="containsText" text="H">
      <formula>NOT(ISERROR(SEARCH("H",CJ14)))</formula>
    </cfRule>
    <cfRule type="containsText" dxfId="971" priority="987" operator="containsText" text="&quot;H&quot;">
      <formula>NOT(ISERROR(SEARCH("""H""",CJ14)))</formula>
    </cfRule>
    <cfRule type="containsText" dxfId="970" priority="988" operator="containsText" text="&quot;A&quot;">
      <formula>NOT(ISERROR(SEARCH("""A""",CJ14)))</formula>
    </cfRule>
  </conditionalFormatting>
  <conditionalFormatting sqref="CJ14">
    <cfRule type="containsText" dxfId="969" priority="986" operator="containsText" text="A-H">
      <formula>NOT(ISERROR(SEARCH("A-H",CJ14)))</formula>
    </cfRule>
  </conditionalFormatting>
  <conditionalFormatting sqref="CJ12">
    <cfRule type="cellIs" dxfId="968" priority="977" operator="equal">
      <formula>"C-Off-H"</formula>
    </cfRule>
    <cfRule type="cellIs" dxfId="967" priority="978" operator="equal">
      <formula>"C-Off"</formula>
    </cfRule>
    <cfRule type="cellIs" dxfId="966" priority="979" operator="equal">
      <formula>"CL-H"</formula>
    </cfRule>
    <cfRule type="cellIs" dxfId="965" priority="980" operator="equal">
      <formula>"EL-H"</formula>
    </cfRule>
    <cfRule type="cellIs" dxfId="964" priority="981" operator="equal">
      <formula>"CL"</formula>
    </cfRule>
    <cfRule type="cellIs" dxfId="963" priority="982" operator="equal">
      <formula>"EL"</formula>
    </cfRule>
  </conditionalFormatting>
  <conditionalFormatting sqref="CJ12">
    <cfRule type="cellIs" dxfId="962" priority="971" operator="equal">
      <formula>"C-Off-H"</formula>
    </cfRule>
    <cfRule type="cellIs" dxfId="961" priority="972" operator="equal">
      <formula>"C-Off"</formula>
    </cfRule>
    <cfRule type="cellIs" dxfId="960" priority="973" operator="equal">
      <formula>"CL-H"</formula>
    </cfRule>
    <cfRule type="cellIs" dxfId="959" priority="974" operator="equal">
      <formula>"EL-H"</formula>
    </cfRule>
    <cfRule type="cellIs" dxfId="958" priority="975" operator="equal">
      <formula>"CL"</formula>
    </cfRule>
    <cfRule type="cellIs" dxfId="957" priority="976" operator="equal">
      <formula>"EL"</formula>
    </cfRule>
  </conditionalFormatting>
  <conditionalFormatting sqref="CJ12">
    <cfRule type="containsText" dxfId="956" priority="965" operator="containsText" text="S">
      <formula>NOT(ISERROR(SEARCH("S",CJ12)))</formula>
    </cfRule>
    <cfRule type="containsText" dxfId="955" priority="966" operator="containsText" text="P">
      <formula>NOT(ISERROR(SEARCH("P",CJ12)))</formula>
    </cfRule>
    <cfRule type="containsText" dxfId="954" priority="967" operator="containsText" text="H">
      <formula>NOT(ISERROR(SEARCH("H",CJ12)))</formula>
    </cfRule>
    <cfRule type="containsText" dxfId="953" priority="969" operator="containsText" text="&quot;H&quot;">
      <formula>NOT(ISERROR(SEARCH("""H""",CJ12)))</formula>
    </cfRule>
    <cfRule type="containsText" dxfId="952" priority="970" operator="containsText" text="&quot;A&quot;">
      <formula>NOT(ISERROR(SEARCH("""A""",CJ12)))</formula>
    </cfRule>
  </conditionalFormatting>
  <conditionalFormatting sqref="CJ12">
    <cfRule type="containsText" dxfId="951" priority="968" operator="containsText" text="A-H">
      <formula>NOT(ISERROR(SEARCH("A-H",CJ12)))</formula>
    </cfRule>
  </conditionalFormatting>
  <conditionalFormatting sqref="CK14">
    <cfRule type="cellIs" dxfId="950" priority="959" operator="equal">
      <formula>"C-Off-H"</formula>
    </cfRule>
    <cfRule type="cellIs" dxfId="949" priority="960" operator="equal">
      <formula>"C-Off"</formula>
    </cfRule>
    <cfRule type="cellIs" dxfId="948" priority="961" operator="equal">
      <formula>"CL-H"</formula>
    </cfRule>
    <cfRule type="cellIs" dxfId="947" priority="962" operator="equal">
      <formula>"EL-H"</formula>
    </cfRule>
    <cfRule type="cellIs" dxfId="946" priority="963" operator="equal">
      <formula>"CL"</formula>
    </cfRule>
    <cfRule type="cellIs" dxfId="945" priority="964" operator="equal">
      <formula>"EL"</formula>
    </cfRule>
  </conditionalFormatting>
  <conditionalFormatting sqref="CK14">
    <cfRule type="containsText" dxfId="944" priority="958" operator="containsText" text="A-H">
      <formula>NOT(ISERROR(SEARCH("A-H",CK14)))</formula>
    </cfRule>
  </conditionalFormatting>
  <conditionalFormatting sqref="CK14">
    <cfRule type="containsText" dxfId="943" priority="957" operator="containsText" text="A">
      <formula>NOT(ISERROR(SEARCH("A",CK14)))</formula>
    </cfRule>
  </conditionalFormatting>
  <conditionalFormatting sqref="CK14">
    <cfRule type="containsText" dxfId="942" priority="952" operator="containsText" text="S">
      <formula>NOT(ISERROR(SEARCH("S",CK14)))</formula>
    </cfRule>
    <cfRule type="containsText" dxfId="941" priority="953" operator="containsText" text="P">
      <formula>NOT(ISERROR(SEARCH("P",CK14)))</formula>
    </cfRule>
    <cfRule type="containsText" dxfId="940" priority="954" operator="containsText" text="H">
      <formula>NOT(ISERROR(SEARCH("H",CK14)))</formula>
    </cfRule>
    <cfRule type="containsText" dxfId="939" priority="955" operator="containsText" text="&quot;H&quot;">
      <formula>NOT(ISERROR(SEARCH("""H""",CK14)))</formula>
    </cfRule>
    <cfRule type="containsText" dxfId="938" priority="956" operator="containsText" text="&quot;A&quot;">
      <formula>NOT(ISERROR(SEARCH("""A""",CK14)))</formula>
    </cfRule>
  </conditionalFormatting>
  <conditionalFormatting sqref="CJ11">
    <cfRule type="cellIs" dxfId="937" priority="946" operator="equal">
      <formula>"C-Off-H"</formula>
    </cfRule>
    <cfRule type="cellIs" dxfId="936" priority="947" operator="equal">
      <formula>"C-Off"</formula>
    </cfRule>
    <cfRule type="cellIs" dxfId="935" priority="948" operator="equal">
      <formula>"CL-H"</formula>
    </cfRule>
    <cfRule type="cellIs" dxfId="934" priority="949" operator="equal">
      <formula>"EL-H"</formula>
    </cfRule>
    <cfRule type="cellIs" dxfId="933" priority="950" operator="equal">
      <formula>"CL"</formula>
    </cfRule>
    <cfRule type="cellIs" dxfId="932" priority="951" operator="equal">
      <formula>"EL"</formula>
    </cfRule>
  </conditionalFormatting>
  <conditionalFormatting sqref="CJ11">
    <cfRule type="cellIs" dxfId="931" priority="940" operator="equal">
      <formula>"C-Off-H"</formula>
    </cfRule>
    <cfRule type="cellIs" dxfId="930" priority="941" operator="equal">
      <formula>"C-Off"</formula>
    </cfRule>
    <cfRule type="cellIs" dxfId="929" priority="942" operator="equal">
      <formula>"CL-H"</formula>
    </cfRule>
    <cfRule type="cellIs" dxfId="928" priority="943" operator="equal">
      <formula>"EL-H"</formula>
    </cfRule>
    <cfRule type="cellIs" dxfId="927" priority="944" operator="equal">
      <formula>"CL"</formula>
    </cfRule>
    <cfRule type="cellIs" dxfId="926" priority="945" operator="equal">
      <formula>"EL"</formula>
    </cfRule>
  </conditionalFormatting>
  <conditionalFormatting sqref="CJ11">
    <cfRule type="containsText" dxfId="925" priority="934" operator="containsText" text="S">
      <formula>NOT(ISERROR(SEARCH("S",CJ11)))</formula>
    </cfRule>
    <cfRule type="containsText" dxfId="924" priority="935" operator="containsText" text="P">
      <formula>NOT(ISERROR(SEARCH("P",CJ11)))</formula>
    </cfRule>
    <cfRule type="containsText" dxfId="923" priority="936" operator="containsText" text="H">
      <formula>NOT(ISERROR(SEARCH("H",CJ11)))</formula>
    </cfRule>
    <cfRule type="containsText" dxfId="922" priority="938" operator="containsText" text="&quot;H&quot;">
      <formula>NOT(ISERROR(SEARCH("""H""",CJ11)))</formula>
    </cfRule>
    <cfRule type="containsText" dxfId="921" priority="939" operator="containsText" text="&quot;A&quot;">
      <formula>NOT(ISERROR(SEARCH("""A""",CJ11)))</formula>
    </cfRule>
  </conditionalFormatting>
  <conditionalFormatting sqref="CJ11">
    <cfRule type="containsText" dxfId="920" priority="937" operator="containsText" text="A-H">
      <formula>NOT(ISERROR(SEARCH("A-H",CJ11)))</formula>
    </cfRule>
  </conditionalFormatting>
  <conditionalFormatting sqref="CK11">
    <cfRule type="cellIs" dxfId="919" priority="928" operator="equal">
      <formula>"C-Off-H"</formula>
    </cfRule>
    <cfRule type="cellIs" dxfId="918" priority="929" operator="equal">
      <formula>"C-Off"</formula>
    </cfRule>
    <cfRule type="cellIs" dxfId="917" priority="930" operator="equal">
      <formula>"CL-H"</formula>
    </cfRule>
    <cfRule type="cellIs" dxfId="916" priority="931" operator="equal">
      <formula>"EL-H"</formula>
    </cfRule>
    <cfRule type="cellIs" dxfId="915" priority="932" operator="equal">
      <formula>"CL"</formula>
    </cfRule>
    <cfRule type="cellIs" dxfId="914" priority="933" operator="equal">
      <formula>"EL"</formula>
    </cfRule>
  </conditionalFormatting>
  <conditionalFormatting sqref="CK11">
    <cfRule type="containsText" dxfId="913" priority="927" operator="containsText" text="A-H">
      <formula>NOT(ISERROR(SEARCH("A-H",CK11)))</formula>
    </cfRule>
  </conditionalFormatting>
  <conditionalFormatting sqref="CK11">
    <cfRule type="containsText" dxfId="912" priority="926" operator="containsText" text="A">
      <formula>NOT(ISERROR(SEARCH("A",CK11)))</formula>
    </cfRule>
  </conditionalFormatting>
  <conditionalFormatting sqref="CK11">
    <cfRule type="containsText" dxfId="911" priority="921" operator="containsText" text="S">
      <formula>NOT(ISERROR(SEARCH("S",CK11)))</formula>
    </cfRule>
    <cfRule type="containsText" dxfId="910" priority="922" operator="containsText" text="P">
      <formula>NOT(ISERROR(SEARCH("P",CK11)))</formula>
    </cfRule>
    <cfRule type="containsText" dxfId="909" priority="923" operator="containsText" text="H">
      <formula>NOT(ISERROR(SEARCH("H",CK11)))</formula>
    </cfRule>
    <cfRule type="containsText" dxfId="908" priority="924" operator="containsText" text="&quot;H&quot;">
      <formula>NOT(ISERROR(SEARCH("""H""",CK11)))</formula>
    </cfRule>
    <cfRule type="containsText" dxfId="907" priority="925" operator="containsText" text="&quot;A&quot;">
      <formula>NOT(ISERROR(SEARCH("""A""",CK11)))</formula>
    </cfRule>
  </conditionalFormatting>
  <conditionalFormatting sqref="CK16:CK17">
    <cfRule type="cellIs" dxfId="906" priority="915" operator="equal">
      <formula>"C-Off-H"</formula>
    </cfRule>
    <cfRule type="cellIs" dxfId="905" priority="916" operator="equal">
      <formula>"C-Off"</formula>
    </cfRule>
    <cfRule type="cellIs" dxfId="904" priority="917" operator="equal">
      <formula>"CL-H"</formula>
    </cfRule>
    <cfRule type="cellIs" dxfId="903" priority="918" operator="equal">
      <formula>"EL-H"</formula>
    </cfRule>
    <cfRule type="cellIs" dxfId="902" priority="919" operator="equal">
      <formula>"CL"</formula>
    </cfRule>
    <cfRule type="cellIs" dxfId="901" priority="920" operator="equal">
      <formula>"EL"</formula>
    </cfRule>
  </conditionalFormatting>
  <conditionalFormatting sqref="CK16:CK17">
    <cfRule type="containsText" dxfId="900" priority="914" operator="containsText" text="A-H">
      <formula>NOT(ISERROR(SEARCH("A-H",CK16)))</formula>
    </cfRule>
  </conditionalFormatting>
  <conditionalFormatting sqref="CK16:CK17">
    <cfRule type="containsText" dxfId="899" priority="913" operator="containsText" text="A">
      <formula>NOT(ISERROR(SEARCH("A",CK16)))</formula>
    </cfRule>
  </conditionalFormatting>
  <conditionalFormatting sqref="CK16:CK17">
    <cfRule type="containsText" dxfId="898" priority="908" operator="containsText" text="S">
      <formula>NOT(ISERROR(SEARCH("S",CK16)))</formula>
    </cfRule>
    <cfRule type="containsText" dxfId="897" priority="909" operator="containsText" text="P">
      <formula>NOT(ISERROR(SEARCH("P",CK16)))</formula>
    </cfRule>
    <cfRule type="containsText" dxfId="896" priority="910" operator="containsText" text="H">
      <formula>NOT(ISERROR(SEARCH("H",CK16)))</formula>
    </cfRule>
    <cfRule type="containsText" dxfId="895" priority="911" operator="containsText" text="&quot;H&quot;">
      <formula>NOT(ISERROR(SEARCH("""H""",CK16)))</formula>
    </cfRule>
    <cfRule type="containsText" dxfId="894" priority="912" operator="containsText" text="&quot;A&quot;">
      <formula>NOT(ISERROR(SEARCH("""A""",CK16)))</formula>
    </cfRule>
  </conditionalFormatting>
  <conditionalFormatting sqref="CJ17">
    <cfRule type="cellIs" dxfId="893" priority="902" operator="equal">
      <formula>"C-Off-H"</formula>
    </cfRule>
    <cfRule type="cellIs" dxfId="892" priority="903" operator="equal">
      <formula>"C-Off"</formula>
    </cfRule>
    <cfRule type="cellIs" dxfId="891" priority="904" operator="equal">
      <formula>"CL-H"</formula>
    </cfRule>
    <cfRule type="cellIs" dxfId="890" priority="905" operator="equal">
      <formula>"EL-H"</formula>
    </cfRule>
    <cfRule type="cellIs" dxfId="889" priority="906" operator="equal">
      <formula>"CL"</formula>
    </cfRule>
    <cfRule type="cellIs" dxfId="888" priority="907" operator="equal">
      <formula>"EL"</formula>
    </cfRule>
  </conditionalFormatting>
  <conditionalFormatting sqref="CJ17">
    <cfRule type="cellIs" dxfId="887" priority="896" operator="equal">
      <formula>"C-Off-H"</formula>
    </cfRule>
    <cfRule type="cellIs" dxfId="886" priority="897" operator="equal">
      <formula>"C-Off"</formula>
    </cfRule>
    <cfRule type="cellIs" dxfId="885" priority="898" operator="equal">
      <formula>"CL-H"</formula>
    </cfRule>
    <cfRule type="cellIs" dxfId="884" priority="899" operator="equal">
      <formula>"EL-H"</formula>
    </cfRule>
    <cfRule type="cellIs" dxfId="883" priority="900" operator="equal">
      <formula>"CL"</formula>
    </cfRule>
    <cfRule type="cellIs" dxfId="882" priority="901" operator="equal">
      <formula>"EL"</formula>
    </cfRule>
  </conditionalFormatting>
  <conditionalFormatting sqref="CJ17">
    <cfRule type="containsText" dxfId="881" priority="890" operator="containsText" text="S">
      <formula>NOT(ISERROR(SEARCH("S",CJ17)))</formula>
    </cfRule>
    <cfRule type="containsText" dxfId="880" priority="891" operator="containsText" text="P">
      <formula>NOT(ISERROR(SEARCH("P",CJ17)))</formula>
    </cfRule>
    <cfRule type="containsText" dxfId="879" priority="892" operator="containsText" text="H">
      <formula>NOT(ISERROR(SEARCH("H",CJ17)))</formula>
    </cfRule>
    <cfRule type="containsText" dxfId="878" priority="894" operator="containsText" text="&quot;H&quot;">
      <formula>NOT(ISERROR(SEARCH("""H""",CJ17)))</formula>
    </cfRule>
    <cfRule type="containsText" dxfId="877" priority="895" operator="containsText" text="&quot;A&quot;">
      <formula>NOT(ISERROR(SEARCH("""A""",CJ17)))</formula>
    </cfRule>
  </conditionalFormatting>
  <conditionalFormatting sqref="CJ17">
    <cfRule type="containsText" dxfId="876" priority="893" operator="containsText" text="A-H">
      <formula>NOT(ISERROR(SEARCH("A-H",CJ17)))</formula>
    </cfRule>
  </conditionalFormatting>
  <conditionalFormatting sqref="CJ18">
    <cfRule type="cellIs" dxfId="875" priority="884" operator="equal">
      <formula>"C-Off-H"</formula>
    </cfRule>
    <cfRule type="cellIs" dxfId="874" priority="885" operator="equal">
      <formula>"C-Off"</formula>
    </cfRule>
    <cfRule type="cellIs" dxfId="873" priority="886" operator="equal">
      <formula>"CL-H"</formula>
    </cfRule>
    <cfRule type="cellIs" dxfId="872" priority="887" operator="equal">
      <formula>"EL-H"</formula>
    </cfRule>
    <cfRule type="cellIs" dxfId="871" priority="888" operator="equal">
      <formula>"CL"</formula>
    </cfRule>
    <cfRule type="cellIs" dxfId="870" priority="889" operator="equal">
      <formula>"EL"</formula>
    </cfRule>
  </conditionalFormatting>
  <conditionalFormatting sqref="CJ18">
    <cfRule type="cellIs" dxfId="869" priority="878" operator="equal">
      <formula>"C-Off-H"</formula>
    </cfRule>
    <cfRule type="cellIs" dxfId="868" priority="879" operator="equal">
      <formula>"C-Off"</formula>
    </cfRule>
    <cfRule type="cellIs" dxfId="867" priority="880" operator="equal">
      <formula>"CL-H"</formula>
    </cfRule>
    <cfRule type="cellIs" dxfId="866" priority="881" operator="equal">
      <formula>"EL-H"</formula>
    </cfRule>
    <cfRule type="cellIs" dxfId="865" priority="882" operator="equal">
      <formula>"CL"</formula>
    </cfRule>
    <cfRule type="cellIs" dxfId="864" priority="883" operator="equal">
      <formula>"EL"</formula>
    </cfRule>
  </conditionalFormatting>
  <conditionalFormatting sqref="CJ18">
    <cfRule type="containsText" dxfId="863" priority="872" operator="containsText" text="S">
      <formula>NOT(ISERROR(SEARCH("S",CJ18)))</formula>
    </cfRule>
    <cfRule type="containsText" dxfId="862" priority="873" operator="containsText" text="P">
      <formula>NOT(ISERROR(SEARCH("P",CJ18)))</formula>
    </cfRule>
    <cfRule type="containsText" dxfId="861" priority="874" operator="containsText" text="H">
      <formula>NOT(ISERROR(SEARCH("H",CJ18)))</formula>
    </cfRule>
    <cfRule type="containsText" dxfId="860" priority="876" operator="containsText" text="&quot;H&quot;">
      <formula>NOT(ISERROR(SEARCH("""H""",CJ18)))</formula>
    </cfRule>
    <cfRule type="containsText" dxfId="859" priority="877" operator="containsText" text="&quot;A&quot;">
      <formula>NOT(ISERROR(SEARCH("""A""",CJ18)))</formula>
    </cfRule>
  </conditionalFormatting>
  <conditionalFormatting sqref="CJ18">
    <cfRule type="containsText" dxfId="858" priority="875" operator="containsText" text="A-H">
      <formula>NOT(ISERROR(SEARCH("A-H",CJ18)))</formula>
    </cfRule>
  </conditionalFormatting>
  <conditionalFormatting sqref="CJ16">
    <cfRule type="cellIs" dxfId="857" priority="866" operator="equal">
      <formula>"C-Off-H"</formula>
    </cfRule>
    <cfRule type="cellIs" dxfId="856" priority="867" operator="equal">
      <formula>"C-Off"</formula>
    </cfRule>
    <cfRule type="cellIs" dxfId="855" priority="868" operator="equal">
      <formula>"CL-H"</formula>
    </cfRule>
    <cfRule type="cellIs" dxfId="854" priority="869" operator="equal">
      <formula>"EL-H"</formula>
    </cfRule>
    <cfRule type="cellIs" dxfId="853" priority="870" operator="equal">
      <formula>"CL"</formula>
    </cfRule>
    <cfRule type="cellIs" dxfId="852" priority="871" operator="equal">
      <formula>"EL"</formula>
    </cfRule>
  </conditionalFormatting>
  <conditionalFormatting sqref="CJ16">
    <cfRule type="cellIs" dxfId="851" priority="860" operator="equal">
      <formula>"C-Off-H"</formula>
    </cfRule>
    <cfRule type="cellIs" dxfId="850" priority="861" operator="equal">
      <formula>"C-Off"</formula>
    </cfRule>
    <cfRule type="cellIs" dxfId="849" priority="862" operator="equal">
      <formula>"CL-H"</formula>
    </cfRule>
    <cfRule type="cellIs" dxfId="848" priority="863" operator="equal">
      <formula>"EL-H"</formula>
    </cfRule>
    <cfRule type="cellIs" dxfId="847" priority="864" operator="equal">
      <formula>"CL"</formula>
    </cfRule>
    <cfRule type="cellIs" dxfId="846" priority="865" operator="equal">
      <formula>"EL"</formula>
    </cfRule>
  </conditionalFormatting>
  <conditionalFormatting sqref="CJ16">
    <cfRule type="containsText" dxfId="845" priority="854" operator="containsText" text="S">
      <formula>NOT(ISERROR(SEARCH("S",CJ16)))</formula>
    </cfRule>
    <cfRule type="containsText" dxfId="844" priority="855" operator="containsText" text="P">
      <formula>NOT(ISERROR(SEARCH("P",CJ16)))</formula>
    </cfRule>
    <cfRule type="containsText" dxfId="843" priority="856" operator="containsText" text="H">
      <formula>NOT(ISERROR(SEARCH("H",CJ16)))</formula>
    </cfRule>
    <cfRule type="containsText" dxfId="842" priority="858" operator="containsText" text="&quot;H&quot;">
      <formula>NOT(ISERROR(SEARCH("""H""",CJ16)))</formula>
    </cfRule>
    <cfRule type="containsText" dxfId="841" priority="859" operator="containsText" text="&quot;A&quot;">
      <formula>NOT(ISERROR(SEARCH("""A""",CJ16)))</formula>
    </cfRule>
  </conditionalFormatting>
  <conditionalFormatting sqref="CJ16">
    <cfRule type="containsText" dxfId="840" priority="857" operator="containsText" text="A-H">
      <formula>NOT(ISERROR(SEARCH("A-H",CJ16)))</formula>
    </cfRule>
  </conditionalFormatting>
  <conditionalFormatting sqref="CK18">
    <cfRule type="cellIs" dxfId="839" priority="848" operator="equal">
      <formula>"C-Off-H"</formula>
    </cfRule>
    <cfRule type="cellIs" dxfId="838" priority="849" operator="equal">
      <formula>"C-Off"</formula>
    </cfRule>
    <cfRule type="cellIs" dxfId="837" priority="850" operator="equal">
      <formula>"CL-H"</formula>
    </cfRule>
    <cfRule type="cellIs" dxfId="836" priority="851" operator="equal">
      <formula>"EL-H"</formula>
    </cfRule>
    <cfRule type="cellIs" dxfId="835" priority="852" operator="equal">
      <formula>"CL"</formula>
    </cfRule>
    <cfRule type="cellIs" dxfId="834" priority="853" operator="equal">
      <formula>"EL"</formula>
    </cfRule>
  </conditionalFormatting>
  <conditionalFormatting sqref="CK18">
    <cfRule type="containsText" dxfId="833" priority="847" operator="containsText" text="A-H">
      <formula>NOT(ISERROR(SEARCH("A-H",CK18)))</formula>
    </cfRule>
  </conditionalFormatting>
  <conditionalFormatting sqref="CK18">
    <cfRule type="containsText" dxfId="832" priority="846" operator="containsText" text="A">
      <formula>NOT(ISERROR(SEARCH("A",CK18)))</formula>
    </cfRule>
  </conditionalFormatting>
  <conditionalFormatting sqref="CK18">
    <cfRule type="containsText" dxfId="831" priority="841" operator="containsText" text="S">
      <formula>NOT(ISERROR(SEARCH("S",CK18)))</formula>
    </cfRule>
    <cfRule type="containsText" dxfId="830" priority="842" operator="containsText" text="P">
      <formula>NOT(ISERROR(SEARCH("P",CK18)))</formula>
    </cfRule>
    <cfRule type="containsText" dxfId="829" priority="843" operator="containsText" text="H">
      <formula>NOT(ISERROR(SEARCH("H",CK18)))</formula>
    </cfRule>
    <cfRule type="containsText" dxfId="828" priority="844" operator="containsText" text="&quot;H&quot;">
      <formula>NOT(ISERROR(SEARCH("""H""",CK18)))</formula>
    </cfRule>
    <cfRule type="containsText" dxfId="827" priority="845" operator="containsText" text="&quot;A&quot;">
      <formula>NOT(ISERROR(SEARCH("""A""",CK18)))</formula>
    </cfRule>
  </conditionalFormatting>
  <conditionalFormatting sqref="CJ15">
    <cfRule type="cellIs" dxfId="826" priority="835" operator="equal">
      <formula>"C-Off-H"</formula>
    </cfRule>
    <cfRule type="cellIs" dxfId="825" priority="836" operator="equal">
      <formula>"C-Off"</formula>
    </cfRule>
    <cfRule type="cellIs" dxfId="824" priority="837" operator="equal">
      <formula>"CL-H"</formula>
    </cfRule>
    <cfRule type="cellIs" dxfId="823" priority="838" operator="equal">
      <formula>"EL-H"</formula>
    </cfRule>
    <cfRule type="cellIs" dxfId="822" priority="839" operator="equal">
      <formula>"CL"</formula>
    </cfRule>
    <cfRule type="cellIs" dxfId="821" priority="840" operator="equal">
      <formula>"EL"</formula>
    </cfRule>
  </conditionalFormatting>
  <conditionalFormatting sqref="CJ15">
    <cfRule type="cellIs" dxfId="820" priority="829" operator="equal">
      <formula>"C-Off-H"</formula>
    </cfRule>
    <cfRule type="cellIs" dxfId="819" priority="830" operator="equal">
      <formula>"C-Off"</formula>
    </cfRule>
    <cfRule type="cellIs" dxfId="818" priority="831" operator="equal">
      <formula>"CL-H"</formula>
    </cfRule>
    <cfRule type="cellIs" dxfId="817" priority="832" operator="equal">
      <formula>"EL-H"</formula>
    </cfRule>
    <cfRule type="cellIs" dxfId="816" priority="833" operator="equal">
      <formula>"CL"</formula>
    </cfRule>
    <cfRule type="cellIs" dxfId="815" priority="834" operator="equal">
      <formula>"EL"</formula>
    </cfRule>
  </conditionalFormatting>
  <conditionalFormatting sqref="CJ15">
    <cfRule type="containsText" dxfId="814" priority="823" operator="containsText" text="S">
      <formula>NOT(ISERROR(SEARCH("S",CJ15)))</formula>
    </cfRule>
    <cfRule type="containsText" dxfId="813" priority="824" operator="containsText" text="P">
      <formula>NOT(ISERROR(SEARCH("P",CJ15)))</formula>
    </cfRule>
    <cfRule type="containsText" dxfId="812" priority="825" operator="containsText" text="H">
      <formula>NOT(ISERROR(SEARCH("H",CJ15)))</formula>
    </cfRule>
    <cfRule type="containsText" dxfId="811" priority="827" operator="containsText" text="&quot;H&quot;">
      <formula>NOT(ISERROR(SEARCH("""H""",CJ15)))</formula>
    </cfRule>
    <cfRule type="containsText" dxfId="810" priority="828" operator="containsText" text="&quot;A&quot;">
      <formula>NOT(ISERROR(SEARCH("""A""",CJ15)))</formula>
    </cfRule>
  </conditionalFormatting>
  <conditionalFormatting sqref="CJ15">
    <cfRule type="containsText" dxfId="809" priority="826" operator="containsText" text="A-H">
      <formula>NOT(ISERROR(SEARCH("A-H",CJ15)))</formula>
    </cfRule>
  </conditionalFormatting>
  <conditionalFormatting sqref="CK15">
    <cfRule type="cellIs" dxfId="808" priority="817" operator="equal">
      <formula>"C-Off-H"</formula>
    </cfRule>
    <cfRule type="cellIs" dxfId="807" priority="818" operator="equal">
      <formula>"C-Off"</formula>
    </cfRule>
    <cfRule type="cellIs" dxfId="806" priority="819" operator="equal">
      <formula>"CL-H"</formula>
    </cfRule>
    <cfRule type="cellIs" dxfId="805" priority="820" operator="equal">
      <formula>"EL-H"</formula>
    </cfRule>
    <cfRule type="cellIs" dxfId="804" priority="821" operator="equal">
      <formula>"CL"</formula>
    </cfRule>
    <cfRule type="cellIs" dxfId="803" priority="822" operator="equal">
      <formula>"EL"</formula>
    </cfRule>
  </conditionalFormatting>
  <conditionalFormatting sqref="CK15">
    <cfRule type="containsText" dxfId="802" priority="816" operator="containsText" text="A-H">
      <formula>NOT(ISERROR(SEARCH("A-H",CK15)))</formula>
    </cfRule>
  </conditionalFormatting>
  <conditionalFormatting sqref="CK15">
    <cfRule type="containsText" dxfId="801" priority="815" operator="containsText" text="A">
      <formula>NOT(ISERROR(SEARCH("A",CK15)))</formula>
    </cfRule>
  </conditionalFormatting>
  <conditionalFormatting sqref="CK15">
    <cfRule type="containsText" dxfId="800" priority="810" operator="containsText" text="S">
      <formula>NOT(ISERROR(SEARCH("S",CK15)))</formula>
    </cfRule>
    <cfRule type="containsText" dxfId="799" priority="811" operator="containsText" text="P">
      <formula>NOT(ISERROR(SEARCH("P",CK15)))</formula>
    </cfRule>
    <cfRule type="containsText" dxfId="798" priority="812" operator="containsText" text="H">
      <formula>NOT(ISERROR(SEARCH("H",CK15)))</formula>
    </cfRule>
    <cfRule type="containsText" dxfId="797" priority="813" operator="containsText" text="&quot;H&quot;">
      <formula>NOT(ISERROR(SEARCH("""H""",CK15)))</formula>
    </cfRule>
    <cfRule type="containsText" dxfId="796" priority="814" operator="containsText" text="&quot;A&quot;">
      <formula>NOT(ISERROR(SEARCH("""A""",CK15)))</formula>
    </cfRule>
  </conditionalFormatting>
  <conditionalFormatting sqref="CK20:CK21">
    <cfRule type="cellIs" dxfId="795" priority="804" operator="equal">
      <formula>"C-Off-H"</formula>
    </cfRule>
    <cfRule type="cellIs" dxfId="794" priority="805" operator="equal">
      <formula>"C-Off"</formula>
    </cfRule>
    <cfRule type="cellIs" dxfId="793" priority="806" operator="equal">
      <formula>"CL-H"</formula>
    </cfRule>
    <cfRule type="cellIs" dxfId="792" priority="807" operator="equal">
      <formula>"EL-H"</formula>
    </cfRule>
    <cfRule type="cellIs" dxfId="791" priority="808" operator="equal">
      <formula>"CL"</formula>
    </cfRule>
    <cfRule type="cellIs" dxfId="790" priority="809" operator="equal">
      <formula>"EL"</formula>
    </cfRule>
  </conditionalFormatting>
  <conditionalFormatting sqref="CK20:CK21">
    <cfRule type="containsText" dxfId="789" priority="803" operator="containsText" text="A-H">
      <formula>NOT(ISERROR(SEARCH("A-H",CK20)))</formula>
    </cfRule>
  </conditionalFormatting>
  <conditionalFormatting sqref="CK20:CK21">
    <cfRule type="containsText" dxfId="788" priority="802" operator="containsText" text="A">
      <formula>NOT(ISERROR(SEARCH("A",CK20)))</formula>
    </cfRule>
  </conditionalFormatting>
  <conditionalFormatting sqref="CK20:CK21">
    <cfRule type="containsText" dxfId="787" priority="797" operator="containsText" text="S">
      <formula>NOT(ISERROR(SEARCH("S",CK20)))</formula>
    </cfRule>
    <cfRule type="containsText" dxfId="786" priority="798" operator="containsText" text="P">
      <formula>NOT(ISERROR(SEARCH("P",CK20)))</formula>
    </cfRule>
    <cfRule type="containsText" dxfId="785" priority="799" operator="containsText" text="H">
      <formula>NOT(ISERROR(SEARCH("H",CK20)))</formula>
    </cfRule>
    <cfRule type="containsText" dxfId="784" priority="800" operator="containsText" text="&quot;H&quot;">
      <formula>NOT(ISERROR(SEARCH("""H""",CK20)))</formula>
    </cfRule>
    <cfRule type="containsText" dxfId="783" priority="801" operator="containsText" text="&quot;A&quot;">
      <formula>NOT(ISERROR(SEARCH("""A""",CK20)))</formula>
    </cfRule>
  </conditionalFormatting>
  <conditionalFormatting sqref="CJ21">
    <cfRule type="cellIs" dxfId="782" priority="791" operator="equal">
      <formula>"C-Off-H"</formula>
    </cfRule>
    <cfRule type="cellIs" dxfId="781" priority="792" operator="equal">
      <formula>"C-Off"</formula>
    </cfRule>
    <cfRule type="cellIs" dxfId="780" priority="793" operator="equal">
      <formula>"CL-H"</formula>
    </cfRule>
    <cfRule type="cellIs" dxfId="779" priority="794" operator="equal">
      <formula>"EL-H"</formula>
    </cfRule>
    <cfRule type="cellIs" dxfId="778" priority="795" operator="equal">
      <formula>"CL"</formula>
    </cfRule>
    <cfRule type="cellIs" dxfId="777" priority="796" operator="equal">
      <formula>"EL"</formula>
    </cfRule>
  </conditionalFormatting>
  <conditionalFormatting sqref="CJ21">
    <cfRule type="cellIs" dxfId="776" priority="785" operator="equal">
      <formula>"C-Off-H"</formula>
    </cfRule>
    <cfRule type="cellIs" dxfId="775" priority="786" operator="equal">
      <formula>"C-Off"</formula>
    </cfRule>
    <cfRule type="cellIs" dxfId="774" priority="787" operator="equal">
      <formula>"CL-H"</formula>
    </cfRule>
    <cfRule type="cellIs" dxfId="773" priority="788" operator="equal">
      <formula>"EL-H"</formula>
    </cfRule>
    <cfRule type="cellIs" dxfId="772" priority="789" operator="equal">
      <formula>"CL"</formula>
    </cfRule>
    <cfRule type="cellIs" dxfId="771" priority="790" operator="equal">
      <formula>"EL"</formula>
    </cfRule>
  </conditionalFormatting>
  <conditionalFormatting sqref="CJ21">
    <cfRule type="containsText" dxfId="770" priority="779" operator="containsText" text="S">
      <formula>NOT(ISERROR(SEARCH("S",CJ21)))</formula>
    </cfRule>
    <cfRule type="containsText" dxfId="769" priority="780" operator="containsText" text="P">
      <formula>NOT(ISERROR(SEARCH("P",CJ21)))</formula>
    </cfRule>
    <cfRule type="containsText" dxfId="768" priority="781" operator="containsText" text="H">
      <formula>NOT(ISERROR(SEARCH("H",CJ21)))</formula>
    </cfRule>
    <cfRule type="containsText" dxfId="767" priority="783" operator="containsText" text="&quot;H&quot;">
      <formula>NOT(ISERROR(SEARCH("""H""",CJ21)))</formula>
    </cfRule>
    <cfRule type="containsText" dxfId="766" priority="784" operator="containsText" text="&quot;A&quot;">
      <formula>NOT(ISERROR(SEARCH("""A""",CJ21)))</formula>
    </cfRule>
  </conditionalFormatting>
  <conditionalFormatting sqref="CJ21">
    <cfRule type="containsText" dxfId="765" priority="782" operator="containsText" text="A-H">
      <formula>NOT(ISERROR(SEARCH("A-H",CJ21)))</formula>
    </cfRule>
  </conditionalFormatting>
  <conditionalFormatting sqref="CJ22">
    <cfRule type="cellIs" dxfId="764" priority="773" operator="equal">
      <formula>"C-Off-H"</formula>
    </cfRule>
    <cfRule type="cellIs" dxfId="763" priority="774" operator="equal">
      <formula>"C-Off"</formula>
    </cfRule>
    <cfRule type="cellIs" dxfId="762" priority="775" operator="equal">
      <formula>"CL-H"</formula>
    </cfRule>
    <cfRule type="cellIs" dxfId="761" priority="776" operator="equal">
      <formula>"EL-H"</formula>
    </cfRule>
    <cfRule type="cellIs" dxfId="760" priority="777" operator="equal">
      <formula>"CL"</formula>
    </cfRule>
    <cfRule type="cellIs" dxfId="759" priority="778" operator="equal">
      <formula>"EL"</formula>
    </cfRule>
  </conditionalFormatting>
  <conditionalFormatting sqref="CJ22">
    <cfRule type="cellIs" dxfId="758" priority="767" operator="equal">
      <formula>"C-Off-H"</formula>
    </cfRule>
    <cfRule type="cellIs" dxfId="757" priority="768" operator="equal">
      <formula>"C-Off"</formula>
    </cfRule>
    <cfRule type="cellIs" dxfId="756" priority="769" operator="equal">
      <formula>"CL-H"</formula>
    </cfRule>
    <cfRule type="cellIs" dxfId="755" priority="770" operator="equal">
      <formula>"EL-H"</formula>
    </cfRule>
    <cfRule type="cellIs" dxfId="754" priority="771" operator="equal">
      <formula>"CL"</formula>
    </cfRule>
    <cfRule type="cellIs" dxfId="753" priority="772" operator="equal">
      <formula>"EL"</formula>
    </cfRule>
  </conditionalFormatting>
  <conditionalFormatting sqref="CJ22">
    <cfRule type="containsText" dxfId="752" priority="761" operator="containsText" text="S">
      <formula>NOT(ISERROR(SEARCH("S",CJ22)))</formula>
    </cfRule>
    <cfRule type="containsText" dxfId="751" priority="762" operator="containsText" text="P">
      <formula>NOT(ISERROR(SEARCH("P",CJ22)))</formula>
    </cfRule>
    <cfRule type="containsText" dxfId="750" priority="763" operator="containsText" text="H">
      <formula>NOT(ISERROR(SEARCH("H",CJ22)))</formula>
    </cfRule>
    <cfRule type="containsText" dxfId="749" priority="765" operator="containsText" text="&quot;H&quot;">
      <formula>NOT(ISERROR(SEARCH("""H""",CJ22)))</formula>
    </cfRule>
    <cfRule type="containsText" dxfId="748" priority="766" operator="containsText" text="&quot;A&quot;">
      <formula>NOT(ISERROR(SEARCH("""A""",CJ22)))</formula>
    </cfRule>
  </conditionalFormatting>
  <conditionalFormatting sqref="CJ22">
    <cfRule type="containsText" dxfId="747" priority="764" operator="containsText" text="A-H">
      <formula>NOT(ISERROR(SEARCH("A-H",CJ22)))</formula>
    </cfRule>
  </conditionalFormatting>
  <conditionalFormatting sqref="CJ20">
    <cfRule type="cellIs" dxfId="746" priority="755" operator="equal">
      <formula>"C-Off-H"</formula>
    </cfRule>
    <cfRule type="cellIs" dxfId="745" priority="756" operator="equal">
      <formula>"C-Off"</formula>
    </cfRule>
    <cfRule type="cellIs" dxfId="744" priority="757" operator="equal">
      <formula>"CL-H"</formula>
    </cfRule>
    <cfRule type="cellIs" dxfId="743" priority="758" operator="equal">
      <formula>"EL-H"</formula>
    </cfRule>
    <cfRule type="cellIs" dxfId="742" priority="759" operator="equal">
      <formula>"CL"</formula>
    </cfRule>
    <cfRule type="cellIs" dxfId="741" priority="760" operator="equal">
      <formula>"EL"</formula>
    </cfRule>
  </conditionalFormatting>
  <conditionalFormatting sqref="CJ20">
    <cfRule type="cellIs" dxfId="740" priority="749" operator="equal">
      <formula>"C-Off-H"</formula>
    </cfRule>
    <cfRule type="cellIs" dxfId="739" priority="750" operator="equal">
      <formula>"C-Off"</formula>
    </cfRule>
    <cfRule type="cellIs" dxfId="738" priority="751" operator="equal">
      <formula>"CL-H"</formula>
    </cfRule>
    <cfRule type="cellIs" dxfId="737" priority="752" operator="equal">
      <formula>"EL-H"</formula>
    </cfRule>
    <cfRule type="cellIs" dxfId="736" priority="753" operator="equal">
      <formula>"CL"</formula>
    </cfRule>
    <cfRule type="cellIs" dxfId="735" priority="754" operator="equal">
      <formula>"EL"</formula>
    </cfRule>
  </conditionalFormatting>
  <conditionalFormatting sqref="CJ20">
    <cfRule type="containsText" dxfId="734" priority="743" operator="containsText" text="S">
      <formula>NOT(ISERROR(SEARCH("S",CJ20)))</formula>
    </cfRule>
    <cfRule type="containsText" dxfId="733" priority="744" operator="containsText" text="P">
      <formula>NOT(ISERROR(SEARCH("P",CJ20)))</formula>
    </cfRule>
    <cfRule type="containsText" dxfId="732" priority="745" operator="containsText" text="H">
      <formula>NOT(ISERROR(SEARCH("H",CJ20)))</formula>
    </cfRule>
    <cfRule type="containsText" dxfId="731" priority="747" operator="containsText" text="&quot;H&quot;">
      <formula>NOT(ISERROR(SEARCH("""H""",CJ20)))</formula>
    </cfRule>
    <cfRule type="containsText" dxfId="730" priority="748" operator="containsText" text="&quot;A&quot;">
      <formula>NOT(ISERROR(SEARCH("""A""",CJ20)))</formula>
    </cfRule>
  </conditionalFormatting>
  <conditionalFormatting sqref="CJ20">
    <cfRule type="containsText" dxfId="729" priority="746" operator="containsText" text="A-H">
      <formula>NOT(ISERROR(SEARCH("A-H",CJ20)))</formula>
    </cfRule>
  </conditionalFormatting>
  <conditionalFormatting sqref="CK22">
    <cfRule type="cellIs" dxfId="728" priority="737" operator="equal">
      <formula>"C-Off-H"</formula>
    </cfRule>
    <cfRule type="cellIs" dxfId="727" priority="738" operator="equal">
      <formula>"C-Off"</formula>
    </cfRule>
    <cfRule type="cellIs" dxfId="726" priority="739" operator="equal">
      <formula>"CL-H"</formula>
    </cfRule>
    <cfRule type="cellIs" dxfId="725" priority="740" operator="equal">
      <formula>"EL-H"</formula>
    </cfRule>
    <cfRule type="cellIs" dxfId="724" priority="741" operator="equal">
      <formula>"CL"</formula>
    </cfRule>
    <cfRule type="cellIs" dxfId="723" priority="742" operator="equal">
      <formula>"EL"</formula>
    </cfRule>
  </conditionalFormatting>
  <conditionalFormatting sqref="CK22">
    <cfRule type="containsText" dxfId="722" priority="736" operator="containsText" text="A-H">
      <formula>NOT(ISERROR(SEARCH("A-H",CK22)))</formula>
    </cfRule>
  </conditionalFormatting>
  <conditionalFormatting sqref="CK22">
    <cfRule type="containsText" dxfId="721" priority="735" operator="containsText" text="A">
      <formula>NOT(ISERROR(SEARCH("A",CK22)))</formula>
    </cfRule>
  </conditionalFormatting>
  <conditionalFormatting sqref="CK22">
    <cfRule type="containsText" dxfId="720" priority="730" operator="containsText" text="S">
      <formula>NOT(ISERROR(SEARCH("S",CK22)))</formula>
    </cfRule>
    <cfRule type="containsText" dxfId="719" priority="731" operator="containsText" text="P">
      <formula>NOT(ISERROR(SEARCH("P",CK22)))</formula>
    </cfRule>
    <cfRule type="containsText" dxfId="718" priority="732" operator="containsText" text="H">
      <formula>NOT(ISERROR(SEARCH("H",CK22)))</formula>
    </cfRule>
    <cfRule type="containsText" dxfId="717" priority="733" operator="containsText" text="&quot;H&quot;">
      <formula>NOT(ISERROR(SEARCH("""H""",CK22)))</formula>
    </cfRule>
    <cfRule type="containsText" dxfId="716" priority="734" operator="containsText" text="&quot;A&quot;">
      <formula>NOT(ISERROR(SEARCH("""A""",CK22)))</formula>
    </cfRule>
  </conditionalFormatting>
  <conditionalFormatting sqref="CJ19">
    <cfRule type="cellIs" dxfId="715" priority="724" operator="equal">
      <formula>"C-Off-H"</formula>
    </cfRule>
    <cfRule type="cellIs" dxfId="714" priority="725" operator="equal">
      <formula>"C-Off"</formula>
    </cfRule>
    <cfRule type="cellIs" dxfId="713" priority="726" operator="equal">
      <formula>"CL-H"</formula>
    </cfRule>
    <cfRule type="cellIs" dxfId="712" priority="727" operator="equal">
      <formula>"EL-H"</formula>
    </cfRule>
    <cfRule type="cellIs" dxfId="711" priority="728" operator="equal">
      <formula>"CL"</formula>
    </cfRule>
    <cfRule type="cellIs" dxfId="710" priority="729" operator="equal">
      <formula>"EL"</formula>
    </cfRule>
  </conditionalFormatting>
  <conditionalFormatting sqref="CJ19">
    <cfRule type="cellIs" dxfId="709" priority="718" operator="equal">
      <formula>"C-Off-H"</formula>
    </cfRule>
    <cfRule type="cellIs" dxfId="708" priority="719" operator="equal">
      <formula>"C-Off"</formula>
    </cfRule>
    <cfRule type="cellIs" dxfId="707" priority="720" operator="equal">
      <formula>"CL-H"</formula>
    </cfRule>
    <cfRule type="cellIs" dxfId="706" priority="721" operator="equal">
      <formula>"EL-H"</formula>
    </cfRule>
    <cfRule type="cellIs" dxfId="705" priority="722" operator="equal">
      <formula>"CL"</formula>
    </cfRule>
    <cfRule type="cellIs" dxfId="704" priority="723" operator="equal">
      <formula>"EL"</formula>
    </cfRule>
  </conditionalFormatting>
  <conditionalFormatting sqref="CJ19">
    <cfRule type="containsText" dxfId="703" priority="712" operator="containsText" text="S">
      <formula>NOT(ISERROR(SEARCH("S",CJ19)))</formula>
    </cfRule>
    <cfRule type="containsText" dxfId="702" priority="713" operator="containsText" text="P">
      <formula>NOT(ISERROR(SEARCH("P",CJ19)))</formula>
    </cfRule>
    <cfRule type="containsText" dxfId="701" priority="714" operator="containsText" text="H">
      <formula>NOT(ISERROR(SEARCH("H",CJ19)))</formula>
    </cfRule>
    <cfRule type="containsText" dxfId="700" priority="716" operator="containsText" text="&quot;H&quot;">
      <formula>NOT(ISERROR(SEARCH("""H""",CJ19)))</formula>
    </cfRule>
    <cfRule type="containsText" dxfId="699" priority="717" operator="containsText" text="&quot;A&quot;">
      <formula>NOT(ISERROR(SEARCH("""A""",CJ19)))</formula>
    </cfRule>
  </conditionalFormatting>
  <conditionalFormatting sqref="CJ19">
    <cfRule type="containsText" dxfId="698" priority="715" operator="containsText" text="A-H">
      <formula>NOT(ISERROR(SEARCH("A-H",CJ19)))</formula>
    </cfRule>
  </conditionalFormatting>
  <conditionalFormatting sqref="CK19">
    <cfRule type="cellIs" dxfId="697" priority="706" operator="equal">
      <formula>"C-Off-H"</formula>
    </cfRule>
    <cfRule type="cellIs" dxfId="696" priority="707" operator="equal">
      <formula>"C-Off"</formula>
    </cfRule>
    <cfRule type="cellIs" dxfId="695" priority="708" operator="equal">
      <formula>"CL-H"</formula>
    </cfRule>
    <cfRule type="cellIs" dxfId="694" priority="709" operator="equal">
      <formula>"EL-H"</formula>
    </cfRule>
    <cfRule type="cellIs" dxfId="693" priority="710" operator="equal">
      <formula>"CL"</formula>
    </cfRule>
    <cfRule type="cellIs" dxfId="692" priority="711" operator="equal">
      <formula>"EL"</formula>
    </cfRule>
  </conditionalFormatting>
  <conditionalFormatting sqref="CK19">
    <cfRule type="containsText" dxfId="691" priority="705" operator="containsText" text="A-H">
      <formula>NOT(ISERROR(SEARCH("A-H",CK19)))</formula>
    </cfRule>
  </conditionalFormatting>
  <conditionalFormatting sqref="CK19">
    <cfRule type="containsText" dxfId="690" priority="704" operator="containsText" text="A">
      <formula>NOT(ISERROR(SEARCH("A",CK19)))</formula>
    </cfRule>
  </conditionalFormatting>
  <conditionalFormatting sqref="CK19">
    <cfRule type="containsText" dxfId="689" priority="699" operator="containsText" text="S">
      <formula>NOT(ISERROR(SEARCH("S",CK19)))</formula>
    </cfRule>
    <cfRule type="containsText" dxfId="688" priority="700" operator="containsText" text="P">
      <formula>NOT(ISERROR(SEARCH("P",CK19)))</formula>
    </cfRule>
    <cfRule type="containsText" dxfId="687" priority="701" operator="containsText" text="H">
      <formula>NOT(ISERROR(SEARCH("H",CK19)))</formula>
    </cfRule>
    <cfRule type="containsText" dxfId="686" priority="702" operator="containsText" text="&quot;H&quot;">
      <formula>NOT(ISERROR(SEARCH("""H""",CK19)))</formula>
    </cfRule>
    <cfRule type="containsText" dxfId="685" priority="703" operator="containsText" text="&quot;A&quot;">
      <formula>NOT(ISERROR(SEARCH("""A""",CK19)))</formula>
    </cfRule>
  </conditionalFormatting>
  <conditionalFormatting sqref="CK24:CK25">
    <cfRule type="cellIs" dxfId="684" priority="693" operator="equal">
      <formula>"C-Off-H"</formula>
    </cfRule>
    <cfRule type="cellIs" dxfId="683" priority="694" operator="equal">
      <formula>"C-Off"</formula>
    </cfRule>
    <cfRule type="cellIs" dxfId="682" priority="695" operator="equal">
      <formula>"CL-H"</formula>
    </cfRule>
    <cfRule type="cellIs" dxfId="681" priority="696" operator="equal">
      <formula>"EL-H"</formula>
    </cfRule>
    <cfRule type="cellIs" dxfId="680" priority="697" operator="equal">
      <formula>"CL"</formula>
    </cfRule>
    <cfRule type="cellIs" dxfId="679" priority="698" operator="equal">
      <formula>"EL"</formula>
    </cfRule>
  </conditionalFormatting>
  <conditionalFormatting sqref="CK24:CK25">
    <cfRule type="containsText" dxfId="678" priority="692" operator="containsText" text="A-H">
      <formula>NOT(ISERROR(SEARCH("A-H",CK24)))</formula>
    </cfRule>
  </conditionalFormatting>
  <conditionalFormatting sqref="CK24:CK25">
    <cfRule type="containsText" dxfId="677" priority="691" operator="containsText" text="A">
      <formula>NOT(ISERROR(SEARCH("A",CK24)))</formula>
    </cfRule>
  </conditionalFormatting>
  <conditionalFormatting sqref="CK24:CK25">
    <cfRule type="containsText" dxfId="676" priority="686" operator="containsText" text="S">
      <formula>NOT(ISERROR(SEARCH("S",CK24)))</formula>
    </cfRule>
    <cfRule type="containsText" dxfId="675" priority="687" operator="containsText" text="P">
      <formula>NOT(ISERROR(SEARCH("P",CK24)))</formula>
    </cfRule>
    <cfRule type="containsText" dxfId="674" priority="688" operator="containsText" text="H">
      <formula>NOT(ISERROR(SEARCH("H",CK24)))</formula>
    </cfRule>
    <cfRule type="containsText" dxfId="673" priority="689" operator="containsText" text="&quot;H&quot;">
      <formula>NOT(ISERROR(SEARCH("""H""",CK24)))</formula>
    </cfRule>
    <cfRule type="containsText" dxfId="672" priority="690" operator="containsText" text="&quot;A&quot;">
      <formula>NOT(ISERROR(SEARCH("""A""",CK24)))</formula>
    </cfRule>
  </conditionalFormatting>
  <conditionalFormatting sqref="CJ25">
    <cfRule type="cellIs" dxfId="671" priority="680" operator="equal">
      <formula>"C-Off-H"</formula>
    </cfRule>
    <cfRule type="cellIs" dxfId="670" priority="681" operator="equal">
      <formula>"C-Off"</formula>
    </cfRule>
    <cfRule type="cellIs" dxfId="669" priority="682" operator="equal">
      <formula>"CL-H"</formula>
    </cfRule>
    <cfRule type="cellIs" dxfId="668" priority="683" operator="equal">
      <formula>"EL-H"</formula>
    </cfRule>
    <cfRule type="cellIs" dxfId="667" priority="684" operator="equal">
      <formula>"CL"</formula>
    </cfRule>
    <cfRule type="cellIs" dxfId="666" priority="685" operator="equal">
      <formula>"EL"</formula>
    </cfRule>
  </conditionalFormatting>
  <conditionalFormatting sqref="CJ25">
    <cfRule type="cellIs" dxfId="665" priority="674" operator="equal">
      <formula>"C-Off-H"</formula>
    </cfRule>
    <cfRule type="cellIs" dxfId="664" priority="675" operator="equal">
      <formula>"C-Off"</formula>
    </cfRule>
    <cfRule type="cellIs" dxfId="663" priority="676" operator="equal">
      <formula>"CL-H"</formula>
    </cfRule>
    <cfRule type="cellIs" dxfId="662" priority="677" operator="equal">
      <formula>"EL-H"</formula>
    </cfRule>
    <cfRule type="cellIs" dxfId="661" priority="678" operator="equal">
      <formula>"CL"</formula>
    </cfRule>
    <cfRule type="cellIs" dxfId="660" priority="679" operator="equal">
      <formula>"EL"</formula>
    </cfRule>
  </conditionalFormatting>
  <conditionalFormatting sqref="CJ25">
    <cfRule type="containsText" dxfId="659" priority="668" operator="containsText" text="S">
      <formula>NOT(ISERROR(SEARCH("S",CJ25)))</formula>
    </cfRule>
    <cfRule type="containsText" dxfId="658" priority="669" operator="containsText" text="P">
      <formula>NOT(ISERROR(SEARCH("P",CJ25)))</formula>
    </cfRule>
    <cfRule type="containsText" dxfId="657" priority="670" operator="containsText" text="H">
      <formula>NOT(ISERROR(SEARCH("H",CJ25)))</formula>
    </cfRule>
    <cfRule type="containsText" dxfId="656" priority="672" operator="containsText" text="&quot;H&quot;">
      <formula>NOT(ISERROR(SEARCH("""H""",CJ25)))</formula>
    </cfRule>
    <cfRule type="containsText" dxfId="655" priority="673" operator="containsText" text="&quot;A&quot;">
      <formula>NOT(ISERROR(SEARCH("""A""",CJ25)))</formula>
    </cfRule>
  </conditionalFormatting>
  <conditionalFormatting sqref="CJ25">
    <cfRule type="containsText" dxfId="654" priority="671" operator="containsText" text="A-H">
      <formula>NOT(ISERROR(SEARCH("A-H",CJ25)))</formula>
    </cfRule>
  </conditionalFormatting>
  <conditionalFormatting sqref="CJ26">
    <cfRule type="cellIs" dxfId="653" priority="662" operator="equal">
      <formula>"C-Off-H"</formula>
    </cfRule>
    <cfRule type="cellIs" dxfId="652" priority="663" operator="equal">
      <formula>"C-Off"</formula>
    </cfRule>
    <cfRule type="cellIs" dxfId="651" priority="664" operator="equal">
      <formula>"CL-H"</formula>
    </cfRule>
    <cfRule type="cellIs" dxfId="650" priority="665" operator="equal">
      <formula>"EL-H"</formula>
    </cfRule>
    <cfRule type="cellIs" dxfId="649" priority="666" operator="equal">
      <formula>"CL"</formula>
    </cfRule>
    <cfRule type="cellIs" dxfId="648" priority="667" operator="equal">
      <formula>"EL"</formula>
    </cfRule>
  </conditionalFormatting>
  <conditionalFormatting sqref="CJ26">
    <cfRule type="cellIs" dxfId="647" priority="656" operator="equal">
      <formula>"C-Off-H"</formula>
    </cfRule>
    <cfRule type="cellIs" dxfId="646" priority="657" operator="equal">
      <formula>"C-Off"</formula>
    </cfRule>
    <cfRule type="cellIs" dxfId="645" priority="658" operator="equal">
      <formula>"CL-H"</formula>
    </cfRule>
    <cfRule type="cellIs" dxfId="644" priority="659" operator="equal">
      <formula>"EL-H"</formula>
    </cfRule>
    <cfRule type="cellIs" dxfId="643" priority="660" operator="equal">
      <formula>"CL"</formula>
    </cfRule>
    <cfRule type="cellIs" dxfId="642" priority="661" operator="equal">
      <formula>"EL"</formula>
    </cfRule>
  </conditionalFormatting>
  <conditionalFormatting sqref="CJ26">
    <cfRule type="containsText" dxfId="641" priority="650" operator="containsText" text="S">
      <formula>NOT(ISERROR(SEARCH("S",CJ26)))</formula>
    </cfRule>
    <cfRule type="containsText" dxfId="640" priority="651" operator="containsText" text="P">
      <formula>NOT(ISERROR(SEARCH("P",CJ26)))</formula>
    </cfRule>
    <cfRule type="containsText" dxfId="639" priority="652" operator="containsText" text="H">
      <formula>NOT(ISERROR(SEARCH("H",CJ26)))</formula>
    </cfRule>
    <cfRule type="containsText" dxfId="638" priority="654" operator="containsText" text="&quot;H&quot;">
      <formula>NOT(ISERROR(SEARCH("""H""",CJ26)))</formula>
    </cfRule>
    <cfRule type="containsText" dxfId="637" priority="655" operator="containsText" text="&quot;A&quot;">
      <formula>NOT(ISERROR(SEARCH("""A""",CJ26)))</formula>
    </cfRule>
  </conditionalFormatting>
  <conditionalFormatting sqref="CJ26">
    <cfRule type="containsText" dxfId="636" priority="653" operator="containsText" text="A-H">
      <formula>NOT(ISERROR(SEARCH("A-H",CJ26)))</formula>
    </cfRule>
  </conditionalFormatting>
  <conditionalFormatting sqref="CJ24">
    <cfRule type="cellIs" dxfId="635" priority="644" operator="equal">
      <formula>"C-Off-H"</formula>
    </cfRule>
    <cfRule type="cellIs" dxfId="634" priority="645" operator="equal">
      <formula>"C-Off"</formula>
    </cfRule>
    <cfRule type="cellIs" dxfId="633" priority="646" operator="equal">
      <formula>"CL-H"</formula>
    </cfRule>
    <cfRule type="cellIs" dxfId="632" priority="647" operator="equal">
      <formula>"EL-H"</formula>
    </cfRule>
    <cfRule type="cellIs" dxfId="631" priority="648" operator="equal">
      <formula>"CL"</formula>
    </cfRule>
    <cfRule type="cellIs" dxfId="630" priority="649" operator="equal">
      <formula>"EL"</formula>
    </cfRule>
  </conditionalFormatting>
  <conditionalFormatting sqref="CJ24">
    <cfRule type="cellIs" dxfId="629" priority="638" operator="equal">
      <formula>"C-Off-H"</formula>
    </cfRule>
    <cfRule type="cellIs" dxfId="628" priority="639" operator="equal">
      <formula>"C-Off"</formula>
    </cfRule>
    <cfRule type="cellIs" dxfId="627" priority="640" operator="equal">
      <formula>"CL-H"</formula>
    </cfRule>
    <cfRule type="cellIs" dxfId="626" priority="641" operator="equal">
      <formula>"EL-H"</formula>
    </cfRule>
    <cfRule type="cellIs" dxfId="625" priority="642" operator="equal">
      <formula>"CL"</formula>
    </cfRule>
    <cfRule type="cellIs" dxfId="624" priority="643" operator="equal">
      <formula>"EL"</formula>
    </cfRule>
  </conditionalFormatting>
  <conditionalFormatting sqref="CJ24">
    <cfRule type="containsText" dxfId="623" priority="632" operator="containsText" text="S">
      <formula>NOT(ISERROR(SEARCH("S",CJ24)))</formula>
    </cfRule>
    <cfRule type="containsText" dxfId="622" priority="633" operator="containsText" text="P">
      <formula>NOT(ISERROR(SEARCH("P",CJ24)))</formula>
    </cfRule>
    <cfRule type="containsText" dxfId="621" priority="634" operator="containsText" text="H">
      <formula>NOT(ISERROR(SEARCH("H",CJ24)))</formula>
    </cfRule>
    <cfRule type="containsText" dxfId="620" priority="636" operator="containsText" text="&quot;H&quot;">
      <formula>NOT(ISERROR(SEARCH("""H""",CJ24)))</formula>
    </cfRule>
    <cfRule type="containsText" dxfId="619" priority="637" operator="containsText" text="&quot;A&quot;">
      <formula>NOT(ISERROR(SEARCH("""A""",CJ24)))</formula>
    </cfRule>
  </conditionalFormatting>
  <conditionalFormatting sqref="CJ24">
    <cfRule type="containsText" dxfId="618" priority="635" operator="containsText" text="A-H">
      <formula>NOT(ISERROR(SEARCH("A-H",CJ24)))</formula>
    </cfRule>
  </conditionalFormatting>
  <conditionalFormatting sqref="CK26">
    <cfRule type="cellIs" dxfId="617" priority="626" operator="equal">
      <formula>"C-Off-H"</formula>
    </cfRule>
    <cfRule type="cellIs" dxfId="616" priority="627" operator="equal">
      <formula>"C-Off"</formula>
    </cfRule>
    <cfRule type="cellIs" dxfId="615" priority="628" operator="equal">
      <formula>"CL-H"</formula>
    </cfRule>
    <cfRule type="cellIs" dxfId="614" priority="629" operator="equal">
      <formula>"EL-H"</formula>
    </cfRule>
    <cfRule type="cellIs" dxfId="613" priority="630" operator="equal">
      <formula>"CL"</formula>
    </cfRule>
    <cfRule type="cellIs" dxfId="612" priority="631" operator="equal">
      <formula>"EL"</formula>
    </cfRule>
  </conditionalFormatting>
  <conditionalFormatting sqref="CK26">
    <cfRule type="containsText" dxfId="611" priority="625" operator="containsText" text="A-H">
      <formula>NOT(ISERROR(SEARCH("A-H",CK26)))</formula>
    </cfRule>
  </conditionalFormatting>
  <conditionalFormatting sqref="CK26">
    <cfRule type="containsText" dxfId="610" priority="624" operator="containsText" text="A">
      <formula>NOT(ISERROR(SEARCH("A",CK26)))</formula>
    </cfRule>
  </conditionalFormatting>
  <conditionalFormatting sqref="CK26">
    <cfRule type="containsText" dxfId="609" priority="619" operator="containsText" text="S">
      <formula>NOT(ISERROR(SEARCH("S",CK26)))</formula>
    </cfRule>
    <cfRule type="containsText" dxfId="608" priority="620" operator="containsText" text="P">
      <formula>NOT(ISERROR(SEARCH("P",CK26)))</formula>
    </cfRule>
    <cfRule type="containsText" dxfId="607" priority="621" operator="containsText" text="H">
      <formula>NOT(ISERROR(SEARCH("H",CK26)))</formula>
    </cfRule>
    <cfRule type="containsText" dxfId="606" priority="622" operator="containsText" text="&quot;H&quot;">
      <formula>NOT(ISERROR(SEARCH("""H""",CK26)))</formula>
    </cfRule>
    <cfRule type="containsText" dxfId="605" priority="623" operator="containsText" text="&quot;A&quot;">
      <formula>NOT(ISERROR(SEARCH("""A""",CK26)))</formula>
    </cfRule>
  </conditionalFormatting>
  <conditionalFormatting sqref="CJ23">
    <cfRule type="cellIs" dxfId="604" priority="613" operator="equal">
      <formula>"C-Off-H"</formula>
    </cfRule>
    <cfRule type="cellIs" dxfId="603" priority="614" operator="equal">
      <formula>"C-Off"</formula>
    </cfRule>
    <cfRule type="cellIs" dxfId="602" priority="615" operator="equal">
      <formula>"CL-H"</formula>
    </cfRule>
    <cfRule type="cellIs" dxfId="601" priority="616" operator="equal">
      <formula>"EL-H"</formula>
    </cfRule>
    <cfRule type="cellIs" dxfId="600" priority="617" operator="equal">
      <formula>"CL"</formula>
    </cfRule>
    <cfRule type="cellIs" dxfId="599" priority="618" operator="equal">
      <formula>"EL"</formula>
    </cfRule>
  </conditionalFormatting>
  <conditionalFormatting sqref="CJ23">
    <cfRule type="cellIs" dxfId="598" priority="607" operator="equal">
      <formula>"C-Off-H"</formula>
    </cfRule>
    <cfRule type="cellIs" dxfId="597" priority="608" operator="equal">
      <formula>"C-Off"</formula>
    </cfRule>
    <cfRule type="cellIs" dxfId="596" priority="609" operator="equal">
      <formula>"CL-H"</formula>
    </cfRule>
    <cfRule type="cellIs" dxfId="595" priority="610" operator="equal">
      <formula>"EL-H"</formula>
    </cfRule>
    <cfRule type="cellIs" dxfId="594" priority="611" operator="equal">
      <formula>"CL"</formula>
    </cfRule>
    <cfRule type="cellIs" dxfId="593" priority="612" operator="equal">
      <formula>"EL"</formula>
    </cfRule>
  </conditionalFormatting>
  <conditionalFormatting sqref="CJ23">
    <cfRule type="containsText" dxfId="592" priority="601" operator="containsText" text="S">
      <formula>NOT(ISERROR(SEARCH("S",CJ23)))</formula>
    </cfRule>
    <cfRule type="containsText" dxfId="591" priority="602" operator="containsText" text="P">
      <formula>NOT(ISERROR(SEARCH("P",CJ23)))</formula>
    </cfRule>
    <cfRule type="containsText" dxfId="590" priority="603" operator="containsText" text="H">
      <formula>NOT(ISERROR(SEARCH("H",CJ23)))</formula>
    </cfRule>
    <cfRule type="containsText" dxfId="589" priority="605" operator="containsText" text="&quot;H&quot;">
      <formula>NOT(ISERROR(SEARCH("""H""",CJ23)))</formula>
    </cfRule>
    <cfRule type="containsText" dxfId="588" priority="606" operator="containsText" text="&quot;A&quot;">
      <formula>NOT(ISERROR(SEARCH("""A""",CJ23)))</formula>
    </cfRule>
  </conditionalFormatting>
  <conditionalFormatting sqref="CJ23">
    <cfRule type="containsText" dxfId="587" priority="604" operator="containsText" text="A-H">
      <formula>NOT(ISERROR(SEARCH("A-H",CJ23)))</formula>
    </cfRule>
  </conditionalFormatting>
  <conditionalFormatting sqref="CK23">
    <cfRule type="cellIs" dxfId="586" priority="595" operator="equal">
      <formula>"C-Off-H"</formula>
    </cfRule>
    <cfRule type="cellIs" dxfId="585" priority="596" operator="equal">
      <formula>"C-Off"</formula>
    </cfRule>
    <cfRule type="cellIs" dxfId="584" priority="597" operator="equal">
      <formula>"CL-H"</formula>
    </cfRule>
    <cfRule type="cellIs" dxfId="583" priority="598" operator="equal">
      <formula>"EL-H"</formula>
    </cfRule>
    <cfRule type="cellIs" dxfId="582" priority="599" operator="equal">
      <formula>"CL"</formula>
    </cfRule>
    <cfRule type="cellIs" dxfId="581" priority="600" operator="equal">
      <formula>"EL"</formula>
    </cfRule>
  </conditionalFormatting>
  <conditionalFormatting sqref="CK23">
    <cfRule type="containsText" dxfId="580" priority="594" operator="containsText" text="A-H">
      <formula>NOT(ISERROR(SEARCH("A-H",CK23)))</formula>
    </cfRule>
  </conditionalFormatting>
  <conditionalFormatting sqref="CK23">
    <cfRule type="containsText" dxfId="579" priority="593" operator="containsText" text="A">
      <formula>NOT(ISERROR(SEARCH("A",CK23)))</formula>
    </cfRule>
  </conditionalFormatting>
  <conditionalFormatting sqref="CK23">
    <cfRule type="containsText" dxfId="578" priority="588" operator="containsText" text="S">
      <formula>NOT(ISERROR(SEARCH("S",CK23)))</formula>
    </cfRule>
    <cfRule type="containsText" dxfId="577" priority="589" operator="containsText" text="P">
      <formula>NOT(ISERROR(SEARCH("P",CK23)))</formula>
    </cfRule>
    <cfRule type="containsText" dxfId="576" priority="590" operator="containsText" text="H">
      <formula>NOT(ISERROR(SEARCH("H",CK23)))</formula>
    </cfRule>
    <cfRule type="containsText" dxfId="575" priority="591" operator="containsText" text="&quot;H&quot;">
      <formula>NOT(ISERROR(SEARCH("""H""",CK23)))</formula>
    </cfRule>
    <cfRule type="containsText" dxfId="574" priority="592" operator="containsText" text="&quot;A&quot;">
      <formula>NOT(ISERROR(SEARCH("""A""",CK23)))</formula>
    </cfRule>
  </conditionalFormatting>
  <conditionalFormatting sqref="CK28:CK29">
    <cfRule type="cellIs" dxfId="573" priority="582" operator="equal">
      <formula>"C-Off-H"</formula>
    </cfRule>
    <cfRule type="cellIs" dxfId="572" priority="583" operator="equal">
      <formula>"C-Off"</formula>
    </cfRule>
    <cfRule type="cellIs" dxfId="571" priority="584" operator="equal">
      <formula>"CL-H"</formula>
    </cfRule>
    <cfRule type="cellIs" dxfId="570" priority="585" operator="equal">
      <formula>"EL-H"</formula>
    </cfRule>
    <cfRule type="cellIs" dxfId="569" priority="586" operator="equal">
      <formula>"CL"</formula>
    </cfRule>
    <cfRule type="cellIs" dxfId="568" priority="587" operator="equal">
      <formula>"EL"</formula>
    </cfRule>
  </conditionalFormatting>
  <conditionalFormatting sqref="CK28:CK29">
    <cfRule type="containsText" dxfId="567" priority="581" operator="containsText" text="A-H">
      <formula>NOT(ISERROR(SEARCH("A-H",CK28)))</formula>
    </cfRule>
  </conditionalFormatting>
  <conditionalFormatting sqref="CK28:CK29">
    <cfRule type="containsText" dxfId="566" priority="580" operator="containsText" text="A">
      <formula>NOT(ISERROR(SEARCH("A",CK28)))</formula>
    </cfRule>
  </conditionalFormatting>
  <conditionalFormatting sqref="CK28:CK29">
    <cfRule type="containsText" dxfId="565" priority="575" operator="containsText" text="S">
      <formula>NOT(ISERROR(SEARCH("S",CK28)))</formula>
    </cfRule>
    <cfRule type="containsText" dxfId="564" priority="576" operator="containsText" text="P">
      <formula>NOT(ISERROR(SEARCH("P",CK28)))</formula>
    </cfRule>
    <cfRule type="containsText" dxfId="563" priority="577" operator="containsText" text="H">
      <formula>NOT(ISERROR(SEARCH("H",CK28)))</formula>
    </cfRule>
    <cfRule type="containsText" dxfId="562" priority="578" operator="containsText" text="&quot;H&quot;">
      <formula>NOT(ISERROR(SEARCH("""H""",CK28)))</formula>
    </cfRule>
    <cfRule type="containsText" dxfId="561" priority="579" operator="containsText" text="&quot;A&quot;">
      <formula>NOT(ISERROR(SEARCH("""A""",CK28)))</formula>
    </cfRule>
  </conditionalFormatting>
  <conditionalFormatting sqref="CJ29">
    <cfRule type="cellIs" dxfId="560" priority="569" operator="equal">
      <formula>"C-Off-H"</formula>
    </cfRule>
    <cfRule type="cellIs" dxfId="559" priority="570" operator="equal">
      <formula>"C-Off"</formula>
    </cfRule>
    <cfRule type="cellIs" dxfId="558" priority="571" operator="equal">
      <formula>"CL-H"</formula>
    </cfRule>
    <cfRule type="cellIs" dxfId="557" priority="572" operator="equal">
      <formula>"EL-H"</formula>
    </cfRule>
    <cfRule type="cellIs" dxfId="556" priority="573" operator="equal">
      <formula>"CL"</formula>
    </cfRule>
    <cfRule type="cellIs" dxfId="555" priority="574" operator="equal">
      <formula>"EL"</formula>
    </cfRule>
  </conditionalFormatting>
  <conditionalFormatting sqref="CJ29">
    <cfRule type="cellIs" dxfId="554" priority="563" operator="equal">
      <formula>"C-Off-H"</formula>
    </cfRule>
    <cfRule type="cellIs" dxfId="553" priority="564" operator="equal">
      <formula>"C-Off"</formula>
    </cfRule>
    <cfRule type="cellIs" dxfId="552" priority="565" operator="equal">
      <formula>"CL-H"</formula>
    </cfRule>
    <cfRule type="cellIs" dxfId="551" priority="566" operator="equal">
      <formula>"EL-H"</formula>
    </cfRule>
    <cfRule type="cellIs" dxfId="550" priority="567" operator="equal">
      <formula>"CL"</formula>
    </cfRule>
    <cfRule type="cellIs" dxfId="549" priority="568" operator="equal">
      <formula>"EL"</formula>
    </cfRule>
  </conditionalFormatting>
  <conditionalFormatting sqref="CJ29">
    <cfRule type="containsText" dxfId="548" priority="557" operator="containsText" text="S">
      <formula>NOT(ISERROR(SEARCH("S",CJ29)))</formula>
    </cfRule>
    <cfRule type="containsText" dxfId="547" priority="558" operator="containsText" text="P">
      <formula>NOT(ISERROR(SEARCH("P",CJ29)))</formula>
    </cfRule>
    <cfRule type="containsText" dxfId="546" priority="559" operator="containsText" text="H">
      <formula>NOT(ISERROR(SEARCH("H",CJ29)))</formula>
    </cfRule>
    <cfRule type="containsText" dxfId="545" priority="561" operator="containsText" text="&quot;H&quot;">
      <formula>NOT(ISERROR(SEARCH("""H""",CJ29)))</formula>
    </cfRule>
    <cfRule type="containsText" dxfId="544" priority="562" operator="containsText" text="&quot;A&quot;">
      <formula>NOT(ISERROR(SEARCH("""A""",CJ29)))</formula>
    </cfRule>
  </conditionalFormatting>
  <conditionalFormatting sqref="CJ29">
    <cfRule type="containsText" dxfId="543" priority="560" operator="containsText" text="A-H">
      <formula>NOT(ISERROR(SEARCH("A-H",CJ29)))</formula>
    </cfRule>
  </conditionalFormatting>
  <conditionalFormatting sqref="CJ30">
    <cfRule type="cellIs" dxfId="542" priority="551" operator="equal">
      <formula>"C-Off-H"</formula>
    </cfRule>
    <cfRule type="cellIs" dxfId="541" priority="552" operator="equal">
      <formula>"C-Off"</formula>
    </cfRule>
    <cfRule type="cellIs" dxfId="540" priority="553" operator="equal">
      <formula>"CL-H"</formula>
    </cfRule>
    <cfRule type="cellIs" dxfId="539" priority="554" operator="equal">
      <formula>"EL-H"</formula>
    </cfRule>
    <cfRule type="cellIs" dxfId="538" priority="555" operator="equal">
      <formula>"CL"</formula>
    </cfRule>
    <cfRule type="cellIs" dxfId="537" priority="556" operator="equal">
      <formula>"EL"</formula>
    </cfRule>
  </conditionalFormatting>
  <conditionalFormatting sqref="CJ30">
    <cfRule type="cellIs" dxfId="536" priority="545" operator="equal">
      <formula>"C-Off-H"</formula>
    </cfRule>
    <cfRule type="cellIs" dxfId="535" priority="546" operator="equal">
      <formula>"C-Off"</formula>
    </cfRule>
    <cfRule type="cellIs" dxfId="534" priority="547" operator="equal">
      <formula>"CL-H"</formula>
    </cfRule>
    <cfRule type="cellIs" dxfId="533" priority="548" operator="equal">
      <formula>"EL-H"</formula>
    </cfRule>
    <cfRule type="cellIs" dxfId="532" priority="549" operator="equal">
      <formula>"CL"</formula>
    </cfRule>
    <cfRule type="cellIs" dxfId="531" priority="550" operator="equal">
      <formula>"EL"</formula>
    </cfRule>
  </conditionalFormatting>
  <conditionalFormatting sqref="CJ30">
    <cfRule type="containsText" dxfId="530" priority="539" operator="containsText" text="S">
      <formula>NOT(ISERROR(SEARCH("S",CJ30)))</formula>
    </cfRule>
    <cfRule type="containsText" dxfId="529" priority="540" operator="containsText" text="P">
      <formula>NOT(ISERROR(SEARCH("P",CJ30)))</formula>
    </cfRule>
    <cfRule type="containsText" dxfId="528" priority="541" operator="containsText" text="H">
      <formula>NOT(ISERROR(SEARCH("H",CJ30)))</formula>
    </cfRule>
    <cfRule type="containsText" dxfId="527" priority="543" operator="containsText" text="&quot;H&quot;">
      <formula>NOT(ISERROR(SEARCH("""H""",CJ30)))</formula>
    </cfRule>
    <cfRule type="containsText" dxfId="526" priority="544" operator="containsText" text="&quot;A&quot;">
      <formula>NOT(ISERROR(SEARCH("""A""",CJ30)))</formula>
    </cfRule>
  </conditionalFormatting>
  <conditionalFormatting sqref="CJ30">
    <cfRule type="containsText" dxfId="525" priority="542" operator="containsText" text="A-H">
      <formula>NOT(ISERROR(SEARCH("A-H",CJ30)))</formula>
    </cfRule>
  </conditionalFormatting>
  <conditionalFormatting sqref="CJ28">
    <cfRule type="cellIs" dxfId="524" priority="533" operator="equal">
      <formula>"C-Off-H"</formula>
    </cfRule>
    <cfRule type="cellIs" dxfId="523" priority="534" operator="equal">
      <formula>"C-Off"</formula>
    </cfRule>
    <cfRule type="cellIs" dxfId="522" priority="535" operator="equal">
      <formula>"CL-H"</formula>
    </cfRule>
    <cfRule type="cellIs" dxfId="521" priority="536" operator="equal">
      <formula>"EL-H"</formula>
    </cfRule>
    <cfRule type="cellIs" dxfId="520" priority="537" operator="equal">
      <formula>"CL"</formula>
    </cfRule>
    <cfRule type="cellIs" dxfId="519" priority="538" operator="equal">
      <formula>"EL"</formula>
    </cfRule>
  </conditionalFormatting>
  <conditionalFormatting sqref="CJ28">
    <cfRule type="cellIs" dxfId="518" priority="527" operator="equal">
      <formula>"C-Off-H"</formula>
    </cfRule>
    <cfRule type="cellIs" dxfId="517" priority="528" operator="equal">
      <formula>"C-Off"</formula>
    </cfRule>
    <cfRule type="cellIs" dxfId="516" priority="529" operator="equal">
      <formula>"CL-H"</formula>
    </cfRule>
    <cfRule type="cellIs" dxfId="515" priority="530" operator="equal">
      <formula>"EL-H"</formula>
    </cfRule>
    <cfRule type="cellIs" dxfId="514" priority="531" operator="equal">
      <formula>"CL"</formula>
    </cfRule>
    <cfRule type="cellIs" dxfId="513" priority="532" operator="equal">
      <formula>"EL"</formula>
    </cfRule>
  </conditionalFormatting>
  <conditionalFormatting sqref="CJ28">
    <cfRule type="containsText" dxfId="512" priority="521" operator="containsText" text="S">
      <formula>NOT(ISERROR(SEARCH("S",CJ28)))</formula>
    </cfRule>
    <cfRule type="containsText" dxfId="511" priority="522" operator="containsText" text="P">
      <formula>NOT(ISERROR(SEARCH("P",CJ28)))</formula>
    </cfRule>
    <cfRule type="containsText" dxfId="510" priority="523" operator="containsText" text="H">
      <formula>NOT(ISERROR(SEARCH("H",CJ28)))</formula>
    </cfRule>
    <cfRule type="containsText" dxfId="509" priority="525" operator="containsText" text="&quot;H&quot;">
      <formula>NOT(ISERROR(SEARCH("""H""",CJ28)))</formula>
    </cfRule>
    <cfRule type="containsText" dxfId="508" priority="526" operator="containsText" text="&quot;A&quot;">
      <formula>NOT(ISERROR(SEARCH("""A""",CJ28)))</formula>
    </cfRule>
  </conditionalFormatting>
  <conditionalFormatting sqref="CJ28">
    <cfRule type="containsText" dxfId="507" priority="524" operator="containsText" text="A-H">
      <formula>NOT(ISERROR(SEARCH("A-H",CJ28)))</formula>
    </cfRule>
  </conditionalFormatting>
  <conditionalFormatting sqref="CJ27">
    <cfRule type="cellIs" dxfId="506" priority="502" operator="equal">
      <formula>"C-Off-H"</formula>
    </cfRule>
    <cfRule type="cellIs" dxfId="505" priority="503" operator="equal">
      <formula>"C-Off"</formula>
    </cfRule>
    <cfRule type="cellIs" dxfId="504" priority="504" operator="equal">
      <formula>"CL-H"</formula>
    </cfRule>
    <cfRule type="cellIs" dxfId="503" priority="505" operator="equal">
      <formula>"EL-H"</formula>
    </cfRule>
    <cfRule type="cellIs" dxfId="502" priority="506" operator="equal">
      <formula>"CL"</formula>
    </cfRule>
    <cfRule type="cellIs" dxfId="501" priority="507" operator="equal">
      <formula>"EL"</formula>
    </cfRule>
  </conditionalFormatting>
  <conditionalFormatting sqref="CJ27">
    <cfRule type="cellIs" dxfId="500" priority="496" operator="equal">
      <formula>"C-Off-H"</formula>
    </cfRule>
    <cfRule type="cellIs" dxfId="499" priority="497" operator="equal">
      <formula>"C-Off"</formula>
    </cfRule>
    <cfRule type="cellIs" dxfId="498" priority="498" operator="equal">
      <formula>"CL-H"</formula>
    </cfRule>
    <cfRule type="cellIs" dxfId="497" priority="499" operator="equal">
      <formula>"EL-H"</formula>
    </cfRule>
    <cfRule type="cellIs" dxfId="496" priority="500" operator="equal">
      <formula>"CL"</formula>
    </cfRule>
    <cfRule type="cellIs" dxfId="495" priority="501" operator="equal">
      <formula>"EL"</formula>
    </cfRule>
  </conditionalFormatting>
  <conditionalFormatting sqref="CJ27">
    <cfRule type="containsText" dxfId="494" priority="490" operator="containsText" text="S">
      <formula>NOT(ISERROR(SEARCH("S",CJ27)))</formula>
    </cfRule>
    <cfRule type="containsText" dxfId="493" priority="491" operator="containsText" text="P">
      <formula>NOT(ISERROR(SEARCH("P",CJ27)))</formula>
    </cfRule>
    <cfRule type="containsText" dxfId="492" priority="492" operator="containsText" text="H">
      <formula>NOT(ISERROR(SEARCH("H",CJ27)))</formula>
    </cfRule>
    <cfRule type="containsText" dxfId="491" priority="494" operator="containsText" text="&quot;H&quot;">
      <formula>NOT(ISERROR(SEARCH("""H""",CJ27)))</formula>
    </cfRule>
    <cfRule type="containsText" dxfId="490" priority="495" operator="containsText" text="&quot;A&quot;">
      <formula>NOT(ISERROR(SEARCH("""A""",CJ27)))</formula>
    </cfRule>
  </conditionalFormatting>
  <conditionalFormatting sqref="CJ27">
    <cfRule type="containsText" dxfId="489" priority="493" operator="containsText" text="A-H">
      <formula>NOT(ISERROR(SEARCH("A-H",CJ27)))</formula>
    </cfRule>
  </conditionalFormatting>
  <conditionalFormatting sqref="CK27">
    <cfRule type="cellIs" dxfId="488" priority="484" operator="equal">
      <formula>"C-Off-H"</formula>
    </cfRule>
    <cfRule type="cellIs" dxfId="487" priority="485" operator="equal">
      <formula>"C-Off"</formula>
    </cfRule>
    <cfRule type="cellIs" dxfId="486" priority="486" operator="equal">
      <formula>"CL-H"</formula>
    </cfRule>
    <cfRule type="cellIs" dxfId="485" priority="487" operator="equal">
      <formula>"EL-H"</formula>
    </cfRule>
    <cfRule type="cellIs" dxfId="484" priority="488" operator="equal">
      <formula>"CL"</formula>
    </cfRule>
    <cfRule type="cellIs" dxfId="483" priority="489" operator="equal">
      <formula>"EL"</formula>
    </cfRule>
  </conditionalFormatting>
  <conditionalFormatting sqref="CK27">
    <cfRule type="containsText" dxfId="482" priority="483" operator="containsText" text="A-H">
      <formula>NOT(ISERROR(SEARCH("A-H",CK27)))</formula>
    </cfRule>
  </conditionalFormatting>
  <conditionalFormatting sqref="CK27">
    <cfRule type="containsText" dxfId="481" priority="482" operator="containsText" text="A">
      <formula>NOT(ISERROR(SEARCH("A",CK27)))</formula>
    </cfRule>
  </conditionalFormatting>
  <conditionalFormatting sqref="CK27">
    <cfRule type="containsText" dxfId="480" priority="477" operator="containsText" text="S">
      <formula>NOT(ISERROR(SEARCH("S",CK27)))</formula>
    </cfRule>
    <cfRule type="containsText" dxfId="479" priority="478" operator="containsText" text="P">
      <formula>NOT(ISERROR(SEARCH("P",CK27)))</formula>
    </cfRule>
    <cfRule type="containsText" dxfId="478" priority="479" operator="containsText" text="H">
      <formula>NOT(ISERROR(SEARCH("H",CK27)))</formula>
    </cfRule>
    <cfRule type="containsText" dxfId="477" priority="480" operator="containsText" text="&quot;H&quot;">
      <formula>NOT(ISERROR(SEARCH("""H""",CK27)))</formula>
    </cfRule>
    <cfRule type="containsText" dxfId="476" priority="481" operator="containsText" text="&quot;A&quot;">
      <formula>NOT(ISERROR(SEARCH("""A""",CK27)))</formula>
    </cfRule>
  </conditionalFormatting>
  <conditionalFormatting sqref="CK32:CK33">
    <cfRule type="cellIs" dxfId="475" priority="471" operator="equal">
      <formula>"C-Off-H"</formula>
    </cfRule>
    <cfRule type="cellIs" dxfId="474" priority="472" operator="equal">
      <formula>"C-Off"</formula>
    </cfRule>
    <cfRule type="cellIs" dxfId="473" priority="473" operator="equal">
      <formula>"CL-H"</formula>
    </cfRule>
    <cfRule type="cellIs" dxfId="472" priority="474" operator="equal">
      <formula>"EL-H"</formula>
    </cfRule>
    <cfRule type="cellIs" dxfId="471" priority="475" operator="equal">
      <formula>"CL"</formula>
    </cfRule>
    <cfRule type="cellIs" dxfId="470" priority="476" operator="equal">
      <formula>"EL"</formula>
    </cfRule>
  </conditionalFormatting>
  <conditionalFormatting sqref="CK32:CK33">
    <cfRule type="containsText" dxfId="469" priority="470" operator="containsText" text="A-H">
      <formula>NOT(ISERROR(SEARCH("A-H",CK32)))</formula>
    </cfRule>
  </conditionalFormatting>
  <conditionalFormatting sqref="CK32:CK33">
    <cfRule type="containsText" dxfId="468" priority="469" operator="containsText" text="A">
      <formula>NOT(ISERROR(SEARCH("A",CK32)))</formula>
    </cfRule>
  </conditionalFormatting>
  <conditionalFormatting sqref="CK32:CK33">
    <cfRule type="containsText" dxfId="467" priority="464" operator="containsText" text="S">
      <formula>NOT(ISERROR(SEARCH("S",CK32)))</formula>
    </cfRule>
    <cfRule type="containsText" dxfId="466" priority="465" operator="containsText" text="P">
      <formula>NOT(ISERROR(SEARCH("P",CK32)))</formula>
    </cfRule>
    <cfRule type="containsText" dxfId="465" priority="466" operator="containsText" text="H">
      <formula>NOT(ISERROR(SEARCH("H",CK32)))</formula>
    </cfRule>
    <cfRule type="containsText" dxfId="464" priority="467" operator="containsText" text="&quot;H&quot;">
      <formula>NOT(ISERROR(SEARCH("""H""",CK32)))</formula>
    </cfRule>
    <cfRule type="containsText" dxfId="463" priority="468" operator="containsText" text="&quot;A&quot;">
      <formula>NOT(ISERROR(SEARCH("""A""",CK32)))</formula>
    </cfRule>
  </conditionalFormatting>
  <conditionalFormatting sqref="CJ33">
    <cfRule type="cellIs" dxfId="462" priority="458" operator="equal">
      <formula>"C-Off-H"</formula>
    </cfRule>
    <cfRule type="cellIs" dxfId="461" priority="459" operator="equal">
      <formula>"C-Off"</formula>
    </cfRule>
    <cfRule type="cellIs" dxfId="460" priority="460" operator="equal">
      <formula>"CL-H"</formula>
    </cfRule>
    <cfRule type="cellIs" dxfId="459" priority="461" operator="equal">
      <formula>"EL-H"</formula>
    </cfRule>
    <cfRule type="cellIs" dxfId="458" priority="462" operator="equal">
      <formula>"CL"</formula>
    </cfRule>
    <cfRule type="cellIs" dxfId="457" priority="463" operator="equal">
      <formula>"EL"</formula>
    </cfRule>
  </conditionalFormatting>
  <conditionalFormatting sqref="CJ33">
    <cfRule type="cellIs" dxfId="456" priority="452" operator="equal">
      <formula>"C-Off-H"</formula>
    </cfRule>
    <cfRule type="cellIs" dxfId="455" priority="453" operator="equal">
      <formula>"C-Off"</formula>
    </cfRule>
    <cfRule type="cellIs" dxfId="454" priority="454" operator="equal">
      <formula>"CL-H"</formula>
    </cfRule>
    <cfRule type="cellIs" dxfId="453" priority="455" operator="equal">
      <formula>"EL-H"</formula>
    </cfRule>
    <cfRule type="cellIs" dxfId="452" priority="456" operator="equal">
      <formula>"CL"</formula>
    </cfRule>
    <cfRule type="cellIs" dxfId="451" priority="457" operator="equal">
      <formula>"EL"</formula>
    </cfRule>
  </conditionalFormatting>
  <conditionalFormatting sqref="CJ33">
    <cfRule type="containsText" dxfId="450" priority="446" operator="containsText" text="S">
      <formula>NOT(ISERROR(SEARCH("S",CJ33)))</formula>
    </cfRule>
    <cfRule type="containsText" dxfId="449" priority="447" operator="containsText" text="P">
      <formula>NOT(ISERROR(SEARCH("P",CJ33)))</formula>
    </cfRule>
    <cfRule type="containsText" dxfId="448" priority="448" operator="containsText" text="H">
      <formula>NOT(ISERROR(SEARCH("H",CJ33)))</formula>
    </cfRule>
    <cfRule type="containsText" dxfId="447" priority="450" operator="containsText" text="&quot;H&quot;">
      <formula>NOT(ISERROR(SEARCH("""H""",CJ33)))</formula>
    </cfRule>
    <cfRule type="containsText" dxfId="446" priority="451" operator="containsText" text="&quot;A&quot;">
      <formula>NOT(ISERROR(SEARCH("""A""",CJ33)))</formula>
    </cfRule>
  </conditionalFormatting>
  <conditionalFormatting sqref="CJ33">
    <cfRule type="containsText" dxfId="445" priority="449" operator="containsText" text="A-H">
      <formula>NOT(ISERROR(SEARCH("A-H",CJ33)))</formula>
    </cfRule>
  </conditionalFormatting>
  <conditionalFormatting sqref="CJ34">
    <cfRule type="cellIs" dxfId="444" priority="440" operator="equal">
      <formula>"C-Off-H"</formula>
    </cfRule>
    <cfRule type="cellIs" dxfId="443" priority="441" operator="equal">
      <formula>"C-Off"</formula>
    </cfRule>
    <cfRule type="cellIs" dxfId="442" priority="442" operator="equal">
      <formula>"CL-H"</formula>
    </cfRule>
    <cfRule type="cellIs" dxfId="441" priority="443" operator="equal">
      <formula>"EL-H"</formula>
    </cfRule>
    <cfRule type="cellIs" dxfId="440" priority="444" operator="equal">
      <formula>"CL"</formula>
    </cfRule>
    <cfRule type="cellIs" dxfId="439" priority="445" operator="equal">
      <formula>"EL"</formula>
    </cfRule>
  </conditionalFormatting>
  <conditionalFormatting sqref="CJ34">
    <cfRule type="cellIs" dxfId="438" priority="434" operator="equal">
      <formula>"C-Off-H"</formula>
    </cfRule>
    <cfRule type="cellIs" dxfId="437" priority="435" operator="equal">
      <formula>"C-Off"</formula>
    </cfRule>
    <cfRule type="cellIs" dxfId="436" priority="436" operator="equal">
      <formula>"CL-H"</formula>
    </cfRule>
    <cfRule type="cellIs" dxfId="435" priority="437" operator="equal">
      <formula>"EL-H"</formula>
    </cfRule>
    <cfRule type="cellIs" dxfId="434" priority="438" operator="equal">
      <formula>"CL"</formula>
    </cfRule>
    <cfRule type="cellIs" dxfId="433" priority="439" operator="equal">
      <formula>"EL"</formula>
    </cfRule>
  </conditionalFormatting>
  <conditionalFormatting sqref="CJ34">
    <cfRule type="containsText" dxfId="432" priority="428" operator="containsText" text="S">
      <formula>NOT(ISERROR(SEARCH("S",CJ34)))</formula>
    </cfRule>
    <cfRule type="containsText" dxfId="431" priority="429" operator="containsText" text="P">
      <formula>NOT(ISERROR(SEARCH("P",CJ34)))</formula>
    </cfRule>
    <cfRule type="containsText" dxfId="430" priority="430" operator="containsText" text="H">
      <formula>NOT(ISERROR(SEARCH("H",CJ34)))</formula>
    </cfRule>
    <cfRule type="containsText" dxfId="429" priority="432" operator="containsText" text="&quot;H&quot;">
      <formula>NOT(ISERROR(SEARCH("""H""",CJ34)))</formula>
    </cfRule>
    <cfRule type="containsText" dxfId="428" priority="433" operator="containsText" text="&quot;A&quot;">
      <formula>NOT(ISERROR(SEARCH("""A""",CJ34)))</formula>
    </cfRule>
  </conditionalFormatting>
  <conditionalFormatting sqref="CJ34">
    <cfRule type="containsText" dxfId="427" priority="431" operator="containsText" text="A-H">
      <formula>NOT(ISERROR(SEARCH("A-H",CJ34)))</formula>
    </cfRule>
  </conditionalFormatting>
  <conditionalFormatting sqref="CJ32">
    <cfRule type="cellIs" dxfId="426" priority="422" operator="equal">
      <formula>"C-Off-H"</formula>
    </cfRule>
    <cfRule type="cellIs" dxfId="425" priority="423" operator="equal">
      <formula>"C-Off"</formula>
    </cfRule>
    <cfRule type="cellIs" dxfId="424" priority="424" operator="equal">
      <formula>"CL-H"</formula>
    </cfRule>
    <cfRule type="cellIs" dxfId="423" priority="425" operator="equal">
      <formula>"EL-H"</formula>
    </cfRule>
    <cfRule type="cellIs" dxfId="422" priority="426" operator="equal">
      <formula>"CL"</formula>
    </cfRule>
    <cfRule type="cellIs" dxfId="421" priority="427" operator="equal">
      <formula>"EL"</formula>
    </cfRule>
  </conditionalFormatting>
  <conditionalFormatting sqref="CJ32">
    <cfRule type="cellIs" dxfId="420" priority="416" operator="equal">
      <formula>"C-Off-H"</formula>
    </cfRule>
    <cfRule type="cellIs" dxfId="419" priority="417" operator="equal">
      <formula>"C-Off"</formula>
    </cfRule>
    <cfRule type="cellIs" dxfId="418" priority="418" operator="equal">
      <formula>"CL-H"</formula>
    </cfRule>
    <cfRule type="cellIs" dxfId="417" priority="419" operator="equal">
      <formula>"EL-H"</formula>
    </cfRule>
    <cfRule type="cellIs" dxfId="416" priority="420" operator="equal">
      <formula>"CL"</formula>
    </cfRule>
    <cfRule type="cellIs" dxfId="415" priority="421" operator="equal">
      <formula>"EL"</formula>
    </cfRule>
  </conditionalFormatting>
  <conditionalFormatting sqref="CJ32">
    <cfRule type="containsText" dxfId="414" priority="410" operator="containsText" text="S">
      <formula>NOT(ISERROR(SEARCH("S",CJ32)))</formula>
    </cfRule>
    <cfRule type="containsText" dxfId="413" priority="411" operator="containsText" text="P">
      <formula>NOT(ISERROR(SEARCH("P",CJ32)))</formula>
    </cfRule>
    <cfRule type="containsText" dxfId="412" priority="412" operator="containsText" text="H">
      <formula>NOT(ISERROR(SEARCH("H",CJ32)))</formula>
    </cfRule>
    <cfRule type="containsText" dxfId="411" priority="414" operator="containsText" text="&quot;H&quot;">
      <formula>NOT(ISERROR(SEARCH("""H""",CJ32)))</formula>
    </cfRule>
    <cfRule type="containsText" dxfId="410" priority="415" operator="containsText" text="&quot;A&quot;">
      <formula>NOT(ISERROR(SEARCH("""A""",CJ32)))</formula>
    </cfRule>
  </conditionalFormatting>
  <conditionalFormatting sqref="CJ32">
    <cfRule type="containsText" dxfId="409" priority="413" operator="containsText" text="A-H">
      <formula>NOT(ISERROR(SEARCH("A-H",CJ32)))</formula>
    </cfRule>
  </conditionalFormatting>
  <conditionalFormatting sqref="CK34">
    <cfRule type="cellIs" dxfId="408" priority="404" operator="equal">
      <formula>"C-Off-H"</formula>
    </cfRule>
    <cfRule type="cellIs" dxfId="407" priority="405" operator="equal">
      <formula>"C-Off"</formula>
    </cfRule>
    <cfRule type="cellIs" dxfId="406" priority="406" operator="equal">
      <formula>"CL-H"</formula>
    </cfRule>
    <cfRule type="cellIs" dxfId="405" priority="407" operator="equal">
      <formula>"EL-H"</formula>
    </cfRule>
    <cfRule type="cellIs" dxfId="404" priority="408" operator="equal">
      <formula>"CL"</formula>
    </cfRule>
    <cfRule type="cellIs" dxfId="403" priority="409" operator="equal">
      <formula>"EL"</formula>
    </cfRule>
  </conditionalFormatting>
  <conditionalFormatting sqref="CK34">
    <cfRule type="containsText" dxfId="402" priority="403" operator="containsText" text="A-H">
      <formula>NOT(ISERROR(SEARCH("A-H",CK34)))</formula>
    </cfRule>
  </conditionalFormatting>
  <conditionalFormatting sqref="CK34">
    <cfRule type="containsText" dxfId="401" priority="402" operator="containsText" text="A">
      <formula>NOT(ISERROR(SEARCH("A",CK34)))</formula>
    </cfRule>
  </conditionalFormatting>
  <conditionalFormatting sqref="CK34">
    <cfRule type="containsText" dxfId="400" priority="397" operator="containsText" text="S">
      <formula>NOT(ISERROR(SEARCH("S",CK34)))</formula>
    </cfRule>
    <cfRule type="containsText" dxfId="399" priority="398" operator="containsText" text="P">
      <formula>NOT(ISERROR(SEARCH("P",CK34)))</formula>
    </cfRule>
    <cfRule type="containsText" dxfId="398" priority="399" operator="containsText" text="H">
      <formula>NOT(ISERROR(SEARCH("H",CK34)))</formula>
    </cfRule>
    <cfRule type="containsText" dxfId="397" priority="400" operator="containsText" text="&quot;H&quot;">
      <formula>NOT(ISERROR(SEARCH("""H""",CK34)))</formula>
    </cfRule>
    <cfRule type="containsText" dxfId="396" priority="401" operator="containsText" text="&quot;A&quot;">
      <formula>NOT(ISERROR(SEARCH("""A""",CK34)))</formula>
    </cfRule>
  </conditionalFormatting>
  <conditionalFormatting sqref="CJ31">
    <cfRule type="cellIs" dxfId="395" priority="391" operator="equal">
      <formula>"C-Off-H"</formula>
    </cfRule>
    <cfRule type="cellIs" dxfId="394" priority="392" operator="equal">
      <formula>"C-Off"</formula>
    </cfRule>
    <cfRule type="cellIs" dxfId="393" priority="393" operator="equal">
      <formula>"CL-H"</formula>
    </cfRule>
    <cfRule type="cellIs" dxfId="392" priority="394" operator="equal">
      <formula>"EL-H"</formula>
    </cfRule>
    <cfRule type="cellIs" dxfId="391" priority="395" operator="equal">
      <formula>"CL"</formula>
    </cfRule>
    <cfRule type="cellIs" dxfId="390" priority="396" operator="equal">
      <formula>"EL"</formula>
    </cfRule>
  </conditionalFormatting>
  <conditionalFormatting sqref="CJ31">
    <cfRule type="cellIs" dxfId="389" priority="385" operator="equal">
      <formula>"C-Off-H"</formula>
    </cfRule>
    <cfRule type="cellIs" dxfId="388" priority="386" operator="equal">
      <formula>"C-Off"</formula>
    </cfRule>
    <cfRule type="cellIs" dxfId="387" priority="387" operator="equal">
      <formula>"CL-H"</formula>
    </cfRule>
    <cfRule type="cellIs" dxfId="386" priority="388" operator="equal">
      <formula>"EL-H"</formula>
    </cfRule>
    <cfRule type="cellIs" dxfId="385" priority="389" operator="equal">
      <formula>"CL"</formula>
    </cfRule>
    <cfRule type="cellIs" dxfId="384" priority="390" operator="equal">
      <formula>"EL"</formula>
    </cfRule>
  </conditionalFormatting>
  <conditionalFormatting sqref="CJ31">
    <cfRule type="containsText" dxfId="383" priority="379" operator="containsText" text="S">
      <formula>NOT(ISERROR(SEARCH("S",CJ31)))</formula>
    </cfRule>
    <cfRule type="containsText" dxfId="382" priority="380" operator="containsText" text="P">
      <formula>NOT(ISERROR(SEARCH("P",CJ31)))</formula>
    </cfRule>
    <cfRule type="containsText" dxfId="381" priority="381" operator="containsText" text="H">
      <formula>NOT(ISERROR(SEARCH("H",CJ31)))</formula>
    </cfRule>
    <cfRule type="containsText" dxfId="380" priority="383" operator="containsText" text="&quot;H&quot;">
      <formula>NOT(ISERROR(SEARCH("""H""",CJ31)))</formula>
    </cfRule>
    <cfRule type="containsText" dxfId="379" priority="384" operator="containsText" text="&quot;A&quot;">
      <formula>NOT(ISERROR(SEARCH("""A""",CJ31)))</formula>
    </cfRule>
  </conditionalFormatting>
  <conditionalFormatting sqref="CJ31">
    <cfRule type="containsText" dxfId="378" priority="382" operator="containsText" text="A-H">
      <formula>NOT(ISERROR(SEARCH("A-H",CJ31)))</formula>
    </cfRule>
  </conditionalFormatting>
  <conditionalFormatting sqref="CK31">
    <cfRule type="cellIs" dxfId="377" priority="373" operator="equal">
      <formula>"C-Off-H"</formula>
    </cfRule>
    <cfRule type="cellIs" dxfId="376" priority="374" operator="equal">
      <formula>"C-Off"</formula>
    </cfRule>
    <cfRule type="cellIs" dxfId="375" priority="375" operator="equal">
      <formula>"CL-H"</formula>
    </cfRule>
    <cfRule type="cellIs" dxfId="374" priority="376" operator="equal">
      <formula>"EL-H"</formula>
    </cfRule>
    <cfRule type="cellIs" dxfId="373" priority="377" operator="equal">
      <formula>"CL"</formula>
    </cfRule>
    <cfRule type="cellIs" dxfId="372" priority="378" operator="equal">
      <formula>"EL"</formula>
    </cfRule>
  </conditionalFormatting>
  <conditionalFormatting sqref="CK31">
    <cfRule type="containsText" dxfId="371" priority="372" operator="containsText" text="A-H">
      <formula>NOT(ISERROR(SEARCH("A-H",CK31)))</formula>
    </cfRule>
  </conditionalFormatting>
  <conditionalFormatting sqref="CK31">
    <cfRule type="containsText" dxfId="370" priority="371" operator="containsText" text="A">
      <formula>NOT(ISERROR(SEARCH("A",CK31)))</formula>
    </cfRule>
  </conditionalFormatting>
  <conditionalFormatting sqref="CK31">
    <cfRule type="containsText" dxfId="369" priority="366" operator="containsText" text="S">
      <formula>NOT(ISERROR(SEARCH("S",CK31)))</formula>
    </cfRule>
    <cfRule type="containsText" dxfId="368" priority="367" operator="containsText" text="P">
      <formula>NOT(ISERROR(SEARCH("P",CK31)))</formula>
    </cfRule>
    <cfRule type="containsText" dxfId="367" priority="368" operator="containsText" text="H">
      <formula>NOT(ISERROR(SEARCH("H",CK31)))</formula>
    </cfRule>
    <cfRule type="containsText" dxfId="366" priority="369" operator="containsText" text="&quot;H&quot;">
      <formula>NOT(ISERROR(SEARCH("""H""",CK31)))</formula>
    </cfRule>
    <cfRule type="containsText" dxfId="365" priority="370" operator="containsText" text="&quot;A&quot;">
      <formula>NOT(ISERROR(SEARCH("""A""",CK31)))</formula>
    </cfRule>
  </conditionalFormatting>
  <conditionalFormatting sqref="CK36:CK37">
    <cfRule type="cellIs" dxfId="364" priority="360" operator="equal">
      <formula>"C-Off-H"</formula>
    </cfRule>
    <cfRule type="cellIs" dxfId="363" priority="361" operator="equal">
      <formula>"C-Off"</formula>
    </cfRule>
    <cfRule type="cellIs" dxfId="362" priority="362" operator="equal">
      <formula>"CL-H"</formula>
    </cfRule>
    <cfRule type="cellIs" dxfId="361" priority="363" operator="equal">
      <formula>"EL-H"</formula>
    </cfRule>
    <cfRule type="cellIs" dxfId="360" priority="364" operator="equal">
      <formula>"CL"</formula>
    </cfRule>
    <cfRule type="cellIs" dxfId="359" priority="365" operator="equal">
      <formula>"EL"</formula>
    </cfRule>
  </conditionalFormatting>
  <conditionalFormatting sqref="CK36:CK37">
    <cfRule type="containsText" dxfId="358" priority="359" operator="containsText" text="A-H">
      <formula>NOT(ISERROR(SEARCH("A-H",CK36)))</formula>
    </cfRule>
  </conditionalFormatting>
  <conditionalFormatting sqref="CK36:CK37">
    <cfRule type="containsText" dxfId="357" priority="358" operator="containsText" text="A">
      <formula>NOT(ISERROR(SEARCH("A",CK36)))</formula>
    </cfRule>
  </conditionalFormatting>
  <conditionalFormatting sqref="CK36:CK37">
    <cfRule type="containsText" dxfId="356" priority="353" operator="containsText" text="S">
      <formula>NOT(ISERROR(SEARCH("S",CK36)))</formula>
    </cfRule>
    <cfRule type="containsText" dxfId="355" priority="354" operator="containsText" text="P">
      <formula>NOT(ISERROR(SEARCH("P",CK36)))</formula>
    </cfRule>
    <cfRule type="containsText" dxfId="354" priority="355" operator="containsText" text="H">
      <formula>NOT(ISERROR(SEARCH("H",CK36)))</formula>
    </cfRule>
    <cfRule type="containsText" dxfId="353" priority="356" operator="containsText" text="&quot;H&quot;">
      <formula>NOT(ISERROR(SEARCH("""H""",CK36)))</formula>
    </cfRule>
    <cfRule type="containsText" dxfId="352" priority="357" operator="containsText" text="&quot;A&quot;">
      <formula>NOT(ISERROR(SEARCH("""A""",CK36)))</formula>
    </cfRule>
  </conditionalFormatting>
  <conditionalFormatting sqref="CJ37">
    <cfRule type="cellIs" dxfId="351" priority="347" operator="equal">
      <formula>"C-Off-H"</formula>
    </cfRule>
    <cfRule type="cellIs" dxfId="350" priority="348" operator="equal">
      <formula>"C-Off"</formula>
    </cfRule>
    <cfRule type="cellIs" dxfId="349" priority="349" operator="equal">
      <formula>"CL-H"</formula>
    </cfRule>
    <cfRule type="cellIs" dxfId="348" priority="350" operator="equal">
      <formula>"EL-H"</formula>
    </cfRule>
    <cfRule type="cellIs" dxfId="347" priority="351" operator="equal">
      <formula>"CL"</formula>
    </cfRule>
    <cfRule type="cellIs" dxfId="346" priority="352" operator="equal">
      <formula>"EL"</formula>
    </cfRule>
  </conditionalFormatting>
  <conditionalFormatting sqref="CJ37">
    <cfRule type="cellIs" dxfId="345" priority="341" operator="equal">
      <formula>"C-Off-H"</formula>
    </cfRule>
    <cfRule type="cellIs" dxfId="344" priority="342" operator="equal">
      <formula>"C-Off"</formula>
    </cfRule>
    <cfRule type="cellIs" dxfId="343" priority="343" operator="equal">
      <formula>"CL-H"</formula>
    </cfRule>
    <cfRule type="cellIs" dxfId="342" priority="344" operator="equal">
      <formula>"EL-H"</formula>
    </cfRule>
    <cfRule type="cellIs" dxfId="341" priority="345" operator="equal">
      <formula>"CL"</formula>
    </cfRule>
    <cfRule type="cellIs" dxfId="340" priority="346" operator="equal">
      <formula>"EL"</formula>
    </cfRule>
  </conditionalFormatting>
  <conditionalFormatting sqref="CJ37">
    <cfRule type="containsText" dxfId="339" priority="335" operator="containsText" text="S">
      <formula>NOT(ISERROR(SEARCH("S",CJ37)))</formula>
    </cfRule>
    <cfRule type="containsText" dxfId="338" priority="336" operator="containsText" text="P">
      <formula>NOT(ISERROR(SEARCH("P",CJ37)))</formula>
    </cfRule>
    <cfRule type="containsText" dxfId="337" priority="337" operator="containsText" text="H">
      <formula>NOT(ISERROR(SEARCH("H",CJ37)))</formula>
    </cfRule>
    <cfRule type="containsText" dxfId="336" priority="339" operator="containsText" text="&quot;H&quot;">
      <formula>NOT(ISERROR(SEARCH("""H""",CJ37)))</formula>
    </cfRule>
    <cfRule type="containsText" dxfId="335" priority="340" operator="containsText" text="&quot;A&quot;">
      <formula>NOT(ISERROR(SEARCH("""A""",CJ37)))</formula>
    </cfRule>
  </conditionalFormatting>
  <conditionalFormatting sqref="CJ37">
    <cfRule type="containsText" dxfId="334" priority="338" operator="containsText" text="A-H">
      <formula>NOT(ISERROR(SEARCH("A-H",CJ37)))</formula>
    </cfRule>
  </conditionalFormatting>
  <conditionalFormatting sqref="CJ38">
    <cfRule type="cellIs" dxfId="333" priority="329" operator="equal">
      <formula>"C-Off-H"</formula>
    </cfRule>
    <cfRule type="cellIs" dxfId="332" priority="330" operator="equal">
      <formula>"C-Off"</formula>
    </cfRule>
    <cfRule type="cellIs" dxfId="331" priority="331" operator="equal">
      <formula>"CL-H"</formula>
    </cfRule>
    <cfRule type="cellIs" dxfId="330" priority="332" operator="equal">
      <formula>"EL-H"</formula>
    </cfRule>
    <cfRule type="cellIs" dxfId="329" priority="333" operator="equal">
      <formula>"CL"</formula>
    </cfRule>
    <cfRule type="cellIs" dxfId="328" priority="334" operator="equal">
      <formula>"EL"</formula>
    </cfRule>
  </conditionalFormatting>
  <conditionalFormatting sqref="CJ38">
    <cfRule type="cellIs" dxfId="327" priority="323" operator="equal">
      <formula>"C-Off-H"</formula>
    </cfRule>
    <cfRule type="cellIs" dxfId="326" priority="324" operator="equal">
      <formula>"C-Off"</formula>
    </cfRule>
    <cfRule type="cellIs" dxfId="325" priority="325" operator="equal">
      <formula>"CL-H"</formula>
    </cfRule>
    <cfRule type="cellIs" dxfId="324" priority="326" operator="equal">
      <formula>"EL-H"</formula>
    </cfRule>
    <cfRule type="cellIs" dxfId="323" priority="327" operator="equal">
      <formula>"CL"</formula>
    </cfRule>
    <cfRule type="cellIs" dxfId="322" priority="328" operator="equal">
      <formula>"EL"</formula>
    </cfRule>
  </conditionalFormatting>
  <conditionalFormatting sqref="CJ38">
    <cfRule type="containsText" dxfId="321" priority="317" operator="containsText" text="S">
      <formula>NOT(ISERROR(SEARCH("S",CJ38)))</formula>
    </cfRule>
    <cfRule type="containsText" dxfId="320" priority="318" operator="containsText" text="P">
      <formula>NOT(ISERROR(SEARCH("P",CJ38)))</formula>
    </cfRule>
    <cfRule type="containsText" dxfId="319" priority="319" operator="containsText" text="H">
      <formula>NOT(ISERROR(SEARCH("H",CJ38)))</formula>
    </cfRule>
    <cfRule type="containsText" dxfId="318" priority="321" operator="containsText" text="&quot;H&quot;">
      <formula>NOT(ISERROR(SEARCH("""H""",CJ38)))</formula>
    </cfRule>
    <cfRule type="containsText" dxfId="317" priority="322" operator="containsText" text="&quot;A&quot;">
      <formula>NOT(ISERROR(SEARCH("""A""",CJ38)))</formula>
    </cfRule>
  </conditionalFormatting>
  <conditionalFormatting sqref="CJ38">
    <cfRule type="containsText" dxfId="316" priority="320" operator="containsText" text="A-H">
      <formula>NOT(ISERROR(SEARCH("A-H",CJ38)))</formula>
    </cfRule>
  </conditionalFormatting>
  <conditionalFormatting sqref="CJ36">
    <cfRule type="cellIs" dxfId="315" priority="311" operator="equal">
      <formula>"C-Off-H"</formula>
    </cfRule>
    <cfRule type="cellIs" dxfId="314" priority="312" operator="equal">
      <formula>"C-Off"</formula>
    </cfRule>
    <cfRule type="cellIs" dxfId="313" priority="313" operator="equal">
      <formula>"CL-H"</formula>
    </cfRule>
    <cfRule type="cellIs" dxfId="312" priority="314" operator="equal">
      <formula>"EL-H"</formula>
    </cfRule>
    <cfRule type="cellIs" dxfId="311" priority="315" operator="equal">
      <formula>"CL"</formula>
    </cfRule>
    <cfRule type="cellIs" dxfId="310" priority="316" operator="equal">
      <formula>"EL"</formula>
    </cfRule>
  </conditionalFormatting>
  <conditionalFormatting sqref="CJ36">
    <cfRule type="cellIs" dxfId="309" priority="305" operator="equal">
      <formula>"C-Off-H"</formula>
    </cfRule>
    <cfRule type="cellIs" dxfId="308" priority="306" operator="equal">
      <formula>"C-Off"</formula>
    </cfRule>
    <cfRule type="cellIs" dxfId="307" priority="307" operator="equal">
      <formula>"CL-H"</formula>
    </cfRule>
    <cfRule type="cellIs" dxfId="306" priority="308" operator="equal">
      <formula>"EL-H"</formula>
    </cfRule>
    <cfRule type="cellIs" dxfId="305" priority="309" operator="equal">
      <formula>"CL"</formula>
    </cfRule>
    <cfRule type="cellIs" dxfId="304" priority="310" operator="equal">
      <formula>"EL"</formula>
    </cfRule>
  </conditionalFormatting>
  <conditionalFormatting sqref="CJ36">
    <cfRule type="containsText" dxfId="303" priority="299" operator="containsText" text="S">
      <formula>NOT(ISERROR(SEARCH("S",CJ36)))</formula>
    </cfRule>
    <cfRule type="containsText" dxfId="302" priority="300" operator="containsText" text="P">
      <formula>NOT(ISERROR(SEARCH("P",CJ36)))</formula>
    </cfRule>
    <cfRule type="containsText" dxfId="301" priority="301" operator="containsText" text="H">
      <formula>NOT(ISERROR(SEARCH("H",CJ36)))</formula>
    </cfRule>
    <cfRule type="containsText" dxfId="300" priority="303" operator="containsText" text="&quot;H&quot;">
      <formula>NOT(ISERROR(SEARCH("""H""",CJ36)))</formula>
    </cfRule>
    <cfRule type="containsText" dxfId="299" priority="304" operator="containsText" text="&quot;A&quot;">
      <formula>NOT(ISERROR(SEARCH("""A""",CJ36)))</formula>
    </cfRule>
  </conditionalFormatting>
  <conditionalFormatting sqref="CJ36">
    <cfRule type="containsText" dxfId="298" priority="302" operator="containsText" text="A-H">
      <formula>NOT(ISERROR(SEARCH("A-H",CJ36)))</formula>
    </cfRule>
  </conditionalFormatting>
  <conditionalFormatting sqref="CK38">
    <cfRule type="cellIs" dxfId="297" priority="293" operator="equal">
      <formula>"C-Off-H"</formula>
    </cfRule>
    <cfRule type="cellIs" dxfId="296" priority="294" operator="equal">
      <formula>"C-Off"</formula>
    </cfRule>
    <cfRule type="cellIs" dxfId="295" priority="295" operator="equal">
      <formula>"CL-H"</formula>
    </cfRule>
    <cfRule type="cellIs" dxfId="294" priority="296" operator="equal">
      <formula>"EL-H"</formula>
    </cfRule>
    <cfRule type="cellIs" dxfId="293" priority="297" operator="equal">
      <formula>"CL"</formula>
    </cfRule>
    <cfRule type="cellIs" dxfId="292" priority="298" operator="equal">
      <formula>"EL"</formula>
    </cfRule>
  </conditionalFormatting>
  <conditionalFormatting sqref="CK38">
    <cfRule type="containsText" dxfId="291" priority="292" operator="containsText" text="A-H">
      <formula>NOT(ISERROR(SEARCH("A-H",CK38)))</formula>
    </cfRule>
  </conditionalFormatting>
  <conditionalFormatting sqref="CK38">
    <cfRule type="containsText" dxfId="290" priority="291" operator="containsText" text="A">
      <formula>NOT(ISERROR(SEARCH("A",CK38)))</formula>
    </cfRule>
  </conditionalFormatting>
  <conditionalFormatting sqref="CK38">
    <cfRule type="containsText" dxfId="289" priority="286" operator="containsText" text="S">
      <formula>NOT(ISERROR(SEARCH("S",CK38)))</formula>
    </cfRule>
    <cfRule type="containsText" dxfId="288" priority="287" operator="containsText" text="P">
      <formula>NOT(ISERROR(SEARCH("P",CK38)))</formula>
    </cfRule>
    <cfRule type="containsText" dxfId="287" priority="288" operator="containsText" text="H">
      <formula>NOT(ISERROR(SEARCH("H",CK38)))</formula>
    </cfRule>
    <cfRule type="containsText" dxfId="286" priority="289" operator="containsText" text="&quot;H&quot;">
      <formula>NOT(ISERROR(SEARCH("""H""",CK38)))</formula>
    </cfRule>
    <cfRule type="containsText" dxfId="285" priority="290" operator="containsText" text="&quot;A&quot;">
      <formula>NOT(ISERROR(SEARCH("""A""",CK38)))</formula>
    </cfRule>
  </conditionalFormatting>
  <conditionalFormatting sqref="CJ35">
    <cfRule type="cellIs" dxfId="284" priority="280" operator="equal">
      <formula>"C-Off-H"</formula>
    </cfRule>
    <cfRule type="cellIs" dxfId="283" priority="281" operator="equal">
      <formula>"C-Off"</formula>
    </cfRule>
    <cfRule type="cellIs" dxfId="282" priority="282" operator="equal">
      <formula>"CL-H"</formula>
    </cfRule>
    <cfRule type="cellIs" dxfId="281" priority="283" operator="equal">
      <formula>"EL-H"</formula>
    </cfRule>
    <cfRule type="cellIs" dxfId="280" priority="284" operator="equal">
      <formula>"CL"</formula>
    </cfRule>
    <cfRule type="cellIs" dxfId="279" priority="285" operator="equal">
      <formula>"EL"</formula>
    </cfRule>
  </conditionalFormatting>
  <conditionalFormatting sqref="CJ35">
    <cfRule type="cellIs" dxfId="278" priority="274" operator="equal">
      <formula>"C-Off-H"</formula>
    </cfRule>
    <cfRule type="cellIs" dxfId="277" priority="275" operator="equal">
      <formula>"C-Off"</formula>
    </cfRule>
    <cfRule type="cellIs" dxfId="276" priority="276" operator="equal">
      <formula>"CL-H"</formula>
    </cfRule>
    <cfRule type="cellIs" dxfId="275" priority="277" operator="equal">
      <formula>"EL-H"</formula>
    </cfRule>
    <cfRule type="cellIs" dxfId="274" priority="278" operator="equal">
      <formula>"CL"</formula>
    </cfRule>
    <cfRule type="cellIs" dxfId="273" priority="279" operator="equal">
      <formula>"EL"</formula>
    </cfRule>
  </conditionalFormatting>
  <conditionalFormatting sqref="CJ35">
    <cfRule type="containsText" dxfId="272" priority="268" operator="containsText" text="S">
      <formula>NOT(ISERROR(SEARCH("S",CJ35)))</formula>
    </cfRule>
    <cfRule type="containsText" dxfId="271" priority="269" operator="containsText" text="P">
      <formula>NOT(ISERROR(SEARCH("P",CJ35)))</formula>
    </cfRule>
    <cfRule type="containsText" dxfId="270" priority="270" operator="containsText" text="H">
      <formula>NOT(ISERROR(SEARCH("H",CJ35)))</formula>
    </cfRule>
    <cfRule type="containsText" dxfId="269" priority="272" operator="containsText" text="&quot;H&quot;">
      <formula>NOT(ISERROR(SEARCH("""H""",CJ35)))</formula>
    </cfRule>
    <cfRule type="containsText" dxfId="268" priority="273" operator="containsText" text="&quot;A&quot;">
      <formula>NOT(ISERROR(SEARCH("""A""",CJ35)))</formula>
    </cfRule>
  </conditionalFormatting>
  <conditionalFormatting sqref="CJ35">
    <cfRule type="containsText" dxfId="267" priority="271" operator="containsText" text="A-H">
      <formula>NOT(ISERROR(SEARCH("A-H",CJ35)))</formula>
    </cfRule>
  </conditionalFormatting>
  <conditionalFormatting sqref="CK35">
    <cfRule type="cellIs" dxfId="266" priority="262" operator="equal">
      <formula>"C-Off-H"</formula>
    </cfRule>
    <cfRule type="cellIs" dxfId="265" priority="263" operator="equal">
      <formula>"C-Off"</formula>
    </cfRule>
    <cfRule type="cellIs" dxfId="264" priority="264" operator="equal">
      <formula>"CL-H"</formula>
    </cfRule>
    <cfRule type="cellIs" dxfId="263" priority="265" operator="equal">
      <formula>"EL-H"</formula>
    </cfRule>
    <cfRule type="cellIs" dxfId="262" priority="266" operator="equal">
      <formula>"CL"</formula>
    </cfRule>
    <cfRule type="cellIs" dxfId="261" priority="267" operator="equal">
      <formula>"EL"</formula>
    </cfRule>
  </conditionalFormatting>
  <conditionalFormatting sqref="CK35">
    <cfRule type="containsText" dxfId="260" priority="261" operator="containsText" text="A-H">
      <formula>NOT(ISERROR(SEARCH("A-H",CK35)))</formula>
    </cfRule>
  </conditionalFormatting>
  <conditionalFormatting sqref="CK35">
    <cfRule type="containsText" dxfId="259" priority="260" operator="containsText" text="A">
      <formula>NOT(ISERROR(SEARCH("A",CK35)))</formula>
    </cfRule>
  </conditionalFormatting>
  <conditionalFormatting sqref="CK35">
    <cfRule type="containsText" dxfId="258" priority="255" operator="containsText" text="S">
      <formula>NOT(ISERROR(SEARCH("S",CK35)))</formula>
    </cfRule>
    <cfRule type="containsText" dxfId="257" priority="256" operator="containsText" text="P">
      <formula>NOT(ISERROR(SEARCH("P",CK35)))</formula>
    </cfRule>
    <cfRule type="containsText" dxfId="256" priority="257" operator="containsText" text="H">
      <formula>NOT(ISERROR(SEARCH("H",CK35)))</formula>
    </cfRule>
    <cfRule type="containsText" dxfId="255" priority="258" operator="containsText" text="&quot;H&quot;">
      <formula>NOT(ISERROR(SEARCH("""H""",CK35)))</formula>
    </cfRule>
    <cfRule type="containsText" dxfId="254" priority="259" operator="containsText" text="&quot;A&quot;">
      <formula>NOT(ISERROR(SEARCH("""A""",CK35)))</formula>
    </cfRule>
  </conditionalFormatting>
  <conditionalFormatting sqref="CK40:CK41">
    <cfRule type="cellIs" dxfId="253" priority="249" operator="equal">
      <formula>"C-Off-H"</formula>
    </cfRule>
    <cfRule type="cellIs" dxfId="252" priority="250" operator="equal">
      <formula>"C-Off"</formula>
    </cfRule>
    <cfRule type="cellIs" dxfId="251" priority="251" operator="equal">
      <formula>"CL-H"</formula>
    </cfRule>
    <cfRule type="cellIs" dxfId="250" priority="252" operator="equal">
      <formula>"EL-H"</formula>
    </cfRule>
    <cfRule type="cellIs" dxfId="249" priority="253" operator="equal">
      <formula>"CL"</formula>
    </cfRule>
    <cfRule type="cellIs" dxfId="248" priority="254" operator="equal">
      <formula>"EL"</formula>
    </cfRule>
  </conditionalFormatting>
  <conditionalFormatting sqref="CK40:CK41">
    <cfRule type="containsText" dxfId="247" priority="248" operator="containsText" text="A-H">
      <formula>NOT(ISERROR(SEARCH("A-H",CK40)))</formula>
    </cfRule>
  </conditionalFormatting>
  <conditionalFormatting sqref="CK40:CK41">
    <cfRule type="containsText" dxfId="246" priority="247" operator="containsText" text="A">
      <formula>NOT(ISERROR(SEARCH("A",CK40)))</formula>
    </cfRule>
  </conditionalFormatting>
  <conditionalFormatting sqref="CK40:CK41">
    <cfRule type="containsText" dxfId="245" priority="242" operator="containsText" text="S">
      <formula>NOT(ISERROR(SEARCH("S",CK40)))</formula>
    </cfRule>
    <cfRule type="containsText" dxfId="244" priority="243" operator="containsText" text="P">
      <formula>NOT(ISERROR(SEARCH("P",CK40)))</formula>
    </cfRule>
    <cfRule type="containsText" dxfId="243" priority="244" operator="containsText" text="H">
      <formula>NOT(ISERROR(SEARCH("H",CK40)))</formula>
    </cfRule>
    <cfRule type="containsText" dxfId="242" priority="245" operator="containsText" text="&quot;H&quot;">
      <formula>NOT(ISERROR(SEARCH("""H""",CK40)))</formula>
    </cfRule>
    <cfRule type="containsText" dxfId="241" priority="246" operator="containsText" text="&quot;A&quot;">
      <formula>NOT(ISERROR(SEARCH("""A""",CK40)))</formula>
    </cfRule>
  </conditionalFormatting>
  <conditionalFormatting sqref="CJ41">
    <cfRule type="cellIs" dxfId="240" priority="236" operator="equal">
      <formula>"C-Off-H"</formula>
    </cfRule>
    <cfRule type="cellIs" dxfId="239" priority="237" operator="equal">
      <formula>"C-Off"</formula>
    </cfRule>
    <cfRule type="cellIs" dxfId="238" priority="238" operator="equal">
      <formula>"CL-H"</formula>
    </cfRule>
    <cfRule type="cellIs" dxfId="237" priority="239" operator="equal">
      <formula>"EL-H"</formula>
    </cfRule>
    <cfRule type="cellIs" dxfId="236" priority="240" operator="equal">
      <formula>"CL"</formula>
    </cfRule>
    <cfRule type="cellIs" dxfId="235" priority="241" operator="equal">
      <formula>"EL"</formula>
    </cfRule>
  </conditionalFormatting>
  <conditionalFormatting sqref="CJ41">
    <cfRule type="cellIs" dxfId="234" priority="230" operator="equal">
      <formula>"C-Off-H"</formula>
    </cfRule>
    <cfRule type="cellIs" dxfId="233" priority="231" operator="equal">
      <formula>"C-Off"</formula>
    </cfRule>
    <cfRule type="cellIs" dxfId="232" priority="232" operator="equal">
      <formula>"CL-H"</formula>
    </cfRule>
    <cfRule type="cellIs" dxfId="231" priority="233" operator="equal">
      <formula>"EL-H"</formula>
    </cfRule>
    <cfRule type="cellIs" dxfId="230" priority="234" operator="equal">
      <formula>"CL"</formula>
    </cfRule>
    <cfRule type="cellIs" dxfId="229" priority="235" operator="equal">
      <formula>"EL"</formula>
    </cfRule>
  </conditionalFormatting>
  <conditionalFormatting sqref="CJ41">
    <cfRule type="containsText" dxfId="228" priority="224" operator="containsText" text="S">
      <formula>NOT(ISERROR(SEARCH("S",CJ41)))</formula>
    </cfRule>
    <cfRule type="containsText" dxfId="227" priority="225" operator="containsText" text="P">
      <formula>NOT(ISERROR(SEARCH("P",CJ41)))</formula>
    </cfRule>
    <cfRule type="containsText" dxfId="226" priority="226" operator="containsText" text="H">
      <formula>NOT(ISERROR(SEARCH("H",CJ41)))</formula>
    </cfRule>
    <cfRule type="containsText" dxfId="225" priority="228" operator="containsText" text="&quot;H&quot;">
      <formula>NOT(ISERROR(SEARCH("""H""",CJ41)))</formula>
    </cfRule>
    <cfRule type="containsText" dxfId="224" priority="229" operator="containsText" text="&quot;A&quot;">
      <formula>NOT(ISERROR(SEARCH("""A""",CJ41)))</formula>
    </cfRule>
  </conditionalFormatting>
  <conditionalFormatting sqref="CJ41">
    <cfRule type="containsText" dxfId="223" priority="227" operator="containsText" text="A-H">
      <formula>NOT(ISERROR(SEARCH("A-H",CJ41)))</formula>
    </cfRule>
  </conditionalFormatting>
  <conditionalFormatting sqref="CJ42">
    <cfRule type="cellIs" dxfId="222" priority="218" operator="equal">
      <formula>"C-Off-H"</formula>
    </cfRule>
    <cfRule type="cellIs" dxfId="221" priority="219" operator="equal">
      <formula>"C-Off"</formula>
    </cfRule>
    <cfRule type="cellIs" dxfId="220" priority="220" operator="equal">
      <formula>"CL-H"</formula>
    </cfRule>
    <cfRule type="cellIs" dxfId="219" priority="221" operator="equal">
      <formula>"EL-H"</formula>
    </cfRule>
    <cfRule type="cellIs" dxfId="218" priority="222" operator="equal">
      <formula>"CL"</formula>
    </cfRule>
    <cfRule type="cellIs" dxfId="217" priority="223" operator="equal">
      <formula>"EL"</formula>
    </cfRule>
  </conditionalFormatting>
  <conditionalFormatting sqref="CJ42">
    <cfRule type="cellIs" dxfId="216" priority="212" operator="equal">
      <formula>"C-Off-H"</formula>
    </cfRule>
    <cfRule type="cellIs" dxfId="215" priority="213" operator="equal">
      <formula>"C-Off"</formula>
    </cfRule>
    <cfRule type="cellIs" dxfId="214" priority="214" operator="equal">
      <formula>"CL-H"</formula>
    </cfRule>
    <cfRule type="cellIs" dxfId="213" priority="215" operator="equal">
      <formula>"EL-H"</formula>
    </cfRule>
    <cfRule type="cellIs" dxfId="212" priority="216" operator="equal">
      <formula>"CL"</formula>
    </cfRule>
    <cfRule type="cellIs" dxfId="211" priority="217" operator="equal">
      <formula>"EL"</formula>
    </cfRule>
  </conditionalFormatting>
  <conditionalFormatting sqref="CJ42">
    <cfRule type="containsText" dxfId="210" priority="206" operator="containsText" text="S">
      <formula>NOT(ISERROR(SEARCH("S",CJ42)))</formula>
    </cfRule>
    <cfRule type="containsText" dxfId="209" priority="207" operator="containsText" text="P">
      <formula>NOT(ISERROR(SEARCH("P",CJ42)))</formula>
    </cfRule>
    <cfRule type="containsText" dxfId="208" priority="208" operator="containsText" text="H">
      <formula>NOT(ISERROR(SEARCH("H",CJ42)))</formula>
    </cfRule>
    <cfRule type="containsText" dxfId="207" priority="210" operator="containsText" text="&quot;H&quot;">
      <formula>NOT(ISERROR(SEARCH("""H""",CJ42)))</formula>
    </cfRule>
    <cfRule type="containsText" dxfId="206" priority="211" operator="containsText" text="&quot;A&quot;">
      <formula>NOT(ISERROR(SEARCH("""A""",CJ42)))</formula>
    </cfRule>
  </conditionalFormatting>
  <conditionalFormatting sqref="CJ42">
    <cfRule type="containsText" dxfId="205" priority="209" operator="containsText" text="A-H">
      <formula>NOT(ISERROR(SEARCH("A-H",CJ42)))</formula>
    </cfRule>
  </conditionalFormatting>
  <conditionalFormatting sqref="CJ40">
    <cfRule type="cellIs" dxfId="204" priority="200" operator="equal">
      <formula>"C-Off-H"</formula>
    </cfRule>
    <cfRule type="cellIs" dxfId="203" priority="201" operator="equal">
      <formula>"C-Off"</formula>
    </cfRule>
    <cfRule type="cellIs" dxfId="202" priority="202" operator="equal">
      <formula>"CL-H"</formula>
    </cfRule>
    <cfRule type="cellIs" dxfId="201" priority="203" operator="equal">
      <formula>"EL-H"</formula>
    </cfRule>
    <cfRule type="cellIs" dxfId="200" priority="204" operator="equal">
      <formula>"CL"</formula>
    </cfRule>
    <cfRule type="cellIs" dxfId="199" priority="205" operator="equal">
      <formula>"EL"</formula>
    </cfRule>
  </conditionalFormatting>
  <conditionalFormatting sqref="CJ40">
    <cfRule type="cellIs" dxfId="198" priority="194" operator="equal">
      <formula>"C-Off-H"</formula>
    </cfRule>
    <cfRule type="cellIs" dxfId="197" priority="195" operator="equal">
      <formula>"C-Off"</formula>
    </cfRule>
    <cfRule type="cellIs" dxfId="196" priority="196" operator="equal">
      <formula>"CL-H"</formula>
    </cfRule>
    <cfRule type="cellIs" dxfId="195" priority="197" operator="equal">
      <formula>"EL-H"</formula>
    </cfRule>
    <cfRule type="cellIs" dxfId="194" priority="198" operator="equal">
      <formula>"CL"</formula>
    </cfRule>
    <cfRule type="cellIs" dxfId="193" priority="199" operator="equal">
      <formula>"EL"</formula>
    </cfRule>
  </conditionalFormatting>
  <conditionalFormatting sqref="CJ40">
    <cfRule type="containsText" dxfId="192" priority="188" operator="containsText" text="S">
      <formula>NOT(ISERROR(SEARCH("S",CJ40)))</formula>
    </cfRule>
    <cfRule type="containsText" dxfId="191" priority="189" operator="containsText" text="P">
      <formula>NOT(ISERROR(SEARCH("P",CJ40)))</formula>
    </cfRule>
    <cfRule type="containsText" dxfId="190" priority="190" operator="containsText" text="H">
      <formula>NOT(ISERROR(SEARCH("H",CJ40)))</formula>
    </cfRule>
    <cfRule type="containsText" dxfId="189" priority="192" operator="containsText" text="&quot;H&quot;">
      <formula>NOT(ISERROR(SEARCH("""H""",CJ40)))</formula>
    </cfRule>
    <cfRule type="containsText" dxfId="188" priority="193" operator="containsText" text="&quot;A&quot;">
      <formula>NOT(ISERROR(SEARCH("""A""",CJ40)))</formula>
    </cfRule>
  </conditionalFormatting>
  <conditionalFormatting sqref="CJ40">
    <cfRule type="containsText" dxfId="187" priority="191" operator="containsText" text="A-H">
      <formula>NOT(ISERROR(SEARCH("A-H",CJ40)))</formula>
    </cfRule>
  </conditionalFormatting>
  <conditionalFormatting sqref="CK42">
    <cfRule type="cellIs" dxfId="186" priority="182" operator="equal">
      <formula>"C-Off-H"</formula>
    </cfRule>
    <cfRule type="cellIs" dxfId="185" priority="183" operator="equal">
      <formula>"C-Off"</formula>
    </cfRule>
    <cfRule type="cellIs" dxfId="184" priority="184" operator="equal">
      <formula>"CL-H"</formula>
    </cfRule>
    <cfRule type="cellIs" dxfId="183" priority="185" operator="equal">
      <formula>"EL-H"</formula>
    </cfRule>
    <cfRule type="cellIs" dxfId="182" priority="186" operator="equal">
      <formula>"CL"</formula>
    </cfRule>
    <cfRule type="cellIs" dxfId="181" priority="187" operator="equal">
      <formula>"EL"</formula>
    </cfRule>
  </conditionalFormatting>
  <conditionalFormatting sqref="CK42">
    <cfRule type="containsText" dxfId="180" priority="181" operator="containsText" text="A-H">
      <formula>NOT(ISERROR(SEARCH("A-H",CK42)))</formula>
    </cfRule>
  </conditionalFormatting>
  <conditionalFormatting sqref="CK42">
    <cfRule type="containsText" dxfId="179" priority="180" operator="containsText" text="A">
      <formula>NOT(ISERROR(SEARCH("A",CK42)))</formula>
    </cfRule>
  </conditionalFormatting>
  <conditionalFormatting sqref="CK42">
    <cfRule type="containsText" dxfId="178" priority="175" operator="containsText" text="S">
      <formula>NOT(ISERROR(SEARCH("S",CK42)))</formula>
    </cfRule>
    <cfRule type="containsText" dxfId="177" priority="176" operator="containsText" text="P">
      <formula>NOT(ISERROR(SEARCH("P",CK42)))</formula>
    </cfRule>
    <cfRule type="containsText" dxfId="176" priority="177" operator="containsText" text="H">
      <formula>NOT(ISERROR(SEARCH("H",CK42)))</formula>
    </cfRule>
    <cfRule type="containsText" dxfId="175" priority="178" operator="containsText" text="&quot;H&quot;">
      <formula>NOT(ISERROR(SEARCH("""H""",CK42)))</formula>
    </cfRule>
    <cfRule type="containsText" dxfId="174" priority="179" operator="containsText" text="&quot;A&quot;">
      <formula>NOT(ISERROR(SEARCH("""A""",CK42)))</formula>
    </cfRule>
  </conditionalFormatting>
  <conditionalFormatting sqref="CJ39">
    <cfRule type="cellIs" dxfId="173" priority="169" operator="equal">
      <formula>"C-Off-H"</formula>
    </cfRule>
    <cfRule type="cellIs" dxfId="172" priority="170" operator="equal">
      <formula>"C-Off"</formula>
    </cfRule>
    <cfRule type="cellIs" dxfId="171" priority="171" operator="equal">
      <formula>"CL-H"</formula>
    </cfRule>
    <cfRule type="cellIs" dxfId="170" priority="172" operator="equal">
      <formula>"EL-H"</formula>
    </cfRule>
    <cfRule type="cellIs" dxfId="169" priority="173" operator="equal">
      <formula>"CL"</formula>
    </cfRule>
    <cfRule type="cellIs" dxfId="168" priority="174" operator="equal">
      <formula>"EL"</formula>
    </cfRule>
  </conditionalFormatting>
  <conditionalFormatting sqref="CJ39">
    <cfRule type="cellIs" dxfId="167" priority="163" operator="equal">
      <formula>"C-Off-H"</formula>
    </cfRule>
    <cfRule type="cellIs" dxfId="166" priority="164" operator="equal">
      <formula>"C-Off"</formula>
    </cfRule>
    <cfRule type="cellIs" dxfId="165" priority="165" operator="equal">
      <formula>"CL-H"</formula>
    </cfRule>
    <cfRule type="cellIs" dxfId="164" priority="166" operator="equal">
      <formula>"EL-H"</formula>
    </cfRule>
    <cfRule type="cellIs" dxfId="163" priority="167" operator="equal">
      <formula>"CL"</formula>
    </cfRule>
    <cfRule type="cellIs" dxfId="162" priority="168" operator="equal">
      <formula>"EL"</formula>
    </cfRule>
  </conditionalFormatting>
  <conditionalFormatting sqref="CJ39">
    <cfRule type="containsText" dxfId="161" priority="157" operator="containsText" text="S">
      <formula>NOT(ISERROR(SEARCH("S",CJ39)))</formula>
    </cfRule>
    <cfRule type="containsText" dxfId="160" priority="158" operator="containsText" text="P">
      <formula>NOT(ISERROR(SEARCH("P",CJ39)))</formula>
    </cfRule>
    <cfRule type="containsText" dxfId="159" priority="159" operator="containsText" text="H">
      <formula>NOT(ISERROR(SEARCH("H",CJ39)))</formula>
    </cfRule>
    <cfRule type="containsText" dxfId="158" priority="161" operator="containsText" text="&quot;H&quot;">
      <formula>NOT(ISERROR(SEARCH("""H""",CJ39)))</formula>
    </cfRule>
    <cfRule type="containsText" dxfId="157" priority="162" operator="containsText" text="&quot;A&quot;">
      <formula>NOT(ISERROR(SEARCH("""A""",CJ39)))</formula>
    </cfRule>
  </conditionalFormatting>
  <conditionalFormatting sqref="CJ39">
    <cfRule type="containsText" dxfId="156" priority="160" operator="containsText" text="A-H">
      <formula>NOT(ISERROR(SEARCH("A-H",CJ39)))</formula>
    </cfRule>
  </conditionalFormatting>
  <conditionalFormatting sqref="CK39">
    <cfRule type="cellIs" dxfId="155" priority="151" operator="equal">
      <formula>"C-Off-H"</formula>
    </cfRule>
    <cfRule type="cellIs" dxfId="154" priority="152" operator="equal">
      <formula>"C-Off"</formula>
    </cfRule>
    <cfRule type="cellIs" dxfId="153" priority="153" operator="equal">
      <formula>"CL-H"</formula>
    </cfRule>
    <cfRule type="cellIs" dxfId="152" priority="154" operator="equal">
      <formula>"EL-H"</formula>
    </cfRule>
    <cfRule type="cellIs" dxfId="151" priority="155" operator="equal">
      <formula>"CL"</formula>
    </cfRule>
    <cfRule type="cellIs" dxfId="150" priority="156" operator="equal">
      <formula>"EL"</formula>
    </cfRule>
  </conditionalFormatting>
  <conditionalFormatting sqref="CK39">
    <cfRule type="containsText" dxfId="149" priority="150" operator="containsText" text="A-H">
      <formula>NOT(ISERROR(SEARCH("A-H",CK39)))</formula>
    </cfRule>
  </conditionalFormatting>
  <conditionalFormatting sqref="CK39">
    <cfRule type="containsText" dxfId="148" priority="149" operator="containsText" text="A">
      <formula>NOT(ISERROR(SEARCH("A",CK39)))</formula>
    </cfRule>
  </conditionalFormatting>
  <conditionalFormatting sqref="CK39">
    <cfRule type="containsText" dxfId="147" priority="144" operator="containsText" text="S">
      <formula>NOT(ISERROR(SEARCH("S",CK39)))</formula>
    </cfRule>
    <cfRule type="containsText" dxfId="146" priority="145" operator="containsText" text="P">
      <formula>NOT(ISERROR(SEARCH("P",CK39)))</formula>
    </cfRule>
    <cfRule type="containsText" dxfId="145" priority="146" operator="containsText" text="H">
      <formula>NOT(ISERROR(SEARCH("H",CK39)))</formula>
    </cfRule>
    <cfRule type="containsText" dxfId="144" priority="147" operator="containsText" text="&quot;H&quot;">
      <formula>NOT(ISERROR(SEARCH("""H""",CK39)))</formula>
    </cfRule>
    <cfRule type="containsText" dxfId="143" priority="148" operator="containsText" text="&quot;A&quot;">
      <formula>NOT(ISERROR(SEARCH("""A""",CK39)))</formula>
    </cfRule>
  </conditionalFormatting>
  <conditionalFormatting sqref="X3:X42">
    <cfRule type="cellIs" dxfId="129" priority="125" operator="equal">
      <formula>"C-Off-H"</formula>
    </cfRule>
    <cfRule type="cellIs" dxfId="128" priority="126" operator="equal">
      <formula>"C-Off"</formula>
    </cfRule>
    <cfRule type="cellIs" dxfId="127" priority="127" operator="equal">
      <formula>"CL-H"</formula>
    </cfRule>
    <cfRule type="cellIs" dxfId="126" priority="128" operator="equal">
      <formula>"EL-H"</formula>
    </cfRule>
    <cfRule type="cellIs" dxfId="125" priority="129" operator="equal">
      <formula>"CL"</formula>
    </cfRule>
    <cfRule type="cellIs" dxfId="124" priority="130" operator="equal">
      <formula>"EL"</formula>
    </cfRule>
  </conditionalFormatting>
  <conditionalFormatting sqref="X3:X42">
    <cfRule type="containsText" dxfId="123" priority="124" operator="containsText" text="A-H">
      <formula>NOT(ISERROR(SEARCH("A-H",X3)))</formula>
    </cfRule>
  </conditionalFormatting>
  <conditionalFormatting sqref="X3:X42">
    <cfRule type="containsText" dxfId="122" priority="123" operator="containsText" text="A">
      <formula>NOT(ISERROR(SEARCH("A",X3)))</formula>
    </cfRule>
  </conditionalFormatting>
  <conditionalFormatting sqref="X3:X42">
    <cfRule type="containsText" dxfId="121" priority="118" operator="containsText" text="S">
      <formula>NOT(ISERROR(SEARCH("S",X3)))</formula>
    </cfRule>
    <cfRule type="containsText" dxfId="120" priority="119" operator="containsText" text="P">
      <formula>NOT(ISERROR(SEARCH("P",X3)))</formula>
    </cfRule>
    <cfRule type="containsText" dxfId="119" priority="120" operator="containsText" text="H">
      <formula>NOT(ISERROR(SEARCH("H",X3)))</formula>
    </cfRule>
    <cfRule type="containsText" dxfId="118" priority="121" operator="containsText" text="&quot;H&quot;">
      <formula>NOT(ISERROR(SEARCH("""H""",X3)))</formula>
    </cfRule>
    <cfRule type="containsText" dxfId="117" priority="122" operator="containsText" text="&quot;A&quot;">
      <formula>NOT(ISERROR(SEARCH("""A""",X3)))</formula>
    </cfRule>
  </conditionalFormatting>
  <conditionalFormatting sqref="U3:U42">
    <cfRule type="cellIs" dxfId="116" priority="112" operator="equal">
      <formula>"C-Off-H"</formula>
    </cfRule>
    <cfRule type="cellIs" dxfId="115" priority="113" operator="equal">
      <formula>"C-Off"</formula>
    </cfRule>
    <cfRule type="cellIs" dxfId="114" priority="114" operator="equal">
      <formula>"CL-H"</formula>
    </cfRule>
    <cfRule type="cellIs" dxfId="113" priority="115" operator="equal">
      <formula>"EL-H"</formula>
    </cfRule>
    <cfRule type="cellIs" dxfId="112" priority="116" operator="equal">
      <formula>"CL"</formula>
    </cfRule>
    <cfRule type="cellIs" dxfId="111" priority="117" operator="equal">
      <formula>"EL"</formula>
    </cfRule>
  </conditionalFormatting>
  <conditionalFormatting sqref="U3:U42">
    <cfRule type="containsText" dxfId="110" priority="111" operator="containsText" text="A-H">
      <formula>NOT(ISERROR(SEARCH("A-H",U3)))</formula>
    </cfRule>
  </conditionalFormatting>
  <conditionalFormatting sqref="U3:U42">
    <cfRule type="containsText" dxfId="109" priority="110" operator="containsText" text="A">
      <formula>NOT(ISERROR(SEARCH("A",U3)))</formula>
    </cfRule>
  </conditionalFormatting>
  <conditionalFormatting sqref="U3:U42">
    <cfRule type="containsText" dxfId="108" priority="105" operator="containsText" text="S">
      <formula>NOT(ISERROR(SEARCH("S",U3)))</formula>
    </cfRule>
    <cfRule type="containsText" dxfId="107" priority="106" operator="containsText" text="P">
      <formula>NOT(ISERROR(SEARCH("P",U3)))</formula>
    </cfRule>
    <cfRule type="containsText" dxfId="106" priority="107" operator="containsText" text="H">
      <formula>NOT(ISERROR(SEARCH("H",U3)))</formula>
    </cfRule>
    <cfRule type="containsText" dxfId="105" priority="108" operator="containsText" text="&quot;H&quot;">
      <formula>NOT(ISERROR(SEARCH("""H""",U3)))</formula>
    </cfRule>
    <cfRule type="containsText" dxfId="104" priority="109" operator="containsText" text="&quot;A&quot;">
      <formula>NOT(ISERROR(SEARCH("""A""",U3)))</formula>
    </cfRule>
  </conditionalFormatting>
  <conditionalFormatting sqref="AA3:AA42">
    <cfRule type="cellIs" dxfId="103" priority="99" operator="equal">
      <formula>"C-Off-H"</formula>
    </cfRule>
    <cfRule type="cellIs" dxfId="102" priority="100" operator="equal">
      <formula>"C-Off"</formula>
    </cfRule>
    <cfRule type="cellIs" dxfId="101" priority="101" operator="equal">
      <formula>"CL-H"</formula>
    </cfRule>
    <cfRule type="cellIs" dxfId="100" priority="102" operator="equal">
      <formula>"EL-H"</formula>
    </cfRule>
    <cfRule type="cellIs" dxfId="99" priority="103" operator="equal">
      <formula>"CL"</formula>
    </cfRule>
    <cfRule type="cellIs" dxfId="98" priority="104" operator="equal">
      <formula>"EL"</formula>
    </cfRule>
  </conditionalFormatting>
  <conditionalFormatting sqref="AA3:AA42">
    <cfRule type="containsText" dxfId="97" priority="98" operator="containsText" text="A-H">
      <formula>NOT(ISERROR(SEARCH("A-H",AA3)))</formula>
    </cfRule>
  </conditionalFormatting>
  <conditionalFormatting sqref="AA3:AA42">
    <cfRule type="containsText" dxfId="96" priority="97" operator="containsText" text="A">
      <formula>NOT(ISERROR(SEARCH("A",AA3)))</formula>
    </cfRule>
  </conditionalFormatting>
  <conditionalFormatting sqref="AA3:AA42">
    <cfRule type="containsText" dxfId="95" priority="92" operator="containsText" text="S">
      <formula>NOT(ISERROR(SEARCH("S",AA3)))</formula>
    </cfRule>
    <cfRule type="containsText" dxfId="94" priority="93" operator="containsText" text="P">
      <formula>NOT(ISERROR(SEARCH("P",AA3)))</formula>
    </cfRule>
    <cfRule type="containsText" dxfId="93" priority="94" operator="containsText" text="H">
      <formula>NOT(ISERROR(SEARCH("H",AA3)))</formula>
    </cfRule>
    <cfRule type="containsText" dxfId="92" priority="95" operator="containsText" text="&quot;H&quot;">
      <formula>NOT(ISERROR(SEARCH("""H""",AA3)))</formula>
    </cfRule>
    <cfRule type="containsText" dxfId="91" priority="96" operator="containsText" text="&quot;A&quot;">
      <formula>NOT(ISERROR(SEARCH("""A""",AA3)))</formula>
    </cfRule>
  </conditionalFormatting>
  <conditionalFormatting sqref="AS3:AS42">
    <cfRule type="cellIs" dxfId="90" priority="86" operator="equal">
      <formula>"C-Off-H"</formula>
    </cfRule>
    <cfRule type="cellIs" dxfId="89" priority="87" operator="equal">
      <formula>"C-Off"</formula>
    </cfRule>
    <cfRule type="cellIs" dxfId="88" priority="88" operator="equal">
      <formula>"CL-H"</formula>
    </cfRule>
    <cfRule type="cellIs" dxfId="87" priority="89" operator="equal">
      <formula>"EL-H"</formula>
    </cfRule>
    <cfRule type="cellIs" dxfId="86" priority="90" operator="equal">
      <formula>"CL"</formula>
    </cfRule>
    <cfRule type="cellIs" dxfId="85" priority="91" operator="equal">
      <formula>"EL"</formula>
    </cfRule>
  </conditionalFormatting>
  <conditionalFormatting sqref="AS3:AS42">
    <cfRule type="containsText" dxfId="84" priority="85" operator="containsText" text="A-H">
      <formula>NOT(ISERROR(SEARCH("A-H",AS3)))</formula>
    </cfRule>
  </conditionalFormatting>
  <conditionalFormatting sqref="AS3:AS42">
    <cfRule type="containsText" dxfId="83" priority="84" operator="containsText" text="A">
      <formula>NOT(ISERROR(SEARCH("A",AS3)))</formula>
    </cfRule>
  </conditionalFormatting>
  <conditionalFormatting sqref="AS3:AS42">
    <cfRule type="containsText" dxfId="82" priority="79" operator="containsText" text="S">
      <formula>NOT(ISERROR(SEARCH("S",AS3)))</formula>
    </cfRule>
    <cfRule type="containsText" dxfId="81" priority="80" operator="containsText" text="P">
      <formula>NOT(ISERROR(SEARCH("P",AS3)))</formula>
    </cfRule>
    <cfRule type="containsText" dxfId="80" priority="81" operator="containsText" text="H">
      <formula>NOT(ISERROR(SEARCH("H",AS3)))</formula>
    </cfRule>
    <cfRule type="containsText" dxfId="79" priority="82" operator="containsText" text="&quot;H&quot;">
      <formula>NOT(ISERROR(SEARCH("""H""",AS3)))</formula>
    </cfRule>
    <cfRule type="containsText" dxfId="78" priority="83" operator="containsText" text="&quot;A&quot;">
      <formula>NOT(ISERROR(SEARCH("""A""",AS3)))</formula>
    </cfRule>
  </conditionalFormatting>
  <conditionalFormatting sqref="AV3:AV42">
    <cfRule type="cellIs" dxfId="77" priority="73" operator="equal">
      <formula>"C-Off-H"</formula>
    </cfRule>
    <cfRule type="cellIs" dxfId="76" priority="74" operator="equal">
      <formula>"C-Off"</formula>
    </cfRule>
    <cfRule type="cellIs" dxfId="75" priority="75" operator="equal">
      <formula>"CL-H"</formula>
    </cfRule>
    <cfRule type="cellIs" dxfId="74" priority="76" operator="equal">
      <formula>"EL-H"</formula>
    </cfRule>
    <cfRule type="cellIs" dxfId="73" priority="77" operator="equal">
      <formula>"CL"</formula>
    </cfRule>
    <cfRule type="cellIs" dxfId="72" priority="78" operator="equal">
      <formula>"EL"</formula>
    </cfRule>
  </conditionalFormatting>
  <conditionalFormatting sqref="AV3:AV42">
    <cfRule type="containsText" dxfId="71" priority="72" operator="containsText" text="A-H">
      <formula>NOT(ISERROR(SEARCH("A-H",AV3)))</formula>
    </cfRule>
  </conditionalFormatting>
  <conditionalFormatting sqref="AV3:AV42">
    <cfRule type="containsText" dxfId="70" priority="71" operator="containsText" text="A">
      <formula>NOT(ISERROR(SEARCH("A",AV3)))</formula>
    </cfRule>
  </conditionalFormatting>
  <conditionalFormatting sqref="AV3:AV42">
    <cfRule type="containsText" dxfId="69" priority="66" operator="containsText" text="S">
      <formula>NOT(ISERROR(SEARCH("S",AV3)))</formula>
    </cfRule>
    <cfRule type="containsText" dxfId="68" priority="67" operator="containsText" text="P">
      <formula>NOT(ISERROR(SEARCH("P",AV3)))</formula>
    </cfRule>
    <cfRule type="containsText" dxfId="67" priority="68" operator="containsText" text="H">
      <formula>NOT(ISERROR(SEARCH("H",AV3)))</formula>
    </cfRule>
    <cfRule type="containsText" dxfId="66" priority="69" operator="containsText" text="&quot;H&quot;">
      <formula>NOT(ISERROR(SEARCH("""H""",AV3)))</formula>
    </cfRule>
    <cfRule type="containsText" dxfId="65" priority="70" operator="containsText" text="&quot;A&quot;">
      <formula>NOT(ISERROR(SEARCH("""A""",AV3)))</formula>
    </cfRule>
  </conditionalFormatting>
  <conditionalFormatting sqref="BN3:BN42">
    <cfRule type="cellIs" dxfId="64" priority="60" operator="equal">
      <formula>"C-Off-H"</formula>
    </cfRule>
    <cfRule type="cellIs" dxfId="63" priority="61" operator="equal">
      <formula>"C-Off"</formula>
    </cfRule>
    <cfRule type="cellIs" dxfId="62" priority="62" operator="equal">
      <formula>"CL-H"</formula>
    </cfRule>
    <cfRule type="cellIs" dxfId="61" priority="63" operator="equal">
      <formula>"EL-H"</formula>
    </cfRule>
    <cfRule type="cellIs" dxfId="60" priority="64" operator="equal">
      <formula>"CL"</formula>
    </cfRule>
    <cfRule type="cellIs" dxfId="59" priority="65" operator="equal">
      <formula>"EL"</formula>
    </cfRule>
  </conditionalFormatting>
  <conditionalFormatting sqref="BN3:BN42">
    <cfRule type="containsText" dxfId="58" priority="59" operator="containsText" text="A-H">
      <formula>NOT(ISERROR(SEARCH("A-H",BN3)))</formula>
    </cfRule>
  </conditionalFormatting>
  <conditionalFormatting sqref="BN3:BN42">
    <cfRule type="containsText" dxfId="57" priority="58" operator="containsText" text="A">
      <formula>NOT(ISERROR(SEARCH("A",BN3)))</formula>
    </cfRule>
  </conditionalFormatting>
  <conditionalFormatting sqref="BN3:BN42">
    <cfRule type="containsText" dxfId="56" priority="53" operator="containsText" text="S">
      <formula>NOT(ISERROR(SEARCH("S",BN3)))</formula>
    </cfRule>
    <cfRule type="containsText" dxfId="55" priority="54" operator="containsText" text="P">
      <formula>NOT(ISERROR(SEARCH("P",BN3)))</formula>
    </cfRule>
    <cfRule type="containsText" dxfId="54" priority="55" operator="containsText" text="H">
      <formula>NOT(ISERROR(SEARCH("H",BN3)))</formula>
    </cfRule>
    <cfRule type="containsText" dxfId="53" priority="56" operator="containsText" text="&quot;H&quot;">
      <formula>NOT(ISERROR(SEARCH("""H""",BN3)))</formula>
    </cfRule>
    <cfRule type="containsText" dxfId="52" priority="57" operator="containsText" text="&quot;A&quot;">
      <formula>NOT(ISERROR(SEARCH("""A""",BN3)))</formula>
    </cfRule>
  </conditionalFormatting>
  <conditionalFormatting sqref="BQ3:BQ42">
    <cfRule type="cellIs" dxfId="51" priority="47" operator="equal">
      <formula>"C-Off-H"</formula>
    </cfRule>
    <cfRule type="cellIs" dxfId="50" priority="48" operator="equal">
      <formula>"C-Off"</formula>
    </cfRule>
    <cfRule type="cellIs" dxfId="49" priority="49" operator="equal">
      <formula>"CL-H"</formula>
    </cfRule>
    <cfRule type="cellIs" dxfId="48" priority="50" operator="equal">
      <formula>"EL-H"</formula>
    </cfRule>
    <cfRule type="cellIs" dxfId="47" priority="51" operator="equal">
      <formula>"CL"</formula>
    </cfRule>
    <cfRule type="cellIs" dxfId="46" priority="52" operator="equal">
      <formula>"EL"</formula>
    </cfRule>
  </conditionalFormatting>
  <conditionalFormatting sqref="BQ3:BQ42">
    <cfRule type="containsText" dxfId="45" priority="46" operator="containsText" text="A-H">
      <formula>NOT(ISERROR(SEARCH("A-H",BQ3)))</formula>
    </cfRule>
  </conditionalFormatting>
  <conditionalFormatting sqref="BQ3:BQ42">
    <cfRule type="containsText" dxfId="44" priority="45" operator="containsText" text="A">
      <formula>NOT(ISERROR(SEARCH("A",BQ3)))</formula>
    </cfRule>
  </conditionalFormatting>
  <conditionalFormatting sqref="BQ3:BQ42">
    <cfRule type="containsText" dxfId="43" priority="40" operator="containsText" text="S">
      <formula>NOT(ISERROR(SEARCH("S",BQ3)))</formula>
    </cfRule>
    <cfRule type="containsText" dxfId="42" priority="41" operator="containsText" text="P">
      <formula>NOT(ISERROR(SEARCH("P",BQ3)))</formula>
    </cfRule>
    <cfRule type="containsText" dxfId="41" priority="42" operator="containsText" text="H">
      <formula>NOT(ISERROR(SEARCH("H",BQ3)))</formula>
    </cfRule>
    <cfRule type="containsText" dxfId="40" priority="43" operator="containsText" text="&quot;H&quot;">
      <formula>NOT(ISERROR(SEARCH("""H""",BQ3)))</formula>
    </cfRule>
    <cfRule type="containsText" dxfId="39" priority="44" operator="containsText" text="&quot;A&quot;">
      <formula>NOT(ISERROR(SEARCH("""A""",BQ3)))</formula>
    </cfRule>
  </conditionalFormatting>
  <conditionalFormatting sqref="CI3:CI42">
    <cfRule type="cellIs" dxfId="38" priority="34" operator="equal">
      <formula>"C-Off-H"</formula>
    </cfRule>
    <cfRule type="cellIs" dxfId="37" priority="35" operator="equal">
      <formula>"C-Off"</formula>
    </cfRule>
    <cfRule type="cellIs" dxfId="36" priority="36" operator="equal">
      <formula>"CL-H"</formula>
    </cfRule>
    <cfRule type="cellIs" dxfId="35" priority="37" operator="equal">
      <formula>"EL-H"</formula>
    </cfRule>
    <cfRule type="cellIs" dxfId="34" priority="38" operator="equal">
      <formula>"CL"</formula>
    </cfRule>
    <cfRule type="cellIs" dxfId="33" priority="39" operator="equal">
      <formula>"EL"</formula>
    </cfRule>
  </conditionalFormatting>
  <conditionalFormatting sqref="CI3:CI42">
    <cfRule type="containsText" dxfId="32" priority="33" operator="containsText" text="A-H">
      <formula>NOT(ISERROR(SEARCH("A-H",CI3)))</formula>
    </cfRule>
  </conditionalFormatting>
  <conditionalFormatting sqref="CI3:CI42">
    <cfRule type="containsText" dxfId="31" priority="32" operator="containsText" text="A">
      <formula>NOT(ISERROR(SEARCH("A",CI3)))</formula>
    </cfRule>
  </conditionalFormatting>
  <conditionalFormatting sqref="CI3:CI42">
    <cfRule type="containsText" dxfId="30" priority="27" operator="containsText" text="S">
      <formula>NOT(ISERROR(SEARCH("S",CI3)))</formula>
    </cfRule>
    <cfRule type="containsText" dxfId="29" priority="28" operator="containsText" text="P">
      <formula>NOT(ISERROR(SEARCH("P",CI3)))</formula>
    </cfRule>
    <cfRule type="containsText" dxfId="28" priority="29" operator="containsText" text="H">
      <formula>NOT(ISERROR(SEARCH("H",CI3)))</formula>
    </cfRule>
    <cfRule type="containsText" dxfId="27" priority="30" operator="containsText" text="&quot;H&quot;">
      <formula>NOT(ISERROR(SEARCH("""H""",CI3)))</formula>
    </cfRule>
    <cfRule type="containsText" dxfId="26" priority="31" operator="containsText" text="&quot;A&quot;">
      <formula>NOT(ISERROR(SEARCH("""A""",CI3)))</formula>
    </cfRule>
  </conditionalFormatting>
  <conditionalFormatting sqref="CL3:CL42">
    <cfRule type="cellIs" dxfId="25" priority="21" operator="equal">
      <formula>"C-Off-H"</formula>
    </cfRule>
    <cfRule type="cellIs" dxfId="24" priority="22" operator="equal">
      <formula>"C-Off"</formula>
    </cfRule>
    <cfRule type="cellIs" dxfId="23" priority="23" operator="equal">
      <formula>"CL-H"</formula>
    </cfRule>
    <cfRule type="cellIs" dxfId="22" priority="24" operator="equal">
      <formula>"EL-H"</formula>
    </cfRule>
    <cfRule type="cellIs" dxfId="21" priority="25" operator="equal">
      <formula>"CL"</formula>
    </cfRule>
    <cfRule type="cellIs" dxfId="20" priority="26" operator="equal">
      <formula>"EL"</formula>
    </cfRule>
  </conditionalFormatting>
  <conditionalFormatting sqref="CL3:CL42">
    <cfRule type="containsText" dxfId="19" priority="20" operator="containsText" text="A-H">
      <formula>NOT(ISERROR(SEARCH("A-H",CL3)))</formula>
    </cfRule>
  </conditionalFormatting>
  <conditionalFormatting sqref="CL3:CL42">
    <cfRule type="containsText" dxfId="18" priority="19" operator="containsText" text="A">
      <formula>NOT(ISERROR(SEARCH("A",CL3)))</formula>
    </cfRule>
  </conditionalFormatting>
  <conditionalFormatting sqref="CL3:CL42">
    <cfRule type="containsText" dxfId="17" priority="14" operator="containsText" text="S">
      <formula>NOT(ISERROR(SEARCH("S",CL3)))</formula>
    </cfRule>
    <cfRule type="containsText" dxfId="16" priority="15" operator="containsText" text="P">
      <formula>NOT(ISERROR(SEARCH("P",CL3)))</formula>
    </cfRule>
    <cfRule type="containsText" dxfId="15" priority="16" operator="containsText" text="H">
      <formula>NOT(ISERROR(SEARCH("H",CL3)))</formula>
    </cfRule>
    <cfRule type="containsText" dxfId="14" priority="17" operator="containsText" text="&quot;H&quot;">
      <formula>NOT(ISERROR(SEARCH("""H""",CL3)))</formula>
    </cfRule>
    <cfRule type="containsText" dxfId="13" priority="18" operator="containsText" text="&quot;A&quot;">
      <formula>NOT(ISERROR(SEARCH("""A""",CL3)))</formula>
    </cfRule>
  </conditionalFormatting>
  <conditionalFormatting sqref="AJ3:AJ42">
    <cfRule type="cellIs" dxfId="12" priority="8" operator="equal">
      <formula>"C-Off-H"</formula>
    </cfRule>
    <cfRule type="cellIs" dxfId="11" priority="9" operator="equal">
      <formula>"C-Off"</formula>
    </cfRule>
    <cfRule type="cellIs" dxfId="10" priority="10" operator="equal">
      <formula>"CL-H"</formula>
    </cfRule>
    <cfRule type="cellIs" dxfId="9" priority="11" operator="equal">
      <formula>"EL-H"</formula>
    </cfRule>
    <cfRule type="cellIs" dxfId="8" priority="12" operator="equal">
      <formula>"CL"</formula>
    </cfRule>
    <cfRule type="cellIs" dxfId="7" priority="13" operator="equal">
      <formula>"EL"</formula>
    </cfRule>
  </conditionalFormatting>
  <conditionalFormatting sqref="AJ3:AJ42">
    <cfRule type="containsText" dxfId="6" priority="7" operator="containsText" text="A-H">
      <formula>NOT(ISERROR(SEARCH("A-H",AJ3)))</formula>
    </cfRule>
  </conditionalFormatting>
  <conditionalFormatting sqref="AJ3:AJ42">
    <cfRule type="containsText" dxfId="5" priority="6" operator="containsText" text="A">
      <formula>NOT(ISERROR(SEARCH("A",AJ3)))</formula>
    </cfRule>
  </conditionalFormatting>
  <conditionalFormatting sqref="AJ3:AJ42">
    <cfRule type="containsText" dxfId="4" priority="1" operator="containsText" text="S">
      <formula>NOT(ISERROR(SEARCH("S",AJ3)))</formula>
    </cfRule>
    <cfRule type="containsText" dxfId="3" priority="2" operator="containsText" text="P">
      <formula>NOT(ISERROR(SEARCH("P",AJ3)))</formula>
    </cfRule>
    <cfRule type="containsText" dxfId="2" priority="3" operator="containsText" text="H">
      <formula>NOT(ISERROR(SEARCH("H",AJ3)))</formula>
    </cfRule>
    <cfRule type="containsText" dxfId="1" priority="4" operator="containsText" text="&quot;H&quot;">
      <formula>NOT(ISERROR(SEARCH("""H""",AJ3)))</formula>
    </cfRule>
    <cfRule type="containsText" dxfId="0" priority="5" operator="containsText" text="&quot;A&quot;">
      <formula>NOT(ISERROR(SEARCH("""A""",AJ3)))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Vijay</dc:creator>
  <cp:lastModifiedBy>Dell</cp:lastModifiedBy>
  <dcterms:created xsi:type="dcterms:W3CDTF">2016-03-01T09:02:25Z</dcterms:created>
  <dcterms:modified xsi:type="dcterms:W3CDTF">2019-09-04T08:11:40Z</dcterms:modified>
</cp:coreProperties>
</file>