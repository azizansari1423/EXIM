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filterPrivacy="1" defaultThemeVersion="124226"/>
  <xr:revisionPtr revIDLastSave="0" documentId="13_ncr:1_{F74764DD-848A-4626-B495-5926CE06629E}" xr6:coauthVersionLast="45" xr6:coauthVersionMax="45" xr10:uidLastSave="{00000000-0000-0000-0000-000000000000}"/>
  <bookViews>
    <workbookView xWindow="-93" yWindow="-93" windowWidth="21786" windowHeight="13986" activeTab="1" xr2:uid="{00000000-000D-0000-FFFF-FFFF00000000}"/>
  </bookViews>
  <sheets>
    <sheet name="CTC&lt;25000" sheetId="9" r:id="rId1"/>
    <sheet name="CTC&gt;25000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4" i="10" l="1"/>
  <c r="D13" i="9" l="1"/>
  <c r="D15" i="10" l="1"/>
  <c r="E15" i="10" s="1"/>
  <c r="D13" i="10"/>
  <c r="D15" i="9"/>
  <c r="E15" i="9" s="1"/>
  <c r="E11" i="9" s="1"/>
  <c r="D17" i="9"/>
  <c r="E16" i="9" l="1"/>
  <c r="D16" i="9" s="1"/>
  <c r="D18" i="9" s="1"/>
  <c r="D11" i="9"/>
  <c r="E18" i="9"/>
  <c r="E20" i="9" s="1"/>
  <c r="E12" i="9"/>
  <c r="D12" i="9" s="1"/>
  <c r="E11" i="10"/>
  <c r="E17" i="10" l="1"/>
  <c r="E14" i="9"/>
  <c r="D14" i="9" s="1"/>
  <c r="E12" i="10"/>
  <c r="E16" i="10"/>
  <c r="D11" i="10"/>
  <c r="D12" i="10" l="1"/>
  <c r="D16" i="10"/>
  <c r="D17" i="10"/>
  <c r="E14" i="10"/>
  <c r="E18" i="10"/>
  <c r="E20" i="10" s="1"/>
  <c r="G20" i="10" s="1"/>
  <c r="D14" i="10" l="1"/>
  <c r="D18" i="10"/>
  <c r="G17" i="10" s="1"/>
</calcChain>
</file>

<file path=xl/sharedStrings.xml><?xml version="1.0" encoding="utf-8"?>
<sst xmlns="http://schemas.openxmlformats.org/spreadsheetml/2006/main" count="48" uniqueCount="26">
  <si>
    <t>Monthly</t>
  </si>
  <si>
    <t>Annual</t>
  </si>
  <si>
    <t>Salary Components</t>
  </si>
  <si>
    <t>House Rent Allowance</t>
  </si>
  <si>
    <t>Conveyance Allowance</t>
  </si>
  <si>
    <t>Basic Salary</t>
  </si>
  <si>
    <t>Fixed Cost to Company</t>
  </si>
  <si>
    <t>Flexi Pay</t>
  </si>
  <si>
    <t>ANNEXURE 'A'</t>
  </si>
  <si>
    <t>COST TO COMPANY BREAK-UP</t>
  </si>
  <si>
    <t>Basket of Allowance</t>
  </si>
  <si>
    <t>Gratuity (As per the Act)</t>
  </si>
  <si>
    <t>Annual Cost to Company (CTC)</t>
  </si>
  <si>
    <t>Statutory Bonus (Based on Performance)</t>
  </si>
  <si>
    <t>Gross Earnings</t>
  </si>
  <si>
    <t>Name</t>
  </si>
  <si>
    <t>Designation</t>
  </si>
  <si>
    <t>Date of Joining</t>
  </si>
  <si>
    <t>Employment Details</t>
  </si>
  <si>
    <t>Location</t>
  </si>
  <si>
    <t>Grade</t>
  </si>
  <si>
    <t>Cost Centre</t>
  </si>
  <si>
    <t>Net Salary</t>
  </si>
  <si>
    <t>Gross Salary</t>
  </si>
  <si>
    <t>Monthly CTC</t>
  </si>
  <si>
    <t>Annual 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</si>
</sst>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ndalus"/>
    </font>
    <font>
      <sz val="10"/>
      <name val="Andalus"/>
    </font>
    <font>
      <b/>
      <u/>
      <sz val="10"/>
      <name val="Andalus"/>
    </font>
    <font>
      <b/>
      <sz val="10"/>
      <name val="Andalus"/>
    </font>
    <font>
      <b/>
      <sz val="11"/>
      <name val="Andalus"/>
    </font>
    <font>
      <b/>
      <sz val="12"/>
      <name val="Andalus"/>
    </font>
    <font>
      <sz val="10"/>
      <name val="Andalus"/>
    </font>
    <font>
      <b/>
      <u/>
      <sz val="10"/>
      <name val="Andalus"/>
    </font>
    <font>
      <b/>
      <sz val="10"/>
      <name val="Andalus"/>
    </font>
    <font>
      <b/>
      <sz val="11"/>
      <name val="Andalus"/>
    </font>
    <font>
      <b/>
      <sz val="15"/>
      <name val="Andalus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5" fillId="2" borderId="3" xfId="1" applyNumberFormat="1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right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right" vertical="center"/>
    </xf>
    <xf numFmtId="2" fontId="4" fillId="3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164" fontId="5" fillId="2" borderId="3" xfId="1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164" fontId="3" fillId="2" borderId="1" xfId="1" applyNumberFormat="1" applyFont="1" applyFill="1" applyBorder="1" applyAlignment="1">
      <alignment horizontal="center" vertical="center"/>
    </xf>
    <xf numFmtId="14" fontId="3" fillId="2" borderId="0" xfId="0" applyNumberFormat="1" applyFont="1" applyFill="1" applyAlignment="1">
      <alignment vertical="center"/>
    </xf>
    <xf numFmtId="164" fontId="5" fillId="2" borderId="1" xfId="1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164" fontId="10" fillId="2" borderId="1" xfId="1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 wrapText="1"/>
    </xf>
    <xf numFmtId="14" fontId="8" fillId="2" borderId="1" xfId="0" applyNumberFormat="1" applyFont="1" applyFill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center" vertical="center"/>
    </xf>
    <xf numFmtId="14" fontId="8" fillId="2" borderId="0" xfId="0" applyNumberFormat="1" applyFont="1" applyFill="1" applyAlignment="1">
      <alignment vertical="center"/>
    </xf>
    <xf numFmtId="0" fontId="8" fillId="2" borderId="1" xfId="0" applyFont="1" applyFill="1" applyBorder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4" fontId="10" fillId="2" borderId="3" xfId="1" applyNumberFormat="1" applyFont="1" applyFill="1" applyBorder="1" applyAlignment="1">
      <alignment horizontal="center" vertical="center"/>
    </xf>
    <xf numFmtId="164" fontId="10" fillId="2" borderId="1" xfId="1" applyNumberFormat="1" applyFont="1" applyFill="1" applyBorder="1" applyAlignment="1">
      <alignment horizontal="right" vertical="center"/>
    </xf>
    <xf numFmtId="2" fontId="9" fillId="3" borderId="1" xfId="0" applyNumberFormat="1" applyFont="1" applyFill="1" applyBorder="1" applyAlignment="1">
      <alignment horizontal="center" vertical="center"/>
    </xf>
    <xf numFmtId="2" fontId="9" fillId="3" borderId="3" xfId="0" applyNumberFormat="1" applyFont="1" applyFill="1" applyBorder="1" applyAlignment="1">
      <alignment horizontal="right" vertical="center"/>
    </xf>
    <xf numFmtId="2" fontId="9" fillId="3" borderId="1" xfId="0" applyNumberFormat="1" applyFont="1" applyFill="1" applyBorder="1" applyAlignment="1">
      <alignment horizontal="right" vertical="center"/>
    </xf>
    <xf numFmtId="164" fontId="10" fillId="2" borderId="3" xfId="1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0"/>
  <sheetViews>
    <sheetView topLeftCell="A10" zoomScaleNormal="85" workbookViewId="0">
      <selection activeCell="D6" sqref="D6"/>
    </sheetView>
  </sheetViews>
  <sheetFormatPr defaultColWidth="9.1171875" defaultRowHeight="18" customHeight="1" x14ac:dyDescent="0.5"/>
  <cols>
    <col min="1" max="1" width="6" style="2" customWidth="1"/>
    <col min="2" max="2" width="20.703125" style="2" customWidth="1"/>
    <col min="3" max="3" width="25.703125" style="2" customWidth="1"/>
    <col min="4" max="4" width="20.703125" style="2" customWidth="1"/>
    <col min="5" max="5" width="25.703125" style="2" customWidth="1"/>
    <col min="6" max="6" width="13.1171875" style="2" customWidth="1"/>
    <col min="7" max="7" width="17.41015625" style="2" customWidth="1"/>
    <col min="8" max="16384" width="9.1171875" style="2"/>
  </cols>
  <sheetData>
    <row r="2" spans="2:7" ht="20.25" customHeight="1" x14ac:dyDescent="0.5">
      <c r="B2" s="44" t="s">
        <v>8</v>
      </c>
      <c r="C2" s="44"/>
      <c r="D2" s="44"/>
      <c r="E2" s="44"/>
    </row>
    <row r="3" spans="2:7" ht="17.100000000000001" customHeight="1" x14ac:dyDescent="0.5">
      <c r="B3" s="1"/>
      <c r="C3" s="1"/>
      <c r="D3" s="1"/>
      <c r="E3" s="1"/>
    </row>
    <row r="4" spans="2:7" ht="20.25" customHeight="1" x14ac:dyDescent="0.5">
      <c r="B4" s="39" t="s">
        <v>18</v>
      </c>
      <c r="C4" s="39"/>
      <c r="D4" s="39"/>
      <c r="E4" s="39"/>
    </row>
    <row r="5" spans="2:7" ht="20.25" customHeight="1" x14ac:dyDescent="0.5">
      <c r="B5" s="16" t="s">
        <v>15</v>
      </c>
      <c r="C5" s="12"/>
      <c r="D5" s="16" t="s">
        <v>17</v>
      </c>
      <c r="E5" s="17"/>
    </row>
    <row r="6" spans="2:7" ht="20.25" customHeight="1" x14ac:dyDescent="0.5">
      <c r="B6" s="16" t="s">
        <v>16</v>
      </c>
      <c r="C6" s="12"/>
      <c r="D6" s="16" t="s">
        <v>19</v>
      </c>
      <c r="E6" s="14"/>
      <c r="G6" s="15"/>
    </row>
    <row r="7" spans="2:7" ht="20.25" customHeight="1" x14ac:dyDescent="0.5">
      <c r="B7" s="16" t="s">
        <v>20</v>
      </c>
      <c r="C7" s="13"/>
      <c r="D7" s="16" t="s">
        <v>21</v>
      </c>
      <c r="E7" s="14"/>
    </row>
    <row r="8" spans="2:7" ht="17.100000000000001" customHeight="1" x14ac:dyDescent="0.5">
      <c r="B8" s="1"/>
      <c r="C8" s="1"/>
      <c r="D8" s="1"/>
      <c r="E8" s="1"/>
    </row>
    <row r="9" spans="2:7" ht="27" customHeight="1" x14ac:dyDescent="0.5">
      <c r="B9" s="46" t="s">
        <v>9</v>
      </c>
      <c r="C9" s="46"/>
      <c r="D9" s="46"/>
      <c r="E9" s="46"/>
    </row>
    <row r="10" spans="2:7" ht="23.25" customHeight="1" x14ac:dyDescent="0.5">
      <c r="B10" s="39" t="s">
        <v>2</v>
      </c>
      <c r="C10" s="39"/>
      <c r="D10" s="3" t="s">
        <v>0</v>
      </c>
      <c r="E10" s="4" t="s">
        <v>1</v>
      </c>
    </row>
    <row r="11" spans="2:7" ht="21.75" customHeight="1" x14ac:dyDescent="0.5">
      <c r="B11" s="45" t="s">
        <v>5</v>
      </c>
      <c r="C11" s="45"/>
      <c r="D11" s="5">
        <f>+E11/12</f>
        <v>15400</v>
      </c>
      <c r="E11" s="6">
        <f>ROUND(E15*70%,0)</f>
        <v>184800</v>
      </c>
      <c r="G11" s="7">
        <v>22000</v>
      </c>
    </row>
    <row r="12" spans="2:7" ht="21.75" customHeight="1" x14ac:dyDescent="0.5">
      <c r="B12" s="45" t="s">
        <v>3</v>
      </c>
      <c r="C12" s="45"/>
      <c r="D12" s="5">
        <f t="shared" ref="D12:D13" si="0">+E12/12</f>
        <v>3300</v>
      </c>
      <c r="E12" s="6">
        <f>ROUND(+E15*15%,0)</f>
        <v>39600</v>
      </c>
    </row>
    <row r="13" spans="2:7" ht="21.75" customHeight="1" x14ac:dyDescent="0.5">
      <c r="B13" s="42" t="s">
        <v>4</v>
      </c>
      <c r="C13" s="42"/>
      <c r="D13" s="5">
        <f t="shared" si="0"/>
        <v>2000</v>
      </c>
      <c r="E13" s="6">
        <v>24000</v>
      </c>
    </row>
    <row r="14" spans="2:7" ht="21.75" customHeight="1" x14ac:dyDescent="0.5">
      <c r="B14" s="42" t="s">
        <v>10</v>
      </c>
      <c r="C14" s="42"/>
      <c r="D14" s="5">
        <f>ROUND(+E14/12,0)</f>
        <v>1300</v>
      </c>
      <c r="E14" s="6">
        <f>E15-SUM(E11:E13)</f>
        <v>15600</v>
      </c>
    </row>
    <row r="15" spans="2:7" ht="21.75" customHeight="1" x14ac:dyDescent="0.5">
      <c r="B15" s="43" t="s">
        <v>14</v>
      </c>
      <c r="C15" s="43"/>
      <c r="D15" s="8">
        <f>G11</f>
        <v>22000</v>
      </c>
      <c r="E15" s="9">
        <f>D15*12</f>
        <v>264000</v>
      </c>
    </row>
    <row r="16" spans="2:7" ht="21.75" customHeight="1" x14ac:dyDescent="0.5">
      <c r="B16" s="42" t="s">
        <v>11</v>
      </c>
      <c r="C16" s="42"/>
      <c r="D16" s="5">
        <f>ROUND(E16/12,0)</f>
        <v>741</v>
      </c>
      <c r="E16" s="6">
        <f>ROUND(E11*4.81%,0)</f>
        <v>8889</v>
      </c>
    </row>
    <row r="17" spans="2:5" ht="21.75" customHeight="1" x14ac:dyDescent="0.5">
      <c r="B17" s="42" t="s">
        <v>13</v>
      </c>
      <c r="C17" s="42"/>
      <c r="D17" s="5">
        <f>ROUND(+E17/12,0)</f>
        <v>583</v>
      </c>
      <c r="E17" s="6">
        <v>7000</v>
      </c>
    </row>
    <row r="18" spans="2:5" ht="21.75" customHeight="1" x14ac:dyDescent="0.5">
      <c r="B18" s="43" t="s">
        <v>6</v>
      </c>
      <c r="C18" s="43"/>
      <c r="D18" s="8">
        <f>SUM(D15:D17)</f>
        <v>23324</v>
      </c>
      <c r="E18" s="9">
        <f>SUM(E15:E17)</f>
        <v>279889</v>
      </c>
    </row>
    <row r="19" spans="2:5" ht="21.75" customHeight="1" x14ac:dyDescent="0.5">
      <c r="B19" s="40" t="s">
        <v>7</v>
      </c>
      <c r="C19" s="41"/>
      <c r="D19" s="11"/>
      <c r="E19" s="10">
        <v>0</v>
      </c>
    </row>
    <row r="20" spans="2:5" ht="21.75" customHeight="1" x14ac:dyDescent="0.5">
      <c r="B20" s="37" t="s">
        <v>12</v>
      </c>
      <c r="C20" s="38"/>
      <c r="D20" s="9"/>
      <c r="E20" s="9">
        <f>+E18+E19</f>
        <v>279889</v>
      </c>
    </row>
  </sheetData>
  <mergeCells count="14">
    <mergeCell ref="B2:E2"/>
    <mergeCell ref="B10:C10"/>
    <mergeCell ref="B11:C11"/>
    <mergeCell ref="B12:C12"/>
    <mergeCell ref="B9:E9"/>
    <mergeCell ref="B20:C20"/>
    <mergeCell ref="B4:E4"/>
    <mergeCell ref="B19:C19"/>
    <mergeCell ref="B14:C14"/>
    <mergeCell ref="B15:C15"/>
    <mergeCell ref="B16:C16"/>
    <mergeCell ref="B17:C17"/>
    <mergeCell ref="B18:C18"/>
    <mergeCell ref="B13:C13"/>
  </mergeCells>
  <pageMargins left="1" right="0.44" top="1.5" bottom="0.5" header="0.3" footer="0.3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0"/>
  <sheetViews>
    <sheetView tabSelected="1" topLeftCell="B1" zoomScaleNormal="85" workbookViewId="0">
      <selection activeCell="G12" sqref="G12"/>
    </sheetView>
  </sheetViews>
  <sheetFormatPr defaultColWidth="9.1171875" defaultRowHeight="18" customHeight="1" x14ac:dyDescent="0.5"/>
  <cols>
    <col min="1" max="1" width="6" style="18" customWidth="1"/>
    <col min="2" max="2" width="20.703125" style="18" customWidth="1"/>
    <col min="3" max="3" width="25.703125" style="18" customWidth="1"/>
    <col min="4" max="4" width="20.703125" style="18" customWidth="1"/>
    <col min="5" max="5" width="25.703125" style="18" customWidth="1"/>
    <col min="6" max="6" width="13.1171875" style="18" customWidth="1"/>
    <col min="7" max="7" width="17.41015625" style="18" customWidth="1"/>
    <col min="8" max="8" width="15" style="18" customWidth="1"/>
    <col min="9" max="16384" width="9.1171875" style="18"/>
  </cols>
  <sheetData>
    <row r="2" spans="2:7" ht="20.25" customHeight="1" x14ac:dyDescent="0.5">
      <c r="B2" s="48" t="s">
        <v>8</v>
      </c>
      <c r="C2" s="48"/>
      <c r="D2" s="48"/>
      <c r="E2" s="48"/>
    </row>
    <row r="3" spans="2:7" ht="12" customHeight="1" x14ac:dyDescent="0.5">
      <c r="B3" s="19"/>
      <c r="C3" s="19"/>
      <c r="D3" s="19"/>
      <c r="E3" s="19"/>
    </row>
    <row r="4" spans="2:7" ht="20.25" customHeight="1" x14ac:dyDescent="0.5">
      <c r="B4" s="49" t="s">
        <v>18</v>
      </c>
      <c r="C4" s="49"/>
      <c r="D4" s="49"/>
      <c r="E4" s="49"/>
    </row>
    <row r="5" spans="2:7" ht="20.25" customHeight="1" x14ac:dyDescent="0.5">
      <c r="B5" s="20" t="s">
        <v>15</v>
      </c>
      <c r="C5" s="21"/>
      <c r="D5" s="20" t="s">
        <v>17</v>
      </c>
      <c r="E5" s="22"/>
    </row>
    <row r="6" spans="2:7" ht="20.25" customHeight="1" x14ac:dyDescent="0.5">
      <c r="B6" s="20" t="s">
        <v>16</v>
      </c>
      <c r="C6" s="21"/>
      <c r="D6" s="20" t="s">
        <v>19</v>
      </c>
      <c r="E6" s="23"/>
      <c r="G6" s="24"/>
    </row>
    <row r="7" spans="2:7" ht="20.25" customHeight="1" x14ac:dyDescent="0.5">
      <c r="B7" s="20" t="s">
        <v>20</v>
      </c>
      <c r="C7" s="25"/>
      <c r="D7" s="20" t="s">
        <v>21</v>
      </c>
      <c r="E7" s="23"/>
    </row>
    <row r="8" spans="2:7" ht="12" customHeight="1" x14ac:dyDescent="0.5">
      <c r="B8" s="19"/>
      <c r="C8" s="19"/>
      <c r="D8" s="19"/>
      <c r="E8" s="19"/>
    </row>
    <row r="9" spans="2:7" ht="23.25" customHeight="1" x14ac:dyDescent="0.5">
      <c r="B9" s="50" t="s">
        <v>9</v>
      </c>
      <c r="C9" s="50"/>
      <c r="D9" s="50"/>
      <c r="E9" s="50"/>
    </row>
    <row r="10" spans="2:7" ht="23.25" customHeight="1" x14ac:dyDescent="0.5">
      <c r="B10" s="49" t="s">
        <v>2</v>
      </c>
      <c r="C10" s="49"/>
      <c r="D10" s="26" t="s">
        <v>0</v>
      </c>
      <c r="E10" s="27" t="s">
        <v>1</v>
      </c>
      <c r="G10" s="35" t="s">
        <v>23</v>
      </c>
    </row>
    <row r="11" spans="2:7" ht="21.75" customHeight="1" x14ac:dyDescent="0.5">
      <c r="B11" s="47" t="s">
        <v>5</v>
      </c>
      <c r="C11" s="47"/>
      <c r="D11" s="28">
        <f>+E11/12</f>
        <v>108000</v>
      </c>
      <c r="E11" s="29">
        <f>ROUND(E15*60%,0)</f>
        <v>1296000</v>
      </c>
      <c r="G11" s="36">
        <v>180000</v>
      </c>
    </row>
    <row r="12" spans="2:7" ht="21.75" customHeight="1" x14ac:dyDescent="0.5">
      <c r="B12" s="47" t="s">
        <v>3</v>
      </c>
      <c r="C12" s="47"/>
      <c r="D12" s="28">
        <f>+E12/12</f>
        <v>43200</v>
      </c>
      <c r="E12" s="29">
        <f>ROUND(E11*40%,0)</f>
        <v>518400</v>
      </c>
      <c r="G12" s="2"/>
    </row>
    <row r="13" spans="2:7" ht="21.75" customHeight="1" x14ac:dyDescent="0.5">
      <c r="B13" s="56" t="s">
        <v>4</v>
      </c>
      <c r="C13" s="56"/>
      <c r="D13" s="28">
        <f>+E13/12</f>
        <v>4000</v>
      </c>
      <c r="E13" s="29">
        <v>48000</v>
      </c>
      <c r="G13" s="35" t="s">
        <v>22</v>
      </c>
    </row>
    <row r="14" spans="2:7" ht="21.75" customHeight="1" x14ac:dyDescent="0.5">
      <c r="B14" s="56" t="s">
        <v>10</v>
      </c>
      <c r="C14" s="56"/>
      <c r="D14" s="28">
        <f>ROUND(+E14/12,0)</f>
        <v>24800</v>
      </c>
      <c r="E14" s="29">
        <f>E15-SUM(E11:E13)</f>
        <v>297600</v>
      </c>
      <c r="G14" s="30">
        <f>G11-200</f>
        <v>179800</v>
      </c>
    </row>
    <row r="15" spans="2:7" ht="21.75" customHeight="1" x14ac:dyDescent="0.5">
      <c r="B15" s="51" t="s">
        <v>14</v>
      </c>
      <c r="C15" s="51"/>
      <c r="D15" s="31">
        <f>G11</f>
        <v>180000</v>
      </c>
      <c r="E15" s="32">
        <f>D15*12</f>
        <v>2160000</v>
      </c>
    </row>
    <row r="16" spans="2:7" ht="21.75" customHeight="1" x14ac:dyDescent="0.5">
      <c r="B16" s="56" t="s">
        <v>11</v>
      </c>
      <c r="C16" s="56"/>
      <c r="D16" s="28">
        <f>ROUND(E16/12,0)</f>
        <v>5195</v>
      </c>
      <c r="E16" s="29">
        <f>ROUND(E11*4.81%,0)</f>
        <v>62338</v>
      </c>
      <c r="G16" s="35" t="s">
        <v>24</v>
      </c>
    </row>
    <row r="17" spans="2:7" ht="21.75" customHeight="1" x14ac:dyDescent="0.5">
      <c r="B17" s="56" t="s">
        <v>13</v>
      </c>
      <c r="C17" s="56"/>
      <c r="D17" s="28">
        <f>ROUND(E17/12,0)</f>
        <v>4752</v>
      </c>
      <c r="E17" s="29">
        <f>ROUND(E11*4.4%,0)</f>
        <v>57024</v>
      </c>
      <c r="G17" s="30">
        <f>D18</f>
        <v>189947</v>
      </c>
    </row>
    <row r="18" spans="2:7" ht="21.75" customHeight="1" x14ac:dyDescent="0.5">
      <c r="B18" s="51" t="s">
        <v>6</v>
      </c>
      <c r="C18" s="51"/>
      <c r="D18" s="31">
        <f>SUM(D15:D17)</f>
        <v>189947</v>
      </c>
      <c r="E18" s="32">
        <f>SUM(E15:E17)</f>
        <v>2279362</v>
      </c>
    </row>
    <row r="19" spans="2:7" ht="21.75" customHeight="1" x14ac:dyDescent="0.5">
      <c r="B19" s="52" t="s">
        <v>7</v>
      </c>
      <c r="C19" s="53"/>
      <c r="D19" s="33"/>
      <c r="E19" s="34">
        <v>0</v>
      </c>
      <c r="G19" s="35" t="s">
        <v>25</v>
      </c>
    </row>
    <row r="20" spans="2:7" ht="21.75" customHeight="1" x14ac:dyDescent="0.5">
      <c r="B20" s="54" t="s">
        <v>12</v>
      </c>
      <c r="C20" s="55"/>
      <c r="D20" s="32"/>
      <c r="E20" s="32">
        <f>+E18+E19</f>
        <v>2279362</v>
      </c>
      <c r="G20" s="30">
        <f>E20</f>
        <v>2279362</v>
      </c>
    </row>
  </sheetData>
  <mergeCells count="14">
    <mergeCell ref="B18:C18"/>
    <mergeCell ref="B19:C19"/>
    <mergeCell ref="B20:C20"/>
    <mergeCell ref="B13:C13"/>
    <mergeCell ref="B14:C14"/>
    <mergeCell ref="B15:C15"/>
    <mergeCell ref="B16:C16"/>
    <mergeCell ref="B17:C17"/>
    <mergeCell ref="B12:C12"/>
    <mergeCell ref="B2:E2"/>
    <mergeCell ref="B4:E4"/>
    <mergeCell ref="B9:E9"/>
    <mergeCell ref="B10:C10"/>
    <mergeCell ref="B11:C11"/>
  </mergeCells>
  <pageMargins left="1" right="0.44" top="1.5" bottom="0.5" header="0.3" footer="0.3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CTC&lt;25000</vt:lpstr>
      <vt:lpstr>CTC&gt;25000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2012-08-06T04:37:26Z</cp:lastPrinted>
  <dcterms:created xsi:type="dcterms:W3CDTF">2006-09-16T00:00:00Z</dcterms:created>
  <dcterms:modified xsi:type="dcterms:W3CDTF">2020-06-12T11:57:42Z</dcterms:modified>
</cp:coreProperties>
</file>