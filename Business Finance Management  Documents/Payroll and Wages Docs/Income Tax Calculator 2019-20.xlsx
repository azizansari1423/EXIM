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Business Toolkit\Business Toolkit\05. Payroll Management\"/>
    </mc:Choice>
  </mc:AlternateContent>
  <xr:revisionPtr revIDLastSave="0" documentId="8_{5E443022-7965-4E17-ACE6-460B8E0C3AA0}" xr6:coauthVersionLast="45" xr6:coauthVersionMax="45" xr10:uidLastSave="{00000000-0000-0000-0000-000000000000}"/>
  <bookViews>
    <workbookView xWindow="-93" yWindow="-93" windowWidth="21786" windowHeight="13986" xr2:uid="{5740217A-2A86-4437-BE23-F1E2565411E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15" i="1" l="1"/>
  <c r="AE114" i="1"/>
  <c r="AF113" i="1"/>
  <c r="AC113" i="1" s="1"/>
  <c r="AE109" i="1"/>
  <c r="AE108" i="1"/>
  <c r="AF107" i="1"/>
  <c r="AC107" i="1" s="1"/>
  <c r="AE107" i="1"/>
  <c r="AF106" i="1"/>
  <c r="AC106" i="1"/>
  <c r="AE102" i="1"/>
  <c r="AE101" i="1"/>
  <c r="AE100" i="1"/>
  <c r="AF99" i="1"/>
  <c r="AC99" i="1" s="1"/>
  <c r="E62" i="1"/>
  <c r="D62" i="1"/>
  <c r="D61" i="1"/>
  <c r="E61" i="1" s="1"/>
  <c r="E60" i="1"/>
  <c r="D60" i="1"/>
  <c r="D59" i="1"/>
  <c r="D58" i="1"/>
  <c r="D57" i="1"/>
  <c r="D56" i="1"/>
  <c r="D55" i="1"/>
  <c r="D54" i="1"/>
  <c r="D53" i="1"/>
  <c r="D52" i="1"/>
  <c r="D51" i="1"/>
  <c r="E50" i="1" s="1"/>
  <c r="E49" i="1"/>
  <c r="E48" i="1"/>
  <c r="D32" i="1"/>
  <c r="E32" i="1" s="1"/>
  <c r="D30" i="1"/>
  <c r="D29" i="1"/>
  <c r="D28" i="1"/>
  <c r="E27" i="1" s="1"/>
  <c r="D19" i="1"/>
  <c r="E19" i="1" s="1"/>
  <c r="D17" i="1"/>
  <c r="D16" i="1"/>
  <c r="D15" i="1"/>
  <c r="D14" i="1"/>
  <c r="C14" i="1"/>
  <c r="C13" i="1"/>
  <c r="D13" i="1" s="1"/>
  <c r="D12" i="1"/>
  <c r="D10" i="1" s="1"/>
  <c r="E9" i="1" s="1"/>
  <c r="E8" i="1"/>
  <c r="D7" i="1"/>
  <c r="E18" i="1" l="1"/>
  <c r="E31" i="1" s="1"/>
  <c r="E63" i="1" s="1"/>
  <c r="AF108" i="1"/>
  <c r="AF114" i="1"/>
  <c r="AF100" i="1" l="1"/>
  <c r="E66" i="1"/>
  <c r="E64" i="1"/>
  <c r="E65" i="1" s="1"/>
  <c r="AF109" i="1"/>
  <c r="AC109" i="1" s="1"/>
  <c r="AC108" i="1"/>
  <c r="AC110" i="1" s="1"/>
  <c r="AF115" i="1"/>
  <c r="AC115" i="1" s="1"/>
  <c r="AC114" i="1"/>
  <c r="AC116" i="1" s="1"/>
  <c r="E68" i="1" l="1"/>
  <c r="E67" i="1"/>
  <c r="AF101" i="1"/>
  <c r="AC100" i="1"/>
  <c r="E71" i="1" l="1"/>
  <c r="E70" i="1"/>
  <c r="AC101" i="1"/>
  <c r="AC103" i="1" s="1"/>
  <c r="AF102" i="1"/>
  <c r="AC10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akuma68</author>
    <author>Amit Kumar</author>
  </authors>
  <commentList>
    <comment ref="D6" authorId="0" shapeId="0" xr:uid="{D252AF32-CC9D-4077-967B-2B4B9F2F9C6E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Enter DOB in Day-MON-YY format. For e.g 07-OCT-81</t>
        </r>
      </text>
    </comment>
    <comment ref="C8" authorId="0" shapeId="0" xr:uid="{D898C373-87FD-4E9F-8C3F-35CD8B241BB4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Total Annual Income</t>
        </r>
      </text>
    </comment>
    <comment ref="D10" authorId="0" shapeId="0" xr:uid="{AC326036-41DB-42DC-BE55-D3723D62F894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Least of Below 3 criteria</t>
        </r>
      </text>
    </comment>
    <comment ref="C12" authorId="0" shapeId="0" xr:uid="{21A8A9FD-2A96-4C0C-9FE3-878D0FC53EE9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Annual Basic Salary</t>
        </r>
      </text>
    </comment>
    <comment ref="D12" authorId="0" shapeId="0" xr:uid="{9F584851-9E23-433E-ABCB-C18EC7D869AD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40% of (basic+DA) for Non Metro &amp; 50% for Metro</t>
        </r>
      </text>
    </comment>
    <comment ref="C13" authorId="0" shapeId="0" xr:uid="{25D1DF94-18C0-4370-B742-E2009E2B549B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Annual Rent Paid</t>
        </r>
      </text>
    </comment>
    <comment ref="D13" authorId="0" shapeId="0" xr:uid="{C46C48B6-E89E-4B12-8F68-294D250A7F6E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Rent Paid - 10% of Basic</t>
        </r>
      </text>
    </comment>
    <comment ref="C14" authorId="0" shapeId="0" xr:uid="{C19D3912-BD54-4276-A106-8CB7A2AEEAD8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 Annual HRA received</t>
        </r>
      </text>
    </comment>
    <comment ref="C28" authorId="0" shapeId="0" xr:uid="{EF063C78-FA53-4FAD-B9BC-460CB027B9A5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Budget 2017 has capped interest exemption to Rs 2 lakh irrespctive of its rented or self occupied</t>
        </r>
      </text>
    </comment>
    <comment ref="C30" authorId="0" shapeId="0" xr:uid="{298E1D50-A91A-4222-81E4-954B91C4A16A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Deduction up to Rs 30,000 is allowed on the interest payment for loan taken for Home Improvement</t>
        </r>
      </text>
    </comment>
    <comment ref="C44" authorId="0" shapeId="0" xr:uid="{9503C495-1152-42C2-BB15-DD1B9C4E71A0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50% of invested amount is eligible for Tax Deduction</t>
        </r>
      </text>
    </comment>
    <comment ref="C49" authorId="0" shapeId="0" xr:uid="{E40B87A6-2770-4DA1-86B4-E8D197F8BF4A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50% of invested amount is eligible for Tax Deduction</t>
        </r>
      </text>
    </comment>
    <comment ref="C51" authorId="0" shapeId="0" xr:uid="{4324045E-F848-4F6F-9B85-F332CBA7C072}">
      <text>
        <r>
          <rPr>
            <sz val="11"/>
            <color indexed="8"/>
            <rFont val="Calibri"/>
            <family val="2"/>
          </rPr>
          <t>akuma68:</t>
        </r>
        <r>
          <rPr>
            <b/>
            <sz val="8"/>
            <color indexed="81"/>
            <rFont val="Tahoma"/>
            <family val="2"/>
          </rPr>
          <t xml:space="preserve">
Self here includes spouse &amp; children</t>
        </r>
      </text>
    </comment>
    <comment ref="C54" authorId="0" shapeId="0" xr:uid="{17D6BA86-BDCA-4278-A327-E1B4B3F0AFF2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Deduction in respect of maintenance including medical treatment of dependent who is a person with disability. Maximum deduction Rs. 125,000/- in case of severe disability (more than 80%) and Rs. 75,000/- in other cases.</t>
        </r>
      </text>
    </comment>
    <comment ref="C55" authorId="0" shapeId="0" xr:uid="{ED3E9CC3-E2FC-4DDD-BB35-ED90082B7379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For senior citizens the deduction amount is up to Rs 1,00,000;  while for all others its Rs 40,000
</t>
        </r>
      </text>
    </comment>
    <comment ref="C57" authorId="0" shapeId="0" xr:uid="{2704DF8E-2647-4AB6-BE47-0092B0310F3C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For paying rent in case you do not receive HRA</t>
        </r>
      </text>
    </comment>
    <comment ref="C58" authorId="0" shapeId="0" xr:uid="{187CA93D-782F-4DC7-B504-3A37DACA6EBF}">
      <text>
        <r>
          <rPr>
            <b/>
            <sz val="8"/>
            <color indexed="81"/>
            <rFont val="Tahoma"/>
            <family val="2"/>
          </rPr>
          <t>akuma68:</t>
        </r>
        <r>
          <rPr>
            <sz val="8"/>
            <color indexed="81"/>
            <rFont val="Tahoma"/>
            <family val="2"/>
          </rPr>
          <t xml:space="preserve">
Deduction of Rs. 75,000 (Rs 1,25,000 in case of severe disability) to an individual who suffers from physical disability.</t>
        </r>
      </text>
    </comment>
    <comment ref="D60" authorId="1" shapeId="0" xr:uid="{1E359779-4F3D-4E0A-8A68-A7A25FB016C5}">
      <text>
        <r>
          <rPr>
            <b/>
            <sz val="9"/>
            <color indexed="81"/>
            <rFont val="Tahoma"/>
            <charset val="1"/>
          </rPr>
          <t>Amit Kumar:</t>
        </r>
        <r>
          <rPr>
            <sz val="9"/>
            <color indexed="81"/>
            <rFont val="Tahoma"/>
            <charset val="1"/>
          </rPr>
          <t xml:space="preserve">
10% of Basic + DA is exempted from income tax</t>
        </r>
      </text>
    </comment>
  </commentList>
</comments>
</file>

<file path=xl/sharedStrings.xml><?xml version="1.0" encoding="utf-8"?>
<sst xmlns="http://schemas.openxmlformats.org/spreadsheetml/2006/main" count="106" uniqueCount="90">
  <si>
    <t>Income Tax Calculator for FY 2019-20 (AY 2020-21)</t>
  </si>
  <si>
    <t>Name</t>
  </si>
  <si>
    <t>XXXXXXXXX</t>
  </si>
  <si>
    <t>PAN Number</t>
  </si>
  <si>
    <t>AXXXXXXXX</t>
  </si>
  <si>
    <t>Birth date</t>
  </si>
  <si>
    <t>Age</t>
  </si>
  <si>
    <t>Gross Annual Income/Salary (with all allowances)</t>
  </si>
  <si>
    <t>Metro</t>
  </si>
  <si>
    <t>Less: Allowances exempt u/s 10(for Service Period)</t>
  </si>
  <si>
    <t>Non-Metro</t>
  </si>
  <si>
    <t>(I) H.R.A. exemption</t>
  </si>
  <si>
    <t>City of Residence</t>
  </si>
  <si>
    <t>Basic Salary (Basic+DA)</t>
  </si>
  <si>
    <t>Rent Paid</t>
  </si>
  <si>
    <t>H.R.A received</t>
  </si>
  <si>
    <r>
      <t xml:space="preserve">(II) Standard Deduction for Salaried &amp; Pensioner (Rs 50,000) </t>
    </r>
    <r>
      <rPr>
        <sz val="10"/>
        <color rgb="FFFF0000"/>
        <rFont val="Arial"/>
        <family val="2"/>
      </rPr>
      <t>Budget 2019</t>
    </r>
  </si>
  <si>
    <t>(iii) Any Other Exempted Receipts/ allowances</t>
  </si>
  <si>
    <t>(iv) Professional Tax</t>
  </si>
  <si>
    <t>Income under the head salaries</t>
  </si>
  <si>
    <t>Add: Any other income from other sources</t>
  </si>
  <si>
    <t>1. Interest received from following Investments</t>
  </si>
  <si>
    <t>a. Bank ( Saving /FD /Rec )</t>
  </si>
  <si>
    <t>b. N.S.C.(accrued/ Recd )</t>
  </si>
  <si>
    <t>c. Post Ofice M.I.S (6 yrs.)</t>
  </si>
  <si>
    <t>d. Post Office Recring Deposit (5 yrs.)</t>
  </si>
  <si>
    <t>2. Any Other Income</t>
  </si>
  <si>
    <t>3. Any Other Income</t>
  </si>
  <si>
    <t>Less: Exemption on Home Loan Interest (Sec 24)</t>
  </si>
  <si>
    <t>Loss from house property (Section 24)</t>
  </si>
  <si>
    <r>
      <t xml:space="preserve">Additional tax exemption for First Time Home Buyers </t>
    </r>
    <r>
      <rPr>
        <b/>
        <i/>
        <sz val="8"/>
        <rFont val="Arial"/>
        <family val="2"/>
      </rPr>
      <t>(Budget 2016)</t>
    </r>
  </si>
  <si>
    <t>Interest paid on Home Improvement Loan (max 30,000)</t>
  </si>
  <si>
    <t>Gross Total Income</t>
  </si>
  <si>
    <t>Less: Deduction under Sec 80C (Max Rs.1,50,000/-)</t>
  </si>
  <si>
    <t>A. EPF &amp; VPF Contribution</t>
  </si>
  <si>
    <t>B. Public Provident Fund (PPF)</t>
  </si>
  <si>
    <t>C. Senior Citizen’s Saving Scheme (SCSS)</t>
  </si>
  <si>
    <t>D. N.S.C (Investment + accrued Interest before Maturity Year)</t>
  </si>
  <si>
    <t>E. Tax Saving Fixed Deposit (5 Years and above)</t>
  </si>
  <si>
    <t>F. Tax Savings Bonds</t>
  </si>
  <si>
    <t>G. E.L.S.S (Tax Saving Mutual Fund)</t>
  </si>
  <si>
    <t>H. Life Insurance Premiums</t>
  </si>
  <si>
    <t>I. New Pension Scheme (NPS) (u/s 80CCC)</t>
  </si>
  <si>
    <t>J. Pension Plan from Insurance Companies/Mutual Funds (u/s 80CCC)</t>
  </si>
  <si>
    <t>K. 80 CCD Central Govt. Employees Pension Plan (u/s 80CCD)</t>
  </si>
  <si>
    <t>L. Housing. Loan (Principal Repayment)</t>
  </si>
  <si>
    <t xml:space="preserve">M. Sukanya Samriddhi Account </t>
  </si>
  <si>
    <t>N. Stamp Duty &amp; Registration Charges</t>
  </si>
  <si>
    <t>O. Tuition fees for 2 children</t>
  </si>
  <si>
    <t>Less: Additional Deduction under Sec 80CCD NPS (Max Rs 50,000/-)</t>
  </si>
  <si>
    <t>Less: Deduction under RGESS Sec 80CCG (Max Rs. 50,000/-)</t>
  </si>
  <si>
    <t>Less: Deduction under chapter VI A</t>
  </si>
  <si>
    <t>A. 80 D Medical Insurance premiums (for Self )</t>
  </si>
  <si>
    <t>B. 80 D Medical Insurance premiums (for Parents)</t>
  </si>
  <si>
    <t>C. 80 E Int Paid on Education Loan</t>
  </si>
  <si>
    <t>D. 80 DD Medical Treatment of handicapped Dependent</t>
  </si>
  <si>
    <t>E. 80DDB Expenditure on Selected Medical Treatment for self/ dependent</t>
  </si>
  <si>
    <t>F. 80G, 80GGA, 80GGC Donation to approved funds</t>
  </si>
  <si>
    <r>
      <t xml:space="preserve">G. 80GG For Rent in case of NO HRA Component </t>
    </r>
    <r>
      <rPr>
        <i/>
        <sz val="8"/>
        <rFont val="Arial"/>
        <family val="2"/>
      </rPr>
      <t>(Budget 2016)</t>
    </r>
  </si>
  <si>
    <t>H. 80U For Physically Disable Assesse</t>
  </si>
  <si>
    <r>
      <t xml:space="preserve">I. 80TTA (Rs 50,000 for Senior Citizens &amp; Rs 10,000 for others) </t>
    </r>
    <r>
      <rPr>
        <b/>
        <sz val="8"/>
        <rFont val="Arial"/>
        <family val="2"/>
      </rPr>
      <t>(Budget 2018)</t>
    </r>
  </si>
  <si>
    <t>Less: Deduction under Sec 80CCD(2) NPS (Employer Contribution)</t>
  </si>
  <si>
    <t>Less: Deduction under Sec 80EEA (Interest on Home Loan for Affordable Home) (Budget 2019)</t>
  </si>
  <si>
    <t>Less: Deduction under Sec 80EEA (Interest on Auto Loan for Electronic Vehicle) (Budget 2019)</t>
  </si>
  <si>
    <t>Total Income</t>
  </si>
  <si>
    <r>
      <t xml:space="preserve">Tax Rebate of Rs. 12,500 (For Income of less than 5 lakhs) </t>
    </r>
    <r>
      <rPr>
        <b/>
        <i/>
        <sz val="8"/>
        <rFont val="Arial"/>
        <family val="2"/>
      </rPr>
      <t>(Budget 2019)</t>
    </r>
  </si>
  <si>
    <t>Total Tax Payable</t>
  </si>
  <si>
    <r>
      <t xml:space="preserve">Tax Surcharge @ 10%/15%/25%/37% (Income more than 50 Lakhs/1 cr/2 cr/5 cr respectively) </t>
    </r>
    <r>
      <rPr>
        <b/>
        <i/>
        <sz val="8"/>
        <rFont val="Arial"/>
        <family val="2"/>
      </rPr>
      <t>(Budget 2019)</t>
    </r>
  </si>
  <si>
    <t>Add; Edn Cess + Health Cess @ 4%</t>
  </si>
  <si>
    <t>Net Tax Payable</t>
  </si>
  <si>
    <t>Advance Tax Paid</t>
  </si>
  <si>
    <t>Tax Remianing to be Paid</t>
  </si>
  <si>
    <t>Tax to Total Income Ratio</t>
  </si>
  <si>
    <t>Income Tax for General</t>
  </si>
  <si>
    <t>Tax</t>
  </si>
  <si>
    <t>Tax Slabs</t>
  </si>
  <si>
    <t>Incremental</t>
  </si>
  <si>
    <t>Taxable Inc</t>
  </si>
  <si>
    <t>Tax Bracket</t>
  </si>
  <si>
    <t>0 -250000</t>
  </si>
  <si>
    <t>250001 - 500000</t>
  </si>
  <si>
    <t>500001 - 1000000</t>
  </si>
  <si>
    <t>500001 +</t>
  </si>
  <si>
    <t>Total Tax</t>
  </si>
  <si>
    <t>Income Tax for Senior Citizen</t>
  </si>
  <si>
    <t>0 -300000</t>
  </si>
  <si>
    <t>300001 - 500000</t>
  </si>
  <si>
    <t>Income Tax for very Senior Citizen</t>
  </si>
  <si>
    <t>0 - 500000</t>
  </si>
  <si>
    <t>1000001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</si>
</sst>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&quot;-&quot;??_);_(@_)"/>
    <numFmt numFmtId="166" formatCode="#,##0\ ;&quot; (&quot;#,##0\);&quot; -&quot;#\ ;@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u/>
      <sz val="14"/>
      <color indexed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62"/>
      <name val="Calibri"/>
      <family val="2"/>
    </font>
    <font>
      <sz val="10"/>
      <name val="Calibri"/>
      <family val="2"/>
    </font>
    <font>
      <sz val="14"/>
      <color rgb="FFFFFFFF"/>
      <name val="Gill Sans MT"/>
      <family val="2"/>
    </font>
    <font>
      <b/>
      <sz val="10"/>
      <name val="Arial"/>
      <family val="2"/>
    </font>
    <font>
      <sz val="11"/>
      <color indexed="62"/>
      <name val="Calibri"/>
      <family val="2"/>
    </font>
    <font>
      <sz val="10"/>
      <color indexed="9"/>
      <name val="Calibri"/>
      <family val="2"/>
    </font>
    <font>
      <b/>
      <sz val="11"/>
      <color indexed="63"/>
      <name val="Calibri"/>
      <family val="2"/>
    </font>
    <font>
      <sz val="10"/>
      <color rgb="FFFF000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4"/>
      <color indexed="20"/>
      <name val="Calibri"/>
      <family val="2"/>
    </font>
    <font>
      <b/>
      <sz val="14"/>
      <color theme="9" tint="-0.499984740745262"/>
      <name val="Calibri"/>
      <family val="2"/>
    </font>
    <font>
      <b/>
      <sz val="12"/>
      <color indexed="17"/>
      <name val="Calibri"/>
      <family val="2"/>
    </font>
    <font>
      <b/>
      <sz val="12"/>
      <color indexed="58"/>
      <name val="Calibri"/>
      <family val="2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3"/>
      </left>
      <right/>
      <top style="medium">
        <color indexed="64"/>
      </top>
      <bottom style="thin">
        <color indexed="56"/>
      </bottom>
      <diagonal/>
    </border>
    <border>
      <left/>
      <right/>
      <top style="medium">
        <color indexed="64"/>
      </top>
      <bottom style="thin">
        <color indexed="56"/>
      </bottom>
      <diagonal/>
    </border>
    <border>
      <left/>
      <right style="medium">
        <color indexed="64"/>
      </right>
      <top style="medium">
        <color indexed="64"/>
      </top>
      <bottom style="thin">
        <color indexed="56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/>
      <top style="thin">
        <color indexed="56"/>
      </top>
      <bottom style="thin">
        <color indexed="23"/>
      </bottom>
      <diagonal/>
    </border>
    <border>
      <left/>
      <right/>
      <top style="thin">
        <color indexed="56"/>
      </top>
      <bottom style="thin">
        <color indexed="23"/>
      </bottom>
      <diagonal/>
    </border>
    <border>
      <left/>
      <right style="medium">
        <color indexed="64"/>
      </right>
      <top style="thin">
        <color indexed="56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medium">
        <color indexed="64"/>
      </right>
      <top/>
      <bottom/>
      <diagonal/>
    </border>
    <border>
      <left style="thin">
        <color indexed="56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56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56"/>
      </top>
      <bottom style="thin">
        <color indexed="23"/>
      </bottom>
      <diagonal/>
    </border>
    <border>
      <left style="double">
        <color indexed="63"/>
      </left>
      <right style="medium">
        <color indexed="64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medium">
        <color indexed="64"/>
      </right>
      <top/>
      <bottom style="double">
        <color indexed="63"/>
      </bottom>
      <diagonal/>
    </border>
    <border>
      <left style="thin">
        <color indexed="63"/>
      </left>
      <right style="medium">
        <color indexed="64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thin">
        <color indexed="56"/>
      </bottom>
      <diagonal/>
    </border>
    <border>
      <left/>
      <right/>
      <top/>
      <bottom style="thin">
        <color indexed="56"/>
      </bottom>
      <diagonal/>
    </border>
    <border>
      <left style="double">
        <color indexed="63"/>
      </left>
      <right style="medium">
        <color indexed="64"/>
      </right>
      <top style="double">
        <color indexed="63"/>
      </top>
      <bottom style="thin">
        <color indexed="56"/>
      </bottom>
      <diagonal/>
    </border>
    <border>
      <left style="double">
        <color indexed="63"/>
      </left>
      <right style="medium">
        <color indexed="64"/>
      </right>
      <top style="double">
        <color indexed="63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medium">
        <color indexed="64"/>
      </right>
      <top style="double">
        <color indexed="63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Protection="1"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6" fillId="3" borderId="3" xfId="0" applyFont="1" applyFill="1" applyBorder="1" applyAlignment="1" applyProtection="1">
      <alignment horizontal="right" vertical="center"/>
      <protection hidden="1"/>
    </xf>
    <xf numFmtId="3" fontId="7" fillId="4" borderId="4" xfId="0" applyNumberFormat="1" applyFont="1" applyFill="1" applyBorder="1" applyAlignment="1" applyProtection="1">
      <alignment horizontal="center" vertical="center"/>
      <protection locked="0"/>
    </xf>
    <xf numFmtId="3" fontId="7" fillId="4" borderId="5" xfId="0" applyNumberFormat="1" applyFont="1" applyFill="1" applyBorder="1" applyAlignment="1" applyProtection="1">
      <alignment horizontal="center" vertical="center"/>
      <protection locked="0"/>
    </xf>
    <xf numFmtId="3" fontId="7" fillId="4" borderId="6" xfId="0" applyNumberFormat="1" applyFont="1" applyFill="1" applyBorder="1" applyAlignment="1" applyProtection="1">
      <alignment horizontal="center" vertical="center"/>
      <protection locked="0"/>
    </xf>
    <xf numFmtId="0" fontId="6" fillId="3" borderId="7" xfId="0" applyFont="1" applyFill="1" applyBorder="1" applyAlignment="1" applyProtection="1">
      <alignment horizontal="right" vertical="center"/>
      <protection hidden="1"/>
    </xf>
    <xf numFmtId="3" fontId="7" fillId="4" borderId="8" xfId="0" applyNumberFormat="1" applyFont="1" applyFill="1" applyBorder="1" applyAlignment="1" applyProtection="1">
      <alignment horizontal="center" vertical="center"/>
      <protection locked="0"/>
    </xf>
    <xf numFmtId="3" fontId="7" fillId="4" borderId="9" xfId="0" applyNumberFormat="1" applyFont="1" applyFill="1" applyBorder="1" applyAlignment="1" applyProtection="1">
      <alignment horizontal="center" vertical="center"/>
      <protection locked="0"/>
    </xf>
    <xf numFmtId="3" fontId="7" fillId="4" borderId="10" xfId="0" applyNumberFormat="1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vertical="center"/>
      <protection hidden="1"/>
    </xf>
    <xf numFmtId="0" fontId="0" fillId="3" borderId="0" xfId="0" applyFill="1" applyAlignment="1" applyProtection="1">
      <alignment vertical="center"/>
      <protection hidden="1"/>
    </xf>
    <xf numFmtId="0" fontId="0" fillId="3" borderId="11" xfId="0" applyFill="1" applyBorder="1" applyAlignment="1" applyProtection="1">
      <alignment vertical="center"/>
      <protection hidden="1"/>
    </xf>
    <xf numFmtId="0" fontId="8" fillId="3" borderId="12" xfId="0" applyFont="1" applyFill="1" applyBorder="1" applyAlignment="1" applyProtection="1">
      <alignment vertical="center"/>
      <protection hidden="1"/>
    </xf>
    <xf numFmtId="0" fontId="6" fillId="3" borderId="0" xfId="0" applyFont="1" applyFill="1" applyAlignment="1" applyProtection="1">
      <alignment vertical="center"/>
      <protection hidden="1"/>
    </xf>
    <xf numFmtId="15" fontId="0" fillId="5" borderId="13" xfId="0" applyNumberFormat="1" applyFill="1" applyBorder="1" applyAlignment="1" applyProtection="1">
      <alignment horizontal="center" vertical="center"/>
      <protection locked="0"/>
    </xf>
    <xf numFmtId="15" fontId="0" fillId="0" borderId="0" xfId="0" applyNumberFormat="1" applyProtection="1">
      <protection hidden="1"/>
    </xf>
    <xf numFmtId="0" fontId="9" fillId="0" borderId="0" xfId="0" applyFont="1" applyAlignment="1">
      <alignment horizontal="center" readingOrder="1"/>
    </xf>
    <xf numFmtId="0" fontId="10" fillId="3" borderId="0" xfId="0" applyFont="1" applyFill="1" applyAlignment="1" applyProtection="1">
      <alignment vertical="center"/>
      <protection hidden="1"/>
    </xf>
    <xf numFmtId="1" fontId="0" fillId="6" borderId="14" xfId="0" applyNumberFormat="1" applyFill="1" applyBorder="1" applyAlignment="1" applyProtection="1">
      <alignment horizontal="center" vertical="center"/>
      <protection hidden="1"/>
    </xf>
    <xf numFmtId="0" fontId="6" fillId="3" borderId="7" xfId="0" applyFont="1" applyFill="1" applyBorder="1" applyAlignment="1" applyProtection="1">
      <alignment vertical="center"/>
      <protection hidden="1"/>
    </xf>
    <xf numFmtId="3" fontId="11" fillId="4" borderId="15" xfId="0" applyNumberFormat="1" applyFont="1" applyFill="1" applyBorder="1" applyAlignment="1" applyProtection="1">
      <alignment vertical="center"/>
      <protection locked="0" hidden="1"/>
    </xf>
    <xf numFmtId="3" fontId="0" fillId="3" borderId="0" xfId="0" applyNumberFormat="1" applyFill="1" applyAlignment="1" applyProtection="1">
      <alignment vertical="center"/>
      <protection hidden="1"/>
    </xf>
    <xf numFmtId="3" fontId="12" fillId="7" borderId="16" xfId="0" applyNumberFormat="1" applyFont="1" applyFill="1" applyBorder="1" applyAlignment="1" applyProtection="1">
      <alignment vertical="center"/>
      <protection hidden="1"/>
    </xf>
    <xf numFmtId="0" fontId="10" fillId="3" borderId="7" xfId="0" applyFont="1" applyFill="1" applyBorder="1" applyAlignment="1" applyProtection="1">
      <alignment vertical="center"/>
      <protection hidden="1"/>
    </xf>
    <xf numFmtId="3" fontId="13" fillId="8" borderId="17" xfId="0" applyNumberFormat="1" applyFont="1" applyFill="1" applyBorder="1" applyAlignment="1" applyProtection="1">
      <alignment vertical="center"/>
      <protection hidden="1"/>
    </xf>
    <xf numFmtId="3" fontId="8" fillId="3" borderId="12" xfId="0" applyNumberFormat="1" applyFont="1" applyFill="1" applyBorder="1" applyAlignment="1" applyProtection="1">
      <alignment vertical="center"/>
      <protection hidden="1"/>
    </xf>
    <xf numFmtId="0" fontId="0" fillId="3" borderId="7" xfId="0" applyFill="1" applyBorder="1" applyAlignment="1" applyProtection="1">
      <alignment horizontal="left" vertical="center" indent="2"/>
      <protection hidden="1"/>
    </xf>
    <xf numFmtId="3" fontId="11" fillId="4" borderId="18" xfId="0" applyNumberFormat="1" applyFont="1" applyFill="1" applyBorder="1" applyAlignment="1" applyProtection="1">
      <alignment horizontal="right" vertical="center"/>
      <protection locked="0"/>
    </xf>
    <xf numFmtId="3" fontId="11" fillId="4" borderId="18" xfId="0" applyNumberFormat="1" applyFont="1" applyFill="1" applyBorder="1" applyAlignment="1" applyProtection="1">
      <alignment vertical="center"/>
      <protection locked="0" hidden="1"/>
    </xf>
    <xf numFmtId="3" fontId="11" fillId="4" borderId="18" xfId="0" applyNumberFormat="1" applyFont="1" applyFill="1" applyBorder="1" applyAlignment="1" applyProtection="1">
      <alignment vertical="center"/>
      <protection locked="0"/>
    </xf>
    <xf numFmtId="0" fontId="10" fillId="3" borderId="7" xfId="0" applyFont="1" applyFill="1" applyBorder="1" applyAlignment="1" applyProtection="1">
      <alignment horizontal="left" vertical="center" indent="2"/>
      <protection hidden="1"/>
    </xf>
    <xf numFmtId="0" fontId="10" fillId="0" borderId="7" xfId="0" applyFont="1" applyBorder="1" applyAlignment="1" applyProtection="1">
      <alignment horizontal="left" vertical="center" indent="2"/>
      <protection hidden="1"/>
    </xf>
    <xf numFmtId="3" fontId="12" fillId="7" borderId="19" xfId="0" applyNumberFormat="1" applyFont="1" applyFill="1" applyBorder="1" applyAlignment="1" applyProtection="1">
      <alignment vertical="center"/>
      <protection hidden="1"/>
    </xf>
    <xf numFmtId="0" fontId="0" fillId="3" borderId="7" xfId="0" applyFill="1" applyBorder="1" applyAlignment="1" applyProtection="1">
      <alignment horizontal="left" vertical="center" wrapText="1" indent="2"/>
      <protection hidden="1"/>
    </xf>
    <xf numFmtId="3" fontId="0" fillId="3" borderId="0" xfId="0" applyNumberFormat="1" applyFill="1" applyAlignment="1" applyProtection="1">
      <alignment vertical="center"/>
      <protection locked="0"/>
    </xf>
    <xf numFmtId="0" fontId="0" fillId="0" borderId="7" xfId="0" applyBorder="1" applyAlignment="1" applyProtection="1">
      <alignment horizontal="left" vertical="center" indent="2"/>
      <protection hidden="1"/>
    </xf>
    <xf numFmtId="0" fontId="10" fillId="9" borderId="7" xfId="0" applyFont="1" applyFill="1" applyBorder="1" applyAlignment="1" applyProtection="1">
      <alignment vertical="center"/>
      <protection hidden="1"/>
    </xf>
    <xf numFmtId="3" fontId="13" fillId="8" borderId="20" xfId="0" applyNumberFormat="1" applyFont="1" applyFill="1" applyBorder="1" applyAlignment="1" applyProtection="1">
      <alignment vertical="center"/>
      <protection hidden="1"/>
    </xf>
    <xf numFmtId="0" fontId="6" fillId="10" borderId="7" xfId="0" applyFont="1" applyFill="1" applyBorder="1" applyAlignment="1" applyProtection="1">
      <alignment vertical="center"/>
      <protection hidden="1"/>
    </xf>
    <xf numFmtId="0" fontId="18" fillId="0" borderId="21" xfId="0" applyFont="1" applyBorder="1" applyAlignment="1" applyProtection="1">
      <alignment vertical="center"/>
      <protection hidden="1"/>
    </xf>
    <xf numFmtId="3" fontId="18" fillId="0" borderId="22" xfId="0" applyNumberFormat="1" applyFont="1" applyBorder="1" applyAlignment="1" applyProtection="1">
      <alignment vertical="center"/>
      <protection hidden="1"/>
    </xf>
    <xf numFmtId="3" fontId="18" fillId="11" borderId="23" xfId="0" applyNumberFormat="1" applyFont="1" applyFill="1" applyBorder="1" applyAlignment="1" applyProtection="1">
      <alignment vertical="center"/>
      <protection hidden="1"/>
    </xf>
    <xf numFmtId="0" fontId="19" fillId="0" borderId="7" xfId="0" applyFont="1" applyBorder="1" applyAlignment="1" applyProtection="1">
      <alignment vertical="center"/>
      <protection hidden="1"/>
    </xf>
    <xf numFmtId="3" fontId="19" fillId="0" borderId="0" xfId="0" applyNumberFormat="1" applyFont="1" applyAlignment="1" applyProtection="1">
      <alignment vertical="center"/>
      <protection hidden="1"/>
    </xf>
    <xf numFmtId="3" fontId="1" fillId="2" borderId="24" xfId="2" applyNumberFormat="1" applyBorder="1" applyAlignment="1" applyProtection="1">
      <alignment vertical="center"/>
      <protection locked="0" hidden="1"/>
    </xf>
    <xf numFmtId="3" fontId="19" fillId="11" borderId="24" xfId="0" applyNumberFormat="1" applyFont="1" applyFill="1" applyBorder="1" applyAlignment="1" applyProtection="1">
      <alignment vertical="center"/>
      <protection hidden="1"/>
    </xf>
    <xf numFmtId="0" fontId="20" fillId="0" borderId="25" xfId="0" applyFont="1" applyBorder="1" applyAlignment="1" applyProtection="1">
      <alignment vertical="center"/>
      <protection hidden="1"/>
    </xf>
    <xf numFmtId="3" fontId="20" fillId="0" borderId="26" xfId="0" applyNumberFormat="1" applyFont="1" applyBorder="1" applyAlignment="1" applyProtection="1">
      <alignment vertical="center"/>
      <protection hidden="1"/>
    </xf>
    <xf numFmtId="9" fontId="21" fillId="12" borderId="27" xfId="0" applyNumberFormat="1" applyFont="1" applyFill="1" applyBorder="1" applyAlignment="1" applyProtection="1">
      <alignment vertical="center"/>
      <protection hidden="1"/>
    </xf>
    <xf numFmtId="165" fontId="0" fillId="0" borderId="0" xfId="1" applyNumberFormat="1" applyFont="1" applyAlignment="1" applyProtection="1">
      <alignment vertical="center"/>
      <protection hidden="1"/>
    </xf>
    <xf numFmtId="9" fontId="0" fillId="0" borderId="0" xfId="0" applyNumberFormat="1" applyAlignment="1" applyProtection="1">
      <alignment vertical="center"/>
      <protection hidden="1"/>
    </xf>
    <xf numFmtId="0" fontId="10" fillId="13" borderId="0" xfId="0" applyFont="1" applyFill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166" fontId="0" fillId="0" borderId="0" xfId="0" applyNumberFormat="1" applyAlignment="1" applyProtection="1">
      <alignment vertical="center"/>
      <protection hidden="1"/>
    </xf>
    <xf numFmtId="1" fontId="0" fillId="0" borderId="0" xfId="0" applyNumberFormat="1" applyAlignment="1" applyProtection="1">
      <alignment vertical="center"/>
      <protection hidden="1"/>
    </xf>
    <xf numFmtId="3" fontId="0" fillId="0" borderId="0" xfId="0" applyNumberFormat="1" applyAlignment="1" applyProtection="1">
      <alignment vertical="center"/>
      <protection hidden="1"/>
    </xf>
    <xf numFmtId="49" fontId="0" fillId="0" borderId="0" xfId="0" applyNumberFormat="1" applyAlignment="1" applyProtection="1">
      <alignment vertical="center"/>
      <protection hidden="1"/>
    </xf>
    <xf numFmtId="166" fontId="10" fillId="0" borderId="0" xfId="0" applyNumberFormat="1" applyFont="1" applyAlignment="1" applyProtection="1">
      <alignment vertical="center"/>
      <protection hidden="1"/>
    </xf>
  </cellXfs>
  <cellStyles count="3">
    <cellStyle name="40% - Accent6" xfId="2" builtinId="51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apnaplan.com/nps-tax-benefit/" TargetMode="External"/><Relationship Id="rId3" Type="http://schemas.openxmlformats.org/officeDocument/2006/relationships/hyperlink" Target="http://apnaplan.com/highest-tax-saving-bank-fixed-deposit-rates-us-80c/" TargetMode="External"/><Relationship Id="rId7" Type="http://schemas.openxmlformats.org/officeDocument/2006/relationships/hyperlink" Target="http://apnaplan.com/sukanya-samriddhi-account/" TargetMode="External"/><Relationship Id="rId2" Type="http://schemas.openxmlformats.org/officeDocument/2006/relationships/hyperlink" Target="http://apnaplan.com/tag/sec-80c/" TargetMode="External"/><Relationship Id="rId1" Type="http://schemas.openxmlformats.org/officeDocument/2006/relationships/hyperlink" Target="http://apnaplan.com/tax-benefit-both-hra-home-loan/" TargetMode="External"/><Relationship Id="rId6" Type="http://schemas.openxmlformats.org/officeDocument/2006/relationships/hyperlink" Target="http://apnaplan.com/budget-2013-are-you-eligible-for-rs-2000-tax-rebate-under-sec-87a/" TargetMode="External"/><Relationship Id="rId11" Type="http://schemas.openxmlformats.org/officeDocument/2006/relationships/hyperlink" Target="https://www.apnaplan.com/80eeb-tax-exemption/" TargetMode="External"/><Relationship Id="rId5" Type="http://schemas.openxmlformats.org/officeDocument/2006/relationships/hyperlink" Target="http://apnaplan.com/tax-benefit-on-education-loan-sec-80e/" TargetMode="External"/><Relationship Id="rId10" Type="http://schemas.openxmlformats.org/officeDocument/2006/relationships/hyperlink" Target="https://www.apnaplan.com/80eea-tax-home-loan/" TargetMode="External"/><Relationship Id="rId4" Type="http://schemas.openxmlformats.org/officeDocument/2006/relationships/hyperlink" Target="http://apnaplan.com/best-elss-fund/" TargetMode="External"/><Relationship Id="rId9" Type="http://schemas.openxmlformats.org/officeDocument/2006/relationships/hyperlink" Target="https://www.apnaplan.com/nps-tax-benefi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13</xdr:row>
      <xdr:rowOff>28575</xdr:rowOff>
    </xdr:from>
    <xdr:to>
      <xdr:col>10</xdr:col>
      <xdr:colOff>266700</xdr:colOff>
      <xdr:row>16</xdr:row>
      <xdr:rowOff>104775</xdr:rowOff>
    </xdr:to>
    <xdr:sp macro="" textlink="">
      <xdr:nvSpPr>
        <xdr:cNvPr id="2" name="Rectangular Callou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EAC81D-B79A-46AB-854D-A44EBDD92107}"/>
            </a:ext>
          </a:extLst>
        </xdr:cNvPr>
        <xdr:cNvSpPr/>
      </xdr:nvSpPr>
      <xdr:spPr bwMode="auto">
        <a:xfrm>
          <a:off x="8873067" y="2687108"/>
          <a:ext cx="2772833" cy="622300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You</a:t>
          </a:r>
          <a:r>
            <a:rPr lang="en-US" sz="1100" baseline="0"/>
            <a:t> can take Tax Benefit on both </a:t>
          </a:r>
          <a:r>
            <a:rPr lang="en-US" sz="1100" b="1" baseline="0"/>
            <a:t>HRA &amp; Home Loan.</a:t>
          </a:r>
        </a:p>
        <a:p>
          <a:pPr algn="ctr"/>
          <a:r>
            <a:rPr lang="en-US" sz="1100" baseline="0"/>
            <a:t>In case of any queries Click here.</a:t>
          </a:r>
          <a:endParaRPr lang="en-US" sz="1100"/>
        </a:p>
      </xdr:txBody>
    </xdr:sp>
    <xdr:clientData/>
  </xdr:twoCellAnchor>
  <xdr:twoCellAnchor>
    <xdr:from>
      <xdr:col>5</xdr:col>
      <xdr:colOff>323850</xdr:colOff>
      <xdr:row>35</xdr:row>
      <xdr:rowOff>19049</xdr:rowOff>
    </xdr:from>
    <xdr:to>
      <xdr:col>10</xdr:col>
      <xdr:colOff>438150</xdr:colOff>
      <xdr:row>37</xdr:row>
      <xdr:rowOff>38100</xdr:rowOff>
    </xdr:to>
    <xdr:sp macro="" textlink="">
      <xdr:nvSpPr>
        <xdr:cNvPr id="3" name="Rectangular Callou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9967BC-0B62-4936-9376-91A09221FBDB}"/>
            </a:ext>
          </a:extLst>
        </xdr:cNvPr>
        <xdr:cNvSpPr/>
      </xdr:nvSpPr>
      <xdr:spPr bwMode="auto">
        <a:xfrm>
          <a:off x="9044517" y="6699249"/>
          <a:ext cx="2772833" cy="383118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to</a:t>
          </a:r>
        </a:p>
        <a:p>
          <a:pPr algn="ctr"/>
          <a:r>
            <a:rPr lang="en-US" sz="1100"/>
            <a:t>Choose</a:t>
          </a:r>
          <a:r>
            <a:rPr lang="en-US" sz="1100" baseline="0"/>
            <a:t> the </a:t>
          </a:r>
          <a:r>
            <a:rPr lang="en-US" sz="1100" b="1" baseline="0"/>
            <a:t>best investment under 80C.</a:t>
          </a:r>
        </a:p>
      </xdr:txBody>
    </xdr:sp>
    <xdr:clientData/>
  </xdr:twoCellAnchor>
  <xdr:twoCellAnchor>
    <xdr:from>
      <xdr:col>5</xdr:col>
      <xdr:colOff>295275</xdr:colOff>
      <xdr:row>37</xdr:row>
      <xdr:rowOff>85725</xdr:rowOff>
    </xdr:from>
    <xdr:to>
      <xdr:col>10</xdr:col>
      <xdr:colOff>409575</xdr:colOff>
      <xdr:row>40</xdr:row>
      <xdr:rowOff>9525</xdr:rowOff>
    </xdr:to>
    <xdr:sp macro="" textlink="">
      <xdr:nvSpPr>
        <xdr:cNvPr id="4" name="Rectangular Callout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769C86-205B-423A-A089-213F486461FA}"/>
            </a:ext>
          </a:extLst>
        </xdr:cNvPr>
        <xdr:cNvSpPr/>
      </xdr:nvSpPr>
      <xdr:spPr bwMode="auto">
        <a:xfrm>
          <a:off x="9015942" y="7129992"/>
          <a:ext cx="2772833" cy="469900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to choose the </a:t>
          </a:r>
          <a:r>
            <a:rPr lang="en-US" sz="1100" b="1"/>
            <a:t>Best Tax Saving Fixed Deposit rates </a:t>
          </a:r>
          <a:r>
            <a:rPr lang="en-US" sz="1100"/>
            <a:t>from banks</a:t>
          </a:r>
        </a:p>
      </xdr:txBody>
    </xdr:sp>
    <xdr:clientData/>
  </xdr:twoCellAnchor>
  <xdr:twoCellAnchor>
    <xdr:from>
      <xdr:col>5</xdr:col>
      <xdr:colOff>304800</xdr:colOff>
      <xdr:row>40</xdr:row>
      <xdr:rowOff>38100</xdr:rowOff>
    </xdr:from>
    <xdr:to>
      <xdr:col>10</xdr:col>
      <xdr:colOff>419100</xdr:colOff>
      <xdr:row>42</xdr:row>
      <xdr:rowOff>152400</xdr:rowOff>
    </xdr:to>
    <xdr:sp macro="" textlink="">
      <xdr:nvSpPr>
        <xdr:cNvPr id="5" name="Rectangular Callout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537C54-DB48-46D1-A1C2-2EBCE6FDEFF4}"/>
            </a:ext>
          </a:extLst>
        </xdr:cNvPr>
        <xdr:cNvSpPr/>
      </xdr:nvSpPr>
      <xdr:spPr bwMode="auto">
        <a:xfrm>
          <a:off x="9025467" y="7628467"/>
          <a:ext cx="2772833" cy="478366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to choose the </a:t>
          </a:r>
          <a:r>
            <a:rPr lang="en-US" sz="1100" b="1"/>
            <a:t>Best Tax Saving Mutual Funds (ELSS)</a:t>
          </a:r>
          <a:endParaRPr lang="en-US" sz="1100"/>
        </a:p>
      </xdr:txBody>
    </xdr:sp>
    <xdr:clientData/>
  </xdr:twoCellAnchor>
  <xdr:twoCellAnchor>
    <xdr:from>
      <xdr:col>5</xdr:col>
      <xdr:colOff>352425</xdr:colOff>
      <xdr:row>49</xdr:row>
      <xdr:rowOff>123826</xdr:rowOff>
    </xdr:from>
    <xdr:to>
      <xdr:col>10</xdr:col>
      <xdr:colOff>466725</xdr:colOff>
      <xdr:row>51</xdr:row>
      <xdr:rowOff>180975</xdr:rowOff>
    </xdr:to>
    <xdr:sp macro="" textlink="">
      <xdr:nvSpPr>
        <xdr:cNvPr id="6" name="Rectangular Callout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71FB7C-BAC9-4ED8-BF9A-FA9BCE4FD540}"/>
            </a:ext>
          </a:extLst>
        </xdr:cNvPr>
        <xdr:cNvSpPr/>
      </xdr:nvSpPr>
      <xdr:spPr bwMode="auto">
        <a:xfrm>
          <a:off x="9073092" y="9183159"/>
          <a:ext cx="2772833" cy="425449"/>
        </a:xfrm>
        <a:prstGeom prst="wedgeRectCallout">
          <a:avLst>
            <a:gd name="adj1" fmla="val -96879"/>
            <a:gd name="adj2" fmla="val 72227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in</a:t>
          </a:r>
          <a:r>
            <a:rPr lang="en-US" sz="1100" baseline="0"/>
            <a:t> case of any doubt on </a:t>
          </a:r>
          <a:r>
            <a:rPr lang="en-US" sz="1100" b="1" baseline="0"/>
            <a:t>Education Loan Tax Exemption</a:t>
          </a:r>
          <a:endParaRPr lang="en-US" sz="1100" b="1"/>
        </a:p>
      </xdr:txBody>
    </xdr:sp>
    <xdr:clientData/>
  </xdr:twoCellAnchor>
  <xdr:twoCellAnchor>
    <xdr:from>
      <xdr:col>5</xdr:col>
      <xdr:colOff>209550</xdr:colOff>
      <xdr:row>2</xdr:row>
      <xdr:rowOff>180975</xdr:rowOff>
    </xdr:from>
    <xdr:to>
      <xdr:col>9</xdr:col>
      <xdr:colOff>152399</xdr:colOff>
      <xdr:row>7</xdr:row>
      <xdr:rowOff>152400</xdr:rowOff>
    </xdr:to>
    <xdr:sp macro="" textlink="">
      <xdr:nvSpPr>
        <xdr:cNvPr id="7" name="Rectangular Callout 9">
          <a:extLst>
            <a:ext uri="{FF2B5EF4-FFF2-40B4-BE49-F238E27FC236}">
              <a16:creationId xmlns:a16="http://schemas.microsoft.com/office/drawing/2014/main" id="{B34227C5-ED72-49E1-A7BF-02C29E8288C6}"/>
            </a:ext>
          </a:extLst>
        </xdr:cNvPr>
        <xdr:cNvSpPr/>
      </xdr:nvSpPr>
      <xdr:spPr bwMode="auto">
        <a:xfrm>
          <a:off x="8930217" y="765175"/>
          <a:ext cx="2118782" cy="940858"/>
        </a:xfrm>
        <a:prstGeom prst="wedgeRectCallout">
          <a:avLst>
            <a:gd name="adj1" fmla="val -76942"/>
            <a:gd name="adj2" fmla="val -12955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 b="1"/>
            <a:t>Fill</a:t>
          </a:r>
          <a:r>
            <a:rPr lang="en-US" sz="1100" b="1" baseline="0"/>
            <a:t> up only the Orange Cells</a:t>
          </a:r>
          <a:endParaRPr lang="en-US" sz="1100" b="1"/>
        </a:p>
      </xdr:txBody>
    </xdr:sp>
    <xdr:clientData/>
  </xdr:twoCellAnchor>
  <xdr:twoCellAnchor>
    <xdr:from>
      <xdr:col>5</xdr:col>
      <xdr:colOff>171451</xdr:colOff>
      <xdr:row>8</xdr:row>
      <xdr:rowOff>9525</xdr:rowOff>
    </xdr:from>
    <xdr:to>
      <xdr:col>10</xdr:col>
      <xdr:colOff>257176</xdr:colOff>
      <xdr:row>12</xdr:row>
      <xdr:rowOff>133350</xdr:rowOff>
    </xdr:to>
    <xdr:sp macro="" textlink="">
      <xdr:nvSpPr>
        <xdr:cNvPr id="8" name="Rectangular Callout 10">
          <a:extLst>
            <a:ext uri="{FF2B5EF4-FFF2-40B4-BE49-F238E27FC236}">
              <a16:creationId xmlns:a16="http://schemas.microsoft.com/office/drawing/2014/main" id="{B91E1E4E-4200-4089-991E-E744FE3D8597}"/>
            </a:ext>
          </a:extLst>
        </xdr:cNvPr>
        <xdr:cNvSpPr/>
      </xdr:nvSpPr>
      <xdr:spPr bwMode="auto">
        <a:xfrm>
          <a:off x="8892118" y="1753658"/>
          <a:ext cx="2744258" cy="856192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For Income Tax purpose - </a:t>
          </a:r>
          <a:r>
            <a:rPr lang="en-US" sz="1100" b="1"/>
            <a:t>only Delhi, Mumbai, Chennai &amp; Kolkatta are considered as metro cities. </a:t>
          </a:r>
          <a:r>
            <a:rPr lang="en-US" sz="1100"/>
            <a:t>Noida, Gurgaon etc are Non-metro cities.</a:t>
          </a:r>
        </a:p>
      </xdr:txBody>
    </xdr:sp>
    <xdr:clientData/>
  </xdr:twoCellAnchor>
  <xdr:twoCellAnchor>
    <xdr:from>
      <xdr:col>5</xdr:col>
      <xdr:colOff>323850</xdr:colOff>
      <xdr:row>62</xdr:row>
      <xdr:rowOff>28575</xdr:rowOff>
    </xdr:from>
    <xdr:to>
      <xdr:col>10</xdr:col>
      <xdr:colOff>504825</xdr:colOff>
      <xdr:row>65</xdr:row>
      <xdr:rowOff>133350</xdr:rowOff>
    </xdr:to>
    <xdr:sp macro="" textlink="">
      <xdr:nvSpPr>
        <xdr:cNvPr id="9" name="Rectangular Callout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36516E-0CC5-4422-93E4-7D499DAC6C4D}"/>
            </a:ext>
          </a:extLst>
        </xdr:cNvPr>
        <xdr:cNvSpPr/>
      </xdr:nvSpPr>
      <xdr:spPr bwMode="auto">
        <a:xfrm>
          <a:off x="9044517" y="11488208"/>
          <a:ext cx="2839508" cy="655109"/>
        </a:xfrm>
        <a:prstGeom prst="wedgeRectCallout">
          <a:avLst>
            <a:gd name="adj1" fmla="val -62848"/>
            <a:gd name="adj2" fmla="val -7704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Tax Rebate u/s 87A</a:t>
          </a:r>
          <a:r>
            <a:rPr lang="en-US" sz="1100" baseline="0"/>
            <a:t> has been increased to Rs 12,500 from</a:t>
          </a:r>
          <a:r>
            <a:rPr lang="en-US" sz="1100"/>
            <a:t> Rs 2,500 in Budget for people with income less than Rs 5 Lakhs</a:t>
          </a:r>
        </a:p>
        <a:p>
          <a:pPr algn="ctr"/>
          <a:r>
            <a:rPr lang="en-US" sz="1100" b="1"/>
            <a:t>Click for</a:t>
          </a:r>
          <a:r>
            <a:rPr lang="en-US" sz="1100" b="1" baseline="0"/>
            <a:t> more details</a:t>
          </a:r>
          <a:endParaRPr lang="en-US" sz="1100" b="1"/>
        </a:p>
      </xdr:txBody>
    </xdr:sp>
    <xdr:clientData/>
  </xdr:twoCellAnchor>
  <xdr:twoCellAnchor>
    <xdr:from>
      <xdr:col>5</xdr:col>
      <xdr:colOff>219075</xdr:colOff>
      <xdr:row>24</xdr:row>
      <xdr:rowOff>180975</xdr:rowOff>
    </xdr:from>
    <xdr:to>
      <xdr:col>10</xdr:col>
      <xdr:colOff>333375</xdr:colOff>
      <xdr:row>28</xdr:row>
      <xdr:rowOff>19050</xdr:rowOff>
    </xdr:to>
    <xdr:sp macro="" textlink="">
      <xdr:nvSpPr>
        <xdr:cNvPr id="10" name="Rectangular Callout 12">
          <a:extLst>
            <a:ext uri="{FF2B5EF4-FFF2-40B4-BE49-F238E27FC236}">
              <a16:creationId xmlns:a16="http://schemas.microsoft.com/office/drawing/2014/main" id="{65235647-AF40-4629-8BFF-43AF2A978EF8}"/>
            </a:ext>
          </a:extLst>
        </xdr:cNvPr>
        <xdr:cNvSpPr/>
      </xdr:nvSpPr>
      <xdr:spPr bwMode="auto">
        <a:xfrm>
          <a:off x="8939742" y="4841875"/>
          <a:ext cx="2772833" cy="574675"/>
        </a:xfrm>
        <a:prstGeom prst="wedgeRectCallout">
          <a:avLst>
            <a:gd name="adj1" fmla="val -92363"/>
            <a:gd name="adj2" fmla="val 29112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 baseline="0"/>
            <a:t>The maximum exemption on Home Loan interest is Rs. 2 lakhs irrespective of it being Letout or Self-Occupied [in Budget 2017]</a:t>
          </a:r>
          <a:endParaRPr lang="en-US" sz="1100"/>
        </a:p>
      </xdr:txBody>
    </xdr:sp>
    <xdr:clientData/>
  </xdr:twoCellAnchor>
  <xdr:twoCellAnchor>
    <xdr:from>
      <xdr:col>5</xdr:col>
      <xdr:colOff>333375</xdr:colOff>
      <xdr:row>43</xdr:row>
      <xdr:rowOff>161925</xdr:rowOff>
    </xdr:from>
    <xdr:to>
      <xdr:col>10</xdr:col>
      <xdr:colOff>447675</xdr:colOff>
      <xdr:row>46</xdr:row>
      <xdr:rowOff>85725</xdr:rowOff>
    </xdr:to>
    <xdr:sp macro="" textlink="">
      <xdr:nvSpPr>
        <xdr:cNvPr id="11" name="Rectangular Callout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EEE5A15-F5C2-4EDC-B837-2F93B32AD2F1}"/>
            </a:ext>
          </a:extLst>
        </xdr:cNvPr>
        <xdr:cNvSpPr/>
      </xdr:nvSpPr>
      <xdr:spPr bwMode="auto">
        <a:xfrm>
          <a:off x="9054042" y="8298392"/>
          <a:ext cx="2772833" cy="469900"/>
        </a:xfrm>
        <a:prstGeom prst="wedgeRectCallout">
          <a:avLst>
            <a:gd name="adj1" fmla="val -63755"/>
            <a:gd name="adj2" fmla="val -2165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to know about </a:t>
          </a:r>
        </a:p>
        <a:p>
          <a:pPr algn="ctr"/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Sukanya Samriddhi Account </a:t>
          </a:r>
          <a:endParaRPr lang="en-US" sz="1100" b="1"/>
        </a:p>
      </xdr:txBody>
    </xdr:sp>
    <xdr:clientData/>
  </xdr:twoCellAnchor>
  <xdr:twoCellAnchor>
    <xdr:from>
      <xdr:col>5</xdr:col>
      <xdr:colOff>333375</xdr:colOff>
      <xdr:row>46</xdr:row>
      <xdr:rowOff>123825</xdr:rowOff>
    </xdr:from>
    <xdr:to>
      <xdr:col>10</xdr:col>
      <xdr:colOff>447675</xdr:colOff>
      <xdr:row>48</xdr:row>
      <xdr:rowOff>152400</xdr:rowOff>
    </xdr:to>
    <xdr:sp macro="" textlink="">
      <xdr:nvSpPr>
        <xdr:cNvPr id="12" name="Rectangular Callout 1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6ACF81-0295-427A-96AF-B2DAE90AEFB3}"/>
            </a:ext>
          </a:extLst>
        </xdr:cNvPr>
        <xdr:cNvSpPr/>
      </xdr:nvSpPr>
      <xdr:spPr bwMode="auto">
        <a:xfrm>
          <a:off x="9054042" y="8806392"/>
          <a:ext cx="2772833" cy="252941"/>
        </a:xfrm>
        <a:prstGeom prst="wedgeRectCallout">
          <a:avLst>
            <a:gd name="adj1" fmla="val -63000"/>
            <a:gd name="adj2" fmla="val -670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Read more about </a:t>
          </a:r>
          <a:r>
            <a:rPr lang="en-US" sz="1100" b="1"/>
            <a:t>Tax benefit on NPS</a:t>
          </a:r>
          <a:endParaRPr lang="en-US" sz="1100"/>
        </a:p>
      </xdr:txBody>
    </xdr:sp>
    <xdr:clientData/>
  </xdr:twoCellAnchor>
  <xdr:twoCellAnchor>
    <xdr:from>
      <xdr:col>5</xdr:col>
      <xdr:colOff>304800</xdr:colOff>
      <xdr:row>52</xdr:row>
      <xdr:rowOff>114300</xdr:rowOff>
    </xdr:from>
    <xdr:to>
      <xdr:col>10</xdr:col>
      <xdr:colOff>419100</xdr:colOff>
      <xdr:row>55</xdr:row>
      <xdr:rowOff>38100</xdr:rowOff>
    </xdr:to>
    <xdr:sp macro="" textlink="">
      <xdr:nvSpPr>
        <xdr:cNvPr id="13" name="Rectangular Callout 1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B925356-8D2B-419E-9D28-423D4C07FC7E}"/>
            </a:ext>
          </a:extLst>
        </xdr:cNvPr>
        <xdr:cNvSpPr/>
      </xdr:nvSpPr>
      <xdr:spPr bwMode="auto">
        <a:xfrm>
          <a:off x="9025467" y="9723967"/>
          <a:ext cx="2772833" cy="469900"/>
        </a:xfrm>
        <a:prstGeom prst="wedgeRectCallout">
          <a:avLst>
            <a:gd name="adj1" fmla="val -67076"/>
            <a:gd name="adj2" fmla="val 195657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Click Here to know about NPS Tax exemption u/s 80CCD(1),</a:t>
          </a:r>
          <a:r>
            <a:rPr lang="en-US" sz="1100" baseline="0"/>
            <a:t> 80CCD(2) &amp; 80CCD(1B)</a:t>
          </a:r>
          <a:endParaRPr lang="en-US" sz="1100" b="1"/>
        </a:p>
      </xdr:txBody>
    </xdr:sp>
    <xdr:clientData/>
  </xdr:twoCellAnchor>
  <xdr:twoCellAnchor>
    <xdr:from>
      <xdr:col>5</xdr:col>
      <xdr:colOff>323850</xdr:colOff>
      <xdr:row>56</xdr:row>
      <xdr:rowOff>66675</xdr:rowOff>
    </xdr:from>
    <xdr:to>
      <xdr:col>10</xdr:col>
      <xdr:colOff>438150</xdr:colOff>
      <xdr:row>58</xdr:row>
      <xdr:rowOff>180975</xdr:rowOff>
    </xdr:to>
    <xdr:sp macro="" textlink="">
      <xdr:nvSpPr>
        <xdr:cNvPr id="14" name="Rectangular Callout 1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BA281AF-B797-4F8B-AFFF-A8BBC02538AD}"/>
            </a:ext>
          </a:extLst>
        </xdr:cNvPr>
        <xdr:cNvSpPr/>
      </xdr:nvSpPr>
      <xdr:spPr bwMode="auto">
        <a:xfrm>
          <a:off x="9044517" y="10404475"/>
          <a:ext cx="2772833" cy="478367"/>
        </a:xfrm>
        <a:prstGeom prst="wedgeRectCallout">
          <a:avLst>
            <a:gd name="adj1" fmla="val -61910"/>
            <a:gd name="adj2" fmla="val 103349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80EEA – New Tax Exemption on Home Loan for Purchase of Affordable House</a:t>
          </a:r>
          <a:endParaRPr lang="en-US" sz="1100" b="1"/>
        </a:p>
      </xdr:txBody>
    </xdr:sp>
    <xdr:clientData/>
  </xdr:twoCellAnchor>
  <xdr:twoCellAnchor>
    <xdr:from>
      <xdr:col>5</xdr:col>
      <xdr:colOff>333375</xdr:colOff>
      <xdr:row>59</xdr:row>
      <xdr:rowOff>114300</xdr:rowOff>
    </xdr:from>
    <xdr:to>
      <xdr:col>10</xdr:col>
      <xdr:colOff>447675</xdr:colOff>
      <xdr:row>61</xdr:row>
      <xdr:rowOff>190500</xdr:rowOff>
    </xdr:to>
    <xdr:sp macro="" textlink="">
      <xdr:nvSpPr>
        <xdr:cNvPr id="15" name="Rectangular Callout 1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C322130-AD04-4D14-B1C8-71D3895581DD}"/>
            </a:ext>
          </a:extLst>
        </xdr:cNvPr>
        <xdr:cNvSpPr/>
      </xdr:nvSpPr>
      <xdr:spPr bwMode="auto">
        <a:xfrm>
          <a:off x="9054042" y="11002433"/>
          <a:ext cx="2772833" cy="457200"/>
        </a:xfrm>
        <a:prstGeom prst="wedgeRectCallout">
          <a:avLst>
            <a:gd name="adj1" fmla="val -63386"/>
            <a:gd name="adj2" fmla="val 36041"/>
          </a:avLst>
        </a:prstGeom>
        <a:ln>
          <a:headEnd type="none" w="med" len="med"/>
          <a:tailEnd type="none" w="med" len="med"/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en-US" sz="1100"/>
            <a:t>80EEB – New Tax Exemption on Auto Loan for Purchase of Electric Vehicles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come_Tax_calculator_FY_2019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clculator"/>
      <sheetName val="Recommended Books"/>
    </sheetNames>
    <sheetDataSet>
      <sheetData sheetId="0">
        <row r="63">
          <cell r="E63">
            <v>281913</v>
          </cell>
        </row>
        <row r="103">
          <cell r="AC103">
            <v>1595.65</v>
          </cell>
        </row>
        <row r="110">
          <cell r="AC110">
            <v>0</v>
          </cell>
        </row>
        <row r="116">
          <cell r="AC11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8926-95D8-409E-B799-597D4BFC08F4}">
  <dimension ref="A1:AO116"/>
  <sheetViews>
    <sheetView tabSelected="1" workbookViewId="0">
      <selection activeCell="K5" sqref="K5"/>
    </sheetView>
  </sheetViews>
  <sheetFormatPr defaultColWidth="9.1171875" defaultRowHeight="14.35" x14ac:dyDescent="0.5"/>
  <cols>
    <col min="1" max="1" width="1.1171875" style="1" bestFit="1" customWidth="1"/>
    <col min="2" max="2" width="85.87890625" style="6" customWidth="1"/>
    <col min="3" max="3" width="11.29296875" style="6" bestFit="1" customWidth="1"/>
    <col min="4" max="4" width="10" style="6" customWidth="1"/>
    <col min="5" max="5" width="12.87890625" style="6" bestFit="1" customWidth="1"/>
    <col min="6" max="6" width="6.703125" style="1" bestFit="1" customWidth="1"/>
    <col min="7" max="7" width="10.1171875" style="1" bestFit="1" customWidth="1"/>
    <col min="8" max="10" width="6.703125" style="1" bestFit="1" customWidth="1"/>
    <col min="11" max="11" width="9.29296875" style="1" bestFit="1" customWidth="1"/>
    <col min="12" max="12" width="2.1171875" style="1" customWidth="1"/>
    <col min="13" max="13" width="72.703125" style="1" bestFit="1" customWidth="1"/>
    <col min="14" max="25" width="6.703125" style="1" bestFit="1" customWidth="1"/>
    <col min="26" max="26" width="6.703125" style="6" bestFit="1" customWidth="1"/>
    <col min="27" max="27" width="6.703125" style="6" hidden="1" customWidth="1"/>
    <col min="28" max="28" width="28.703125" style="6" hidden="1" customWidth="1"/>
    <col min="29" max="29" width="9.703125" style="6" hidden="1" customWidth="1"/>
    <col min="30" max="30" width="10" style="6" hidden="1" customWidth="1"/>
    <col min="31" max="31" width="11.87890625" style="6" hidden="1" customWidth="1"/>
    <col min="32" max="32" width="11.703125" style="6" hidden="1" customWidth="1"/>
    <col min="33" max="33" width="11.87890625" style="6" hidden="1" customWidth="1"/>
    <col min="34" max="35" width="11" style="6" hidden="1" customWidth="1"/>
    <col min="36" max="57" width="0" style="6" hidden="1" customWidth="1"/>
    <col min="58" max="16384" width="9.1171875" style="6"/>
  </cols>
  <sheetData>
    <row r="1" spans="1:41" s="3" customFormat="1" ht="23.25" customHeight="1" thickBot="1" x14ac:dyDescent="0.55000000000000004">
      <c r="A1" s="1"/>
      <c r="B1" s="2" t="s">
        <v>0</v>
      </c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41" s="3" customFormat="1" ht="23.25" customHeight="1" thickBot="1" x14ac:dyDescent="0.55000000000000004">
      <c r="A2" s="1"/>
      <c r="B2" s="4"/>
      <c r="C2" s="4"/>
      <c r="D2" s="4"/>
      <c r="E2" s="4"/>
      <c r="F2" s="5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41" x14ac:dyDescent="0.5">
      <c r="B3" s="7" t="s">
        <v>1</v>
      </c>
      <c r="C3" s="8" t="s">
        <v>2</v>
      </c>
      <c r="D3" s="9"/>
      <c r="E3" s="10"/>
    </row>
    <row r="4" spans="1:41" x14ac:dyDescent="0.5">
      <c r="B4" s="11" t="s">
        <v>3</v>
      </c>
      <c r="C4" s="12" t="s">
        <v>4</v>
      </c>
      <c r="D4" s="13"/>
      <c r="E4" s="14"/>
    </row>
    <row r="5" spans="1:41" x14ac:dyDescent="0.5">
      <c r="B5" s="15"/>
      <c r="C5" s="16"/>
      <c r="D5" s="17"/>
      <c r="E5" s="18"/>
    </row>
    <row r="6" spans="1:41" ht="21.35" x14ac:dyDescent="0.95">
      <c r="B6" s="15"/>
      <c r="C6" s="19" t="s">
        <v>5</v>
      </c>
      <c r="D6" s="20">
        <v>30956</v>
      </c>
      <c r="E6" s="18"/>
      <c r="G6" s="21">
        <v>43921</v>
      </c>
      <c r="K6" s="21"/>
      <c r="R6" s="22"/>
    </row>
    <row r="7" spans="1:41" ht="14.7" thickBot="1" x14ac:dyDescent="0.55000000000000004">
      <c r="B7" s="15"/>
      <c r="C7" s="23" t="s">
        <v>6</v>
      </c>
      <c r="D7" s="24">
        <f>DATEDIF(D6,G6,"Y")</f>
        <v>35</v>
      </c>
      <c r="E7" s="18"/>
    </row>
    <row r="8" spans="1:41" ht="15" thickTop="1" thickBot="1" x14ac:dyDescent="0.55000000000000004">
      <c r="B8" s="25" t="s">
        <v>7</v>
      </c>
      <c r="C8" s="26">
        <v>1250000</v>
      </c>
      <c r="D8" s="27"/>
      <c r="E8" s="28">
        <f>C8</f>
        <v>1250000</v>
      </c>
      <c r="AO8" s="1" t="s">
        <v>8</v>
      </c>
    </row>
    <row r="9" spans="1:41" ht="15" thickTop="1" thickBot="1" x14ac:dyDescent="0.55000000000000004">
      <c r="B9" s="25" t="s">
        <v>9</v>
      </c>
      <c r="C9" s="27"/>
      <c r="D9" s="27"/>
      <c r="E9" s="28">
        <f>-SUM(D10,D15,D16,D17)</f>
        <v>-200000</v>
      </c>
      <c r="AO9" s="1" t="s">
        <v>10</v>
      </c>
    </row>
    <row r="10" spans="1:41" ht="14.7" thickTop="1" x14ac:dyDescent="0.5">
      <c r="B10" s="29" t="s">
        <v>11</v>
      </c>
      <c r="C10" s="27"/>
      <c r="D10" s="30">
        <f>MAX(MIN(D12:D14),0)</f>
        <v>150000</v>
      </c>
      <c r="E10" s="31"/>
    </row>
    <row r="11" spans="1:41" x14ac:dyDescent="0.5">
      <c r="B11" s="32" t="s">
        <v>12</v>
      </c>
      <c r="C11" s="33" t="s">
        <v>8</v>
      </c>
      <c r="D11" s="27"/>
      <c r="E11" s="31"/>
    </row>
    <row r="12" spans="1:41" x14ac:dyDescent="0.5">
      <c r="B12" s="32" t="s">
        <v>13</v>
      </c>
      <c r="C12" s="34">
        <v>300000</v>
      </c>
      <c r="D12" s="30">
        <f>IF(UPPER(C11)=AO8,C12*0.5,C12*0.4)</f>
        <v>150000</v>
      </c>
      <c r="E12" s="31"/>
    </row>
    <row r="13" spans="1:41" x14ac:dyDescent="0.5">
      <c r="B13" s="32" t="s">
        <v>14</v>
      </c>
      <c r="C13" s="34">
        <f>25000*12</f>
        <v>300000</v>
      </c>
      <c r="D13" s="30">
        <f>C13-0.1*C12</f>
        <v>270000</v>
      </c>
      <c r="E13" s="31"/>
    </row>
    <row r="14" spans="1:41" x14ac:dyDescent="0.5">
      <c r="B14" s="32" t="s">
        <v>15</v>
      </c>
      <c r="C14" s="34">
        <f>C12/2</f>
        <v>150000</v>
      </c>
      <c r="D14" s="30">
        <f>C14</f>
        <v>150000</v>
      </c>
      <c r="E14" s="31"/>
    </row>
    <row r="15" spans="1:41" x14ac:dyDescent="0.5">
      <c r="B15" s="29" t="s">
        <v>16</v>
      </c>
      <c r="C15" s="35">
        <v>50000</v>
      </c>
      <c r="D15" s="30">
        <f>MAX(MIN(C15,50000),0)</f>
        <v>50000</v>
      </c>
      <c r="E15" s="31"/>
    </row>
    <row r="16" spans="1:41" x14ac:dyDescent="0.5">
      <c r="B16" s="29" t="s">
        <v>17</v>
      </c>
      <c r="C16" s="35">
        <v>0</v>
      </c>
      <c r="D16" s="30">
        <f>C16</f>
        <v>0</v>
      </c>
      <c r="E16" s="31"/>
    </row>
    <row r="17" spans="2:13" ht="14.7" thickBot="1" x14ac:dyDescent="0.55000000000000004">
      <c r="B17" s="29" t="s">
        <v>18</v>
      </c>
      <c r="C17" s="35">
        <v>0</v>
      </c>
      <c r="D17" s="30">
        <f>C17</f>
        <v>0</v>
      </c>
      <c r="E17" s="31"/>
    </row>
    <row r="18" spans="2:13" ht="15" thickTop="1" thickBot="1" x14ac:dyDescent="0.55000000000000004">
      <c r="B18" s="25" t="s">
        <v>19</v>
      </c>
      <c r="C18" s="27"/>
      <c r="D18" s="27"/>
      <c r="E18" s="28">
        <f>SUM(E8:E9)</f>
        <v>1050000</v>
      </c>
    </row>
    <row r="19" spans="2:13" ht="15" thickTop="1" thickBot="1" x14ac:dyDescent="0.55000000000000004">
      <c r="B19" s="25" t="s">
        <v>20</v>
      </c>
      <c r="C19" s="27"/>
      <c r="D19" s="30">
        <f>SUM(C21:C26)</f>
        <v>0</v>
      </c>
      <c r="E19" s="28">
        <f>D19</f>
        <v>0</v>
      </c>
    </row>
    <row r="20" spans="2:13" ht="14.7" thickTop="1" x14ac:dyDescent="0.5">
      <c r="B20" s="29" t="s">
        <v>21</v>
      </c>
      <c r="C20" s="27"/>
      <c r="D20" s="27"/>
      <c r="E20" s="31"/>
    </row>
    <row r="21" spans="2:13" x14ac:dyDescent="0.5">
      <c r="B21" s="32" t="s">
        <v>22</v>
      </c>
      <c r="C21" s="35">
        <v>0</v>
      </c>
      <c r="D21" s="27"/>
      <c r="E21" s="31"/>
    </row>
    <row r="22" spans="2:13" x14ac:dyDescent="0.5">
      <c r="B22" s="32" t="s">
        <v>23</v>
      </c>
      <c r="C22" s="35">
        <v>0</v>
      </c>
      <c r="D22" s="27"/>
      <c r="E22" s="31"/>
    </row>
    <row r="23" spans="2:13" x14ac:dyDescent="0.5">
      <c r="B23" s="32" t="s">
        <v>24</v>
      </c>
      <c r="C23" s="35">
        <v>0</v>
      </c>
      <c r="D23" s="27"/>
      <c r="E23" s="31"/>
      <c r="M23"/>
    </row>
    <row r="24" spans="2:13" x14ac:dyDescent="0.5">
      <c r="B24" s="32" t="s">
        <v>25</v>
      </c>
      <c r="C24" s="35">
        <v>0</v>
      </c>
      <c r="D24" s="27"/>
      <c r="E24" s="31"/>
    </row>
    <row r="25" spans="2:13" x14ac:dyDescent="0.5">
      <c r="B25" s="29" t="s">
        <v>26</v>
      </c>
      <c r="C25" s="35">
        <v>0</v>
      </c>
      <c r="D25" s="27"/>
      <c r="E25" s="31"/>
    </row>
    <row r="26" spans="2:13" ht="14.7" thickBot="1" x14ac:dyDescent="0.55000000000000004">
      <c r="B26" s="29" t="s">
        <v>27</v>
      </c>
      <c r="C26" s="35">
        <v>0</v>
      </c>
      <c r="D26" s="27"/>
      <c r="E26" s="31"/>
    </row>
    <row r="27" spans="2:13" ht="15" thickTop="1" thickBot="1" x14ac:dyDescent="0.55000000000000004">
      <c r="B27" s="25" t="s">
        <v>28</v>
      </c>
      <c r="C27" s="27"/>
      <c r="D27" s="27"/>
      <c r="E27" s="28">
        <f>SUM(D28:D30)</f>
        <v>-135836</v>
      </c>
    </row>
    <row r="28" spans="2:13" ht="14.7" thickTop="1" x14ac:dyDescent="0.5">
      <c r="B28" s="36" t="s">
        <v>29</v>
      </c>
      <c r="C28" s="35">
        <v>135836</v>
      </c>
      <c r="D28" s="30">
        <f>-IF(C28&gt;200000,200000,C28)</f>
        <v>-135836</v>
      </c>
      <c r="E28" s="31"/>
    </row>
    <row r="29" spans="2:13" x14ac:dyDescent="0.5">
      <c r="B29" s="37" t="s">
        <v>30</v>
      </c>
      <c r="C29" s="35">
        <v>0</v>
      </c>
      <c r="D29" s="30">
        <f>-IF(C29&gt;50000,50000,C29)</f>
        <v>0</v>
      </c>
      <c r="E29" s="31"/>
    </row>
    <row r="30" spans="2:13" x14ac:dyDescent="0.5">
      <c r="B30" s="36" t="s">
        <v>31</v>
      </c>
      <c r="C30" s="35">
        <v>0</v>
      </c>
      <c r="D30" s="30">
        <f>-IF(C30&gt;30000,30000,C30)</f>
        <v>0</v>
      </c>
      <c r="E30" s="31"/>
    </row>
    <row r="31" spans="2:13" ht="14.7" thickBot="1" x14ac:dyDescent="0.55000000000000004">
      <c r="B31" s="25" t="s">
        <v>32</v>
      </c>
      <c r="C31" s="27"/>
      <c r="D31" s="27"/>
      <c r="E31" s="38">
        <f>SUM(E27,E18,E19)</f>
        <v>914164</v>
      </c>
    </row>
    <row r="32" spans="2:13" ht="15" thickTop="1" thickBot="1" x14ac:dyDescent="0.55000000000000004">
      <c r="B32" s="25" t="s">
        <v>33</v>
      </c>
      <c r="C32" s="27"/>
      <c r="D32" s="30">
        <f>IF(SUM(C33:C47)&gt;150001,150000,SUM(C33:C47))</f>
        <v>150000</v>
      </c>
      <c r="E32" s="28">
        <f>-D32</f>
        <v>-150000</v>
      </c>
    </row>
    <row r="33" spans="2:5" ht="14.7" thickTop="1" x14ac:dyDescent="0.5">
      <c r="B33" s="32" t="s">
        <v>34</v>
      </c>
      <c r="C33" s="34">
        <v>72080</v>
      </c>
      <c r="D33" s="27"/>
      <c r="E33" s="31"/>
    </row>
    <row r="34" spans="2:5" x14ac:dyDescent="0.5">
      <c r="B34" s="32" t="s">
        <v>35</v>
      </c>
      <c r="C34" s="34">
        <v>0</v>
      </c>
      <c r="D34" s="27"/>
      <c r="E34" s="31"/>
    </row>
    <row r="35" spans="2:5" x14ac:dyDescent="0.5">
      <c r="B35" s="32" t="s">
        <v>36</v>
      </c>
      <c r="C35" s="34">
        <v>0</v>
      </c>
      <c r="D35" s="27"/>
      <c r="E35" s="31"/>
    </row>
    <row r="36" spans="2:5" x14ac:dyDescent="0.5">
      <c r="B36" s="32" t="s">
        <v>37</v>
      </c>
      <c r="C36" s="34">
        <v>0</v>
      </c>
      <c r="D36" s="27"/>
      <c r="E36" s="31"/>
    </row>
    <row r="37" spans="2:5" x14ac:dyDescent="0.5">
      <c r="B37" s="32" t="s">
        <v>38</v>
      </c>
      <c r="C37" s="34">
        <v>61336</v>
      </c>
      <c r="D37" s="27"/>
      <c r="E37" s="31"/>
    </row>
    <row r="38" spans="2:5" x14ac:dyDescent="0.5">
      <c r="B38" s="32" t="s">
        <v>39</v>
      </c>
      <c r="C38" s="34">
        <v>0</v>
      </c>
      <c r="D38" s="27"/>
      <c r="E38" s="31"/>
    </row>
    <row r="39" spans="2:5" x14ac:dyDescent="0.5">
      <c r="B39" s="32" t="s">
        <v>40</v>
      </c>
      <c r="C39" s="34">
        <v>0</v>
      </c>
      <c r="D39" s="27"/>
      <c r="E39" s="31"/>
    </row>
    <row r="40" spans="2:5" x14ac:dyDescent="0.5">
      <c r="B40" s="32" t="s">
        <v>41</v>
      </c>
      <c r="C40" s="34">
        <v>100000</v>
      </c>
      <c r="D40" s="27"/>
      <c r="E40" s="31"/>
    </row>
    <row r="41" spans="2:5" x14ac:dyDescent="0.5">
      <c r="B41" s="32" t="s">
        <v>42</v>
      </c>
      <c r="C41" s="34">
        <v>0</v>
      </c>
      <c r="D41" s="27"/>
      <c r="E41" s="31"/>
    </row>
    <row r="42" spans="2:5" x14ac:dyDescent="0.5">
      <c r="B42" s="32" t="s">
        <v>43</v>
      </c>
      <c r="C42" s="34">
        <v>0</v>
      </c>
      <c r="D42" s="27"/>
      <c r="E42" s="31"/>
    </row>
    <row r="43" spans="2:5" x14ac:dyDescent="0.5">
      <c r="B43" s="32" t="s">
        <v>44</v>
      </c>
      <c r="C43" s="34">
        <v>0</v>
      </c>
      <c r="D43" s="27"/>
      <c r="E43" s="31"/>
    </row>
    <row r="44" spans="2:5" x14ac:dyDescent="0.5">
      <c r="B44" s="39" t="s">
        <v>45</v>
      </c>
      <c r="C44" s="34">
        <v>0</v>
      </c>
      <c r="D44" s="27"/>
      <c r="E44" s="31"/>
    </row>
    <row r="45" spans="2:5" x14ac:dyDescent="0.5">
      <c r="B45" s="39" t="s">
        <v>46</v>
      </c>
      <c r="C45" s="34"/>
      <c r="D45" s="27"/>
      <c r="E45" s="31"/>
    </row>
    <row r="46" spans="2:5" x14ac:dyDescent="0.5">
      <c r="B46" s="39" t="s">
        <v>47</v>
      </c>
      <c r="C46" s="35">
        <v>0</v>
      </c>
      <c r="D46" s="27"/>
      <c r="E46" s="31"/>
    </row>
    <row r="47" spans="2:5" ht="14.7" thickBot="1" x14ac:dyDescent="0.55000000000000004">
      <c r="B47" s="32" t="s">
        <v>48</v>
      </c>
      <c r="C47" s="35">
        <v>0</v>
      </c>
      <c r="D47" s="27"/>
      <c r="E47" s="31"/>
    </row>
    <row r="48" spans="2:5" ht="15" thickTop="1" thickBot="1" x14ac:dyDescent="0.55000000000000004">
      <c r="B48" s="25" t="s">
        <v>49</v>
      </c>
      <c r="C48" s="35">
        <v>50000</v>
      </c>
      <c r="D48" s="27"/>
      <c r="E48" s="28">
        <f>-MIN(C48,50000)</f>
        <v>-50000</v>
      </c>
    </row>
    <row r="49" spans="1:25" ht="15" hidden="1" thickTop="1" thickBot="1" x14ac:dyDescent="0.55000000000000004">
      <c r="B49" s="25" t="s">
        <v>50</v>
      </c>
      <c r="C49" s="35">
        <v>0</v>
      </c>
      <c r="D49" s="27"/>
      <c r="E49" s="28">
        <f>-MIN(C49,50000)/2</f>
        <v>0</v>
      </c>
    </row>
    <row r="50" spans="1:25" ht="15" thickTop="1" thickBot="1" x14ac:dyDescent="0.55000000000000004">
      <c r="B50" s="25" t="s">
        <v>51</v>
      </c>
      <c r="C50" s="40"/>
      <c r="E50" s="28">
        <f>-SUM(D51:D59)</f>
        <v>-32251</v>
      </c>
    </row>
    <row r="51" spans="1:25" ht="14.7" thickTop="1" x14ac:dyDescent="0.5">
      <c r="B51" s="32" t="s">
        <v>52</v>
      </c>
      <c r="C51" s="35">
        <v>0</v>
      </c>
      <c r="D51" s="30">
        <f>IF(C51&gt;50001,50000,C51)</f>
        <v>0</v>
      </c>
      <c r="E51" s="31"/>
    </row>
    <row r="52" spans="1:25" x14ac:dyDescent="0.5">
      <c r="B52" s="32" t="s">
        <v>53</v>
      </c>
      <c r="C52" s="34">
        <v>22251</v>
      </c>
      <c r="D52" s="30">
        <f>IF(C52&gt;50001,50000,C52)</f>
        <v>22251</v>
      </c>
      <c r="E52" s="31"/>
    </row>
    <row r="53" spans="1:25" x14ac:dyDescent="0.5">
      <c r="B53" s="32" t="s">
        <v>54</v>
      </c>
      <c r="C53" s="35">
        <v>0</v>
      </c>
      <c r="D53" s="30">
        <f>C53</f>
        <v>0</v>
      </c>
      <c r="E53" s="31"/>
    </row>
    <row r="54" spans="1:25" x14ac:dyDescent="0.5">
      <c r="B54" s="32" t="s">
        <v>55</v>
      </c>
      <c r="C54" s="35">
        <v>0</v>
      </c>
      <c r="D54" s="30">
        <f>IF(C54&gt;125001,125000,C54)</f>
        <v>0</v>
      </c>
      <c r="E54" s="31"/>
    </row>
    <row r="55" spans="1:25" x14ac:dyDescent="0.5">
      <c r="B55" s="32" t="s">
        <v>56</v>
      </c>
      <c r="C55" s="35">
        <v>0</v>
      </c>
      <c r="D55" s="30">
        <f>IF(C55&gt;100001,100000,C55)</f>
        <v>0</v>
      </c>
      <c r="E55" s="31"/>
    </row>
    <row r="56" spans="1:25" x14ac:dyDescent="0.5">
      <c r="B56" s="32" t="s">
        <v>57</v>
      </c>
      <c r="C56" s="35">
        <v>0</v>
      </c>
      <c r="D56" s="30">
        <f>C56</f>
        <v>0</v>
      </c>
      <c r="E56" s="31"/>
    </row>
    <row r="57" spans="1:25" x14ac:dyDescent="0.5">
      <c r="B57" s="41" t="s">
        <v>58</v>
      </c>
      <c r="C57" s="35">
        <v>0</v>
      </c>
      <c r="D57" s="30">
        <f>IF(C57&gt;60001,60000,C57)</f>
        <v>0</v>
      </c>
      <c r="E57" s="31"/>
    </row>
    <row r="58" spans="1:25" x14ac:dyDescent="0.5">
      <c r="B58" s="32" t="s">
        <v>59</v>
      </c>
      <c r="C58" s="35">
        <v>0</v>
      </c>
      <c r="D58" s="30">
        <f>IF(C58&gt;125001,125000,C58)</f>
        <v>0</v>
      </c>
      <c r="E58" s="31"/>
    </row>
    <row r="59" spans="1:25" ht="14.7" thickBot="1" x14ac:dyDescent="0.55000000000000004">
      <c r="B59" s="32" t="s">
        <v>60</v>
      </c>
      <c r="C59" s="34">
        <v>10000</v>
      </c>
      <c r="D59" s="30">
        <f>IF(C59&gt;50001,50000,C59)</f>
        <v>10000</v>
      </c>
      <c r="E59" s="31"/>
    </row>
    <row r="60" spans="1:25" ht="15" thickTop="1" thickBot="1" x14ac:dyDescent="0.55000000000000004">
      <c r="B60" s="29" t="s">
        <v>61</v>
      </c>
      <c r="C60" s="34">
        <v>100000</v>
      </c>
      <c r="D60" s="30">
        <f>C60</f>
        <v>100000</v>
      </c>
      <c r="E60" s="28">
        <f>-D60</f>
        <v>-100000</v>
      </c>
    </row>
    <row r="61" spans="1:25" ht="15" thickTop="1" thickBot="1" x14ac:dyDescent="0.55000000000000004">
      <c r="B61" s="42" t="s">
        <v>62</v>
      </c>
      <c r="C61" s="34">
        <v>150000</v>
      </c>
      <c r="D61" s="30">
        <f t="shared" ref="D61:D62" si="0">C61</f>
        <v>150000</v>
      </c>
      <c r="E61" s="28">
        <f>-MIN(D61,150000)</f>
        <v>-150000</v>
      </c>
    </row>
    <row r="62" spans="1:25" ht="15" thickTop="1" thickBot="1" x14ac:dyDescent="0.55000000000000004">
      <c r="B62" s="42" t="s">
        <v>63</v>
      </c>
      <c r="C62" s="34">
        <v>160000</v>
      </c>
      <c r="D62" s="30">
        <f t="shared" si="0"/>
        <v>160000</v>
      </c>
      <c r="E62" s="28">
        <f>-MIN(D62,150000)</f>
        <v>-150000</v>
      </c>
    </row>
    <row r="63" spans="1:25" ht="14.7" thickTop="1" x14ac:dyDescent="0.5">
      <c r="B63" s="25" t="s">
        <v>64</v>
      </c>
      <c r="C63" s="27"/>
      <c r="D63" s="27"/>
      <c r="E63" s="43">
        <f>SUM(E31,E32,E48,E49,E50,E60,E61,E62)</f>
        <v>281913</v>
      </c>
    </row>
    <row r="64" spans="1:25" x14ac:dyDescent="0.5">
      <c r="A64" s="6"/>
      <c r="B64" s="44" t="s">
        <v>65</v>
      </c>
      <c r="C64" s="27"/>
      <c r="D64" s="27"/>
      <c r="E64" s="43">
        <f>-IF(E63&lt;=500000,12500,0)</f>
        <v>-12500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8" x14ac:dyDescent="0.5">
      <c r="A65" s="6"/>
      <c r="B65" s="29" t="s">
        <v>66</v>
      </c>
      <c r="C65" s="27"/>
      <c r="D65" s="27"/>
      <c r="E65" s="43">
        <f>MAX(SUM(IF(D7&gt;80,'[1]tax clculator'!AC116,(IF(D7&gt;60,'[1]tax clculator'!AC110,'[1]tax clculator'!AC103))),E64),0)</f>
        <v>0</v>
      </c>
    </row>
    <row r="66" spans="1:28" x14ac:dyDescent="0.5">
      <c r="A66" s="6"/>
      <c r="B66" s="44" t="s">
        <v>67</v>
      </c>
      <c r="C66" s="27"/>
      <c r="D66" s="27"/>
      <c r="E66" s="43">
        <f>IF(E63&gt;=10000000,E65*15%,(IF(E63&gt;=5000000,E65*10%,0)))</f>
        <v>0</v>
      </c>
    </row>
    <row r="67" spans="1:28" ht="14.7" thickBot="1" x14ac:dyDescent="0.55000000000000004">
      <c r="A67" s="6"/>
      <c r="B67" s="29" t="s">
        <v>68</v>
      </c>
      <c r="C67" s="27"/>
      <c r="D67" s="27"/>
      <c r="E67" s="43">
        <f>0.04*SUM(E65,E66)</f>
        <v>0</v>
      </c>
    </row>
    <row r="68" spans="1:28" ht="18.7" thickTop="1" thickBot="1" x14ac:dyDescent="0.55000000000000004">
      <c r="A68" s="6"/>
      <c r="B68" s="45" t="s">
        <v>69</v>
      </c>
      <c r="C68" s="46"/>
      <c r="D68" s="46"/>
      <c r="E68" s="47">
        <f>SUM(E65:E67)</f>
        <v>0</v>
      </c>
    </row>
    <row r="69" spans="1:28" ht="18.7" thickTop="1" thickBot="1" x14ac:dyDescent="0.55000000000000004">
      <c r="A69" s="6"/>
      <c r="B69" s="48" t="s">
        <v>70</v>
      </c>
      <c r="C69" s="49"/>
      <c r="D69" s="49"/>
      <c r="E69" s="50">
        <v>0</v>
      </c>
    </row>
    <row r="70" spans="1:28" ht="18.7" thickTop="1" thickBot="1" x14ac:dyDescent="0.55000000000000004">
      <c r="A70" s="6"/>
      <c r="B70" s="48" t="s">
        <v>71</v>
      </c>
      <c r="C70" s="49"/>
      <c r="D70" s="49"/>
      <c r="E70" s="51">
        <f>E68-E69</f>
        <v>0</v>
      </c>
    </row>
    <row r="71" spans="1:28" ht="16.350000000000001" thickTop="1" thickBot="1" x14ac:dyDescent="0.55000000000000004">
      <c r="A71" s="6"/>
      <c r="B71" s="52" t="s">
        <v>72</v>
      </c>
      <c r="C71" s="53"/>
      <c r="D71" s="53"/>
      <c r="E71" s="54">
        <f>E68/(E8+E19)</f>
        <v>0</v>
      </c>
    </row>
    <row r="72" spans="1:28" x14ac:dyDescent="0.5">
      <c r="E72" s="55"/>
    </row>
    <row r="73" spans="1:28" x14ac:dyDescent="0.5">
      <c r="A73" s="6"/>
      <c r="AB73" s="56"/>
    </row>
    <row r="74" spans="1:28" x14ac:dyDescent="0.5">
      <c r="A74" s="6"/>
      <c r="AB74" s="56"/>
    </row>
    <row r="75" spans="1:28" x14ac:dyDescent="0.5">
      <c r="A75" s="6"/>
      <c r="AB75" s="56"/>
    </row>
    <row r="76" spans="1:28" x14ac:dyDescent="0.5">
      <c r="A76" s="6"/>
      <c r="AB76" s="56"/>
    </row>
    <row r="96" spans="28:33" x14ac:dyDescent="0.5">
      <c r="AB96" s="57" t="s">
        <v>73</v>
      </c>
      <c r="AC96" s="58" t="s">
        <v>74</v>
      </c>
      <c r="AD96" s="58" t="s">
        <v>75</v>
      </c>
      <c r="AE96" s="58" t="s">
        <v>76</v>
      </c>
      <c r="AF96" s="58" t="s">
        <v>77</v>
      </c>
      <c r="AG96" s="58" t="s">
        <v>78</v>
      </c>
    </row>
    <row r="97" spans="28:33" x14ac:dyDescent="0.5">
      <c r="AB97" s="57"/>
      <c r="AC97" s="58"/>
      <c r="AD97" s="58"/>
      <c r="AE97" s="58"/>
      <c r="AF97" s="58"/>
      <c r="AG97" s="58"/>
    </row>
    <row r="98" spans="28:33" x14ac:dyDescent="0.5">
      <c r="AB98" s="57"/>
      <c r="AC98" s="58"/>
      <c r="AD98" s="58"/>
      <c r="AE98" s="58"/>
      <c r="AF98" s="58"/>
      <c r="AG98" s="58"/>
    </row>
    <row r="99" spans="28:33" x14ac:dyDescent="0.5">
      <c r="AB99" s="57" t="s">
        <v>79</v>
      </c>
      <c r="AC99" s="59">
        <f>AG99*AF99</f>
        <v>0</v>
      </c>
      <c r="AD99" s="59">
        <v>250000</v>
      </c>
      <c r="AE99" s="59"/>
      <c r="AF99" s="60">
        <f>AD99</f>
        <v>250000</v>
      </c>
      <c r="AG99" s="56">
        <v>0</v>
      </c>
    </row>
    <row r="100" spans="28:33" x14ac:dyDescent="0.5">
      <c r="AB100" s="57" t="s">
        <v>80</v>
      </c>
      <c r="AC100" s="59">
        <f>MAX(0,MIN(AG100*AF100,AG100*AE100))</f>
        <v>1595.65</v>
      </c>
      <c r="AD100" s="59">
        <v>500000</v>
      </c>
      <c r="AE100" s="59">
        <f>AD100-AD99</f>
        <v>250000</v>
      </c>
      <c r="AF100" s="60">
        <f>E63-AF99</f>
        <v>31913</v>
      </c>
      <c r="AG100" s="56">
        <v>0.05</v>
      </c>
    </row>
    <row r="101" spans="28:33" x14ac:dyDescent="0.5">
      <c r="AB101" s="57" t="s">
        <v>81</v>
      </c>
      <c r="AC101" s="59">
        <f>MAX(0,MIN(AG101*AF101,AG101*AE101))</f>
        <v>0</v>
      </c>
      <c r="AD101" s="59">
        <v>1000000</v>
      </c>
      <c r="AE101" s="59">
        <f>AD101-AD100</f>
        <v>500000</v>
      </c>
      <c r="AF101" s="59">
        <f>AF100-AE100</f>
        <v>-218087</v>
      </c>
      <c r="AG101" s="56">
        <v>0.2</v>
      </c>
    </row>
    <row r="102" spans="28:33" x14ac:dyDescent="0.5">
      <c r="AB102" s="57" t="s">
        <v>82</v>
      </c>
      <c r="AC102" s="59">
        <f>MAX(0,MIN(AG102*AF102,AG102*AE102))</f>
        <v>0</v>
      </c>
      <c r="AD102" s="59"/>
      <c r="AE102" s="61">
        <f>'[1]tax clculator'!E63-AD101</f>
        <v>-718087</v>
      </c>
      <c r="AF102" s="62">
        <f>AF101-AE101</f>
        <v>-718087</v>
      </c>
      <c r="AG102" s="56">
        <v>0.30000000000000004</v>
      </c>
    </row>
    <row r="103" spans="28:33" x14ac:dyDescent="0.5">
      <c r="AB103" s="57" t="s">
        <v>83</v>
      </c>
      <c r="AC103" s="63">
        <f>SUM(AC99:AC102)</f>
        <v>1595.65</v>
      </c>
      <c r="AD103" s="59"/>
      <c r="AE103" s="59"/>
      <c r="AF103" s="59"/>
      <c r="AG103" s="56"/>
    </row>
    <row r="105" spans="28:33" x14ac:dyDescent="0.5">
      <c r="AB105" s="57" t="s">
        <v>84</v>
      </c>
      <c r="AC105" s="58" t="s">
        <v>74</v>
      </c>
      <c r="AD105" s="58" t="s">
        <v>75</v>
      </c>
      <c r="AE105" s="58" t="s">
        <v>76</v>
      </c>
      <c r="AF105" s="58" t="s">
        <v>77</v>
      </c>
      <c r="AG105" s="58" t="s">
        <v>78</v>
      </c>
    </row>
    <row r="106" spans="28:33" x14ac:dyDescent="0.5">
      <c r="AB106" s="57" t="s">
        <v>85</v>
      </c>
      <c r="AC106" s="59">
        <f>AG106*AF106</f>
        <v>0</v>
      </c>
      <c r="AD106" s="59">
        <v>300000</v>
      </c>
      <c r="AE106" s="59"/>
      <c r="AF106" s="59">
        <f>AD106</f>
        <v>300000</v>
      </c>
      <c r="AG106" s="56">
        <v>0</v>
      </c>
    </row>
    <row r="107" spans="28:33" x14ac:dyDescent="0.5">
      <c r="AB107" s="57" t="s">
        <v>86</v>
      </c>
      <c r="AC107" s="59">
        <f>MAX(0,MIN(AG107*AF107,AG107*AE107))</f>
        <v>0</v>
      </c>
      <c r="AD107" s="59">
        <v>500000</v>
      </c>
      <c r="AE107" s="59">
        <f>AD107-AD106</f>
        <v>200000</v>
      </c>
      <c r="AF107" s="61">
        <f>'[1]tax clculator'!E63-AF106</f>
        <v>-18087</v>
      </c>
      <c r="AG107" s="56">
        <v>0.05</v>
      </c>
    </row>
    <row r="108" spans="28:33" x14ac:dyDescent="0.5">
      <c r="AB108" s="57" t="s">
        <v>81</v>
      </c>
      <c r="AC108" s="59">
        <f>MAX(0,MIN(AG108*AF108,AG108*AE108))</f>
        <v>0</v>
      </c>
      <c r="AD108" s="59">
        <v>1000000</v>
      </c>
      <c r="AE108" s="59">
        <f>AD108-AD107</f>
        <v>500000</v>
      </c>
      <c r="AF108" s="59">
        <f>AF107-AE107</f>
        <v>-218087</v>
      </c>
      <c r="AG108" s="56">
        <v>0.2</v>
      </c>
    </row>
    <row r="109" spans="28:33" x14ac:dyDescent="0.5">
      <c r="AB109" s="57" t="s">
        <v>82</v>
      </c>
      <c r="AC109" s="59">
        <f>MAX(0,MIN(AG109*AF109,AG109*AE109))</f>
        <v>0</v>
      </c>
      <c r="AD109" s="59"/>
      <c r="AE109" s="61">
        <f>'[1]tax clculator'!E63-AD108</f>
        <v>-718087</v>
      </c>
      <c r="AF109" s="59">
        <f>AF108-AE108</f>
        <v>-718087</v>
      </c>
      <c r="AG109" s="56">
        <v>0.30000000000000004</v>
      </c>
    </row>
    <row r="110" spans="28:33" x14ac:dyDescent="0.5">
      <c r="AB110" s="57" t="s">
        <v>83</v>
      </c>
      <c r="AC110" s="63">
        <f>SUM(AC106:AC109)</f>
        <v>0</v>
      </c>
      <c r="AD110" s="59"/>
      <c r="AE110" s="59"/>
      <c r="AF110" s="59"/>
      <c r="AG110" s="56"/>
    </row>
    <row r="112" spans="28:33" x14ac:dyDescent="0.5">
      <c r="AB112" s="57" t="s">
        <v>87</v>
      </c>
      <c r="AC112" s="58" t="s">
        <v>74</v>
      </c>
      <c r="AD112" s="58" t="s">
        <v>75</v>
      </c>
      <c r="AE112" s="58" t="s">
        <v>76</v>
      </c>
      <c r="AF112" s="58" t="s">
        <v>77</v>
      </c>
      <c r="AG112" s="58" t="s">
        <v>78</v>
      </c>
    </row>
    <row r="113" spans="28:33" x14ac:dyDescent="0.5">
      <c r="AB113" s="57" t="s">
        <v>88</v>
      </c>
      <c r="AC113" s="59">
        <f>AG113*AF113</f>
        <v>0</v>
      </c>
      <c r="AD113" s="59">
        <v>500000</v>
      </c>
      <c r="AE113" s="59"/>
      <c r="AF113" s="59">
        <f>AD113</f>
        <v>500000</v>
      </c>
      <c r="AG113" s="56">
        <v>0</v>
      </c>
    </row>
    <row r="114" spans="28:33" x14ac:dyDescent="0.5">
      <c r="AB114" s="57" t="s">
        <v>81</v>
      </c>
      <c r="AC114" s="59">
        <f>MAX(0,MIN(AG114*AF114,AG114*AE114))</f>
        <v>0</v>
      </c>
      <c r="AD114" s="59">
        <v>1000000</v>
      </c>
      <c r="AE114" s="59">
        <f>AD114-AD113</f>
        <v>500000</v>
      </c>
      <c r="AF114" s="61">
        <f>'[1]tax clculator'!E63-AF113</f>
        <v>-218087</v>
      </c>
      <c r="AG114" s="56">
        <v>0.2</v>
      </c>
    </row>
    <row r="115" spans="28:33" x14ac:dyDescent="0.5">
      <c r="AB115" s="57" t="s">
        <v>89</v>
      </c>
      <c r="AC115" s="59">
        <f>MAX(0,MIN(AG115*AF115,AG115*AE115))</f>
        <v>0</v>
      </c>
      <c r="AD115" s="59"/>
      <c r="AE115" s="59">
        <f>AD115-AD114</f>
        <v>-1000000</v>
      </c>
      <c r="AF115" s="59">
        <f>AF114-AE114</f>
        <v>-718087</v>
      </c>
      <c r="AG115" s="56">
        <v>0.3</v>
      </c>
    </row>
    <row r="116" spans="28:33" x14ac:dyDescent="0.5">
      <c r="AB116" s="57" t="s">
        <v>83</v>
      </c>
      <c r="AC116" s="63">
        <f>SUM(AC113:AC115)</f>
        <v>0</v>
      </c>
      <c r="AD116" s="59"/>
      <c r="AE116" s="59"/>
      <c r="AF116" s="59"/>
      <c r="AG116" s="56"/>
    </row>
  </sheetData>
  <mergeCells count="4">
    <mergeCell ref="B1:E1"/>
    <mergeCell ref="B2:E2"/>
    <mergeCell ref="C3:E3"/>
    <mergeCell ref="C4:E4"/>
  </mergeCells>
  <dataValidations count="1">
    <dataValidation type="list" allowBlank="1" showInputMessage="1" showErrorMessage="1" sqref="C11" xr:uid="{D50D098C-FA53-4F78-AEA8-0B9EDB8BC062}">
      <formula1>$AO$8:$AO$9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 NATH</dc:creator>
  <cp:lastModifiedBy>SOPESH NATH</cp:lastModifiedBy>
  <dcterms:created xsi:type="dcterms:W3CDTF">2020-06-12T12:41:55Z</dcterms:created>
  <dcterms:modified xsi:type="dcterms:W3CDTF">2020-06-12T12:42:24Z</dcterms:modified>
</cp:coreProperties>
</file>