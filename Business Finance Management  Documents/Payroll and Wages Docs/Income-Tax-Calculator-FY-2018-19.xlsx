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Dropbox\IIHR BANGALORE\06. Statutory Compliance's\Income Tax\"/>
    </mc:Choice>
  </mc:AlternateContent>
  <xr:revisionPtr revIDLastSave="0" documentId="13_ncr:1_{2D4E5AE9-CFC7-4A36-8CD7-F3AC308B54F9}" xr6:coauthVersionLast="40" xr6:coauthVersionMax="40" xr10:uidLastSave="{00000000-0000-0000-0000-000000000000}"/>
  <bookViews>
    <workbookView xWindow="0" yWindow="0" windowWidth="20490" windowHeight="7530" activeTab="1" xr2:uid="{00000000-000D-0000-FFFF-FFFF00000000}"/>
  </bookViews>
  <sheets>
    <sheet name="CTC Break Up" sheetId="2" r:id="rId1"/>
    <sheet name="Income Ta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5" i="1" l="1"/>
  <c r="E9" i="2" l="1"/>
  <c r="E4" i="1" l="1"/>
  <c r="E12" i="1"/>
  <c r="E20" i="1" s="1"/>
  <c r="E8" i="2" l="1"/>
  <c r="D8" i="2"/>
  <c r="E10" i="2" l="1"/>
  <c r="E5" i="2"/>
  <c r="E6" i="2" s="1"/>
  <c r="E46" i="1" l="1"/>
  <c r="E45" i="1"/>
  <c r="E11" i="2" l="1"/>
  <c r="D11" i="2" s="1"/>
  <c r="D6" i="2"/>
  <c r="B15" i="2" l="1"/>
  <c r="B16" i="2" s="1"/>
  <c r="D5" i="2" l="1"/>
  <c r="E50" i="1" l="1"/>
  <c r="E51" i="1"/>
  <c r="E39" i="1"/>
  <c r="E14" i="2" l="1"/>
  <c r="E49" i="1"/>
  <c r="E48" i="1" l="1"/>
  <c r="E5" i="1"/>
  <c r="E11" i="1" s="1"/>
  <c r="E21" i="1" l="1"/>
  <c r="E31" i="1" l="1"/>
  <c r="E30" i="1"/>
  <c r="C26" i="1"/>
  <c r="E26" i="1" s="1"/>
  <c r="C27" i="1"/>
  <c r="E27" i="1" s="1"/>
  <c r="C28" i="1"/>
  <c r="E28" i="1" s="1"/>
  <c r="C25" i="1"/>
  <c r="E25" i="1" s="1"/>
  <c r="E29" i="1" l="1"/>
  <c r="E12" i="2" l="1"/>
  <c r="D7" i="2"/>
  <c r="E32" i="1" l="1"/>
  <c r="E33" i="1" s="1"/>
  <c r="D12" i="2"/>
  <c r="E34" i="1" l="1"/>
  <c r="E36" i="1" s="1"/>
  <c r="E40" i="1" s="1"/>
  <c r="E41" i="1" s="1"/>
  <c r="D15" i="2"/>
  <c r="E16" i="2"/>
  <c r="D18" i="2" l="1"/>
  <c r="D19" i="2" s="1"/>
  <c r="E15" i="2"/>
  <c r="E18" i="2" s="1"/>
  <c r="E19" i="2" s="1"/>
</calcChain>
</file>

<file path=xl/sharedStrings.xml><?xml version="1.0" encoding="utf-8"?>
<sst xmlns="http://schemas.openxmlformats.org/spreadsheetml/2006/main" count="170" uniqueCount="123">
  <si>
    <t>Particulars</t>
  </si>
  <si>
    <t>Details</t>
  </si>
  <si>
    <t>Type</t>
  </si>
  <si>
    <t>Amount in Rs.</t>
  </si>
  <si>
    <t>Income Tax Payee Type</t>
  </si>
  <si>
    <t>Male</t>
  </si>
  <si>
    <t>Salary, Bonus, Allowances, Other income etc</t>
  </si>
  <si>
    <t xml:space="preserve">Input </t>
  </si>
  <si>
    <t>Gross Income - Exemptions</t>
  </si>
  <si>
    <t>Output</t>
  </si>
  <si>
    <t>Taxable Income</t>
  </si>
  <si>
    <t>Tax payable on this income</t>
  </si>
  <si>
    <t>Tax Slab</t>
  </si>
  <si>
    <t xml:space="preserve">Slab Income </t>
  </si>
  <si>
    <t>Tax Rate</t>
  </si>
  <si>
    <t>Tax Amount</t>
  </si>
  <si>
    <t>10,00,000+</t>
  </si>
  <si>
    <t xml:space="preserve">Tax on Total Income </t>
  </si>
  <si>
    <t>Education Cess</t>
  </si>
  <si>
    <t>Monthly Income</t>
  </si>
  <si>
    <t>Monthly Tax (Appx TDS)</t>
  </si>
  <si>
    <t>Income Tax Ratio</t>
  </si>
  <si>
    <t>HRA Exemption Calculator</t>
  </si>
  <si>
    <t>City living in</t>
  </si>
  <si>
    <t>Metro</t>
  </si>
  <si>
    <t>Basic Salary + DA</t>
  </si>
  <si>
    <t>Input</t>
  </si>
  <si>
    <t>HRA Received</t>
  </si>
  <si>
    <t>Actual Rent Paid</t>
  </si>
  <si>
    <t>Least of the following will be HRA Exemption</t>
  </si>
  <si>
    <t>HRA Receieved</t>
  </si>
  <si>
    <t>% of Salary+DA (50%-Metro &amp; 40%-Non-metro)</t>
  </si>
  <si>
    <t>Rent paid in excess of 10 % of salary</t>
  </si>
  <si>
    <t>Income Tax Slabs</t>
  </si>
  <si>
    <t>Tax Exemptions</t>
  </si>
  <si>
    <t>Age Creteria</t>
  </si>
  <si>
    <t>Income Exempted</t>
  </si>
  <si>
    <t>-</t>
  </si>
  <si>
    <t>Female</t>
  </si>
  <si>
    <t>Senior Citizens</t>
  </si>
  <si>
    <t>Very Senior Citizens</t>
  </si>
  <si>
    <t>Non-metro</t>
  </si>
  <si>
    <t>Male, Female, Sr. Citizen&gt;60, Very Sr. Citizen&gt;80</t>
  </si>
  <si>
    <t>Tax Credit</t>
  </si>
  <si>
    <t>HRA Exemptions u/s 10 A</t>
  </si>
  <si>
    <t>Other Exemptions u/s 10 A</t>
  </si>
  <si>
    <t>HRA Calculation below</t>
  </si>
  <si>
    <t>Deductions u/s 80 D</t>
  </si>
  <si>
    <t>Medical Insurance Premium (Self, Parents)</t>
  </si>
  <si>
    <t xml:space="preserve">Deductions u/s 80 C </t>
  </si>
  <si>
    <t>Gross Income (CTC)</t>
  </si>
  <si>
    <t>Professional Tax</t>
  </si>
  <si>
    <t>Tax Liability</t>
  </si>
  <si>
    <t>Investments in PF, PPF, Life Ins., ELSS, NPS etc</t>
  </si>
  <si>
    <t>Net Income under Salaries</t>
  </si>
  <si>
    <t>Tax with Surcharge</t>
  </si>
  <si>
    <t>Surcharge</t>
  </si>
  <si>
    <t>Tax with Cess</t>
  </si>
  <si>
    <t>Tax Liability/12</t>
  </si>
  <si>
    <t>Gross Income/12</t>
  </si>
  <si>
    <t>Gross Income/Tax Liability</t>
  </si>
  <si>
    <t>Total Deductions/Benefits</t>
  </si>
  <si>
    <t>Interest Paid On Home Loan (Max 2 L)</t>
  </si>
  <si>
    <t>Deductions u/s 80 G</t>
  </si>
  <si>
    <t>Deductions u/s 80 E</t>
  </si>
  <si>
    <t>Interest Paid on Education Loan</t>
  </si>
  <si>
    <t>Deduction u/s 80 TTA</t>
  </si>
  <si>
    <t>Interest Received on Savings Bank A/C</t>
  </si>
  <si>
    <t>Conveyance Allowance</t>
  </si>
  <si>
    <t>Medical Allowance</t>
  </si>
  <si>
    <t>Deductions u/s 80 CCC</t>
  </si>
  <si>
    <t>Leave Travel Allowance</t>
  </si>
  <si>
    <t xml:space="preserve">Cost To Company (CTC) Breakup  </t>
  </si>
  <si>
    <t xml:space="preserve">Total Annual Gross Salary </t>
  </si>
  <si>
    <t>S.No</t>
  </si>
  <si>
    <t>Salary Components</t>
  </si>
  <si>
    <t>Monthly</t>
  </si>
  <si>
    <t>Annual</t>
  </si>
  <si>
    <t>Basic Salary</t>
  </si>
  <si>
    <t>House Rent Allowance</t>
  </si>
  <si>
    <t>Medical Reimbursement</t>
  </si>
  <si>
    <t>Total Gross Salary</t>
  </si>
  <si>
    <t>Deductions</t>
  </si>
  <si>
    <t>Provident Fund</t>
  </si>
  <si>
    <t>Employee State Insurance</t>
  </si>
  <si>
    <t>Profession Tax</t>
  </si>
  <si>
    <t>Total Deductions</t>
  </si>
  <si>
    <t>Total Net Salary</t>
  </si>
  <si>
    <t xml:space="preserve"> </t>
  </si>
  <si>
    <t>Tax Benefit u/s 24/b</t>
  </si>
  <si>
    <t>Eligible Donations  100 percentage</t>
  </si>
  <si>
    <t>100% deduction for Swachh Bharat Yojana and</t>
  </si>
  <si>
    <t>100% Clean Ganga Fund</t>
  </si>
  <si>
    <t xml:space="preserve">Rs 1,50,000 for the financial year 2014-15. </t>
  </si>
  <si>
    <t>Deductions u/s 80 CCD</t>
  </si>
  <si>
    <t>National Pension Scheme</t>
  </si>
  <si>
    <t>Premium Paid for Annuity Plan of LIC or Other</t>
  </si>
  <si>
    <t>u/s 80 CCD</t>
  </si>
  <si>
    <t xml:space="preserve">Rs. 50000 wef 1/4/15 </t>
  </si>
  <si>
    <t>u/s 80 TTA</t>
  </si>
  <si>
    <t>upto a maximum of Rs. 10,000/-</t>
  </si>
  <si>
    <t>Deductions on House Rent</t>
  </si>
  <si>
    <t>Section 80GG: Deduction in respect of House Rent Paid</t>
  </si>
  <si>
    <t>Deduction available is the least of</t>
  </si>
  <si>
    <t>1. Rent paid minus 10% of total income</t>
  </si>
  <si>
    <t>2. Rs. 2000/- per month</t>
  </si>
  <si>
    <t>3. 25% of total income, provided</t>
  </si>
  <si>
    <t xml:space="preserve">   Assessee or his spouse or minor child should not own residential accommodation at the place of employment.</t>
  </si>
  <si>
    <t xml:space="preserve">   He should not be in receipt of house rent allowance.</t>
  </si>
  <si>
    <t xml:space="preserve">   He should not have self occupied residential premises in any other place.</t>
  </si>
  <si>
    <t>1</t>
  </si>
  <si>
    <t>2</t>
  </si>
  <si>
    <t>3</t>
  </si>
  <si>
    <t>4</t>
  </si>
  <si>
    <t>5</t>
  </si>
  <si>
    <t>6</t>
  </si>
  <si>
    <t>8</t>
  </si>
  <si>
    <t>15% on Tax if Income &gt; Rs 1 Crore</t>
  </si>
  <si>
    <t>10% on Tax if Income &gt; Rs 50 Lacs</t>
  </si>
  <si>
    <t>Laundry Allowance</t>
  </si>
  <si>
    <t>Special Allowance</t>
  </si>
  <si>
    <t>Income Tax Calculator FY 2018-19</t>
  </si>
  <si>
    <t>Upto Rs. 2500 if Taxable Income &lt; Rs. 3.5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</si>
</sst>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C000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rgb="FFC80000"/>
      <name val="Calibri"/>
      <family val="2"/>
      <scheme val="minor"/>
    </font>
    <font>
      <sz val="22"/>
      <color rgb="FFC00000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0"/>
      <name val="Palatino Linotype"/>
      <family val="1"/>
    </font>
    <font>
      <b/>
      <sz val="10"/>
      <name val="Palatino Linotype"/>
      <family val="1"/>
    </font>
    <font>
      <b/>
      <i/>
      <u/>
      <sz val="11"/>
      <name val="Palatino Linotype"/>
      <family val="1"/>
    </font>
    <font>
      <b/>
      <u/>
      <sz val="10"/>
      <name val="Palatino Linotype"/>
      <family val="1"/>
    </font>
    <font>
      <sz val="11"/>
      <color indexed="8"/>
      <name val="Calibri"/>
      <family val="2"/>
    </font>
    <font>
      <b/>
      <i/>
      <sz val="11"/>
      <name val="Palatino Linotype"/>
      <family val="1"/>
    </font>
    <font>
      <sz val="9"/>
      <name val="Palatino Linotype"/>
      <family val="1"/>
    </font>
    <font>
      <b/>
      <sz val="13"/>
      <name val="Palatino Linotype"/>
      <family val="1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indexed="64"/>
      </left>
      <right style="hair">
        <color theme="1" tint="0.499984740745262"/>
      </right>
      <top style="hair">
        <color theme="1" tint="0.499984740745262"/>
      </top>
      <bottom style="medium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indexed="64"/>
      </bottom>
      <diagonal/>
    </border>
    <border>
      <left style="hair">
        <color theme="1" tint="0.499984740745262"/>
      </left>
      <right style="medium">
        <color indexed="64"/>
      </right>
      <top style="hair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hair">
        <color theme="1" tint="0.499984740745262"/>
      </right>
      <top style="medium">
        <color indexed="64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indexed="64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indexed="64"/>
      </right>
      <top style="medium">
        <color indexed="64"/>
      </top>
      <bottom style="hair">
        <color theme="1" tint="0.499984740745262"/>
      </bottom>
      <diagonal/>
    </border>
    <border>
      <left style="medium">
        <color indexed="64"/>
      </left>
      <right/>
      <top style="hair">
        <color theme="1" tint="0.499984740745262"/>
      </top>
      <bottom style="hair">
        <color theme="1" tint="0.49998474074526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165" fontId="1" fillId="0" borderId="0" xfId="1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3" fontId="0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65" fontId="5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9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right" vertical="center"/>
    </xf>
    <xf numFmtId="10" fontId="6" fillId="0" borderId="0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 shrinkToFit="1"/>
    </xf>
    <xf numFmtId="9" fontId="4" fillId="0" borderId="1" xfId="0" applyNumberFormat="1" applyFont="1" applyBorder="1" applyAlignment="1">
      <alignment horizontal="right" vertical="center"/>
    </xf>
    <xf numFmtId="10" fontId="0" fillId="0" borderId="0" xfId="0" applyNumberFormat="1" applyFont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2" fontId="11" fillId="4" borderId="8" xfId="0" applyNumberFormat="1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 wrapText="1"/>
    </xf>
    <xf numFmtId="166" fontId="10" fillId="3" borderId="7" xfId="2" applyNumberFormat="1" applyFont="1" applyFill="1" applyBorder="1" applyAlignment="1">
      <alignment horizontal="right" vertical="center"/>
    </xf>
    <xf numFmtId="166" fontId="11" fillId="3" borderId="8" xfId="2" applyNumberFormat="1" applyFont="1" applyFill="1" applyBorder="1" applyAlignment="1">
      <alignment horizontal="right" vertical="center"/>
    </xf>
    <xf numFmtId="0" fontId="10" fillId="3" borderId="7" xfId="0" applyFont="1" applyFill="1" applyBorder="1" applyAlignment="1">
      <alignment vertical="center"/>
    </xf>
    <xf numFmtId="1" fontId="13" fillId="3" borderId="10" xfId="0" applyNumberFormat="1" applyFont="1" applyFill="1" applyBorder="1" applyAlignment="1">
      <alignment horizontal="right" vertical="center"/>
    </xf>
    <xf numFmtId="1" fontId="13" fillId="3" borderId="11" xfId="0" applyNumberFormat="1" applyFont="1" applyFill="1" applyBorder="1" applyAlignment="1">
      <alignment vertical="center"/>
    </xf>
    <xf numFmtId="1" fontId="10" fillId="3" borderId="0" xfId="0" applyNumberFormat="1" applyFont="1" applyFill="1" applyAlignment="1">
      <alignment vertical="center"/>
    </xf>
    <xf numFmtId="1" fontId="15" fillId="3" borderId="7" xfId="0" applyNumberFormat="1" applyFont="1" applyFill="1" applyBorder="1" applyAlignment="1">
      <alignment vertical="center" wrapText="1"/>
    </xf>
    <xf numFmtId="1" fontId="11" fillId="3" borderId="8" xfId="0" applyNumberFormat="1" applyFont="1" applyFill="1" applyBorder="1" applyAlignment="1">
      <alignment vertical="center"/>
    </xf>
    <xf numFmtId="0" fontId="16" fillId="3" borderId="0" xfId="0" applyFont="1" applyFill="1" applyAlignment="1">
      <alignment horizontal="left" vertical="center"/>
    </xf>
    <xf numFmtId="0" fontId="16" fillId="3" borderId="0" xfId="0" applyFont="1" applyFill="1" applyAlignment="1">
      <alignment vertical="center"/>
    </xf>
    <xf numFmtId="165" fontId="0" fillId="0" borderId="0" xfId="0" applyNumberFormat="1" applyFont="1" applyAlignment="1">
      <alignment vertical="center"/>
    </xf>
    <xf numFmtId="0" fontId="0" fillId="0" borderId="0" xfId="0" applyAlignment="1">
      <alignment horizontal="left" vertical="center" inden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0" fillId="3" borderId="6" xfId="0" quotePrefix="1" applyFont="1" applyFill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right" vertical="center"/>
    </xf>
    <xf numFmtId="0" fontId="4" fillId="0" borderId="19" xfId="0" applyFont="1" applyFill="1" applyBorder="1" applyAlignment="1">
      <alignment vertical="center" wrapText="1"/>
    </xf>
    <xf numFmtId="165" fontId="4" fillId="0" borderId="20" xfId="1" applyNumberFormat="1" applyFont="1" applyBorder="1" applyAlignment="1">
      <alignment vertical="center"/>
    </xf>
    <xf numFmtId="0" fontId="3" fillId="0" borderId="19" xfId="0" applyFont="1" applyFill="1" applyBorder="1" applyAlignment="1">
      <alignment vertical="center" wrapText="1"/>
    </xf>
    <xf numFmtId="165" fontId="5" fillId="0" borderId="20" xfId="1" applyNumberFormat="1" applyFont="1" applyBorder="1" applyAlignment="1">
      <alignment vertical="center"/>
    </xf>
    <xf numFmtId="0" fontId="4" fillId="0" borderId="21" xfId="0" applyFont="1" applyFill="1" applyBorder="1" applyAlignment="1">
      <alignment vertical="center" wrapText="1"/>
    </xf>
    <xf numFmtId="0" fontId="4" fillId="0" borderId="22" xfId="0" applyFont="1" applyFill="1" applyBorder="1" applyAlignment="1">
      <alignment vertical="center"/>
    </xf>
    <xf numFmtId="0" fontId="4" fillId="0" borderId="22" xfId="0" applyFont="1" applyBorder="1" applyAlignment="1">
      <alignment horizontal="right" vertical="center"/>
    </xf>
    <xf numFmtId="165" fontId="4" fillId="0" borderId="23" xfId="1" applyNumberFormat="1" applyFont="1" applyBorder="1" applyAlignment="1">
      <alignment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right" vertical="center"/>
    </xf>
    <xf numFmtId="165" fontId="6" fillId="0" borderId="19" xfId="1" applyNumberFormat="1" applyFont="1" applyFill="1" applyBorder="1" applyAlignment="1">
      <alignment horizontal="left" vertical="center"/>
    </xf>
    <xf numFmtId="165" fontId="5" fillId="0" borderId="19" xfId="1" applyNumberFormat="1" applyFont="1" applyBorder="1" applyAlignment="1">
      <alignment horizontal="left" vertical="center"/>
    </xf>
    <xf numFmtId="165" fontId="5" fillId="0" borderId="19" xfId="1" applyNumberFormat="1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6" fillId="0" borderId="19" xfId="0" applyFont="1" applyBorder="1" applyAlignment="1">
      <alignment horizontal="right" vertical="center"/>
    </xf>
    <xf numFmtId="165" fontId="6" fillId="0" borderId="20" xfId="1" applyNumberFormat="1" applyFont="1" applyBorder="1" applyAlignment="1">
      <alignment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vertical="center"/>
    </xf>
    <xf numFmtId="0" fontId="6" fillId="0" borderId="22" xfId="0" applyFont="1" applyBorder="1" applyAlignment="1">
      <alignment horizontal="right" vertical="center"/>
    </xf>
    <xf numFmtId="165" fontId="6" fillId="0" borderId="23" xfId="1" applyNumberFormat="1" applyFont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165" fontId="1" fillId="0" borderId="20" xfId="1" applyNumberFormat="1" applyFont="1" applyBorder="1" applyAlignment="1">
      <alignment vertical="center"/>
    </xf>
    <xf numFmtId="165" fontId="0" fillId="0" borderId="20" xfId="0" applyNumberFormat="1" applyFont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4" fillId="0" borderId="22" xfId="0" applyFont="1" applyBorder="1" applyAlignment="1">
      <alignment vertical="center"/>
    </xf>
    <xf numFmtId="10" fontId="4" fillId="0" borderId="23" xfId="0" applyNumberFormat="1" applyFont="1" applyBorder="1" applyAlignment="1">
      <alignment vertical="center"/>
    </xf>
    <xf numFmtId="0" fontId="3" fillId="0" borderId="20" xfId="0" applyFont="1" applyBorder="1" applyAlignment="1">
      <alignment horizontal="right" vertical="center"/>
    </xf>
    <xf numFmtId="0" fontId="4" fillId="0" borderId="17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3" fontId="4" fillId="0" borderId="18" xfId="0" applyNumberFormat="1" applyFont="1" applyBorder="1" applyAlignment="1">
      <alignment vertical="center"/>
    </xf>
    <xf numFmtId="0" fontId="0" fillId="0" borderId="19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vertical="center"/>
    </xf>
    <xf numFmtId="0" fontId="0" fillId="0" borderId="22" xfId="0" applyBorder="1" applyAlignment="1">
      <alignment horizontal="right" vertical="center"/>
    </xf>
    <xf numFmtId="165" fontId="5" fillId="0" borderId="23" xfId="1" applyNumberFormat="1" applyFont="1" applyBorder="1" applyAlignment="1">
      <alignment vertical="center"/>
    </xf>
    <xf numFmtId="165" fontId="5" fillId="4" borderId="20" xfId="1" applyNumberFormat="1" applyFont="1" applyFill="1" applyBorder="1" applyAlignment="1">
      <alignment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0</xdr:row>
      <xdr:rowOff>85725</xdr:rowOff>
    </xdr:from>
    <xdr:to>
      <xdr:col>2</xdr:col>
      <xdr:colOff>2688828</xdr:colOff>
      <xdr:row>1</xdr:row>
      <xdr:rowOff>116218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85725"/>
          <a:ext cx="2517378" cy="563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1"/>
  <sheetViews>
    <sheetView zoomScaleNormal="85" workbookViewId="0">
      <selection activeCell="B12" sqref="B12:C12"/>
    </sheetView>
  </sheetViews>
  <sheetFormatPr defaultRowHeight="18" customHeight="1" x14ac:dyDescent="0.25"/>
  <cols>
    <col min="1" max="1" width="9.140625" style="36"/>
    <col min="2" max="2" width="13.7109375" style="35" customWidth="1"/>
    <col min="3" max="3" width="38.85546875" style="36" customWidth="1"/>
    <col min="4" max="4" width="16.28515625" style="36" customWidth="1"/>
    <col min="5" max="5" width="19.42578125" style="36" customWidth="1"/>
    <col min="6" max="6" width="10.85546875" style="36" customWidth="1"/>
    <col min="7" max="7" width="9.140625" style="36"/>
    <col min="8" max="8" width="16.42578125" style="36" bestFit="1" customWidth="1"/>
    <col min="9" max="257" width="9.140625" style="36"/>
    <col min="258" max="258" width="13.7109375" style="36" customWidth="1"/>
    <col min="259" max="259" width="38.85546875" style="36" customWidth="1"/>
    <col min="260" max="260" width="16.28515625" style="36" customWidth="1"/>
    <col min="261" max="261" width="19.42578125" style="36" customWidth="1"/>
    <col min="262" max="262" width="10.85546875" style="36" customWidth="1"/>
    <col min="263" max="263" width="9.140625" style="36"/>
    <col min="264" max="264" width="16.42578125" style="36" bestFit="1" customWidth="1"/>
    <col min="265" max="513" width="9.140625" style="36"/>
    <col min="514" max="514" width="13.7109375" style="36" customWidth="1"/>
    <col min="515" max="515" width="38.85546875" style="36" customWidth="1"/>
    <col min="516" max="516" width="16.28515625" style="36" customWidth="1"/>
    <col min="517" max="517" width="19.42578125" style="36" customWidth="1"/>
    <col min="518" max="518" width="10.85546875" style="36" customWidth="1"/>
    <col min="519" max="519" width="9.140625" style="36"/>
    <col min="520" max="520" width="16.42578125" style="36" bestFit="1" customWidth="1"/>
    <col min="521" max="769" width="9.140625" style="36"/>
    <col min="770" max="770" width="13.7109375" style="36" customWidth="1"/>
    <col min="771" max="771" width="38.85546875" style="36" customWidth="1"/>
    <col min="772" max="772" width="16.28515625" style="36" customWidth="1"/>
    <col min="773" max="773" width="19.42578125" style="36" customWidth="1"/>
    <col min="774" max="774" width="10.85546875" style="36" customWidth="1"/>
    <col min="775" max="775" width="9.140625" style="36"/>
    <col min="776" max="776" width="16.42578125" style="36" bestFit="1" customWidth="1"/>
    <col min="777" max="1025" width="9.140625" style="36"/>
    <col min="1026" max="1026" width="13.7109375" style="36" customWidth="1"/>
    <col min="1027" max="1027" width="38.85546875" style="36" customWidth="1"/>
    <col min="1028" max="1028" width="16.28515625" style="36" customWidth="1"/>
    <col min="1029" max="1029" width="19.42578125" style="36" customWidth="1"/>
    <col min="1030" max="1030" width="10.85546875" style="36" customWidth="1"/>
    <col min="1031" max="1031" width="9.140625" style="36"/>
    <col min="1032" max="1032" width="16.42578125" style="36" bestFit="1" customWidth="1"/>
    <col min="1033" max="1281" width="9.140625" style="36"/>
    <col min="1282" max="1282" width="13.7109375" style="36" customWidth="1"/>
    <col min="1283" max="1283" width="38.85546875" style="36" customWidth="1"/>
    <col min="1284" max="1284" width="16.28515625" style="36" customWidth="1"/>
    <col min="1285" max="1285" width="19.42578125" style="36" customWidth="1"/>
    <col min="1286" max="1286" width="10.85546875" style="36" customWidth="1"/>
    <col min="1287" max="1287" width="9.140625" style="36"/>
    <col min="1288" max="1288" width="16.42578125" style="36" bestFit="1" customWidth="1"/>
    <col min="1289" max="1537" width="9.140625" style="36"/>
    <col min="1538" max="1538" width="13.7109375" style="36" customWidth="1"/>
    <col min="1539" max="1539" width="38.85546875" style="36" customWidth="1"/>
    <col min="1540" max="1540" width="16.28515625" style="36" customWidth="1"/>
    <col min="1541" max="1541" width="19.42578125" style="36" customWidth="1"/>
    <col min="1542" max="1542" width="10.85546875" style="36" customWidth="1"/>
    <col min="1543" max="1543" width="9.140625" style="36"/>
    <col min="1544" max="1544" width="16.42578125" style="36" bestFit="1" customWidth="1"/>
    <col min="1545" max="1793" width="9.140625" style="36"/>
    <col min="1794" max="1794" width="13.7109375" style="36" customWidth="1"/>
    <col min="1795" max="1795" width="38.85546875" style="36" customWidth="1"/>
    <col min="1796" max="1796" width="16.28515625" style="36" customWidth="1"/>
    <col min="1797" max="1797" width="19.42578125" style="36" customWidth="1"/>
    <col min="1798" max="1798" width="10.85546875" style="36" customWidth="1"/>
    <col min="1799" max="1799" width="9.140625" style="36"/>
    <col min="1800" max="1800" width="16.42578125" style="36" bestFit="1" customWidth="1"/>
    <col min="1801" max="2049" width="9.140625" style="36"/>
    <col min="2050" max="2050" width="13.7109375" style="36" customWidth="1"/>
    <col min="2051" max="2051" width="38.85546875" style="36" customWidth="1"/>
    <col min="2052" max="2052" width="16.28515625" style="36" customWidth="1"/>
    <col min="2053" max="2053" width="19.42578125" style="36" customWidth="1"/>
    <col min="2054" max="2054" width="10.85546875" style="36" customWidth="1"/>
    <col min="2055" max="2055" width="9.140625" style="36"/>
    <col min="2056" max="2056" width="16.42578125" style="36" bestFit="1" customWidth="1"/>
    <col min="2057" max="2305" width="9.140625" style="36"/>
    <col min="2306" max="2306" width="13.7109375" style="36" customWidth="1"/>
    <col min="2307" max="2307" width="38.85546875" style="36" customWidth="1"/>
    <col min="2308" max="2308" width="16.28515625" style="36" customWidth="1"/>
    <col min="2309" max="2309" width="19.42578125" style="36" customWidth="1"/>
    <col min="2310" max="2310" width="10.85546875" style="36" customWidth="1"/>
    <col min="2311" max="2311" width="9.140625" style="36"/>
    <col min="2312" max="2312" width="16.42578125" style="36" bestFit="1" customWidth="1"/>
    <col min="2313" max="2561" width="9.140625" style="36"/>
    <col min="2562" max="2562" width="13.7109375" style="36" customWidth="1"/>
    <col min="2563" max="2563" width="38.85546875" style="36" customWidth="1"/>
    <col min="2564" max="2564" width="16.28515625" style="36" customWidth="1"/>
    <col min="2565" max="2565" width="19.42578125" style="36" customWidth="1"/>
    <col min="2566" max="2566" width="10.85546875" style="36" customWidth="1"/>
    <col min="2567" max="2567" width="9.140625" style="36"/>
    <col min="2568" max="2568" width="16.42578125" style="36" bestFit="1" customWidth="1"/>
    <col min="2569" max="2817" width="9.140625" style="36"/>
    <col min="2818" max="2818" width="13.7109375" style="36" customWidth="1"/>
    <col min="2819" max="2819" width="38.85546875" style="36" customWidth="1"/>
    <col min="2820" max="2820" width="16.28515625" style="36" customWidth="1"/>
    <col min="2821" max="2821" width="19.42578125" style="36" customWidth="1"/>
    <col min="2822" max="2822" width="10.85546875" style="36" customWidth="1"/>
    <col min="2823" max="2823" width="9.140625" style="36"/>
    <col min="2824" max="2824" width="16.42578125" style="36" bestFit="1" customWidth="1"/>
    <col min="2825" max="3073" width="9.140625" style="36"/>
    <col min="3074" max="3074" width="13.7109375" style="36" customWidth="1"/>
    <col min="3075" max="3075" width="38.85546875" style="36" customWidth="1"/>
    <col min="3076" max="3076" width="16.28515625" style="36" customWidth="1"/>
    <col min="3077" max="3077" width="19.42578125" style="36" customWidth="1"/>
    <col min="3078" max="3078" width="10.85546875" style="36" customWidth="1"/>
    <col min="3079" max="3079" width="9.140625" style="36"/>
    <col min="3080" max="3080" width="16.42578125" style="36" bestFit="1" customWidth="1"/>
    <col min="3081" max="3329" width="9.140625" style="36"/>
    <col min="3330" max="3330" width="13.7109375" style="36" customWidth="1"/>
    <col min="3331" max="3331" width="38.85546875" style="36" customWidth="1"/>
    <col min="3332" max="3332" width="16.28515625" style="36" customWidth="1"/>
    <col min="3333" max="3333" width="19.42578125" style="36" customWidth="1"/>
    <col min="3334" max="3334" width="10.85546875" style="36" customWidth="1"/>
    <col min="3335" max="3335" width="9.140625" style="36"/>
    <col min="3336" max="3336" width="16.42578125" style="36" bestFit="1" customWidth="1"/>
    <col min="3337" max="3585" width="9.140625" style="36"/>
    <col min="3586" max="3586" width="13.7109375" style="36" customWidth="1"/>
    <col min="3587" max="3587" width="38.85546875" style="36" customWidth="1"/>
    <col min="3588" max="3588" width="16.28515625" style="36" customWidth="1"/>
    <col min="3589" max="3589" width="19.42578125" style="36" customWidth="1"/>
    <col min="3590" max="3590" width="10.85546875" style="36" customWidth="1"/>
    <col min="3591" max="3591" width="9.140625" style="36"/>
    <col min="3592" max="3592" width="16.42578125" style="36" bestFit="1" customWidth="1"/>
    <col min="3593" max="3841" width="9.140625" style="36"/>
    <col min="3842" max="3842" width="13.7109375" style="36" customWidth="1"/>
    <col min="3843" max="3843" width="38.85546875" style="36" customWidth="1"/>
    <col min="3844" max="3844" width="16.28515625" style="36" customWidth="1"/>
    <col min="3845" max="3845" width="19.42578125" style="36" customWidth="1"/>
    <col min="3846" max="3846" width="10.85546875" style="36" customWidth="1"/>
    <col min="3847" max="3847" width="9.140625" style="36"/>
    <col min="3848" max="3848" width="16.42578125" style="36" bestFit="1" customWidth="1"/>
    <col min="3849" max="4097" width="9.140625" style="36"/>
    <col min="4098" max="4098" width="13.7109375" style="36" customWidth="1"/>
    <col min="4099" max="4099" width="38.85546875" style="36" customWidth="1"/>
    <col min="4100" max="4100" width="16.28515625" style="36" customWidth="1"/>
    <col min="4101" max="4101" width="19.42578125" style="36" customWidth="1"/>
    <col min="4102" max="4102" width="10.85546875" style="36" customWidth="1"/>
    <col min="4103" max="4103" width="9.140625" style="36"/>
    <col min="4104" max="4104" width="16.42578125" style="36" bestFit="1" customWidth="1"/>
    <col min="4105" max="4353" width="9.140625" style="36"/>
    <col min="4354" max="4354" width="13.7109375" style="36" customWidth="1"/>
    <col min="4355" max="4355" width="38.85546875" style="36" customWidth="1"/>
    <col min="4356" max="4356" width="16.28515625" style="36" customWidth="1"/>
    <col min="4357" max="4357" width="19.42578125" style="36" customWidth="1"/>
    <col min="4358" max="4358" width="10.85546875" style="36" customWidth="1"/>
    <col min="4359" max="4359" width="9.140625" style="36"/>
    <col min="4360" max="4360" width="16.42578125" style="36" bestFit="1" customWidth="1"/>
    <col min="4361" max="4609" width="9.140625" style="36"/>
    <col min="4610" max="4610" width="13.7109375" style="36" customWidth="1"/>
    <col min="4611" max="4611" width="38.85546875" style="36" customWidth="1"/>
    <col min="4612" max="4612" width="16.28515625" style="36" customWidth="1"/>
    <col min="4613" max="4613" width="19.42578125" style="36" customWidth="1"/>
    <col min="4614" max="4614" width="10.85546875" style="36" customWidth="1"/>
    <col min="4615" max="4615" width="9.140625" style="36"/>
    <col min="4616" max="4616" width="16.42578125" style="36" bestFit="1" customWidth="1"/>
    <col min="4617" max="4865" width="9.140625" style="36"/>
    <col min="4866" max="4866" width="13.7109375" style="36" customWidth="1"/>
    <col min="4867" max="4867" width="38.85546875" style="36" customWidth="1"/>
    <col min="4868" max="4868" width="16.28515625" style="36" customWidth="1"/>
    <col min="4869" max="4869" width="19.42578125" style="36" customWidth="1"/>
    <col min="4870" max="4870" width="10.85546875" style="36" customWidth="1"/>
    <col min="4871" max="4871" width="9.140625" style="36"/>
    <col min="4872" max="4872" width="16.42578125" style="36" bestFit="1" customWidth="1"/>
    <col min="4873" max="5121" width="9.140625" style="36"/>
    <col min="5122" max="5122" width="13.7109375" style="36" customWidth="1"/>
    <col min="5123" max="5123" width="38.85546875" style="36" customWidth="1"/>
    <col min="5124" max="5124" width="16.28515625" style="36" customWidth="1"/>
    <col min="5125" max="5125" width="19.42578125" style="36" customWidth="1"/>
    <col min="5126" max="5126" width="10.85546875" style="36" customWidth="1"/>
    <col min="5127" max="5127" width="9.140625" style="36"/>
    <col min="5128" max="5128" width="16.42578125" style="36" bestFit="1" customWidth="1"/>
    <col min="5129" max="5377" width="9.140625" style="36"/>
    <col min="5378" max="5378" width="13.7109375" style="36" customWidth="1"/>
    <col min="5379" max="5379" width="38.85546875" style="36" customWidth="1"/>
    <col min="5380" max="5380" width="16.28515625" style="36" customWidth="1"/>
    <col min="5381" max="5381" width="19.42578125" style="36" customWidth="1"/>
    <col min="5382" max="5382" width="10.85546875" style="36" customWidth="1"/>
    <col min="5383" max="5383" width="9.140625" style="36"/>
    <col min="5384" max="5384" width="16.42578125" style="36" bestFit="1" customWidth="1"/>
    <col min="5385" max="5633" width="9.140625" style="36"/>
    <col min="5634" max="5634" width="13.7109375" style="36" customWidth="1"/>
    <col min="5635" max="5635" width="38.85546875" style="36" customWidth="1"/>
    <col min="5636" max="5636" width="16.28515625" style="36" customWidth="1"/>
    <col min="5637" max="5637" width="19.42578125" style="36" customWidth="1"/>
    <col min="5638" max="5638" width="10.85546875" style="36" customWidth="1"/>
    <col min="5639" max="5639" width="9.140625" style="36"/>
    <col min="5640" max="5640" width="16.42578125" style="36" bestFit="1" customWidth="1"/>
    <col min="5641" max="5889" width="9.140625" style="36"/>
    <col min="5890" max="5890" width="13.7109375" style="36" customWidth="1"/>
    <col min="5891" max="5891" width="38.85546875" style="36" customWidth="1"/>
    <col min="5892" max="5892" width="16.28515625" style="36" customWidth="1"/>
    <col min="5893" max="5893" width="19.42578125" style="36" customWidth="1"/>
    <col min="5894" max="5894" width="10.85546875" style="36" customWidth="1"/>
    <col min="5895" max="5895" width="9.140625" style="36"/>
    <col min="5896" max="5896" width="16.42578125" style="36" bestFit="1" customWidth="1"/>
    <col min="5897" max="6145" width="9.140625" style="36"/>
    <col min="6146" max="6146" width="13.7109375" style="36" customWidth="1"/>
    <col min="6147" max="6147" width="38.85546875" style="36" customWidth="1"/>
    <col min="6148" max="6148" width="16.28515625" style="36" customWidth="1"/>
    <col min="6149" max="6149" width="19.42578125" style="36" customWidth="1"/>
    <col min="6150" max="6150" width="10.85546875" style="36" customWidth="1"/>
    <col min="6151" max="6151" width="9.140625" style="36"/>
    <col min="6152" max="6152" width="16.42578125" style="36" bestFit="1" customWidth="1"/>
    <col min="6153" max="6401" width="9.140625" style="36"/>
    <col min="6402" max="6402" width="13.7109375" style="36" customWidth="1"/>
    <col min="6403" max="6403" width="38.85546875" style="36" customWidth="1"/>
    <col min="6404" max="6404" width="16.28515625" style="36" customWidth="1"/>
    <col min="6405" max="6405" width="19.42578125" style="36" customWidth="1"/>
    <col min="6406" max="6406" width="10.85546875" style="36" customWidth="1"/>
    <col min="6407" max="6407" width="9.140625" style="36"/>
    <col min="6408" max="6408" width="16.42578125" style="36" bestFit="1" customWidth="1"/>
    <col min="6409" max="6657" width="9.140625" style="36"/>
    <col min="6658" max="6658" width="13.7109375" style="36" customWidth="1"/>
    <col min="6659" max="6659" width="38.85546875" style="36" customWidth="1"/>
    <col min="6660" max="6660" width="16.28515625" style="36" customWidth="1"/>
    <col min="6661" max="6661" width="19.42578125" style="36" customWidth="1"/>
    <col min="6662" max="6662" width="10.85546875" style="36" customWidth="1"/>
    <col min="6663" max="6663" width="9.140625" style="36"/>
    <col min="6664" max="6664" width="16.42578125" style="36" bestFit="1" customWidth="1"/>
    <col min="6665" max="6913" width="9.140625" style="36"/>
    <col min="6914" max="6914" width="13.7109375" style="36" customWidth="1"/>
    <col min="6915" max="6915" width="38.85546875" style="36" customWidth="1"/>
    <col min="6916" max="6916" width="16.28515625" style="36" customWidth="1"/>
    <col min="6917" max="6917" width="19.42578125" style="36" customWidth="1"/>
    <col min="6918" max="6918" width="10.85546875" style="36" customWidth="1"/>
    <col min="6919" max="6919" width="9.140625" style="36"/>
    <col min="6920" max="6920" width="16.42578125" style="36" bestFit="1" customWidth="1"/>
    <col min="6921" max="7169" width="9.140625" style="36"/>
    <col min="7170" max="7170" width="13.7109375" style="36" customWidth="1"/>
    <col min="7171" max="7171" width="38.85546875" style="36" customWidth="1"/>
    <col min="7172" max="7172" width="16.28515625" style="36" customWidth="1"/>
    <col min="7173" max="7173" width="19.42578125" style="36" customWidth="1"/>
    <col min="7174" max="7174" width="10.85546875" style="36" customWidth="1"/>
    <col min="7175" max="7175" width="9.140625" style="36"/>
    <col min="7176" max="7176" width="16.42578125" style="36" bestFit="1" customWidth="1"/>
    <col min="7177" max="7425" width="9.140625" style="36"/>
    <col min="7426" max="7426" width="13.7109375" style="36" customWidth="1"/>
    <col min="7427" max="7427" width="38.85546875" style="36" customWidth="1"/>
    <col min="7428" max="7428" width="16.28515625" style="36" customWidth="1"/>
    <col min="7429" max="7429" width="19.42578125" style="36" customWidth="1"/>
    <col min="7430" max="7430" width="10.85546875" style="36" customWidth="1"/>
    <col min="7431" max="7431" width="9.140625" style="36"/>
    <col min="7432" max="7432" width="16.42578125" style="36" bestFit="1" customWidth="1"/>
    <col min="7433" max="7681" width="9.140625" style="36"/>
    <col min="7682" max="7682" width="13.7109375" style="36" customWidth="1"/>
    <col min="7683" max="7683" width="38.85546875" style="36" customWidth="1"/>
    <col min="7684" max="7684" width="16.28515625" style="36" customWidth="1"/>
    <col min="7685" max="7685" width="19.42578125" style="36" customWidth="1"/>
    <col min="7686" max="7686" width="10.85546875" style="36" customWidth="1"/>
    <col min="7687" max="7687" width="9.140625" style="36"/>
    <col min="7688" max="7688" width="16.42578125" style="36" bestFit="1" customWidth="1"/>
    <col min="7689" max="7937" width="9.140625" style="36"/>
    <col min="7938" max="7938" width="13.7109375" style="36" customWidth="1"/>
    <col min="7939" max="7939" width="38.85546875" style="36" customWidth="1"/>
    <col min="7940" max="7940" width="16.28515625" style="36" customWidth="1"/>
    <col min="7941" max="7941" width="19.42578125" style="36" customWidth="1"/>
    <col min="7942" max="7942" width="10.85546875" style="36" customWidth="1"/>
    <col min="7943" max="7943" width="9.140625" style="36"/>
    <col min="7944" max="7944" width="16.42578125" style="36" bestFit="1" customWidth="1"/>
    <col min="7945" max="8193" width="9.140625" style="36"/>
    <col min="8194" max="8194" width="13.7109375" style="36" customWidth="1"/>
    <col min="8195" max="8195" width="38.85546875" style="36" customWidth="1"/>
    <col min="8196" max="8196" width="16.28515625" style="36" customWidth="1"/>
    <col min="8197" max="8197" width="19.42578125" style="36" customWidth="1"/>
    <col min="8198" max="8198" width="10.85546875" style="36" customWidth="1"/>
    <col min="8199" max="8199" width="9.140625" style="36"/>
    <col min="8200" max="8200" width="16.42578125" style="36" bestFit="1" customWidth="1"/>
    <col min="8201" max="8449" width="9.140625" style="36"/>
    <col min="8450" max="8450" width="13.7109375" style="36" customWidth="1"/>
    <col min="8451" max="8451" width="38.85546875" style="36" customWidth="1"/>
    <col min="8452" max="8452" width="16.28515625" style="36" customWidth="1"/>
    <col min="8453" max="8453" width="19.42578125" style="36" customWidth="1"/>
    <col min="8454" max="8454" width="10.85546875" style="36" customWidth="1"/>
    <col min="8455" max="8455" width="9.140625" style="36"/>
    <col min="8456" max="8456" width="16.42578125" style="36" bestFit="1" customWidth="1"/>
    <col min="8457" max="8705" width="9.140625" style="36"/>
    <col min="8706" max="8706" width="13.7109375" style="36" customWidth="1"/>
    <col min="8707" max="8707" width="38.85546875" style="36" customWidth="1"/>
    <col min="8708" max="8708" width="16.28515625" style="36" customWidth="1"/>
    <col min="8709" max="8709" width="19.42578125" style="36" customWidth="1"/>
    <col min="8710" max="8710" width="10.85546875" style="36" customWidth="1"/>
    <col min="8711" max="8711" width="9.140625" style="36"/>
    <col min="8712" max="8712" width="16.42578125" style="36" bestFit="1" customWidth="1"/>
    <col min="8713" max="8961" width="9.140625" style="36"/>
    <col min="8962" max="8962" width="13.7109375" style="36" customWidth="1"/>
    <col min="8963" max="8963" width="38.85546875" style="36" customWidth="1"/>
    <col min="8964" max="8964" width="16.28515625" style="36" customWidth="1"/>
    <col min="8965" max="8965" width="19.42578125" style="36" customWidth="1"/>
    <col min="8966" max="8966" width="10.85546875" style="36" customWidth="1"/>
    <col min="8967" max="8967" width="9.140625" style="36"/>
    <col min="8968" max="8968" width="16.42578125" style="36" bestFit="1" customWidth="1"/>
    <col min="8969" max="9217" width="9.140625" style="36"/>
    <col min="9218" max="9218" width="13.7109375" style="36" customWidth="1"/>
    <col min="9219" max="9219" width="38.85546875" style="36" customWidth="1"/>
    <col min="9220" max="9220" width="16.28515625" style="36" customWidth="1"/>
    <col min="9221" max="9221" width="19.42578125" style="36" customWidth="1"/>
    <col min="9222" max="9222" width="10.85546875" style="36" customWidth="1"/>
    <col min="9223" max="9223" width="9.140625" style="36"/>
    <col min="9224" max="9224" width="16.42578125" style="36" bestFit="1" customWidth="1"/>
    <col min="9225" max="9473" width="9.140625" style="36"/>
    <col min="9474" max="9474" width="13.7109375" style="36" customWidth="1"/>
    <col min="9475" max="9475" width="38.85546875" style="36" customWidth="1"/>
    <col min="9476" max="9476" width="16.28515625" style="36" customWidth="1"/>
    <col min="9477" max="9477" width="19.42578125" style="36" customWidth="1"/>
    <col min="9478" max="9478" width="10.85546875" style="36" customWidth="1"/>
    <col min="9479" max="9479" width="9.140625" style="36"/>
    <col min="9480" max="9480" width="16.42578125" style="36" bestFit="1" customWidth="1"/>
    <col min="9481" max="9729" width="9.140625" style="36"/>
    <col min="9730" max="9730" width="13.7109375" style="36" customWidth="1"/>
    <col min="9731" max="9731" width="38.85546875" style="36" customWidth="1"/>
    <col min="9732" max="9732" width="16.28515625" style="36" customWidth="1"/>
    <col min="9733" max="9733" width="19.42578125" style="36" customWidth="1"/>
    <col min="9734" max="9734" width="10.85546875" style="36" customWidth="1"/>
    <col min="9735" max="9735" width="9.140625" style="36"/>
    <col min="9736" max="9736" width="16.42578125" style="36" bestFit="1" customWidth="1"/>
    <col min="9737" max="9985" width="9.140625" style="36"/>
    <col min="9986" max="9986" width="13.7109375" style="36" customWidth="1"/>
    <col min="9987" max="9987" width="38.85546875" style="36" customWidth="1"/>
    <col min="9988" max="9988" width="16.28515625" style="36" customWidth="1"/>
    <col min="9989" max="9989" width="19.42578125" style="36" customWidth="1"/>
    <col min="9990" max="9990" width="10.85546875" style="36" customWidth="1"/>
    <col min="9991" max="9991" width="9.140625" style="36"/>
    <col min="9992" max="9992" width="16.42578125" style="36" bestFit="1" customWidth="1"/>
    <col min="9993" max="10241" width="9.140625" style="36"/>
    <col min="10242" max="10242" width="13.7109375" style="36" customWidth="1"/>
    <col min="10243" max="10243" width="38.85546875" style="36" customWidth="1"/>
    <col min="10244" max="10244" width="16.28515625" style="36" customWidth="1"/>
    <col min="10245" max="10245" width="19.42578125" style="36" customWidth="1"/>
    <col min="10246" max="10246" width="10.85546875" style="36" customWidth="1"/>
    <col min="10247" max="10247" width="9.140625" style="36"/>
    <col min="10248" max="10248" width="16.42578125" style="36" bestFit="1" customWidth="1"/>
    <col min="10249" max="10497" width="9.140625" style="36"/>
    <col min="10498" max="10498" width="13.7109375" style="36" customWidth="1"/>
    <col min="10499" max="10499" width="38.85546875" style="36" customWidth="1"/>
    <col min="10500" max="10500" width="16.28515625" style="36" customWidth="1"/>
    <col min="10501" max="10501" width="19.42578125" style="36" customWidth="1"/>
    <col min="10502" max="10502" width="10.85546875" style="36" customWidth="1"/>
    <col min="10503" max="10503" width="9.140625" style="36"/>
    <col min="10504" max="10504" width="16.42578125" style="36" bestFit="1" customWidth="1"/>
    <col min="10505" max="10753" width="9.140625" style="36"/>
    <col min="10754" max="10754" width="13.7109375" style="36" customWidth="1"/>
    <col min="10755" max="10755" width="38.85546875" style="36" customWidth="1"/>
    <col min="10756" max="10756" width="16.28515625" style="36" customWidth="1"/>
    <col min="10757" max="10757" width="19.42578125" style="36" customWidth="1"/>
    <col min="10758" max="10758" width="10.85546875" style="36" customWidth="1"/>
    <col min="10759" max="10759" width="9.140625" style="36"/>
    <col min="10760" max="10760" width="16.42578125" style="36" bestFit="1" customWidth="1"/>
    <col min="10761" max="11009" width="9.140625" style="36"/>
    <col min="11010" max="11010" width="13.7109375" style="36" customWidth="1"/>
    <col min="11011" max="11011" width="38.85546875" style="36" customWidth="1"/>
    <col min="11012" max="11012" width="16.28515625" style="36" customWidth="1"/>
    <col min="11013" max="11013" width="19.42578125" style="36" customWidth="1"/>
    <col min="11014" max="11014" width="10.85546875" style="36" customWidth="1"/>
    <col min="11015" max="11015" width="9.140625" style="36"/>
    <col min="11016" max="11016" width="16.42578125" style="36" bestFit="1" customWidth="1"/>
    <col min="11017" max="11265" width="9.140625" style="36"/>
    <col min="11266" max="11266" width="13.7109375" style="36" customWidth="1"/>
    <col min="11267" max="11267" width="38.85546875" style="36" customWidth="1"/>
    <col min="11268" max="11268" width="16.28515625" style="36" customWidth="1"/>
    <col min="11269" max="11269" width="19.42578125" style="36" customWidth="1"/>
    <col min="11270" max="11270" width="10.85546875" style="36" customWidth="1"/>
    <col min="11271" max="11271" width="9.140625" style="36"/>
    <col min="11272" max="11272" width="16.42578125" style="36" bestFit="1" customWidth="1"/>
    <col min="11273" max="11521" width="9.140625" style="36"/>
    <col min="11522" max="11522" width="13.7109375" style="36" customWidth="1"/>
    <col min="11523" max="11523" width="38.85546875" style="36" customWidth="1"/>
    <col min="11524" max="11524" width="16.28515625" style="36" customWidth="1"/>
    <col min="11525" max="11525" width="19.42578125" style="36" customWidth="1"/>
    <col min="11526" max="11526" width="10.85546875" style="36" customWidth="1"/>
    <col min="11527" max="11527" width="9.140625" style="36"/>
    <col min="11528" max="11528" width="16.42578125" style="36" bestFit="1" customWidth="1"/>
    <col min="11529" max="11777" width="9.140625" style="36"/>
    <col min="11778" max="11778" width="13.7109375" style="36" customWidth="1"/>
    <col min="11779" max="11779" width="38.85546875" style="36" customWidth="1"/>
    <col min="11780" max="11780" width="16.28515625" style="36" customWidth="1"/>
    <col min="11781" max="11781" width="19.42578125" style="36" customWidth="1"/>
    <col min="11782" max="11782" width="10.85546875" style="36" customWidth="1"/>
    <col min="11783" max="11783" width="9.140625" style="36"/>
    <col min="11784" max="11784" width="16.42578125" style="36" bestFit="1" customWidth="1"/>
    <col min="11785" max="12033" width="9.140625" style="36"/>
    <col min="12034" max="12034" width="13.7109375" style="36" customWidth="1"/>
    <col min="12035" max="12035" width="38.85546875" style="36" customWidth="1"/>
    <col min="12036" max="12036" width="16.28515625" style="36" customWidth="1"/>
    <col min="12037" max="12037" width="19.42578125" style="36" customWidth="1"/>
    <col min="12038" max="12038" width="10.85546875" style="36" customWidth="1"/>
    <col min="12039" max="12039" width="9.140625" style="36"/>
    <col min="12040" max="12040" width="16.42578125" style="36" bestFit="1" customWidth="1"/>
    <col min="12041" max="12289" width="9.140625" style="36"/>
    <col min="12290" max="12290" width="13.7109375" style="36" customWidth="1"/>
    <col min="12291" max="12291" width="38.85546875" style="36" customWidth="1"/>
    <col min="12292" max="12292" width="16.28515625" style="36" customWidth="1"/>
    <col min="12293" max="12293" width="19.42578125" style="36" customWidth="1"/>
    <col min="12294" max="12294" width="10.85546875" style="36" customWidth="1"/>
    <col min="12295" max="12295" width="9.140625" style="36"/>
    <col min="12296" max="12296" width="16.42578125" style="36" bestFit="1" customWidth="1"/>
    <col min="12297" max="12545" width="9.140625" style="36"/>
    <col min="12546" max="12546" width="13.7109375" style="36" customWidth="1"/>
    <col min="12547" max="12547" width="38.85546875" style="36" customWidth="1"/>
    <col min="12548" max="12548" width="16.28515625" style="36" customWidth="1"/>
    <col min="12549" max="12549" width="19.42578125" style="36" customWidth="1"/>
    <col min="12550" max="12550" width="10.85546875" style="36" customWidth="1"/>
    <col min="12551" max="12551" width="9.140625" style="36"/>
    <col min="12552" max="12552" width="16.42578125" style="36" bestFit="1" customWidth="1"/>
    <col min="12553" max="12801" width="9.140625" style="36"/>
    <col min="12802" max="12802" width="13.7109375" style="36" customWidth="1"/>
    <col min="12803" max="12803" width="38.85546875" style="36" customWidth="1"/>
    <col min="12804" max="12804" width="16.28515625" style="36" customWidth="1"/>
    <col min="12805" max="12805" width="19.42578125" style="36" customWidth="1"/>
    <col min="12806" max="12806" width="10.85546875" style="36" customWidth="1"/>
    <col min="12807" max="12807" width="9.140625" style="36"/>
    <col min="12808" max="12808" width="16.42578125" style="36" bestFit="1" customWidth="1"/>
    <col min="12809" max="13057" width="9.140625" style="36"/>
    <col min="13058" max="13058" width="13.7109375" style="36" customWidth="1"/>
    <col min="13059" max="13059" width="38.85546875" style="36" customWidth="1"/>
    <col min="13060" max="13060" width="16.28515625" style="36" customWidth="1"/>
    <col min="13061" max="13061" width="19.42578125" style="36" customWidth="1"/>
    <col min="13062" max="13062" width="10.85546875" style="36" customWidth="1"/>
    <col min="13063" max="13063" width="9.140625" style="36"/>
    <col min="13064" max="13064" width="16.42578125" style="36" bestFit="1" customWidth="1"/>
    <col min="13065" max="13313" width="9.140625" style="36"/>
    <col min="13314" max="13314" width="13.7109375" style="36" customWidth="1"/>
    <col min="13315" max="13315" width="38.85546875" style="36" customWidth="1"/>
    <col min="13316" max="13316" width="16.28515625" style="36" customWidth="1"/>
    <col min="13317" max="13317" width="19.42578125" style="36" customWidth="1"/>
    <col min="13318" max="13318" width="10.85546875" style="36" customWidth="1"/>
    <col min="13319" max="13319" width="9.140625" style="36"/>
    <col min="13320" max="13320" width="16.42578125" style="36" bestFit="1" customWidth="1"/>
    <col min="13321" max="13569" width="9.140625" style="36"/>
    <col min="13570" max="13570" width="13.7109375" style="36" customWidth="1"/>
    <col min="13571" max="13571" width="38.85546875" style="36" customWidth="1"/>
    <col min="13572" max="13572" width="16.28515625" style="36" customWidth="1"/>
    <col min="13573" max="13573" width="19.42578125" style="36" customWidth="1"/>
    <col min="13574" max="13574" width="10.85546875" style="36" customWidth="1"/>
    <col min="13575" max="13575" width="9.140625" style="36"/>
    <col min="13576" max="13576" width="16.42578125" style="36" bestFit="1" customWidth="1"/>
    <col min="13577" max="13825" width="9.140625" style="36"/>
    <col min="13826" max="13826" width="13.7109375" style="36" customWidth="1"/>
    <col min="13827" max="13827" width="38.85546875" style="36" customWidth="1"/>
    <col min="13828" max="13828" width="16.28515625" style="36" customWidth="1"/>
    <col min="13829" max="13829" width="19.42578125" style="36" customWidth="1"/>
    <col min="13830" max="13830" width="10.85546875" style="36" customWidth="1"/>
    <col min="13831" max="13831" width="9.140625" style="36"/>
    <col min="13832" max="13832" width="16.42578125" style="36" bestFit="1" customWidth="1"/>
    <col min="13833" max="14081" width="9.140625" style="36"/>
    <col min="14082" max="14082" width="13.7109375" style="36" customWidth="1"/>
    <col min="14083" max="14083" width="38.85546875" style="36" customWidth="1"/>
    <col min="14084" max="14084" width="16.28515625" style="36" customWidth="1"/>
    <col min="14085" max="14085" width="19.42578125" style="36" customWidth="1"/>
    <col min="14086" max="14086" width="10.85546875" style="36" customWidth="1"/>
    <col min="14087" max="14087" width="9.140625" style="36"/>
    <col min="14088" max="14088" width="16.42578125" style="36" bestFit="1" customWidth="1"/>
    <col min="14089" max="14337" width="9.140625" style="36"/>
    <col min="14338" max="14338" width="13.7109375" style="36" customWidth="1"/>
    <col min="14339" max="14339" width="38.85546875" style="36" customWidth="1"/>
    <col min="14340" max="14340" width="16.28515625" style="36" customWidth="1"/>
    <col min="14341" max="14341" width="19.42578125" style="36" customWidth="1"/>
    <col min="14342" max="14342" width="10.85546875" style="36" customWidth="1"/>
    <col min="14343" max="14343" width="9.140625" style="36"/>
    <col min="14344" max="14344" width="16.42578125" style="36" bestFit="1" customWidth="1"/>
    <col min="14345" max="14593" width="9.140625" style="36"/>
    <col min="14594" max="14594" width="13.7109375" style="36" customWidth="1"/>
    <col min="14595" max="14595" width="38.85546875" style="36" customWidth="1"/>
    <col min="14596" max="14596" width="16.28515625" style="36" customWidth="1"/>
    <col min="14597" max="14597" width="19.42578125" style="36" customWidth="1"/>
    <col min="14598" max="14598" width="10.85546875" style="36" customWidth="1"/>
    <col min="14599" max="14599" width="9.140625" style="36"/>
    <col min="14600" max="14600" width="16.42578125" style="36" bestFit="1" customWidth="1"/>
    <col min="14601" max="14849" width="9.140625" style="36"/>
    <col min="14850" max="14850" width="13.7109375" style="36" customWidth="1"/>
    <col min="14851" max="14851" width="38.85546875" style="36" customWidth="1"/>
    <col min="14852" max="14852" width="16.28515625" style="36" customWidth="1"/>
    <col min="14853" max="14853" width="19.42578125" style="36" customWidth="1"/>
    <col min="14854" max="14854" width="10.85546875" style="36" customWidth="1"/>
    <col min="14855" max="14855" width="9.140625" style="36"/>
    <col min="14856" max="14856" width="16.42578125" style="36" bestFit="1" customWidth="1"/>
    <col min="14857" max="15105" width="9.140625" style="36"/>
    <col min="15106" max="15106" width="13.7109375" style="36" customWidth="1"/>
    <col min="15107" max="15107" width="38.85546875" style="36" customWidth="1"/>
    <col min="15108" max="15108" width="16.28515625" style="36" customWidth="1"/>
    <col min="15109" max="15109" width="19.42578125" style="36" customWidth="1"/>
    <col min="15110" max="15110" width="10.85546875" style="36" customWidth="1"/>
    <col min="15111" max="15111" width="9.140625" style="36"/>
    <col min="15112" max="15112" width="16.42578125" style="36" bestFit="1" customWidth="1"/>
    <col min="15113" max="15361" width="9.140625" style="36"/>
    <col min="15362" max="15362" width="13.7109375" style="36" customWidth="1"/>
    <col min="15363" max="15363" width="38.85546875" style="36" customWidth="1"/>
    <col min="15364" max="15364" width="16.28515625" style="36" customWidth="1"/>
    <col min="15365" max="15365" width="19.42578125" style="36" customWidth="1"/>
    <col min="15366" max="15366" width="10.85546875" style="36" customWidth="1"/>
    <col min="15367" max="15367" width="9.140625" style="36"/>
    <col min="15368" max="15368" width="16.42578125" style="36" bestFit="1" customWidth="1"/>
    <col min="15369" max="15617" width="9.140625" style="36"/>
    <col min="15618" max="15618" width="13.7109375" style="36" customWidth="1"/>
    <col min="15619" max="15619" width="38.85546875" style="36" customWidth="1"/>
    <col min="15620" max="15620" width="16.28515625" style="36" customWidth="1"/>
    <col min="15621" max="15621" width="19.42578125" style="36" customWidth="1"/>
    <col min="15622" max="15622" width="10.85546875" style="36" customWidth="1"/>
    <col min="15623" max="15623" width="9.140625" style="36"/>
    <col min="15624" max="15624" width="16.42578125" style="36" bestFit="1" customWidth="1"/>
    <col min="15625" max="15873" width="9.140625" style="36"/>
    <col min="15874" max="15874" width="13.7109375" style="36" customWidth="1"/>
    <col min="15875" max="15875" width="38.85546875" style="36" customWidth="1"/>
    <col min="15876" max="15876" width="16.28515625" style="36" customWidth="1"/>
    <col min="15877" max="15877" width="19.42578125" style="36" customWidth="1"/>
    <col min="15878" max="15878" width="10.85546875" style="36" customWidth="1"/>
    <col min="15879" max="15879" width="9.140625" style="36"/>
    <col min="15880" max="15880" width="16.42578125" style="36" bestFit="1" customWidth="1"/>
    <col min="15881" max="16129" width="9.140625" style="36"/>
    <col min="16130" max="16130" width="13.7109375" style="36" customWidth="1"/>
    <col min="16131" max="16131" width="38.85546875" style="36" customWidth="1"/>
    <col min="16132" max="16132" width="16.28515625" style="36" customWidth="1"/>
    <col min="16133" max="16133" width="19.42578125" style="36" customWidth="1"/>
    <col min="16134" max="16134" width="10.85546875" style="36" customWidth="1"/>
    <col min="16135" max="16135" width="9.140625" style="36"/>
    <col min="16136" max="16136" width="16.42578125" style="36" bestFit="1" customWidth="1"/>
    <col min="16137" max="16384" width="9.140625" style="36"/>
  </cols>
  <sheetData>
    <row r="1" spans="2:6" ht="18" customHeight="1" thickBot="1" x14ac:dyDescent="0.3"/>
    <row r="2" spans="2:6" ht="21" customHeight="1" x14ac:dyDescent="0.25">
      <c r="B2" s="103" t="s">
        <v>72</v>
      </c>
      <c r="C2" s="104"/>
      <c r="D2" s="104"/>
      <c r="E2" s="105"/>
    </row>
    <row r="3" spans="2:6" ht="21" customHeight="1" x14ac:dyDescent="0.25">
      <c r="B3" s="106" t="s">
        <v>73</v>
      </c>
      <c r="C3" s="107"/>
      <c r="D3" s="107"/>
      <c r="E3" s="37">
        <v>2400000</v>
      </c>
    </row>
    <row r="4" spans="2:6" s="35" customFormat="1" ht="21" customHeight="1" x14ac:dyDescent="0.25">
      <c r="B4" s="38" t="s">
        <v>74</v>
      </c>
      <c r="C4" s="39" t="s">
        <v>75</v>
      </c>
      <c r="D4" s="39" t="s">
        <v>76</v>
      </c>
      <c r="E4" s="40" t="s">
        <v>77</v>
      </c>
    </row>
    <row r="5" spans="2:6" ht="21" customHeight="1" x14ac:dyDescent="0.25">
      <c r="B5" s="58" t="s">
        <v>110</v>
      </c>
      <c r="C5" s="42" t="s">
        <v>78</v>
      </c>
      <c r="D5" s="43">
        <f t="shared" ref="D5:D8" si="0">+E5/12</f>
        <v>100000</v>
      </c>
      <c r="E5" s="44">
        <f>ROUND(E3*50%,0)</f>
        <v>1200000</v>
      </c>
    </row>
    <row r="6" spans="2:6" ht="21" customHeight="1" x14ac:dyDescent="0.25">
      <c r="B6" s="58" t="s">
        <v>111</v>
      </c>
      <c r="C6" s="42" t="s">
        <v>79</v>
      </c>
      <c r="D6" s="43">
        <f t="shared" si="0"/>
        <v>40000</v>
      </c>
      <c r="E6" s="44">
        <f>+E5*40%</f>
        <v>480000</v>
      </c>
    </row>
    <row r="7" spans="2:6" ht="21" customHeight="1" x14ac:dyDescent="0.25">
      <c r="B7" s="58" t="s">
        <v>112</v>
      </c>
      <c r="C7" s="45" t="s">
        <v>68</v>
      </c>
      <c r="D7" s="43">
        <f t="shared" si="0"/>
        <v>3000</v>
      </c>
      <c r="E7" s="44">
        <v>36000</v>
      </c>
    </row>
    <row r="8" spans="2:6" ht="21" customHeight="1" x14ac:dyDescent="0.25">
      <c r="B8" s="58" t="s">
        <v>113</v>
      </c>
      <c r="C8" s="45" t="s">
        <v>80</v>
      </c>
      <c r="D8" s="43">
        <f t="shared" si="0"/>
        <v>1200</v>
      </c>
      <c r="E8" s="44">
        <f>1200*12</f>
        <v>14400</v>
      </c>
    </row>
    <row r="9" spans="2:6" ht="21" customHeight="1" x14ac:dyDescent="0.25">
      <c r="B9" s="58" t="s">
        <v>114</v>
      </c>
      <c r="C9" s="45" t="s">
        <v>71</v>
      </c>
      <c r="D9" s="43">
        <v>3000</v>
      </c>
      <c r="E9" s="44">
        <f>+D9*12</f>
        <v>36000</v>
      </c>
    </row>
    <row r="10" spans="2:6" ht="21" customHeight="1" x14ac:dyDescent="0.25">
      <c r="B10" s="58" t="s">
        <v>115</v>
      </c>
      <c r="C10" s="45" t="s">
        <v>119</v>
      </c>
      <c r="D10" s="43">
        <v>2000</v>
      </c>
      <c r="E10" s="44">
        <f>+D10*12</f>
        <v>24000</v>
      </c>
    </row>
    <row r="11" spans="2:6" ht="21" customHeight="1" x14ac:dyDescent="0.25">
      <c r="B11" s="58" t="s">
        <v>116</v>
      </c>
      <c r="C11" s="45" t="s">
        <v>120</v>
      </c>
      <c r="D11" s="43">
        <f>+E11/12</f>
        <v>50800</v>
      </c>
      <c r="E11" s="44">
        <f>E3-SUM(E5:E10)</f>
        <v>609600</v>
      </c>
    </row>
    <row r="12" spans="2:6" ht="21" customHeight="1" thickBot="1" x14ac:dyDescent="0.3">
      <c r="B12" s="108" t="s">
        <v>81</v>
      </c>
      <c r="C12" s="109"/>
      <c r="D12" s="46">
        <f>SUM(D5:D11)</f>
        <v>200000</v>
      </c>
      <c r="E12" s="47">
        <f>SUM(E5:E11)</f>
        <v>2400000</v>
      </c>
      <c r="F12" s="48"/>
    </row>
    <row r="13" spans="2:6" ht="21" customHeight="1" x14ac:dyDescent="0.25">
      <c r="B13" s="38" t="s">
        <v>74</v>
      </c>
      <c r="C13" s="39" t="s">
        <v>82</v>
      </c>
      <c r="D13" s="39" t="s">
        <v>76</v>
      </c>
      <c r="E13" s="40" t="s">
        <v>77</v>
      </c>
    </row>
    <row r="14" spans="2:6" ht="21" customHeight="1" x14ac:dyDescent="0.25">
      <c r="B14" s="41">
        <v>1</v>
      </c>
      <c r="C14" s="42" t="s">
        <v>83</v>
      </c>
      <c r="D14" s="43">
        <v>1800</v>
      </c>
      <c r="E14" s="44">
        <f>+D14*12</f>
        <v>21600</v>
      </c>
    </row>
    <row r="15" spans="2:6" ht="21" customHeight="1" x14ac:dyDescent="0.25">
      <c r="B15" s="41">
        <f>B14+1</f>
        <v>2</v>
      </c>
      <c r="C15" s="42" t="s">
        <v>84</v>
      </c>
      <c r="D15" s="43">
        <f>ROUND(IF(D12&lt;15000,D12*1.75%,0),0)</f>
        <v>0</v>
      </c>
      <c r="E15" s="44">
        <f>+D15*12</f>
        <v>0</v>
      </c>
    </row>
    <row r="16" spans="2:6" ht="21" customHeight="1" x14ac:dyDescent="0.25">
      <c r="B16" s="41">
        <f>B15+1</f>
        <v>3</v>
      </c>
      <c r="C16" s="45" t="s">
        <v>85</v>
      </c>
      <c r="D16" s="43">
        <v>200</v>
      </c>
      <c r="E16" s="44">
        <f>+D16*12</f>
        <v>2400</v>
      </c>
    </row>
    <row r="17" spans="2:6" ht="21" customHeight="1" x14ac:dyDescent="0.25">
      <c r="B17" s="41"/>
      <c r="C17" s="45"/>
      <c r="D17" s="43"/>
      <c r="E17" s="44"/>
    </row>
    <row r="18" spans="2:6" ht="21" customHeight="1" thickBot="1" x14ac:dyDescent="0.3">
      <c r="B18" s="108" t="s">
        <v>86</v>
      </c>
      <c r="C18" s="109"/>
      <c r="D18" s="46">
        <f>SUM(D14:D17)</f>
        <v>2000</v>
      </c>
      <c r="E18" s="47">
        <f>SUM(E14:E17)</f>
        <v>24000</v>
      </c>
    </row>
    <row r="19" spans="2:6" ht="21" customHeight="1" x14ac:dyDescent="0.25">
      <c r="B19" s="110" t="s">
        <v>87</v>
      </c>
      <c r="C19" s="111"/>
      <c r="D19" s="49">
        <f>D12-D18</f>
        <v>198000</v>
      </c>
      <c r="E19" s="50">
        <f>E12-E18</f>
        <v>2376000</v>
      </c>
    </row>
    <row r="21" spans="2:6" ht="18" customHeight="1" x14ac:dyDescent="0.25">
      <c r="B21" s="51" t="s">
        <v>88</v>
      </c>
      <c r="C21" s="51"/>
      <c r="D21" s="51"/>
      <c r="E21" s="51"/>
      <c r="F21" s="52"/>
    </row>
  </sheetData>
  <mergeCells count="5">
    <mergeCell ref="B2:E2"/>
    <mergeCell ref="B3:D3"/>
    <mergeCell ref="B12:C12"/>
    <mergeCell ref="B18:C18"/>
    <mergeCell ref="B19:C19"/>
  </mergeCells>
  <pageMargins left="1" right="0.44" top="1.5" bottom="0.5" header="0.3" footer="0.3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69"/>
  <sheetViews>
    <sheetView showGridLines="0" tabSelected="1" topLeftCell="A19" workbookViewId="0">
      <selection activeCell="G26" sqref="G26"/>
    </sheetView>
  </sheetViews>
  <sheetFormatPr defaultRowHeight="18" customHeight="1" x14ac:dyDescent="0.25"/>
  <cols>
    <col min="1" max="1" width="3" style="1" customWidth="1"/>
    <col min="2" max="2" width="25.140625" style="1" customWidth="1"/>
    <col min="3" max="3" width="41.28515625" style="1" customWidth="1"/>
    <col min="4" max="4" width="10.7109375" style="1" customWidth="1"/>
    <col min="5" max="5" width="14.7109375" style="1" customWidth="1"/>
    <col min="6" max="6" width="13.42578125" style="1" customWidth="1"/>
    <col min="7" max="7" width="18.85546875" style="1" customWidth="1"/>
    <col min="8" max="8" width="9.140625" style="1" customWidth="1"/>
    <col min="9" max="9" width="13.42578125" style="7" customWidth="1"/>
    <col min="10" max="10" width="12.5703125" style="1" customWidth="1"/>
    <col min="11" max="16384" width="9.140625" style="1"/>
  </cols>
  <sheetData>
    <row r="1" spans="2:8" ht="42" customHeight="1" x14ac:dyDescent="0.25">
      <c r="B1" s="59"/>
      <c r="C1" s="60"/>
      <c r="D1" s="60"/>
      <c r="E1" s="61"/>
    </row>
    <row r="2" spans="2:8" ht="26.25" customHeight="1" x14ac:dyDescent="0.25">
      <c r="B2" s="112" t="s">
        <v>121</v>
      </c>
      <c r="C2" s="113"/>
      <c r="D2" s="113"/>
      <c r="E2" s="114"/>
    </row>
    <row r="3" spans="2:8" ht="19.5" customHeight="1" x14ac:dyDescent="0.25">
      <c r="B3" s="62" t="s">
        <v>0</v>
      </c>
      <c r="C3" s="10" t="s">
        <v>1</v>
      </c>
      <c r="D3" s="11" t="s">
        <v>2</v>
      </c>
      <c r="E3" s="63" t="s">
        <v>3</v>
      </c>
    </row>
    <row r="4" spans="2:8" ht="18" customHeight="1" x14ac:dyDescent="0.25">
      <c r="B4" s="64" t="s">
        <v>50</v>
      </c>
      <c r="C4" s="25" t="s">
        <v>6</v>
      </c>
      <c r="D4" s="17" t="s">
        <v>7</v>
      </c>
      <c r="E4" s="65">
        <f>'CTC Break Up'!E3</f>
        <v>2400000</v>
      </c>
    </row>
    <row r="5" spans="2:8" ht="19.5" customHeight="1" x14ac:dyDescent="0.25">
      <c r="B5" s="66" t="s">
        <v>44</v>
      </c>
      <c r="C5" s="13" t="s">
        <v>46</v>
      </c>
      <c r="D5" s="14" t="s">
        <v>7</v>
      </c>
      <c r="E5" s="67">
        <f>MIN(E49,E50,E51)</f>
        <v>240000</v>
      </c>
    </row>
    <row r="6" spans="2:8" ht="19.5" customHeight="1" x14ac:dyDescent="0.25">
      <c r="B6" s="66" t="s">
        <v>45</v>
      </c>
      <c r="C6" s="13" t="s">
        <v>69</v>
      </c>
      <c r="D6" s="14" t="s">
        <v>7</v>
      </c>
      <c r="E6" s="102">
        <v>16000</v>
      </c>
    </row>
    <row r="7" spans="2:8" ht="19.5" customHeight="1" x14ac:dyDescent="0.25">
      <c r="B7" s="66" t="s">
        <v>45</v>
      </c>
      <c r="C7" s="13" t="s">
        <v>68</v>
      </c>
      <c r="D7" s="14" t="s">
        <v>7</v>
      </c>
      <c r="E7" s="102">
        <v>24000</v>
      </c>
    </row>
    <row r="8" spans="2:8" ht="19.5" customHeight="1" x14ac:dyDescent="0.25">
      <c r="B8" s="66" t="s">
        <v>45</v>
      </c>
      <c r="C8" s="13" t="s">
        <v>71</v>
      </c>
      <c r="D8" s="14" t="s">
        <v>7</v>
      </c>
      <c r="E8" s="102">
        <v>36000</v>
      </c>
    </row>
    <row r="9" spans="2:8" ht="19.5" customHeight="1" x14ac:dyDescent="0.25">
      <c r="B9" s="66" t="s">
        <v>45</v>
      </c>
      <c r="C9" s="13" t="s">
        <v>119</v>
      </c>
      <c r="D9" s="14" t="s">
        <v>7</v>
      </c>
      <c r="E9" s="102">
        <v>16000</v>
      </c>
    </row>
    <row r="10" spans="2:8" ht="19.5" customHeight="1" x14ac:dyDescent="0.25">
      <c r="B10" s="66" t="s">
        <v>51</v>
      </c>
      <c r="C10" s="13" t="s">
        <v>51</v>
      </c>
      <c r="D10" s="14" t="s">
        <v>7</v>
      </c>
      <c r="E10" s="102">
        <v>2400</v>
      </c>
      <c r="F10" s="53"/>
    </row>
    <row r="11" spans="2:8" ht="18" customHeight="1" x14ac:dyDescent="0.25">
      <c r="B11" s="64" t="s">
        <v>54</v>
      </c>
      <c r="C11" s="25" t="s">
        <v>8</v>
      </c>
      <c r="D11" s="17" t="s">
        <v>9</v>
      </c>
      <c r="E11" s="65">
        <f>E4-SUM(E5:E10)</f>
        <v>2065600</v>
      </c>
    </row>
    <row r="12" spans="2:8" ht="18" customHeight="1" x14ac:dyDescent="0.25">
      <c r="B12" s="66" t="s">
        <v>49</v>
      </c>
      <c r="C12" s="18" t="s">
        <v>53</v>
      </c>
      <c r="D12" s="14" t="s">
        <v>7</v>
      </c>
      <c r="E12" s="102">
        <f>98000+21600</f>
        <v>119600</v>
      </c>
      <c r="G12" s="12" t="s">
        <v>49</v>
      </c>
      <c r="H12" s="1" t="s">
        <v>93</v>
      </c>
    </row>
    <row r="13" spans="2:8" ht="19.5" customHeight="1" x14ac:dyDescent="0.25">
      <c r="B13" s="66" t="s">
        <v>70</v>
      </c>
      <c r="C13" s="18" t="s">
        <v>96</v>
      </c>
      <c r="D13" s="14" t="s">
        <v>7</v>
      </c>
      <c r="E13" s="102">
        <v>25000</v>
      </c>
      <c r="G13" s="8"/>
    </row>
    <row r="14" spans="2:8" ht="19.5" customHeight="1" x14ac:dyDescent="0.25">
      <c r="B14" s="66" t="s">
        <v>94</v>
      </c>
      <c r="C14" s="18" t="s">
        <v>95</v>
      </c>
      <c r="D14" s="14" t="s">
        <v>7</v>
      </c>
      <c r="E14" s="102">
        <v>50000</v>
      </c>
      <c r="G14" s="12" t="s">
        <v>97</v>
      </c>
      <c r="H14" s="1" t="s">
        <v>98</v>
      </c>
    </row>
    <row r="15" spans="2:8" ht="18" customHeight="1" x14ac:dyDescent="0.25">
      <c r="B15" s="66" t="s">
        <v>47</v>
      </c>
      <c r="C15" s="18" t="s">
        <v>48</v>
      </c>
      <c r="D15" s="14" t="s">
        <v>7</v>
      </c>
      <c r="E15" s="102">
        <v>25000</v>
      </c>
    </row>
    <row r="16" spans="2:8" ht="18" customHeight="1" x14ac:dyDescent="0.25">
      <c r="B16" s="66" t="s">
        <v>63</v>
      </c>
      <c r="C16" s="18" t="s">
        <v>90</v>
      </c>
      <c r="D16" s="14" t="s">
        <v>7</v>
      </c>
      <c r="E16" s="102">
        <v>50000</v>
      </c>
      <c r="G16" s="12" t="s">
        <v>63</v>
      </c>
      <c r="H16" s="54" t="s">
        <v>91</v>
      </c>
    </row>
    <row r="17" spans="2:11" ht="18" customHeight="1" x14ac:dyDescent="0.25">
      <c r="B17" s="66" t="s">
        <v>64</v>
      </c>
      <c r="C17" s="18" t="s">
        <v>65</v>
      </c>
      <c r="D17" s="14" t="s">
        <v>7</v>
      </c>
      <c r="E17" s="102">
        <v>72000</v>
      </c>
      <c r="G17" s="54"/>
      <c r="H17" s="54" t="s">
        <v>92</v>
      </c>
    </row>
    <row r="18" spans="2:11" ht="18" customHeight="1" x14ac:dyDescent="0.25">
      <c r="B18" s="66" t="s">
        <v>66</v>
      </c>
      <c r="C18" s="18" t="s">
        <v>67</v>
      </c>
      <c r="D18" s="14" t="s">
        <v>7</v>
      </c>
      <c r="E18" s="102">
        <v>10000</v>
      </c>
    </row>
    <row r="19" spans="2:11" ht="19.5" customHeight="1" x14ac:dyDescent="0.25">
      <c r="B19" s="66" t="s">
        <v>89</v>
      </c>
      <c r="C19" s="13" t="s">
        <v>62</v>
      </c>
      <c r="D19" s="14" t="s">
        <v>7</v>
      </c>
      <c r="E19" s="102">
        <v>200000</v>
      </c>
      <c r="G19" s="12" t="s">
        <v>99</v>
      </c>
      <c r="H19" s="1" t="s">
        <v>100</v>
      </c>
    </row>
    <row r="20" spans="2:11" ht="18" customHeight="1" x14ac:dyDescent="0.25">
      <c r="B20" s="64" t="s">
        <v>61</v>
      </c>
      <c r="C20" s="25"/>
      <c r="D20" s="17"/>
      <c r="E20" s="65">
        <f>SUM(E12:E19)</f>
        <v>551600</v>
      </c>
    </row>
    <row r="21" spans="2:11" ht="18" customHeight="1" thickBot="1" x14ac:dyDescent="0.3">
      <c r="B21" s="68" t="s">
        <v>10</v>
      </c>
      <c r="C21" s="69" t="s">
        <v>11</v>
      </c>
      <c r="D21" s="70" t="s">
        <v>9</v>
      </c>
      <c r="E21" s="71">
        <f>E11-E20</f>
        <v>1514000</v>
      </c>
      <c r="F21" s="53"/>
      <c r="G21" s="53"/>
    </row>
    <row r="22" spans="2:11" ht="18" customHeight="1" thickBot="1" x14ac:dyDescent="0.3">
      <c r="F22" s="53"/>
      <c r="G22" s="53"/>
    </row>
    <row r="23" spans="2:11" ht="18" customHeight="1" x14ac:dyDescent="0.25">
      <c r="B23" s="72" t="s">
        <v>12</v>
      </c>
      <c r="C23" s="73" t="s">
        <v>13</v>
      </c>
      <c r="D23" s="73" t="s">
        <v>14</v>
      </c>
      <c r="E23" s="74" t="s">
        <v>15</v>
      </c>
    </row>
    <row r="24" spans="2:11" ht="19.5" customHeight="1" x14ac:dyDescent="0.25">
      <c r="B24" s="66" t="s">
        <v>4</v>
      </c>
      <c r="C24" s="32" t="s">
        <v>42</v>
      </c>
      <c r="D24" s="14" t="s">
        <v>7</v>
      </c>
      <c r="E24" s="75" t="s">
        <v>5</v>
      </c>
    </row>
    <row r="25" spans="2:11" ht="18" customHeight="1" x14ac:dyDescent="0.25">
      <c r="B25" s="76">
        <v>250000</v>
      </c>
      <c r="C25" s="16">
        <f>IF(E21&lt;=B25,E21-0,B25)</f>
        <v>250000</v>
      </c>
      <c r="D25" s="19">
        <v>0</v>
      </c>
      <c r="E25" s="67">
        <f>C25*D25</f>
        <v>0</v>
      </c>
      <c r="I25" s="1"/>
      <c r="J25" s="7"/>
    </row>
    <row r="26" spans="2:11" ht="18" customHeight="1" x14ac:dyDescent="0.25">
      <c r="B26" s="77">
        <v>500000</v>
      </c>
      <c r="C26" s="16">
        <f>MAX(IF(E21&lt;=B26,E21-B25,B26-B25),IF(E21&gt;B25,,0))</f>
        <v>250000</v>
      </c>
      <c r="D26" s="19">
        <v>0.05</v>
      </c>
      <c r="E26" s="67">
        <f>C26*D26</f>
        <v>12500</v>
      </c>
      <c r="I26" s="1"/>
      <c r="J26" s="7"/>
    </row>
    <row r="27" spans="2:11" ht="18" customHeight="1" x14ac:dyDescent="0.25">
      <c r="B27" s="77">
        <v>1000000</v>
      </c>
      <c r="C27" s="16">
        <f>MAX(IF(E21&lt;=B27,E21-B26,B27-B26),IF(E21&gt;B26,,0))</f>
        <v>500000</v>
      </c>
      <c r="D27" s="19">
        <v>0.2</v>
      </c>
      <c r="E27" s="67">
        <f>C27*D27</f>
        <v>100000</v>
      </c>
      <c r="I27" s="1"/>
      <c r="J27" s="7"/>
    </row>
    <row r="28" spans="2:11" ht="18" customHeight="1" x14ac:dyDescent="0.25">
      <c r="B28" s="78" t="s">
        <v>16</v>
      </c>
      <c r="C28" s="16">
        <f>MAX(E21&gt;B27,E21-B27,0)</f>
        <v>514000</v>
      </c>
      <c r="D28" s="19">
        <v>0.3</v>
      </c>
      <c r="E28" s="67">
        <f>C28*D28</f>
        <v>154200</v>
      </c>
      <c r="F28" s="2"/>
      <c r="I28" s="1"/>
      <c r="J28" s="7"/>
    </row>
    <row r="29" spans="2:11" s="4" customFormat="1" ht="18" customHeight="1" x14ac:dyDescent="0.25">
      <c r="B29" s="79" t="s">
        <v>17</v>
      </c>
      <c r="C29" s="31"/>
      <c r="D29" s="17" t="s">
        <v>9</v>
      </c>
      <c r="E29" s="65">
        <f>SUM(E25:E28)</f>
        <v>266700</v>
      </c>
      <c r="I29" s="1"/>
      <c r="J29" s="7"/>
      <c r="K29" s="1"/>
    </row>
    <row r="30" spans="2:11" ht="18" customHeight="1" x14ac:dyDescent="0.25">
      <c r="B30" s="80" t="s">
        <v>56</v>
      </c>
      <c r="C30" s="14" t="s">
        <v>118</v>
      </c>
      <c r="D30" s="22">
        <v>0.1</v>
      </c>
      <c r="E30" s="67">
        <f>IF(E21&gt;10000000,0,(IF(E21&gt;5000000,E29*D30,0)))</f>
        <v>0</v>
      </c>
    </row>
    <row r="31" spans="2:11" ht="18" customHeight="1" x14ac:dyDescent="0.25">
      <c r="B31" s="80" t="s">
        <v>56</v>
      </c>
      <c r="C31" s="14" t="s">
        <v>117</v>
      </c>
      <c r="D31" s="22">
        <v>0.15</v>
      </c>
      <c r="E31" s="67">
        <f>IF(E21&gt;10000000,E29*D31,0)</f>
        <v>0</v>
      </c>
    </row>
    <row r="32" spans="2:11" s="4" customFormat="1" ht="18" customHeight="1" x14ac:dyDescent="0.25">
      <c r="B32" s="79" t="s">
        <v>55</v>
      </c>
      <c r="C32" s="17"/>
      <c r="D32" s="33" t="s">
        <v>9</v>
      </c>
      <c r="E32" s="65">
        <f>E29+E30+E31</f>
        <v>266700</v>
      </c>
      <c r="I32" s="5"/>
    </row>
    <row r="33" spans="2:7" ht="18" customHeight="1" x14ac:dyDescent="0.25">
      <c r="B33" s="80" t="s">
        <v>18</v>
      </c>
      <c r="C33" s="20"/>
      <c r="D33" s="19">
        <v>0.04</v>
      </c>
      <c r="E33" s="67">
        <f>D33*E32</f>
        <v>10668</v>
      </c>
    </row>
    <row r="34" spans="2:7" ht="18" customHeight="1" x14ac:dyDescent="0.25">
      <c r="B34" s="81" t="s">
        <v>57</v>
      </c>
      <c r="C34" s="21"/>
      <c r="D34" s="15" t="s">
        <v>9</v>
      </c>
      <c r="E34" s="82">
        <f>E32+E33</f>
        <v>277368</v>
      </c>
    </row>
    <row r="35" spans="2:7" ht="18" customHeight="1" x14ac:dyDescent="0.25">
      <c r="B35" s="80" t="s">
        <v>43</v>
      </c>
      <c r="C35" s="14" t="s">
        <v>122</v>
      </c>
      <c r="D35" s="22" t="s">
        <v>9</v>
      </c>
      <c r="E35" s="67">
        <f>IF(E21&lt;350000,2500,0)</f>
        <v>0</v>
      </c>
    </row>
    <row r="36" spans="2:7" ht="18" customHeight="1" thickBot="1" x14ac:dyDescent="0.3">
      <c r="B36" s="83" t="s">
        <v>52</v>
      </c>
      <c r="C36" s="84"/>
      <c r="D36" s="85" t="s">
        <v>9</v>
      </c>
      <c r="E36" s="86">
        <f>E34-E35</f>
        <v>277368</v>
      </c>
    </row>
    <row r="37" spans="2:7" ht="18" customHeight="1" thickBot="1" x14ac:dyDescent="0.3">
      <c r="E37" s="3"/>
    </row>
    <row r="38" spans="2:7" ht="24.75" customHeight="1" x14ac:dyDescent="0.25">
      <c r="B38" s="115" t="s">
        <v>21</v>
      </c>
      <c r="C38" s="116"/>
      <c r="D38" s="116"/>
      <c r="E38" s="117"/>
    </row>
    <row r="39" spans="2:7" ht="18" customHeight="1" x14ac:dyDescent="0.25">
      <c r="B39" s="87" t="s">
        <v>19</v>
      </c>
      <c r="C39" s="27" t="s">
        <v>59</v>
      </c>
      <c r="D39" s="24" t="s">
        <v>9</v>
      </c>
      <c r="E39" s="88">
        <f>E4/12</f>
        <v>200000</v>
      </c>
    </row>
    <row r="40" spans="2:7" ht="18" customHeight="1" x14ac:dyDescent="0.25">
      <c r="B40" s="87" t="s">
        <v>20</v>
      </c>
      <c r="C40" s="27" t="s">
        <v>58</v>
      </c>
      <c r="D40" s="24" t="s">
        <v>9</v>
      </c>
      <c r="E40" s="89">
        <f>E36/12</f>
        <v>23114</v>
      </c>
      <c r="F40" s="34"/>
    </row>
    <row r="41" spans="2:7" ht="18" customHeight="1" thickBot="1" x14ac:dyDescent="0.3">
      <c r="B41" s="90" t="s">
        <v>21</v>
      </c>
      <c r="C41" s="91" t="s">
        <v>60</v>
      </c>
      <c r="D41" s="70" t="s">
        <v>9</v>
      </c>
      <c r="E41" s="92">
        <f>E40/E39</f>
        <v>0.11557000000000001</v>
      </c>
    </row>
    <row r="42" spans="2:7" ht="18" customHeight="1" thickBot="1" x14ac:dyDescent="0.3">
      <c r="C42" s="28"/>
      <c r="D42" s="29"/>
      <c r="E42" s="30"/>
    </row>
    <row r="43" spans="2:7" ht="25.5" customHeight="1" x14ac:dyDescent="0.25">
      <c r="B43" s="115" t="s">
        <v>22</v>
      </c>
      <c r="C43" s="116"/>
      <c r="D43" s="116"/>
      <c r="E43" s="117"/>
      <c r="G43" s="55" t="s">
        <v>101</v>
      </c>
    </row>
    <row r="44" spans="2:7" ht="15.75" x14ac:dyDescent="0.25">
      <c r="B44" s="119" t="s">
        <v>23</v>
      </c>
      <c r="C44" s="120"/>
      <c r="D44" s="26" t="s">
        <v>26</v>
      </c>
      <c r="E44" s="93" t="s">
        <v>24</v>
      </c>
      <c r="G44" s="56" t="s">
        <v>102</v>
      </c>
    </row>
    <row r="45" spans="2:7" ht="18" customHeight="1" x14ac:dyDescent="0.25">
      <c r="B45" s="119" t="s">
        <v>25</v>
      </c>
      <c r="C45" s="120"/>
      <c r="D45" s="26" t="s">
        <v>26</v>
      </c>
      <c r="E45" s="67">
        <f>'CTC Break Up'!E5</f>
        <v>1200000</v>
      </c>
      <c r="G45" t="s">
        <v>103</v>
      </c>
    </row>
    <row r="46" spans="2:7" ht="18" customHeight="1" x14ac:dyDescent="0.25">
      <c r="B46" s="119" t="s">
        <v>27</v>
      </c>
      <c r="C46" s="120"/>
      <c r="D46" s="26" t="s">
        <v>26</v>
      </c>
      <c r="E46" s="67">
        <f>'CTC Break Up'!E6</f>
        <v>480000</v>
      </c>
      <c r="G46" s="54" t="s">
        <v>104</v>
      </c>
    </row>
    <row r="47" spans="2:7" ht="18" customHeight="1" x14ac:dyDescent="0.25">
      <c r="B47" s="119" t="s">
        <v>28</v>
      </c>
      <c r="C47" s="120"/>
      <c r="D47" s="26" t="s">
        <v>26</v>
      </c>
      <c r="E47" s="102">
        <v>360000</v>
      </c>
      <c r="G47" s="54" t="s">
        <v>105</v>
      </c>
    </row>
    <row r="48" spans="2:7" ht="18" customHeight="1" x14ac:dyDescent="0.25">
      <c r="B48" s="94" t="s">
        <v>29</v>
      </c>
      <c r="C48" s="95"/>
      <c r="D48" s="95"/>
      <c r="E48" s="96">
        <f>MIN(E49:E51)</f>
        <v>240000</v>
      </c>
      <c r="G48" s="54" t="s">
        <v>106</v>
      </c>
    </row>
    <row r="49" spans="2:8" ht="18" customHeight="1" x14ac:dyDescent="0.25">
      <c r="B49" s="97">
        <v>1</v>
      </c>
      <c r="C49" s="23" t="s">
        <v>30</v>
      </c>
      <c r="D49" s="26" t="s">
        <v>9</v>
      </c>
      <c r="E49" s="67">
        <f>E46</f>
        <v>480000</v>
      </c>
      <c r="G49" s="57" t="s">
        <v>107</v>
      </c>
    </row>
    <row r="50" spans="2:8" ht="18" customHeight="1" x14ac:dyDescent="0.25">
      <c r="B50" s="97">
        <v>2</v>
      </c>
      <c r="C50" s="27" t="s">
        <v>31</v>
      </c>
      <c r="D50" s="26" t="s">
        <v>9</v>
      </c>
      <c r="E50" s="67">
        <f>IF(E44=B61,E45*D61,E45*D62)</f>
        <v>600000</v>
      </c>
      <c r="G50" s="57" t="s">
        <v>108</v>
      </c>
    </row>
    <row r="51" spans="2:8" ht="22.5" customHeight="1" thickBot="1" x14ac:dyDescent="0.3">
      <c r="B51" s="98">
        <v>3</v>
      </c>
      <c r="C51" s="99" t="s">
        <v>32</v>
      </c>
      <c r="D51" s="100" t="s">
        <v>9</v>
      </c>
      <c r="E51" s="101">
        <f>E47-(10%*(E45))</f>
        <v>240000</v>
      </c>
      <c r="F51" s="6"/>
      <c r="G51" s="57" t="s">
        <v>109</v>
      </c>
      <c r="H51" s="7"/>
    </row>
    <row r="52" spans="2:8" ht="18" customHeight="1" x14ac:dyDescent="0.25">
      <c r="E52" s="7"/>
    </row>
    <row r="54" spans="2:8" ht="22.5" hidden="1" customHeight="1" x14ac:dyDescent="0.25">
      <c r="B54" s="118" t="s">
        <v>33</v>
      </c>
      <c r="C54" s="118"/>
      <c r="D54" s="118"/>
      <c r="E54" s="118"/>
    </row>
    <row r="55" spans="2:8" ht="15.75" hidden="1" customHeight="1" x14ac:dyDescent="0.25">
      <c r="B55" s="1" t="s">
        <v>34</v>
      </c>
      <c r="C55" s="1" t="s">
        <v>35</v>
      </c>
      <c r="D55" s="1" t="s">
        <v>36</v>
      </c>
    </row>
    <row r="56" spans="2:8" ht="15.75" hidden="1" customHeight="1" x14ac:dyDescent="0.25">
      <c r="B56" s="1" t="s">
        <v>5</v>
      </c>
      <c r="C56" s="8" t="s">
        <v>37</v>
      </c>
      <c r="D56" s="3">
        <v>250000</v>
      </c>
    </row>
    <row r="57" spans="2:8" ht="15.75" hidden="1" customHeight="1" x14ac:dyDescent="0.25">
      <c r="B57" s="1" t="s">
        <v>38</v>
      </c>
      <c r="C57" s="8" t="s">
        <v>37</v>
      </c>
      <c r="D57" s="3">
        <v>250000</v>
      </c>
    </row>
    <row r="58" spans="2:8" ht="15.75" hidden="1" customHeight="1" x14ac:dyDescent="0.25">
      <c r="B58" s="1" t="s">
        <v>39</v>
      </c>
      <c r="C58" s="1">
        <v>60</v>
      </c>
      <c r="D58" s="3">
        <v>300000</v>
      </c>
    </row>
    <row r="59" spans="2:8" ht="15.75" hidden="1" customHeight="1" x14ac:dyDescent="0.25">
      <c r="B59" s="1" t="s">
        <v>40</v>
      </c>
      <c r="C59" s="1">
        <v>80</v>
      </c>
      <c r="D59" s="3">
        <v>500000</v>
      </c>
    </row>
    <row r="60" spans="2:8" ht="15.75" hidden="1" customHeight="1" x14ac:dyDescent="0.25">
      <c r="D60" s="7"/>
    </row>
    <row r="61" spans="2:8" ht="15.75" hidden="1" customHeight="1" x14ac:dyDescent="0.25">
      <c r="B61" s="8" t="s">
        <v>24</v>
      </c>
      <c r="D61" s="9">
        <v>0.5</v>
      </c>
    </row>
    <row r="62" spans="2:8" ht="15.75" hidden="1" customHeight="1" x14ac:dyDescent="0.25">
      <c r="B62" s="8" t="s">
        <v>41</v>
      </c>
      <c r="D62" s="9">
        <v>0.4</v>
      </c>
    </row>
    <row r="63" spans="2:8" ht="18" hidden="1" customHeight="1" x14ac:dyDescent="0.25"/>
    <row r="64" spans="2:8" ht="18" hidden="1" customHeight="1" x14ac:dyDescent="0.25"/>
    <row r="65" ht="18" hidden="1" customHeight="1" x14ac:dyDescent="0.25"/>
    <row r="66" ht="18" hidden="1" customHeight="1" x14ac:dyDescent="0.25"/>
    <row r="67" ht="18" hidden="1" customHeight="1" x14ac:dyDescent="0.25"/>
    <row r="68" ht="18" hidden="1" customHeight="1" x14ac:dyDescent="0.25"/>
    <row r="69" ht="18" hidden="1" customHeight="1" x14ac:dyDescent="0.25"/>
  </sheetData>
  <mergeCells count="8">
    <mergeCell ref="B2:E2"/>
    <mergeCell ref="B43:E43"/>
    <mergeCell ref="B54:E54"/>
    <mergeCell ref="B38:E38"/>
    <mergeCell ref="B44:C44"/>
    <mergeCell ref="B45:C45"/>
    <mergeCell ref="B46:C46"/>
    <mergeCell ref="B47:C47"/>
  </mergeCells>
  <dataValidations count="9">
    <dataValidation type="list" allowBlank="1" showInputMessage="1" showErrorMessage="1" sqref="E44" xr:uid="{00000000-0002-0000-0100-000000000000}">
      <formula1>$B$61:$B$62</formula1>
    </dataValidation>
    <dataValidation type="list" allowBlank="1" showInputMessage="1" showErrorMessage="1" sqref="E24" xr:uid="{00000000-0002-0000-0100-000001000000}">
      <formula1>$B$56:$B$59</formula1>
    </dataValidation>
    <dataValidation type="whole" errorStyle="warning" operator="lessThanOrEqual" allowBlank="1" showInputMessage="1" showErrorMessage="1" errorTitle="Benefit Limit" error="Are you sure you are eligible for Home Loan Interest Benefit beyond Rs. 1.5 Lakhs and upto Rs. 2.5 Lakhs " sqref="E20" xr:uid="{00000000-0002-0000-0100-000002000000}">
      <formula1>150000</formula1>
    </dataValidation>
    <dataValidation type="whole" operator="lessThanOrEqual" allowBlank="1" showInputMessage="1" showErrorMessage="1" errorTitle="Deduction Limit" error="Should be less than or equal to Rs. 1.5 Lakh" promptTitle="Should be Rs. 1.5 Lakh or less" sqref="E12" xr:uid="{00000000-0002-0000-0100-000003000000}">
      <formula1>150000</formula1>
    </dataValidation>
    <dataValidation type="whole" operator="lessThanOrEqual" allowBlank="1" showInputMessage="1" showErrorMessage="1" errorTitle="Deduction Limit" error="Should be less than or equal to Rs. 25,000 i.e. 50% of maximum investments Rs. 50,000 for the first time." sqref="E13" xr:uid="{00000000-0002-0000-0100-000004000000}">
      <formula1>25000</formula1>
    </dataValidation>
    <dataValidation type="whole" operator="lessThanOrEqual" allowBlank="1" showInputMessage="1" showErrorMessage="1" errorTitle="Deduction Limit" error="Should be less than Rs. 15,000 or Rs. 35,000 if parents are also covered and are over 60 year" sqref="E15" xr:uid="{00000000-0002-0000-0100-000005000000}">
      <formula1>35000</formula1>
    </dataValidation>
    <dataValidation type="whole" operator="lessThanOrEqual" allowBlank="1" showInputMessage="1" showErrorMessage="1" errorTitle="Benefit Limit" error="Should be less than Rs. 2.0 lakhs" sqref="E19" xr:uid="{00000000-0002-0000-0100-000006000000}">
      <formula1>200000</formula1>
    </dataValidation>
    <dataValidation operator="lessThanOrEqual" allowBlank="1" showInputMessage="1" showErrorMessage="1" errorTitle="Deduction Limit" error="Should be less than Rs. 15,000 or Rs. 35,000 if parents are also covered and are over 60 year" sqref="E16:E17 E14" xr:uid="{00000000-0002-0000-0100-000007000000}"/>
    <dataValidation type="whole" operator="lessThanOrEqual" allowBlank="1" showInputMessage="1" showErrorMessage="1" errorTitle="Deduction Limit" error="Should be less than Rs. 10,000 which is the limit specified" sqref="E18" xr:uid="{00000000-0002-0000-0100-000008000000}">
      <formula1>10000</formula1>
    </dataValidation>
  </dataValidations>
  <pageMargins left="0.39370078740157483" right="0.39370078740157483" top="0.74803149606299213" bottom="0.74803149606299213" header="0.31496062992125984" footer="0.31496062992125984"/>
  <pageSetup paperSize="9" orientation="portrait" r:id="rId1"/>
  <ignoredErrors>
    <ignoredError sqref="E3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CTC Break Up</vt:lpstr>
      <vt:lpstr>Income 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Sadique Neelgund</dc:creator>
  <cp:lastModifiedBy>Dell</cp:lastModifiedBy>
  <dcterms:created xsi:type="dcterms:W3CDTF">2013-02-28T10:39:16Z</dcterms:created>
  <dcterms:modified xsi:type="dcterms:W3CDTF">2018-12-17T05:00:06Z</dcterms:modified>
</cp:coreProperties>
</file>