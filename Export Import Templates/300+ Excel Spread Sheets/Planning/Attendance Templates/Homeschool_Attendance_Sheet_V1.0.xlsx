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Attendance" sheetId="1" r:id="rId1"/>
    <sheet name="Setup" sheetId="2" r:id="rId2"/>
    <sheet name="Copyright" sheetId="3" r:id="rId3"/>
    <sheet name="Copyright-2" sheetId="4" state="hidden" r:id="rId4"/>
  </sheets>
  <calcPr calcId="162913"/>
</workbook>
</file>

<file path=xl/calcChain.xml><?xml version="1.0" encoding="utf-8"?>
<calcChain xmlns="http://schemas.openxmlformats.org/spreadsheetml/2006/main">
  <c r="A4" i="2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B20" i="1" s="1"/>
  <c r="B9" i="1" l="1"/>
  <c r="B18" i="1"/>
  <c r="B11" i="1"/>
  <c r="B15" i="1"/>
  <c r="B19" i="1"/>
  <c r="B13" i="1"/>
  <c r="B17" i="1"/>
  <c r="B10" i="1"/>
  <c r="B14" i="1"/>
  <c r="B12" i="1"/>
  <c r="B16" i="1"/>
</calcChain>
</file>

<file path=xl/comments1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select starting month here</t>
        </r>
      </text>
    </comment>
  </commentList>
</comments>
</file>

<file path=xl/sharedStrings.xml><?xml version="1.0" encoding="utf-8"?>
<sst xmlns="http://schemas.openxmlformats.org/spreadsheetml/2006/main" count="31" uniqueCount="28">
  <si>
    <t>HOMESCHOOL ATTENDANCE SHEET</t>
  </si>
  <si>
    <t>School Term</t>
  </si>
  <si>
    <t>State</t>
  </si>
  <si>
    <t>Student's Name</t>
  </si>
  <si>
    <t>Chief Administrator</t>
  </si>
  <si>
    <t>School Name</t>
  </si>
  <si>
    <t>Chief Administrator Signature</t>
  </si>
  <si>
    <t>Date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</si>
  <si>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</si>
  <si>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</si>
  <si>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</si>
  <si>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</si>
  <si>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</si>
  <si>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</si>
  <si>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</si>
  <si>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</si>
  <si>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</si>
  <si>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</si>
  <si>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</si>
  <si>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</si>
  <si>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</si>
  <si>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Starting Month</t>
  </si>
  <si>
    <t>Month</t>
  </si>
  <si>
    <t>County</t>
  </si>
  <si>
    <t>Total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</si>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</sst>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3" fillId="0" borderId="4" xfId="0" applyFont="1" applyBorder="1"/>
    <xf numFmtId="0" fontId="1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4" borderId="7" xfId="0" applyFont="1" applyFill="1" applyBorder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8" fillId="0" borderId="0" xfId="2" applyFont="1"/>
    <xf numFmtId="0" fontId="5" fillId="0" borderId="0" xfId="1" applyFont="1" applyAlignment="1"/>
    <xf numFmtId="0" fontId="9" fillId="0" borderId="0" xfId="2" applyFont="1" applyAlignment="1"/>
    <xf numFmtId="0" fontId="4" fillId="0" borderId="0" xfId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0" xfId="1" applyFont="1" applyAlignment="1">
      <alignment horizontal="left"/>
    </xf>
    <xf numFmtId="0" fontId="9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7"/>
  <sheetViews>
    <sheetView showGridLines="0" tabSelected="1" view="pageLayout" topLeftCell="B1" zoomScaleNormal="100" workbookViewId="0">
      <selection activeCell="X6" sqref="X6"/>
    </sheetView>
  </sheetViews>
  <sheetFormatPr defaultColWidth="8.6640625" defaultRowHeight="14.4" x14ac:dyDescent="0.3"/>
  <cols>
    <col min="1" max="1" width="4.33203125" hidden="1" customWidth="1"/>
    <col min="2" max="2" width="13.33203125" customWidth="1"/>
    <col min="3" max="33" width="3.109375" customWidth="1"/>
    <col min="34" max="34" width="6.44140625" customWidth="1"/>
    <col min="35" max="35" width="3.6640625" customWidth="1"/>
  </cols>
  <sheetData>
    <row r="1" spans="1:34" ht="21" x14ac:dyDescent="0.4">
      <c r="B1" s="9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8" customHeight="1" x14ac:dyDescent="0.3"/>
    <row r="3" spans="1:34" ht="18" customHeight="1" x14ac:dyDescent="0.3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R3" s="3" t="s">
        <v>5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8" customHeight="1" x14ac:dyDescent="0.3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R4" s="4" t="s">
        <v>23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8" customHeight="1" x14ac:dyDescent="0.3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34" ht="18" customHeight="1" x14ac:dyDescent="0.3">
      <c r="B6" s="4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34" ht="18" customHeight="1" thickBot="1" x14ac:dyDescent="0.35"/>
    <row r="8" spans="1:34" ht="18" customHeight="1" thickBot="1" x14ac:dyDescent="0.35">
      <c r="B8" s="7" t="s">
        <v>22</v>
      </c>
      <c r="C8" s="8">
        <v>1</v>
      </c>
      <c r="D8" s="8">
        <v>2</v>
      </c>
      <c r="E8" s="8">
        <v>3</v>
      </c>
      <c r="F8" s="8">
        <v>4</v>
      </c>
      <c r="G8" s="8">
        <v>5</v>
      </c>
      <c r="H8" s="8">
        <v>6</v>
      </c>
      <c r="I8" s="8">
        <v>7</v>
      </c>
      <c r="J8" s="8">
        <v>8</v>
      </c>
      <c r="K8" s="8">
        <v>9</v>
      </c>
      <c r="L8" s="8">
        <v>10</v>
      </c>
      <c r="M8" s="8">
        <v>11</v>
      </c>
      <c r="N8" s="8">
        <v>12</v>
      </c>
      <c r="O8" s="8">
        <v>13</v>
      </c>
      <c r="P8" s="8">
        <v>14</v>
      </c>
      <c r="Q8" s="8">
        <v>15</v>
      </c>
      <c r="R8" s="8">
        <v>16</v>
      </c>
      <c r="S8" s="8">
        <v>17</v>
      </c>
      <c r="T8" s="8">
        <v>18</v>
      </c>
      <c r="U8" s="8">
        <v>19</v>
      </c>
      <c r="V8" s="8">
        <v>20</v>
      </c>
      <c r="W8" s="8">
        <v>21</v>
      </c>
      <c r="X8" s="8">
        <v>22</v>
      </c>
      <c r="Y8" s="8">
        <v>23</v>
      </c>
      <c r="Z8" s="8">
        <v>24</v>
      </c>
      <c r="AA8" s="8">
        <v>25</v>
      </c>
      <c r="AB8" s="8">
        <v>26</v>
      </c>
      <c r="AC8" s="8">
        <v>27</v>
      </c>
      <c r="AD8" s="8">
        <v>28</v>
      </c>
      <c r="AE8" s="8">
        <v>29</v>
      </c>
      <c r="AF8" s="8">
        <v>30</v>
      </c>
      <c r="AG8" s="10">
        <v>31</v>
      </c>
      <c r="AH8" s="17" t="s">
        <v>24</v>
      </c>
    </row>
    <row r="9" spans="1:34" s="2" customFormat="1" ht="18" customHeight="1" x14ac:dyDescent="0.3">
      <c r="A9" s="2">
        <f>Setup!A4</f>
        <v>7</v>
      </c>
      <c r="B9" s="5" t="str">
        <f>VLOOKUP(A9,Setup!$B$7:$C$18,2,FALSE)</f>
        <v>July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1"/>
      <c r="AH9" s="16"/>
    </row>
    <row r="10" spans="1:34" s="2" customFormat="1" ht="18" customHeight="1" x14ac:dyDescent="0.3">
      <c r="A10" s="2">
        <f>IF(A9=12,1,A9+1)</f>
        <v>8</v>
      </c>
      <c r="B10" s="6" t="str">
        <f>VLOOKUP(A10,Setup!$B$7:$C$18,2,FALSE)</f>
        <v>August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2"/>
      <c r="AH10" s="14"/>
    </row>
    <row r="11" spans="1:34" s="2" customFormat="1" ht="18" customHeight="1" x14ac:dyDescent="0.3">
      <c r="A11" s="2">
        <f t="shared" ref="A11:A20" si="0">IF(A10=12,1,A10+1)</f>
        <v>9</v>
      </c>
      <c r="B11" s="5" t="str">
        <f>VLOOKUP(A11,Setup!$B$7:$C$18,2,FALSE)</f>
        <v>September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1"/>
      <c r="AH11" s="13"/>
    </row>
    <row r="12" spans="1:34" s="2" customFormat="1" ht="18" customHeight="1" x14ac:dyDescent="0.3">
      <c r="A12" s="2">
        <f t="shared" si="0"/>
        <v>10</v>
      </c>
      <c r="B12" s="6" t="str">
        <f>VLOOKUP(A12,Setup!$B$7:$C$18,2,FALSE)</f>
        <v>October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12"/>
      <c r="AH12" s="14"/>
    </row>
    <row r="13" spans="1:34" s="2" customFormat="1" ht="18" customHeight="1" x14ac:dyDescent="0.3">
      <c r="A13" s="2">
        <f t="shared" si="0"/>
        <v>11</v>
      </c>
      <c r="B13" s="5" t="str">
        <f>VLOOKUP(A13,Setup!$B$7:$C$18,2,FALSE)</f>
        <v>November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11"/>
      <c r="AH13" s="13"/>
    </row>
    <row r="14" spans="1:34" s="2" customFormat="1" ht="18" customHeight="1" x14ac:dyDescent="0.3">
      <c r="A14" s="2">
        <f t="shared" si="0"/>
        <v>12</v>
      </c>
      <c r="B14" s="6" t="str">
        <f>VLOOKUP(A14,Setup!$B$7:$C$18,2,FALSE)</f>
        <v>December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2"/>
      <c r="AH14" s="14"/>
    </row>
    <row r="15" spans="1:34" s="2" customFormat="1" ht="18" customHeight="1" x14ac:dyDescent="0.3">
      <c r="A15" s="2">
        <f t="shared" si="0"/>
        <v>1</v>
      </c>
      <c r="B15" s="5" t="str">
        <f>VLOOKUP(A15,Setup!$B$7:$C$18,2,FALSE)</f>
        <v>January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11"/>
      <c r="AH15" s="13"/>
    </row>
    <row r="16" spans="1:34" s="2" customFormat="1" ht="18" customHeight="1" x14ac:dyDescent="0.3">
      <c r="A16" s="2">
        <f t="shared" si="0"/>
        <v>2</v>
      </c>
      <c r="B16" s="6" t="str">
        <f>VLOOKUP(A16,Setup!$B$7:$C$18,2,FALSE)</f>
        <v>February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2"/>
      <c r="AH16" s="14"/>
    </row>
    <row r="17" spans="1:34" s="2" customFormat="1" ht="18" customHeight="1" x14ac:dyDescent="0.3">
      <c r="A17" s="2">
        <f t="shared" si="0"/>
        <v>3</v>
      </c>
      <c r="B17" s="5" t="str">
        <f>VLOOKUP(A17,Setup!$B$7:$C$18,2,FALSE)</f>
        <v>March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1"/>
      <c r="AH17" s="13"/>
    </row>
    <row r="18" spans="1:34" s="2" customFormat="1" ht="18" customHeight="1" x14ac:dyDescent="0.3">
      <c r="A18" s="2">
        <f t="shared" si="0"/>
        <v>4</v>
      </c>
      <c r="B18" s="6" t="str">
        <f>VLOOKUP(A18,Setup!$B$7:$C$18,2,FALSE)</f>
        <v>April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2"/>
      <c r="AH18" s="14"/>
    </row>
    <row r="19" spans="1:34" s="2" customFormat="1" ht="18" customHeight="1" x14ac:dyDescent="0.3">
      <c r="A19" s="2">
        <f t="shared" si="0"/>
        <v>5</v>
      </c>
      <c r="B19" s="5" t="str">
        <f>VLOOKUP(A19,Setup!$B$7:$C$18,2,FALSE)</f>
        <v>May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1"/>
      <c r="AH19" s="13"/>
    </row>
    <row r="20" spans="1:34" s="2" customFormat="1" ht="18" customHeight="1" thickBot="1" x14ac:dyDescent="0.35">
      <c r="A20" s="2">
        <f t="shared" si="0"/>
        <v>6</v>
      </c>
      <c r="B20" s="6" t="str">
        <f>VLOOKUP(A20,Setup!$B$7:$C$18,2,FALSE)</f>
        <v>June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2"/>
      <c r="AH20" s="15"/>
    </row>
    <row r="21" spans="1:34" ht="18" customHeight="1" x14ac:dyDescent="0.3"/>
    <row r="22" spans="1:34" ht="18" customHeight="1" x14ac:dyDescent="0.3"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34" ht="18" customHeight="1" x14ac:dyDescent="0.3">
      <c r="B23" s="4" t="s">
        <v>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34" ht="18" customHeight="1" x14ac:dyDescent="0.3"/>
    <row r="25" spans="1:34" ht="18" customHeight="1" x14ac:dyDescent="0.3"/>
    <row r="26" spans="1:34" ht="18" customHeight="1" x14ac:dyDescent="0.3">
      <c r="B26" t="s">
        <v>27</v>
      </c>
    </row>
    <row r="27" spans="1:34" ht="18" customHeight="1" x14ac:dyDescent="0.3"/>
  </sheetData>
  <conditionalFormatting sqref="AG9:AG20">
    <cfRule type="expression" dxfId="1" priority="2">
      <formula>OR($A9=2,$A9=4,$A9=6,,$A9=9,,$A9=11)</formula>
    </cfRule>
  </conditionalFormatting>
  <conditionalFormatting sqref="AE9:AF20">
    <cfRule type="expression" dxfId="0" priority="1">
      <formula>$A9=2</formula>
    </cfRule>
  </conditionalFormatting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C18"/>
  <sheetViews>
    <sheetView workbookViewId="0">
      <selection activeCell="B4" sqref="B4:C4"/>
    </sheetView>
  </sheetViews>
  <sheetFormatPr defaultColWidth="8.77734375" defaultRowHeight="14.4" x14ac:dyDescent="0.3"/>
  <cols>
    <col min="2" max="2" width="3.44140625" customWidth="1"/>
    <col min="3" max="3" width="17.44140625" customWidth="1"/>
  </cols>
  <sheetData>
    <row r="3" spans="1:3" x14ac:dyDescent="0.3">
      <c r="B3" s="25" t="s">
        <v>21</v>
      </c>
      <c r="C3" s="25"/>
    </row>
    <row r="4" spans="1:3" x14ac:dyDescent="0.3">
      <c r="A4">
        <f>INDEX(B7:B18,MATCH(B4,C7:C18,0),0)</f>
        <v>7</v>
      </c>
      <c r="B4" s="24" t="s">
        <v>15</v>
      </c>
      <c r="C4" s="24"/>
    </row>
    <row r="6" spans="1:3" x14ac:dyDescent="0.3">
      <c r="B6" s="26" t="s">
        <v>8</v>
      </c>
      <c r="C6" s="27"/>
    </row>
    <row r="7" spans="1:3" x14ac:dyDescent="0.3">
      <c r="B7" s="1">
        <v>1</v>
      </c>
      <c r="C7" s="1" t="s">
        <v>9</v>
      </c>
    </row>
    <row r="8" spans="1:3" x14ac:dyDescent="0.3">
      <c r="B8" s="1">
        <v>2</v>
      </c>
      <c r="C8" s="1" t="s">
        <v>10</v>
      </c>
    </row>
    <row r="9" spans="1:3" x14ac:dyDescent="0.3">
      <c r="B9" s="1">
        <v>3</v>
      </c>
      <c r="C9" s="1" t="s">
        <v>11</v>
      </c>
    </row>
    <row r="10" spans="1:3" x14ac:dyDescent="0.3">
      <c r="B10" s="1">
        <v>4</v>
      </c>
      <c r="C10" s="1" t="s">
        <v>12</v>
      </c>
    </row>
    <row r="11" spans="1:3" x14ac:dyDescent="0.3">
      <c r="B11" s="1">
        <v>5</v>
      </c>
      <c r="C11" s="1" t="s">
        <v>13</v>
      </c>
    </row>
    <row r="12" spans="1:3" x14ac:dyDescent="0.3">
      <c r="B12" s="1">
        <v>6</v>
      </c>
      <c r="C12" s="1" t="s">
        <v>14</v>
      </c>
    </row>
    <row r="13" spans="1:3" x14ac:dyDescent="0.3">
      <c r="B13" s="1">
        <v>7</v>
      </c>
      <c r="C13" s="1" t="s">
        <v>15</v>
      </c>
    </row>
    <row r="14" spans="1:3" x14ac:dyDescent="0.3">
      <c r="B14" s="1">
        <v>8</v>
      </c>
      <c r="C14" s="1" t="s">
        <v>16</v>
      </c>
    </row>
    <row r="15" spans="1:3" x14ac:dyDescent="0.3">
      <c r="B15" s="1">
        <v>9</v>
      </c>
      <c r="C15" s="1" t="s">
        <v>17</v>
      </c>
    </row>
    <row r="16" spans="1:3" x14ac:dyDescent="0.3">
      <c r="B16" s="1">
        <v>10</v>
      </c>
      <c r="C16" s="1" t="s">
        <v>18</v>
      </c>
    </row>
    <row r="17" spans="2:3" x14ac:dyDescent="0.3">
      <c r="B17" s="1">
        <v>11</v>
      </c>
      <c r="C17" s="1" t="s">
        <v>19</v>
      </c>
    </row>
    <row r="18" spans="2:3" x14ac:dyDescent="0.3">
      <c r="B18" s="1">
        <v>12</v>
      </c>
      <c r="C18" s="1" t="s">
        <v>20</v>
      </c>
    </row>
  </sheetData>
  <mergeCells count="3">
    <mergeCell ref="B4:C4"/>
    <mergeCell ref="B3:C3"/>
    <mergeCell ref="B6:C6"/>
  </mergeCells>
  <dataValidations count="1">
    <dataValidation type="list" allowBlank="1" showInputMessage="1" showErrorMessage="1" sqref="B4:C4">
      <formula1>$C$7:$C$18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3" customWidth="1"/>
    <col min="2" max="16384" width="12.44140625" style="23"/>
  </cols>
  <sheetData>
    <row r="4" spans="1:1" s="19" customFormat="1" ht="15.6" customHeight="1" x14ac:dyDescent="0.5">
      <c r="A4" s="18"/>
    </row>
    <row r="5" spans="1:1" s="19" customFormat="1" ht="15.6" customHeight="1" x14ac:dyDescent="0.5">
      <c r="A5" s="20"/>
    </row>
    <row r="40" spans="1:15" s="19" customFormat="1" ht="30" customHeight="1" x14ac:dyDescent="0.5">
      <c r="A40" s="28" t="s">
        <v>25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1"/>
      <c r="N40" s="21"/>
      <c r="O40" s="21"/>
    </row>
    <row r="41" spans="1:15" s="19" customFormat="1" ht="30" customHeight="1" x14ac:dyDescent="0.5">
      <c r="A41" s="29" t="s">
        <v>26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2"/>
      <c r="N41" s="22"/>
      <c r="O41" s="2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3" customWidth="1"/>
    <col min="2" max="16384" width="12.44140625" style="23"/>
  </cols>
  <sheetData>
    <row r="4" spans="1:1" s="19" customFormat="1" ht="15.6" customHeight="1" x14ac:dyDescent="0.5">
      <c r="A4" s="18"/>
    </row>
    <row r="5" spans="1:1" s="19" customFormat="1" ht="15.6" customHeight="1" x14ac:dyDescent="0.5">
      <c r="A5" s="20"/>
    </row>
    <row r="40" spans="1:15" s="19" customFormat="1" ht="30" customHeight="1" x14ac:dyDescent="0.5">
      <c r="A40" s="28" t="s">
        <v>25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1"/>
      <c r="N40" s="21"/>
      <c r="O40" s="21"/>
    </row>
    <row r="41" spans="1:15" s="19" customFormat="1" ht="30" customHeight="1" x14ac:dyDescent="0.5">
      <c r="A41" s="29" t="s">
        <v>26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2"/>
      <c r="N41" s="22"/>
      <c r="O41" s="2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</vt:lpstr>
      <vt:lpstr>Setup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2019-03-19T04:09:46Z</cp:lastPrinted>
  <dcterms:created xsi:type="dcterms:W3CDTF">2019-03-19T03:50:08Z</dcterms:created>
  <dcterms:modified xsi:type="dcterms:W3CDTF">2020-10-15T21:48:48Z</dcterms:modified>
</cp:coreProperties>
</file>