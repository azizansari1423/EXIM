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 activeTab="1"/>
  </bookViews>
  <sheets>
    <sheet name="Weekly" sheetId="1" r:id="rId1"/>
    <sheet name="Monthly" sheetId="2" r:id="rId2"/>
    <sheet name="Copyright" sheetId="3" r:id="rId3"/>
    <sheet name="Copyright-2" sheetId="4" state="hidden" r:id="rId4"/>
  </sheets>
  <definedNames>
    <definedName name="_xlnm.Print_Area" localSheetId="1">Monthly!$C$2:$BB$109</definedName>
    <definedName name="_xlnm.Print_Area" localSheetId="0">Weekly!$B$2:$BG$109</definedName>
    <definedName name="_xlnm.Print_Titles" localSheetId="1">Monthly!$C:$F,Monthly!$2:$9</definedName>
    <definedName name="_xlnm.Print_Titles" localSheetId="0">Weekly!$B:$F,Weekly!$2:$9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2" l="1"/>
  <c r="S7" i="2"/>
  <c r="T8" i="2"/>
  <c r="AB8" i="2"/>
  <c r="Z8" i="2"/>
  <c r="S8" i="2"/>
  <c r="AA8" i="2"/>
  <c r="AE7" i="2"/>
  <c r="U8" i="2"/>
  <c r="AC8" i="2"/>
  <c r="V8" i="2"/>
  <c r="AD8" i="2"/>
  <c r="W8" i="2"/>
  <c r="X8" i="2"/>
  <c r="Y8" i="2"/>
  <c r="J8" i="2"/>
  <c r="Q8" i="2"/>
  <c r="H8" i="2"/>
  <c r="O8" i="2"/>
  <c r="G8" i="2"/>
  <c r="N8" i="2"/>
  <c r="M8" i="2"/>
  <c r="K8" i="2"/>
  <c r="R8" i="2"/>
  <c r="I8" i="2"/>
  <c r="P8" i="2"/>
  <c r="L8" i="2"/>
  <c r="E8" i="1"/>
  <c r="AJ8" i="2"/>
  <c r="AE8" i="2"/>
  <c r="AN8" i="2"/>
  <c r="AG8" i="2"/>
  <c r="AP8" i="2"/>
  <c r="AI8" i="2"/>
  <c r="AK8" i="2"/>
  <c r="AQ7" i="2"/>
  <c r="AL8" i="2"/>
  <c r="AM8" i="2"/>
  <c r="AF8" i="2"/>
  <c r="AO8" i="2"/>
  <c r="AH8" i="2"/>
  <c r="F8" i="1"/>
  <c r="E9" i="1"/>
  <c r="AR8" i="2"/>
  <c r="AZ8" i="2"/>
  <c r="AU8" i="2"/>
  <c r="AW8" i="2"/>
  <c r="AQ8" i="2"/>
  <c r="AY8" i="2"/>
  <c r="AS8" i="2"/>
  <c r="BA8" i="2"/>
  <c r="AT8" i="2"/>
  <c r="BB8" i="2"/>
  <c r="AV8" i="2"/>
  <c r="AX8" i="2"/>
  <c r="G8" i="1"/>
  <c r="F9" i="1"/>
  <c r="F7" i="1"/>
  <c r="H8" i="1"/>
  <c r="G7" i="1"/>
  <c r="G9" i="1"/>
  <c r="I8" i="1"/>
  <c r="H9" i="1"/>
  <c r="H7" i="1"/>
  <c r="J8" i="1"/>
  <c r="I9" i="1"/>
  <c r="I7" i="1"/>
  <c r="K8" i="1"/>
  <c r="J9" i="1"/>
  <c r="J7" i="1"/>
  <c r="L8" i="1"/>
  <c r="K9" i="1"/>
  <c r="K7" i="1"/>
  <c r="M8" i="1"/>
  <c r="L9" i="1"/>
  <c r="L7" i="1"/>
  <c r="N8" i="1"/>
  <c r="M7" i="1"/>
  <c r="M9" i="1"/>
  <c r="O8" i="1"/>
  <c r="N7" i="1"/>
  <c r="N9" i="1"/>
  <c r="P8" i="1"/>
  <c r="O9" i="1"/>
  <c r="O7" i="1"/>
  <c r="Q8" i="1"/>
  <c r="P7" i="1"/>
  <c r="P9" i="1"/>
  <c r="R8" i="1"/>
  <c r="Q9" i="1"/>
  <c r="Q7" i="1"/>
  <c r="S8" i="1"/>
  <c r="R7" i="1"/>
  <c r="R9" i="1"/>
  <c r="T8" i="1"/>
  <c r="S9" i="1"/>
  <c r="S7" i="1"/>
  <c r="U8" i="1"/>
  <c r="T9" i="1"/>
  <c r="T7" i="1"/>
  <c r="V8" i="1"/>
  <c r="U7" i="1"/>
  <c r="U9" i="1"/>
  <c r="W8" i="1"/>
  <c r="V9" i="1"/>
  <c r="V7" i="1"/>
  <c r="X8" i="1"/>
  <c r="W9" i="1"/>
  <c r="W7" i="1"/>
  <c r="Y8" i="1"/>
  <c r="X7" i="1"/>
  <c r="X9" i="1"/>
  <c r="Z8" i="1"/>
  <c r="Y9" i="1"/>
  <c r="Y7" i="1"/>
  <c r="AA8" i="1"/>
  <c r="Z9" i="1"/>
  <c r="Z7" i="1"/>
  <c r="AB8" i="1"/>
  <c r="AA7" i="1"/>
  <c r="AA9" i="1"/>
  <c r="AC8" i="1"/>
  <c r="AB9" i="1"/>
  <c r="AB7" i="1"/>
  <c r="AD8" i="1"/>
  <c r="AC9" i="1"/>
  <c r="AC7" i="1"/>
  <c r="AE8" i="1"/>
  <c r="AD9" i="1"/>
  <c r="AD7" i="1"/>
  <c r="AF8" i="1"/>
  <c r="AE9" i="1"/>
  <c r="AE7" i="1"/>
  <c r="AG8" i="1"/>
  <c r="AF7" i="1"/>
  <c r="AF9" i="1"/>
  <c r="AH8" i="1"/>
  <c r="AG9" i="1"/>
  <c r="AG7" i="1"/>
  <c r="AI8" i="1"/>
  <c r="AH7" i="1"/>
  <c r="AH9" i="1"/>
  <c r="AJ8" i="1"/>
  <c r="AI7" i="1"/>
  <c r="AI9" i="1"/>
  <c r="AK8" i="1"/>
  <c r="AJ9" i="1"/>
  <c r="AJ7" i="1"/>
  <c r="AL8" i="1"/>
  <c r="AK7" i="1"/>
  <c r="AK9" i="1"/>
  <c r="AM8" i="1"/>
  <c r="AL7" i="1"/>
  <c r="AL9" i="1"/>
  <c r="AN8" i="1"/>
  <c r="AM9" i="1"/>
  <c r="AM7" i="1"/>
  <c r="AO8" i="1"/>
  <c r="AN9" i="1"/>
  <c r="AN7" i="1"/>
  <c r="AP8" i="1"/>
  <c r="AO7" i="1"/>
  <c r="AO9" i="1"/>
  <c r="AQ8" i="1"/>
  <c r="AP7" i="1"/>
  <c r="AP9" i="1"/>
  <c r="AR8" i="1"/>
  <c r="AQ7" i="1"/>
  <c r="AQ9" i="1"/>
  <c r="AS8" i="1"/>
  <c r="AR9" i="1"/>
  <c r="AR7" i="1"/>
  <c r="AT8" i="1"/>
  <c r="AS9" i="1"/>
  <c r="AS7" i="1"/>
  <c r="AU8" i="1"/>
  <c r="AT7" i="1"/>
  <c r="AT9" i="1"/>
  <c r="AV8" i="1"/>
  <c r="AU9" i="1"/>
  <c r="AU7" i="1"/>
  <c r="AW8" i="1"/>
  <c r="AV7" i="1"/>
  <c r="AV9" i="1"/>
  <c r="AX8" i="1"/>
  <c r="AW7" i="1"/>
  <c r="AW9" i="1"/>
  <c r="AY8" i="1"/>
  <c r="AX9" i="1"/>
  <c r="AX7" i="1"/>
  <c r="AZ8" i="1"/>
  <c r="AY7" i="1"/>
  <c r="AY9" i="1"/>
  <c r="BA8" i="1"/>
  <c r="AZ9" i="1"/>
  <c r="AZ7" i="1"/>
  <c r="E7" i="1"/>
  <c r="BB8" i="1"/>
  <c r="BA9" i="1"/>
  <c r="BA7" i="1"/>
  <c r="BC8" i="1"/>
  <c r="BB7" i="1"/>
  <c r="BB9" i="1"/>
  <c r="BD8" i="1"/>
  <c r="BC9" i="1"/>
  <c r="BC7" i="1"/>
  <c r="BD7" i="1"/>
  <c r="BD9" i="1"/>
</calcChain>
</file>

<file path=xl/comments1.xml><?xml version="1.0" encoding="utf-8"?>
<comments xmlns="http://schemas.openxmlformats.org/spreadsheetml/2006/main">
  <authors>
    <author>Admin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type task name and colorize its duration manually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CC : Color Code
Select A-G to colorize particular bar</t>
        </r>
      </text>
    </comment>
  </commentList>
</comments>
</file>

<file path=xl/sharedStrings.xml><?xml version="1.0" encoding="utf-8"?>
<sst xmlns="http://schemas.openxmlformats.org/spreadsheetml/2006/main" count="201" uniqueCount="50">
  <si>
    <t>PROJECT NAME</t>
  </si>
  <si>
    <t>NO</t>
  </si>
  <si>
    <t>John Project</t>
  </si>
  <si>
    <t>PROJECT STARTING DATE</t>
  </si>
  <si>
    <t>DATE</t>
  </si>
  <si>
    <t>MONTH</t>
  </si>
  <si>
    <t>WEEK</t>
  </si>
  <si>
    <t>PHASE</t>
  </si>
  <si>
    <t>PROJECT SCHEDULE</t>
  </si>
  <si>
    <t>Project 1</t>
  </si>
  <si>
    <t>Sub Project 1.1</t>
  </si>
  <si>
    <t>Sub Project 1.2</t>
  </si>
  <si>
    <t>Sub Project 1.3</t>
  </si>
  <si>
    <t>Sub Project 1.4</t>
  </si>
  <si>
    <t>Sub Project 1.5</t>
  </si>
  <si>
    <t>Sub Project 1.6</t>
  </si>
  <si>
    <t>Sub Project 1.7</t>
  </si>
  <si>
    <t>Sub Project 1.8</t>
  </si>
  <si>
    <t>Sub Project 1.9</t>
  </si>
  <si>
    <t>Sub Project 1.10</t>
  </si>
  <si>
    <t>Sub Project 1.11</t>
  </si>
  <si>
    <t>Project 2</t>
  </si>
  <si>
    <t>Project 3</t>
  </si>
  <si>
    <t>A</t>
  </si>
  <si>
    <t>F</t>
  </si>
  <si>
    <t>E</t>
  </si>
  <si>
    <t>C</t>
  </si>
  <si>
    <t>G</t>
  </si>
  <si>
    <t>D</t>
  </si>
  <si>
    <t>B</t>
  </si>
  <si>
    <t>DEC</t>
  </si>
  <si>
    <t>NOC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</si>
  <si>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</si>
  <si>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</si>
  <si>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</si>
  <si>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</si>
  <si>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</si>
  <si>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</si>
  <si>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</si>
  <si>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</si>
  <si>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</si>
  <si>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</si>
  <si>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END DATE</t>
  </si>
  <si>
    <t>START DATE</t>
  </si>
  <si>
    <t>TASK NAME</t>
  </si>
  <si>
    <t>CC</t>
  </si>
  <si>
    <t xml:space="preserve"> z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</si>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</sst>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;@"/>
    <numFmt numFmtId="165" formatCode="m/d;@"/>
    <numFmt numFmtId="166" formatCode="mmm"/>
    <numFmt numFmtId="167" formatCode="[$-F800]dddd\,\ mmmm\ dd\,\ yyyy"/>
    <numFmt numFmtId="168" formatCode="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164" fontId="0" fillId="0" borderId="1" xfId="0" applyNumberFormat="1" applyBorder="1" applyAlignment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2" fillId="3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0" borderId="0" xfId="1" applyFont="1"/>
    <xf numFmtId="0" fontId="5" fillId="0" borderId="0" xfId="0" applyFont="1" applyAlignment="1"/>
    <xf numFmtId="0" fontId="9" fillId="0" borderId="0" xfId="1" applyFont="1" applyAlignment="1"/>
    <xf numFmtId="167" fontId="0" fillId="0" borderId="2" xfId="0" applyNumberFormat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7">
    <dxf>
      <fill>
        <patternFill>
          <bgColor theme="2" tint="-0.24994659260841701"/>
        </patternFill>
      </fill>
      <border>
        <right/>
        <vertical/>
        <horizontal/>
      </border>
    </dxf>
    <dxf>
      <fill>
        <patternFill>
          <bgColor theme="3" tint="0.59996337778862885"/>
        </patternFill>
      </fill>
      <border>
        <right/>
        <vertical/>
        <horizontal/>
      </border>
    </dxf>
    <dxf>
      <fill>
        <patternFill>
          <bgColor theme="5" tint="0.59996337778862885"/>
        </patternFill>
      </fill>
      <border>
        <right/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  <border>
        <right/>
        <vertical/>
        <horizontal/>
      </border>
    </dxf>
    <dxf>
      <fill>
        <patternFill>
          <bgColor rgb="FFFFFF00"/>
        </patternFill>
      </fill>
      <border>
        <righ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36</xdr:row>
      <xdr:rowOff>19260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36</xdr:row>
      <xdr:rowOff>19260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D111"/>
  <sheetViews>
    <sheetView showGridLines="0" workbookViewId="0">
      <selection activeCell="E2" sqref="E2"/>
    </sheetView>
  </sheetViews>
  <sheetFormatPr defaultColWidth="8.6640625" defaultRowHeight="14.4" x14ac:dyDescent="0.3"/>
  <cols>
    <col min="1" max="1" width="3.33203125" style="1" customWidth="1"/>
    <col min="2" max="2" width="4" style="2" customWidth="1"/>
    <col min="3" max="3" width="19.109375" style="1" customWidth="1"/>
    <col min="4" max="4" width="9.33203125" style="1" customWidth="1"/>
    <col min="5" max="7" width="4.6640625" style="3" customWidth="1"/>
    <col min="8" max="56" width="4.6640625" style="1" customWidth="1"/>
    <col min="57" max="70" width="2.6640625" style="1" customWidth="1"/>
    <col min="71" max="16384" width="8.6640625" style="1"/>
  </cols>
  <sheetData>
    <row r="1" spans="2:56" x14ac:dyDescent="0.3">
      <c r="B1" s="4"/>
    </row>
    <row r="2" spans="2:56" ht="23.4" x14ac:dyDescent="0.3">
      <c r="B2" s="6" t="s">
        <v>8</v>
      </c>
    </row>
    <row r="3" spans="2:56" x14ac:dyDescent="0.3">
      <c r="B3" s="4"/>
    </row>
    <row r="4" spans="2:56" s="8" customFormat="1" x14ac:dyDescent="0.3">
      <c r="B4" s="7" t="s">
        <v>0</v>
      </c>
      <c r="D4" s="9" t="s">
        <v>2</v>
      </c>
      <c r="E4" s="15"/>
      <c r="F4" s="9"/>
      <c r="G4" s="9"/>
      <c r="H4" s="16"/>
      <c r="I4" s="16"/>
      <c r="J4" s="16"/>
    </row>
    <row r="5" spans="2:56" s="8" customFormat="1" ht="21" customHeight="1" x14ac:dyDescent="0.3">
      <c r="B5" s="7" t="s">
        <v>3</v>
      </c>
      <c r="D5" s="37">
        <v>44201</v>
      </c>
      <c r="E5" s="37"/>
      <c r="F5" s="37"/>
      <c r="G5" s="37"/>
      <c r="H5" s="37"/>
      <c r="I5" s="37"/>
      <c r="J5" s="37"/>
    </row>
    <row r="6" spans="2:56" x14ac:dyDescent="0.3">
      <c r="B6" s="4"/>
      <c r="E6" s="1"/>
      <c r="F6" s="1"/>
      <c r="G6" s="1"/>
    </row>
    <row r="7" spans="2:56" x14ac:dyDescent="0.3">
      <c r="B7" s="38" t="s">
        <v>1</v>
      </c>
      <c r="C7" s="38" t="s">
        <v>7</v>
      </c>
      <c r="D7" s="13" t="s">
        <v>5</v>
      </c>
      <c r="E7" s="14" t="str">
        <f>UPPER(TEXT(E8,"mmm"))</f>
        <v>JAN</v>
      </c>
      <c r="F7" s="14" t="str">
        <f>UPPER(TEXT(F8,"mmm"))</f>
        <v>JAN</v>
      </c>
      <c r="G7" s="14" t="str">
        <f t="shared" ref="G7:BD7" si="0">UPPER(TEXT(G8,"mmm"))</f>
        <v>JAN</v>
      </c>
      <c r="H7" s="14" t="str">
        <f t="shared" si="0"/>
        <v>JAN</v>
      </c>
      <c r="I7" s="14" t="str">
        <f t="shared" si="0"/>
        <v>FEB</v>
      </c>
      <c r="J7" s="14" t="str">
        <f t="shared" si="0"/>
        <v>FEB</v>
      </c>
      <c r="K7" s="14" t="str">
        <f t="shared" si="0"/>
        <v>FEB</v>
      </c>
      <c r="L7" s="14" t="str">
        <f t="shared" si="0"/>
        <v>FEB</v>
      </c>
      <c r="M7" s="14" t="str">
        <f t="shared" si="0"/>
        <v>MAR</v>
      </c>
      <c r="N7" s="14" t="str">
        <f t="shared" si="0"/>
        <v>MAR</v>
      </c>
      <c r="O7" s="14" t="str">
        <f t="shared" si="0"/>
        <v>MAR</v>
      </c>
      <c r="P7" s="14" t="str">
        <f t="shared" si="0"/>
        <v>MAR</v>
      </c>
      <c r="Q7" s="14" t="str">
        <f t="shared" si="0"/>
        <v>MAR</v>
      </c>
      <c r="R7" s="14" t="str">
        <f t="shared" si="0"/>
        <v>APR</v>
      </c>
      <c r="S7" s="14" t="str">
        <f t="shared" si="0"/>
        <v>APR</v>
      </c>
      <c r="T7" s="14" t="str">
        <f t="shared" si="0"/>
        <v>APR</v>
      </c>
      <c r="U7" s="14" t="str">
        <f t="shared" si="0"/>
        <v>APR</v>
      </c>
      <c r="V7" s="14" t="str">
        <f t="shared" si="0"/>
        <v>MAY</v>
      </c>
      <c r="W7" s="14" t="str">
        <f t="shared" si="0"/>
        <v>MAY</v>
      </c>
      <c r="X7" s="14" t="str">
        <f t="shared" si="0"/>
        <v>MAY</v>
      </c>
      <c r="Y7" s="14" t="str">
        <f t="shared" si="0"/>
        <v>MAY</v>
      </c>
      <c r="Z7" s="14" t="str">
        <f t="shared" si="0"/>
        <v>JUN</v>
      </c>
      <c r="AA7" s="14" t="str">
        <f t="shared" si="0"/>
        <v>JUN</v>
      </c>
      <c r="AB7" s="14" t="str">
        <f t="shared" si="0"/>
        <v>JUN</v>
      </c>
      <c r="AC7" s="14" t="str">
        <f t="shared" si="0"/>
        <v>JUN</v>
      </c>
      <c r="AD7" s="14" t="str">
        <f t="shared" si="0"/>
        <v>JUN</v>
      </c>
      <c r="AE7" s="14" t="str">
        <f t="shared" si="0"/>
        <v>JUL</v>
      </c>
      <c r="AF7" s="14" t="str">
        <f t="shared" si="0"/>
        <v>JUL</v>
      </c>
      <c r="AG7" s="14" t="str">
        <f t="shared" si="0"/>
        <v>JUL</v>
      </c>
      <c r="AH7" s="14" t="str">
        <f t="shared" si="0"/>
        <v>JUL</v>
      </c>
      <c r="AI7" s="14" t="str">
        <f t="shared" si="0"/>
        <v>AUG</v>
      </c>
      <c r="AJ7" s="14" t="str">
        <f t="shared" si="0"/>
        <v>AUG</v>
      </c>
      <c r="AK7" s="14" t="str">
        <f t="shared" si="0"/>
        <v>AUG</v>
      </c>
      <c r="AL7" s="14" t="str">
        <f t="shared" si="0"/>
        <v>AUG</v>
      </c>
      <c r="AM7" s="14" t="str">
        <f t="shared" si="0"/>
        <v>AUG</v>
      </c>
      <c r="AN7" s="14" t="str">
        <f t="shared" si="0"/>
        <v>SEP</v>
      </c>
      <c r="AO7" s="14" t="str">
        <f t="shared" si="0"/>
        <v>SEP</v>
      </c>
      <c r="AP7" s="14" t="str">
        <f t="shared" si="0"/>
        <v>SEP</v>
      </c>
      <c r="AQ7" s="14" t="str">
        <f t="shared" si="0"/>
        <v>SEP</v>
      </c>
      <c r="AR7" s="14" t="str">
        <f t="shared" si="0"/>
        <v>OCT</v>
      </c>
      <c r="AS7" s="14" t="str">
        <f t="shared" si="0"/>
        <v>OCT</v>
      </c>
      <c r="AT7" s="14" t="str">
        <f t="shared" si="0"/>
        <v>OCT</v>
      </c>
      <c r="AU7" s="14" t="str">
        <f t="shared" si="0"/>
        <v>OCT</v>
      </c>
      <c r="AV7" s="14" t="str">
        <f t="shared" si="0"/>
        <v>NOV</v>
      </c>
      <c r="AW7" s="14" t="str">
        <f t="shared" si="0"/>
        <v>NOV</v>
      </c>
      <c r="AX7" s="14" t="str">
        <f t="shared" si="0"/>
        <v>NOV</v>
      </c>
      <c r="AY7" s="14" t="str">
        <f t="shared" si="0"/>
        <v>NOV</v>
      </c>
      <c r="AZ7" s="14" t="str">
        <f t="shared" si="0"/>
        <v>NOV</v>
      </c>
      <c r="BA7" s="14" t="str">
        <f t="shared" si="0"/>
        <v>DEC</v>
      </c>
      <c r="BB7" s="14" t="str">
        <f t="shared" si="0"/>
        <v>DEC</v>
      </c>
      <c r="BC7" s="14" t="str">
        <f t="shared" si="0"/>
        <v>DEC</v>
      </c>
      <c r="BD7" s="14" t="str">
        <f t="shared" si="0"/>
        <v>DEC</v>
      </c>
    </row>
    <row r="8" spans="2:56" x14ac:dyDescent="0.3">
      <c r="B8" s="38"/>
      <c r="C8" s="38"/>
      <c r="D8" s="13" t="s">
        <v>4</v>
      </c>
      <c r="E8" s="24">
        <f>D5</f>
        <v>44201</v>
      </c>
      <c r="F8" s="24">
        <f>E8+7</f>
        <v>44208</v>
      </c>
      <c r="G8" s="24">
        <f t="shared" ref="G8:BD8" si="1">F8+7</f>
        <v>44215</v>
      </c>
      <c r="H8" s="24">
        <f t="shared" si="1"/>
        <v>44222</v>
      </c>
      <c r="I8" s="24">
        <f t="shared" si="1"/>
        <v>44229</v>
      </c>
      <c r="J8" s="24">
        <f t="shared" si="1"/>
        <v>44236</v>
      </c>
      <c r="K8" s="24">
        <f t="shared" si="1"/>
        <v>44243</v>
      </c>
      <c r="L8" s="24">
        <f t="shared" si="1"/>
        <v>44250</v>
      </c>
      <c r="M8" s="24">
        <f t="shared" si="1"/>
        <v>44257</v>
      </c>
      <c r="N8" s="24">
        <f t="shared" si="1"/>
        <v>44264</v>
      </c>
      <c r="O8" s="24">
        <f t="shared" si="1"/>
        <v>44271</v>
      </c>
      <c r="P8" s="24">
        <f t="shared" si="1"/>
        <v>44278</v>
      </c>
      <c r="Q8" s="24">
        <f t="shared" si="1"/>
        <v>44285</v>
      </c>
      <c r="R8" s="24">
        <f t="shared" si="1"/>
        <v>44292</v>
      </c>
      <c r="S8" s="24">
        <f t="shared" si="1"/>
        <v>44299</v>
      </c>
      <c r="T8" s="24">
        <f t="shared" si="1"/>
        <v>44306</v>
      </c>
      <c r="U8" s="24">
        <f t="shared" si="1"/>
        <v>44313</v>
      </c>
      <c r="V8" s="24">
        <f t="shared" si="1"/>
        <v>44320</v>
      </c>
      <c r="W8" s="24">
        <f t="shared" si="1"/>
        <v>44327</v>
      </c>
      <c r="X8" s="24">
        <f t="shared" si="1"/>
        <v>44334</v>
      </c>
      <c r="Y8" s="24">
        <f t="shared" si="1"/>
        <v>44341</v>
      </c>
      <c r="Z8" s="24">
        <f t="shared" si="1"/>
        <v>44348</v>
      </c>
      <c r="AA8" s="24">
        <f t="shared" si="1"/>
        <v>44355</v>
      </c>
      <c r="AB8" s="24">
        <f t="shared" si="1"/>
        <v>44362</v>
      </c>
      <c r="AC8" s="24">
        <f t="shared" si="1"/>
        <v>44369</v>
      </c>
      <c r="AD8" s="24">
        <f t="shared" si="1"/>
        <v>44376</v>
      </c>
      <c r="AE8" s="24">
        <f t="shared" si="1"/>
        <v>44383</v>
      </c>
      <c r="AF8" s="24">
        <f t="shared" si="1"/>
        <v>44390</v>
      </c>
      <c r="AG8" s="24">
        <f t="shared" si="1"/>
        <v>44397</v>
      </c>
      <c r="AH8" s="24">
        <f t="shared" si="1"/>
        <v>44404</v>
      </c>
      <c r="AI8" s="24">
        <f t="shared" si="1"/>
        <v>44411</v>
      </c>
      <c r="AJ8" s="24">
        <f t="shared" si="1"/>
        <v>44418</v>
      </c>
      <c r="AK8" s="24">
        <f t="shared" si="1"/>
        <v>44425</v>
      </c>
      <c r="AL8" s="24">
        <f t="shared" si="1"/>
        <v>44432</v>
      </c>
      <c r="AM8" s="24">
        <f t="shared" si="1"/>
        <v>44439</v>
      </c>
      <c r="AN8" s="24">
        <f t="shared" si="1"/>
        <v>44446</v>
      </c>
      <c r="AO8" s="24">
        <f t="shared" si="1"/>
        <v>44453</v>
      </c>
      <c r="AP8" s="24">
        <f t="shared" si="1"/>
        <v>44460</v>
      </c>
      <c r="AQ8" s="24">
        <f t="shared" si="1"/>
        <v>44467</v>
      </c>
      <c r="AR8" s="24">
        <f t="shared" si="1"/>
        <v>44474</v>
      </c>
      <c r="AS8" s="24">
        <f t="shared" si="1"/>
        <v>44481</v>
      </c>
      <c r="AT8" s="24">
        <f t="shared" si="1"/>
        <v>44488</v>
      </c>
      <c r="AU8" s="24">
        <f t="shared" si="1"/>
        <v>44495</v>
      </c>
      <c r="AV8" s="24">
        <f t="shared" si="1"/>
        <v>44502</v>
      </c>
      <c r="AW8" s="24">
        <f t="shared" si="1"/>
        <v>44509</v>
      </c>
      <c r="AX8" s="24">
        <f t="shared" si="1"/>
        <v>44516</v>
      </c>
      <c r="AY8" s="24">
        <f t="shared" si="1"/>
        <v>44523</v>
      </c>
      <c r="AZ8" s="24">
        <f t="shared" si="1"/>
        <v>44530</v>
      </c>
      <c r="BA8" s="24">
        <f t="shared" si="1"/>
        <v>44537</v>
      </c>
      <c r="BB8" s="24">
        <f t="shared" si="1"/>
        <v>44544</v>
      </c>
      <c r="BC8" s="24">
        <f t="shared" si="1"/>
        <v>44551</v>
      </c>
      <c r="BD8" s="24">
        <f t="shared" si="1"/>
        <v>44558</v>
      </c>
    </row>
    <row r="9" spans="2:56" s="5" customFormat="1" ht="14.55" customHeight="1" x14ac:dyDescent="0.3">
      <c r="B9" s="38"/>
      <c r="C9" s="38"/>
      <c r="D9" s="13" t="s">
        <v>6</v>
      </c>
      <c r="E9" s="12">
        <f>WEEKNUM(E8)</f>
        <v>2</v>
      </c>
      <c r="F9" s="23">
        <f t="shared" ref="F9:BD9" si="2">WEEKNUM(F8)</f>
        <v>3</v>
      </c>
      <c r="G9" s="23">
        <f t="shared" si="2"/>
        <v>4</v>
      </c>
      <c r="H9" s="23">
        <f t="shared" si="2"/>
        <v>5</v>
      </c>
      <c r="I9" s="23">
        <f t="shared" si="2"/>
        <v>6</v>
      </c>
      <c r="J9" s="23">
        <f t="shared" si="2"/>
        <v>7</v>
      </c>
      <c r="K9" s="23">
        <f t="shared" si="2"/>
        <v>8</v>
      </c>
      <c r="L9" s="23">
        <f t="shared" si="2"/>
        <v>9</v>
      </c>
      <c r="M9" s="23">
        <f t="shared" si="2"/>
        <v>10</v>
      </c>
      <c r="N9" s="23">
        <f t="shared" si="2"/>
        <v>11</v>
      </c>
      <c r="O9" s="23">
        <f t="shared" si="2"/>
        <v>12</v>
      </c>
      <c r="P9" s="23">
        <f t="shared" si="2"/>
        <v>13</v>
      </c>
      <c r="Q9" s="23">
        <f t="shared" si="2"/>
        <v>14</v>
      </c>
      <c r="R9" s="23">
        <f t="shared" si="2"/>
        <v>15</v>
      </c>
      <c r="S9" s="23">
        <f t="shared" si="2"/>
        <v>16</v>
      </c>
      <c r="T9" s="23">
        <f t="shared" si="2"/>
        <v>17</v>
      </c>
      <c r="U9" s="23">
        <f t="shared" si="2"/>
        <v>18</v>
      </c>
      <c r="V9" s="23">
        <f t="shared" si="2"/>
        <v>19</v>
      </c>
      <c r="W9" s="23">
        <f t="shared" si="2"/>
        <v>20</v>
      </c>
      <c r="X9" s="23">
        <f t="shared" si="2"/>
        <v>21</v>
      </c>
      <c r="Y9" s="23">
        <f t="shared" si="2"/>
        <v>22</v>
      </c>
      <c r="Z9" s="23">
        <f t="shared" si="2"/>
        <v>23</v>
      </c>
      <c r="AA9" s="23">
        <f t="shared" si="2"/>
        <v>24</v>
      </c>
      <c r="AB9" s="23">
        <f t="shared" si="2"/>
        <v>25</v>
      </c>
      <c r="AC9" s="23">
        <f t="shared" si="2"/>
        <v>26</v>
      </c>
      <c r="AD9" s="23">
        <f t="shared" si="2"/>
        <v>27</v>
      </c>
      <c r="AE9" s="23">
        <f t="shared" si="2"/>
        <v>28</v>
      </c>
      <c r="AF9" s="23">
        <f t="shared" si="2"/>
        <v>29</v>
      </c>
      <c r="AG9" s="23">
        <f t="shared" si="2"/>
        <v>30</v>
      </c>
      <c r="AH9" s="23">
        <f t="shared" si="2"/>
        <v>31</v>
      </c>
      <c r="AI9" s="23">
        <f t="shared" si="2"/>
        <v>32</v>
      </c>
      <c r="AJ9" s="23">
        <f t="shared" si="2"/>
        <v>33</v>
      </c>
      <c r="AK9" s="23">
        <f t="shared" si="2"/>
        <v>34</v>
      </c>
      <c r="AL9" s="23">
        <f t="shared" si="2"/>
        <v>35</v>
      </c>
      <c r="AM9" s="23">
        <f t="shared" si="2"/>
        <v>36</v>
      </c>
      <c r="AN9" s="23">
        <f t="shared" si="2"/>
        <v>37</v>
      </c>
      <c r="AO9" s="23">
        <f t="shared" si="2"/>
        <v>38</v>
      </c>
      <c r="AP9" s="23">
        <f t="shared" si="2"/>
        <v>39</v>
      </c>
      <c r="AQ9" s="23">
        <f t="shared" si="2"/>
        <v>40</v>
      </c>
      <c r="AR9" s="23">
        <f t="shared" si="2"/>
        <v>41</v>
      </c>
      <c r="AS9" s="23">
        <f t="shared" si="2"/>
        <v>42</v>
      </c>
      <c r="AT9" s="23">
        <f t="shared" si="2"/>
        <v>43</v>
      </c>
      <c r="AU9" s="23">
        <f t="shared" si="2"/>
        <v>44</v>
      </c>
      <c r="AV9" s="23">
        <f t="shared" si="2"/>
        <v>45</v>
      </c>
      <c r="AW9" s="23">
        <f t="shared" si="2"/>
        <v>46</v>
      </c>
      <c r="AX9" s="23">
        <f t="shared" si="2"/>
        <v>47</v>
      </c>
      <c r="AY9" s="23">
        <f t="shared" si="2"/>
        <v>48</v>
      </c>
      <c r="AZ9" s="23">
        <f t="shared" si="2"/>
        <v>49</v>
      </c>
      <c r="BA9" s="23">
        <f t="shared" si="2"/>
        <v>50</v>
      </c>
      <c r="BB9" s="23">
        <f t="shared" si="2"/>
        <v>51</v>
      </c>
      <c r="BC9" s="23">
        <f t="shared" si="2"/>
        <v>52</v>
      </c>
      <c r="BD9" s="23">
        <f t="shared" si="2"/>
        <v>53</v>
      </c>
    </row>
    <row r="10" spans="2:56" x14ac:dyDescent="0.3">
      <c r="B10" s="11">
        <v>1</v>
      </c>
      <c r="C10" s="17" t="s">
        <v>9</v>
      </c>
      <c r="D10" s="1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 spans="2:56" x14ac:dyDescent="0.3">
      <c r="B11" s="11">
        <v>2</v>
      </c>
      <c r="C11" s="19" t="s">
        <v>10</v>
      </c>
      <c r="D11" s="20"/>
      <c r="E11" s="1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2:56" x14ac:dyDescent="0.3">
      <c r="B12" s="11">
        <v>3</v>
      </c>
      <c r="C12" s="19" t="s">
        <v>11</v>
      </c>
      <c r="D12" s="20"/>
      <c r="E12" s="10"/>
      <c r="F12" s="10"/>
      <c r="G12" s="10"/>
      <c r="H12" s="10"/>
      <c r="I12" s="22"/>
      <c r="J12" s="22"/>
      <c r="K12" s="22"/>
      <c r="L12" s="22"/>
      <c r="M12" s="22"/>
      <c r="N12" s="22"/>
      <c r="O12" s="22"/>
      <c r="P12" s="22"/>
      <c r="Q12" s="2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</row>
    <row r="13" spans="2:56" x14ac:dyDescent="0.3">
      <c r="B13" s="11">
        <v>4</v>
      </c>
      <c r="C13" s="19" t="s">
        <v>12</v>
      </c>
      <c r="D13" s="2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2:56" x14ac:dyDescent="0.3">
      <c r="B14" s="11">
        <v>5</v>
      </c>
      <c r="C14" s="19" t="s">
        <v>13</v>
      </c>
      <c r="D14" s="2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</row>
    <row r="15" spans="2:56" x14ac:dyDescent="0.3">
      <c r="B15" s="11">
        <v>6</v>
      </c>
      <c r="C15" s="19" t="s">
        <v>14</v>
      </c>
      <c r="D15" s="2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2:56" x14ac:dyDescent="0.3">
      <c r="B16" s="11">
        <v>7</v>
      </c>
      <c r="C16" s="19" t="s">
        <v>15</v>
      </c>
      <c r="D16" s="1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</row>
    <row r="17" spans="2:56" x14ac:dyDescent="0.3">
      <c r="B17" s="11">
        <v>8</v>
      </c>
      <c r="C17" s="19" t="s">
        <v>16</v>
      </c>
      <c r="D17" s="2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2:56" x14ac:dyDescent="0.3">
      <c r="B18" s="11">
        <v>9</v>
      </c>
      <c r="C18" s="19" t="s">
        <v>17</v>
      </c>
      <c r="D18" s="2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</row>
    <row r="19" spans="2:56" x14ac:dyDescent="0.3">
      <c r="B19" s="11">
        <v>10</v>
      </c>
      <c r="C19" s="19" t="s">
        <v>18</v>
      </c>
      <c r="D19" s="2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2:56" x14ac:dyDescent="0.3">
      <c r="B20" s="11">
        <v>11</v>
      </c>
      <c r="C20" s="19" t="s">
        <v>19</v>
      </c>
      <c r="D20" s="2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</row>
    <row r="21" spans="2:56" x14ac:dyDescent="0.3">
      <c r="B21" s="11">
        <v>12</v>
      </c>
      <c r="C21" s="19" t="s">
        <v>20</v>
      </c>
      <c r="D21" s="2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2:56" x14ac:dyDescent="0.3">
      <c r="B22" s="11">
        <v>13</v>
      </c>
      <c r="C22" s="17" t="s">
        <v>21</v>
      </c>
      <c r="D22" s="1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 spans="2:56" x14ac:dyDescent="0.3">
      <c r="B23" s="11">
        <v>14</v>
      </c>
      <c r="C23" s="19"/>
      <c r="D23" s="2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2:56" x14ac:dyDescent="0.3">
      <c r="B24" s="11">
        <v>15</v>
      </c>
      <c r="C24" s="19"/>
      <c r="D24" s="2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 spans="2:56" x14ac:dyDescent="0.3">
      <c r="B25" s="11">
        <v>16</v>
      </c>
      <c r="C25" s="19"/>
      <c r="D25" s="2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2:56" x14ac:dyDescent="0.3">
      <c r="B26" s="11">
        <v>17</v>
      </c>
      <c r="C26" s="19"/>
      <c r="D26" s="2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</row>
    <row r="27" spans="2:56" x14ac:dyDescent="0.3">
      <c r="B27" s="11">
        <v>18</v>
      </c>
      <c r="C27" s="19"/>
      <c r="D27" s="2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2:56" x14ac:dyDescent="0.3">
      <c r="B28" s="11">
        <v>19</v>
      </c>
      <c r="C28" s="19"/>
      <c r="D28" s="2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</row>
    <row r="29" spans="2:56" x14ac:dyDescent="0.3">
      <c r="B29" s="11">
        <v>20</v>
      </c>
      <c r="C29" s="19"/>
      <c r="D29" s="2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 spans="2:56" x14ac:dyDescent="0.3">
      <c r="B30" s="11">
        <v>21</v>
      </c>
      <c r="C30" s="19"/>
      <c r="D30" s="2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</row>
    <row r="31" spans="2:56" x14ac:dyDescent="0.3">
      <c r="B31" s="11">
        <v>22</v>
      </c>
      <c r="C31" s="19"/>
      <c r="D31" s="2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</row>
    <row r="32" spans="2:56" x14ac:dyDescent="0.3">
      <c r="B32" s="11">
        <v>23</v>
      </c>
      <c r="C32" s="19"/>
      <c r="D32" s="2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</row>
    <row r="33" spans="2:56" x14ac:dyDescent="0.3">
      <c r="B33" s="11">
        <v>24</v>
      </c>
      <c r="C33" s="19"/>
      <c r="D33" s="2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</row>
    <row r="34" spans="2:56" x14ac:dyDescent="0.3">
      <c r="B34" s="11">
        <v>25</v>
      </c>
      <c r="C34" s="19"/>
      <c r="D34" s="2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</row>
    <row r="35" spans="2:56" x14ac:dyDescent="0.3">
      <c r="B35" s="11">
        <v>26</v>
      </c>
      <c r="C35" s="17" t="s">
        <v>22</v>
      </c>
      <c r="D35" s="2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2:56" x14ac:dyDescent="0.3">
      <c r="B36" s="11">
        <v>27</v>
      </c>
      <c r="C36" s="19"/>
      <c r="D36" s="2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</row>
    <row r="37" spans="2:56" x14ac:dyDescent="0.3">
      <c r="B37" s="11">
        <v>28</v>
      </c>
      <c r="C37" s="19"/>
      <c r="D37" s="2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2:56" x14ac:dyDescent="0.3">
      <c r="B38" s="11">
        <v>29</v>
      </c>
      <c r="C38" s="19"/>
      <c r="D38" s="2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</row>
    <row r="39" spans="2:56" x14ac:dyDescent="0.3">
      <c r="B39" s="11">
        <v>30</v>
      </c>
      <c r="C39" s="19"/>
      <c r="D39" s="2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2:56" x14ac:dyDescent="0.3">
      <c r="B40" s="11">
        <v>31</v>
      </c>
      <c r="C40" s="19"/>
      <c r="D40" s="2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</row>
    <row r="41" spans="2:56" x14ac:dyDescent="0.3">
      <c r="B41" s="11">
        <v>32</v>
      </c>
      <c r="C41" s="19"/>
      <c r="D41" s="2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2:56" x14ac:dyDescent="0.3">
      <c r="B42" s="11">
        <v>33</v>
      </c>
      <c r="C42" s="19"/>
      <c r="D42" s="2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</row>
    <row r="43" spans="2:56" x14ac:dyDescent="0.3">
      <c r="B43" s="11">
        <v>34</v>
      </c>
      <c r="C43" s="19"/>
      <c r="D43" s="2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</row>
    <row r="44" spans="2:56" x14ac:dyDescent="0.3">
      <c r="B44" s="11">
        <v>35</v>
      </c>
      <c r="C44" s="19"/>
      <c r="D44" s="2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</row>
    <row r="45" spans="2:56" x14ac:dyDescent="0.3">
      <c r="B45" s="11">
        <v>36</v>
      </c>
      <c r="C45" s="19"/>
      <c r="D45" s="2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</row>
    <row r="46" spans="2:56" x14ac:dyDescent="0.3">
      <c r="B46" s="11">
        <v>37</v>
      </c>
      <c r="C46" s="19"/>
      <c r="D46" s="2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</row>
    <row r="47" spans="2:56" x14ac:dyDescent="0.3">
      <c r="B47" s="11">
        <v>38</v>
      </c>
      <c r="C47" s="19"/>
      <c r="D47" s="2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</row>
    <row r="48" spans="2:56" x14ac:dyDescent="0.3">
      <c r="B48" s="11">
        <v>39</v>
      </c>
      <c r="C48" s="19"/>
      <c r="D48" s="2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</row>
    <row r="49" spans="2:56" x14ac:dyDescent="0.3">
      <c r="B49" s="11">
        <v>40</v>
      </c>
      <c r="C49" s="19"/>
      <c r="D49" s="2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</row>
    <row r="50" spans="2:56" x14ac:dyDescent="0.3">
      <c r="B50" s="11">
        <v>41</v>
      </c>
      <c r="C50" s="19"/>
      <c r="D50" s="2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</row>
    <row r="51" spans="2:56" x14ac:dyDescent="0.3">
      <c r="B51" s="11">
        <v>42</v>
      </c>
      <c r="C51" s="19"/>
      <c r="D51" s="2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</row>
    <row r="52" spans="2:56" x14ac:dyDescent="0.3">
      <c r="B52" s="11">
        <v>43</v>
      </c>
      <c r="C52" s="19"/>
      <c r="D52" s="2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</row>
    <row r="53" spans="2:56" x14ac:dyDescent="0.3">
      <c r="B53" s="11">
        <v>44</v>
      </c>
      <c r="C53" s="19"/>
      <c r="D53" s="2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</row>
    <row r="54" spans="2:56" x14ac:dyDescent="0.3">
      <c r="B54" s="11">
        <v>45</v>
      </c>
      <c r="C54" s="19"/>
      <c r="D54" s="2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2:56" x14ac:dyDescent="0.3">
      <c r="B55" s="11">
        <v>46</v>
      </c>
      <c r="C55" s="19"/>
      <c r="D55" s="2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</row>
    <row r="56" spans="2:56" x14ac:dyDescent="0.3">
      <c r="B56" s="11">
        <v>47</v>
      </c>
      <c r="C56" s="19"/>
      <c r="D56" s="2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</row>
    <row r="57" spans="2:56" x14ac:dyDescent="0.3">
      <c r="B57" s="11">
        <v>48</v>
      </c>
      <c r="C57" s="19"/>
      <c r="D57" s="2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</row>
    <row r="58" spans="2:56" x14ac:dyDescent="0.3">
      <c r="B58" s="11">
        <v>49</v>
      </c>
      <c r="C58" s="19"/>
      <c r="D58" s="2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</row>
    <row r="59" spans="2:56" x14ac:dyDescent="0.3">
      <c r="B59" s="11">
        <v>50</v>
      </c>
      <c r="C59" s="19"/>
      <c r="D59" s="2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</row>
    <row r="60" spans="2:56" x14ac:dyDescent="0.3">
      <c r="B60" s="11">
        <v>51</v>
      </c>
      <c r="C60" s="19"/>
      <c r="D60" s="2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2:56" x14ac:dyDescent="0.3">
      <c r="B61" s="11">
        <v>52</v>
      </c>
      <c r="C61" s="19"/>
      <c r="D61" s="2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</row>
    <row r="62" spans="2:56" x14ac:dyDescent="0.3">
      <c r="B62" s="11">
        <v>53</v>
      </c>
      <c r="C62" s="19"/>
      <c r="D62" s="2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</row>
    <row r="63" spans="2:56" x14ac:dyDescent="0.3">
      <c r="B63" s="11">
        <v>54</v>
      </c>
      <c r="C63" s="19"/>
      <c r="D63" s="2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2:56" x14ac:dyDescent="0.3">
      <c r="B64" s="11">
        <v>55</v>
      </c>
      <c r="C64" s="19"/>
      <c r="D64" s="2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</row>
    <row r="65" spans="2:56" x14ac:dyDescent="0.3">
      <c r="B65" s="11">
        <v>56</v>
      </c>
      <c r="C65" s="19"/>
      <c r="D65" s="2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</row>
    <row r="66" spans="2:56" x14ac:dyDescent="0.3">
      <c r="B66" s="11">
        <v>57</v>
      </c>
      <c r="C66" s="19"/>
      <c r="D66" s="2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2:56" x14ac:dyDescent="0.3">
      <c r="B67" s="11">
        <v>58</v>
      </c>
      <c r="C67" s="19"/>
      <c r="D67" s="2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</row>
    <row r="68" spans="2:56" x14ac:dyDescent="0.3">
      <c r="B68" s="11">
        <v>59</v>
      </c>
      <c r="C68" s="19"/>
      <c r="D68" s="2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</row>
    <row r="69" spans="2:56" x14ac:dyDescent="0.3">
      <c r="B69" s="11">
        <v>60</v>
      </c>
      <c r="C69" s="19"/>
      <c r="D69" s="2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2:56" x14ac:dyDescent="0.3">
      <c r="B70" s="11">
        <v>61</v>
      </c>
      <c r="C70" s="19"/>
      <c r="D70" s="2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</row>
    <row r="71" spans="2:56" x14ac:dyDescent="0.3">
      <c r="B71" s="11">
        <v>62</v>
      </c>
      <c r="C71" s="19"/>
      <c r="D71" s="2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</row>
    <row r="72" spans="2:56" x14ac:dyDescent="0.3">
      <c r="B72" s="11">
        <v>63</v>
      </c>
      <c r="C72" s="19"/>
      <c r="D72" s="2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2:56" x14ac:dyDescent="0.3">
      <c r="B73" s="11">
        <v>64</v>
      </c>
      <c r="C73" s="19"/>
      <c r="D73" s="2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</row>
    <row r="74" spans="2:56" x14ac:dyDescent="0.3">
      <c r="B74" s="11">
        <v>65</v>
      </c>
      <c r="C74" s="19"/>
      <c r="D74" s="2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</row>
    <row r="75" spans="2:56" x14ac:dyDescent="0.3">
      <c r="B75" s="11">
        <v>66</v>
      </c>
      <c r="C75" s="19"/>
      <c r="D75" s="2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2:56" x14ac:dyDescent="0.3">
      <c r="B76" s="11">
        <v>67</v>
      </c>
      <c r="C76" s="19"/>
      <c r="D76" s="2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</row>
    <row r="77" spans="2:56" x14ac:dyDescent="0.3">
      <c r="B77" s="11">
        <v>68</v>
      </c>
      <c r="C77" s="19"/>
      <c r="D77" s="2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</row>
    <row r="78" spans="2:56" x14ac:dyDescent="0.3">
      <c r="B78" s="11">
        <v>69</v>
      </c>
      <c r="C78" s="19"/>
      <c r="D78" s="2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2:56" x14ac:dyDescent="0.3">
      <c r="B79" s="11">
        <v>70</v>
      </c>
      <c r="C79" s="19"/>
      <c r="D79" s="2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</row>
    <row r="80" spans="2:56" x14ac:dyDescent="0.3">
      <c r="B80" s="11">
        <v>71</v>
      </c>
      <c r="C80" s="19"/>
      <c r="D80" s="2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</row>
    <row r="81" spans="2:56" x14ac:dyDescent="0.3">
      <c r="B81" s="11">
        <v>72</v>
      </c>
      <c r="C81" s="19"/>
      <c r="D81" s="2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2:56" x14ac:dyDescent="0.3">
      <c r="B82" s="11">
        <v>73</v>
      </c>
      <c r="C82" s="19"/>
      <c r="D82" s="2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</row>
    <row r="83" spans="2:56" x14ac:dyDescent="0.3">
      <c r="B83" s="11">
        <v>74</v>
      </c>
      <c r="C83" s="19"/>
      <c r="D83" s="2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</row>
    <row r="84" spans="2:56" x14ac:dyDescent="0.3">
      <c r="B84" s="11">
        <v>75</v>
      </c>
      <c r="C84" s="19"/>
      <c r="D84" s="2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2:56" x14ac:dyDescent="0.3">
      <c r="B85" s="11">
        <v>76</v>
      </c>
      <c r="C85" s="19"/>
      <c r="D85" s="2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</row>
    <row r="86" spans="2:56" x14ac:dyDescent="0.3">
      <c r="B86" s="11">
        <v>77</v>
      </c>
      <c r="C86" s="19"/>
      <c r="D86" s="2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</row>
    <row r="87" spans="2:56" x14ac:dyDescent="0.3">
      <c r="B87" s="11">
        <v>78</v>
      </c>
      <c r="C87" s="19"/>
      <c r="D87" s="2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2:56" x14ac:dyDescent="0.3">
      <c r="B88" s="11">
        <v>79</v>
      </c>
      <c r="C88" s="19"/>
      <c r="D88" s="2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</row>
    <row r="89" spans="2:56" x14ac:dyDescent="0.3">
      <c r="B89" s="11">
        <v>80</v>
      </c>
      <c r="C89" s="19"/>
      <c r="D89" s="2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</row>
    <row r="90" spans="2:56" x14ac:dyDescent="0.3">
      <c r="B90" s="11">
        <v>81</v>
      </c>
      <c r="C90" s="19"/>
      <c r="D90" s="2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2:56" x14ac:dyDescent="0.3">
      <c r="B91" s="11">
        <v>82</v>
      </c>
      <c r="C91" s="19"/>
      <c r="D91" s="2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</row>
    <row r="92" spans="2:56" x14ac:dyDescent="0.3">
      <c r="B92" s="11">
        <v>83</v>
      </c>
      <c r="C92" s="19"/>
      <c r="D92" s="2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</row>
    <row r="93" spans="2:56" x14ac:dyDescent="0.3">
      <c r="B93" s="11">
        <v>84</v>
      </c>
      <c r="C93" s="19"/>
      <c r="D93" s="2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2:56" x14ac:dyDescent="0.3">
      <c r="B94" s="11">
        <v>85</v>
      </c>
      <c r="C94" s="19"/>
      <c r="D94" s="2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</row>
    <row r="95" spans="2:56" x14ac:dyDescent="0.3">
      <c r="B95" s="11">
        <v>86</v>
      </c>
      <c r="C95" s="19"/>
      <c r="D95" s="2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</row>
    <row r="96" spans="2:56" x14ac:dyDescent="0.3">
      <c r="B96" s="11">
        <v>87</v>
      </c>
      <c r="C96" s="19"/>
      <c r="D96" s="2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2:56" x14ac:dyDescent="0.3">
      <c r="B97" s="11">
        <v>88</v>
      </c>
      <c r="C97" s="19"/>
      <c r="D97" s="2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</row>
    <row r="98" spans="2:56" x14ac:dyDescent="0.3">
      <c r="B98" s="11">
        <v>89</v>
      </c>
      <c r="C98" s="19"/>
      <c r="D98" s="2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</row>
    <row r="99" spans="2:56" x14ac:dyDescent="0.3">
      <c r="B99" s="11">
        <v>90</v>
      </c>
      <c r="C99" s="19"/>
      <c r="D99" s="2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2:56" x14ac:dyDescent="0.3">
      <c r="B100" s="11">
        <v>91</v>
      </c>
      <c r="C100" s="19"/>
      <c r="D100" s="2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</row>
    <row r="101" spans="2:56" x14ac:dyDescent="0.3">
      <c r="B101" s="11">
        <v>92</v>
      </c>
      <c r="C101" s="19"/>
      <c r="D101" s="2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</row>
    <row r="102" spans="2:56" x14ac:dyDescent="0.3">
      <c r="B102" s="11">
        <v>93</v>
      </c>
      <c r="C102" s="19"/>
      <c r="D102" s="2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2:56" x14ac:dyDescent="0.3">
      <c r="B103" s="11">
        <v>94</v>
      </c>
      <c r="C103" s="19"/>
      <c r="D103" s="2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</row>
    <row r="104" spans="2:56" x14ac:dyDescent="0.3">
      <c r="B104" s="11">
        <v>95</v>
      </c>
      <c r="C104" s="19"/>
      <c r="D104" s="2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</row>
    <row r="105" spans="2:56" x14ac:dyDescent="0.3">
      <c r="B105" s="11">
        <v>96</v>
      </c>
      <c r="C105" s="19"/>
      <c r="D105" s="2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2:56" x14ac:dyDescent="0.3">
      <c r="B106" s="11">
        <v>97</v>
      </c>
      <c r="C106" s="19"/>
      <c r="D106" s="2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</row>
    <row r="107" spans="2:56" x14ac:dyDescent="0.3">
      <c r="B107" s="11">
        <v>98</v>
      </c>
      <c r="C107" s="19"/>
      <c r="D107" s="2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</row>
    <row r="108" spans="2:56" x14ac:dyDescent="0.3">
      <c r="B108" s="11">
        <v>99</v>
      </c>
      <c r="C108" s="19"/>
      <c r="D108" s="2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2:56" x14ac:dyDescent="0.3">
      <c r="B109" s="11">
        <v>100</v>
      </c>
      <c r="C109" s="19"/>
      <c r="D109" s="2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</row>
    <row r="110" spans="2:56" x14ac:dyDescent="0.3">
      <c r="E110" s="1"/>
      <c r="F110" s="1"/>
      <c r="G110" s="1"/>
    </row>
    <row r="111" spans="2:56" x14ac:dyDescent="0.3">
      <c r="G111" s="1"/>
    </row>
  </sheetData>
  <mergeCells count="3">
    <mergeCell ref="D5:J5"/>
    <mergeCell ref="B7:B9"/>
    <mergeCell ref="C7:C9"/>
  </mergeCells>
  <pageMargins left="0.45" right="0.45" top="0.5" bottom="0.5" header="0.3" footer="0.3"/>
  <pageSetup scale="80" orientation="landscape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B111"/>
  <sheetViews>
    <sheetView showGridLines="0" tabSelected="1" workbookViewId="0">
      <selection activeCell="D17" sqref="D17"/>
    </sheetView>
  </sheetViews>
  <sheetFormatPr defaultColWidth="8.6640625" defaultRowHeight="14.4" x14ac:dyDescent="0.3"/>
  <cols>
    <col min="1" max="1" width="3.33203125" style="1" customWidth="1"/>
    <col min="2" max="2" width="3.44140625" style="2" customWidth="1"/>
    <col min="3" max="3" width="4" style="2" customWidth="1"/>
    <col min="4" max="4" width="26.109375" style="1" customWidth="1"/>
    <col min="5" max="6" width="10.6640625" style="3" customWidth="1"/>
    <col min="7" max="54" width="4.109375" style="1" customWidth="1"/>
    <col min="55" max="77" width="4.6640625" style="1" customWidth="1"/>
    <col min="78" max="16384" width="8.6640625" style="1"/>
  </cols>
  <sheetData>
    <row r="1" spans="2:54" x14ac:dyDescent="0.3">
      <c r="C1" s="4"/>
    </row>
    <row r="2" spans="2:54" ht="23.4" x14ac:dyDescent="0.3">
      <c r="B2" s="31"/>
      <c r="C2" s="6" t="s">
        <v>8</v>
      </c>
    </row>
    <row r="3" spans="2:54" x14ac:dyDescent="0.3">
      <c r="C3" s="4"/>
    </row>
    <row r="4" spans="2:54" s="8" customFormat="1" x14ac:dyDescent="0.3">
      <c r="B4" s="30"/>
      <c r="C4" s="7" t="s">
        <v>0</v>
      </c>
      <c r="E4" s="9" t="s">
        <v>2</v>
      </c>
      <c r="F4" s="9"/>
      <c r="G4" s="16"/>
      <c r="H4" s="1"/>
      <c r="I4" s="1"/>
    </row>
    <row r="5" spans="2:54" s="8" customFormat="1" ht="17.55" customHeight="1" x14ac:dyDescent="0.3">
      <c r="B5" s="30"/>
      <c r="C5" s="7" t="s">
        <v>3</v>
      </c>
      <c r="E5" s="37">
        <v>44201</v>
      </c>
      <c r="F5" s="37"/>
      <c r="G5" s="37"/>
      <c r="H5" s="1"/>
      <c r="I5" s="1"/>
    </row>
    <row r="6" spans="2:54" x14ac:dyDescent="0.3">
      <c r="C6" s="4"/>
    </row>
    <row r="7" spans="2:54" x14ac:dyDescent="0.3">
      <c r="B7" s="39" t="s">
        <v>45</v>
      </c>
      <c r="C7" s="38" t="s">
        <v>1</v>
      </c>
      <c r="D7" s="38" t="s">
        <v>44</v>
      </c>
      <c r="E7" s="42" t="s">
        <v>43</v>
      </c>
      <c r="F7" s="42" t="s">
        <v>42</v>
      </c>
      <c r="G7" s="38">
        <f>YEAR($E$5)</f>
        <v>2021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>
        <f>G7+1</f>
        <v>2022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>
        <f>S7+1</f>
        <v>2023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>
        <f>AE7+1</f>
        <v>2024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</row>
    <row r="8" spans="2:54" s="5" customFormat="1" ht="14.55" hidden="1" customHeight="1" x14ac:dyDescent="0.3">
      <c r="B8" s="40"/>
      <c r="C8" s="38"/>
      <c r="D8" s="38"/>
      <c r="E8" s="42"/>
      <c r="F8" s="42"/>
      <c r="G8" s="29">
        <f>DATE(G7,1,1)</f>
        <v>44197</v>
      </c>
      <c r="H8" s="29">
        <f>DATE(G7,2,1)</f>
        <v>44228</v>
      </c>
      <c r="I8" s="29">
        <f>DATE(G7,3,1)</f>
        <v>44256</v>
      </c>
      <c r="J8" s="29">
        <f>DATE(G7,4,1)</f>
        <v>44287</v>
      </c>
      <c r="K8" s="29">
        <f>DATE(G7,5,1)</f>
        <v>44317</v>
      </c>
      <c r="L8" s="29">
        <f>DATE(G7,6,1)</f>
        <v>44348</v>
      </c>
      <c r="M8" s="29">
        <f>DATE(G7,7,1)</f>
        <v>44378</v>
      </c>
      <c r="N8" s="29">
        <f>DATE(G7,8,1)</f>
        <v>44409</v>
      </c>
      <c r="O8" s="29">
        <f>DATE(G7,9,1)</f>
        <v>44440</v>
      </c>
      <c r="P8" s="29">
        <f>DATE(G7,10,1)</f>
        <v>44470</v>
      </c>
      <c r="Q8" s="29">
        <f>DATE(G7,11,1)</f>
        <v>44501</v>
      </c>
      <c r="R8" s="29">
        <f>DATE(G7,12,1)</f>
        <v>44531</v>
      </c>
      <c r="S8" s="29">
        <f>DATE(S7,1,1)</f>
        <v>44562</v>
      </c>
      <c r="T8" s="29">
        <f>DATE(S7,2,1)</f>
        <v>44593</v>
      </c>
      <c r="U8" s="29">
        <f>DATE(S7,3,1)</f>
        <v>44621</v>
      </c>
      <c r="V8" s="29">
        <f>DATE(S7,4,1)</f>
        <v>44652</v>
      </c>
      <c r="W8" s="29">
        <f>DATE(S7,5,1)</f>
        <v>44682</v>
      </c>
      <c r="X8" s="29">
        <f>DATE(S7,6,1)</f>
        <v>44713</v>
      </c>
      <c r="Y8" s="29">
        <f>DATE(S7,7,1)</f>
        <v>44743</v>
      </c>
      <c r="Z8" s="29">
        <f>DATE(S7,8,1)</f>
        <v>44774</v>
      </c>
      <c r="AA8" s="29">
        <f>DATE(S7,9,1)</f>
        <v>44805</v>
      </c>
      <c r="AB8" s="29">
        <f>DATE(S7,10,1)</f>
        <v>44835</v>
      </c>
      <c r="AC8" s="29">
        <f>DATE(S7,11,1)</f>
        <v>44866</v>
      </c>
      <c r="AD8" s="29">
        <f>DATE(S7,12,1)</f>
        <v>44896</v>
      </c>
      <c r="AE8" s="29">
        <f>DATE(AE7,1,1)</f>
        <v>44927</v>
      </c>
      <c r="AF8" s="29">
        <f>DATE(AE7,2,1)</f>
        <v>44958</v>
      </c>
      <c r="AG8" s="29">
        <f>DATE(AE7,3,1)</f>
        <v>44986</v>
      </c>
      <c r="AH8" s="29">
        <f>DATE(AE7,4,1)</f>
        <v>45017</v>
      </c>
      <c r="AI8" s="29">
        <f>DATE(AE7,5,1)</f>
        <v>45047</v>
      </c>
      <c r="AJ8" s="29">
        <f>DATE(AE7,6,1)</f>
        <v>45078</v>
      </c>
      <c r="AK8" s="29">
        <f>DATE(AE7,7,1)</f>
        <v>45108</v>
      </c>
      <c r="AL8" s="29">
        <f>DATE(AE7,8,1)</f>
        <v>45139</v>
      </c>
      <c r="AM8" s="29">
        <f>DATE(AE7,9,1)</f>
        <v>45170</v>
      </c>
      <c r="AN8" s="29">
        <f>DATE(AE7,10,1)</f>
        <v>45200</v>
      </c>
      <c r="AO8" s="29">
        <f>DATE(AE7,11,1)</f>
        <v>45231</v>
      </c>
      <c r="AP8" s="29">
        <f>DATE(AE7,12,1)</f>
        <v>45261</v>
      </c>
      <c r="AQ8" s="29">
        <f>DATE(AQ7,1,1)</f>
        <v>45292</v>
      </c>
      <c r="AR8" s="29">
        <f>DATE(AQ7,2,1)</f>
        <v>45323</v>
      </c>
      <c r="AS8" s="29">
        <f>DATE(AQ7,3,1)</f>
        <v>45352</v>
      </c>
      <c r="AT8" s="29">
        <f>DATE(AQ7,4,1)</f>
        <v>45383</v>
      </c>
      <c r="AU8" s="29">
        <f>DATE(AQ7,5,1)</f>
        <v>45413</v>
      </c>
      <c r="AV8" s="29">
        <f>DATE(AQ7,6,1)</f>
        <v>45444</v>
      </c>
      <c r="AW8" s="29">
        <f>DATE(AQ7,7,1)</f>
        <v>45474</v>
      </c>
      <c r="AX8" s="29">
        <f>DATE(AQ7,8,1)</f>
        <v>45505</v>
      </c>
      <c r="AY8" s="29">
        <f>DATE(AQ7,9,1)</f>
        <v>45536</v>
      </c>
      <c r="AZ8" s="29">
        <f>DATE(AQ7,10,1)</f>
        <v>45566</v>
      </c>
      <c r="BA8" s="29">
        <f>DATE(AQ7,11,1)</f>
        <v>45597</v>
      </c>
      <c r="BB8" s="29">
        <f>DATE(AQ7,12,1)</f>
        <v>45627</v>
      </c>
    </row>
    <row r="9" spans="2:54" x14ac:dyDescent="0.3">
      <c r="B9" s="41"/>
      <c r="C9" s="38"/>
      <c r="D9" s="38"/>
      <c r="E9" s="42"/>
      <c r="F9" s="42"/>
      <c r="G9" s="25" t="s">
        <v>41</v>
      </c>
      <c r="H9" s="25" t="s">
        <v>40</v>
      </c>
      <c r="I9" s="25" t="s">
        <v>39</v>
      </c>
      <c r="J9" s="25" t="s">
        <v>38</v>
      </c>
      <c r="K9" s="25" t="s">
        <v>37</v>
      </c>
      <c r="L9" s="25" t="s">
        <v>36</v>
      </c>
      <c r="M9" s="25" t="s">
        <v>35</v>
      </c>
      <c r="N9" s="25" t="s">
        <v>34</v>
      </c>
      <c r="O9" s="25" t="s">
        <v>33</v>
      </c>
      <c r="P9" s="25" t="s">
        <v>32</v>
      </c>
      <c r="Q9" s="25" t="s">
        <v>31</v>
      </c>
      <c r="R9" s="25" t="s">
        <v>30</v>
      </c>
      <c r="S9" s="25" t="s">
        <v>41</v>
      </c>
      <c r="T9" s="25" t="s">
        <v>40</v>
      </c>
      <c r="U9" s="25" t="s">
        <v>39</v>
      </c>
      <c r="V9" s="25" t="s">
        <v>38</v>
      </c>
      <c r="W9" s="25" t="s">
        <v>37</v>
      </c>
      <c r="X9" s="25" t="s">
        <v>36</v>
      </c>
      <c r="Y9" s="25" t="s">
        <v>35</v>
      </c>
      <c r="Z9" s="25" t="s">
        <v>34</v>
      </c>
      <c r="AA9" s="25" t="s">
        <v>33</v>
      </c>
      <c r="AB9" s="25" t="s">
        <v>32</v>
      </c>
      <c r="AC9" s="25" t="s">
        <v>31</v>
      </c>
      <c r="AD9" s="25" t="s">
        <v>30</v>
      </c>
      <c r="AE9" s="25" t="s">
        <v>41</v>
      </c>
      <c r="AF9" s="25" t="s">
        <v>40</v>
      </c>
      <c r="AG9" s="25" t="s">
        <v>39</v>
      </c>
      <c r="AH9" s="25" t="s">
        <v>38</v>
      </c>
      <c r="AI9" s="25" t="s">
        <v>37</v>
      </c>
      <c r="AJ9" s="25" t="s">
        <v>36</v>
      </c>
      <c r="AK9" s="25" t="s">
        <v>35</v>
      </c>
      <c r="AL9" s="25" t="s">
        <v>34</v>
      </c>
      <c r="AM9" s="25" t="s">
        <v>33</v>
      </c>
      <c r="AN9" s="25" t="s">
        <v>32</v>
      </c>
      <c r="AO9" s="25" t="s">
        <v>31</v>
      </c>
      <c r="AP9" s="25" t="s">
        <v>30</v>
      </c>
      <c r="AQ9" s="25" t="s">
        <v>41</v>
      </c>
      <c r="AR9" s="25" t="s">
        <v>40</v>
      </c>
      <c r="AS9" s="25" t="s">
        <v>39</v>
      </c>
      <c r="AT9" s="25" t="s">
        <v>38</v>
      </c>
      <c r="AU9" s="25" t="s">
        <v>37</v>
      </c>
      <c r="AV9" s="25" t="s">
        <v>36</v>
      </c>
      <c r="AW9" s="25" t="s">
        <v>35</v>
      </c>
      <c r="AX9" s="25" t="s">
        <v>34</v>
      </c>
      <c r="AY9" s="25" t="s">
        <v>33</v>
      </c>
      <c r="AZ9" s="25" t="s">
        <v>32</v>
      </c>
      <c r="BA9" s="25" t="s">
        <v>31</v>
      </c>
      <c r="BB9" s="25" t="s">
        <v>30</v>
      </c>
    </row>
    <row r="10" spans="2:54" x14ac:dyDescent="0.3">
      <c r="B10" s="11" t="s">
        <v>23</v>
      </c>
      <c r="C10" s="11">
        <v>1</v>
      </c>
      <c r="D10" s="28" t="s">
        <v>9</v>
      </c>
      <c r="E10" s="27">
        <v>44201</v>
      </c>
      <c r="F10" s="27">
        <v>44686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2:54" x14ac:dyDescent="0.3">
      <c r="B11" s="11" t="s">
        <v>29</v>
      </c>
      <c r="C11" s="11">
        <v>2</v>
      </c>
      <c r="D11" s="10" t="s">
        <v>10</v>
      </c>
      <c r="E11" s="27">
        <v>44202</v>
      </c>
      <c r="F11" s="27">
        <v>44226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spans="2:54" x14ac:dyDescent="0.3">
      <c r="B12" s="11" t="s">
        <v>26</v>
      </c>
      <c r="C12" s="11">
        <v>3</v>
      </c>
      <c r="D12" s="10" t="s">
        <v>11</v>
      </c>
      <c r="E12" s="27">
        <v>44221</v>
      </c>
      <c r="F12" s="27">
        <v>44252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spans="2:54" x14ac:dyDescent="0.3">
      <c r="B13" s="11" t="s">
        <v>28</v>
      </c>
      <c r="C13" s="11">
        <v>4</v>
      </c>
      <c r="D13" s="10" t="s">
        <v>12</v>
      </c>
      <c r="E13" s="27">
        <v>44253</v>
      </c>
      <c r="F13" s="27">
        <v>44286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2:54" x14ac:dyDescent="0.3">
      <c r="B14" s="11" t="s">
        <v>25</v>
      </c>
      <c r="C14" s="11">
        <v>5</v>
      </c>
      <c r="D14" s="10" t="s">
        <v>13</v>
      </c>
      <c r="E14" s="27">
        <v>44202</v>
      </c>
      <c r="F14" s="27">
        <v>44226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2:54" x14ac:dyDescent="0.3">
      <c r="B15" s="11" t="s">
        <v>24</v>
      </c>
      <c r="C15" s="11">
        <v>6</v>
      </c>
      <c r="D15" s="10" t="s">
        <v>14</v>
      </c>
      <c r="E15" s="27">
        <v>44221</v>
      </c>
      <c r="F15" s="27">
        <v>44252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spans="2:54" x14ac:dyDescent="0.3">
      <c r="B16" s="11" t="s">
        <v>27</v>
      </c>
      <c r="C16" s="11">
        <v>7</v>
      </c>
      <c r="D16" s="10" t="s">
        <v>15</v>
      </c>
      <c r="E16" s="27">
        <v>44202</v>
      </c>
      <c r="F16" s="27">
        <v>44226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2:54" x14ac:dyDescent="0.3">
      <c r="B17" s="11" t="s">
        <v>23</v>
      </c>
      <c r="C17" s="11">
        <v>8</v>
      </c>
      <c r="D17" s="10" t="s">
        <v>16</v>
      </c>
      <c r="E17" s="27">
        <v>44221</v>
      </c>
      <c r="F17" s="27">
        <v>44252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spans="2:54" x14ac:dyDescent="0.3">
      <c r="B18" s="11" t="s">
        <v>26</v>
      </c>
      <c r="C18" s="11">
        <v>9</v>
      </c>
      <c r="D18" s="10" t="s">
        <v>17</v>
      </c>
      <c r="E18" s="27"/>
      <c r="F18" s="2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2:54" x14ac:dyDescent="0.3">
      <c r="B19" s="11" t="s">
        <v>25</v>
      </c>
      <c r="C19" s="11">
        <v>10</v>
      </c>
      <c r="D19" s="10" t="s">
        <v>18</v>
      </c>
      <c r="E19" s="27"/>
      <c r="F19" s="2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spans="2:54" x14ac:dyDescent="0.3">
      <c r="B20" s="11" t="s">
        <v>24</v>
      </c>
      <c r="C20" s="11">
        <v>11</v>
      </c>
      <c r="D20" s="10" t="s">
        <v>19</v>
      </c>
      <c r="E20" s="27"/>
      <c r="F20" s="2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spans="2:54" x14ac:dyDescent="0.3">
      <c r="B21" s="11" t="s">
        <v>23</v>
      </c>
      <c r="C21" s="11">
        <v>12</v>
      </c>
      <c r="D21" s="10" t="s">
        <v>20</v>
      </c>
      <c r="E21" s="27"/>
      <c r="F21" s="2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spans="2:54" x14ac:dyDescent="0.3">
      <c r="B22" s="11" t="s">
        <v>23</v>
      </c>
      <c r="C22" s="11">
        <v>13</v>
      </c>
      <c r="D22" s="28" t="s">
        <v>21</v>
      </c>
      <c r="E22" s="27"/>
      <c r="F22" s="2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2:54" x14ac:dyDescent="0.3">
      <c r="B23" s="11" t="s">
        <v>23</v>
      </c>
      <c r="C23" s="11">
        <v>14</v>
      </c>
      <c r="D23" s="10"/>
      <c r="E23" s="27"/>
      <c r="F23" s="2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spans="2:54" x14ac:dyDescent="0.3">
      <c r="B24" s="11" t="s">
        <v>23</v>
      </c>
      <c r="C24" s="11">
        <v>15</v>
      </c>
      <c r="D24" s="10"/>
      <c r="E24" s="27"/>
      <c r="F24" s="2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spans="2:54" x14ac:dyDescent="0.3">
      <c r="B25" s="11" t="s">
        <v>23</v>
      </c>
      <c r="C25" s="11">
        <v>16</v>
      </c>
      <c r="D25" s="10"/>
      <c r="E25" s="27"/>
      <c r="F25" s="27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spans="2:54" x14ac:dyDescent="0.3">
      <c r="B26" s="11" t="s">
        <v>23</v>
      </c>
      <c r="C26" s="11">
        <v>17</v>
      </c>
      <c r="D26" s="10"/>
      <c r="E26" s="27"/>
      <c r="F26" s="2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spans="2:54" x14ac:dyDescent="0.3">
      <c r="B27" s="11" t="s">
        <v>23</v>
      </c>
      <c r="C27" s="11">
        <v>18</v>
      </c>
      <c r="D27" s="10"/>
      <c r="E27" s="27"/>
      <c r="F27" s="27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2:54" x14ac:dyDescent="0.3">
      <c r="B28" s="11" t="s">
        <v>23</v>
      </c>
      <c r="C28" s="11">
        <v>19</v>
      </c>
      <c r="D28" s="10"/>
      <c r="E28" s="27"/>
      <c r="F28" s="2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spans="2:54" x14ac:dyDescent="0.3">
      <c r="B29" s="11" t="s">
        <v>23</v>
      </c>
      <c r="C29" s="11">
        <v>20</v>
      </c>
      <c r="D29" s="10"/>
      <c r="E29" s="27"/>
      <c r="F29" s="27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spans="2:54" x14ac:dyDescent="0.3">
      <c r="B30" s="11" t="s">
        <v>23</v>
      </c>
      <c r="C30" s="11">
        <v>21</v>
      </c>
      <c r="D30" s="10"/>
      <c r="E30" s="27"/>
      <c r="F30" s="2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spans="2:54" x14ac:dyDescent="0.3">
      <c r="B31" s="11" t="s">
        <v>23</v>
      </c>
      <c r="C31" s="11">
        <v>22</v>
      </c>
      <c r="D31" s="10"/>
      <c r="E31" s="27"/>
      <c r="F31" s="27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spans="2:54" x14ac:dyDescent="0.3">
      <c r="B32" s="11" t="s">
        <v>23</v>
      </c>
      <c r="C32" s="11">
        <v>23</v>
      </c>
      <c r="D32" s="10"/>
      <c r="E32" s="27"/>
      <c r="F32" s="2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spans="2:54" x14ac:dyDescent="0.3">
      <c r="B33" s="11" t="s">
        <v>23</v>
      </c>
      <c r="C33" s="11">
        <v>24</v>
      </c>
      <c r="D33" s="28" t="s">
        <v>22</v>
      </c>
      <c r="E33" s="27"/>
      <c r="F33" s="27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spans="2:54" x14ac:dyDescent="0.3">
      <c r="B34" s="11" t="s">
        <v>23</v>
      </c>
      <c r="C34" s="11">
        <v>25</v>
      </c>
      <c r="D34" s="10"/>
      <c r="E34" s="27"/>
      <c r="F34" s="27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spans="2:54" x14ac:dyDescent="0.3">
      <c r="B35" s="11" t="s">
        <v>23</v>
      </c>
      <c r="C35" s="11">
        <v>26</v>
      </c>
      <c r="D35" s="10"/>
      <c r="E35" s="27"/>
      <c r="F35" s="27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spans="2:54" x14ac:dyDescent="0.3">
      <c r="B36" s="11" t="s">
        <v>23</v>
      </c>
      <c r="C36" s="11">
        <v>27</v>
      </c>
      <c r="D36" s="10"/>
      <c r="E36" s="26"/>
      <c r="F36" s="26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spans="2:54" x14ac:dyDescent="0.3">
      <c r="B37" s="11" t="s">
        <v>23</v>
      </c>
      <c r="C37" s="11">
        <v>28</v>
      </c>
      <c r="D37" s="10"/>
      <c r="E37" s="26"/>
      <c r="F37" s="26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spans="2:54" x14ac:dyDescent="0.3">
      <c r="B38" s="11" t="s">
        <v>23</v>
      </c>
      <c r="C38" s="11">
        <v>29</v>
      </c>
      <c r="D38" s="10"/>
      <c r="E38" s="26"/>
      <c r="F38" s="26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spans="2:54" x14ac:dyDescent="0.3">
      <c r="B39" s="11" t="s">
        <v>23</v>
      </c>
      <c r="C39" s="11">
        <v>30</v>
      </c>
      <c r="D39" s="10"/>
      <c r="E39" s="26"/>
      <c r="F39" s="26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spans="2:54" x14ac:dyDescent="0.3">
      <c r="B40" s="11" t="s">
        <v>23</v>
      </c>
      <c r="C40" s="11">
        <v>31</v>
      </c>
      <c r="D40" s="10"/>
      <c r="E40" s="26"/>
      <c r="F40" s="26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spans="2:54" x14ac:dyDescent="0.3">
      <c r="B41" s="11" t="s">
        <v>23</v>
      </c>
      <c r="C41" s="11">
        <v>32</v>
      </c>
      <c r="D41" s="10"/>
      <c r="E41" s="26"/>
      <c r="F41" s="26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spans="2:54" x14ac:dyDescent="0.3">
      <c r="B42" s="11" t="s">
        <v>23</v>
      </c>
      <c r="C42" s="11">
        <v>33</v>
      </c>
      <c r="D42" s="10"/>
      <c r="E42" s="26"/>
      <c r="F42" s="26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spans="2:54" x14ac:dyDescent="0.3">
      <c r="B43" s="11" t="s">
        <v>23</v>
      </c>
      <c r="C43" s="11">
        <v>34</v>
      </c>
      <c r="D43" s="10"/>
      <c r="E43" s="26"/>
      <c r="F43" s="26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spans="2:54" x14ac:dyDescent="0.3">
      <c r="B44" s="11" t="s">
        <v>23</v>
      </c>
      <c r="C44" s="11">
        <v>35</v>
      </c>
      <c r="D44" s="10"/>
      <c r="E44" s="26"/>
      <c r="F44" s="26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2:54" x14ac:dyDescent="0.3">
      <c r="B45" s="11" t="s">
        <v>23</v>
      </c>
      <c r="C45" s="11">
        <v>36</v>
      </c>
      <c r="D45" s="10"/>
      <c r="E45" s="26"/>
      <c r="F45" s="26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spans="2:54" x14ac:dyDescent="0.3">
      <c r="B46" s="11" t="s">
        <v>23</v>
      </c>
      <c r="C46" s="11">
        <v>37</v>
      </c>
      <c r="D46" s="10"/>
      <c r="E46" s="26"/>
      <c r="F46" s="26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spans="2:54" x14ac:dyDescent="0.3">
      <c r="B47" s="11" t="s">
        <v>23</v>
      </c>
      <c r="C47" s="11">
        <v>38</v>
      </c>
      <c r="D47" s="10"/>
      <c r="E47" s="26"/>
      <c r="F47" s="2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spans="2:54" x14ac:dyDescent="0.3">
      <c r="B48" s="11" t="s">
        <v>23</v>
      </c>
      <c r="C48" s="11">
        <v>39</v>
      </c>
      <c r="D48" s="10"/>
      <c r="E48" s="26"/>
      <c r="F48" s="26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2:54" x14ac:dyDescent="0.3">
      <c r="B49" s="11" t="s">
        <v>23</v>
      </c>
      <c r="C49" s="11">
        <v>40</v>
      </c>
      <c r="D49" s="10"/>
      <c r="E49" s="26"/>
      <c r="F49" s="2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spans="2:54" x14ac:dyDescent="0.3">
      <c r="B50" s="11" t="s">
        <v>23</v>
      </c>
      <c r="C50" s="11">
        <v>41</v>
      </c>
      <c r="D50" s="10"/>
      <c r="E50" s="26"/>
      <c r="F50" s="2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spans="2:54" x14ac:dyDescent="0.3">
      <c r="B51" s="11" t="s">
        <v>23</v>
      </c>
      <c r="C51" s="11">
        <v>42</v>
      </c>
      <c r="D51" s="10"/>
      <c r="E51" s="26"/>
      <c r="F51" s="2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spans="2:54" x14ac:dyDescent="0.3">
      <c r="B52" s="11" t="s">
        <v>23</v>
      </c>
      <c r="C52" s="11">
        <v>43</v>
      </c>
      <c r="D52" s="10"/>
      <c r="E52" s="26"/>
      <c r="F52" s="2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spans="2:54" x14ac:dyDescent="0.3">
      <c r="B53" s="11" t="s">
        <v>23</v>
      </c>
      <c r="C53" s="11">
        <v>44</v>
      </c>
      <c r="D53" s="10"/>
      <c r="E53" s="26"/>
      <c r="F53" s="2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spans="2:54" x14ac:dyDescent="0.3">
      <c r="B54" s="11" t="s">
        <v>23</v>
      </c>
      <c r="C54" s="11">
        <v>45</v>
      </c>
      <c r="D54" s="10"/>
      <c r="E54" s="26"/>
      <c r="F54" s="2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spans="2:54" x14ac:dyDescent="0.3">
      <c r="B55" s="11" t="s">
        <v>23</v>
      </c>
      <c r="C55" s="11">
        <v>46</v>
      </c>
      <c r="D55" s="10"/>
      <c r="E55" s="26"/>
      <c r="F55" s="2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spans="2:54" x14ac:dyDescent="0.3">
      <c r="B56" s="11" t="s">
        <v>23</v>
      </c>
      <c r="C56" s="11">
        <v>47</v>
      </c>
      <c r="D56" s="10"/>
      <c r="E56" s="26"/>
      <c r="F56" s="2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spans="2:54" x14ac:dyDescent="0.3">
      <c r="B57" s="11" t="s">
        <v>23</v>
      </c>
      <c r="C57" s="11">
        <v>48</v>
      </c>
      <c r="D57" s="10"/>
      <c r="E57" s="26"/>
      <c r="F57" s="2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spans="2:54" x14ac:dyDescent="0.3">
      <c r="B58" s="11" t="s">
        <v>23</v>
      </c>
      <c r="C58" s="11">
        <v>49</v>
      </c>
      <c r="D58" s="10"/>
      <c r="E58" s="26"/>
      <c r="F58" s="2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spans="2:54" x14ac:dyDescent="0.3">
      <c r="B59" s="11" t="s">
        <v>23</v>
      </c>
      <c r="C59" s="11">
        <v>50</v>
      </c>
      <c r="D59" s="10"/>
      <c r="E59" s="26"/>
      <c r="F59" s="2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spans="2:54" x14ac:dyDescent="0.3">
      <c r="B60" s="11" t="s">
        <v>23</v>
      </c>
      <c r="C60" s="11">
        <v>51</v>
      </c>
      <c r="D60" s="10"/>
      <c r="E60" s="26"/>
      <c r="F60" s="2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spans="2:54" x14ac:dyDescent="0.3">
      <c r="B61" s="11" t="s">
        <v>23</v>
      </c>
      <c r="C61" s="11">
        <v>52</v>
      </c>
      <c r="D61" s="10"/>
      <c r="E61" s="26"/>
      <c r="F61" s="2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spans="2:54" x14ac:dyDescent="0.3">
      <c r="B62" s="11" t="s">
        <v>23</v>
      </c>
      <c r="C62" s="11">
        <v>53</v>
      </c>
      <c r="D62" s="10"/>
      <c r="E62" s="26"/>
      <c r="F62" s="2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spans="2:54" x14ac:dyDescent="0.3">
      <c r="B63" s="11" t="s">
        <v>23</v>
      </c>
      <c r="C63" s="11">
        <v>54</v>
      </c>
      <c r="D63" s="10"/>
      <c r="E63" s="26"/>
      <c r="F63" s="2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spans="2:54" x14ac:dyDescent="0.3">
      <c r="B64" s="11" t="s">
        <v>23</v>
      </c>
      <c r="C64" s="11">
        <v>55</v>
      </c>
      <c r="D64" s="10"/>
      <c r="E64" s="26"/>
      <c r="F64" s="2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spans="2:54" x14ac:dyDescent="0.3">
      <c r="B65" s="11" t="s">
        <v>23</v>
      </c>
      <c r="C65" s="11">
        <v>56</v>
      </c>
      <c r="D65" s="10"/>
      <c r="E65" s="26"/>
      <c r="F65" s="2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spans="2:54" x14ac:dyDescent="0.3">
      <c r="B66" s="11" t="s">
        <v>23</v>
      </c>
      <c r="C66" s="11">
        <v>57</v>
      </c>
      <c r="D66" s="10"/>
      <c r="E66" s="26"/>
      <c r="F66" s="2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spans="2:54" x14ac:dyDescent="0.3">
      <c r="B67" s="11" t="s">
        <v>23</v>
      </c>
      <c r="C67" s="11">
        <v>58</v>
      </c>
      <c r="D67" s="10"/>
      <c r="E67" s="26"/>
      <c r="F67" s="2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spans="2:54" x14ac:dyDescent="0.3">
      <c r="B68" s="11" t="s">
        <v>23</v>
      </c>
      <c r="C68" s="11">
        <v>59</v>
      </c>
      <c r="D68" s="10"/>
      <c r="E68" s="26"/>
      <c r="F68" s="2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spans="2:54" x14ac:dyDescent="0.3">
      <c r="B69" s="11" t="s">
        <v>23</v>
      </c>
      <c r="C69" s="11">
        <v>60</v>
      </c>
      <c r="D69" s="10"/>
      <c r="E69" s="26"/>
      <c r="F69" s="2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spans="2:54" x14ac:dyDescent="0.3">
      <c r="B70" s="11" t="s">
        <v>23</v>
      </c>
      <c r="C70" s="11">
        <v>61</v>
      </c>
      <c r="D70" s="10"/>
      <c r="E70" s="26"/>
      <c r="F70" s="2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spans="2:54" x14ac:dyDescent="0.3">
      <c r="B71" s="11" t="s">
        <v>23</v>
      </c>
      <c r="C71" s="11">
        <v>62</v>
      </c>
      <c r="D71" s="10"/>
      <c r="E71" s="26"/>
      <c r="F71" s="2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spans="2:54" x14ac:dyDescent="0.3">
      <c r="B72" s="11" t="s">
        <v>23</v>
      </c>
      <c r="C72" s="11">
        <v>63</v>
      </c>
      <c r="D72" s="10"/>
      <c r="E72" s="26"/>
      <c r="F72" s="2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spans="2:54" x14ac:dyDescent="0.3">
      <c r="B73" s="11" t="s">
        <v>23</v>
      </c>
      <c r="C73" s="11">
        <v>64</v>
      </c>
      <c r="D73" s="10"/>
      <c r="E73" s="26"/>
      <c r="F73" s="2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spans="2:54" x14ac:dyDescent="0.3">
      <c r="B74" s="11" t="s">
        <v>23</v>
      </c>
      <c r="C74" s="11">
        <v>65</v>
      </c>
      <c r="D74" s="10"/>
      <c r="E74" s="26"/>
      <c r="F74" s="2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spans="2:54" x14ac:dyDescent="0.3">
      <c r="B75" s="11" t="s">
        <v>23</v>
      </c>
      <c r="C75" s="11">
        <v>66</v>
      </c>
      <c r="D75" s="10"/>
      <c r="E75" s="26"/>
      <c r="F75" s="2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spans="2:54" x14ac:dyDescent="0.3">
      <c r="B76" s="11" t="s">
        <v>23</v>
      </c>
      <c r="C76" s="11">
        <v>67</v>
      </c>
      <c r="D76" s="10"/>
      <c r="E76" s="26"/>
      <c r="F76" s="2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spans="2:54" x14ac:dyDescent="0.3">
      <c r="B77" s="11" t="s">
        <v>23</v>
      </c>
      <c r="C77" s="11">
        <v>68</v>
      </c>
      <c r="D77" s="10"/>
      <c r="E77" s="26"/>
      <c r="F77" s="2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spans="2:54" x14ac:dyDescent="0.3">
      <c r="B78" s="11" t="s">
        <v>23</v>
      </c>
      <c r="C78" s="11">
        <v>69</v>
      </c>
      <c r="D78" s="10"/>
      <c r="E78" s="26"/>
      <c r="F78" s="2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spans="2:54" x14ac:dyDescent="0.3">
      <c r="B79" s="11" t="s">
        <v>23</v>
      </c>
      <c r="C79" s="11">
        <v>70</v>
      </c>
      <c r="D79" s="10"/>
      <c r="E79" s="26"/>
      <c r="F79" s="2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spans="2:54" x14ac:dyDescent="0.3">
      <c r="B80" s="11" t="s">
        <v>23</v>
      </c>
      <c r="C80" s="11">
        <v>71</v>
      </c>
      <c r="D80" s="10"/>
      <c r="E80" s="26"/>
      <c r="F80" s="2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spans="2:54" x14ac:dyDescent="0.3">
      <c r="B81" s="11" t="s">
        <v>23</v>
      </c>
      <c r="C81" s="11">
        <v>72</v>
      </c>
      <c r="D81" s="10"/>
      <c r="E81" s="26"/>
      <c r="F81" s="2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spans="2:54" x14ac:dyDescent="0.3">
      <c r="B82" s="11" t="s">
        <v>23</v>
      </c>
      <c r="C82" s="11">
        <v>73</v>
      </c>
      <c r="D82" s="10"/>
      <c r="E82" s="26"/>
      <c r="F82" s="2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spans="2:54" x14ac:dyDescent="0.3">
      <c r="B83" s="11" t="s">
        <v>23</v>
      </c>
      <c r="C83" s="11">
        <v>74</v>
      </c>
      <c r="D83" s="10"/>
      <c r="E83" s="26"/>
      <c r="F83" s="2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spans="2:54" x14ac:dyDescent="0.3">
      <c r="B84" s="11" t="s">
        <v>23</v>
      </c>
      <c r="C84" s="11">
        <v>75</v>
      </c>
      <c r="D84" s="10"/>
      <c r="E84" s="26"/>
      <c r="F84" s="2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spans="2:54" x14ac:dyDescent="0.3">
      <c r="B85" s="11" t="s">
        <v>23</v>
      </c>
      <c r="C85" s="11">
        <v>76</v>
      </c>
      <c r="D85" s="10"/>
      <c r="E85" s="26"/>
      <c r="F85" s="2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spans="2:54" x14ac:dyDescent="0.3">
      <c r="B86" s="11" t="s">
        <v>23</v>
      </c>
      <c r="C86" s="11">
        <v>77</v>
      </c>
      <c r="D86" s="10"/>
      <c r="E86" s="26"/>
      <c r="F86" s="2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spans="2:54" x14ac:dyDescent="0.3">
      <c r="B87" s="11" t="s">
        <v>23</v>
      </c>
      <c r="C87" s="11">
        <v>78</v>
      </c>
      <c r="D87" s="10"/>
      <c r="E87" s="26"/>
      <c r="F87" s="2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spans="2:54" x14ac:dyDescent="0.3">
      <c r="B88" s="11" t="s">
        <v>23</v>
      </c>
      <c r="C88" s="11">
        <v>79</v>
      </c>
      <c r="D88" s="10"/>
      <c r="E88" s="26"/>
      <c r="F88" s="2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spans="2:54" x14ac:dyDescent="0.3">
      <c r="B89" s="11" t="s">
        <v>23</v>
      </c>
      <c r="C89" s="11">
        <v>80</v>
      </c>
      <c r="D89" s="10"/>
      <c r="E89" s="26"/>
      <c r="F89" s="2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spans="2:54" x14ac:dyDescent="0.3">
      <c r="B90" s="11" t="s">
        <v>23</v>
      </c>
      <c r="C90" s="11">
        <v>81</v>
      </c>
      <c r="D90" s="10"/>
      <c r="E90" s="26"/>
      <c r="F90" s="2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spans="2:54" x14ac:dyDescent="0.3">
      <c r="B91" s="11" t="s">
        <v>23</v>
      </c>
      <c r="C91" s="11">
        <v>82</v>
      </c>
      <c r="D91" s="10"/>
      <c r="E91" s="26"/>
      <c r="F91" s="2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spans="2:54" x14ac:dyDescent="0.3">
      <c r="B92" s="11" t="s">
        <v>23</v>
      </c>
      <c r="C92" s="11">
        <v>83</v>
      </c>
      <c r="D92" s="10"/>
      <c r="E92" s="26"/>
      <c r="F92" s="2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spans="2:54" x14ac:dyDescent="0.3">
      <c r="B93" s="11" t="s">
        <v>23</v>
      </c>
      <c r="C93" s="11">
        <v>84</v>
      </c>
      <c r="D93" s="10"/>
      <c r="E93" s="26"/>
      <c r="F93" s="2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spans="2:54" x14ac:dyDescent="0.3">
      <c r="B94" s="11" t="s">
        <v>23</v>
      </c>
      <c r="C94" s="11">
        <v>85</v>
      </c>
      <c r="D94" s="10"/>
      <c r="E94" s="26"/>
      <c r="F94" s="2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spans="2:54" x14ac:dyDescent="0.3">
      <c r="B95" s="11" t="s">
        <v>23</v>
      </c>
      <c r="C95" s="11">
        <v>86</v>
      </c>
      <c r="D95" s="10"/>
      <c r="E95" s="26"/>
      <c r="F95" s="2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spans="2:54" x14ac:dyDescent="0.3">
      <c r="B96" s="11" t="s">
        <v>23</v>
      </c>
      <c r="C96" s="11">
        <v>87</v>
      </c>
      <c r="D96" s="10"/>
      <c r="E96" s="26"/>
      <c r="F96" s="2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spans="2:54" x14ac:dyDescent="0.3">
      <c r="B97" s="11" t="s">
        <v>23</v>
      </c>
      <c r="C97" s="11">
        <v>88</v>
      </c>
      <c r="D97" s="10"/>
      <c r="E97" s="26"/>
      <c r="F97" s="2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spans="2:54" x14ac:dyDescent="0.3">
      <c r="B98" s="11" t="s">
        <v>23</v>
      </c>
      <c r="C98" s="11">
        <v>89</v>
      </c>
      <c r="D98" s="10"/>
      <c r="E98" s="26"/>
      <c r="F98" s="2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spans="2:54" x14ac:dyDescent="0.3">
      <c r="B99" s="11" t="s">
        <v>23</v>
      </c>
      <c r="C99" s="11">
        <v>90</v>
      </c>
      <c r="D99" s="10"/>
      <c r="E99" s="26"/>
      <c r="F99" s="2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spans="2:54" x14ac:dyDescent="0.3">
      <c r="B100" s="11" t="s">
        <v>23</v>
      </c>
      <c r="C100" s="11">
        <v>91</v>
      </c>
      <c r="D100" s="10"/>
      <c r="E100" s="26"/>
      <c r="F100" s="2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2:54" x14ac:dyDescent="0.3">
      <c r="B101" s="11" t="s">
        <v>23</v>
      </c>
      <c r="C101" s="11">
        <v>92</v>
      </c>
      <c r="D101" s="10"/>
      <c r="E101" s="26"/>
      <c r="F101" s="2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spans="2:54" x14ac:dyDescent="0.3">
      <c r="B102" s="11" t="s">
        <v>23</v>
      </c>
      <c r="C102" s="11">
        <v>93</v>
      </c>
      <c r="D102" s="10"/>
      <c r="E102" s="26"/>
      <c r="F102" s="2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spans="2:54" x14ac:dyDescent="0.3">
      <c r="B103" s="11" t="s">
        <v>23</v>
      </c>
      <c r="C103" s="11">
        <v>94</v>
      </c>
      <c r="D103" s="10"/>
      <c r="E103" s="26"/>
      <c r="F103" s="2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spans="2:54" x14ac:dyDescent="0.3">
      <c r="B104" s="11" t="s">
        <v>23</v>
      </c>
      <c r="C104" s="11">
        <v>95</v>
      </c>
      <c r="D104" s="10"/>
      <c r="E104" s="26"/>
      <c r="F104" s="2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spans="2:54" x14ac:dyDescent="0.3">
      <c r="B105" s="11" t="s">
        <v>23</v>
      </c>
      <c r="C105" s="11">
        <v>96</v>
      </c>
      <c r="D105" s="10"/>
      <c r="E105" s="26"/>
      <c r="F105" s="2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spans="2:54" x14ac:dyDescent="0.3">
      <c r="B106" s="11" t="s">
        <v>23</v>
      </c>
      <c r="C106" s="11">
        <v>97</v>
      </c>
      <c r="D106" s="10"/>
      <c r="E106" s="26"/>
      <c r="F106" s="2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spans="2:54" x14ac:dyDescent="0.3">
      <c r="B107" s="11" t="s">
        <v>23</v>
      </c>
      <c r="C107" s="11">
        <v>98</v>
      </c>
      <c r="D107" s="10"/>
      <c r="E107" s="26"/>
      <c r="F107" s="2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spans="2:54" x14ac:dyDescent="0.3">
      <c r="B108" s="11" t="s">
        <v>23</v>
      </c>
      <c r="C108" s="11">
        <v>99</v>
      </c>
      <c r="D108" s="10"/>
      <c r="E108" s="26"/>
      <c r="F108" s="2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spans="2:54" x14ac:dyDescent="0.3">
      <c r="B109" s="11" t="s">
        <v>23</v>
      </c>
      <c r="C109" s="11">
        <v>100</v>
      </c>
      <c r="D109" s="10"/>
      <c r="E109" s="26"/>
      <c r="F109" s="2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1" spans="2:54" x14ac:dyDescent="0.3">
      <c r="B111" s="4" t="s">
        <v>49</v>
      </c>
    </row>
  </sheetData>
  <mergeCells count="10">
    <mergeCell ref="AQ7:BB7"/>
    <mergeCell ref="C7:C9"/>
    <mergeCell ref="D7:D9"/>
    <mergeCell ref="E7:E9"/>
    <mergeCell ref="F7:F9"/>
    <mergeCell ref="B7:B9"/>
    <mergeCell ref="E5:G5"/>
    <mergeCell ref="G7:R7"/>
    <mergeCell ref="S7:AD7"/>
    <mergeCell ref="AE7:AP7"/>
  </mergeCells>
  <conditionalFormatting sqref="G10:BB109">
    <cfRule type="expression" dxfId="6" priority="1">
      <formula>AND(EOMONTH(G$8,0)&gt;=$E10,G$8&lt;=$F10,$B10="G")</formula>
    </cfRule>
    <cfRule type="expression" dxfId="5" priority="2">
      <formula>AND(EOMONTH(G$8,0)&gt;=$E10,G$8&lt;=$F10,$B10="F")</formula>
    </cfRule>
    <cfRule type="expression" dxfId="4" priority="3">
      <formula>AND(EOMONTH(G$8,0)&gt;=$E10,G$8&lt;=$F10,$B10="E")</formula>
    </cfRule>
    <cfRule type="expression" dxfId="3" priority="4">
      <formula>AND(EOMONTH(G$8,0)&gt;=$E10,G$8&lt;=$F10,$B10="D")</formula>
    </cfRule>
    <cfRule type="expression" dxfId="2" priority="5">
      <formula>AND(EOMONTH(G$8,0)&gt;=$E10,G$8&lt;=$F10,$B10="C")</formula>
    </cfRule>
    <cfRule type="expression" dxfId="1" priority="6">
      <formula>AND(EOMONTH(G$8,0)&gt;=$E10,G$8&lt;=$F10,$B10="B")</formula>
    </cfRule>
    <cfRule type="expression" dxfId="0" priority="7">
      <formula>AND(EOMONTH(G$8,0)&gt;=$E10,G$8&lt;=$F10,$B10="A")</formula>
    </cfRule>
  </conditionalFormatting>
  <dataValidations count="1">
    <dataValidation type="list" allowBlank="1" showInputMessage="1" showErrorMessage="1" sqref="B10:B109">
      <formula1>"A,B,C,D,E,F,G,H"</formula1>
    </dataValidation>
  </dataValidations>
  <pageMargins left="0.7" right="0.45" top="0.5" bottom="0.5" header="0.3" footer="0.3"/>
  <pageSetup scale="80" orientation="landscape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A41" sqref="A41:L41"/>
    </sheetView>
  </sheetViews>
  <sheetFormatPr defaultColWidth="11.109375" defaultRowHeight="15.45" customHeight="1" x14ac:dyDescent="0.3"/>
  <cols>
    <col min="1" max="1" width="11.109375" customWidth="1"/>
  </cols>
  <sheetData>
    <row r="4" spans="1:1" s="33" customFormat="1" ht="25.8" x14ac:dyDescent="0.5">
      <c r="A4" s="32"/>
    </row>
    <row r="5" spans="1:1" s="33" customFormat="1" ht="25.8" x14ac:dyDescent="0.5">
      <c r="A5" s="34"/>
    </row>
    <row r="33" spans="1:15" ht="14.4" x14ac:dyDescent="0.3">
      <c r="A33" t="s">
        <v>46</v>
      </c>
    </row>
    <row r="40" spans="1:15" s="33" customFormat="1" ht="25.8" x14ac:dyDescent="0.5">
      <c r="A40" s="43" t="s">
        <v>47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35"/>
      <c r="N40" s="35"/>
      <c r="O40" s="35"/>
    </row>
    <row r="41" spans="1:15" s="33" customFormat="1" ht="25.8" x14ac:dyDescent="0.5">
      <c r="A41" s="44" t="s">
        <v>48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36"/>
      <c r="N41" s="36"/>
      <c r="O41" s="3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3" customFormat="1" ht="25.8" x14ac:dyDescent="0.5">
      <c r="A4" s="32"/>
    </row>
    <row r="5" spans="1:1" s="33" customFormat="1" ht="25.8" x14ac:dyDescent="0.5">
      <c r="A5" s="34"/>
    </row>
    <row r="33" spans="1:15" ht="14.4" x14ac:dyDescent="0.3">
      <c r="A33" t="s">
        <v>46</v>
      </c>
    </row>
    <row r="40" spans="1:15" s="33" customFormat="1" ht="25.8" x14ac:dyDescent="0.5">
      <c r="A40" s="43" t="s">
        <v>47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35"/>
      <c r="N40" s="35"/>
      <c r="O40" s="35"/>
    </row>
    <row r="41" spans="1:15" s="33" customFormat="1" ht="25.8" x14ac:dyDescent="0.5">
      <c r="A41" s="44" t="s">
        <v>48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36"/>
      <c r="N41" s="36"/>
      <c r="O41" s="3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Weekly</vt:lpstr>
      <vt:lpstr>Monthly</vt:lpstr>
      <vt:lpstr>Copyright</vt:lpstr>
      <vt:lpstr>Copyright-2</vt:lpstr>
      <vt:lpstr>Monthly!Print_Area</vt:lpstr>
      <vt:lpstr>Weekly!Print_Area</vt:lpstr>
      <vt:lpstr>Monthly!Print_Titles</vt:lpstr>
      <vt:lpstr>Weekly!Print_Titles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2019-02-16T14:01:55Z</cp:lastPrinted>
  <dcterms:created xsi:type="dcterms:W3CDTF">2019-02-12T02:00:53Z</dcterms:created>
  <dcterms:modified xsi:type="dcterms:W3CDTF">2020-11-04T23:08:24Z</dcterms:modified>
</cp:coreProperties>
</file>