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\Desktop\s3 28 Oct 2020 morning\Excel S3\planning\schedule\"/>
    </mc:Choice>
  </mc:AlternateContent>
  <bookViews>
    <workbookView xWindow="0" yWindow="0" windowWidth="23040" windowHeight="9336" activeTab="1"/>
  </bookViews>
  <sheets>
    <sheet name="Setup" sheetId="2" r:id="rId1"/>
    <sheet name="Schedule" sheetId="1" r:id="rId2"/>
    <sheet name="Copyright" sheetId="3" r:id="rId3"/>
    <sheet name="Copyright-2" sheetId="4" state="hidden" r:id="rId4"/>
  </sheets>
  <definedNames>
    <definedName name="Event">Setup!$M$5:$M$24</definedName>
    <definedName name="Event_Date">Setup!$L$5:$L$24</definedName>
    <definedName name="HighP">Schedule!$G$32</definedName>
    <definedName name="Holiday">Setup!$I$5:$I$24</definedName>
    <definedName name="Holiday_Date">Setup!$H$5:$H$24</definedName>
    <definedName name="LowP">Schedule!$G$34</definedName>
    <definedName name="MediumP">Schedule!$G$33</definedName>
    <definedName name="MonthRef">Setup!$O$5:$O$16</definedName>
    <definedName name="Months">Setup!$P$5:$P$16</definedName>
    <definedName name="_xlnm.Print_Area" localSheetId="1">Schedule!$A$2:$T$34</definedName>
    <definedName name="Priority">Schedule!$G$32:$G$34</definedName>
    <definedName name="StartMonth">Setup!$E$4</definedName>
  </definedNames>
  <calcPr calcId="162913"/>
</workbook>
</file>

<file path=xl/calcChain.xml><?xml version="1.0" encoding="utf-8"?>
<calcChain xmlns="http://schemas.openxmlformats.org/spreadsheetml/2006/main">
  <c r="S32" i="1" l="1"/>
  <c r="S30" i="1" l="1"/>
  <c r="P32" i="1"/>
  <c r="H14" i="2"/>
  <c r="H13" i="2"/>
  <c r="H12" i="2"/>
  <c r="H11" i="2"/>
  <c r="H10" i="2"/>
  <c r="H9" i="2"/>
  <c r="H8" i="2"/>
  <c r="H7" i="2"/>
  <c r="H6" i="2"/>
  <c r="P30" i="1" l="1"/>
  <c r="A5" i="1" s="1"/>
  <c r="D5" i="1" s="1"/>
  <c r="G5" i="1" s="1"/>
  <c r="J5" i="1" s="1"/>
  <c r="M5" i="1" s="1"/>
  <c r="P5" i="1" s="1"/>
  <c r="S5" i="1" s="1"/>
  <c r="B5" i="1" l="1"/>
  <c r="E5" i="1" l="1"/>
  <c r="H5" i="1"/>
  <c r="K5" i="1" l="1"/>
  <c r="N5" i="1" l="1"/>
  <c r="Q5" i="1" l="1"/>
  <c r="A10" i="1" l="1"/>
  <c r="T5" i="1"/>
  <c r="D10" i="1" l="1"/>
  <c r="B10" i="1"/>
  <c r="G10" i="1" l="1"/>
  <c r="E10" i="1"/>
  <c r="J10" i="1" l="1"/>
  <c r="H10" i="1"/>
  <c r="M10" i="1" l="1"/>
  <c r="K10" i="1"/>
  <c r="P10" i="1" l="1"/>
  <c r="N10" i="1"/>
  <c r="S10" i="1" l="1"/>
  <c r="Q10" i="1"/>
  <c r="A15" i="1" l="1"/>
  <c r="T10" i="1"/>
  <c r="D15" i="1" l="1"/>
  <c r="B15" i="1"/>
  <c r="G15" i="1" l="1"/>
  <c r="E15" i="1"/>
  <c r="J15" i="1" l="1"/>
  <c r="H15" i="1"/>
  <c r="M15" i="1" l="1"/>
  <c r="A2" i="1" s="1"/>
  <c r="K15" i="1"/>
  <c r="P15" i="1" l="1"/>
  <c r="N15" i="1"/>
  <c r="S15" i="1" l="1"/>
  <c r="Q15" i="1"/>
  <c r="A20" i="1" l="1"/>
  <c r="T15" i="1"/>
  <c r="D20" i="1" l="1"/>
  <c r="B20" i="1"/>
  <c r="G20" i="1" l="1"/>
  <c r="E20" i="1"/>
  <c r="J20" i="1" l="1"/>
  <c r="H20" i="1"/>
  <c r="M20" i="1" l="1"/>
  <c r="K20" i="1"/>
  <c r="P20" i="1" l="1"/>
  <c r="N20" i="1"/>
  <c r="S20" i="1" l="1"/>
  <c r="Q20" i="1"/>
  <c r="A25" i="1" l="1"/>
  <c r="T20" i="1"/>
  <c r="D25" i="1" l="1"/>
  <c r="B25" i="1"/>
  <c r="G25" i="1" l="1"/>
  <c r="E25" i="1"/>
  <c r="J25" i="1" l="1"/>
  <c r="H25" i="1"/>
  <c r="M25" i="1" l="1"/>
  <c r="K25" i="1"/>
  <c r="P25" i="1" l="1"/>
  <c r="N25" i="1"/>
  <c r="S25" i="1" l="1"/>
  <c r="Q25" i="1"/>
  <c r="A30" i="1" l="1"/>
  <c r="T25" i="1"/>
  <c r="D30" i="1" l="1"/>
  <c r="B30" i="1"/>
  <c r="E30" i="1" l="1"/>
</calcChain>
</file>

<file path=xl/sharedStrings.xml><?xml version="1.0" encoding="utf-8"?>
<sst xmlns="http://schemas.openxmlformats.org/spreadsheetml/2006/main" count="58" uniqueCount="52">
  <si>
    <t>March</t>
  </si>
  <si>
    <t>January</t>
  </si>
  <si>
    <t>YEAR</t>
  </si>
  <si>
    <t>February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</si>
  <si>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</si>
  <si>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</si>
  <si>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</si>
  <si>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</si>
  <si>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</si>
  <si>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</si>
  <si>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</si>
  <si>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</si>
  <si>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</si>
  <si>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NO</t>
  </si>
  <si>
    <t>DATE</t>
  </si>
  <si>
    <t>Month References</t>
  </si>
  <si>
    <t>SUNDAY</t>
  </si>
  <si>
    <t>MONDAY</t>
  </si>
  <si>
    <t>TUESDAY</t>
  </si>
  <si>
    <t>WEDNESDAY</t>
  </si>
  <si>
    <t>THURSDAY</t>
  </si>
  <si>
    <t>FRIDAY</t>
  </si>
  <si>
    <t>SATURDAY</t>
  </si>
  <si>
    <t>Notes :</t>
  </si>
  <si>
    <t>HOLIDAY</t>
  </si>
  <si>
    <t>IMPORTANT EVENT</t>
  </si>
  <si>
    <t>Company Birthday</t>
  </si>
  <si>
    <t>Jane Doe Birthday</t>
  </si>
  <si>
    <t>John Doe Birthday</t>
  </si>
  <si>
    <t>Memorial Day</t>
  </si>
  <si>
    <t>Independence Day</t>
  </si>
  <si>
    <t>Labor Day</t>
  </si>
  <si>
    <t>Veterans Day</t>
  </si>
  <si>
    <t>Thanksgiving Day</t>
  </si>
  <si>
    <t>Christmas Day</t>
  </si>
  <si>
    <t>New Year’s Day</t>
  </si>
  <si>
    <t>Martin Luther King, Jr. Day</t>
  </si>
  <si>
    <t>Presidents’ Day</t>
  </si>
  <si>
    <t>Columbus Day</t>
  </si>
  <si>
    <t>2019 MONTHLY CALENDAR - EVENT TABLE</t>
  </si>
  <si>
    <t>Jane Doe  Show</t>
  </si>
  <si>
    <t>MONTH</t>
  </si>
  <si>
    <t>High Priority</t>
  </si>
  <si>
    <t>Medium Priority</t>
  </si>
  <si>
    <t>Low Priority</t>
  </si>
  <si>
    <t>H</t>
  </si>
  <si>
    <t>M</t>
  </si>
  <si>
    <t>L</t>
  </si>
  <si>
    <t>New Holiday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</si>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</sst>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/d;@"/>
    <numFmt numFmtId="165" formatCode="h:mm;@"/>
    <numFmt numFmtId="166" formatCode="[$-409]d\-mmm\-yy;@"/>
  </numFmts>
  <fonts count="33" x14ac:knownFonts="1">
    <font>
      <sz val="10"/>
      <name val="Arial"/>
    </font>
    <font>
      <sz val="8"/>
      <name val="Arial"/>
      <family val="2"/>
    </font>
    <font>
      <b/>
      <sz val="11"/>
      <color indexed="9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6"/>
      <name val="Calibri"/>
      <family val="2"/>
      <scheme val="minor"/>
    </font>
    <font>
      <b/>
      <sz val="18"/>
      <name val="Calibri"/>
      <family val="2"/>
      <scheme val="minor"/>
    </font>
    <font>
      <sz val="12"/>
      <color indexed="9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6"/>
      <name val="Calibri"/>
      <family val="2"/>
      <scheme val="minor"/>
    </font>
    <font>
      <sz val="10"/>
      <name val="Calibri"/>
      <family val="2"/>
      <scheme val="minor"/>
    </font>
    <font>
      <sz val="10"/>
      <name val="Arial Narrow"/>
      <family val="2"/>
    </font>
    <font>
      <sz val="11"/>
      <color indexed="12"/>
      <name val="Calibri"/>
      <family val="2"/>
      <scheme val="minor"/>
    </font>
    <font>
      <sz val="14"/>
      <name val="Calibri"/>
      <family val="2"/>
      <scheme val="minor"/>
    </font>
    <font>
      <sz val="11"/>
      <color indexed="9"/>
      <name val="Calibri"/>
      <family val="2"/>
      <scheme val="minor"/>
    </font>
    <font>
      <sz val="10"/>
      <color indexed="12"/>
      <name val="Arial Narrow"/>
      <family val="2"/>
    </font>
    <font>
      <b/>
      <sz val="10"/>
      <name val="Arial Narrow"/>
      <family val="2"/>
    </font>
    <font>
      <b/>
      <sz val="28"/>
      <color indexed="9"/>
      <name val="Calibri"/>
      <family val="2"/>
      <scheme val="minor"/>
    </font>
    <font>
      <sz val="28"/>
      <color indexed="9"/>
      <name val="Calibri"/>
      <family val="2"/>
      <scheme val="minor"/>
    </font>
    <font>
      <sz val="28"/>
      <color indexed="12"/>
      <name val="Calibri"/>
      <family val="2"/>
      <scheme val="minor"/>
    </font>
    <font>
      <sz val="28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 Narrow"/>
      <family val="2"/>
    </font>
    <font>
      <sz val="11"/>
      <color theme="0" tint="-0.249977111117893"/>
      <name val="Calibri"/>
      <family val="2"/>
      <scheme val="minor"/>
    </font>
    <font>
      <sz val="10"/>
      <color theme="0" tint="-0.249977111117893"/>
      <name val="Arial Narrow"/>
      <family val="2"/>
    </font>
    <font>
      <b/>
      <sz val="10"/>
      <color theme="0" tint="-0.249977111117893"/>
      <name val="Arial Narrow"/>
      <family val="2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/>
      <right style="hair">
        <color indexed="44"/>
      </right>
      <top/>
      <bottom/>
      <diagonal/>
    </border>
    <border>
      <left/>
      <right style="hair">
        <color indexed="44"/>
      </right>
      <top style="hair">
        <color indexed="44"/>
      </top>
      <bottom/>
      <diagonal/>
    </border>
    <border>
      <left style="hair">
        <color indexed="44"/>
      </left>
      <right/>
      <top/>
      <bottom/>
      <diagonal/>
    </border>
    <border>
      <left/>
      <right/>
      <top style="hair">
        <color indexed="44"/>
      </top>
      <bottom/>
      <diagonal/>
    </border>
    <border>
      <left style="hair">
        <color indexed="44"/>
      </left>
      <right style="hair">
        <color indexed="44"/>
      </right>
      <top style="hair">
        <color indexed="44"/>
      </top>
      <bottom style="hair">
        <color indexed="4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44"/>
      </bottom>
      <diagonal/>
    </border>
    <border>
      <left style="hair">
        <color indexed="44"/>
      </left>
      <right/>
      <top/>
      <bottom style="hair">
        <color indexed="44"/>
      </bottom>
      <diagonal/>
    </border>
    <border>
      <left/>
      <right style="hair">
        <color indexed="44"/>
      </right>
      <top/>
      <bottom style="hair">
        <color indexed="44"/>
      </bottom>
      <diagonal/>
    </border>
  </borders>
  <cellStyleXfs count="3">
    <xf numFmtId="0" fontId="0" fillId="0" borderId="0"/>
    <xf numFmtId="0" fontId="27" fillId="0" borderId="0"/>
    <xf numFmtId="0" fontId="30" fillId="0" borderId="0" applyNumberFormat="0" applyFill="0" applyBorder="0" applyAlignment="0" applyProtection="0"/>
  </cellStyleXfs>
  <cellXfs count="103">
    <xf numFmtId="0" fontId="0" fillId="0" borderId="0" xfId="0"/>
    <xf numFmtId="0" fontId="3" fillId="0" borderId="0" xfId="0" applyFont="1"/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left" indent="1"/>
      <protection locked="0"/>
    </xf>
    <xf numFmtId="0" fontId="3" fillId="0" borderId="0" xfId="0" applyFont="1" applyAlignment="1">
      <alignment vertical="center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2" fillId="3" borderId="9" xfId="0" applyFont="1" applyFill="1" applyBorder="1" applyAlignment="1" applyProtection="1">
      <alignment horizontal="center" vertical="center"/>
      <protection locked="0"/>
    </xf>
    <xf numFmtId="0" fontId="2" fillId="3" borderId="9" xfId="0" applyFont="1" applyFill="1" applyBorder="1" applyAlignment="1" applyProtection="1">
      <alignment horizontal="left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left" vertical="center"/>
      <protection locked="0"/>
    </xf>
    <xf numFmtId="0" fontId="3" fillId="0" borderId="10" xfId="0" applyFont="1" applyFill="1" applyBorder="1" applyAlignment="1" applyProtection="1">
      <alignment vertical="center"/>
      <protection locked="0"/>
    </xf>
    <xf numFmtId="166" fontId="3" fillId="0" borderId="10" xfId="0" applyNumberFormat="1" applyFont="1" applyFill="1" applyBorder="1" applyAlignment="1">
      <alignment vertical="center"/>
    </xf>
    <xf numFmtId="0" fontId="3" fillId="0" borderId="10" xfId="0" applyFont="1" applyFill="1" applyBorder="1" applyAlignment="1">
      <alignment horizontal="left" vertical="center"/>
    </xf>
    <xf numFmtId="0" fontId="3" fillId="0" borderId="2" xfId="0" applyFont="1" applyFill="1" applyBorder="1" applyAlignment="1" applyProtection="1">
      <alignment vertical="center"/>
      <protection locked="0"/>
    </xf>
    <xf numFmtId="166" fontId="3" fillId="0" borderId="2" xfId="0" applyNumberFormat="1" applyFont="1" applyFill="1" applyBorder="1" applyAlignment="1" applyProtection="1">
      <alignment vertical="center"/>
      <protection locked="0"/>
    </xf>
    <xf numFmtId="0" fontId="3" fillId="0" borderId="2" xfId="0" applyFont="1" applyFill="1" applyBorder="1" applyAlignment="1" applyProtection="1">
      <alignment horizontal="left" vertical="center"/>
      <protection locked="0"/>
    </xf>
    <xf numFmtId="0" fontId="3" fillId="0" borderId="8" xfId="0" applyFont="1" applyFill="1" applyBorder="1" applyAlignment="1" applyProtection="1">
      <alignment vertical="center"/>
      <protection locked="0"/>
    </xf>
    <xf numFmtId="166" fontId="3" fillId="0" borderId="8" xfId="0" applyNumberFormat="1" applyFont="1" applyFill="1" applyBorder="1" applyAlignment="1">
      <alignment vertical="center"/>
    </xf>
    <xf numFmtId="0" fontId="3" fillId="0" borderId="8" xfId="0" applyFont="1" applyFill="1" applyBorder="1" applyAlignment="1">
      <alignment horizontal="left" vertical="center"/>
    </xf>
    <xf numFmtId="0" fontId="3" fillId="0" borderId="1" xfId="0" applyFont="1" applyFill="1" applyBorder="1" applyAlignment="1" applyProtection="1">
      <alignment vertical="center"/>
      <protection locked="0"/>
    </xf>
    <xf numFmtId="166" fontId="3" fillId="0" borderId="1" xfId="0" applyNumberFormat="1" applyFont="1" applyFill="1" applyBorder="1" applyAlignment="1" applyProtection="1">
      <alignment vertical="center"/>
      <protection locked="0"/>
    </xf>
    <xf numFmtId="0" fontId="3" fillId="0" borderId="1" xfId="0" applyFont="1" applyFill="1" applyBorder="1" applyAlignment="1" applyProtection="1">
      <alignment horizontal="left" vertical="center"/>
      <protection locked="0"/>
    </xf>
    <xf numFmtId="166" fontId="3" fillId="0" borderId="1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166" fontId="3" fillId="0" borderId="8" xfId="0" applyNumberFormat="1" applyFont="1" applyFill="1" applyBorder="1" applyAlignment="1" applyProtection="1">
      <alignment vertical="center" wrapText="1"/>
      <protection locked="0"/>
    </xf>
    <xf numFmtId="0" fontId="3" fillId="0" borderId="8" xfId="0" applyFont="1" applyFill="1" applyBorder="1" applyAlignment="1" applyProtection="1">
      <alignment horizontal="left" vertical="center" wrapText="1"/>
      <protection locked="0"/>
    </xf>
    <xf numFmtId="0" fontId="6" fillId="0" borderId="0" xfId="0" applyFont="1" applyAlignment="1">
      <alignment vertical="center"/>
    </xf>
    <xf numFmtId="0" fontId="6" fillId="0" borderId="11" xfId="0" applyFont="1" applyBorder="1" applyAlignment="1">
      <alignment vertical="center"/>
    </xf>
    <xf numFmtId="0" fontId="4" fillId="4" borderId="9" xfId="0" applyFont="1" applyFill="1" applyBorder="1" applyAlignment="1" applyProtection="1">
      <alignment horizontal="left" vertical="center"/>
      <protection locked="0"/>
    </xf>
    <xf numFmtId="0" fontId="7" fillId="0" borderId="11" xfId="0" applyFont="1" applyBorder="1" applyAlignment="1">
      <alignment vertical="center"/>
    </xf>
    <xf numFmtId="0" fontId="8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Fill="1" applyAlignment="1" applyProtection="1">
      <alignment horizont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8" fillId="0" borderId="0" xfId="0" applyFont="1" applyBorder="1" applyProtection="1">
      <protection locked="0"/>
    </xf>
    <xf numFmtId="0" fontId="9" fillId="0" borderId="0" xfId="0" applyFont="1" applyBorder="1" applyProtection="1">
      <protection locked="0"/>
    </xf>
    <xf numFmtId="0" fontId="5" fillId="0" borderId="0" xfId="0" applyFont="1" applyBorder="1" applyProtection="1">
      <protection locked="0"/>
    </xf>
    <xf numFmtId="0" fontId="5" fillId="0" borderId="0" xfId="0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locked="0"/>
    </xf>
    <xf numFmtId="0" fontId="14" fillId="0" borderId="7" xfId="0" applyFont="1" applyFill="1" applyBorder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horizontal="right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12" fillId="0" borderId="0" xfId="0" applyFont="1" applyAlignment="1" applyProtection="1">
      <alignment vertical="center"/>
      <protection locked="0"/>
    </xf>
    <xf numFmtId="0" fontId="16" fillId="0" borderId="0" xfId="0" applyFont="1" applyAlignment="1" applyProtection="1">
      <alignment vertical="center"/>
      <protection locked="0"/>
    </xf>
    <xf numFmtId="0" fontId="12" fillId="0" borderId="0" xfId="0" applyFont="1" applyAlignment="1" applyProtection="1">
      <alignment vertical="center"/>
      <protection hidden="1"/>
    </xf>
    <xf numFmtId="0" fontId="12" fillId="0" borderId="0" xfId="0" applyFont="1" applyProtection="1">
      <protection locked="0"/>
    </xf>
    <xf numFmtId="0" fontId="12" fillId="0" borderId="4" xfId="0" applyFont="1" applyBorder="1" applyAlignment="1" applyProtection="1">
      <alignment horizontal="left" vertical="center"/>
      <protection locked="0"/>
    </xf>
    <xf numFmtId="0" fontId="12" fillId="0" borderId="0" xfId="0" applyFont="1" applyBorder="1" applyProtection="1">
      <protection locked="0"/>
    </xf>
    <xf numFmtId="0" fontId="11" fillId="0" borderId="0" xfId="0" applyFont="1" applyProtection="1">
      <protection locked="0"/>
    </xf>
    <xf numFmtId="0" fontId="4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6" fillId="0" borderId="11" xfId="0" applyFont="1" applyBorder="1" applyAlignment="1">
      <alignment horizontal="center" vertical="center"/>
    </xf>
    <xf numFmtId="0" fontId="3" fillId="0" borderId="0" xfId="0" applyFont="1" applyAlignment="1" applyProtection="1">
      <alignment horizontal="center"/>
      <protection locked="0"/>
    </xf>
    <xf numFmtId="0" fontId="3" fillId="0" borderId="9" xfId="0" applyFont="1" applyFill="1" applyBorder="1" applyProtection="1">
      <protection locked="0"/>
    </xf>
    <xf numFmtId="0" fontId="4" fillId="4" borderId="9" xfId="0" applyFont="1" applyFill="1" applyBorder="1" applyProtection="1">
      <protection locked="0"/>
    </xf>
    <xf numFmtId="0" fontId="19" fillId="0" borderId="0" xfId="0" applyFont="1" applyProtection="1">
      <protection locked="0"/>
    </xf>
    <xf numFmtId="0" fontId="20" fillId="0" borderId="0" xfId="0" applyFont="1" applyProtection="1">
      <protection locked="0"/>
    </xf>
    <xf numFmtId="0" fontId="21" fillId="0" borderId="0" xfId="0" applyFont="1" applyProtection="1">
      <protection locked="0"/>
    </xf>
    <xf numFmtId="0" fontId="21" fillId="0" borderId="0" xfId="0" applyFont="1" applyFill="1" applyAlignment="1" applyProtection="1">
      <alignment horizontal="center"/>
      <protection locked="0"/>
    </xf>
    <xf numFmtId="165" fontId="12" fillId="0" borderId="5" xfId="0" applyNumberFormat="1" applyFont="1" applyBorder="1" applyAlignment="1" applyProtection="1">
      <alignment vertical="center"/>
      <protection hidden="1"/>
    </xf>
    <xf numFmtId="165" fontId="12" fillId="0" borderId="13" xfId="0" applyNumberFormat="1" applyFont="1" applyBorder="1" applyAlignment="1" applyProtection="1">
      <alignment vertical="center"/>
      <protection hidden="1"/>
    </xf>
    <xf numFmtId="165" fontId="12" fillId="0" borderId="0" xfId="0" applyNumberFormat="1" applyFont="1" applyBorder="1" applyAlignment="1" applyProtection="1">
      <alignment vertical="center"/>
      <protection hidden="1"/>
    </xf>
    <xf numFmtId="0" fontId="23" fillId="5" borderId="0" xfId="0" applyFont="1" applyFill="1" applyBorder="1" applyAlignment="1" applyProtection="1">
      <alignment horizontal="center" vertical="center"/>
      <protection hidden="1"/>
    </xf>
    <xf numFmtId="0" fontId="22" fillId="5" borderId="0" xfId="0" applyFont="1" applyFill="1" applyBorder="1" applyAlignment="1" applyProtection="1">
      <alignment horizontal="center" vertical="center"/>
      <protection locked="0"/>
    </xf>
    <xf numFmtId="0" fontId="12" fillId="6" borderId="0" xfId="0" applyFont="1" applyFill="1" applyBorder="1" applyAlignment="1" applyProtection="1">
      <alignment horizontal="center" vertical="center"/>
      <protection hidden="1"/>
    </xf>
    <xf numFmtId="0" fontId="3" fillId="6" borderId="0" xfId="0" applyFont="1" applyFill="1" applyBorder="1" applyAlignment="1" applyProtection="1">
      <alignment horizontal="center" vertical="center"/>
      <protection locked="0"/>
    </xf>
    <xf numFmtId="165" fontId="12" fillId="0" borderId="12" xfId="0" applyNumberFormat="1" applyFont="1" applyBorder="1" applyAlignment="1" applyProtection="1">
      <alignment vertical="center"/>
      <protection hidden="1"/>
    </xf>
    <xf numFmtId="0" fontId="12" fillId="0" borderId="6" xfId="0" applyFont="1" applyBorder="1" applyAlignment="1" applyProtection="1">
      <alignment horizontal="left" vertical="center"/>
      <protection locked="0"/>
    </xf>
    <xf numFmtId="165" fontId="12" fillId="7" borderId="3" xfId="0" applyNumberFormat="1" applyFont="1" applyFill="1" applyBorder="1" applyAlignment="1" applyProtection="1">
      <alignment horizontal="center" vertical="center"/>
      <protection hidden="1"/>
    </xf>
    <xf numFmtId="165" fontId="12" fillId="7" borderId="14" xfId="0" applyNumberFormat="1" applyFont="1" applyFill="1" applyBorder="1" applyAlignment="1" applyProtection="1">
      <alignment horizontal="center" vertical="center"/>
      <protection hidden="1"/>
    </xf>
    <xf numFmtId="0" fontId="12" fillId="8" borderId="0" xfId="0" applyFont="1" applyFill="1" applyBorder="1" applyAlignment="1" applyProtection="1">
      <alignment horizontal="center" vertical="center"/>
      <protection hidden="1"/>
    </xf>
    <xf numFmtId="0" fontId="3" fillId="8" borderId="0" xfId="0" applyFont="1" applyFill="1" applyBorder="1" applyAlignment="1" applyProtection="1">
      <alignment horizontal="center" vertical="center"/>
      <protection locked="0"/>
    </xf>
    <xf numFmtId="0" fontId="10" fillId="9" borderId="12" xfId="0" applyFont="1" applyFill="1" applyBorder="1" applyAlignment="1" applyProtection="1">
      <alignment horizontal="center" vertical="center"/>
      <protection locked="0"/>
    </xf>
    <xf numFmtId="0" fontId="10" fillId="9" borderId="0" xfId="0" applyFont="1" applyFill="1" applyBorder="1" applyAlignment="1" applyProtection="1">
      <alignment horizontal="center" vertical="center"/>
      <protection locked="0"/>
    </xf>
    <xf numFmtId="14" fontId="18" fillId="10" borderId="0" xfId="0" applyNumberFormat="1" applyFont="1" applyFill="1" applyBorder="1" applyAlignment="1" applyProtection="1">
      <alignment vertical="center"/>
      <protection locked="0"/>
    </xf>
    <xf numFmtId="165" fontId="12" fillId="7" borderId="0" xfId="0" applyNumberFormat="1" applyFont="1" applyFill="1" applyBorder="1" applyAlignment="1" applyProtection="1">
      <alignment horizontal="center" vertical="center"/>
      <protection hidden="1"/>
    </xf>
    <xf numFmtId="165" fontId="12" fillId="7" borderId="12" xfId="0" applyNumberFormat="1" applyFont="1" applyFill="1" applyBorder="1" applyAlignment="1" applyProtection="1">
      <alignment horizontal="center" vertical="center"/>
      <protection hidden="1"/>
    </xf>
    <xf numFmtId="0" fontId="12" fillId="9" borderId="0" xfId="0" applyFont="1" applyFill="1" applyBorder="1" applyAlignment="1" applyProtection="1">
      <alignment horizontal="right" vertical="center"/>
      <protection hidden="1"/>
    </xf>
    <xf numFmtId="0" fontId="24" fillId="9" borderId="0" xfId="0" applyFont="1" applyFill="1" applyBorder="1" applyAlignment="1" applyProtection="1">
      <alignment horizontal="right" vertical="center"/>
      <protection hidden="1"/>
    </xf>
    <xf numFmtId="0" fontId="25" fillId="9" borderId="0" xfId="0" applyFont="1" applyFill="1" applyBorder="1" applyAlignment="1" applyProtection="1">
      <alignment vertical="center"/>
      <protection locked="0"/>
    </xf>
    <xf numFmtId="164" fontId="24" fillId="9" borderId="0" xfId="0" applyNumberFormat="1" applyFont="1" applyFill="1" applyBorder="1" applyAlignment="1" applyProtection="1">
      <alignment horizontal="right" vertical="center"/>
      <protection hidden="1"/>
    </xf>
    <xf numFmtId="0" fontId="25" fillId="9" borderId="0" xfId="0" applyFont="1" applyFill="1" applyBorder="1" applyAlignment="1" applyProtection="1">
      <alignment horizontal="right" vertical="center"/>
      <protection hidden="1"/>
    </xf>
    <xf numFmtId="0" fontId="25" fillId="9" borderId="0" xfId="0" applyFont="1" applyFill="1" applyBorder="1" applyAlignment="1" applyProtection="1">
      <alignment horizontal="right" vertical="center"/>
      <protection locked="0"/>
    </xf>
    <xf numFmtId="0" fontId="25" fillId="9" borderId="0" xfId="0" applyFont="1" applyFill="1" applyBorder="1" applyAlignment="1" applyProtection="1">
      <alignment horizontal="center" vertical="center"/>
      <protection hidden="1"/>
    </xf>
    <xf numFmtId="0" fontId="17" fillId="9" borderId="0" xfId="0" applyFont="1" applyFill="1" applyBorder="1" applyAlignment="1" applyProtection="1">
      <alignment vertical="center"/>
      <protection locked="0"/>
    </xf>
    <xf numFmtId="0" fontId="26" fillId="9" borderId="0" xfId="0" applyFont="1" applyFill="1" applyBorder="1" applyAlignment="1" applyProtection="1">
      <alignment vertical="center"/>
      <protection locked="0"/>
    </xf>
    <xf numFmtId="0" fontId="28" fillId="0" borderId="0" xfId="1" applyFont="1"/>
    <xf numFmtId="0" fontId="29" fillId="0" borderId="0" xfId="1" applyFont="1"/>
    <xf numFmtId="0" fontId="31" fillId="0" borderId="0" xfId="2" applyFont="1"/>
    <xf numFmtId="0" fontId="28" fillId="0" borderId="0" xfId="1" applyFont="1" applyAlignment="1"/>
    <xf numFmtId="0" fontId="32" fillId="0" borderId="0" xfId="2" applyFont="1" applyAlignment="1"/>
    <xf numFmtId="0" fontId="27" fillId="0" borderId="0" xfId="1"/>
    <xf numFmtId="0" fontId="3" fillId="0" borderId="9" xfId="0" applyFont="1" applyBorder="1" applyAlignment="1" applyProtection="1">
      <alignment horizontal="center" vertical="center"/>
      <protection locked="0"/>
    </xf>
    <xf numFmtId="0" fontId="10" fillId="9" borderId="0" xfId="0" applyFont="1" applyFill="1" applyBorder="1" applyAlignment="1" applyProtection="1">
      <alignment horizontal="center" vertical="center"/>
      <protection locked="0"/>
    </xf>
    <xf numFmtId="0" fontId="10" fillId="9" borderId="12" xfId="0" applyFont="1" applyFill="1" applyBorder="1" applyAlignment="1" applyProtection="1">
      <alignment horizontal="center" vertical="center"/>
      <protection locked="0"/>
    </xf>
    <xf numFmtId="0" fontId="28" fillId="0" borderId="0" xfId="1" applyFont="1" applyAlignment="1">
      <alignment horizontal="left"/>
    </xf>
    <xf numFmtId="0" fontId="32" fillId="0" borderId="0" xfId="2" applyFont="1" applyAlignment="1">
      <alignment horizontal="left"/>
    </xf>
  </cellXfs>
  <cellStyles count="3">
    <cellStyle name="Hyperlink" xfId="2" builtinId="8"/>
    <cellStyle name="Normal" xfId="0" builtinId="0"/>
    <cellStyle name="Normal 2" xfId="1"/>
  </cellStyles>
  <dxfs count="123">
    <dxf>
      <font>
        <color rgb="FF0000FF"/>
      </font>
    </dxf>
    <dxf>
      <font>
        <color rgb="FFFF0000"/>
      </font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</dxf>
    <dxf>
      <font>
        <color rgb="FF0000FF"/>
      </font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2D050"/>
      </font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0000FF"/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9"/>
  <sheetViews>
    <sheetView showGridLines="0" zoomScaleNormal="100" workbookViewId="0">
      <selection activeCell="E4" sqref="E4"/>
    </sheetView>
  </sheetViews>
  <sheetFormatPr defaultColWidth="0" defaultRowHeight="14.4" zeroHeight="1" x14ac:dyDescent="0.3"/>
  <cols>
    <col min="1" max="1" width="2.109375" style="1" customWidth="1"/>
    <col min="2" max="2" width="12.21875" style="2" customWidth="1"/>
    <col min="3" max="3" width="4.21875" style="2" customWidth="1"/>
    <col min="4" max="4" width="6.21875" style="58" customWidth="1"/>
    <col min="5" max="5" width="15" style="3" customWidth="1"/>
    <col min="6" max="6" width="2.5546875" style="1" customWidth="1"/>
    <col min="7" max="7" width="3.77734375" style="1" bestFit="1" customWidth="1"/>
    <col min="8" max="8" width="12" style="1" customWidth="1"/>
    <col min="9" max="9" width="26" style="1" customWidth="1"/>
    <col min="10" max="10" width="2" style="1" customWidth="1"/>
    <col min="11" max="11" width="3.77734375" style="1" bestFit="1" customWidth="1"/>
    <col min="12" max="12" width="13.77734375" style="1" customWidth="1"/>
    <col min="13" max="13" width="22.21875" style="1" customWidth="1"/>
    <col min="14" max="14" width="2" style="1" customWidth="1"/>
    <col min="15" max="15" width="3.88671875" style="1" customWidth="1"/>
    <col min="16" max="16" width="19.21875" style="1" customWidth="1"/>
    <col min="17" max="17" width="2.44140625" style="1" customWidth="1"/>
    <col min="18" max="18" width="0" style="1" hidden="1" customWidth="1"/>
    <col min="19" max="16384" width="9.21875" style="1" hidden="1"/>
  </cols>
  <sheetData>
    <row r="1" spans="2:17" s="4" customFormat="1" ht="15" customHeight="1" x14ac:dyDescent="0.25">
      <c r="B1" s="5"/>
      <c r="C1" s="5"/>
      <c r="D1" s="56"/>
      <c r="E1" s="6"/>
    </row>
    <row r="2" spans="2:17" s="27" customFormat="1" ht="18" customHeight="1" x14ac:dyDescent="0.25">
      <c r="B2" s="30" t="s">
        <v>39</v>
      </c>
      <c r="C2" s="28"/>
      <c r="D2" s="57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</row>
    <row r="3" spans="2:17" s="4" customFormat="1" ht="15" customHeight="1" x14ac:dyDescent="0.25">
      <c r="B3" s="5"/>
      <c r="C3" s="5"/>
      <c r="D3" s="56"/>
      <c r="E3" s="6"/>
    </row>
    <row r="4" spans="2:17" s="4" customFormat="1" ht="15" customHeight="1" x14ac:dyDescent="0.3">
      <c r="B4" s="98" t="s">
        <v>41</v>
      </c>
      <c r="C4" s="98"/>
      <c r="D4" s="98"/>
      <c r="E4" s="29" t="s">
        <v>1</v>
      </c>
      <c r="G4" s="7" t="s">
        <v>13</v>
      </c>
      <c r="H4" s="7" t="s">
        <v>14</v>
      </c>
      <c r="I4" s="8" t="s">
        <v>24</v>
      </c>
      <c r="K4" s="9" t="s">
        <v>13</v>
      </c>
      <c r="L4" s="9" t="s">
        <v>14</v>
      </c>
      <c r="M4" s="10" t="s">
        <v>25</v>
      </c>
      <c r="O4" s="60" t="s">
        <v>15</v>
      </c>
      <c r="P4" s="60"/>
    </row>
    <row r="5" spans="2:17" s="4" customFormat="1" ht="15" customHeight="1" x14ac:dyDescent="0.3">
      <c r="B5" s="5"/>
      <c r="C5" s="5"/>
      <c r="D5" s="56"/>
      <c r="E5" s="6"/>
      <c r="G5" s="11">
        <v>1</v>
      </c>
      <c r="H5" s="12">
        <v>44197</v>
      </c>
      <c r="I5" s="13" t="s">
        <v>35</v>
      </c>
      <c r="K5" s="14">
        <v>1</v>
      </c>
      <c r="L5" s="15">
        <v>44198</v>
      </c>
      <c r="M5" s="16" t="s">
        <v>26</v>
      </c>
      <c r="O5" s="59">
        <v>1</v>
      </c>
      <c r="P5" s="59" t="s">
        <v>1</v>
      </c>
    </row>
    <row r="6" spans="2:17" s="4" customFormat="1" ht="15" customHeight="1" x14ac:dyDescent="0.3">
      <c r="B6" s="98" t="s">
        <v>2</v>
      </c>
      <c r="C6" s="98"/>
      <c r="D6" s="98"/>
      <c r="E6" s="29">
        <v>2021</v>
      </c>
      <c r="G6" s="17">
        <v>2</v>
      </c>
      <c r="H6" s="18">
        <f>DATE(E6,1,1)+IF(2&lt;WEEKDAY(DATE(E6,1,1)),7-WEEKDAY(DATE(E6,1,1))+2,2-WEEKDAY(DATE(E6,1,1)))+((3-1)*7)</f>
        <v>44214</v>
      </c>
      <c r="I6" s="19" t="s">
        <v>36</v>
      </c>
      <c r="K6" s="20">
        <v>2</v>
      </c>
      <c r="L6" s="21">
        <v>44354</v>
      </c>
      <c r="M6" s="22" t="s">
        <v>27</v>
      </c>
      <c r="O6" s="59">
        <v>2</v>
      </c>
      <c r="P6" s="59" t="s">
        <v>3</v>
      </c>
    </row>
    <row r="7" spans="2:17" s="4" customFormat="1" ht="15" customHeight="1" x14ac:dyDescent="0.3">
      <c r="B7" s="2"/>
      <c r="C7" s="2"/>
      <c r="G7" s="17">
        <v>3</v>
      </c>
      <c r="H7" s="18">
        <f>DATE(E6,2,1)+IF(2&lt;WEEKDAY(DATE(E6,2,1)),7-WEEKDAY(DATE(E6,2,1))+2,2-WEEKDAY(DATE(E6,2,1)))+((3-1)*7)</f>
        <v>44242</v>
      </c>
      <c r="I7" s="19" t="s">
        <v>37</v>
      </c>
      <c r="K7" s="20">
        <v>3</v>
      </c>
      <c r="L7" s="21">
        <v>44426</v>
      </c>
      <c r="M7" s="22" t="s">
        <v>40</v>
      </c>
      <c r="O7" s="59">
        <v>3</v>
      </c>
      <c r="P7" s="59" t="s">
        <v>0</v>
      </c>
    </row>
    <row r="8" spans="2:17" s="4" customFormat="1" ht="15" customHeight="1" x14ac:dyDescent="0.3">
      <c r="B8" s="2"/>
      <c r="C8" s="55"/>
      <c r="G8" s="17">
        <v>4</v>
      </c>
      <c r="H8" s="18">
        <f>DATE(E6,6,1)+IF(2&lt;WEEKDAY(DATE(E6,6,1)),7-WEEKDAY(DATE(E6,6,1))+2,2-WEEKDAY(DATE(E6,6,1)))+((1-1)*7)-7</f>
        <v>44347</v>
      </c>
      <c r="I8" s="19" t="s">
        <v>29</v>
      </c>
      <c r="K8" s="20">
        <v>4</v>
      </c>
      <c r="L8" s="21">
        <v>44264</v>
      </c>
      <c r="M8" s="22" t="s">
        <v>28</v>
      </c>
      <c r="O8" s="59">
        <v>4</v>
      </c>
      <c r="P8" s="59" t="s">
        <v>4</v>
      </c>
    </row>
    <row r="9" spans="2:17" s="4" customFormat="1" ht="15" customHeight="1" x14ac:dyDescent="0.3">
      <c r="B9" s="2"/>
      <c r="C9" s="2"/>
      <c r="G9" s="17">
        <v>5</v>
      </c>
      <c r="H9" s="18">
        <f>DATE(E6,7,4)</f>
        <v>44381</v>
      </c>
      <c r="I9" s="19" t="s">
        <v>30</v>
      </c>
      <c r="K9" s="20">
        <v>5</v>
      </c>
      <c r="L9" s="21"/>
      <c r="M9" s="22"/>
      <c r="O9" s="59">
        <v>5</v>
      </c>
      <c r="P9" s="59" t="s">
        <v>5</v>
      </c>
    </row>
    <row r="10" spans="2:17" s="4" customFormat="1" ht="15" customHeight="1" x14ac:dyDescent="0.3">
      <c r="B10" s="2"/>
      <c r="C10" s="2"/>
      <c r="G10" s="17">
        <v>6</v>
      </c>
      <c r="H10" s="18">
        <f>DATE(E6,9,1)+IF(2&lt;WEEKDAY(DATE(E6,9,1)),7-WEEKDAY(DATE(E6,9,1))+2,2-WEEKDAY(DATE(E6,9,1)))+((1-1)*7)</f>
        <v>44445</v>
      </c>
      <c r="I10" s="19" t="s">
        <v>31</v>
      </c>
      <c r="K10" s="20">
        <v>6</v>
      </c>
      <c r="L10" s="21"/>
      <c r="M10" s="22"/>
      <c r="O10" s="59">
        <v>6</v>
      </c>
      <c r="P10" s="59" t="s">
        <v>6</v>
      </c>
    </row>
    <row r="11" spans="2:17" s="4" customFormat="1" ht="15" customHeight="1" x14ac:dyDescent="0.3">
      <c r="B11" s="2"/>
      <c r="C11" s="2"/>
      <c r="G11" s="17">
        <v>7</v>
      </c>
      <c r="H11" s="18">
        <f>DATE(E6,11,11)</f>
        <v>44511</v>
      </c>
      <c r="I11" s="19" t="s">
        <v>32</v>
      </c>
      <c r="K11" s="20">
        <v>7</v>
      </c>
      <c r="L11" s="23"/>
      <c r="M11" s="24"/>
      <c r="O11" s="59">
        <v>7</v>
      </c>
      <c r="P11" s="59" t="s">
        <v>7</v>
      </c>
    </row>
    <row r="12" spans="2:17" s="4" customFormat="1" ht="15" customHeight="1" x14ac:dyDescent="0.3">
      <c r="B12" s="2"/>
      <c r="C12" s="2"/>
      <c r="G12" s="17">
        <v>8</v>
      </c>
      <c r="H12" s="18">
        <f>DATE(E6,10,1)+IF(2&lt;WEEKDAY(DATE(E6,10,1)),7-WEEKDAY(DATE(E6,10,1))+2,2-WEEKDAY(DATE(E6,10,1)))+((2-1)*7)</f>
        <v>44480</v>
      </c>
      <c r="I12" s="19" t="s">
        <v>38</v>
      </c>
      <c r="K12" s="20">
        <v>8</v>
      </c>
      <c r="L12" s="23"/>
      <c r="M12" s="24"/>
      <c r="O12" s="59">
        <v>8</v>
      </c>
      <c r="P12" s="59" t="s">
        <v>8</v>
      </c>
    </row>
    <row r="13" spans="2:17" s="4" customFormat="1" ht="15" customHeight="1" x14ac:dyDescent="0.3">
      <c r="B13" s="2"/>
      <c r="C13" s="2"/>
      <c r="G13" s="17">
        <v>9</v>
      </c>
      <c r="H13" s="18">
        <f>DATE(E6,11,1)+IF(5&lt;WEEKDAY(DATE(E6,11,1)),7-WEEKDAY(DATE(E6,11,1))+5,5-WEEKDAY(DATE(E6,11,1)))+((4-1)*7)</f>
        <v>44525</v>
      </c>
      <c r="I13" s="19" t="s">
        <v>33</v>
      </c>
      <c r="K13" s="20">
        <v>9</v>
      </c>
      <c r="L13" s="23"/>
      <c r="M13" s="24"/>
      <c r="O13" s="59">
        <v>9</v>
      </c>
      <c r="P13" s="59" t="s">
        <v>9</v>
      </c>
    </row>
    <row r="14" spans="2:17" s="4" customFormat="1" ht="15" customHeight="1" x14ac:dyDescent="0.3">
      <c r="B14" s="2"/>
      <c r="C14" s="2"/>
      <c r="G14" s="17">
        <v>10</v>
      </c>
      <c r="H14" s="18">
        <f>DATE(E6,12,25)</f>
        <v>44555</v>
      </c>
      <c r="I14" s="19" t="s">
        <v>34</v>
      </c>
      <c r="K14" s="20">
        <v>10</v>
      </c>
      <c r="L14" s="23"/>
      <c r="M14" s="24"/>
      <c r="O14" s="59">
        <v>10</v>
      </c>
      <c r="P14" s="59" t="s">
        <v>10</v>
      </c>
    </row>
    <row r="15" spans="2:17" s="4" customFormat="1" ht="15" customHeight="1" x14ac:dyDescent="0.3">
      <c r="B15" s="2"/>
      <c r="C15" s="2"/>
      <c r="G15" s="17">
        <v>11</v>
      </c>
      <c r="H15" s="25">
        <v>43613</v>
      </c>
      <c r="I15" s="26" t="s">
        <v>48</v>
      </c>
      <c r="K15" s="20">
        <v>11</v>
      </c>
      <c r="L15" s="23"/>
      <c r="M15" s="24"/>
      <c r="O15" s="59">
        <v>11</v>
      </c>
      <c r="P15" s="59" t="s">
        <v>11</v>
      </c>
    </row>
    <row r="16" spans="2:17" s="4" customFormat="1" ht="15" customHeight="1" x14ac:dyDescent="0.3">
      <c r="B16" s="2"/>
      <c r="C16" s="2"/>
      <c r="G16" s="17">
        <v>12</v>
      </c>
      <c r="H16" s="25"/>
      <c r="I16" s="26"/>
      <c r="K16" s="20">
        <v>12</v>
      </c>
      <c r="L16" s="23"/>
      <c r="M16" s="24"/>
      <c r="O16" s="59">
        <v>12</v>
      </c>
      <c r="P16" s="59" t="s">
        <v>12</v>
      </c>
    </row>
    <row r="17" spans="2:13" s="4" customFormat="1" ht="15" customHeight="1" x14ac:dyDescent="0.3">
      <c r="B17" s="2"/>
      <c r="C17" s="2"/>
      <c r="G17" s="17">
        <v>13</v>
      </c>
      <c r="H17" s="18"/>
      <c r="I17" s="19"/>
      <c r="K17" s="20">
        <v>13</v>
      </c>
      <c r="L17" s="23"/>
      <c r="M17" s="24"/>
    </row>
    <row r="18" spans="2:13" s="4" customFormat="1" ht="15" customHeight="1" x14ac:dyDescent="0.3">
      <c r="B18" s="2"/>
      <c r="C18" s="2"/>
      <c r="G18" s="17">
        <v>14</v>
      </c>
      <c r="H18" s="18"/>
      <c r="I18" s="19"/>
      <c r="K18" s="20">
        <v>14</v>
      </c>
      <c r="L18" s="23"/>
      <c r="M18" s="24"/>
    </row>
    <row r="19" spans="2:13" s="4" customFormat="1" ht="15" customHeight="1" x14ac:dyDescent="0.3">
      <c r="B19" s="2"/>
      <c r="C19" s="2"/>
      <c r="G19" s="17">
        <v>15</v>
      </c>
      <c r="H19" s="18"/>
      <c r="I19" s="19"/>
      <c r="K19" s="20">
        <v>15</v>
      </c>
      <c r="L19" s="23"/>
      <c r="M19" s="24"/>
    </row>
    <row r="20" spans="2:13" s="4" customFormat="1" ht="15" customHeight="1" x14ac:dyDescent="0.3">
      <c r="B20" s="2"/>
      <c r="C20" s="2"/>
      <c r="G20" s="17">
        <v>16</v>
      </c>
      <c r="H20" s="18"/>
      <c r="I20" s="19"/>
      <c r="K20" s="20">
        <v>16</v>
      </c>
      <c r="L20" s="23"/>
      <c r="M20" s="24"/>
    </row>
    <row r="21" spans="2:13" s="4" customFormat="1" ht="15" customHeight="1" x14ac:dyDescent="0.3">
      <c r="B21" s="2"/>
      <c r="C21" s="2"/>
      <c r="G21" s="17">
        <v>17</v>
      </c>
      <c r="H21" s="18"/>
      <c r="I21" s="19"/>
      <c r="K21" s="20">
        <v>17</v>
      </c>
      <c r="L21" s="23"/>
      <c r="M21" s="24"/>
    </row>
    <row r="22" spans="2:13" s="4" customFormat="1" ht="15" customHeight="1" x14ac:dyDescent="0.3">
      <c r="B22" s="2"/>
      <c r="C22" s="2"/>
      <c r="G22" s="17">
        <v>18</v>
      </c>
      <c r="H22" s="18"/>
      <c r="I22" s="19"/>
      <c r="K22" s="20">
        <v>18</v>
      </c>
      <c r="L22" s="23"/>
      <c r="M22" s="24"/>
    </row>
    <row r="23" spans="2:13" s="4" customFormat="1" ht="15" customHeight="1" x14ac:dyDescent="0.3">
      <c r="B23" s="2"/>
      <c r="C23" s="2"/>
      <c r="G23" s="17">
        <v>19</v>
      </c>
      <c r="H23" s="18"/>
      <c r="I23" s="19"/>
      <c r="K23" s="20">
        <v>19</v>
      </c>
      <c r="L23" s="23"/>
      <c r="M23" s="24"/>
    </row>
    <row r="24" spans="2:13" s="4" customFormat="1" ht="15" customHeight="1" x14ac:dyDescent="0.3">
      <c r="B24" s="2"/>
      <c r="C24" s="2"/>
      <c r="G24" s="17">
        <v>20</v>
      </c>
      <c r="H24" s="18"/>
      <c r="I24" s="19"/>
      <c r="K24" s="20">
        <v>20</v>
      </c>
      <c r="L24" s="23"/>
      <c r="M24" s="24"/>
    </row>
    <row r="25" spans="2:13" s="4" customFormat="1" ht="15" customHeight="1" x14ac:dyDescent="0.3">
      <c r="B25" s="2"/>
      <c r="C25" s="2"/>
    </row>
    <row r="26" spans="2:13" s="4" customFormat="1" ht="15" customHeight="1" x14ac:dyDescent="0.3">
      <c r="B26" s="2" t="s">
        <v>51</v>
      </c>
      <c r="C26" s="2"/>
    </row>
    <row r="27" spans="2:13" s="4" customFormat="1" ht="15" customHeight="1" x14ac:dyDescent="0.3">
      <c r="B27" s="2"/>
      <c r="C27" s="2"/>
    </row>
    <row r="28" spans="2:13" s="4" customFormat="1" ht="15" customHeight="1" x14ac:dyDescent="0.3">
      <c r="B28" s="2"/>
      <c r="C28" s="2"/>
    </row>
    <row r="29" spans="2:13" s="4" customFormat="1" ht="15" customHeight="1" x14ac:dyDescent="0.3">
      <c r="B29" s="2"/>
      <c r="C29" s="2"/>
    </row>
    <row r="30" spans="2:13" s="4" customFormat="1" ht="15" customHeight="1" x14ac:dyDescent="0.3">
      <c r="B30" s="2"/>
      <c r="C30" s="2"/>
    </row>
    <row r="31" spans="2:13" s="4" customFormat="1" ht="15" customHeight="1" x14ac:dyDescent="0.3">
      <c r="B31" s="2"/>
      <c r="C31" s="2"/>
    </row>
    <row r="32" spans="2:13" s="4" customFormat="1" ht="15" customHeight="1" x14ac:dyDescent="0.3">
      <c r="B32" s="2"/>
      <c r="C32" s="2"/>
    </row>
    <row r="33" spans="2:3" s="4" customFormat="1" ht="15" customHeight="1" x14ac:dyDescent="0.3">
      <c r="B33" s="2"/>
      <c r="C33" s="2"/>
    </row>
    <row r="34" spans="2:3" s="4" customFormat="1" ht="15" customHeight="1" x14ac:dyDescent="0.3">
      <c r="B34" s="2"/>
      <c r="C34" s="2"/>
    </row>
    <row r="35" spans="2:3" s="4" customFormat="1" ht="15" customHeight="1" x14ac:dyDescent="0.3">
      <c r="B35" s="2"/>
      <c r="C35" s="2"/>
    </row>
    <row r="36" spans="2:3" s="4" customFormat="1" ht="15" customHeight="1" x14ac:dyDescent="0.3">
      <c r="B36" s="2"/>
      <c r="C36" s="2"/>
    </row>
    <row r="37" spans="2:3" s="4" customFormat="1" ht="15" customHeight="1" x14ac:dyDescent="0.3">
      <c r="B37" s="2"/>
      <c r="C37" s="2"/>
    </row>
    <row r="38" spans="2:3" s="4" customFormat="1" ht="15" customHeight="1" x14ac:dyDescent="0.3">
      <c r="B38" s="2"/>
      <c r="C38" s="2"/>
    </row>
    <row r="39" spans="2:3" s="4" customFormat="1" ht="15" customHeight="1" x14ac:dyDescent="0.3">
      <c r="B39" s="2"/>
      <c r="C39" s="2"/>
    </row>
    <row r="40" spans="2:3" s="4" customFormat="1" ht="15" customHeight="1" x14ac:dyDescent="0.3">
      <c r="B40" s="2"/>
      <c r="C40" s="2"/>
    </row>
    <row r="41" spans="2:3" s="4" customFormat="1" ht="15" customHeight="1" x14ac:dyDescent="0.3">
      <c r="B41" s="2"/>
      <c r="C41" s="2"/>
    </row>
    <row r="42" spans="2:3" s="4" customFormat="1" ht="15" customHeight="1" x14ac:dyDescent="0.3">
      <c r="B42" s="2"/>
      <c r="C42" s="2"/>
    </row>
    <row r="43" spans="2:3" s="4" customFormat="1" ht="15" customHeight="1" x14ac:dyDescent="0.3">
      <c r="B43" s="2"/>
      <c r="C43" s="2"/>
    </row>
    <row r="44" spans="2:3" s="4" customFormat="1" ht="15" customHeight="1" x14ac:dyDescent="0.3">
      <c r="B44" s="2"/>
      <c r="C44" s="2"/>
    </row>
    <row r="45" spans="2:3" s="4" customFormat="1" ht="15" customHeight="1" x14ac:dyDescent="0.3">
      <c r="B45" s="2"/>
      <c r="C45" s="2"/>
    </row>
    <row r="46" spans="2:3" s="4" customFormat="1" ht="15" customHeight="1" x14ac:dyDescent="0.3">
      <c r="B46" s="2"/>
      <c r="C46" s="2"/>
    </row>
    <row r="47" spans="2:3" s="4" customFormat="1" ht="15" customHeight="1" x14ac:dyDescent="0.3">
      <c r="B47" s="2"/>
      <c r="C47" s="2"/>
    </row>
    <row r="48" spans="2:3" s="4" customFormat="1" ht="15" customHeight="1" x14ac:dyDescent="0.3">
      <c r="B48" s="2"/>
      <c r="C48" s="2"/>
    </row>
    <row r="49" spans="2:3" s="4" customFormat="1" ht="15" customHeight="1" x14ac:dyDescent="0.3">
      <c r="B49" s="2"/>
      <c r="C49" s="2"/>
    </row>
    <row r="50" spans="2:3" s="4" customFormat="1" ht="15" customHeight="1" x14ac:dyDescent="0.3">
      <c r="B50" s="2"/>
      <c r="C50" s="2"/>
    </row>
    <row r="51" spans="2:3" s="4" customFormat="1" ht="15" customHeight="1" x14ac:dyDescent="0.3">
      <c r="B51" s="2"/>
      <c r="C51" s="2"/>
    </row>
    <row r="52" spans="2:3" s="4" customFormat="1" ht="15" customHeight="1" x14ac:dyDescent="0.3">
      <c r="B52" s="2"/>
      <c r="C52" s="2"/>
    </row>
    <row r="53" spans="2:3" s="4" customFormat="1" ht="15" customHeight="1" x14ac:dyDescent="0.3">
      <c r="B53" s="2"/>
      <c r="C53" s="2"/>
    </row>
    <row r="54" spans="2:3" s="4" customFormat="1" ht="15" customHeight="1" x14ac:dyDescent="0.3">
      <c r="B54" s="2"/>
      <c r="C54" s="2"/>
    </row>
    <row r="55" spans="2:3" s="4" customFormat="1" ht="15" customHeight="1" x14ac:dyDescent="0.3">
      <c r="B55" s="2"/>
      <c r="C55" s="2"/>
    </row>
    <row r="56" spans="2:3" s="4" customFormat="1" ht="15" customHeight="1" x14ac:dyDescent="0.3">
      <c r="B56" s="2"/>
      <c r="C56" s="2"/>
    </row>
    <row r="57" spans="2:3" s="4" customFormat="1" ht="15" customHeight="1" x14ac:dyDescent="0.3">
      <c r="B57" s="2"/>
      <c r="C57" s="2"/>
    </row>
    <row r="58" spans="2:3" s="4" customFormat="1" ht="15" customHeight="1" x14ac:dyDescent="0.3">
      <c r="B58" s="2"/>
      <c r="C58" s="2"/>
    </row>
    <row r="59" spans="2:3" s="4" customFormat="1" ht="15" customHeight="1" x14ac:dyDescent="0.3">
      <c r="B59" s="2"/>
      <c r="C59" s="2"/>
    </row>
    <row r="60" spans="2:3" s="4" customFormat="1" ht="15" customHeight="1" x14ac:dyDescent="0.3">
      <c r="B60" s="2"/>
      <c r="C60" s="2"/>
    </row>
    <row r="61" spans="2:3" s="4" customFormat="1" ht="15" customHeight="1" x14ac:dyDescent="0.3">
      <c r="B61" s="2"/>
      <c r="C61" s="2"/>
    </row>
    <row r="62" spans="2:3" s="4" customFormat="1" ht="15" customHeight="1" x14ac:dyDescent="0.3">
      <c r="B62" s="2"/>
      <c r="C62" s="2"/>
    </row>
    <row r="63" spans="2:3" s="4" customFormat="1" ht="15" customHeight="1" x14ac:dyDescent="0.3">
      <c r="B63" s="2"/>
      <c r="C63" s="2"/>
    </row>
    <row r="64" spans="2:3" s="4" customFormat="1" ht="15" customHeight="1" x14ac:dyDescent="0.3">
      <c r="B64" s="2"/>
      <c r="C64" s="2"/>
    </row>
    <row r="65" spans="2:3" s="4" customFormat="1" ht="15" customHeight="1" x14ac:dyDescent="0.3">
      <c r="B65" s="2"/>
      <c r="C65" s="2"/>
    </row>
    <row r="66" spans="2:3" s="4" customFormat="1" ht="15" customHeight="1" x14ac:dyDescent="0.3">
      <c r="B66" s="2"/>
      <c r="C66" s="2"/>
    </row>
    <row r="67" spans="2:3" s="4" customFormat="1" ht="15" customHeight="1" x14ac:dyDescent="0.3">
      <c r="B67" s="2"/>
      <c r="C67" s="2"/>
    </row>
    <row r="68" spans="2:3" s="4" customFormat="1" ht="15" customHeight="1" x14ac:dyDescent="0.3">
      <c r="B68" s="2"/>
      <c r="C68" s="2"/>
    </row>
    <row r="69" spans="2:3" s="4" customFormat="1" ht="15" customHeight="1" x14ac:dyDescent="0.3">
      <c r="B69" s="2"/>
      <c r="C69" s="2"/>
    </row>
    <row r="70" spans="2:3" s="4" customFormat="1" ht="15" customHeight="1" x14ac:dyDescent="0.3">
      <c r="B70" s="2"/>
      <c r="C70" s="2"/>
    </row>
    <row r="71" spans="2:3" s="4" customFormat="1" ht="15" customHeight="1" x14ac:dyDescent="0.3">
      <c r="B71" s="2"/>
      <c r="C71" s="2"/>
    </row>
    <row r="72" spans="2:3" s="4" customFormat="1" ht="15" customHeight="1" x14ac:dyDescent="0.3">
      <c r="B72" s="2"/>
      <c r="C72" s="2"/>
    </row>
    <row r="73" spans="2:3" s="4" customFormat="1" ht="15" customHeight="1" x14ac:dyDescent="0.3">
      <c r="B73" s="2"/>
      <c r="C73" s="2"/>
    </row>
    <row r="74" spans="2:3" s="4" customFormat="1" ht="15" customHeight="1" x14ac:dyDescent="0.3">
      <c r="B74" s="2"/>
      <c r="C74" s="2"/>
    </row>
    <row r="75" spans="2:3" s="4" customFormat="1" ht="15" customHeight="1" x14ac:dyDescent="0.3">
      <c r="B75" s="2"/>
      <c r="C75" s="2"/>
    </row>
    <row r="76" spans="2:3" s="4" customFormat="1" ht="15" customHeight="1" x14ac:dyDescent="0.3">
      <c r="B76" s="2"/>
      <c r="C76" s="2"/>
    </row>
    <row r="77" spans="2:3" s="4" customFormat="1" ht="15" customHeight="1" x14ac:dyDescent="0.3">
      <c r="B77" s="2"/>
      <c r="C77" s="2"/>
    </row>
    <row r="78" spans="2:3" s="4" customFormat="1" ht="15" customHeight="1" x14ac:dyDescent="0.3">
      <c r="B78" s="2"/>
      <c r="C78" s="2"/>
    </row>
    <row r="79" spans="2:3" s="4" customFormat="1" ht="15" customHeight="1" x14ac:dyDescent="0.3">
      <c r="B79" s="2"/>
      <c r="C79" s="2"/>
    </row>
    <row r="80" spans="2:3" s="4" customFormat="1" ht="15" customHeight="1" x14ac:dyDescent="0.3">
      <c r="B80" s="2"/>
      <c r="C80" s="2"/>
    </row>
    <row r="81" spans="2:3" s="4" customFormat="1" ht="15" customHeight="1" x14ac:dyDescent="0.3">
      <c r="B81" s="2"/>
      <c r="C81" s="2"/>
    </row>
    <row r="82" spans="2:3" s="4" customFormat="1" ht="15" customHeight="1" x14ac:dyDescent="0.3">
      <c r="B82" s="2"/>
      <c r="C82" s="2"/>
    </row>
    <row r="83" spans="2:3" s="4" customFormat="1" ht="15" customHeight="1" x14ac:dyDescent="0.3">
      <c r="B83" s="2"/>
      <c r="C83" s="2"/>
    </row>
    <row r="84" spans="2:3" s="4" customFormat="1" ht="15" customHeight="1" x14ac:dyDescent="0.3">
      <c r="B84" s="2"/>
      <c r="C84" s="2"/>
    </row>
    <row r="85" spans="2:3" s="4" customFormat="1" ht="15" customHeight="1" x14ac:dyDescent="0.3">
      <c r="B85" s="2"/>
      <c r="C85" s="2"/>
    </row>
    <row r="86" spans="2:3" s="4" customFormat="1" ht="15" customHeight="1" x14ac:dyDescent="0.3">
      <c r="B86" s="2"/>
      <c r="C86" s="2"/>
    </row>
    <row r="87" spans="2:3" s="4" customFormat="1" ht="15" customHeight="1" x14ac:dyDescent="0.3">
      <c r="B87" s="2"/>
      <c r="C87" s="2"/>
    </row>
    <row r="88" spans="2:3" s="4" customFormat="1" ht="15" customHeight="1" x14ac:dyDescent="0.3">
      <c r="B88" s="2"/>
      <c r="C88" s="2"/>
    </row>
    <row r="89" spans="2:3" s="4" customFormat="1" ht="15" customHeight="1" x14ac:dyDescent="0.3">
      <c r="B89" s="2"/>
      <c r="C89" s="2"/>
    </row>
    <row r="90" spans="2:3" s="4" customFormat="1" ht="15" customHeight="1" x14ac:dyDescent="0.3">
      <c r="B90" s="2"/>
      <c r="C90" s="2"/>
    </row>
    <row r="91" spans="2:3" s="4" customFormat="1" ht="15" customHeight="1" x14ac:dyDescent="0.3">
      <c r="B91" s="2"/>
      <c r="C91" s="2"/>
    </row>
    <row r="92" spans="2:3" s="4" customFormat="1" ht="15" customHeight="1" x14ac:dyDescent="0.3">
      <c r="B92" s="2"/>
      <c r="C92" s="2"/>
    </row>
    <row r="93" spans="2:3" s="4" customFormat="1" ht="15" customHeight="1" x14ac:dyDescent="0.3">
      <c r="B93" s="2"/>
      <c r="C93" s="2"/>
    </row>
    <row r="94" spans="2:3" s="4" customFormat="1" ht="15" customHeight="1" x14ac:dyDescent="0.3">
      <c r="B94" s="2"/>
      <c r="C94" s="2"/>
    </row>
    <row r="95" spans="2:3" s="4" customFormat="1" ht="15" customHeight="1" x14ac:dyDescent="0.3">
      <c r="B95" s="2"/>
      <c r="C95" s="2"/>
    </row>
    <row r="96" spans="2:3" s="4" customFormat="1" ht="15" customHeight="1" x14ac:dyDescent="0.3">
      <c r="B96" s="2"/>
      <c r="C96" s="2"/>
    </row>
    <row r="97" spans="2:3" s="4" customFormat="1" ht="15" customHeight="1" x14ac:dyDescent="0.3">
      <c r="B97" s="2"/>
      <c r="C97" s="2"/>
    </row>
    <row r="98" spans="2:3" s="4" customFormat="1" ht="15" customHeight="1" x14ac:dyDescent="0.3">
      <c r="B98" s="2"/>
      <c r="C98" s="2"/>
    </row>
    <row r="99" spans="2:3" s="4" customFormat="1" ht="15" customHeight="1" x14ac:dyDescent="0.3">
      <c r="B99" s="2"/>
      <c r="C99" s="2"/>
    </row>
    <row r="100" spans="2:3" s="4" customFormat="1" ht="15" customHeight="1" x14ac:dyDescent="0.3">
      <c r="B100" s="2"/>
      <c r="C100" s="2"/>
    </row>
    <row r="101" spans="2:3" s="4" customFormat="1" ht="15" customHeight="1" x14ac:dyDescent="0.3">
      <c r="B101" s="2"/>
      <c r="C101" s="2"/>
    </row>
    <row r="102" spans="2:3" s="4" customFormat="1" ht="15" customHeight="1" x14ac:dyDescent="0.3">
      <c r="B102" s="2"/>
      <c r="C102" s="2"/>
    </row>
    <row r="103" spans="2:3" s="4" customFormat="1" ht="15" customHeight="1" x14ac:dyDescent="0.3">
      <c r="B103" s="2"/>
      <c r="C103" s="2"/>
    </row>
    <row r="104" spans="2:3" s="4" customFormat="1" ht="15" customHeight="1" x14ac:dyDescent="0.3">
      <c r="B104" s="2"/>
      <c r="C104" s="2"/>
    </row>
    <row r="105" spans="2:3" s="4" customFormat="1" ht="15" customHeight="1" x14ac:dyDescent="0.3">
      <c r="B105" s="2"/>
      <c r="C105" s="2"/>
    </row>
    <row r="106" spans="2:3" s="4" customFormat="1" ht="15" customHeight="1" x14ac:dyDescent="0.3">
      <c r="B106" s="2"/>
      <c r="C106" s="2"/>
    </row>
    <row r="107" spans="2:3" s="4" customFormat="1" ht="15" customHeight="1" x14ac:dyDescent="0.3">
      <c r="B107" s="2"/>
      <c r="C107" s="2"/>
    </row>
    <row r="108" spans="2:3" s="4" customFormat="1" ht="15" customHeight="1" x14ac:dyDescent="0.3">
      <c r="B108" s="2"/>
      <c r="C108" s="2"/>
    </row>
    <row r="109" spans="2:3" s="4" customFormat="1" ht="15" customHeight="1" x14ac:dyDescent="0.3">
      <c r="B109" s="2"/>
      <c r="C109" s="2"/>
    </row>
    <row r="110" spans="2:3" s="4" customFormat="1" ht="15" customHeight="1" x14ac:dyDescent="0.3">
      <c r="B110" s="2"/>
      <c r="C110" s="2"/>
    </row>
    <row r="111" spans="2:3" s="4" customFormat="1" ht="15" customHeight="1" x14ac:dyDescent="0.3">
      <c r="B111" s="2"/>
      <c r="C111" s="2"/>
    </row>
    <row r="112" spans="2:3" s="4" customFormat="1" ht="15" customHeight="1" x14ac:dyDescent="0.3">
      <c r="B112" s="2"/>
      <c r="C112" s="2"/>
    </row>
    <row r="113" spans="2:3" s="4" customFormat="1" ht="15" customHeight="1" x14ac:dyDescent="0.3">
      <c r="B113" s="2"/>
      <c r="C113" s="2"/>
    </row>
    <row r="114" spans="2:3" s="4" customFormat="1" ht="15" customHeight="1" x14ac:dyDescent="0.3">
      <c r="B114" s="2"/>
      <c r="C114" s="2"/>
    </row>
    <row r="115" spans="2:3" s="4" customFormat="1" ht="15" customHeight="1" x14ac:dyDescent="0.3">
      <c r="B115" s="2"/>
      <c r="C115" s="2"/>
    </row>
    <row r="116" spans="2:3" s="4" customFormat="1" ht="15" customHeight="1" x14ac:dyDescent="0.3">
      <c r="B116" s="2"/>
      <c r="C116" s="2"/>
    </row>
    <row r="117" spans="2:3" s="4" customFormat="1" ht="15" customHeight="1" x14ac:dyDescent="0.3">
      <c r="B117" s="2"/>
      <c r="C117" s="2"/>
    </row>
    <row r="118" spans="2:3" s="4" customFormat="1" ht="15" customHeight="1" x14ac:dyDescent="0.3">
      <c r="B118" s="2"/>
      <c r="C118" s="2"/>
    </row>
    <row r="119" spans="2:3" s="4" customFormat="1" ht="15" customHeight="1" x14ac:dyDescent="0.3">
      <c r="B119" s="2"/>
      <c r="C119" s="2"/>
    </row>
    <row r="120" spans="2:3" s="4" customFormat="1" ht="15" customHeight="1" x14ac:dyDescent="0.3">
      <c r="B120" s="2"/>
      <c r="C120" s="2"/>
    </row>
    <row r="121" spans="2:3" s="4" customFormat="1" ht="15" customHeight="1" x14ac:dyDescent="0.3">
      <c r="B121" s="2"/>
      <c r="C121" s="2"/>
    </row>
    <row r="122" spans="2:3" s="4" customFormat="1" ht="15" customHeight="1" x14ac:dyDescent="0.3">
      <c r="B122" s="2"/>
      <c r="C122" s="2"/>
    </row>
    <row r="123" spans="2:3" s="4" customFormat="1" ht="15" customHeight="1" x14ac:dyDescent="0.3">
      <c r="B123" s="2"/>
      <c r="C123" s="2"/>
    </row>
    <row r="124" spans="2:3" s="4" customFormat="1" ht="15" customHeight="1" x14ac:dyDescent="0.3">
      <c r="B124" s="2"/>
      <c r="C124" s="2"/>
    </row>
    <row r="125" spans="2:3" s="4" customFormat="1" ht="15" customHeight="1" x14ac:dyDescent="0.3">
      <c r="B125" s="2"/>
      <c r="C125" s="2"/>
    </row>
    <row r="126" spans="2:3" s="4" customFormat="1" ht="15" customHeight="1" x14ac:dyDescent="0.3">
      <c r="B126" s="2"/>
      <c r="C126" s="2"/>
    </row>
    <row r="127" spans="2:3" s="4" customFormat="1" ht="15" customHeight="1" x14ac:dyDescent="0.3">
      <c r="B127" s="2"/>
      <c r="C127" s="2"/>
    </row>
    <row r="128" spans="2:3" s="4" customFormat="1" ht="15" customHeight="1" x14ac:dyDescent="0.3">
      <c r="B128" s="2"/>
      <c r="C128" s="2"/>
    </row>
    <row r="129" spans="2:3" s="4" customFormat="1" ht="15" customHeight="1" x14ac:dyDescent="0.3">
      <c r="B129" s="2"/>
      <c r="C129" s="2"/>
    </row>
    <row r="130" spans="2:3" s="4" customFormat="1" ht="15" customHeight="1" x14ac:dyDescent="0.3">
      <c r="B130" s="2"/>
      <c r="C130" s="2"/>
    </row>
    <row r="131" spans="2:3" s="4" customFormat="1" ht="15" customHeight="1" x14ac:dyDescent="0.3">
      <c r="B131" s="2"/>
      <c r="C131" s="2"/>
    </row>
    <row r="132" spans="2:3" s="4" customFormat="1" ht="15" customHeight="1" x14ac:dyDescent="0.3">
      <c r="B132" s="2"/>
      <c r="C132" s="2"/>
    </row>
    <row r="133" spans="2:3" s="4" customFormat="1" ht="15" customHeight="1" x14ac:dyDescent="0.3">
      <c r="B133" s="2"/>
      <c r="C133" s="2"/>
    </row>
    <row r="134" spans="2:3" s="4" customFormat="1" ht="15" customHeight="1" x14ac:dyDescent="0.3">
      <c r="B134" s="2"/>
      <c r="C134" s="2"/>
    </row>
    <row r="135" spans="2:3" s="4" customFormat="1" ht="15" customHeight="1" x14ac:dyDescent="0.3">
      <c r="B135" s="2"/>
      <c r="C135" s="2"/>
    </row>
    <row r="136" spans="2:3" s="4" customFormat="1" ht="15" customHeight="1" x14ac:dyDescent="0.3">
      <c r="B136" s="2"/>
      <c r="C136" s="2"/>
    </row>
    <row r="137" spans="2:3" s="4" customFormat="1" ht="15" customHeight="1" x14ac:dyDescent="0.3">
      <c r="B137" s="2"/>
      <c r="C137" s="2"/>
    </row>
    <row r="138" spans="2:3" s="4" customFormat="1" ht="15" customHeight="1" x14ac:dyDescent="0.3">
      <c r="B138" s="2"/>
      <c r="C138" s="2"/>
    </row>
    <row r="139" spans="2:3" s="4" customFormat="1" ht="15" customHeight="1" x14ac:dyDescent="0.3">
      <c r="B139" s="2"/>
      <c r="C139" s="2"/>
    </row>
    <row r="140" spans="2:3" s="4" customFormat="1" ht="15" customHeight="1" x14ac:dyDescent="0.3">
      <c r="B140" s="2"/>
      <c r="C140" s="2"/>
    </row>
    <row r="141" spans="2:3" s="4" customFormat="1" ht="15" customHeight="1" x14ac:dyDescent="0.3">
      <c r="B141" s="2"/>
      <c r="C141" s="2"/>
    </row>
    <row r="142" spans="2:3" s="4" customFormat="1" ht="15" customHeight="1" x14ac:dyDescent="0.3">
      <c r="B142" s="2"/>
      <c r="C142" s="2"/>
    </row>
    <row r="143" spans="2:3" s="4" customFormat="1" ht="15" customHeight="1" x14ac:dyDescent="0.3">
      <c r="B143" s="2"/>
      <c r="C143" s="2"/>
    </row>
    <row r="144" spans="2:3" s="4" customFormat="1" ht="15" customHeight="1" x14ac:dyDescent="0.3">
      <c r="B144" s="2"/>
      <c r="C144" s="2"/>
    </row>
    <row r="145" spans="2:3" s="4" customFormat="1" ht="15" customHeight="1" x14ac:dyDescent="0.3">
      <c r="B145" s="2"/>
      <c r="C145" s="2"/>
    </row>
    <row r="146" spans="2:3" s="4" customFormat="1" ht="15" customHeight="1" x14ac:dyDescent="0.3">
      <c r="B146" s="2"/>
      <c r="C146" s="2"/>
    </row>
    <row r="147" spans="2:3" s="4" customFormat="1" ht="15" customHeight="1" x14ac:dyDescent="0.3">
      <c r="B147" s="2"/>
      <c r="C147" s="2"/>
    </row>
    <row r="148" spans="2:3" s="4" customFormat="1" ht="15" customHeight="1" x14ac:dyDescent="0.3">
      <c r="B148" s="2"/>
      <c r="C148" s="2"/>
    </row>
    <row r="149" spans="2:3" s="4" customFormat="1" ht="15" customHeight="1" x14ac:dyDescent="0.3">
      <c r="B149" s="2"/>
      <c r="C149" s="2"/>
    </row>
    <row r="150" spans="2:3" s="4" customFormat="1" ht="15" customHeight="1" x14ac:dyDescent="0.3">
      <c r="B150" s="2"/>
      <c r="C150" s="2"/>
    </row>
    <row r="151" spans="2:3" s="4" customFormat="1" ht="15" customHeight="1" x14ac:dyDescent="0.3">
      <c r="B151" s="2"/>
      <c r="C151" s="2"/>
    </row>
    <row r="152" spans="2:3" s="4" customFormat="1" ht="15" customHeight="1" x14ac:dyDescent="0.3">
      <c r="B152" s="2"/>
      <c r="C152" s="2"/>
    </row>
    <row r="153" spans="2:3" s="4" customFormat="1" ht="15" customHeight="1" x14ac:dyDescent="0.3">
      <c r="B153" s="2"/>
      <c r="C153" s="2"/>
    </row>
    <row r="154" spans="2:3" s="4" customFormat="1" ht="15" customHeight="1" x14ac:dyDescent="0.3">
      <c r="B154" s="2"/>
      <c r="C154" s="2"/>
    </row>
    <row r="155" spans="2:3" s="4" customFormat="1" ht="15" customHeight="1" x14ac:dyDescent="0.3">
      <c r="B155" s="2"/>
      <c r="C155" s="2"/>
    </row>
    <row r="156" spans="2:3" s="4" customFormat="1" ht="15" customHeight="1" x14ac:dyDescent="0.3">
      <c r="B156" s="2"/>
      <c r="C156" s="2"/>
    </row>
    <row r="157" spans="2:3" s="4" customFormat="1" ht="15" customHeight="1" x14ac:dyDescent="0.3">
      <c r="B157" s="2"/>
      <c r="C157" s="2"/>
    </row>
    <row r="158" spans="2:3" s="4" customFormat="1" ht="15" customHeight="1" x14ac:dyDescent="0.3">
      <c r="B158" s="2"/>
      <c r="C158" s="2"/>
    </row>
    <row r="159" spans="2:3" s="4" customFormat="1" ht="15" customHeight="1" x14ac:dyDescent="0.3">
      <c r="B159" s="2"/>
      <c r="C159" s="2"/>
    </row>
    <row r="160" spans="2:3" s="4" customFormat="1" ht="15" customHeight="1" x14ac:dyDescent="0.3">
      <c r="B160" s="2"/>
      <c r="C160" s="2"/>
    </row>
    <row r="161" spans="2:3" s="4" customFormat="1" ht="15" customHeight="1" x14ac:dyDescent="0.3">
      <c r="B161" s="2"/>
      <c r="C161" s="2"/>
    </row>
    <row r="162" spans="2:3" s="4" customFormat="1" ht="15" customHeight="1" x14ac:dyDescent="0.3">
      <c r="B162" s="2"/>
      <c r="C162" s="2"/>
    </row>
    <row r="163" spans="2:3" s="4" customFormat="1" ht="15" customHeight="1" x14ac:dyDescent="0.3">
      <c r="B163" s="2"/>
      <c r="C163" s="2"/>
    </row>
    <row r="164" spans="2:3" s="4" customFormat="1" ht="15" customHeight="1" x14ac:dyDescent="0.3">
      <c r="B164" s="2"/>
      <c r="C164" s="2"/>
    </row>
    <row r="165" spans="2:3" s="4" customFormat="1" ht="15" customHeight="1" x14ac:dyDescent="0.3">
      <c r="B165" s="2"/>
      <c r="C165" s="2"/>
    </row>
    <row r="166" spans="2:3" s="4" customFormat="1" ht="15" customHeight="1" x14ac:dyDescent="0.3">
      <c r="B166" s="2"/>
      <c r="C166" s="2"/>
    </row>
    <row r="167" spans="2:3" s="4" customFormat="1" ht="15" customHeight="1" x14ac:dyDescent="0.3">
      <c r="B167" s="2"/>
      <c r="C167" s="2"/>
    </row>
    <row r="168" spans="2:3" s="4" customFormat="1" ht="15" customHeight="1" x14ac:dyDescent="0.3">
      <c r="B168" s="2"/>
      <c r="C168" s="2"/>
    </row>
    <row r="169" spans="2:3" s="4" customFormat="1" ht="15" customHeight="1" x14ac:dyDescent="0.3">
      <c r="B169" s="2"/>
      <c r="C169" s="2"/>
    </row>
    <row r="170" spans="2:3" s="4" customFormat="1" ht="15" customHeight="1" x14ac:dyDescent="0.3">
      <c r="B170" s="2"/>
      <c r="C170" s="2"/>
    </row>
    <row r="171" spans="2:3" s="4" customFormat="1" ht="15" customHeight="1" x14ac:dyDescent="0.3">
      <c r="B171" s="2"/>
      <c r="C171" s="2"/>
    </row>
    <row r="172" spans="2:3" s="4" customFormat="1" ht="15" customHeight="1" x14ac:dyDescent="0.3">
      <c r="B172" s="2"/>
      <c r="C172" s="2"/>
    </row>
    <row r="173" spans="2:3" s="4" customFormat="1" ht="15" customHeight="1" x14ac:dyDescent="0.3">
      <c r="B173" s="2"/>
      <c r="C173" s="2"/>
    </row>
    <row r="174" spans="2:3" s="4" customFormat="1" ht="15" customHeight="1" x14ac:dyDescent="0.3">
      <c r="B174" s="2"/>
      <c r="C174" s="2"/>
    </row>
    <row r="175" spans="2:3" s="4" customFormat="1" ht="15" customHeight="1" x14ac:dyDescent="0.3">
      <c r="B175" s="2"/>
      <c r="C175" s="2"/>
    </row>
    <row r="176" spans="2:3" s="4" customFormat="1" ht="15" customHeight="1" x14ac:dyDescent="0.3">
      <c r="B176" s="2"/>
      <c r="C176" s="2"/>
    </row>
    <row r="177" spans="2:3" s="4" customFormat="1" ht="15" customHeight="1" x14ac:dyDescent="0.3">
      <c r="B177" s="2"/>
      <c r="C177" s="2"/>
    </row>
    <row r="178" spans="2:3" s="4" customFormat="1" ht="15" customHeight="1" x14ac:dyDescent="0.3">
      <c r="B178" s="2"/>
      <c r="C178" s="2"/>
    </row>
    <row r="179" spans="2:3" s="4" customFormat="1" ht="15" customHeight="1" x14ac:dyDescent="0.3">
      <c r="B179" s="2"/>
      <c r="C179" s="2"/>
    </row>
    <row r="180" spans="2:3" s="4" customFormat="1" ht="15" customHeight="1" x14ac:dyDescent="0.3">
      <c r="B180" s="2"/>
      <c r="C180" s="2"/>
    </row>
    <row r="181" spans="2:3" s="4" customFormat="1" ht="15" customHeight="1" x14ac:dyDescent="0.3">
      <c r="B181" s="2"/>
      <c r="C181" s="2"/>
    </row>
    <row r="182" spans="2:3" s="4" customFormat="1" ht="15" customHeight="1" x14ac:dyDescent="0.3">
      <c r="B182" s="2"/>
      <c r="C182" s="2"/>
    </row>
    <row r="183" spans="2:3" s="4" customFormat="1" ht="15" customHeight="1" x14ac:dyDescent="0.3">
      <c r="B183" s="2"/>
      <c r="C183" s="2"/>
    </row>
    <row r="184" spans="2:3" s="4" customFormat="1" ht="15" customHeight="1" x14ac:dyDescent="0.3">
      <c r="B184" s="2"/>
      <c r="C184" s="2"/>
    </row>
    <row r="185" spans="2:3" s="4" customFormat="1" ht="15" customHeight="1" x14ac:dyDescent="0.3">
      <c r="B185" s="2"/>
      <c r="C185" s="2"/>
    </row>
    <row r="186" spans="2:3" s="4" customFormat="1" ht="15" customHeight="1" x14ac:dyDescent="0.3">
      <c r="B186" s="2"/>
      <c r="C186" s="2"/>
    </row>
    <row r="187" spans="2:3" s="4" customFormat="1" ht="15" customHeight="1" x14ac:dyDescent="0.3">
      <c r="B187" s="2"/>
      <c r="C187" s="2"/>
    </row>
    <row r="188" spans="2:3" s="4" customFormat="1" ht="15" customHeight="1" x14ac:dyDescent="0.3">
      <c r="B188" s="2"/>
      <c r="C188" s="2"/>
    </row>
    <row r="189" spans="2:3" s="4" customFormat="1" ht="15" customHeight="1" x14ac:dyDescent="0.3">
      <c r="B189" s="2"/>
      <c r="C189" s="2"/>
    </row>
    <row r="190" spans="2:3" s="4" customFormat="1" ht="15" customHeight="1" x14ac:dyDescent="0.3">
      <c r="B190" s="2"/>
      <c r="C190" s="2"/>
    </row>
    <row r="191" spans="2:3" s="4" customFormat="1" ht="15" customHeight="1" x14ac:dyDescent="0.3">
      <c r="B191" s="2"/>
      <c r="C191" s="2"/>
    </row>
    <row r="192" spans="2:3" s="4" customFormat="1" ht="15" customHeight="1" x14ac:dyDescent="0.3">
      <c r="B192" s="2"/>
      <c r="C192" s="2"/>
    </row>
    <row r="193" spans="2:3" s="4" customFormat="1" ht="15" customHeight="1" x14ac:dyDescent="0.3">
      <c r="B193" s="2"/>
      <c r="C193" s="2"/>
    </row>
    <row r="194" spans="2:3" s="4" customFormat="1" ht="15" customHeight="1" x14ac:dyDescent="0.3">
      <c r="B194" s="2"/>
      <c r="C194" s="2"/>
    </row>
    <row r="195" spans="2:3" s="4" customFormat="1" ht="15" customHeight="1" x14ac:dyDescent="0.3">
      <c r="B195" s="2"/>
      <c r="C195" s="2"/>
    </row>
    <row r="196" spans="2:3" s="4" customFormat="1" ht="15" customHeight="1" x14ac:dyDescent="0.3">
      <c r="B196" s="2"/>
      <c r="C196" s="2"/>
    </row>
    <row r="197" spans="2:3" s="4" customFormat="1" ht="15" customHeight="1" x14ac:dyDescent="0.3">
      <c r="B197" s="2"/>
      <c r="C197" s="2"/>
    </row>
    <row r="198" spans="2:3" s="4" customFormat="1" ht="15" customHeight="1" x14ac:dyDescent="0.3">
      <c r="B198" s="2"/>
      <c r="C198" s="2"/>
    </row>
    <row r="199" spans="2:3" s="4" customFormat="1" ht="15" customHeight="1" x14ac:dyDescent="0.3">
      <c r="B199" s="2"/>
      <c r="C199" s="2"/>
    </row>
    <row r="200" spans="2:3" s="4" customFormat="1" ht="15" customHeight="1" x14ac:dyDescent="0.3">
      <c r="B200" s="2"/>
      <c r="C200" s="2"/>
    </row>
    <row r="201" spans="2:3" s="4" customFormat="1" ht="15" customHeight="1" x14ac:dyDescent="0.3">
      <c r="B201" s="2"/>
      <c r="C201" s="2"/>
    </row>
    <row r="202" spans="2:3" s="4" customFormat="1" ht="15" customHeight="1" x14ac:dyDescent="0.3">
      <c r="B202" s="2"/>
      <c r="C202" s="2"/>
    </row>
    <row r="203" spans="2:3" s="4" customFormat="1" ht="15" customHeight="1" x14ac:dyDescent="0.3">
      <c r="B203" s="2"/>
      <c r="C203" s="2"/>
    </row>
    <row r="204" spans="2:3" s="4" customFormat="1" ht="15" customHeight="1" x14ac:dyDescent="0.3">
      <c r="B204" s="2"/>
      <c r="C204" s="2"/>
    </row>
    <row r="205" spans="2:3" s="4" customFormat="1" ht="15" customHeight="1" x14ac:dyDescent="0.3">
      <c r="B205" s="2"/>
      <c r="C205" s="2"/>
    </row>
    <row r="206" spans="2:3" s="4" customFormat="1" ht="15" customHeight="1" x14ac:dyDescent="0.3">
      <c r="B206" s="2"/>
      <c r="C206" s="2"/>
    </row>
    <row r="207" spans="2:3" s="4" customFormat="1" ht="15" customHeight="1" x14ac:dyDescent="0.3">
      <c r="B207" s="2"/>
      <c r="C207" s="2"/>
    </row>
    <row r="208" spans="2:3" s="4" customFormat="1" ht="15" customHeight="1" x14ac:dyDescent="0.3">
      <c r="B208" s="2"/>
      <c r="C208" s="2"/>
    </row>
    <row r="209" spans="2:3" s="4" customFormat="1" ht="15" customHeight="1" x14ac:dyDescent="0.3">
      <c r="B209" s="2"/>
      <c r="C209" s="2"/>
    </row>
    <row r="210" spans="2:3" s="4" customFormat="1" ht="15" customHeight="1" x14ac:dyDescent="0.3">
      <c r="B210" s="2"/>
      <c r="C210" s="2"/>
    </row>
    <row r="211" spans="2:3" s="4" customFormat="1" ht="15" customHeight="1" x14ac:dyDescent="0.3">
      <c r="B211" s="2"/>
      <c r="C211" s="2"/>
    </row>
    <row r="212" spans="2:3" s="4" customFormat="1" ht="15" customHeight="1" x14ac:dyDescent="0.3">
      <c r="B212" s="2"/>
      <c r="C212" s="2"/>
    </row>
    <row r="213" spans="2:3" s="4" customFormat="1" ht="15" customHeight="1" x14ac:dyDescent="0.3">
      <c r="B213" s="2"/>
      <c r="C213" s="2"/>
    </row>
    <row r="214" spans="2:3" s="4" customFormat="1" ht="15" customHeight="1" x14ac:dyDescent="0.3">
      <c r="B214" s="2"/>
      <c r="C214" s="2"/>
    </row>
    <row r="215" spans="2:3" s="4" customFormat="1" ht="15" customHeight="1" x14ac:dyDescent="0.3">
      <c r="B215" s="2"/>
      <c r="C215" s="2"/>
    </row>
    <row r="216" spans="2:3" s="4" customFormat="1" ht="15" customHeight="1" x14ac:dyDescent="0.3">
      <c r="B216" s="2"/>
      <c r="C216" s="2"/>
    </row>
    <row r="217" spans="2:3" s="4" customFormat="1" ht="15" customHeight="1" x14ac:dyDescent="0.3">
      <c r="B217" s="2"/>
      <c r="C217" s="2"/>
    </row>
    <row r="218" spans="2:3" s="4" customFormat="1" ht="15" customHeight="1" x14ac:dyDescent="0.3">
      <c r="B218" s="2"/>
      <c r="C218" s="2"/>
    </row>
    <row r="219" spans="2:3" s="4" customFormat="1" ht="15" customHeight="1" x14ac:dyDescent="0.3">
      <c r="B219" s="2"/>
      <c r="C219" s="2"/>
    </row>
    <row r="220" spans="2:3" s="4" customFormat="1" ht="15" customHeight="1" x14ac:dyDescent="0.3">
      <c r="B220" s="2"/>
      <c r="C220" s="2"/>
    </row>
    <row r="221" spans="2:3" s="4" customFormat="1" ht="15" customHeight="1" x14ac:dyDescent="0.3">
      <c r="B221" s="2"/>
      <c r="C221" s="2"/>
    </row>
    <row r="222" spans="2:3" s="4" customFormat="1" ht="15" customHeight="1" x14ac:dyDescent="0.3">
      <c r="B222" s="2"/>
      <c r="C222" s="2"/>
    </row>
    <row r="223" spans="2:3" s="4" customFormat="1" ht="15" customHeight="1" x14ac:dyDescent="0.3">
      <c r="B223" s="2"/>
      <c r="C223" s="2"/>
    </row>
    <row r="224" spans="2:3" s="4" customFormat="1" ht="15" customHeight="1" x14ac:dyDescent="0.3">
      <c r="B224" s="2"/>
      <c r="C224" s="2"/>
    </row>
    <row r="225" spans="2:3" s="4" customFormat="1" ht="15" customHeight="1" x14ac:dyDescent="0.3">
      <c r="B225" s="2"/>
      <c r="C225" s="2"/>
    </row>
    <row r="226" spans="2:3" s="4" customFormat="1" ht="15" customHeight="1" x14ac:dyDescent="0.3">
      <c r="B226" s="2"/>
      <c r="C226" s="2"/>
    </row>
    <row r="227" spans="2:3" s="4" customFormat="1" ht="15" customHeight="1" x14ac:dyDescent="0.3">
      <c r="B227" s="2"/>
      <c r="C227" s="2"/>
    </row>
    <row r="228" spans="2:3" s="4" customFormat="1" ht="15" customHeight="1" x14ac:dyDescent="0.3">
      <c r="B228" s="2"/>
      <c r="C228" s="2"/>
    </row>
    <row r="229" spans="2:3" s="4" customFormat="1" ht="15" customHeight="1" x14ac:dyDescent="0.3">
      <c r="B229" s="2"/>
      <c r="C229" s="2"/>
    </row>
    <row r="230" spans="2:3" s="4" customFormat="1" ht="15" customHeight="1" x14ac:dyDescent="0.3">
      <c r="B230" s="2"/>
      <c r="C230" s="2"/>
    </row>
    <row r="231" spans="2:3" s="4" customFormat="1" ht="15" customHeight="1" x14ac:dyDescent="0.3">
      <c r="B231" s="2"/>
      <c r="C231" s="2"/>
    </row>
    <row r="232" spans="2:3" s="4" customFormat="1" ht="15" customHeight="1" x14ac:dyDescent="0.3">
      <c r="B232" s="2"/>
      <c r="C232" s="2"/>
    </row>
    <row r="233" spans="2:3" s="4" customFormat="1" ht="15" customHeight="1" x14ac:dyDescent="0.3">
      <c r="B233" s="2"/>
      <c r="C233" s="2"/>
    </row>
    <row r="234" spans="2:3" s="4" customFormat="1" ht="15" customHeight="1" x14ac:dyDescent="0.3">
      <c r="B234" s="2"/>
      <c r="C234" s="2"/>
    </row>
    <row r="235" spans="2:3" s="4" customFormat="1" ht="15" customHeight="1" x14ac:dyDescent="0.3">
      <c r="B235" s="2"/>
      <c r="C235" s="2"/>
    </row>
    <row r="236" spans="2:3" s="4" customFormat="1" ht="15" customHeight="1" x14ac:dyDescent="0.3">
      <c r="B236" s="2"/>
      <c r="C236" s="2"/>
    </row>
    <row r="237" spans="2:3" s="4" customFormat="1" ht="15" customHeight="1" x14ac:dyDescent="0.3">
      <c r="B237" s="2"/>
      <c r="C237" s="2"/>
    </row>
    <row r="238" spans="2:3" s="4" customFormat="1" ht="15" customHeight="1" x14ac:dyDescent="0.3">
      <c r="B238" s="2"/>
      <c r="C238" s="2"/>
    </row>
    <row r="239" spans="2:3" s="4" customFormat="1" ht="15" customHeight="1" x14ac:dyDescent="0.3">
      <c r="B239" s="2"/>
      <c r="C239" s="2"/>
    </row>
    <row r="240" spans="2:3" s="4" customFormat="1" ht="15" customHeight="1" x14ac:dyDescent="0.3">
      <c r="B240" s="2"/>
      <c r="C240" s="2"/>
    </row>
    <row r="241" spans="2:5" s="4" customFormat="1" ht="15" customHeight="1" x14ac:dyDescent="0.3">
      <c r="B241" s="2"/>
      <c r="C241" s="2"/>
    </row>
    <row r="242" spans="2:5" s="4" customFormat="1" ht="15" customHeight="1" x14ac:dyDescent="0.3">
      <c r="B242" s="2"/>
      <c r="C242" s="2"/>
    </row>
    <row r="243" spans="2:5" s="4" customFormat="1" ht="15" customHeight="1" x14ac:dyDescent="0.3">
      <c r="B243" s="2"/>
      <c r="C243" s="2"/>
    </row>
    <row r="244" spans="2:5" s="4" customFormat="1" ht="15" customHeight="1" x14ac:dyDescent="0.3">
      <c r="B244" s="2"/>
      <c r="C244" s="2"/>
    </row>
    <row r="245" spans="2:5" s="4" customFormat="1" ht="15" customHeight="1" x14ac:dyDescent="0.3">
      <c r="B245" s="2"/>
      <c r="C245" s="2"/>
    </row>
    <row r="246" spans="2:5" s="4" customFormat="1" ht="15" customHeight="1" x14ac:dyDescent="0.3">
      <c r="B246" s="2"/>
      <c r="C246" s="2"/>
      <c r="D246" s="58"/>
      <c r="E246" s="3"/>
    </row>
    <row r="247" spans="2:5" s="4" customFormat="1" ht="15" customHeight="1" x14ac:dyDescent="0.3">
      <c r="B247" s="2"/>
      <c r="C247" s="2"/>
      <c r="D247" s="58"/>
      <c r="E247" s="3"/>
    </row>
    <row r="248" spans="2:5" s="4" customFormat="1" ht="15" customHeight="1" x14ac:dyDescent="0.3">
      <c r="B248" s="2"/>
      <c r="C248" s="2"/>
      <c r="D248" s="58"/>
      <c r="E248" s="3"/>
    </row>
    <row r="249" spans="2:5" s="4" customFormat="1" ht="15" customHeight="1" x14ac:dyDescent="0.3">
      <c r="B249" s="2"/>
      <c r="C249" s="2"/>
      <c r="D249" s="58"/>
      <c r="E249" s="3"/>
    </row>
    <row r="250" spans="2:5" s="4" customFormat="1" ht="15" customHeight="1" x14ac:dyDescent="0.3">
      <c r="B250" s="2"/>
      <c r="C250" s="2"/>
      <c r="D250" s="58"/>
      <c r="E250" s="3"/>
    </row>
    <row r="251" spans="2:5" s="4" customFormat="1" ht="15" customHeight="1" x14ac:dyDescent="0.3">
      <c r="B251" s="2"/>
      <c r="C251" s="2"/>
      <c r="D251" s="58"/>
      <c r="E251" s="3"/>
    </row>
    <row r="252" spans="2:5" s="4" customFormat="1" ht="15" customHeight="1" x14ac:dyDescent="0.3">
      <c r="B252" s="2"/>
      <c r="C252" s="2"/>
      <c r="D252" s="58"/>
      <c r="E252" s="3"/>
    </row>
    <row r="253" spans="2:5" s="4" customFormat="1" ht="15" customHeight="1" x14ac:dyDescent="0.3">
      <c r="B253" s="2"/>
      <c r="C253" s="2"/>
      <c r="D253" s="58"/>
      <c r="E253" s="3"/>
    </row>
    <row r="254" spans="2:5" s="4" customFormat="1" ht="15" customHeight="1" x14ac:dyDescent="0.3">
      <c r="B254" s="2"/>
      <c r="C254" s="2"/>
      <c r="D254" s="58"/>
      <c r="E254" s="3"/>
    </row>
    <row r="255" spans="2:5" s="4" customFormat="1" ht="15" customHeight="1" x14ac:dyDescent="0.3">
      <c r="B255" s="2"/>
      <c r="C255" s="2"/>
      <c r="D255" s="58"/>
      <c r="E255" s="3"/>
    </row>
    <row r="256" spans="2:5" s="4" customFormat="1" ht="15" customHeight="1" x14ac:dyDescent="0.3">
      <c r="B256" s="2"/>
      <c r="C256" s="2"/>
      <c r="D256" s="58"/>
      <c r="E256" s="3"/>
    </row>
    <row r="257" spans="2:5" s="4" customFormat="1" ht="15" customHeight="1" x14ac:dyDescent="0.3">
      <c r="B257" s="2"/>
      <c r="C257" s="2"/>
      <c r="D257" s="58"/>
      <c r="E257" s="3"/>
    </row>
    <row r="258" spans="2:5" s="4" customFormat="1" ht="15" customHeight="1" x14ac:dyDescent="0.3">
      <c r="B258" s="2"/>
      <c r="C258" s="2"/>
      <c r="D258" s="58"/>
      <c r="E258" s="3"/>
    </row>
    <row r="259" spans="2:5" x14ac:dyDescent="0.3"/>
  </sheetData>
  <mergeCells count="2">
    <mergeCell ref="B6:D6"/>
    <mergeCell ref="B4:D4"/>
  </mergeCells>
  <phoneticPr fontId="1" type="noConversion"/>
  <dataValidations count="2">
    <dataValidation type="list" allowBlank="1" showInputMessage="1" showErrorMessage="1" sqref="E4">
      <formula1>Months</formula1>
    </dataValidation>
    <dataValidation type="decimal" allowBlank="1" showInputMessage="1" showErrorMessage="1" sqref="E6">
      <formula1>2008</formula1>
      <formula2>2100</formula2>
    </dataValidation>
  </dataValidations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M304"/>
  <sheetViews>
    <sheetView showGridLines="0" tabSelected="1" view="pageLayout" zoomScale="90" zoomScaleNormal="100" zoomScalePageLayoutView="90" workbookViewId="0">
      <selection activeCell="P2" sqref="P2"/>
    </sheetView>
  </sheetViews>
  <sheetFormatPr defaultColWidth="3.33203125" defaultRowHeight="15.6" x14ac:dyDescent="0.3"/>
  <cols>
    <col min="1" max="1" width="4.6640625" style="33" customWidth="1"/>
    <col min="2" max="2" width="15.6640625" style="51" customWidth="1"/>
    <col min="3" max="3" width="2.5546875" style="51" customWidth="1"/>
    <col min="4" max="4" width="4.6640625" style="33" customWidth="1"/>
    <col min="5" max="5" width="15.6640625" style="51" customWidth="1"/>
    <col min="6" max="6" width="2.5546875" style="51" customWidth="1"/>
    <col min="7" max="7" width="4.6640625" style="33" customWidth="1"/>
    <col min="8" max="8" width="15.6640625" style="51" customWidth="1"/>
    <col min="9" max="9" width="2.5546875" style="51" customWidth="1"/>
    <col min="10" max="10" width="4.6640625" style="33" customWidth="1"/>
    <col min="11" max="11" width="15.6640625" style="51" customWidth="1"/>
    <col min="12" max="12" width="2.5546875" style="51" customWidth="1"/>
    <col min="13" max="13" width="4.6640625" style="33" customWidth="1"/>
    <col min="14" max="14" width="15.6640625" style="51" customWidth="1"/>
    <col min="15" max="15" width="2.5546875" style="51" customWidth="1"/>
    <col min="16" max="16" width="4.6640625" style="33" customWidth="1"/>
    <col min="17" max="17" width="15.6640625" style="51" customWidth="1"/>
    <col min="18" max="18" width="2.5546875" style="51" customWidth="1"/>
    <col min="19" max="19" width="4.6640625" style="33" customWidth="1"/>
    <col min="20" max="20" width="15.6640625" style="51" customWidth="1"/>
    <col min="21" max="21" width="2.5546875" style="51" customWidth="1"/>
    <col min="22" max="26" width="8.77734375" style="31" customWidth="1"/>
    <col min="27" max="28" width="2.21875" style="31" customWidth="1"/>
    <col min="29" max="29" width="2.77734375" style="32" customWidth="1"/>
    <col min="30" max="30" width="4.77734375" style="33" customWidth="1"/>
    <col min="31" max="37" width="4.77734375" style="38" customWidth="1"/>
    <col min="38" max="38" width="2.77734375" style="33" customWidth="1"/>
    <col min="39" max="261" width="9.21875" style="33" customWidth="1"/>
    <col min="262" max="16384" width="3.33203125" style="33"/>
  </cols>
  <sheetData>
    <row r="2" spans="1:39" s="63" customFormat="1" ht="33.450000000000003" customHeight="1" x14ac:dyDescent="0.7">
      <c r="A2" s="80" t="str">
        <f>"MONTHLY SCHEDULE - "&amp;UPPER(TEXT(DATE(P30,S30,M15),"mmmm yyyy"))</f>
        <v>MONTHLY SCHEDULE - JANUARY 2021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61"/>
      <c r="W2" s="61"/>
      <c r="X2" s="61"/>
      <c r="Y2" s="61"/>
      <c r="Z2" s="61"/>
      <c r="AA2" s="61"/>
      <c r="AB2" s="61"/>
      <c r="AC2" s="62"/>
      <c r="AE2" s="64"/>
      <c r="AF2" s="64"/>
      <c r="AG2" s="64"/>
      <c r="AH2" s="64"/>
      <c r="AI2" s="64"/>
      <c r="AJ2" s="64"/>
      <c r="AK2" s="64"/>
    </row>
    <row r="3" spans="1:39" ht="17.100000000000001" customHeight="1" x14ac:dyDescent="0.3">
      <c r="AE3" s="34"/>
      <c r="AF3" s="34"/>
      <c r="AG3" s="34"/>
      <c r="AH3" s="34"/>
      <c r="AI3" s="34"/>
      <c r="AJ3" s="34"/>
      <c r="AK3" s="34"/>
    </row>
    <row r="4" spans="1:39" s="35" customFormat="1" ht="30" customHeight="1" x14ac:dyDescent="0.25">
      <c r="A4" s="100" t="s">
        <v>17</v>
      </c>
      <c r="B4" s="100"/>
      <c r="C4" s="78"/>
      <c r="D4" s="100" t="s">
        <v>18</v>
      </c>
      <c r="E4" s="100"/>
      <c r="F4" s="78"/>
      <c r="G4" s="100" t="s">
        <v>19</v>
      </c>
      <c r="H4" s="100"/>
      <c r="I4" s="78"/>
      <c r="J4" s="100" t="s">
        <v>20</v>
      </c>
      <c r="K4" s="100"/>
      <c r="L4" s="78"/>
      <c r="M4" s="100" t="s">
        <v>21</v>
      </c>
      <c r="N4" s="100"/>
      <c r="O4" s="79"/>
      <c r="P4" s="99" t="s">
        <v>22</v>
      </c>
      <c r="Q4" s="99"/>
      <c r="R4" s="79"/>
      <c r="S4" s="99" t="s">
        <v>16</v>
      </c>
      <c r="T4" s="99"/>
      <c r="U4" s="79"/>
      <c r="V4" s="36"/>
      <c r="W4" s="36"/>
      <c r="X4" s="36"/>
      <c r="Y4" s="36"/>
      <c r="Z4" s="36"/>
      <c r="AA4" s="36"/>
      <c r="AB4" s="36"/>
      <c r="AC4" s="37"/>
    </row>
    <row r="5" spans="1:39" s="5" customFormat="1" ht="15" customHeight="1" x14ac:dyDescent="0.25">
      <c r="A5" s="45" t="str">
        <f>IF(WEEKDAY(DATE($P$30,$S$30,1),2)=1,1,"")</f>
        <v/>
      </c>
      <c r="B5" s="73" t="str">
        <f>IF(A5&lt;&gt;"",IF(ISNA(VLOOKUP(DATE($P$30,$S$30,A5),Setup!$L$5:$M$24,2,FALSE)),IF(ISNA(VLOOKUP(DATE($P$30,$S$30,A5),Setup!$H$5:$I$24,2,FALSE)),"",VLOOKUP(DATE($P$30,$S$30,A5),Setup!$H$5:$I$24,2,FALSE)),VLOOKUP(DATE($P$30,$S$30,A5),Setup!$L$5:$M$24,2,FALSE)),"")</f>
        <v/>
      </c>
      <c r="C5" s="52"/>
      <c r="D5" s="45" t="str">
        <f>IF(A5&lt;&gt;"",A5+1,IF(WEEKDAY(DATE($P$30,$S$30,1),2)=2,1,""))</f>
        <v/>
      </c>
      <c r="E5" s="73" t="str">
        <f>IF(D5&lt;&gt;"",IF(ISNA(VLOOKUP(DATE($P$30,$S$30,D5),Setup!$L$5:$M$24,2,FALSE)),IF(ISNA(VLOOKUP(DATE($P$30,$S$30,D5),Setup!$H$5:$I$24,2,FALSE)),"",VLOOKUP(DATE($P$30,$S$30,D5),Setup!$H$5:$I$24,2,FALSE)),VLOOKUP(DATE($P$30,$S$30,D5),Setup!$L$5:$M$24,2,FALSE)),"")</f>
        <v/>
      </c>
      <c r="F5" s="52"/>
      <c r="G5" s="45" t="str">
        <f>IF(D5&lt;&gt;"",D5+1,IF(WEEKDAY(DATE($P$30,$S$30,1),2)=3,1,""))</f>
        <v/>
      </c>
      <c r="H5" s="73" t="str">
        <f>IF(G5&lt;&gt;"",IF(ISNA(VLOOKUP(DATE($P$30,$S$30,G5),Setup!$L$5:$M$24,2,FALSE)),IF(ISNA(VLOOKUP(DATE($P$30,$S$30,G5),Setup!$H$5:$I$24,2,FALSE)),"",VLOOKUP(DATE($P$30,$S$30,G5),Setup!$H$5:$I$24,2,FALSE)),VLOOKUP(DATE($P$30,$S$30,G5),Setup!$L$5:$M$24,2,FALSE)),"")</f>
        <v/>
      </c>
      <c r="I5" s="52"/>
      <c r="J5" s="45" t="str">
        <f>IF(G5&lt;&gt;"",G5+1,IF(WEEKDAY(DATE($P$30,$S$30,1),2)=4,1,""))</f>
        <v/>
      </c>
      <c r="K5" s="73" t="str">
        <f>IF(J5&lt;&gt;"",IF(ISNA(VLOOKUP(DATE($P$30,$S$30,J5),Setup!$L$5:$M$24,2,FALSE)),IF(ISNA(VLOOKUP(DATE($P$30,$S$30,J5),Setup!$H$5:$I$24,2,FALSE)),"",VLOOKUP(DATE($P$30,$S$30,J5),Setup!$H$5:$I$24,2,FALSE)),VLOOKUP(DATE($P$30,$S$30,J5),Setup!$L$5:$M$24,2,FALSE)),"")</f>
        <v/>
      </c>
      <c r="L5" s="52"/>
      <c r="M5" s="45">
        <f>IF(J5&lt;&gt;"",J5+1,IF(WEEKDAY(DATE($P$30,$S$30,1),2)=5,1,""))</f>
        <v>1</v>
      </c>
      <c r="N5" s="73" t="str">
        <f>IF(M5&lt;&gt;"",IF(ISNA(VLOOKUP(DATE($P$30,$S$30,M5),Setup!$L$5:$M$24,2,FALSE)),IF(ISNA(VLOOKUP(DATE($P$30,$S$30,M5),Setup!$H$5:$I$24,2,FALSE)),"",VLOOKUP(DATE($P$30,$S$30,M5),Setup!$H$5:$I$24,2,FALSE)),VLOOKUP(DATE($P$30,$S$30,M5),Setup!$L$5:$M$24,2,FALSE)),"")</f>
        <v>New Year’s Day</v>
      </c>
      <c r="O5" s="52"/>
      <c r="P5" s="45">
        <f>IF(M5&lt;&gt;"",M5+1,IF(WEEKDAY(DATE($P$30,$S$30,1),2)=6,1,""))</f>
        <v>2</v>
      </c>
      <c r="Q5" s="73" t="str">
        <f>IF(P5&lt;&gt;"",IF(ISNA(VLOOKUP(DATE($P$30,$S$30,P5),Setup!$L$5:$M$24,2,FALSE)),IF(ISNA(VLOOKUP(DATE($P$30,$S$30,P5),Setup!$H$5:$I$24,2,FALSE)),"",VLOOKUP(DATE($P$30,$S$30,P5),Setup!$H$5:$I$24,2,FALSE)),VLOOKUP(DATE($P$30,$S$30,P5),Setup!$L$5:$M$24,2,FALSE)),"")</f>
        <v>Company Birthday</v>
      </c>
      <c r="R5" s="52"/>
      <c r="S5" s="45">
        <f>IF(P5&lt;&gt;"",P5+1,IF(WEEKDAY(DATE($P$30,$S$30,1),2)=7,1,""))</f>
        <v>3</v>
      </c>
      <c r="T5" s="73" t="str">
        <f>IF(S5&lt;&gt;"",IF(ISNA(VLOOKUP(DATE($P$30,$S$30,S5),Setup!$L$5:$M$24,2,FALSE)),IF(ISNA(VLOOKUP(DATE($P$30,$S$30,S5),Setup!$H$5:$I$24,2,FALSE)),"",VLOOKUP(DATE($P$30,$S$30,S5),Setup!$H$5:$I$24,2,FALSE)),VLOOKUP(DATE($P$30,$S$30,S5),Setup!$L$5:$M$24,2,FALSE)),"")</f>
        <v/>
      </c>
      <c r="U5" s="52"/>
      <c r="V5" s="46"/>
      <c r="W5" s="46"/>
      <c r="X5" s="46"/>
      <c r="Y5" s="46"/>
      <c r="Z5" s="46"/>
      <c r="AA5" s="47"/>
      <c r="AB5" s="47"/>
      <c r="AC5" s="44"/>
    </row>
    <row r="6" spans="1:39" s="48" customFormat="1" ht="15" customHeight="1" x14ac:dyDescent="0.25">
      <c r="A6" s="65"/>
      <c r="B6" s="67"/>
      <c r="C6" s="74"/>
      <c r="D6" s="65"/>
      <c r="E6" s="67"/>
      <c r="F6" s="74"/>
      <c r="G6" s="65"/>
      <c r="H6" s="67"/>
      <c r="I6" s="74"/>
      <c r="J6" s="65"/>
      <c r="K6" s="67"/>
      <c r="L6" s="74"/>
      <c r="M6" s="65"/>
      <c r="N6" s="67"/>
      <c r="O6" s="74"/>
      <c r="P6" s="65"/>
      <c r="Q6" s="67"/>
      <c r="R6" s="74"/>
      <c r="S6" s="65"/>
      <c r="T6" s="67"/>
      <c r="U6" s="74"/>
      <c r="AM6" s="50"/>
    </row>
    <row r="7" spans="1:39" s="48" customFormat="1" ht="15" customHeight="1" x14ac:dyDescent="0.25">
      <c r="A7" s="65"/>
      <c r="B7" s="67"/>
      <c r="C7" s="74"/>
      <c r="D7" s="65"/>
      <c r="E7" s="67"/>
      <c r="F7" s="74"/>
      <c r="G7" s="65"/>
      <c r="H7" s="67"/>
      <c r="I7" s="74"/>
      <c r="J7" s="65"/>
      <c r="K7" s="67"/>
      <c r="L7" s="74"/>
      <c r="M7" s="65"/>
      <c r="N7" s="67"/>
      <c r="O7" s="74"/>
      <c r="P7" s="65"/>
      <c r="Q7" s="67"/>
      <c r="R7" s="74"/>
      <c r="S7" s="65"/>
      <c r="T7" s="67"/>
      <c r="U7" s="74"/>
      <c r="AM7" s="50"/>
    </row>
    <row r="8" spans="1:39" s="48" customFormat="1" ht="15" customHeight="1" x14ac:dyDescent="0.25">
      <c r="A8" s="65"/>
      <c r="B8" s="67"/>
      <c r="C8" s="74"/>
      <c r="D8" s="65"/>
      <c r="E8" s="67"/>
      <c r="F8" s="74"/>
      <c r="G8" s="65"/>
      <c r="H8" s="67"/>
      <c r="I8" s="74"/>
      <c r="J8" s="65"/>
      <c r="K8" s="67"/>
      <c r="L8" s="74"/>
      <c r="M8" s="65"/>
      <c r="N8" s="67"/>
      <c r="O8" s="74"/>
      <c r="P8" s="65"/>
      <c r="Q8" s="67"/>
      <c r="R8" s="74"/>
      <c r="S8" s="65"/>
      <c r="T8" s="67"/>
      <c r="U8" s="74"/>
      <c r="AM8" s="50"/>
    </row>
    <row r="9" spans="1:39" s="48" customFormat="1" ht="15" customHeight="1" x14ac:dyDescent="0.25">
      <c r="A9" s="66"/>
      <c r="B9" s="72"/>
      <c r="C9" s="75"/>
      <c r="D9" s="66"/>
      <c r="E9" s="72"/>
      <c r="F9" s="75"/>
      <c r="G9" s="66"/>
      <c r="H9" s="72"/>
      <c r="I9" s="75"/>
      <c r="J9" s="66"/>
      <c r="K9" s="72"/>
      <c r="L9" s="75"/>
      <c r="M9" s="66"/>
      <c r="N9" s="72"/>
      <c r="O9" s="75"/>
      <c r="P9" s="66"/>
      <c r="Q9" s="72"/>
      <c r="R9" s="75"/>
      <c r="S9" s="66"/>
      <c r="T9" s="72"/>
      <c r="U9" s="75"/>
      <c r="AM9" s="50"/>
    </row>
    <row r="10" spans="1:39" s="5" customFormat="1" ht="15" customHeight="1" x14ac:dyDescent="0.25">
      <c r="A10" s="45">
        <f>S5+1</f>
        <v>4</v>
      </c>
      <c r="B10" s="73" t="str">
        <f>IF(A10&lt;&gt;"",IF(ISNA(VLOOKUP(DATE($P$30,$S$30,A10),Setup!$L$5:$M$24,2,FALSE)),IF(ISNA(VLOOKUP(DATE($P$30,$S$30,A10),Setup!$H$5:$I$24,2,FALSE)),"",VLOOKUP(DATE($P$30,$S$30,A10),Setup!$H$5:$I$24,2,FALSE)),VLOOKUP(DATE($P$30,$S$30,A10),Setup!$L$5:$M$24,2,FALSE)),"")</f>
        <v/>
      </c>
      <c r="C10" s="52"/>
      <c r="D10" s="45">
        <f>A10+1</f>
        <v>5</v>
      </c>
      <c r="E10" s="73" t="str">
        <f>IF(D10&lt;&gt;"",IF(ISNA(VLOOKUP(DATE($P$30,$S$30,D10),Setup!$L$5:$M$24,2,FALSE)),IF(ISNA(VLOOKUP(DATE($P$30,$S$30,D10),Setup!$H$5:$I$24,2,FALSE)),"",VLOOKUP(DATE($P$30,$S$30,D10),Setup!$H$5:$I$24,2,FALSE)),VLOOKUP(DATE($P$30,$S$30,D10),Setup!$L$5:$M$24,2,FALSE)),"")</f>
        <v/>
      </c>
      <c r="F10" s="52"/>
      <c r="G10" s="45">
        <f>D10+1</f>
        <v>6</v>
      </c>
      <c r="H10" s="73" t="str">
        <f>IF(G10&lt;&gt;"",IF(ISNA(VLOOKUP(DATE($P$30,$S$30,G10),Setup!$L$5:$M$24,2,FALSE)),IF(ISNA(VLOOKUP(DATE($P$30,$S$30,G10),Setup!$H$5:$I$24,2,FALSE)),"",VLOOKUP(DATE($P$30,$S$30,G10),Setup!$H$5:$I$24,2,FALSE)),VLOOKUP(DATE($P$30,$S$30,G10),Setup!$L$5:$M$24,2,FALSE)),"")</f>
        <v/>
      </c>
      <c r="I10" s="52"/>
      <c r="J10" s="45">
        <f>G10+1</f>
        <v>7</v>
      </c>
      <c r="K10" s="73" t="str">
        <f>IF(J10&lt;&gt;"",IF(ISNA(VLOOKUP(DATE($P$30,$S$30,J10),Setup!$L$5:$M$24,2,FALSE)),IF(ISNA(VLOOKUP(DATE($P$30,$S$30,J10),Setup!$H$5:$I$24,2,FALSE)),"",VLOOKUP(DATE($P$30,$S$30,J10),Setup!$H$5:$I$24,2,FALSE)),VLOOKUP(DATE($P$30,$S$30,J10),Setup!$L$5:$M$24,2,FALSE)),"")</f>
        <v/>
      </c>
      <c r="L10" s="52"/>
      <c r="M10" s="45">
        <f>J10+1</f>
        <v>8</v>
      </c>
      <c r="N10" s="73" t="str">
        <f>IF(M10&lt;&gt;"",IF(ISNA(VLOOKUP(DATE($P$30,$S$30,M10),Setup!$L$5:$M$24,2,FALSE)),IF(ISNA(VLOOKUP(DATE($P$30,$S$30,M10),Setup!$H$5:$I$24,2,FALSE)),"",VLOOKUP(DATE($P$30,$S$30,M10),Setup!$H$5:$I$24,2,FALSE)),VLOOKUP(DATE($P$30,$S$30,M10),Setup!$L$5:$M$24,2,FALSE)),"")</f>
        <v/>
      </c>
      <c r="O10" s="52"/>
      <c r="P10" s="45">
        <f>M10+1</f>
        <v>9</v>
      </c>
      <c r="Q10" s="73" t="str">
        <f>IF(P10&lt;&gt;"",IF(ISNA(VLOOKUP(DATE($P$30,$S$30,P10),Setup!$L$5:$M$24,2,FALSE)),IF(ISNA(VLOOKUP(DATE($P$30,$S$30,P10),Setup!$H$5:$I$24,2,FALSE)),"",VLOOKUP(DATE($P$30,$S$30,P10),Setup!$H$5:$I$24,2,FALSE)),VLOOKUP(DATE($P$30,$S$30,P10),Setup!$L$5:$M$24,2,FALSE)),"")</f>
        <v/>
      </c>
      <c r="R10" s="52"/>
      <c r="S10" s="45">
        <f>P10+1</f>
        <v>10</v>
      </c>
      <c r="T10" s="73" t="str">
        <f>IF(S10&lt;&gt;"",IF(ISNA(VLOOKUP(DATE($P$30,$S$30,S10),Setup!$L$5:$M$24,2,FALSE)),IF(ISNA(VLOOKUP(DATE($P$30,$S$30,S10),Setup!$H$5:$I$24,2,FALSE)),"",VLOOKUP(DATE($P$30,$S$30,S10),Setup!$H$5:$I$24,2,FALSE)),VLOOKUP(DATE($P$30,$S$30,S10),Setup!$L$5:$M$24,2,FALSE)),"")</f>
        <v/>
      </c>
      <c r="U10" s="52"/>
      <c r="AC10" s="44"/>
      <c r="AM10" s="43"/>
    </row>
    <row r="11" spans="1:39" s="48" customFormat="1" ht="15" customHeight="1" x14ac:dyDescent="0.25">
      <c r="A11" s="65"/>
      <c r="B11" s="67"/>
      <c r="C11" s="74"/>
      <c r="D11" s="65"/>
      <c r="E11" s="67"/>
      <c r="F11" s="74"/>
      <c r="G11" s="65"/>
      <c r="H11" s="67"/>
      <c r="I11" s="74"/>
      <c r="J11" s="65"/>
      <c r="K11" s="67"/>
      <c r="L11" s="74"/>
      <c r="M11" s="65"/>
      <c r="N11" s="67"/>
      <c r="O11" s="74"/>
      <c r="P11" s="65"/>
      <c r="Q11" s="67"/>
      <c r="R11" s="74"/>
      <c r="S11" s="65"/>
      <c r="T11" s="67"/>
      <c r="U11" s="74"/>
      <c r="AC11" s="49"/>
      <c r="AM11" s="50"/>
    </row>
    <row r="12" spans="1:39" s="48" customFormat="1" ht="15" customHeight="1" x14ac:dyDescent="0.25">
      <c r="A12" s="65"/>
      <c r="B12" s="67"/>
      <c r="C12" s="74"/>
      <c r="D12" s="65"/>
      <c r="E12" s="67"/>
      <c r="F12" s="74"/>
      <c r="G12" s="65"/>
      <c r="H12" s="67"/>
      <c r="I12" s="74"/>
      <c r="J12" s="65"/>
      <c r="K12" s="67"/>
      <c r="L12" s="74"/>
      <c r="M12" s="65"/>
      <c r="N12" s="67"/>
      <c r="O12" s="74"/>
      <c r="P12" s="65"/>
      <c r="Q12" s="67"/>
      <c r="R12" s="74"/>
      <c r="S12" s="65"/>
      <c r="T12" s="67"/>
      <c r="U12" s="74"/>
      <c r="AC12" s="49"/>
      <c r="AM12" s="50"/>
    </row>
    <row r="13" spans="1:39" s="48" customFormat="1" ht="15" customHeight="1" x14ac:dyDescent="0.25">
      <c r="A13" s="65"/>
      <c r="B13" s="67"/>
      <c r="C13" s="74"/>
      <c r="D13" s="65"/>
      <c r="E13" s="67"/>
      <c r="F13" s="74"/>
      <c r="G13" s="65"/>
      <c r="H13" s="67"/>
      <c r="I13" s="74"/>
      <c r="J13" s="65"/>
      <c r="K13" s="67"/>
      <c r="L13" s="74"/>
      <c r="M13" s="65"/>
      <c r="N13" s="67"/>
      <c r="O13" s="74"/>
      <c r="P13" s="65"/>
      <c r="Q13" s="67"/>
      <c r="R13" s="74"/>
      <c r="S13" s="65"/>
      <c r="T13" s="67"/>
      <c r="U13" s="74"/>
      <c r="AC13" s="49"/>
      <c r="AM13" s="50"/>
    </row>
    <row r="14" spans="1:39" s="48" customFormat="1" ht="15" customHeight="1" x14ac:dyDescent="0.25">
      <c r="A14" s="66"/>
      <c r="B14" s="72"/>
      <c r="C14" s="75"/>
      <c r="D14" s="66"/>
      <c r="E14" s="72"/>
      <c r="F14" s="75"/>
      <c r="G14" s="66"/>
      <c r="H14" s="72"/>
      <c r="I14" s="75"/>
      <c r="J14" s="66"/>
      <c r="K14" s="72"/>
      <c r="L14" s="75"/>
      <c r="M14" s="66"/>
      <c r="N14" s="72"/>
      <c r="O14" s="75"/>
      <c r="P14" s="66"/>
      <c r="Q14" s="72"/>
      <c r="R14" s="75"/>
      <c r="S14" s="66"/>
      <c r="T14" s="72"/>
      <c r="U14" s="75"/>
      <c r="AC14" s="49"/>
      <c r="AM14" s="50"/>
    </row>
    <row r="15" spans="1:39" s="5" customFormat="1" ht="15" customHeight="1" x14ac:dyDescent="0.25">
      <c r="A15" s="45">
        <f>S10+1</f>
        <v>11</v>
      </c>
      <c r="B15" s="73" t="str">
        <f>IF(A15&lt;&gt;"",IF(ISNA(VLOOKUP(DATE($P$30,$S$30,A15),Setup!$L$5:$M$24,2,FALSE)),IF(ISNA(VLOOKUP(DATE($P$30,$S$30,A15),Setup!$H$5:$I$24,2,FALSE)),"",VLOOKUP(DATE($P$30,$S$30,A15),Setup!$H$5:$I$24,2,FALSE)),VLOOKUP(DATE($P$30,$S$30,A15),Setup!$L$5:$M$24,2,FALSE)),"")</f>
        <v/>
      </c>
      <c r="C15" s="52"/>
      <c r="D15" s="45">
        <f>A15+1</f>
        <v>12</v>
      </c>
      <c r="E15" s="73" t="str">
        <f>IF(D15&lt;&gt;"",IF(ISNA(VLOOKUP(DATE($P$30,$S$30,D15),Setup!$L$5:$M$24,2,FALSE)),IF(ISNA(VLOOKUP(DATE($P$30,$S$30,D15),Setup!$H$5:$I$24,2,FALSE)),"",VLOOKUP(DATE($P$30,$S$30,D15),Setup!$H$5:$I$24,2,FALSE)),VLOOKUP(DATE($P$30,$S$30,D15),Setup!$L$5:$M$24,2,FALSE)),"")</f>
        <v/>
      </c>
      <c r="F15" s="52"/>
      <c r="G15" s="45">
        <f>D15+1</f>
        <v>13</v>
      </c>
      <c r="H15" s="73" t="str">
        <f>IF(G15&lt;&gt;"",IF(ISNA(VLOOKUP(DATE($P$30,$S$30,G15),Setup!$L$5:$M$24,2,FALSE)),IF(ISNA(VLOOKUP(DATE($P$30,$S$30,G15),Setup!$H$5:$I$24,2,FALSE)),"",VLOOKUP(DATE($P$30,$S$30,G15),Setup!$H$5:$I$24,2,FALSE)),VLOOKUP(DATE($P$30,$S$30,G15),Setup!$L$5:$M$24,2,FALSE)),"")</f>
        <v/>
      </c>
      <c r="I15" s="52"/>
      <c r="J15" s="45">
        <f>G15+1</f>
        <v>14</v>
      </c>
      <c r="K15" s="73" t="str">
        <f>IF(J15&lt;&gt;"",IF(ISNA(VLOOKUP(DATE($P$30,$S$30,J15),Setup!$L$5:$M$24,2,FALSE)),IF(ISNA(VLOOKUP(DATE($P$30,$S$30,J15),Setup!$H$5:$I$24,2,FALSE)),"",VLOOKUP(DATE($P$30,$S$30,J15),Setup!$H$5:$I$24,2,FALSE)),VLOOKUP(DATE($P$30,$S$30,J15),Setup!$L$5:$M$24,2,FALSE)),"")</f>
        <v/>
      </c>
      <c r="L15" s="52"/>
      <c r="M15" s="45">
        <f>J15+1</f>
        <v>15</v>
      </c>
      <c r="N15" s="73" t="str">
        <f>IF(M15&lt;&gt;"",IF(ISNA(VLOOKUP(DATE($P$30,$S$30,M15),Setup!$L$5:$M$24,2,FALSE)),IF(ISNA(VLOOKUP(DATE($P$30,$S$30,M15),Setup!$H$5:$I$24,2,FALSE)),"",VLOOKUP(DATE($P$30,$S$30,M15),Setup!$H$5:$I$24,2,FALSE)),VLOOKUP(DATE($P$30,$S$30,M15),Setup!$L$5:$M$24,2,FALSE)),"")</f>
        <v/>
      </c>
      <c r="O15" s="52"/>
      <c r="P15" s="45">
        <f>M15+1</f>
        <v>16</v>
      </c>
      <c r="Q15" s="73" t="str">
        <f>IF(P15&lt;&gt;"",IF(ISNA(VLOOKUP(DATE($P$30,$S$30,P15),Setup!$L$5:$M$24,2,FALSE)),IF(ISNA(VLOOKUP(DATE($P$30,$S$30,P15),Setup!$H$5:$I$24,2,FALSE)),"",VLOOKUP(DATE($P$30,$S$30,P15),Setup!$H$5:$I$24,2,FALSE)),VLOOKUP(DATE($P$30,$S$30,P15),Setup!$L$5:$M$24,2,FALSE)),"")</f>
        <v/>
      </c>
      <c r="R15" s="52"/>
      <c r="S15" s="45">
        <f>P15+1</f>
        <v>17</v>
      </c>
      <c r="T15" s="73" t="str">
        <f>IF(S15&lt;&gt;"",IF(ISNA(VLOOKUP(DATE($P$30,$S$30,S15),Setup!$L$5:$M$24,2,FALSE)),IF(ISNA(VLOOKUP(DATE($P$30,$S$30,S15),Setup!$H$5:$I$24,2,FALSE)),"",VLOOKUP(DATE($P$30,$S$30,S15),Setup!$H$5:$I$24,2,FALSE)),VLOOKUP(DATE($P$30,$S$30,S15),Setup!$L$5:$M$24,2,FALSE)),"")</f>
        <v/>
      </c>
      <c r="U15" s="52"/>
      <c r="AC15" s="44"/>
      <c r="AM15" s="43"/>
    </row>
    <row r="16" spans="1:39" s="48" customFormat="1" ht="15" customHeight="1" x14ac:dyDescent="0.25">
      <c r="A16" s="65"/>
      <c r="B16" s="67"/>
      <c r="C16" s="74"/>
      <c r="D16" s="65"/>
      <c r="E16" s="67"/>
      <c r="F16" s="74"/>
      <c r="G16" s="65"/>
      <c r="H16" s="67"/>
      <c r="I16" s="74"/>
      <c r="J16" s="65"/>
      <c r="K16" s="67"/>
      <c r="L16" s="74"/>
      <c r="M16" s="65"/>
      <c r="N16" s="67"/>
      <c r="O16" s="74"/>
      <c r="P16" s="65"/>
      <c r="Q16" s="67"/>
      <c r="R16" s="74"/>
      <c r="S16" s="65"/>
      <c r="T16" s="67"/>
      <c r="U16" s="74"/>
      <c r="AC16" s="49"/>
      <c r="AM16" s="50"/>
    </row>
    <row r="17" spans="1:39" s="48" customFormat="1" ht="15" customHeight="1" x14ac:dyDescent="0.25">
      <c r="A17" s="65"/>
      <c r="B17" s="67"/>
      <c r="C17" s="74"/>
      <c r="D17" s="65"/>
      <c r="E17" s="67"/>
      <c r="F17" s="74"/>
      <c r="G17" s="65"/>
      <c r="H17" s="67"/>
      <c r="I17" s="74"/>
      <c r="J17" s="65"/>
      <c r="K17" s="67"/>
      <c r="L17" s="74"/>
      <c r="M17" s="65"/>
      <c r="N17" s="67"/>
      <c r="O17" s="74"/>
      <c r="P17" s="65"/>
      <c r="Q17" s="67"/>
      <c r="R17" s="74"/>
      <c r="S17" s="65"/>
      <c r="T17" s="67"/>
      <c r="U17" s="74"/>
      <c r="AC17" s="49"/>
      <c r="AM17" s="50"/>
    </row>
    <row r="18" spans="1:39" s="48" customFormat="1" ht="15" customHeight="1" x14ac:dyDescent="0.25">
      <c r="A18" s="65"/>
      <c r="B18" s="67"/>
      <c r="C18" s="74"/>
      <c r="D18" s="65"/>
      <c r="E18" s="67"/>
      <c r="F18" s="74"/>
      <c r="G18" s="65"/>
      <c r="H18" s="67"/>
      <c r="I18" s="74"/>
      <c r="J18" s="65"/>
      <c r="K18" s="67"/>
      <c r="L18" s="74"/>
      <c r="M18" s="65"/>
      <c r="N18" s="67"/>
      <c r="O18" s="74"/>
      <c r="P18" s="65"/>
      <c r="Q18" s="67"/>
      <c r="R18" s="74"/>
      <c r="S18" s="65"/>
      <c r="T18" s="67"/>
      <c r="U18" s="74"/>
      <c r="AC18" s="49"/>
      <c r="AM18" s="50"/>
    </row>
    <row r="19" spans="1:39" s="48" customFormat="1" ht="15" customHeight="1" x14ac:dyDescent="0.25">
      <c r="A19" s="66"/>
      <c r="B19" s="72"/>
      <c r="C19" s="75"/>
      <c r="D19" s="66"/>
      <c r="E19" s="72"/>
      <c r="F19" s="75"/>
      <c r="G19" s="66"/>
      <c r="H19" s="72"/>
      <c r="I19" s="75"/>
      <c r="J19" s="66"/>
      <c r="K19" s="72"/>
      <c r="L19" s="75"/>
      <c r="M19" s="66"/>
      <c r="N19" s="72"/>
      <c r="O19" s="75"/>
      <c r="P19" s="66"/>
      <c r="Q19" s="72"/>
      <c r="R19" s="75"/>
      <c r="S19" s="66"/>
      <c r="T19" s="72"/>
      <c r="U19" s="75"/>
      <c r="AC19" s="49"/>
      <c r="AM19" s="50"/>
    </row>
    <row r="20" spans="1:39" s="5" customFormat="1" ht="15" customHeight="1" x14ac:dyDescent="0.25">
      <c r="A20" s="45">
        <f>S15+1</f>
        <v>18</v>
      </c>
      <c r="B20" s="73" t="str">
        <f>IF(A20&lt;&gt;"",IF(ISNA(VLOOKUP(DATE($P$30,$S$30,A20),Setup!$L$5:$M$24,2,FALSE)),IF(ISNA(VLOOKUP(DATE($P$30,$S$30,A20),Setup!$H$5:$I$24,2,FALSE)),"",VLOOKUP(DATE($P$30,$S$30,A20),Setup!$H$5:$I$24,2,FALSE)),VLOOKUP(DATE($P$30,$S$30,A20),Setup!$L$5:$M$24,2,FALSE)),"")</f>
        <v>Martin Luther King, Jr. Day</v>
      </c>
      <c r="C20" s="52"/>
      <c r="D20" s="45">
        <f>A20+1</f>
        <v>19</v>
      </c>
      <c r="E20" s="73" t="str">
        <f>IF(D20&lt;&gt;"",IF(ISNA(VLOOKUP(DATE($P$30,$S$30,D20),Setup!$L$5:$M$24,2,FALSE)),IF(ISNA(VLOOKUP(DATE($P$30,$S$30,D20),Setup!$H$5:$I$24,2,FALSE)),"",VLOOKUP(DATE($P$30,$S$30,D20),Setup!$H$5:$I$24,2,FALSE)),VLOOKUP(DATE($P$30,$S$30,D20),Setup!$L$5:$M$24,2,FALSE)),"")</f>
        <v/>
      </c>
      <c r="F20" s="52"/>
      <c r="G20" s="45">
        <f>D20+1</f>
        <v>20</v>
      </c>
      <c r="H20" s="73" t="str">
        <f>IF(G20&lt;&gt;"",IF(ISNA(VLOOKUP(DATE($P$30,$S$30,G20),Setup!$L$5:$M$24,2,FALSE)),IF(ISNA(VLOOKUP(DATE($P$30,$S$30,G20),Setup!$H$5:$I$24,2,FALSE)),"",VLOOKUP(DATE($P$30,$S$30,G20),Setup!$H$5:$I$24,2,FALSE)),VLOOKUP(DATE($P$30,$S$30,G20),Setup!$L$5:$M$24,2,FALSE)),"")</f>
        <v/>
      </c>
      <c r="I20" s="52"/>
      <c r="J20" s="45">
        <f>G20+1</f>
        <v>21</v>
      </c>
      <c r="K20" s="73" t="str">
        <f>IF(J20&lt;&gt;"",IF(ISNA(VLOOKUP(DATE($P$30,$S$30,J20),Setup!$L$5:$M$24,2,FALSE)),IF(ISNA(VLOOKUP(DATE($P$30,$S$30,J20),Setup!$H$5:$I$24,2,FALSE)),"",VLOOKUP(DATE($P$30,$S$30,J20),Setup!$H$5:$I$24,2,FALSE)),VLOOKUP(DATE($P$30,$S$30,J20),Setup!$L$5:$M$24,2,FALSE)),"")</f>
        <v/>
      </c>
      <c r="L20" s="52"/>
      <c r="M20" s="45">
        <f>J20+1</f>
        <v>22</v>
      </c>
      <c r="N20" s="73" t="str">
        <f>IF(M20&lt;&gt;"",IF(ISNA(VLOOKUP(DATE($P$30,$S$30,M20),Setup!$L$5:$M$24,2,FALSE)),IF(ISNA(VLOOKUP(DATE($P$30,$S$30,M20),Setup!$H$5:$I$24,2,FALSE)),"",VLOOKUP(DATE($P$30,$S$30,M20),Setup!$H$5:$I$24,2,FALSE)),VLOOKUP(DATE($P$30,$S$30,M20),Setup!$L$5:$M$24,2,FALSE)),"")</f>
        <v/>
      </c>
      <c r="O20" s="52"/>
      <c r="P20" s="45">
        <f>M20+1</f>
        <v>23</v>
      </c>
      <c r="Q20" s="73" t="str">
        <f>IF(P20&lt;&gt;"",IF(ISNA(VLOOKUP(DATE($P$30,$S$30,P20),Setup!$L$5:$M$24,2,FALSE)),IF(ISNA(VLOOKUP(DATE($P$30,$S$30,P20),Setup!$H$5:$I$24,2,FALSE)),"",VLOOKUP(DATE($P$30,$S$30,P20),Setup!$H$5:$I$24,2,FALSE)),VLOOKUP(DATE($P$30,$S$30,P20),Setup!$L$5:$M$24,2,FALSE)),"")</f>
        <v/>
      </c>
      <c r="R20" s="52"/>
      <c r="S20" s="45">
        <f>P20+1</f>
        <v>24</v>
      </c>
      <c r="T20" s="73" t="str">
        <f>IF(S20&lt;&gt;"",IF(ISNA(VLOOKUP(DATE($P$30,$S$30,S20),Setup!$L$5:$M$24,2,FALSE)),IF(ISNA(VLOOKUP(DATE($P$30,$S$30,S20),Setup!$H$5:$I$24,2,FALSE)),"",VLOOKUP(DATE($P$30,$S$30,S20),Setup!$H$5:$I$24,2,FALSE)),VLOOKUP(DATE($P$30,$S$30,S20),Setup!$L$5:$M$24,2,FALSE)),"")</f>
        <v/>
      </c>
      <c r="U20" s="52"/>
      <c r="AC20" s="44"/>
      <c r="AM20" s="43"/>
    </row>
    <row r="21" spans="1:39" s="48" customFormat="1" ht="15" customHeight="1" x14ac:dyDescent="0.25">
      <c r="A21" s="65"/>
      <c r="B21" s="67"/>
      <c r="C21" s="74"/>
      <c r="D21" s="65"/>
      <c r="E21" s="67"/>
      <c r="F21" s="74"/>
      <c r="G21" s="65"/>
      <c r="H21" s="67"/>
      <c r="I21" s="74"/>
      <c r="J21" s="65"/>
      <c r="K21" s="67"/>
      <c r="L21" s="74"/>
      <c r="M21" s="65"/>
      <c r="N21" s="67"/>
      <c r="O21" s="74"/>
      <c r="P21" s="65"/>
      <c r="Q21" s="67"/>
      <c r="R21" s="74"/>
      <c r="S21" s="65"/>
      <c r="T21" s="67"/>
      <c r="U21" s="74"/>
      <c r="AC21" s="49"/>
    </row>
    <row r="22" spans="1:39" s="48" customFormat="1" ht="15" customHeight="1" x14ac:dyDescent="0.25">
      <c r="A22" s="65"/>
      <c r="B22" s="67"/>
      <c r="C22" s="74"/>
      <c r="D22" s="65"/>
      <c r="E22" s="67"/>
      <c r="F22" s="74"/>
      <c r="G22" s="65"/>
      <c r="H22" s="67"/>
      <c r="I22" s="74"/>
      <c r="J22" s="65"/>
      <c r="K22" s="67"/>
      <c r="L22" s="74"/>
      <c r="M22" s="65"/>
      <c r="N22" s="67"/>
      <c r="O22" s="74"/>
      <c r="P22" s="65"/>
      <c r="Q22" s="67"/>
      <c r="R22" s="74"/>
      <c r="S22" s="65"/>
      <c r="T22" s="67"/>
      <c r="U22" s="74"/>
      <c r="AC22" s="49"/>
    </row>
    <row r="23" spans="1:39" s="48" customFormat="1" ht="15" customHeight="1" x14ac:dyDescent="0.25">
      <c r="A23" s="65"/>
      <c r="B23" s="67"/>
      <c r="C23" s="74"/>
      <c r="D23" s="65"/>
      <c r="E23" s="67"/>
      <c r="F23" s="74"/>
      <c r="G23" s="65"/>
      <c r="H23" s="67"/>
      <c r="I23" s="74"/>
      <c r="J23" s="65"/>
      <c r="K23" s="67"/>
      <c r="L23" s="74"/>
      <c r="M23" s="65"/>
      <c r="N23" s="67"/>
      <c r="O23" s="74"/>
      <c r="P23" s="65"/>
      <c r="Q23" s="67"/>
      <c r="R23" s="74"/>
      <c r="S23" s="65"/>
      <c r="T23" s="67"/>
      <c r="U23" s="74"/>
      <c r="AC23" s="49"/>
    </row>
    <row r="24" spans="1:39" s="48" customFormat="1" ht="15" customHeight="1" x14ac:dyDescent="0.25">
      <c r="A24" s="66"/>
      <c r="B24" s="72"/>
      <c r="C24" s="75"/>
      <c r="D24" s="66"/>
      <c r="E24" s="72"/>
      <c r="F24" s="75"/>
      <c r="G24" s="66"/>
      <c r="H24" s="72"/>
      <c r="I24" s="75"/>
      <c r="J24" s="66"/>
      <c r="K24" s="72"/>
      <c r="L24" s="75"/>
      <c r="M24" s="66"/>
      <c r="N24" s="72"/>
      <c r="O24" s="75"/>
      <c r="P24" s="66"/>
      <c r="Q24" s="72"/>
      <c r="R24" s="75"/>
      <c r="S24" s="66"/>
      <c r="T24" s="72"/>
      <c r="U24" s="75"/>
      <c r="AC24" s="49"/>
    </row>
    <row r="25" spans="1:39" s="5" customFormat="1" ht="15" customHeight="1" x14ac:dyDescent="0.25">
      <c r="A25" s="45">
        <f>IF(S20&lt;&gt;"",IF(DAY(EOMONTH(DATE($P$30,$S$30,1),0))=S20,"",S20+1),"")</f>
        <v>25</v>
      </c>
      <c r="B25" s="73" t="str">
        <f>IF(A25&lt;&gt;"",IF(ISNA(VLOOKUP(DATE($P$30,$S$30,A25),Setup!$L$5:$M$24,2,FALSE)),IF(ISNA(VLOOKUP(DATE($P$30,$S$30,A25),Setup!$H$5:$I$24,2,FALSE)),"",VLOOKUP(DATE($P$30,$S$30,A25),Setup!$H$5:$I$24,2,FALSE)),VLOOKUP(DATE($P$30,$S$30,A25),Setup!$L$5:$M$24,2,FALSE)),"")</f>
        <v/>
      </c>
      <c r="C25" s="52"/>
      <c r="D25" s="45">
        <f>IF(A25&lt;&gt;"",IF(DAY(EOMONTH(DATE($P$30,$S$30,1),0))=A25,"",A25+1),"")</f>
        <v>26</v>
      </c>
      <c r="E25" s="73" t="str">
        <f>IF(D25&lt;&gt;"",IF(ISNA(VLOOKUP(DATE($P$30,$S$30,D25),Setup!$L$5:$M$24,2,FALSE)),IF(ISNA(VLOOKUP(DATE($P$30,$S$30,D25),Setup!$H$5:$I$24,2,FALSE)),"",VLOOKUP(DATE($P$30,$S$30,D25),Setup!$H$5:$I$24,2,FALSE)),VLOOKUP(DATE($P$30,$S$30,D25),Setup!$L$5:$M$24,2,FALSE)),"")</f>
        <v/>
      </c>
      <c r="F25" s="52"/>
      <c r="G25" s="45">
        <f>IF(D25&lt;&gt;"",IF(DAY(EOMONTH(DATE($P$30,$S$30,1),0))=D25,"",D25+1),"")</f>
        <v>27</v>
      </c>
      <c r="H25" s="73" t="str">
        <f>IF(G25&lt;&gt;"",IF(ISNA(VLOOKUP(DATE($P$30,$S$30,G25),Setup!$L$5:$M$24,2,FALSE)),IF(ISNA(VLOOKUP(DATE($P$30,$S$30,G25),Setup!$H$5:$I$24,2,FALSE)),"",VLOOKUP(DATE($P$30,$S$30,G25),Setup!$H$5:$I$24,2,FALSE)),VLOOKUP(DATE($P$30,$S$30,G25),Setup!$L$5:$M$24,2,FALSE)),"")</f>
        <v/>
      </c>
      <c r="I25" s="52"/>
      <c r="J25" s="45">
        <f>IF(G25&lt;&gt;"",IF(DAY(EOMONTH(DATE($P$30,$S$30,1),0))=G25,"",G25+1),"")</f>
        <v>28</v>
      </c>
      <c r="K25" s="73" t="str">
        <f>IF(J25&lt;&gt;"",IF(ISNA(VLOOKUP(DATE($P$30,$S$30,J25),Setup!$L$5:$M$24,2,FALSE)),IF(ISNA(VLOOKUP(DATE($P$30,$S$30,J25),Setup!$H$5:$I$24,2,FALSE)),"",VLOOKUP(DATE($P$30,$S$30,J25),Setup!$H$5:$I$24,2,FALSE)),VLOOKUP(DATE($P$30,$S$30,J25),Setup!$L$5:$M$24,2,FALSE)),"")</f>
        <v/>
      </c>
      <c r="L25" s="52"/>
      <c r="M25" s="45">
        <f>IF(J25&lt;&gt;"",IF(DAY(EOMONTH(DATE($P$30,$S$30,1),0))=J25,"",J25+1),"")</f>
        <v>29</v>
      </c>
      <c r="N25" s="73" t="str">
        <f>IF(M25&lt;&gt;"",IF(ISNA(VLOOKUP(DATE($P$30,$S$30,M25),Setup!$L$5:$M$24,2,FALSE)),IF(ISNA(VLOOKUP(DATE($P$30,$S$30,M25),Setup!$H$5:$I$24,2,FALSE)),"",VLOOKUP(DATE($P$30,$S$30,M25),Setup!$H$5:$I$24,2,FALSE)),VLOOKUP(DATE($P$30,$S$30,M25),Setup!$L$5:$M$24,2,FALSE)),"")</f>
        <v/>
      </c>
      <c r="O25" s="52"/>
      <c r="P25" s="45">
        <f>IF(M25&lt;&gt;"",IF(DAY(EOMONTH(DATE($P$30,$S$30,1),0))=M25,"",M25+1),"")</f>
        <v>30</v>
      </c>
      <c r="Q25" s="73" t="str">
        <f>IF(P25&lt;&gt;"",IF(ISNA(VLOOKUP(DATE($P$30,$S$30,P25),Setup!$L$5:$M$24,2,FALSE)),IF(ISNA(VLOOKUP(DATE($P$30,$S$30,P25),Setup!$H$5:$I$24,2,FALSE)),"",VLOOKUP(DATE($P$30,$S$30,P25),Setup!$H$5:$I$24,2,FALSE)),VLOOKUP(DATE($P$30,$S$30,P25),Setup!$L$5:$M$24,2,FALSE)),"")</f>
        <v/>
      </c>
      <c r="R25" s="52"/>
      <c r="S25" s="45">
        <f>IF(P25&lt;&gt;"",IF(DAY(EOMONTH(DATE($P$30,$S$30,1),0))=P25,"",P25+1),"")</f>
        <v>31</v>
      </c>
      <c r="T25" s="73" t="str">
        <f>IF(S25&lt;&gt;"",IF(ISNA(VLOOKUP(DATE($P$30,$S$30,S25),Setup!$L$5:$M$24,2,FALSE)),IF(ISNA(VLOOKUP(DATE($P$30,$S$30,S25),Setup!$H$5:$I$24,2,FALSE)),"",VLOOKUP(DATE($P$30,$S$30,S25),Setup!$H$5:$I$24,2,FALSE)),VLOOKUP(DATE($P$30,$S$30,S25),Setup!$L$5:$M$24,2,FALSE)),"")</f>
        <v/>
      </c>
      <c r="U25" s="52"/>
      <c r="AC25" s="44"/>
    </row>
    <row r="26" spans="1:39" s="48" customFormat="1" ht="15" customHeight="1" x14ac:dyDescent="0.25">
      <c r="A26" s="65"/>
      <c r="B26" s="67"/>
      <c r="C26" s="74"/>
      <c r="D26" s="65"/>
      <c r="E26" s="67"/>
      <c r="F26" s="74"/>
      <c r="G26" s="65"/>
      <c r="H26" s="67"/>
      <c r="I26" s="74"/>
      <c r="J26" s="65"/>
      <c r="K26" s="67"/>
      <c r="L26" s="74"/>
      <c r="M26" s="65"/>
      <c r="N26" s="67"/>
      <c r="O26" s="74"/>
      <c r="P26" s="65"/>
      <c r="Q26" s="67"/>
      <c r="R26" s="74"/>
      <c r="S26" s="65"/>
      <c r="T26" s="67"/>
      <c r="U26" s="74"/>
      <c r="AC26" s="49"/>
    </row>
    <row r="27" spans="1:39" s="48" customFormat="1" ht="15" customHeight="1" x14ac:dyDescent="0.25">
      <c r="A27" s="65"/>
      <c r="B27" s="67"/>
      <c r="C27" s="74"/>
      <c r="D27" s="65"/>
      <c r="E27" s="67"/>
      <c r="F27" s="74"/>
      <c r="G27" s="65"/>
      <c r="H27" s="67"/>
      <c r="I27" s="74"/>
      <c r="J27" s="65"/>
      <c r="K27" s="67"/>
      <c r="L27" s="74"/>
      <c r="M27" s="65"/>
      <c r="N27" s="67"/>
      <c r="O27" s="74"/>
      <c r="P27" s="65"/>
      <c r="Q27" s="67"/>
      <c r="R27" s="74"/>
      <c r="S27" s="65"/>
      <c r="T27" s="67"/>
      <c r="U27" s="74"/>
      <c r="AC27" s="49"/>
    </row>
    <row r="28" spans="1:39" s="48" customFormat="1" ht="15" customHeight="1" x14ac:dyDescent="0.25">
      <c r="A28" s="65"/>
      <c r="B28" s="67"/>
      <c r="C28" s="74"/>
      <c r="D28" s="65"/>
      <c r="E28" s="67"/>
      <c r="F28" s="74"/>
      <c r="G28" s="65"/>
      <c r="H28" s="67"/>
      <c r="I28" s="74"/>
      <c r="J28" s="65"/>
      <c r="K28" s="67"/>
      <c r="L28" s="74"/>
      <c r="M28" s="65"/>
      <c r="N28" s="67"/>
      <c r="O28" s="74"/>
      <c r="P28" s="65"/>
      <c r="Q28" s="67"/>
      <c r="R28" s="74"/>
      <c r="S28" s="65"/>
      <c r="T28" s="67"/>
      <c r="U28" s="74"/>
      <c r="AC28" s="49"/>
    </row>
    <row r="29" spans="1:39" s="48" customFormat="1" ht="15" customHeight="1" x14ac:dyDescent="0.25">
      <c r="A29" s="66"/>
      <c r="B29" s="72"/>
      <c r="C29" s="75"/>
      <c r="D29" s="66"/>
      <c r="E29" s="72"/>
      <c r="F29" s="75"/>
      <c r="G29" s="65"/>
      <c r="H29" s="67"/>
      <c r="I29" s="74"/>
      <c r="J29" s="65"/>
      <c r="K29" s="67"/>
      <c r="L29" s="74"/>
      <c r="M29" s="65"/>
      <c r="N29" s="67"/>
      <c r="O29" s="74"/>
      <c r="P29" s="65"/>
      <c r="Q29" s="67"/>
      <c r="R29" s="74"/>
      <c r="S29" s="65"/>
      <c r="T29" s="67"/>
      <c r="U29" s="74"/>
      <c r="AC29" s="49"/>
    </row>
    <row r="30" spans="1:39" s="5" customFormat="1" ht="15" customHeight="1" x14ac:dyDescent="0.25">
      <c r="A30" s="45" t="str">
        <f>IF(S25&lt;&gt;"",IF(DAY(EOMONTH(DATE($P$30,$S$30,1),0))=S25,"",S25+1),"")</f>
        <v/>
      </c>
      <c r="B30" s="73" t="str">
        <f>IF(A30&lt;&gt;"",IF(ISNA(VLOOKUP(DATE($P$30,$S$30,A30),Setup!$L$5:$M$24,2,FALSE)),IF(ISNA(VLOOKUP(DATE($P$30,$S$30,A30),Setup!$H$5:$I$24,2,FALSE)),"",VLOOKUP(DATE($P$30,$S$30,A30),Setup!$H$5:$I$24,2,FALSE)),VLOOKUP(DATE($P$30,$S$30,A30),Setup!$L$5:$M$24,2,FALSE)),"")</f>
        <v/>
      </c>
      <c r="C30" s="52"/>
      <c r="D30" s="45" t="str">
        <f>IF(A30&lt;&gt;"",IF(DAY(EOMONTH(DATE($P$30,$S$30,1),0))=A30,"",A30+1),"")</f>
        <v/>
      </c>
      <c r="E30" s="73" t="str">
        <f>IF(D30&lt;&gt;"",IF(ISNA(VLOOKUP(DATE($P$30,$S$30,D30),Setup!$L$5:$M$24,2,FALSE)),IF(ISNA(VLOOKUP(DATE($P$30,$S$30,D30),Setup!$H$5:$I$24,2,FALSE)),"",VLOOKUP(DATE($P$30,$S$30,D30),Setup!$H$5:$I$24,2,FALSE)),VLOOKUP(DATE($P$30,$S$30,D30),Setup!$L$5:$M$24,2,FALSE)),"")</f>
        <v/>
      </c>
      <c r="F30" s="52"/>
      <c r="G30" s="90" t="s">
        <v>23</v>
      </c>
      <c r="H30" s="91"/>
      <c r="I30" s="91"/>
      <c r="J30" s="84"/>
      <c r="K30" s="85"/>
      <c r="L30" s="85"/>
      <c r="M30" s="86"/>
      <c r="N30" s="85"/>
      <c r="O30" s="85"/>
      <c r="P30" s="84">
        <f>IF(S32+S31&gt;24,P32+2,IF(S32+S31&gt;12,P32+1,P32))</f>
        <v>2021</v>
      </c>
      <c r="Q30" s="85"/>
      <c r="R30" s="85"/>
      <c r="S30" s="84">
        <f>IF(S32+S31&gt;24,S32+S31-24,IF(S32+S31&gt;12,S32+S31-12,S32+S31))</f>
        <v>1</v>
      </c>
      <c r="T30" s="85"/>
      <c r="U30" s="85"/>
      <c r="AC30" s="44"/>
    </row>
    <row r="31" spans="1:39" s="48" customFormat="1" ht="15" customHeight="1" x14ac:dyDescent="0.25">
      <c r="A31" s="65"/>
      <c r="B31" s="67"/>
      <c r="C31" s="74"/>
      <c r="D31" s="65"/>
      <c r="E31" s="67"/>
      <c r="F31" s="81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8">
        <v>0</v>
      </c>
      <c r="T31" s="87"/>
      <c r="U31" s="87"/>
      <c r="AC31" s="49"/>
    </row>
    <row r="32" spans="1:39" s="48" customFormat="1" ht="15" customHeight="1" x14ac:dyDescent="0.25">
      <c r="A32" s="65"/>
      <c r="B32" s="67"/>
      <c r="C32" s="74"/>
      <c r="D32" s="65"/>
      <c r="E32" s="67"/>
      <c r="F32" s="81"/>
      <c r="G32" s="68" t="s">
        <v>45</v>
      </c>
      <c r="H32" s="69" t="s">
        <v>42</v>
      </c>
      <c r="I32" s="83"/>
      <c r="J32" s="87"/>
      <c r="K32" s="87"/>
      <c r="L32" s="87"/>
      <c r="M32" s="87"/>
      <c r="N32" s="87"/>
      <c r="O32" s="87"/>
      <c r="P32" s="87">
        <f>Setup!E6</f>
        <v>2021</v>
      </c>
      <c r="Q32" s="87"/>
      <c r="R32" s="87"/>
      <c r="S32" s="87">
        <f>INDEX(MonthRef,MATCH(StartMonth,Months,0),0)</f>
        <v>1</v>
      </c>
      <c r="T32" s="87"/>
      <c r="U32" s="87"/>
      <c r="AC32" s="49"/>
    </row>
    <row r="33" spans="1:37" s="48" customFormat="1" ht="15" customHeight="1" x14ac:dyDescent="0.25">
      <c r="A33" s="65"/>
      <c r="B33" s="67"/>
      <c r="C33" s="74"/>
      <c r="D33" s="65"/>
      <c r="E33" s="67"/>
      <c r="F33" s="81"/>
      <c r="G33" s="70" t="s">
        <v>46</v>
      </c>
      <c r="H33" s="71" t="s">
        <v>43</v>
      </c>
      <c r="I33" s="83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AC33" s="49"/>
    </row>
    <row r="34" spans="1:37" s="48" customFormat="1" ht="15" customHeight="1" x14ac:dyDescent="0.25">
      <c r="A34" s="66"/>
      <c r="B34" s="72"/>
      <c r="C34" s="75"/>
      <c r="D34" s="66"/>
      <c r="E34" s="72"/>
      <c r="F34" s="82"/>
      <c r="G34" s="76" t="s">
        <v>47</v>
      </c>
      <c r="H34" s="77" t="s">
        <v>44</v>
      </c>
      <c r="I34" s="83"/>
      <c r="J34" s="87"/>
      <c r="K34" s="87"/>
      <c r="L34" s="87"/>
      <c r="M34" s="87"/>
      <c r="N34" s="87"/>
      <c r="O34" s="87"/>
      <c r="P34" s="89"/>
      <c r="Q34" s="87"/>
      <c r="R34" s="87"/>
      <c r="S34" s="87"/>
      <c r="T34" s="87"/>
      <c r="U34" s="87"/>
      <c r="AC34" s="49"/>
    </row>
    <row r="35" spans="1:37" ht="19.5" customHeight="1" x14ac:dyDescent="0.3">
      <c r="A35" s="54"/>
    </row>
    <row r="36" spans="1:37" s="41" customFormat="1" ht="30" customHeight="1" x14ac:dyDescent="0.3">
      <c r="A36" s="54" t="s">
        <v>51</v>
      </c>
      <c r="B36" s="53"/>
      <c r="C36" s="53"/>
      <c r="E36" s="53"/>
      <c r="F36" s="53"/>
      <c r="H36" s="53"/>
      <c r="I36" s="53"/>
      <c r="K36" s="53"/>
      <c r="L36" s="53"/>
      <c r="N36" s="53"/>
      <c r="O36" s="53"/>
      <c r="Q36" s="53"/>
      <c r="R36" s="53"/>
      <c r="T36" s="53"/>
      <c r="U36" s="53"/>
      <c r="V36" s="39"/>
      <c r="W36" s="39"/>
      <c r="X36" s="39"/>
      <c r="Y36" s="39"/>
      <c r="Z36" s="39"/>
      <c r="AA36" s="39"/>
      <c r="AB36" s="39"/>
      <c r="AC36" s="40"/>
      <c r="AE36" s="42"/>
      <c r="AF36" s="42"/>
      <c r="AG36" s="42"/>
      <c r="AH36" s="42"/>
      <c r="AI36" s="42"/>
      <c r="AJ36" s="42"/>
      <c r="AK36" s="42"/>
    </row>
    <row r="37" spans="1:37" s="41" customFormat="1" ht="30" customHeight="1" x14ac:dyDescent="0.3">
      <c r="B37" s="53"/>
      <c r="C37" s="53"/>
      <c r="E37" s="53"/>
      <c r="F37" s="53"/>
      <c r="H37" s="53"/>
      <c r="I37" s="53"/>
      <c r="K37" s="53"/>
      <c r="L37" s="53"/>
      <c r="N37" s="53"/>
      <c r="O37" s="53"/>
      <c r="Q37" s="53"/>
      <c r="R37" s="53"/>
      <c r="T37" s="53"/>
      <c r="U37" s="53"/>
      <c r="V37" s="39"/>
      <c r="W37" s="39"/>
      <c r="X37" s="39"/>
      <c r="Y37" s="39"/>
      <c r="Z37" s="39"/>
      <c r="AA37" s="39"/>
      <c r="AB37" s="39"/>
      <c r="AC37" s="40"/>
      <c r="AE37" s="42"/>
      <c r="AF37" s="42"/>
      <c r="AG37" s="42"/>
      <c r="AH37" s="42"/>
      <c r="AI37" s="42"/>
      <c r="AJ37" s="42"/>
      <c r="AK37" s="42"/>
    </row>
    <row r="38" spans="1:37" s="41" customFormat="1" ht="30" customHeight="1" x14ac:dyDescent="0.3">
      <c r="B38" s="53"/>
      <c r="C38" s="53"/>
      <c r="E38" s="53"/>
      <c r="F38" s="53"/>
      <c r="H38" s="53"/>
      <c r="I38" s="53"/>
      <c r="K38" s="53"/>
      <c r="L38" s="53"/>
      <c r="N38" s="53"/>
      <c r="O38" s="53"/>
      <c r="Q38" s="53"/>
      <c r="R38" s="53"/>
      <c r="T38" s="53"/>
      <c r="U38" s="53"/>
      <c r="V38" s="39"/>
      <c r="W38" s="39"/>
      <c r="X38" s="39"/>
      <c r="Y38" s="39"/>
      <c r="Z38" s="39"/>
      <c r="AA38" s="39"/>
      <c r="AB38" s="39"/>
      <c r="AC38" s="40"/>
      <c r="AE38" s="42"/>
      <c r="AF38" s="42"/>
      <c r="AG38" s="42"/>
      <c r="AH38" s="42"/>
      <c r="AI38" s="42"/>
      <c r="AJ38" s="42"/>
      <c r="AK38" s="42"/>
    </row>
    <row r="39" spans="1:37" s="41" customFormat="1" ht="30" customHeight="1" x14ac:dyDescent="0.3">
      <c r="B39" s="53"/>
      <c r="C39" s="53"/>
      <c r="E39" s="53"/>
      <c r="F39" s="53"/>
      <c r="H39" s="53"/>
      <c r="I39" s="53"/>
      <c r="K39" s="53"/>
      <c r="L39" s="53"/>
      <c r="N39" s="53"/>
      <c r="O39" s="53"/>
      <c r="Q39" s="53"/>
      <c r="R39" s="53"/>
      <c r="T39" s="53"/>
      <c r="U39" s="53"/>
      <c r="V39" s="39"/>
      <c r="W39" s="39"/>
      <c r="X39" s="39"/>
      <c r="Y39" s="39"/>
      <c r="Z39" s="39"/>
      <c r="AA39" s="39"/>
      <c r="AB39" s="39"/>
      <c r="AC39" s="40"/>
      <c r="AE39" s="42"/>
      <c r="AF39" s="42"/>
      <c r="AG39" s="42"/>
      <c r="AH39" s="42"/>
      <c r="AI39" s="42"/>
      <c r="AJ39" s="42"/>
      <c r="AK39" s="42"/>
    </row>
    <row r="40" spans="1:37" s="41" customFormat="1" ht="30" customHeight="1" x14ac:dyDescent="0.3">
      <c r="B40" s="53"/>
      <c r="C40" s="53"/>
      <c r="E40" s="53"/>
      <c r="F40" s="53"/>
      <c r="H40" s="53"/>
      <c r="I40" s="53"/>
      <c r="K40" s="53"/>
      <c r="L40" s="53"/>
      <c r="N40" s="53"/>
      <c r="O40" s="53"/>
      <c r="Q40" s="53"/>
      <c r="R40" s="53"/>
      <c r="T40" s="53"/>
      <c r="U40" s="53"/>
      <c r="V40" s="39"/>
      <c r="W40" s="39"/>
      <c r="X40" s="39"/>
      <c r="Y40" s="39"/>
      <c r="Z40" s="39"/>
      <c r="AA40" s="39"/>
      <c r="AB40" s="39"/>
      <c r="AC40" s="40"/>
      <c r="AE40" s="42"/>
      <c r="AF40" s="42"/>
      <c r="AG40" s="42"/>
      <c r="AH40" s="42"/>
      <c r="AI40" s="42"/>
      <c r="AJ40" s="42"/>
      <c r="AK40" s="42"/>
    </row>
    <row r="41" spans="1:37" s="41" customFormat="1" ht="30" customHeight="1" x14ac:dyDescent="0.3">
      <c r="B41" s="53"/>
      <c r="C41" s="53"/>
      <c r="E41" s="53"/>
      <c r="F41" s="53"/>
      <c r="H41" s="53"/>
      <c r="I41" s="53"/>
      <c r="K41" s="53"/>
      <c r="L41" s="53"/>
      <c r="N41" s="53"/>
      <c r="O41" s="53"/>
      <c r="Q41" s="53"/>
      <c r="R41" s="53"/>
      <c r="T41" s="53"/>
      <c r="U41" s="53"/>
      <c r="V41" s="39"/>
      <c r="W41" s="39"/>
      <c r="X41" s="39"/>
      <c r="Y41" s="39"/>
      <c r="Z41" s="39"/>
      <c r="AA41" s="39"/>
      <c r="AB41" s="39"/>
      <c r="AC41" s="40"/>
      <c r="AE41" s="42"/>
      <c r="AF41" s="42"/>
      <c r="AG41" s="42"/>
      <c r="AH41" s="42"/>
      <c r="AI41" s="42"/>
      <c r="AJ41" s="42"/>
      <c r="AK41" s="42"/>
    </row>
    <row r="42" spans="1:37" s="41" customFormat="1" ht="30" customHeight="1" x14ac:dyDescent="0.3">
      <c r="B42" s="53"/>
      <c r="C42" s="53"/>
      <c r="E42" s="53"/>
      <c r="F42" s="53"/>
      <c r="H42" s="53"/>
      <c r="I42" s="53"/>
      <c r="K42" s="53"/>
      <c r="L42" s="53"/>
      <c r="N42" s="53"/>
      <c r="O42" s="53"/>
      <c r="Q42" s="53"/>
      <c r="R42" s="53"/>
      <c r="T42" s="53"/>
      <c r="U42" s="53"/>
      <c r="V42" s="39"/>
      <c r="W42" s="39"/>
      <c r="X42" s="39"/>
      <c r="Y42" s="39"/>
      <c r="Z42" s="39"/>
      <c r="AA42" s="39"/>
      <c r="AB42" s="39"/>
      <c r="AC42" s="40"/>
      <c r="AE42" s="42"/>
      <c r="AF42" s="42"/>
      <c r="AG42" s="42"/>
      <c r="AH42" s="42"/>
      <c r="AI42" s="42"/>
      <c r="AJ42" s="42"/>
      <c r="AK42" s="42"/>
    </row>
    <row r="43" spans="1:37" s="41" customFormat="1" ht="17.100000000000001" customHeight="1" x14ac:dyDescent="0.3">
      <c r="B43" s="53"/>
      <c r="C43" s="53"/>
      <c r="E43" s="53"/>
      <c r="F43" s="53"/>
      <c r="H43" s="53"/>
      <c r="I43" s="53"/>
      <c r="K43" s="53"/>
      <c r="L43" s="53"/>
      <c r="N43" s="53"/>
      <c r="O43" s="53"/>
      <c r="Q43" s="53"/>
      <c r="R43" s="53"/>
      <c r="T43" s="53"/>
      <c r="U43" s="53"/>
      <c r="V43" s="39"/>
      <c r="W43" s="39"/>
      <c r="X43" s="39"/>
      <c r="Y43" s="39"/>
      <c r="Z43" s="39"/>
      <c r="AA43" s="39"/>
      <c r="AB43" s="39"/>
      <c r="AC43" s="40"/>
      <c r="AE43" s="42"/>
      <c r="AF43" s="42"/>
      <c r="AG43" s="42"/>
      <c r="AH43" s="42"/>
      <c r="AI43" s="42"/>
      <c r="AJ43" s="42"/>
      <c r="AK43" s="42"/>
    </row>
    <row r="44" spans="1:37" ht="17.100000000000001" customHeight="1" x14ac:dyDescent="0.3"/>
    <row r="45" spans="1:37" ht="17.100000000000001" customHeight="1" x14ac:dyDescent="0.3"/>
    <row r="46" spans="1:37" ht="17.100000000000001" customHeight="1" x14ac:dyDescent="0.3"/>
    <row r="47" spans="1:37" ht="17.100000000000001" customHeight="1" x14ac:dyDescent="0.3"/>
    <row r="48" spans="1:37" ht="17.100000000000001" customHeight="1" x14ac:dyDescent="0.3"/>
    <row r="49" ht="17.100000000000001" customHeight="1" x14ac:dyDescent="0.3"/>
    <row r="50" ht="17.100000000000001" customHeight="1" x14ac:dyDescent="0.3"/>
    <row r="51" ht="17.100000000000001" customHeight="1" x14ac:dyDescent="0.3"/>
    <row r="52" ht="17.100000000000001" customHeight="1" x14ac:dyDescent="0.3"/>
    <row r="53" ht="17.100000000000001" customHeight="1" x14ac:dyDescent="0.3"/>
    <row r="54" ht="17.100000000000001" customHeight="1" x14ac:dyDescent="0.3"/>
    <row r="55" ht="17.100000000000001" customHeight="1" x14ac:dyDescent="0.3"/>
    <row r="56" ht="17.100000000000001" customHeight="1" x14ac:dyDescent="0.3"/>
    <row r="57" ht="17.100000000000001" customHeight="1" x14ac:dyDescent="0.3"/>
    <row r="58" ht="17.100000000000001" customHeight="1" x14ac:dyDescent="0.3"/>
    <row r="59" ht="17.100000000000001" customHeight="1" x14ac:dyDescent="0.3"/>
    <row r="60" ht="17.100000000000001" customHeight="1" x14ac:dyDescent="0.3"/>
    <row r="61" ht="17.100000000000001" customHeight="1" x14ac:dyDescent="0.3"/>
    <row r="62" ht="17.100000000000001" customHeight="1" x14ac:dyDescent="0.3"/>
    <row r="63" ht="17.100000000000001" customHeight="1" x14ac:dyDescent="0.3"/>
    <row r="64" ht="17.100000000000001" customHeight="1" x14ac:dyDescent="0.3"/>
    <row r="65" ht="17.100000000000001" customHeight="1" x14ac:dyDescent="0.3"/>
    <row r="66" ht="17.100000000000001" customHeight="1" x14ac:dyDescent="0.3"/>
    <row r="67" ht="17.100000000000001" customHeight="1" x14ac:dyDescent="0.3"/>
    <row r="68" ht="17.100000000000001" customHeight="1" x14ac:dyDescent="0.3"/>
    <row r="69" ht="17.100000000000001" customHeight="1" x14ac:dyDescent="0.3"/>
    <row r="70" ht="17.100000000000001" customHeight="1" x14ac:dyDescent="0.3"/>
    <row r="71" ht="17.100000000000001" customHeight="1" x14ac:dyDescent="0.3"/>
    <row r="72" ht="17.100000000000001" customHeight="1" x14ac:dyDescent="0.3"/>
    <row r="73" ht="17.100000000000001" customHeight="1" x14ac:dyDescent="0.3"/>
    <row r="74" ht="17.100000000000001" customHeight="1" x14ac:dyDescent="0.3"/>
    <row r="75" ht="17.100000000000001" customHeight="1" x14ac:dyDescent="0.3"/>
    <row r="76" ht="17.100000000000001" customHeight="1" x14ac:dyDescent="0.3"/>
    <row r="77" ht="17.100000000000001" customHeight="1" x14ac:dyDescent="0.3"/>
    <row r="78" ht="17.100000000000001" customHeight="1" x14ac:dyDescent="0.3"/>
    <row r="79" ht="17.100000000000001" customHeight="1" x14ac:dyDescent="0.3"/>
    <row r="80" ht="17.100000000000001" customHeight="1" x14ac:dyDescent="0.3"/>
    <row r="81" ht="17.100000000000001" customHeight="1" x14ac:dyDescent="0.3"/>
    <row r="82" ht="17.100000000000001" customHeight="1" x14ac:dyDescent="0.3"/>
    <row r="83" ht="17.100000000000001" customHeight="1" x14ac:dyDescent="0.3"/>
    <row r="84" ht="17.100000000000001" customHeight="1" x14ac:dyDescent="0.3"/>
    <row r="85" ht="17.100000000000001" customHeight="1" x14ac:dyDescent="0.3"/>
    <row r="86" ht="17.100000000000001" customHeight="1" x14ac:dyDescent="0.3"/>
    <row r="87" ht="17.100000000000001" customHeight="1" x14ac:dyDescent="0.3"/>
    <row r="88" ht="17.100000000000001" customHeight="1" x14ac:dyDescent="0.3"/>
    <row r="89" ht="17.100000000000001" customHeight="1" x14ac:dyDescent="0.3"/>
    <row r="90" ht="17.100000000000001" customHeight="1" x14ac:dyDescent="0.3"/>
    <row r="91" ht="17.100000000000001" customHeight="1" x14ac:dyDescent="0.3"/>
    <row r="92" ht="17.100000000000001" customHeight="1" x14ac:dyDescent="0.3"/>
    <row r="93" ht="17.100000000000001" customHeight="1" x14ac:dyDescent="0.3"/>
    <row r="94" ht="17.100000000000001" customHeight="1" x14ac:dyDescent="0.3"/>
    <row r="95" ht="17.100000000000001" customHeight="1" x14ac:dyDescent="0.3"/>
    <row r="96" ht="17.100000000000001" customHeight="1" x14ac:dyDescent="0.3"/>
    <row r="97" ht="17.100000000000001" customHeight="1" x14ac:dyDescent="0.3"/>
    <row r="98" ht="17.100000000000001" customHeight="1" x14ac:dyDescent="0.3"/>
    <row r="99" ht="17.100000000000001" customHeight="1" x14ac:dyDescent="0.3"/>
    <row r="100" ht="17.100000000000001" customHeight="1" x14ac:dyDescent="0.3"/>
    <row r="101" ht="17.100000000000001" customHeight="1" x14ac:dyDescent="0.3"/>
    <row r="102" ht="17.100000000000001" customHeight="1" x14ac:dyDescent="0.3"/>
    <row r="103" ht="17.100000000000001" customHeight="1" x14ac:dyDescent="0.3"/>
    <row r="104" ht="17.100000000000001" customHeight="1" x14ac:dyDescent="0.3"/>
    <row r="105" ht="17.100000000000001" customHeight="1" x14ac:dyDescent="0.3"/>
    <row r="106" ht="17.100000000000001" customHeight="1" x14ac:dyDescent="0.3"/>
    <row r="107" ht="17.100000000000001" customHeight="1" x14ac:dyDescent="0.3"/>
    <row r="108" ht="17.100000000000001" customHeight="1" x14ac:dyDescent="0.3"/>
    <row r="109" ht="17.100000000000001" customHeight="1" x14ac:dyDescent="0.3"/>
    <row r="110" ht="17.100000000000001" customHeight="1" x14ac:dyDescent="0.3"/>
    <row r="111" ht="17.100000000000001" customHeight="1" x14ac:dyDescent="0.3"/>
    <row r="112" ht="17.100000000000001" customHeight="1" x14ac:dyDescent="0.3"/>
    <row r="113" ht="17.100000000000001" customHeight="1" x14ac:dyDescent="0.3"/>
    <row r="114" ht="17.100000000000001" customHeight="1" x14ac:dyDescent="0.3"/>
    <row r="115" ht="17.100000000000001" customHeight="1" x14ac:dyDescent="0.3"/>
    <row r="116" ht="17.100000000000001" customHeight="1" x14ac:dyDescent="0.3"/>
    <row r="117" ht="17.100000000000001" customHeight="1" x14ac:dyDescent="0.3"/>
    <row r="118" ht="17.100000000000001" customHeight="1" x14ac:dyDescent="0.3"/>
    <row r="119" ht="17.100000000000001" customHeight="1" x14ac:dyDescent="0.3"/>
    <row r="120" ht="17.100000000000001" customHeight="1" x14ac:dyDescent="0.3"/>
    <row r="121" ht="17.100000000000001" customHeight="1" x14ac:dyDescent="0.3"/>
    <row r="122" ht="17.100000000000001" customHeight="1" x14ac:dyDescent="0.3"/>
    <row r="123" ht="17.100000000000001" customHeight="1" x14ac:dyDescent="0.3"/>
    <row r="124" ht="17.100000000000001" customHeight="1" x14ac:dyDescent="0.3"/>
    <row r="125" ht="17.100000000000001" customHeight="1" x14ac:dyDescent="0.3"/>
    <row r="126" ht="17.100000000000001" customHeight="1" x14ac:dyDescent="0.3"/>
    <row r="127" ht="17.100000000000001" customHeight="1" x14ac:dyDescent="0.3"/>
    <row r="128" ht="17.100000000000001" customHeight="1" x14ac:dyDescent="0.3"/>
    <row r="129" ht="17.100000000000001" customHeight="1" x14ac:dyDescent="0.3"/>
    <row r="130" ht="17.100000000000001" customHeight="1" x14ac:dyDescent="0.3"/>
    <row r="131" ht="17.100000000000001" customHeight="1" x14ac:dyDescent="0.3"/>
    <row r="132" ht="17.100000000000001" customHeight="1" x14ac:dyDescent="0.3"/>
    <row r="133" ht="17.100000000000001" customHeight="1" x14ac:dyDescent="0.3"/>
    <row r="134" ht="17.100000000000001" customHeight="1" x14ac:dyDescent="0.3"/>
    <row r="135" ht="17.100000000000001" customHeight="1" x14ac:dyDescent="0.3"/>
    <row r="136" ht="17.100000000000001" customHeight="1" x14ac:dyDescent="0.3"/>
    <row r="137" ht="17.100000000000001" customHeight="1" x14ac:dyDescent="0.3"/>
    <row r="138" ht="17.100000000000001" customHeight="1" x14ac:dyDescent="0.3"/>
    <row r="139" ht="17.100000000000001" customHeight="1" x14ac:dyDescent="0.3"/>
    <row r="140" ht="17.100000000000001" customHeight="1" x14ac:dyDescent="0.3"/>
    <row r="141" ht="17.100000000000001" customHeight="1" x14ac:dyDescent="0.3"/>
    <row r="142" ht="17.100000000000001" customHeight="1" x14ac:dyDescent="0.3"/>
    <row r="143" ht="17.100000000000001" customHeight="1" x14ac:dyDescent="0.3"/>
    <row r="144" ht="17.100000000000001" customHeight="1" x14ac:dyDescent="0.3"/>
    <row r="145" ht="17.100000000000001" customHeight="1" x14ac:dyDescent="0.3"/>
    <row r="146" ht="17.100000000000001" customHeight="1" x14ac:dyDescent="0.3"/>
    <row r="147" ht="17.100000000000001" customHeight="1" x14ac:dyDescent="0.3"/>
    <row r="148" ht="17.100000000000001" customHeight="1" x14ac:dyDescent="0.3"/>
    <row r="149" ht="17.100000000000001" customHeight="1" x14ac:dyDescent="0.3"/>
    <row r="150" ht="17.100000000000001" customHeight="1" x14ac:dyDescent="0.3"/>
    <row r="151" ht="17.100000000000001" customHeight="1" x14ac:dyDescent="0.3"/>
    <row r="152" ht="17.100000000000001" customHeight="1" x14ac:dyDescent="0.3"/>
    <row r="153" ht="17.100000000000001" customHeight="1" x14ac:dyDescent="0.3"/>
    <row r="154" ht="17.100000000000001" customHeight="1" x14ac:dyDescent="0.3"/>
    <row r="155" ht="17.100000000000001" customHeight="1" x14ac:dyDescent="0.3"/>
    <row r="156" ht="17.100000000000001" customHeight="1" x14ac:dyDescent="0.3"/>
    <row r="157" ht="17.100000000000001" customHeight="1" x14ac:dyDescent="0.3"/>
    <row r="158" ht="17.100000000000001" customHeight="1" x14ac:dyDescent="0.3"/>
    <row r="159" ht="17.100000000000001" customHeight="1" x14ac:dyDescent="0.3"/>
    <row r="160" ht="17.100000000000001" customHeight="1" x14ac:dyDescent="0.3"/>
    <row r="161" ht="17.100000000000001" customHeight="1" x14ac:dyDescent="0.3"/>
    <row r="162" ht="17.100000000000001" customHeight="1" x14ac:dyDescent="0.3"/>
    <row r="163" ht="17.100000000000001" customHeight="1" x14ac:dyDescent="0.3"/>
    <row r="164" ht="17.100000000000001" customHeight="1" x14ac:dyDescent="0.3"/>
    <row r="165" ht="17.100000000000001" customHeight="1" x14ac:dyDescent="0.3"/>
    <row r="166" ht="17.100000000000001" customHeight="1" x14ac:dyDescent="0.3"/>
    <row r="167" ht="17.100000000000001" customHeight="1" x14ac:dyDescent="0.3"/>
    <row r="168" ht="17.100000000000001" customHeight="1" x14ac:dyDescent="0.3"/>
    <row r="169" ht="17.100000000000001" customHeight="1" x14ac:dyDescent="0.3"/>
    <row r="170" ht="17.100000000000001" customHeight="1" x14ac:dyDescent="0.3"/>
    <row r="171" ht="17.100000000000001" customHeight="1" x14ac:dyDescent="0.3"/>
    <row r="172" ht="17.100000000000001" customHeight="1" x14ac:dyDescent="0.3"/>
    <row r="173" ht="17.100000000000001" customHeight="1" x14ac:dyDescent="0.3"/>
    <row r="174" ht="17.100000000000001" customHeight="1" x14ac:dyDescent="0.3"/>
    <row r="175" ht="17.100000000000001" customHeight="1" x14ac:dyDescent="0.3"/>
    <row r="176" ht="17.100000000000001" customHeight="1" x14ac:dyDescent="0.3"/>
    <row r="177" ht="17.100000000000001" customHeight="1" x14ac:dyDescent="0.3"/>
    <row r="178" ht="17.100000000000001" customHeight="1" x14ac:dyDescent="0.3"/>
    <row r="179" ht="17.100000000000001" customHeight="1" x14ac:dyDescent="0.3"/>
    <row r="180" ht="17.100000000000001" customHeight="1" x14ac:dyDescent="0.3"/>
    <row r="181" ht="17.100000000000001" customHeight="1" x14ac:dyDescent="0.3"/>
    <row r="182" ht="17.100000000000001" customHeight="1" x14ac:dyDescent="0.3"/>
    <row r="183" ht="17.100000000000001" customHeight="1" x14ac:dyDescent="0.3"/>
    <row r="184" ht="17.100000000000001" customHeight="1" x14ac:dyDescent="0.3"/>
    <row r="185" ht="17.100000000000001" customHeight="1" x14ac:dyDescent="0.3"/>
    <row r="186" ht="17.100000000000001" customHeight="1" x14ac:dyDescent="0.3"/>
    <row r="187" ht="17.100000000000001" customHeight="1" x14ac:dyDescent="0.3"/>
    <row r="188" ht="17.100000000000001" customHeight="1" x14ac:dyDescent="0.3"/>
    <row r="189" ht="17.100000000000001" customHeight="1" x14ac:dyDescent="0.3"/>
    <row r="190" ht="17.100000000000001" customHeight="1" x14ac:dyDescent="0.3"/>
    <row r="191" ht="17.100000000000001" customHeight="1" x14ac:dyDescent="0.3"/>
    <row r="192" ht="17.100000000000001" customHeight="1" x14ac:dyDescent="0.3"/>
    <row r="193" ht="17.100000000000001" customHeight="1" x14ac:dyDescent="0.3"/>
    <row r="194" ht="17.100000000000001" customHeight="1" x14ac:dyDescent="0.3"/>
    <row r="195" ht="17.100000000000001" customHeight="1" x14ac:dyDescent="0.3"/>
    <row r="196" ht="17.100000000000001" customHeight="1" x14ac:dyDescent="0.3"/>
    <row r="197" ht="17.100000000000001" customHeight="1" x14ac:dyDescent="0.3"/>
    <row r="198" ht="17.100000000000001" customHeight="1" x14ac:dyDescent="0.3"/>
    <row r="199" ht="17.100000000000001" customHeight="1" x14ac:dyDescent="0.3"/>
    <row r="200" ht="17.100000000000001" customHeight="1" x14ac:dyDescent="0.3"/>
    <row r="201" ht="17.100000000000001" customHeight="1" x14ac:dyDescent="0.3"/>
    <row r="202" ht="17.100000000000001" customHeight="1" x14ac:dyDescent="0.3"/>
    <row r="203" ht="17.100000000000001" customHeight="1" x14ac:dyDescent="0.3"/>
    <row r="204" ht="17.100000000000001" customHeight="1" x14ac:dyDescent="0.3"/>
    <row r="205" ht="17.100000000000001" customHeight="1" x14ac:dyDescent="0.3"/>
    <row r="206" ht="17.100000000000001" customHeight="1" x14ac:dyDescent="0.3"/>
    <row r="207" ht="17.100000000000001" customHeight="1" x14ac:dyDescent="0.3"/>
    <row r="208" ht="17.100000000000001" customHeight="1" x14ac:dyDescent="0.3"/>
    <row r="209" ht="17.100000000000001" customHeight="1" x14ac:dyDescent="0.3"/>
    <row r="210" ht="17.100000000000001" customHeight="1" x14ac:dyDescent="0.3"/>
    <row r="211" ht="17.100000000000001" customHeight="1" x14ac:dyDescent="0.3"/>
    <row r="212" ht="17.100000000000001" customHeight="1" x14ac:dyDescent="0.3"/>
    <row r="213" ht="17.100000000000001" customHeight="1" x14ac:dyDescent="0.3"/>
    <row r="214" ht="17.100000000000001" customHeight="1" x14ac:dyDescent="0.3"/>
    <row r="215" ht="17.100000000000001" customHeight="1" x14ac:dyDescent="0.3"/>
    <row r="216" ht="17.100000000000001" customHeight="1" x14ac:dyDescent="0.3"/>
    <row r="217" ht="17.100000000000001" customHeight="1" x14ac:dyDescent="0.3"/>
    <row r="218" ht="17.100000000000001" customHeight="1" x14ac:dyDescent="0.3"/>
    <row r="219" ht="17.100000000000001" customHeight="1" x14ac:dyDescent="0.3"/>
    <row r="220" ht="17.100000000000001" customHeight="1" x14ac:dyDescent="0.3"/>
    <row r="221" ht="17.100000000000001" customHeight="1" x14ac:dyDescent="0.3"/>
    <row r="222" ht="17.100000000000001" customHeight="1" x14ac:dyDescent="0.3"/>
    <row r="223" ht="17.100000000000001" customHeight="1" x14ac:dyDescent="0.3"/>
    <row r="224" ht="17.100000000000001" customHeight="1" x14ac:dyDescent="0.3"/>
    <row r="225" ht="17.100000000000001" customHeight="1" x14ac:dyDescent="0.3"/>
    <row r="226" ht="17.100000000000001" customHeight="1" x14ac:dyDescent="0.3"/>
    <row r="227" ht="17.100000000000001" customHeight="1" x14ac:dyDescent="0.3"/>
    <row r="228" ht="17.100000000000001" customHeight="1" x14ac:dyDescent="0.3"/>
    <row r="229" ht="17.100000000000001" customHeight="1" x14ac:dyDescent="0.3"/>
    <row r="230" ht="17.100000000000001" customHeight="1" x14ac:dyDescent="0.3"/>
    <row r="231" ht="17.100000000000001" customHeight="1" x14ac:dyDescent="0.3"/>
    <row r="232" ht="17.100000000000001" customHeight="1" x14ac:dyDescent="0.3"/>
    <row r="233" ht="17.100000000000001" customHeight="1" x14ac:dyDescent="0.3"/>
    <row r="234" ht="17.100000000000001" customHeight="1" x14ac:dyDescent="0.3"/>
    <row r="235" ht="17.100000000000001" customHeight="1" x14ac:dyDescent="0.3"/>
    <row r="236" ht="17.100000000000001" customHeight="1" x14ac:dyDescent="0.3"/>
    <row r="237" ht="17.100000000000001" customHeight="1" x14ac:dyDescent="0.3"/>
    <row r="238" ht="17.100000000000001" customHeight="1" x14ac:dyDescent="0.3"/>
    <row r="239" ht="17.100000000000001" customHeight="1" x14ac:dyDescent="0.3"/>
    <row r="240" ht="17.100000000000001" customHeight="1" x14ac:dyDescent="0.3"/>
    <row r="241" ht="17.100000000000001" customHeight="1" x14ac:dyDescent="0.3"/>
    <row r="242" ht="17.100000000000001" customHeight="1" x14ac:dyDescent="0.3"/>
    <row r="243" ht="17.100000000000001" customHeight="1" x14ac:dyDescent="0.3"/>
    <row r="244" ht="17.100000000000001" customHeight="1" x14ac:dyDescent="0.3"/>
    <row r="245" ht="17.100000000000001" customHeight="1" x14ac:dyDescent="0.3"/>
    <row r="246" ht="17.100000000000001" customHeight="1" x14ac:dyDescent="0.3"/>
    <row r="247" ht="17.100000000000001" customHeight="1" x14ac:dyDescent="0.3"/>
    <row r="248" ht="17.100000000000001" customHeight="1" x14ac:dyDescent="0.3"/>
    <row r="249" ht="17.100000000000001" customHeight="1" x14ac:dyDescent="0.3"/>
    <row r="250" ht="17.100000000000001" customHeight="1" x14ac:dyDescent="0.3"/>
    <row r="251" ht="17.100000000000001" customHeight="1" x14ac:dyDescent="0.3"/>
    <row r="252" ht="17.100000000000001" customHeight="1" x14ac:dyDescent="0.3"/>
    <row r="253" ht="17.100000000000001" customHeight="1" x14ac:dyDescent="0.3"/>
    <row r="254" ht="17.100000000000001" customHeight="1" x14ac:dyDescent="0.3"/>
    <row r="255" ht="17.100000000000001" customHeight="1" x14ac:dyDescent="0.3"/>
    <row r="256" ht="17.100000000000001" customHeight="1" x14ac:dyDescent="0.3"/>
    <row r="257" ht="17.100000000000001" customHeight="1" x14ac:dyDescent="0.3"/>
    <row r="258" ht="17.100000000000001" customHeight="1" x14ac:dyDescent="0.3"/>
    <row r="259" ht="17.100000000000001" customHeight="1" x14ac:dyDescent="0.3"/>
    <row r="260" ht="17.100000000000001" customHeight="1" x14ac:dyDescent="0.3"/>
    <row r="261" ht="17.100000000000001" customHeight="1" x14ac:dyDescent="0.3"/>
    <row r="262" ht="17.100000000000001" customHeight="1" x14ac:dyDescent="0.3"/>
    <row r="263" ht="17.100000000000001" customHeight="1" x14ac:dyDescent="0.3"/>
    <row r="264" ht="17.100000000000001" customHeight="1" x14ac:dyDescent="0.3"/>
    <row r="265" ht="17.100000000000001" customHeight="1" x14ac:dyDescent="0.3"/>
    <row r="266" ht="17.100000000000001" customHeight="1" x14ac:dyDescent="0.3"/>
    <row r="267" ht="17.100000000000001" customHeight="1" x14ac:dyDescent="0.3"/>
    <row r="268" ht="17.100000000000001" customHeight="1" x14ac:dyDescent="0.3"/>
    <row r="269" ht="17.100000000000001" customHeight="1" x14ac:dyDescent="0.3"/>
    <row r="270" ht="17.100000000000001" customHeight="1" x14ac:dyDescent="0.3"/>
    <row r="271" ht="17.100000000000001" customHeight="1" x14ac:dyDescent="0.3"/>
    <row r="272" ht="17.100000000000001" customHeight="1" x14ac:dyDescent="0.3"/>
    <row r="273" ht="17.100000000000001" customHeight="1" x14ac:dyDescent="0.3"/>
    <row r="274" ht="17.100000000000001" customHeight="1" x14ac:dyDescent="0.3"/>
    <row r="275" ht="17.100000000000001" customHeight="1" x14ac:dyDescent="0.3"/>
    <row r="276" ht="17.100000000000001" customHeight="1" x14ac:dyDescent="0.3"/>
    <row r="277" ht="17.100000000000001" customHeight="1" x14ac:dyDescent="0.3"/>
    <row r="278" ht="17.100000000000001" customHeight="1" x14ac:dyDescent="0.3"/>
    <row r="279" ht="17.100000000000001" customHeight="1" x14ac:dyDescent="0.3"/>
    <row r="280" ht="17.100000000000001" customHeight="1" x14ac:dyDescent="0.3"/>
    <row r="281" ht="17.100000000000001" customHeight="1" x14ac:dyDescent="0.3"/>
    <row r="282" ht="17.100000000000001" customHeight="1" x14ac:dyDescent="0.3"/>
    <row r="283" ht="17.100000000000001" customHeight="1" x14ac:dyDescent="0.3"/>
    <row r="284" ht="17.100000000000001" customHeight="1" x14ac:dyDescent="0.3"/>
    <row r="285" ht="17.100000000000001" customHeight="1" x14ac:dyDescent="0.3"/>
    <row r="286" ht="17.100000000000001" customHeight="1" x14ac:dyDescent="0.3"/>
    <row r="287" ht="17.100000000000001" customHeight="1" x14ac:dyDescent="0.3"/>
    <row r="288" ht="17.100000000000001" customHeight="1" x14ac:dyDescent="0.3"/>
    <row r="289" ht="17.100000000000001" customHeight="1" x14ac:dyDescent="0.3"/>
    <row r="290" ht="17.100000000000001" customHeight="1" x14ac:dyDescent="0.3"/>
    <row r="291" ht="17.100000000000001" customHeight="1" x14ac:dyDescent="0.3"/>
    <row r="292" ht="17.100000000000001" customHeight="1" x14ac:dyDescent="0.3"/>
    <row r="293" ht="17.100000000000001" customHeight="1" x14ac:dyDescent="0.3"/>
    <row r="294" ht="17.100000000000001" customHeight="1" x14ac:dyDescent="0.3"/>
    <row r="295" ht="17.100000000000001" customHeight="1" x14ac:dyDescent="0.3"/>
    <row r="296" ht="17.100000000000001" customHeight="1" x14ac:dyDescent="0.3"/>
    <row r="297" ht="17.100000000000001" customHeight="1" x14ac:dyDescent="0.3"/>
    <row r="298" ht="17.100000000000001" customHeight="1" x14ac:dyDescent="0.3"/>
    <row r="299" ht="17.100000000000001" customHeight="1" x14ac:dyDescent="0.3"/>
    <row r="300" ht="17.100000000000001" customHeight="1" x14ac:dyDescent="0.3"/>
    <row r="301" ht="17.100000000000001" customHeight="1" x14ac:dyDescent="0.3"/>
    <row r="302" ht="17.100000000000001" customHeight="1" x14ac:dyDescent="0.3"/>
    <row r="303" ht="17.100000000000001" customHeight="1" x14ac:dyDescent="0.3"/>
    <row r="304" ht="17.100000000000001" customHeight="1" x14ac:dyDescent="0.3"/>
  </sheetData>
  <sheetProtection formatCells="0" formatColumns="0" formatRows="0"/>
  <mergeCells count="7">
    <mergeCell ref="P4:Q4"/>
    <mergeCell ref="S4:T4"/>
    <mergeCell ref="A4:B4"/>
    <mergeCell ref="D4:E4"/>
    <mergeCell ref="G4:H4"/>
    <mergeCell ref="J4:K4"/>
    <mergeCell ref="M4:N4"/>
  </mergeCells>
  <phoneticPr fontId="1" type="noConversion"/>
  <conditionalFormatting sqref="C6:C9 C21:C29 C16:C19 C11:C14 C31:C34">
    <cfRule type="expression" dxfId="122" priority="140">
      <formula>C6=LowP</formula>
    </cfRule>
    <cfRule type="expression" dxfId="121" priority="141">
      <formula>C6=MediumP</formula>
    </cfRule>
    <cfRule type="expression" dxfId="120" priority="142">
      <formula>C6=HighP</formula>
    </cfRule>
  </conditionalFormatting>
  <conditionalFormatting sqref="F6:F9 F21:F29 F16:F19 F11:F14 F31:F34">
    <cfRule type="expression" dxfId="119" priority="119">
      <formula>F6=LowP</formula>
    </cfRule>
    <cfRule type="expression" dxfId="118" priority="120">
      <formula>F6=MediumP</formula>
    </cfRule>
    <cfRule type="expression" dxfId="117" priority="121">
      <formula>F6=HighP</formula>
    </cfRule>
  </conditionalFormatting>
  <conditionalFormatting sqref="I6:I9 I21:I29 I16:I19 I11:I14">
    <cfRule type="expression" dxfId="116" priority="116">
      <formula>I6=LowP</formula>
    </cfRule>
    <cfRule type="expression" dxfId="115" priority="117">
      <formula>I6=MediumP</formula>
    </cfRule>
    <cfRule type="expression" dxfId="114" priority="118">
      <formula>I6=HighP</formula>
    </cfRule>
  </conditionalFormatting>
  <conditionalFormatting sqref="L6:L9 L21:L29 L16:L19 L11:L14">
    <cfRule type="expression" dxfId="113" priority="113">
      <formula>L6=LowP</formula>
    </cfRule>
    <cfRule type="expression" dxfId="112" priority="114">
      <formula>L6=MediumP</formula>
    </cfRule>
    <cfRule type="expression" dxfId="111" priority="115">
      <formula>L6=HighP</formula>
    </cfRule>
  </conditionalFormatting>
  <conditionalFormatting sqref="O6:O9 O21:O29 O16:O19 O11:O14">
    <cfRule type="expression" dxfId="110" priority="110">
      <formula>O6=LowP</formula>
    </cfRule>
    <cfRule type="expression" dxfId="109" priority="111">
      <formula>O6=MediumP</formula>
    </cfRule>
    <cfRule type="expression" dxfId="108" priority="112">
      <formula>O6=HighP</formula>
    </cfRule>
  </conditionalFormatting>
  <conditionalFormatting sqref="R6:R9 R21:R29 R16:R19 R11:R14">
    <cfRule type="expression" dxfId="107" priority="107">
      <formula>R6=LowP</formula>
    </cfRule>
    <cfRule type="expression" dxfId="106" priority="108">
      <formula>R6=MediumP</formula>
    </cfRule>
    <cfRule type="expression" dxfId="105" priority="109">
      <formula>R6=HighP</formula>
    </cfRule>
  </conditionalFormatting>
  <conditionalFormatting sqref="U6:U9 U21:U29 U16:U19 U11:U14">
    <cfRule type="expression" dxfId="104" priority="104">
      <formula>U6=LowP</formula>
    </cfRule>
    <cfRule type="expression" dxfId="103" priority="105">
      <formula>U6=MediumP</formula>
    </cfRule>
    <cfRule type="expression" dxfId="102" priority="106">
      <formula>U6=HighP</formula>
    </cfRule>
  </conditionalFormatting>
  <conditionalFormatting sqref="A25:U25">
    <cfRule type="expression" dxfId="101" priority="102">
      <formula>MATCH(A25,Event,0)</formula>
    </cfRule>
    <cfRule type="expression" dxfId="100" priority="101">
      <formula>MATCH(A25,Holiday,0)</formula>
    </cfRule>
  </conditionalFormatting>
  <conditionalFormatting sqref="C20">
    <cfRule type="expression" dxfId="99" priority="98">
      <formula>C20=LowP</formula>
    </cfRule>
    <cfRule type="expression" dxfId="98" priority="99">
      <formula>C20=MediumP</formula>
    </cfRule>
    <cfRule type="expression" dxfId="97" priority="100">
      <formula>C20=HighP</formula>
    </cfRule>
  </conditionalFormatting>
  <conditionalFormatting sqref="F20">
    <cfRule type="expression" dxfId="96" priority="95">
      <formula>F20=LowP</formula>
    </cfRule>
    <cfRule type="expression" dxfId="95" priority="96">
      <formula>F20=MediumP</formula>
    </cfRule>
    <cfRule type="expression" dxfId="94" priority="97">
      <formula>F20=HighP</formula>
    </cfRule>
  </conditionalFormatting>
  <conditionalFormatting sqref="I20">
    <cfRule type="expression" dxfId="93" priority="92">
      <formula>I20=LowP</formula>
    </cfRule>
    <cfRule type="expression" dxfId="92" priority="93">
      <formula>I20=MediumP</formula>
    </cfRule>
    <cfRule type="expression" dxfId="91" priority="94">
      <formula>I20=HighP</formula>
    </cfRule>
  </conditionalFormatting>
  <conditionalFormatting sqref="L20">
    <cfRule type="expression" dxfId="90" priority="89">
      <formula>L20=LowP</formula>
    </cfRule>
    <cfRule type="expression" dxfId="89" priority="90">
      <formula>L20=MediumP</formula>
    </cfRule>
    <cfRule type="expression" dxfId="88" priority="91">
      <formula>L20=HighP</formula>
    </cfRule>
  </conditionalFormatting>
  <conditionalFormatting sqref="O20">
    <cfRule type="expression" dxfId="87" priority="86">
      <formula>O20=LowP</formula>
    </cfRule>
    <cfRule type="expression" dxfId="86" priority="87">
      <formula>O20=MediumP</formula>
    </cfRule>
    <cfRule type="expression" dxfId="85" priority="88">
      <formula>O20=HighP</formula>
    </cfRule>
  </conditionalFormatting>
  <conditionalFormatting sqref="R20">
    <cfRule type="expression" dxfId="84" priority="83">
      <formula>R20=LowP</formula>
    </cfRule>
    <cfRule type="expression" dxfId="83" priority="84">
      <formula>R20=MediumP</formula>
    </cfRule>
    <cfRule type="expression" dxfId="82" priority="85">
      <formula>R20=HighP</formula>
    </cfRule>
  </conditionalFormatting>
  <conditionalFormatting sqref="U20">
    <cfRule type="expression" dxfId="81" priority="80">
      <formula>U20=LowP</formula>
    </cfRule>
    <cfRule type="expression" dxfId="80" priority="81">
      <formula>U20=MediumP</formula>
    </cfRule>
    <cfRule type="expression" dxfId="79" priority="82">
      <formula>U20=HighP</formula>
    </cfRule>
  </conditionalFormatting>
  <conditionalFormatting sqref="A20:U20">
    <cfRule type="expression" dxfId="78" priority="78">
      <formula>MATCH(A20,Holiday,0)</formula>
    </cfRule>
    <cfRule type="expression" dxfId="77" priority="79">
      <formula>MATCH(A20,Event,0)</formula>
    </cfRule>
  </conditionalFormatting>
  <conditionalFormatting sqref="C15">
    <cfRule type="expression" dxfId="76" priority="75">
      <formula>C15=LowP</formula>
    </cfRule>
    <cfRule type="expression" dxfId="75" priority="76">
      <formula>C15=MediumP</formula>
    </cfRule>
    <cfRule type="expression" dxfId="74" priority="77">
      <formula>C15=HighP</formula>
    </cfRule>
  </conditionalFormatting>
  <conditionalFormatting sqref="F15">
    <cfRule type="expression" dxfId="73" priority="72">
      <formula>F15=LowP</formula>
    </cfRule>
    <cfRule type="expression" dxfId="72" priority="73">
      <formula>F15=MediumP</formula>
    </cfRule>
    <cfRule type="expression" dxfId="71" priority="74">
      <formula>F15=HighP</formula>
    </cfRule>
  </conditionalFormatting>
  <conditionalFormatting sqref="I15">
    <cfRule type="expression" dxfId="70" priority="69">
      <formula>I15=LowP</formula>
    </cfRule>
    <cfRule type="expression" dxfId="69" priority="70">
      <formula>I15=MediumP</formula>
    </cfRule>
    <cfRule type="expression" dxfId="68" priority="71">
      <formula>I15=HighP</formula>
    </cfRule>
  </conditionalFormatting>
  <conditionalFormatting sqref="L15">
    <cfRule type="expression" dxfId="67" priority="66">
      <formula>L15=LowP</formula>
    </cfRule>
    <cfRule type="expression" dxfId="66" priority="67">
      <formula>L15=MediumP</formula>
    </cfRule>
    <cfRule type="expression" dxfId="65" priority="68">
      <formula>L15=HighP</formula>
    </cfRule>
  </conditionalFormatting>
  <conditionalFormatting sqref="O15">
    <cfRule type="expression" dxfId="64" priority="63">
      <formula>O15=LowP</formula>
    </cfRule>
    <cfRule type="expression" dxfId="63" priority="64">
      <formula>O15=MediumP</formula>
    </cfRule>
    <cfRule type="expression" dxfId="62" priority="65">
      <formula>O15=HighP</formula>
    </cfRule>
  </conditionalFormatting>
  <conditionalFormatting sqref="R15">
    <cfRule type="expression" dxfId="61" priority="60">
      <formula>R15=LowP</formula>
    </cfRule>
    <cfRule type="expression" dxfId="60" priority="61">
      <formula>R15=MediumP</formula>
    </cfRule>
    <cfRule type="expression" dxfId="59" priority="62">
      <formula>R15=HighP</formula>
    </cfRule>
  </conditionalFormatting>
  <conditionalFormatting sqref="U15">
    <cfRule type="expression" dxfId="58" priority="57">
      <formula>U15=LowP</formula>
    </cfRule>
    <cfRule type="expression" dxfId="57" priority="58">
      <formula>U15=MediumP</formula>
    </cfRule>
    <cfRule type="expression" dxfId="56" priority="59">
      <formula>U15=HighP</formula>
    </cfRule>
  </conditionalFormatting>
  <conditionalFormatting sqref="A15:U15">
    <cfRule type="expression" dxfId="55" priority="55">
      <formula>MATCH(A15,Holiday,0)</formula>
    </cfRule>
    <cfRule type="expression" dxfId="54" priority="56">
      <formula>MATCH(A15,Event,0)</formula>
    </cfRule>
  </conditionalFormatting>
  <conditionalFormatting sqref="C10">
    <cfRule type="expression" dxfId="53" priority="52">
      <formula>C10=LowP</formula>
    </cfRule>
    <cfRule type="expression" dxfId="52" priority="53">
      <formula>C10=MediumP</formula>
    </cfRule>
    <cfRule type="expression" dxfId="51" priority="54">
      <formula>C10=HighP</formula>
    </cfRule>
  </conditionalFormatting>
  <conditionalFormatting sqref="F10">
    <cfRule type="expression" dxfId="50" priority="49">
      <formula>F10=LowP</formula>
    </cfRule>
    <cfRule type="expression" dxfId="49" priority="50">
      <formula>F10=MediumP</formula>
    </cfRule>
    <cfRule type="expression" dxfId="48" priority="51">
      <formula>F10=HighP</formula>
    </cfRule>
  </conditionalFormatting>
  <conditionalFormatting sqref="I10">
    <cfRule type="expression" dxfId="47" priority="46">
      <formula>I10=LowP</formula>
    </cfRule>
    <cfRule type="expression" dxfId="46" priority="47">
      <formula>I10=MediumP</formula>
    </cfRule>
    <cfRule type="expression" dxfId="45" priority="48">
      <formula>I10=HighP</formula>
    </cfRule>
  </conditionalFormatting>
  <conditionalFormatting sqref="L10">
    <cfRule type="expression" dxfId="44" priority="43">
      <formula>L10=LowP</formula>
    </cfRule>
    <cfRule type="expression" dxfId="43" priority="44">
      <formula>L10=MediumP</formula>
    </cfRule>
    <cfRule type="expression" dxfId="42" priority="45">
      <formula>L10=HighP</formula>
    </cfRule>
  </conditionalFormatting>
  <conditionalFormatting sqref="O10">
    <cfRule type="expression" dxfId="41" priority="40">
      <formula>O10=LowP</formula>
    </cfRule>
    <cfRule type="expression" dxfId="40" priority="41">
      <formula>O10=MediumP</formula>
    </cfRule>
    <cfRule type="expression" dxfId="39" priority="42">
      <formula>O10=HighP</formula>
    </cfRule>
  </conditionalFormatting>
  <conditionalFormatting sqref="R10">
    <cfRule type="expression" dxfId="38" priority="37">
      <formula>R10=LowP</formula>
    </cfRule>
    <cfRule type="expression" dxfId="37" priority="38">
      <formula>R10=MediumP</formula>
    </cfRule>
    <cfRule type="expression" dxfId="36" priority="39">
      <formula>R10=HighP</formula>
    </cfRule>
  </conditionalFormatting>
  <conditionalFormatting sqref="U10">
    <cfRule type="expression" dxfId="35" priority="34">
      <formula>U10=LowP</formula>
    </cfRule>
    <cfRule type="expression" dxfId="34" priority="35">
      <formula>U10=MediumP</formula>
    </cfRule>
    <cfRule type="expression" dxfId="33" priority="36">
      <formula>U10=HighP</formula>
    </cfRule>
  </conditionalFormatting>
  <conditionalFormatting sqref="A10:U10">
    <cfRule type="expression" dxfId="32" priority="32">
      <formula>MATCH(A10,Holiday,0)</formula>
    </cfRule>
    <cfRule type="expression" dxfId="31" priority="33">
      <formula>MATCH(A10,Event,0)</formula>
    </cfRule>
  </conditionalFormatting>
  <conditionalFormatting sqref="C5">
    <cfRule type="expression" dxfId="30" priority="29">
      <formula>C5=LowP</formula>
    </cfRule>
    <cfRule type="expression" dxfId="29" priority="30">
      <formula>C5=MediumP</formula>
    </cfRule>
    <cfRule type="expression" dxfId="28" priority="31">
      <formula>C5=HighP</formula>
    </cfRule>
  </conditionalFormatting>
  <conditionalFormatting sqref="F5">
    <cfRule type="expression" dxfId="27" priority="26">
      <formula>F5=LowP</formula>
    </cfRule>
    <cfRule type="expression" dxfId="26" priority="27">
      <formula>F5=MediumP</formula>
    </cfRule>
    <cfRule type="expression" dxfId="25" priority="28">
      <formula>F5=HighP</formula>
    </cfRule>
  </conditionalFormatting>
  <conditionalFormatting sqref="I5">
    <cfRule type="expression" dxfId="24" priority="23">
      <formula>I5=LowP</formula>
    </cfRule>
    <cfRule type="expression" dxfId="23" priority="24">
      <formula>I5=MediumP</formula>
    </cfRule>
    <cfRule type="expression" dxfId="22" priority="25">
      <formula>I5=HighP</formula>
    </cfRule>
  </conditionalFormatting>
  <conditionalFormatting sqref="L5">
    <cfRule type="expression" dxfId="21" priority="20">
      <formula>L5=LowP</formula>
    </cfRule>
    <cfRule type="expression" dxfId="20" priority="21">
      <formula>L5=MediumP</formula>
    </cfRule>
    <cfRule type="expression" dxfId="19" priority="22">
      <formula>L5=HighP</formula>
    </cfRule>
  </conditionalFormatting>
  <conditionalFormatting sqref="O5">
    <cfRule type="expression" dxfId="18" priority="17">
      <formula>O5=LowP</formula>
    </cfRule>
    <cfRule type="expression" dxfId="17" priority="18">
      <formula>O5=MediumP</formula>
    </cfRule>
    <cfRule type="expression" dxfId="16" priority="19">
      <formula>O5=HighP</formula>
    </cfRule>
  </conditionalFormatting>
  <conditionalFormatting sqref="R5">
    <cfRule type="expression" dxfId="15" priority="14">
      <formula>R5=LowP</formula>
    </cfRule>
    <cfRule type="expression" dxfId="14" priority="15">
      <formula>R5=MediumP</formula>
    </cfRule>
    <cfRule type="expression" dxfId="13" priority="16">
      <formula>R5=HighP</formula>
    </cfRule>
  </conditionalFormatting>
  <conditionalFormatting sqref="U5">
    <cfRule type="expression" dxfId="12" priority="11">
      <formula>U5=LowP</formula>
    </cfRule>
    <cfRule type="expression" dxfId="11" priority="12">
      <formula>U5=MediumP</formula>
    </cfRule>
    <cfRule type="expression" dxfId="10" priority="13">
      <formula>U5=HighP</formula>
    </cfRule>
  </conditionalFormatting>
  <conditionalFormatting sqref="A5:U5">
    <cfRule type="expression" dxfId="9" priority="9">
      <formula>MATCH(A5,Holiday,0)</formula>
    </cfRule>
    <cfRule type="expression" dxfId="8" priority="10">
      <formula>MATCH(A5,Event,0)</formula>
    </cfRule>
  </conditionalFormatting>
  <conditionalFormatting sqref="C30">
    <cfRule type="expression" dxfId="7" priority="6">
      <formula>C30=LowP</formula>
    </cfRule>
    <cfRule type="expression" dxfId="6" priority="7">
      <formula>C30=MediumP</formula>
    </cfRule>
    <cfRule type="expression" dxfId="5" priority="8">
      <formula>C30=HighP</formula>
    </cfRule>
  </conditionalFormatting>
  <conditionalFormatting sqref="F30">
    <cfRule type="expression" dxfId="4" priority="3">
      <formula>F30=LowP</formula>
    </cfRule>
    <cfRule type="expression" dxfId="3" priority="4">
      <formula>F30=MediumP</formula>
    </cfRule>
    <cfRule type="expression" dxfId="2" priority="5">
      <formula>F30=HighP</formula>
    </cfRule>
  </conditionalFormatting>
  <conditionalFormatting sqref="A30:F30">
    <cfRule type="expression" dxfId="1" priority="1">
      <formula>MATCH(A30,Holiday,0)</formula>
    </cfRule>
    <cfRule type="expression" dxfId="0" priority="2">
      <formula>MATCH(A30,Event,0)</formula>
    </cfRule>
  </conditionalFormatting>
  <dataValidations count="1">
    <dataValidation type="list" allowBlank="1" showInputMessage="1" showErrorMessage="1" sqref="C6:C9 F6:F9 I6:I9 L6:L9 O6:O9 R6:R9 U6:U9 C11:C14 F11:F14 I11:I14 L11:L14 O11:O14 R11:R14 U11:U14 C16:C19 F16:F19 I16:I19 L16:L19 O16:O19 R16:R19 U16:U19 C21:C24 F21:F24 I21:I24 L21:L24 O21:O24 R21:R24 U21:U24 C26:C29 F26:F29 I26:I29 L26:L29 O26:O29 R26:R29 U26:U29 C31:C34 F31:F34">
      <formula1>Priority</formula1>
    </dataValidation>
  </dataValidations>
  <printOptions horizontalCentered="1"/>
  <pageMargins left="0.34" right="0.26" top="0.44" bottom="0.36" header="0.28000000000000003" footer="0.25"/>
  <pageSetup paperSize="9" scale="9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97" customWidth="1"/>
    <col min="2" max="16384" width="12.44140625" style="97"/>
  </cols>
  <sheetData>
    <row r="4" spans="1:1" s="93" customFormat="1" ht="15.6" customHeight="1" x14ac:dyDescent="0.5">
      <c r="A4" s="92"/>
    </row>
    <row r="5" spans="1:1" s="93" customFormat="1" ht="15.6" customHeight="1" x14ac:dyDescent="0.5">
      <c r="A5" s="94"/>
    </row>
    <row r="40" spans="1:15" s="93" customFormat="1" ht="30" customHeight="1" x14ac:dyDescent="0.5">
      <c r="A40" s="101" t="s">
        <v>49</v>
      </c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95"/>
      <c r="N40" s="95"/>
      <c r="O40" s="95"/>
    </row>
    <row r="41" spans="1:15" s="93" customFormat="1" ht="30" customHeight="1" x14ac:dyDescent="0.5">
      <c r="A41" s="102" t="s">
        <v>50</v>
      </c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96"/>
      <c r="N41" s="96"/>
      <c r="O41" s="96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97" customWidth="1"/>
    <col min="2" max="16384" width="12.44140625" style="97"/>
  </cols>
  <sheetData>
    <row r="4" spans="1:1" s="93" customFormat="1" ht="15.6" customHeight="1" x14ac:dyDescent="0.5">
      <c r="A4" s="92"/>
    </row>
    <row r="5" spans="1:1" s="93" customFormat="1" ht="15.6" customHeight="1" x14ac:dyDescent="0.5">
      <c r="A5" s="94"/>
    </row>
    <row r="40" spans="1:15" s="93" customFormat="1" ht="30" customHeight="1" x14ac:dyDescent="0.5">
      <c r="A40" s="101" t="s">
        <v>49</v>
      </c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95"/>
      <c r="N40" s="95"/>
      <c r="O40" s="95"/>
    </row>
    <row r="41" spans="1:15" s="93" customFormat="1" ht="30" customHeight="1" x14ac:dyDescent="0.5">
      <c r="A41" s="102" t="s">
        <v>50</v>
      </c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96"/>
      <c r="N41" s="96"/>
      <c r="O41" s="96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12</vt:i4>
      </vt:variant>
    </vt:vector>
  </HeadingPairs>
  <TitlesOfParts>
    <vt:vector size="16" baseType="lpstr">
      <vt:lpstr>Setup</vt:lpstr>
      <vt:lpstr>Schedule</vt:lpstr>
      <vt:lpstr>Copyright</vt:lpstr>
      <vt:lpstr>Copyright-2</vt:lpstr>
      <vt:lpstr>Event</vt:lpstr>
      <vt:lpstr>Event_Date</vt:lpstr>
      <vt:lpstr>HighP</vt:lpstr>
      <vt:lpstr>Holiday</vt:lpstr>
      <vt:lpstr>Holiday_Date</vt:lpstr>
      <vt:lpstr>LowP</vt:lpstr>
      <vt:lpstr>MediumP</vt:lpstr>
      <vt:lpstr>MonthRef</vt:lpstr>
      <vt:lpstr>Months</vt:lpstr>
      <vt:lpstr>Schedule!Print_Area</vt:lpstr>
      <vt:lpstr>Priority</vt:lpstr>
      <vt:lpstr>StartMonth</vt:lpstr>
    </vt:vector>
  </TitlesOfParts>
  <Company>Exceltemplate.net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exceltemplate.net</dc:creator>
  <cp:lastModifiedBy>Moorche</cp:lastModifiedBy>
  <cp:lastPrinted>2019-02-02T02:52:30Z</cp:lastPrinted>
  <dcterms:created xsi:type="dcterms:W3CDTF">2008-10-29T15:28:11Z</dcterms:created>
  <dcterms:modified xsi:type="dcterms:W3CDTF">2020-11-04T23:00:04Z</dcterms:modified>
</cp:coreProperties>
</file>